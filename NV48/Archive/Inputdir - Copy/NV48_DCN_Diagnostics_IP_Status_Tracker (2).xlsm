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E709809A-7EBF-401A-B97F-7B6E0A38F3AE}" xr6:coauthVersionLast="36" xr6:coauthVersionMax="47" xr10:uidLastSave="{00000000-0000-0000-0000-000000000000}"/>
  <bookViews>
    <workbookView xWindow="22932" yWindow="-108" windowWidth="30936" windowHeight="16896" tabRatio="810" firstSheet="7"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Data'!$A$5:$AH$181</definedName>
    <definedName name="_xlnm._FilterDatabase" localSheetId="6" hidden="1">'Feature Raw Data'!$A$2:$E$148</definedName>
    <definedName name="_xlnm._FilterDatabase" localSheetId="5" hidden="1">'Feature Raw Data JAMA'!$A$2:$E$148</definedName>
    <definedName name="_xlnm._FilterDatabase" localSheetId="8" hidden="1">'Feature Summary'!$A$6:$W$156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8"/>
  <pivotCaches>
    <pivotCache cacheId="8460" r:id="rId15"/>
  </pivotCaches>
  <fileRecoveryPr autoRecover="0"/>
</workbook>
</file>

<file path=xl/calcChain.xml><?xml version="1.0" encoding="utf-8"?>
<calcChain xmlns="http://schemas.openxmlformats.org/spreadsheetml/2006/main">
  <c r="AE181" i="53" l="1"/>
  <c r="P13" i="53"/>
  <c r="T181" i="53"/>
  <c r="U181" i="53"/>
  <c r="N93" i="55" a="1"/>
  <c r="N93" i="55"/>
  <c r="O93" i="55"/>
  <c r="D12" i="55" a="1"/>
  <c r="D12" i="55"/>
  <c r="N94" i="55" a="1"/>
  <c r="N94" i="55"/>
  <c r="O94" i="55"/>
  <c r="P19" i="53"/>
  <c r="P21" i="53"/>
  <c r="K181" i="53"/>
  <c r="P6" i="53"/>
  <c r="P7" i="53"/>
  <c r="P8" i="53"/>
  <c r="P9" i="53"/>
  <c r="P10" i="53"/>
  <c r="P11" i="53"/>
  <c r="P12" i="53"/>
  <c r="P14" i="53"/>
  <c r="P15" i="53"/>
  <c r="P16" i="53"/>
  <c r="P17" i="53"/>
  <c r="P18" i="53"/>
  <c r="P20"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O129" i="53"/>
  <c r="L129" i="53"/>
  <c r="P129" i="53"/>
  <c r="P130"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81" i="53"/>
  <c r="B23" i="55"/>
  <c r="G16" i="53"/>
  <c r="X16" i="53"/>
  <c r="Z16" i="53"/>
  <c r="AE16" i="53"/>
  <c r="AG16" i="53"/>
  <c r="C46" i="55"/>
  <c r="C52" i="55"/>
  <c r="C51" i="55"/>
  <c r="C60" i="55"/>
  <c r="C124" i="55"/>
  <c r="G34" i="53"/>
  <c r="X34" i="53"/>
  <c r="Z34" i="53"/>
  <c r="AE34" i="53"/>
  <c r="AG34" i="53"/>
  <c r="C66" i="55"/>
  <c r="G44" i="53"/>
  <c r="X44" i="53"/>
  <c r="Z44" i="53"/>
  <c r="AE44" i="53"/>
  <c r="AG44" i="53"/>
  <c r="C133" i="55"/>
  <c r="C37" i="55"/>
  <c r="G42" i="53"/>
  <c r="X42" i="53"/>
  <c r="Z42" i="53"/>
  <c r="AE42" i="53"/>
  <c r="AG42" i="53"/>
  <c r="X50" i="53"/>
  <c r="X49" i="53"/>
  <c r="B7" i="55"/>
  <c r="C7" i="55"/>
  <c r="D7" i="55" a="1"/>
  <c r="D7" i="55"/>
  <c r="E7" i="55"/>
  <c r="F7" i="55"/>
  <c r="I7" i="55"/>
  <c r="J7" i="55"/>
  <c r="R7" i="55"/>
  <c r="R129" i="53"/>
  <c r="R181" i="53"/>
  <c r="N7" i="55" a="1"/>
  <c r="N7" i="55"/>
  <c r="P7" i="55"/>
  <c r="S7" i="55"/>
  <c r="Q7" i="55"/>
  <c r="AG6" i="53"/>
  <c r="X6" i="53"/>
  <c r="Z6" i="53"/>
  <c r="Z7" i="53"/>
  <c r="Z8" i="53"/>
  <c r="Z9" i="53"/>
  <c r="Z10" i="53"/>
  <c r="Z11" i="53"/>
  <c r="Z12" i="53"/>
  <c r="C81" i="55"/>
  <c r="G71" i="53"/>
  <c r="C82" i="55"/>
  <c r="G70" i="53"/>
  <c r="C80" i="55"/>
  <c r="G69" i="53"/>
  <c r="S58" i="59"/>
  <c r="R58" i="59"/>
  <c r="Q58" i="59"/>
  <c r="P58" i="59"/>
  <c r="O58" i="59"/>
  <c r="U58" i="59"/>
  <c r="K58" i="59"/>
  <c r="J58" i="59"/>
  <c r="I58" i="59"/>
  <c r="H58" i="59"/>
  <c r="G58" i="59"/>
  <c r="M58" i="59"/>
  <c r="E58" i="59"/>
  <c r="D58" i="59"/>
  <c r="C58" i="59"/>
  <c r="N58" i="59"/>
  <c r="B58" i="59"/>
  <c r="S38" i="59"/>
  <c r="R38" i="59"/>
  <c r="Q38" i="59"/>
  <c r="P38" i="59"/>
  <c r="O38" i="59"/>
  <c r="U38" i="59"/>
  <c r="K38" i="59"/>
  <c r="J38" i="59"/>
  <c r="I38" i="59"/>
  <c r="H38" i="59"/>
  <c r="G38" i="59"/>
  <c r="M38" i="59"/>
  <c r="E38" i="59"/>
  <c r="D38" i="59"/>
  <c r="C38" i="59"/>
  <c r="N38" i="59"/>
  <c r="B38" i="59"/>
  <c r="V38" i="59"/>
  <c r="S18" i="59"/>
  <c r="R18" i="59"/>
  <c r="Q18" i="59"/>
  <c r="P18" i="59"/>
  <c r="O18" i="59"/>
  <c r="U18" i="59"/>
  <c r="K18" i="59"/>
  <c r="J18" i="59"/>
  <c r="I18" i="59"/>
  <c r="H18" i="59"/>
  <c r="G18" i="59"/>
  <c r="M18" i="59"/>
  <c r="E18" i="59"/>
  <c r="D18" i="59"/>
  <c r="C18" i="59"/>
  <c r="L18" i="59"/>
  <c r="B18" i="59"/>
  <c r="B148" i="55"/>
  <c r="B135" i="55"/>
  <c r="Z13" i="53"/>
  <c r="AE13" i="53"/>
  <c r="X13" i="53"/>
  <c r="G13" i="53"/>
  <c r="AG81" i="53"/>
  <c r="Z81" i="53"/>
  <c r="AE81" i="53"/>
  <c r="X81" i="53"/>
  <c r="G81" i="53"/>
  <c r="AG67" i="53"/>
  <c r="Z67" i="53"/>
  <c r="AE67" i="53"/>
  <c r="X67" i="53"/>
  <c r="G67" i="53"/>
  <c r="Q156" i="55"/>
  <c r="J156" i="55"/>
  <c r="I156" i="55"/>
  <c r="F156" i="55"/>
  <c r="E156" i="55"/>
  <c r="D156" i="55" a="1"/>
  <c r="D156" i="55"/>
  <c r="G156" i="55"/>
  <c r="B156" i="55"/>
  <c r="Q155" i="55"/>
  <c r="J155" i="55"/>
  <c r="I155" i="55"/>
  <c r="F155" i="55"/>
  <c r="E155" i="55"/>
  <c r="D155" i="55" a="1"/>
  <c r="D155" i="55"/>
  <c r="B155" i="55"/>
  <c r="X22" i="53"/>
  <c r="Z22" i="53"/>
  <c r="AE22" i="53"/>
  <c r="AG22" i="53"/>
  <c r="G174" i="53"/>
  <c r="G173" i="53"/>
  <c r="G172" i="53"/>
  <c r="B13" i="55"/>
  <c r="B28" i="55"/>
  <c r="B41" i="55"/>
  <c r="F145" i="55"/>
  <c r="Q154" i="55"/>
  <c r="J154" i="55"/>
  <c r="I154" i="55"/>
  <c r="F154" i="55"/>
  <c r="E154" i="55"/>
  <c r="D154" i="55" a="1"/>
  <c r="D154" i="55"/>
  <c r="Q153" i="55"/>
  <c r="P153" i="55"/>
  <c r="S153" i="55"/>
  <c r="J153" i="55"/>
  <c r="R153" i="55"/>
  <c r="I153" i="55"/>
  <c r="F153" i="55"/>
  <c r="E153" i="55"/>
  <c r="D153" i="55" a="1"/>
  <c r="D153" i="55"/>
  <c r="Q152" i="55"/>
  <c r="J152" i="55"/>
  <c r="I152" i="55"/>
  <c r="F152" i="55"/>
  <c r="E152" i="55"/>
  <c r="D152" i="55" a="1"/>
  <c r="D152" i="55"/>
  <c r="Q151" i="55"/>
  <c r="J151" i="55"/>
  <c r="I151" i="55"/>
  <c r="F151" i="55"/>
  <c r="E151" i="55"/>
  <c r="D151" i="55" a="1"/>
  <c r="D151" i="55"/>
  <c r="Q150" i="55"/>
  <c r="J150" i="55"/>
  <c r="I150" i="55"/>
  <c r="F150" i="55"/>
  <c r="E150" i="55"/>
  <c r="D150" i="55" a="1"/>
  <c r="D150" i="55"/>
  <c r="Q149" i="55"/>
  <c r="J149" i="55"/>
  <c r="I149" i="55"/>
  <c r="F149" i="55"/>
  <c r="E149" i="55"/>
  <c r="D149" i="55" a="1"/>
  <c r="D149" i="55"/>
  <c r="Q148" i="55"/>
  <c r="J148" i="55"/>
  <c r="I148" i="55"/>
  <c r="F148" i="55"/>
  <c r="E148" i="55"/>
  <c r="D148" i="55" a="1"/>
  <c r="D148" i="55"/>
  <c r="Q147" i="55"/>
  <c r="P147" i="55"/>
  <c r="S147" i="55"/>
  <c r="J147" i="55"/>
  <c r="R147" i="55"/>
  <c r="I147" i="55"/>
  <c r="F147" i="55"/>
  <c r="E147" i="55"/>
  <c r="D147" i="55" a="1"/>
  <c r="D147" i="55"/>
  <c r="Q146" i="55"/>
  <c r="P146" i="55"/>
  <c r="S146" i="55"/>
  <c r="J146" i="55"/>
  <c r="R146" i="55"/>
  <c r="T146" i="55"/>
  <c r="I146" i="55"/>
  <c r="F146" i="55"/>
  <c r="E146" i="55"/>
  <c r="D146" i="55" a="1"/>
  <c r="D146" i="55"/>
  <c r="Q145" i="55"/>
  <c r="J145" i="55"/>
  <c r="I145" i="55"/>
  <c r="E145" i="55"/>
  <c r="D145" i="55" a="1"/>
  <c r="D145" i="55"/>
  <c r="Q144" i="55"/>
  <c r="J144" i="55"/>
  <c r="I144" i="55"/>
  <c r="F144" i="55"/>
  <c r="E144" i="55"/>
  <c r="D144" i="55" a="1"/>
  <c r="D144" i="55"/>
  <c r="Q143" i="55"/>
  <c r="P143" i="55"/>
  <c r="S143" i="55"/>
  <c r="J143" i="55"/>
  <c r="R143" i="55"/>
  <c r="T143" i="55"/>
  <c r="I143" i="55"/>
  <c r="F143" i="55"/>
  <c r="E143" i="55"/>
  <c r="D143" i="55" a="1"/>
  <c r="D143" i="55"/>
  <c r="Q142" i="55"/>
  <c r="P142" i="55"/>
  <c r="J142" i="55"/>
  <c r="I142" i="55"/>
  <c r="F142" i="55"/>
  <c r="E142" i="55"/>
  <c r="D142" i="55" a="1"/>
  <c r="D142" i="55"/>
  <c r="Q141" i="55"/>
  <c r="P141" i="55"/>
  <c r="S141" i="55"/>
  <c r="J141" i="55"/>
  <c r="R141" i="55"/>
  <c r="T141" i="55"/>
  <c r="I141" i="55"/>
  <c r="F141" i="55"/>
  <c r="E141" i="55"/>
  <c r="D141" i="55" a="1"/>
  <c r="D141" i="55"/>
  <c r="B10" i="55"/>
  <c r="B9" i="55"/>
  <c r="B8" i="55"/>
  <c r="B146" i="55"/>
  <c r="B145" i="55"/>
  <c r="B143" i="55"/>
  <c r="B142" i="55"/>
  <c r="B141" i="55"/>
  <c r="B154" i="55"/>
  <c r="B153" i="55"/>
  <c r="B152" i="55"/>
  <c r="B151" i="55"/>
  <c r="B150" i="55"/>
  <c r="B149" i="55"/>
  <c r="B147" i="55"/>
  <c r="B144" i="55"/>
  <c r="I13" i="52"/>
  <c r="I12" i="52"/>
  <c r="I11" i="52"/>
  <c r="I10" i="52"/>
  <c r="I9" i="52"/>
  <c r="I8" i="52"/>
  <c r="I7" i="52"/>
  <c r="I6" i="52"/>
  <c r="I5" i="52"/>
  <c r="I4" i="52"/>
  <c r="I3" i="52"/>
  <c r="H10" i="61"/>
  <c r="H9" i="61"/>
  <c r="H8" i="61"/>
  <c r="H7" i="61"/>
  <c r="H13" i="61"/>
  <c r="H12" i="61"/>
  <c r="H11" i="61"/>
  <c r="H6" i="61"/>
  <c r="H5" i="61"/>
  <c r="H4" i="61"/>
  <c r="H3" i="61"/>
  <c r="D140" i="55" a="1"/>
  <c r="D140" i="55"/>
  <c r="H140" i="55"/>
  <c r="Z14" i="53"/>
  <c r="AE14" i="53"/>
  <c r="X14" i="53"/>
  <c r="P149" i="55"/>
  <c r="G19" i="53"/>
  <c r="B57" i="59"/>
  <c r="T57" i="59"/>
  <c r="C57" i="59"/>
  <c r="L57" i="59"/>
  <c r="D57" i="59"/>
  <c r="E57" i="59"/>
  <c r="G57" i="59"/>
  <c r="M57" i="59"/>
  <c r="H57" i="59"/>
  <c r="I57" i="59"/>
  <c r="J57" i="59"/>
  <c r="K57" i="59"/>
  <c r="O57" i="59"/>
  <c r="U57" i="59"/>
  <c r="P57" i="59"/>
  <c r="Q57" i="59"/>
  <c r="R57" i="59"/>
  <c r="S57" i="59"/>
  <c r="B53" i="59"/>
  <c r="F53" i="59"/>
  <c r="C53" i="59"/>
  <c r="L53" i="59"/>
  <c r="D53" i="59"/>
  <c r="E53" i="59"/>
  <c r="G53" i="59"/>
  <c r="M53" i="59"/>
  <c r="H53" i="59"/>
  <c r="I53" i="59"/>
  <c r="J53" i="59"/>
  <c r="K53" i="59"/>
  <c r="O53" i="59"/>
  <c r="U53" i="59"/>
  <c r="P53" i="59"/>
  <c r="Q53" i="59"/>
  <c r="R53" i="59"/>
  <c r="S53" i="59"/>
  <c r="B37" i="59"/>
  <c r="C37" i="59"/>
  <c r="D37" i="59"/>
  <c r="E37" i="59"/>
  <c r="G37" i="59"/>
  <c r="M37" i="59"/>
  <c r="H37" i="59"/>
  <c r="I37" i="59"/>
  <c r="J37" i="59"/>
  <c r="K37" i="59"/>
  <c r="O37" i="59"/>
  <c r="U37" i="59"/>
  <c r="P37" i="59"/>
  <c r="Q37" i="59"/>
  <c r="R37" i="59"/>
  <c r="S37" i="59"/>
  <c r="B17" i="59"/>
  <c r="C17" i="59"/>
  <c r="D17" i="59"/>
  <c r="E17" i="59"/>
  <c r="G17" i="59"/>
  <c r="M17" i="59"/>
  <c r="H17" i="59"/>
  <c r="I17" i="59"/>
  <c r="J17" i="59"/>
  <c r="K17" i="59"/>
  <c r="O17" i="59"/>
  <c r="U17" i="59"/>
  <c r="P17" i="59"/>
  <c r="Q17" i="59"/>
  <c r="R17" i="59"/>
  <c r="S17" i="59"/>
  <c r="E68" i="59" a="1"/>
  <c r="E68" i="59"/>
  <c r="B16" i="59"/>
  <c r="G89" i="53"/>
  <c r="AG128" i="53"/>
  <c r="Z128" i="53"/>
  <c r="AE128" i="53"/>
  <c r="X128" i="53"/>
  <c r="AG106" i="53"/>
  <c r="Z106" i="53"/>
  <c r="AE106" i="53"/>
  <c r="X106" i="53"/>
  <c r="AG105" i="53"/>
  <c r="Z105" i="53"/>
  <c r="AE105" i="53"/>
  <c r="X105" i="53"/>
  <c r="X68" i="53"/>
  <c r="Z68" i="53"/>
  <c r="AE68" i="53"/>
  <c r="AG68" i="53"/>
  <c r="B50" i="59"/>
  <c r="C50" i="59"/>
  <c r="D50" i="59"/>
  <c r="E50" i="59"/>
  <c r="H50" i="59"/>
  <c r="I50" i="59"/>
  <c r="J50" i="59"/>
  <c r="K50" i="59"/>
  <c r="P50" i="59"/>
  <c r="Q50" i="59"/>
  <c r="R50" i="59"/>
  <c r="S50" i="59"/>
  <c r="B51" i="59"/>
  <c r="C51" i="59"/>
  <c r="N51" i="59"/>
  <c r="D51" i="59"/>
  <c r="E51" i="59"/>
  <c r="H51" i="59"/>
  <c r="I51" i="59"/>
  <c r="J51" i="59"/>
  <c r="K51" i="59"/>
  <c r="P51" i="59"/>
  <c r="Q51" i="59"/>
  <c r="R51" i="59"/>
  <c r="S51" i="59"/>
  <c r="B52" i="59"/>
  <c r="C52" i="59"/>
  <c r="D52" i="59"/>
  <c r="E52" i="59"/>
  <c r="H52" i="59"/>
  <c r="I52" i="59"/>
  <c r="J52" i="59"/>
  <c r="K52" i="59"/>
  <c r="P52" i="59"/>
  <c r="Q52" i="59"/>
  <c r="R52" i="59"/>
  <c r="S52" i="59"/>
  <c r="B25" i="59"/>
  <c r="V25" i="59"/>
  <c r="C25" i="59"/>
  <c r="L25" i="59"/>
  <c r="D25" i="59"/>
  <c r="E25" i="59"/>
  <c r="G25" i="59"/>
  <c r="M25" i="59"/>
  <c r="H25" i="59"/>
  <c r="I25" i="59"/>
  <c r="J25" i="59"/>
  <c r="K25" i="59"/>
  <c r="O25" i="59"/>
  <c r="U25" i="59"/>
  <c r="P25" i="59"/>
  <c r="Q25" i="59"/>
  <c r="R25" i="59"/>
  <c r="S25" i="59"/>
  <c r="B26" i="59"/>
  <c r="C26" i="59"/>
  <c r="H26" i="59"/>
  <c r="I26" i="59"/>
  <c r="D26" i="59"/>
  <c r="E26" i="59"/>
  <c r="G26" i="59"/>
  <c r="J26" i="59"/>
  <c r="K26" i="59"/>
  <c r="O26" i="59"/>
  <c r="U26" i="59"/>
  <c r="P26" i="59"/>
  <c r="Q26" i="59"/>
  <c r="R26" i="59"/>
  <c r="S26" i="59"/>
  <c r="B27" i="59"/>
  <c r="C27" i="59"/>
  <c r="D27" i="59"/>
  <c r="E27" i="59"/>
  <c r="G27" i="59"/>
  <c r="M27" i="59"/>
  <c r="H27" i="59"/>
  <c r="I27" i="59"/>
  <c r="J27" i="59"/>
  <c r="K27" i="59"/>
  <c r="O27" i="59"/>
  <c r="U27" i="59"/>
  <c r="P27" i="59"/>
  <c r="Q27" i="59"/>
  <c r="R27" i="59"/>
  <c r="S27" i="59"/>
  <c r="B28" i="59"/>
  <c r="C28" i="59"/>
  <c r="D28" i="59"/>
  <c r="E28" i="59"/>
  <c r="G28" i="59"/>
  <c r="M28" i="59"/>
  <c r="H28" i="59"/>
  <c r="I28" i="59"/>
  <c r="J28" i="59"/>
  <c r="K28" i="59"/>
  <c r="O28" i="59"/>
  <c r="U28" i="59"/>
  <c r="P28" i="59"/>
  <c r="Q28" i="59"/>
  <c r="R28" i="59"/>
  <c r="S28" i="59"/>
  <c r="B29" i="59"/>
  <c r="V29" i="59"/>
  <c r="C29" i="59"/>
  <c r="N29" i="59"/>
  <c r="D29" i="59"/>
  <c r="E29" i="59"/>
  <c r="G29" i="59"/>
  <c r="M29" i="59"/>
  <c r="H29" i="59"/>
  <c r="I29" i="59"/>
  <c r="J29" i="59"/>
  <c r="K29" i="59"/>
  <c r="O29" i="59"/>
  <c r="U29" i="59"/>
  <c r="P29" i="59"/>
  <c r="Q29" i="59"/>
  <c r="R29" i="59"/>
  <c r="S29" i="59"/>
  <c r="B30" i="59"/>
  <c r="C30" i="59"/>
  <c r="D30" i="59"/>
  <c r="E30" i="59"/>
  <c r="G30" i="59"/>
  <c r="H30" i="59"/>
  <c r="I30" i="59"/>
  <c r="J30" i="59"/>
  <c r="K30" i="59"/>
  <c r="P30" i="59"/>
  <c r="Q30" i="59"/>
  <c r="R30" i="59"/>
  <c r="S30" i="59"/>
  <c r="B31" i="59"/>
  <c r="C31" i="59"/>
  <c r="D31" i="59"/>
  <c r="E31" i="59"/>
  <c r="G31" i="59"/>
  <c r="H31" i="59"/>
  <c r="I31" i="59"/>
  <c r="M31" i="59"/>
  <c r="J31" i="59"/>
  <c r="K31" i="59"/>
  <c r="P31" i="59"/>
  <c r="Q31" i="59"/>
  <c r="R31" i="59"/>
  <c r="S31" i="59"/>
  <c r="B32" i="59"/>
  <c r="F32" i="59"/>
  <c r="C32" i="59"/>
  <c r="L32" i="59"/>
  <c r="D32" i="59"/>
  <c r="E32" i="59"/>
  <c r="G32" i="59"/>
  <c r="M32" i="59"/>
  <c r="H32" i="59"/>
  <c r="I32" i="59"/>
  <c r="J32" i="59"/>
  <c r="K32" i="59"/>
  <c r="O32" i="59"/>
  <c r="U32" i="59"/>
  <c r="P32" i="59"/>
  <c r="Q32" i="59"/>
  <c r="R32" i="59"/>
  <c r="S32" i="59"/>
  <c r="B33" i="59"/>
  <c r="E33" i="59"/>
  <c r="C33" i="59"/>
  <c r="L33" i="59"/>
  <c r="D33" i="59"/>
  <c r="X28" i="53"/>
  <c r="H33" i="59"/>
  <c r="I33" i="59"/>
  <c r="J33" i="59"/>
  <c r="K33" i="59"/>
  <c r="Z153" i="53"/>
  <c r="Z154" i="53"/>
  <c r="AE154" i="53"/>
  <c r="Z155" i="53"/>
  <c r="AE155" i="53"/>
  <c r="Z156" i="53"/>
  <c r="AE156" i="53"/>
  <c r="P22" i="55"/>
  <c r="S22" i="55"/>
  <c r="P30" i="55"/>
  <c r="S30" i="55"/>
  <c r="AE11" i="53"/>
  <c r="Z15" i="53"/>
  <c r="Z17" i="53"/>
  <c r="Z18" i="53"/>
  <c r="AE18" i="53"/>
  <c r="Z23" i="53"/>
  <c r="AE23" i="53"/>
  <c r="Z24" i="53"/>
  <c r="Z25" i="53"/>
  <c r="Z26" i="53"/>
  <c r="P64" i="55"/>
  <c r="Z27" i="53"/>
  <c r="AE27" i="53"/>
  <c r="Z28" i="53"/>
  <c r="Z29" i="53"/>
  <c r="P150" i="55"/>
  <c r="S150" i="55"/>
  <c r="Z30" i="53"/>
  <c r="AE30" i="53"/>
  <c r="Z31" i="53"/>
  <c r="Z32" i="53"/>
  <c r="AE32" i="53"/>
  <c r="Z33" i="53"/>
  <c r="Z35" i="53"/>
  <c r="Z36" i="53"/>
  <c r="Z37" i="53"/>
  <c r="AE37" i="53"/>
  <c r="Z38" i="53"/>
  <c r="AE38" i="53"/>
  <c r="P51" i="55"/>
  <c r="Z39" i="53"/>
  <c r="AE39" i="53"/>
  <c r="Z40" i="53"/>
  <c r="AE40" i="53"/>
  <c r="Z43" i="53"/>
  <c r="Z45" i="53"/>
  <c r="Z46" i="53"/>
  <c r="Z48" i="53"/>
  <c r="Z49" i="53"/>
  <c r="O55" i="59"/>
  <c r="AE46" i="53"/>
  <c r="P130" i="55"/>
  <c r="S130" i="55"/>
  <c r="Z47" i="53"/>
  <c r="AE47" i="53"/>
  <c r="AE48" i="53"/>
  <c r="Z51" i="53"/>
  <c r="Z52" i="53"/>
  <c r="Z53" i="53"/>
  <c r="P71" i="55"/>
  <c r="Z54" i="53"/>
  <c r="AE54" i="53"/>
  <c r="Z55" i="53"/>
  <c r="AE55" i="53"/>
  <c r="Z56" i="53"/>
  <c r="AE56" i="53"/>
  <c r="Z57" i="53"/>
  <c r="AE57" i="53"/>
  <c r="Z58" i="53"/>
  <c r="Z59" i="53"/>
  <c r="P72" i="55"/>
  <c r="Z60" i="53"/>
  <c r="AE60" i="53"/>
  <c r="Z61" i="53"/>
  <c r="AE61" i="53"/>
  <c r="Z62" i="53"/>
  <c r="AE62" i="53"/>
  <c r="P74" i="55"/>
  <c r="Z63" i="53"/>
  <c r="Z64" i="53"/>
  <c r="Z65" i="53"/>
  <c r="P78" i="55"/>
  <c r="S78" i="55"/>
  <c r="Z66" i="53"/>
  <c r="Z70" i="53"/>
  <c r="AE70" i="53"/>
  <c r="P75" i="55"/>
  <c r="Z72" i="53"/>
  <c r="AE72" i="53"/>
  <c r="Z73" i="53"/>
  <c r="AE73" i="53"/>
  <c r="Z74" i="53"/>
  <c r="Z75" i="53"/>
  <c r="Z76" i="53"/>
  <c r="P41" i="55"/>
  <c r="Z77" i="53"/>
  <c r="AE77" i="53"/>
  <c r="Z78" i="53"/>
  <c r="P84" i="55"/>
  <c r="S84" i="55"/>
  <c r="Z79" i="53"/>
  <c r="AE79" i="53"/>
  <c r="Z80" i="53"/>
  <c r="AE80" i="53"/>
  <c r="Z82" i="53"/>
  <c r="Z83" i="53"/>
  <c r="Z84" i="53"/>
  <c r="AE84" i="53"/>
  <c r="Z85" i="53"/>
  <c r="AE85" i="53"/>
  <c r="Z86" i="53"/>
  <c r="AE86" i="53"/>
  <c r="Z87" i="53"/>
  <c r="AE87" i="53"/>
  <c r="Z88" i="53"/>
  <c r="AE88" i="53"/>
  <c r="Z89" i="53"/>
  <c r="AE89" i="53"/>
  <c r="Z90" i="53"/>
  <c r="AE90" i="53"/>
  <c r="P90" i="55"/>
  <c r="Z91" i="53"/>
  <c r="AE91" i="53"/>
  <c r="Z92" i="53"/>
  <c r="Z93" i="53"/>
  <c r="AE93" i="53"/>
  <c r="Z94" i="53"/>
  <c r="AE94" i="53"/>
  <c r="Z95" i="53"/>
  <c r="AE95" i="53"/>
  <c r="Z96" i="53"/>
  <c r="AE96" i="53"/>
  <c r="Z97" i="53"/>
  <c r="Z98" i="53"/>
  <c r="AE98" i="53"/>
  <c r="Z99" i="53"/>
  <c r="Z100" i="53"/>
  <c r="AE100" i="53"/>
  <c r="Z101" i="53"/>
  <c r="AE101" i="53"/>
  <c r="Z102" i="53"/>
  <c r="AE102" i="53"/>
  <c r="Z103" i="53"/>
  <c r="Z104" i="53"/>
  <c r="AE104" i="53"/>
  <c r="Z107" i="53"/>
  <c r="AE107" i="53"/>
  <c r="Z108" i="53"/>
  <c r="AE108" i="53"/>
  <c r="Z109" i="53"/>
  <c r="AE109" i="53"/>
  <c r="Z110" i="53"/>
  <c r="AE110" i="53"/>
  <c r="Z111" i="53"/>
  <c r="AE111" i="53"/>
  <c r="Z112" i="53"/>
  <c r="AE112" i="53"/>
  <c r="Z113" i="53"/>
  <c r="Z114" i="53"/>
  <c r="AE114" i="53"/>
  <c r="Z115" i="53"/>
  <c r="Z116" i="53"/>
  <c r="AE116" i="53"/>
  <c r="Z117" i="53"/>
  <c r="AE117" i="53"/>
  <c r="Z118" i="53"/>
  <c r="AE118" i="53"/>
  <c r="Z119" i="53"/>
  <c r="Z120" i="53"/>
  <c r="Z121" i="53"/>
  <c r="Z122" i="53"/>
  <c r="P120" i="55"/>
  <c r="AE121" i="53"/>
  <c r="AE122" i="53"/>
  <c r="Z124" i="53"/>
  <c r="AE124" i="53"/>
  <c r="Z125" i="53"/>
  <c r="AE125" i="53"/>
  <c r="Z126" i="53"/>
  <c r="AE126" i="53"/>
  <c r="Z127" i="53"/>
  <c r="AE127" i="53"/>
  <c r="Z129" i="53"/>
  <c r="AE129" i="53"/>
  <c r="Z130" i="53"/>
  <c r="AE130" i="53"/>
  <c r="Z131" i="53"/>
  <c r="Z132" i="53"/>
  <c r="AE132" i="53"/>
  <c r="Z133" i="53"/>
  <c r="AE133" i="53"/>
  <c r="Z134" i="53"/>
  <c r="Z135" i="53"/>
  <c r="AE135" i="53"/>
  <c r="Z136" i="53"/>
  <c r="AE136" i="53"/>
  <c r="Z137" i="53"/>
  <c r="AE137" i="53"/>
  <c r="Z138" i="53"/>
  <c r="Z139" i="53"/>
  <c r="AE139" i="53"/>
  <c r="Z140" i="53"/>
  <c r="Z141" i="53"/>
  <c r="AE141" i="53"/>
  <c r="Z142" i="53"/>
  <c r="AE142" i="53"/>
  <c r="Z143" i="53"/>
  <c r="Z144" i="53"/>
  <c r="AE144" i="53"/>
  <c r="Z145" i="53"/>
  <c r="Z146" i="53"/>
  <c r="AE146" i="53"/>
  <c r="Z147" i="53"/>
  <c r="Z148" i="53"/>
  <c r="Z149" i="53"/>
  <c r="AE149" i="53"/>
  <c r="Z150" i="53"/>
  <c r="Z151" i="53"/>
  <c r="AE151" i="53"/>
  <c r="Z152" i="53"/>
  <c r="O12" i="59"/>
  <c r="U12" i="59"/>
  <c r="Z157" i="53"/>
  <c r="AE157" i="53"/>
  <c r="Z158" i="53"/>
  <c r="AE158" i="53"/>
  <c r="Z159" i="53"/>
  <c r="AE159" i="53"/>
  <c r="Z160" i="53"/>
  <c r="AE160" i="53"/>
  <c r="Z161" i="53"/>
  <c r="AE161" i="53"/>
  <c r="Z162" i="53"/>
  <c r="AE162" i="53"/>
  <c r="Z163" i="53"/>
  <c r="P122" i="55"/>
  <c r="Z164" i="53"/>
  <c r="Z165" i="53"/>
  <c r="P65" i="55"/>
  <c r="S65" i="55"/>
  <c r="Z166" i="53"/>
  <c r="P112" i="55"/>
  <c r="Z167" i="53"/>
  <c r="AE167" i="53"/>
  <c r="Z168" i="53"/>
  <c r="P103" i="55"/>
  <c r="Z169" i="53"/>
  <c r="P151" i="55"/>
  <c r="S151" i="55"/>
  <c r="Z170" i="53"/>
  <c r="AE170" i="53"/>
  <c r="P33" i="59"/>
  <c r="Q33" i="59"/>
  <c r="R33" i="59"/>
  <c r="S33" i="59"/>
  <c r="B34" i="59"/>
  <c r="T34" i="59"/>
  <c r="C34" i="59"/>
  <c r="L34" i="59"/>
  <c r="D34" i="59"/>
  <c r="E34" i="59"/>
  <c r="G34" i="59"/>
  <c r="M34" i="59"/>
  <c r="H34" i="59"/>
  <c r="I34" i="59"/>
  <c r="J34" i="59"/>
  <c r="K34" i="59"/>
  <c r="O34" i="59"/>
  <c r="U34" i="59"/>
  <c r="P34" i="59"/>
  <c r="Q34" i="59"/>
  <c r="R34" i="59"/>
  <c r="S34" i="59"/>
  <c r="B35" i="59"/>
  <c r="C35" i="59"/>
  <c r="D35" i="59"/>
  <c r="E35" i="59"/>
  <c r="G35" i="59"/>
  <c r="H35" i="59"/>
  <c r="I35" i="59"/>
  <c r="M35" i="59"/>
  <c r="J35" i="59"/>
  <c r="K35" i="59"/>
  <c r="P35" i="59"/>
  <c r="Q35" i="59"/>
  <c r="R35" i="59"/>
  <c r="S35" i="59"/>
  <c r="B36" i="59"/>
  <c r="C36" i="59"/>
  <c r="D36" i="59"/>
  <c r="E36" i="59"/>
  <c r="G36" i="59"/>
  <c r="H36" i="59"/>
  <c r="I36" i="59"/>
  <c r="M36" i="59"/>
  <c r="J36" i="59"/>
  <c r="K36" i="59"/>
  <c r="P36" i="59"/>
  <c r="Q36" i="59"/>
  <c r="R36" i="59"/>
  <c r="S36" i="59"/>
  <c r="B39" i="59"/>
  <c r="F39" i="59"/>
  <c r="C39" i="59"/>
  <c r="N39" i="59"/>
  <c r="D39" i="59"/>
  <c r="E39" i="59"/>
  <c r="G39" i="59"/>
  <c r="M39" i="59"/>
  <c r="H39" i="59"/>
  <c r="I39" i="59"/>
  <c r="J39" i="59"/>
  <c r="K39" i="59"/>
  <c r="O39" i="59"/>
  <c r="U39" i="59"/>
  <c r="P39" i="59"/>
  <c r="Q39" i="59"/>
  <c r="R39" i="59"/>
  <c r="S39"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E12" i="59"/>
  <c r="F12" i="59"/>
  <c r="C12" i="59"/>
  <c r="D12" i="59"/>
  <c r="H12" i="59"/>
  <c r="I12" i="59"/>
  <c r="J12" i="59"/>
  <c r="K12" i="59"/>
  <c r="P12" i="59"/>
  <c r="Q12" i="59"/>
  <c r="R12" i="59"/>
  <c r="S12" i="59"/>
  <c r="B36" i="55"/>
  <c r="C36" i="55"/>
  <c r="D36" i="55" a="1"/>
  <c r="D36" i="55"/>
  <c r="G36" i="55"/>
  <c r="E36" i="55"/>
  <c r="F36" i="55"/>
  <c r="I36" i="55"/>
  <c r="J36" i="55"/>
  <c r="Q36" i="55"/>
  <c r="B37" i="55"/>
  <c r="G33" i="53"/>
  <c r="D37" i="55" a="1"/>
  <c r="D37" i="55"/>
  <c r="G37" i="55"/>
  <c r="E37" i="55"/>
  <c r="F37" i="55"/>
  <c r="I37" i="55"/>
  <c r="J37" i="55"/>
  <c r="Q37" i="55"/>
  <c r="B38" i="55"/>
  <c r="C38" i="55"/>
  <c r="G14" i="53"/>
  <c r="D38" i="55" a="1"/>
  <c r="D38" i="55"/>
  <c r="H38" i="55"/>
  <c r="E38" i="55"/>
  <c r="F38" i="55"/>
  <c r="I38" i="55"/>
  <c r="J38" i="55"/>
  <c r="Q38" i="55"/>
  <c r="B39" i="55"/>
  <c r="C39" i="55"/>
  <c r="D39" i="55" a="1"/>
  <c r="D39" i="55"/>
  <c r="E39" i="55"/>
  <c r="F39" i="55"/>
  <c r="I39" i="55"/>
  <c r="J39" i="55"/>
  <c r="Q39" i="55"/>
  <c r="B40" i="55"/>
  <c r="C40" i="55"/>
  <c r="D40" i="55" a="1"/>
  <c r="D40" i="55"/>
  <c r="E40" i="55"/>
  <c r="F40" i="55"/>
  <c r="I40" i="55"/>
  <c r="J40" i="55"/>
  <c r="Q40" i="55"/>
  <c r="C41" i="55"/>
  <c r="D41" i="55" a="1"/>
  <c r="D41" i="55"/>
  <c r="G41" i="55"/>
  <c r="E41" i="55"/>
  <c r="F41" i="55"/>
  <c r="I41" i="55"/>
  <c r="J41" i="55"/>
  <c r="Q41" i="55"/>
  <c r="B42" i="55"/>
  <c r="C42" i="55"/>
  <c r="D42" i="55" a="1"/>
  <c r="D42" i="55"/>
  <c r="E42" i="55"/>
  <c r="F42" i="55"/>
  <c r="I42" i="55"/>
  <c r="J42" i="55"/>
  <c r="Q42" i="55"/>
  <c r="B43" i="55"/>
  <c r="C43" i="55"/>
  <c r="D43" i="55" a="1"/>
  <c r="D43" i="55"/>
  <c r="K43" i="55" a="1"/>
  <c r="E43" i="55"/>
  <c r="F43" i="55"/>
  <c r="I43" i="55"/>
  <c r="J43" i="55"/>
  <c r="R43" i="55"/>
  <c r="Q43" i="55"/>
  <c r="B44" i="55"/>
  <c r="C44" i="55"/>
  <c r="D44" i="55" a="1"/>
  <c r="D44" i="55"/>
  <c r="H44" i="55"/>
  <c r="E44" i="55"/>
  <c r="F44" i="55"/>
  <c r="I44" i="55"/>
  <c r="J44" i="55"/>
  <c r="Q44" i="55"/>
  <c r="B45" i="55"/>
  <c r="C45" i="55"/>
  <c r="D45" i="55" a="1"/>
  <c r="D45" i="55"/>
  <c r="E45" i="55"/>
  <c r="F45" i="55"/>
  <c r="I45" i="55"/>
  <c r="J45" i="55"/>
  <c r="Q45" i="55"/>
  <c r="B46" i="55"/>
  <c r="G22" i="53"/>
  <c r="D46" i="55" a="1"/>
  <c r="D46" i="55"/>
  <c r="E46" i="55"/>
  <c r="F46" i="55"/>
  <c r="I46" i="55"/>
  <c r="J46" i="55"/>
  <c r="Q46" i="55"/>
  <c r="B47" i="55"/>
  <c r="C47" i="55"/>
  <c r="D47" i="55" a="1"/>
  <c r="D47" i="55"/>
  <c r="E47" i="55"/>
  <c r="F47" i="55"/>
  <c r="I47" i="55"/>
  <c r="J47" i="55"/>
  <c r="Q47" i="55"/>
  <c r="B48" i="55"/>
  <c r="C48" i="55"/>
  <c r="D48" i="55" a="1"/>
  <c r="D48" i="55"/>
  <c r="E48" i="55"/>
  <c r="F48" i="55"/>
  <c r="I48" i="55"/>
  <c r="J48" i="55"/>
  <c r="Q48" i="55"/>
  <c r="B49" i="55"/>
  <c r="C49" i="55"/>
  <c r="D49" i="55" a="1"/>
  <c r="D49" i="55"/>
  <c r="E49" i="55"/>
  <c r="F49" i="55"/>
  <c r="I49" i="55"/>
  <c r="J49" i="55"/>
  <c r="Q49" i="55"/>
  <c r="B50" i="55"/>
  <c r="C50" i="55"/>
  <c r="G35" i="53"/>
  <c r="D50" i="55" a="1"/>
  <c r="D50" i="55"/>
  <c r="E50" i="55"/>
  <c r="F50" i="55"/>
  <c r="I50" i="55"/>
  <c r="J50" i="55"/>
  <c r="Q50" i="55"/>
  <c r="B51" i="55"/>
  <c r="D51" i="55" a="1"/>
  <c r="D51" i="55"/>
  <c r="E51" i="55"/>
  <c r="F51" i="55"/>
  <c r="I51" i="55"/>
  <c r="J51" i="55"/>
  <c r="Q51" i="55"/>
  <c r="B52" i="55"/>
  <c r="D52" i="55" a="1"/>
  <c r="D52" i="55"/>
  <c r="E52" i="55"/>
  <c r="F52" i="55"/>
  <c r="I52" i="55"/>
  <c r="J52" i="55"/>
  <c r="Q52" i="55"/>
  <c r="B53" i="55"/>
  <c r="C53" i="55"/>
  <c r="D53" i="55" a="1"/>
  <c r="D53" i="55"/>
  <c r="E53" i="55"/>
  <c r="F53" i="55"/>
  <c r="I53" i="55"/>
  <c r="J53" i="55"/>
  <c r="Q53" i="55"/>
  <c r="B54" i="55"/>
  <c r="C54" i="55"/>
  <c r="D54" i="55" a="1"/>
  <c r="D54" i="55"/>
  <c r="H54" i="55"/>
  <c r="E54" i="55"/>
  <c r="F54" i="55"/>
  <c r="I54" i="55"/>
  <c r="J54" i="55"/>
  <c r="Q54" i="55"/>
  <c r="B55" i="55"/>
  <c r="C55" i="55"/>
  <c r="D55" i="55" a="1"/>
  <c r="D55" i="55"/>
  <c r="E55" i="55"/>
  <c r="F55" i="55"/>
  <c r="I55" i="55"/>
  <c r="J55" i="55"/>
  <c r="Q55" i="55"/>
  <c r="B56" i="55"/>
  <c r="C56" i="55"/>
  <c r="D56" i="55" a="1"/>
  <c r="D56" i="55"/>
  <c r="E56" i="55"/>
  <c r="F56" i="55"/>
  <c r="I56" i="55"/>
  <c r="J56" i="55"/>
  <c r="Q56" i="55"/>
  <c r="B57" i="55"/>
  <c r="C57" i="55"/>
  <c r="D57" i="55" a="1"/>
  <c r="D57" i="55"/>
  <c r="E57" i="55"/>
  <c r="F57" i="55"/>
  <c r="I57" i="55"/>
  <c r="J57" i="55"/>
  <c r="Q57" i="55"/>
  <c r="B58" i="55"/>
  <c r="C58" i="55"/>
  <c r="G43" i="53"/>
  <c r="D58" i="55" a="1"/>
  <c r="D58" i="55"/>
  <c r="E58" i="55"/>
  <c r="F58" i="55"/>
  <c r="I58" i="55"/>
  <c r="J58" i="55"/>
  <c r="Q58" i="55"/>
  <c r="B59" i="55"/>
  <c r="C59" i="55"/>
  <c r="D59" i="55" a="1"/>
  <c r="D59" i="55"/>
  <c r="E59" i="55"/>
  <c r="F59" i="55"/>
  <c r="I59" i="55"/>
  <c r="J59" i="55"/>
  <c r="Q59" i="55"/>
  <c r="B60" i="55"/>
  <c r="D60" i="55" a="1"/>
  <c r="D60" i="55"/>
  <c r="E60" i="55"/>
  <c r="F60" i="55"/>
  <c r="I60" i="55"/>
  <c r="J60" i="55"/>
  <c r="Q60" i="55"/>
  <c r="B61" i="55"/>
  <c r="C61" i="55"/>
  <c r="D61" i="55" a="1"/>
  <c r="D61" i="55"/>
  <c r="G61" i="55"/>
  <c r="E61" i="55"/>
  <c r="F61" i="55"/>
  <c r="I61" i="55"/>
  <c r="J61" i="55"/>
  <c r="Q61" i="55"/>
  <c r="B62" i="55"/>
  <c r="C62" i="55"/>
  <c r="D62" i="55" a="1"/>
  <c r="D62" i="55"/>
  <c r="E62" i="55"/>
  <c r="F62" i="55"/>
  <c r="I62" i="55"/>
  <c r="J62" i="55"/>
  <c r="Q62" i="55"/>
  <c r="B63" i="55"/>
  <c r="C63" i="55"/>
  <c r="D63" i="55" a="1"/>
  <c r="D63" i="55"/>
  <c r="G63" i="55"/>
  <c r="E63" i="55"/>
  <c r="F63" i="55"/>
  <c r="I63" i="55"/>
  <c r="J63" i="55"/>
  <c r="Q63" i="55"/>
  <c r="B64" i="55"/>
  <c r="C64" i="55"/>
  <c r="D64" i="55" a="1"/>
  <c r="D64" i="55"/>
  <c r="E64" i="55"/>
  <c r="F64" i="55"/>
  <c r="I64" i="55"/>
  <c r="J64" i="55"/>
  <c r="Q64" i="55"/>
  <c r="B65" i="55"/>
  <c r="C65" i="55"/>
  <c r="D65" i="55" a="1"/>
  <c r="D65" i="55"/>
  <c r="E65" i="55"/>
  <c r="F65" i="55"/>
  <c r="I65" i="55"/>
  <c r="J65" i="55"/>
  <c r="Q65" i="55"/>
  <c r="B66" i="55"/>
  <c r="D66" i="55" a="1"/>
  <c r="D66" i="55"/>
  <c r="E66" i="55"/>
  <c r="F66" i="55"/>
  <c r="I66" i="55"/>
  <c r="J66" i="55"/>
  <c r="Q66" i="55"/>
  <c r="B67" i="55"/>
  <c r="C67" i="55"/>
  <c r="D67" i="55" a="1"/>
  <c r="D67" i="55"/>
  <c r="H67" i="55"/>
  <c r="E67" i="55"/>
  <c r="F67" i="55"/>
  <c r="I67" i="55"/>
  <c r="J67" i="55"/>
  <c r="Q67" i="55"/>
  <c r="B68" i="55"/>
  <c r="C68" i="55"/>
  <c r="D68" i="55" a="1"/>
  <c r="D68" i="55"/>
  <c r="E68" i="55"/>
  <c r="F68" i="55"/>
  <c r="I68" i="55"/>
  <c r="J68" i="55"/>
  <c r="P68" i="55"/>
  <c r="Q68" i="55"/>
  <c r="B69" i="55"/>
  <c r="C69" i="55"/>
  <c r="D69" i="55" a="1"/>
  <c r="D69" i="55"/>
  <c r="E69" i="55"/>
  <c r="F69" i="55"/>
  <c r="I69" i="55"/>
  <c r="J69" i="55"/>
  <c r="Q69" i="55"/>
  <c r="B70" i="55"/>
  <c r="C70" i="55"/>
  <c r="D70" i="55" a="1"/>
  <c r="D70" i="55"/>
  <c r="E70" i="55"/>
  <c r="F70" i="55"/>
  <c r="I70" i="55"/>
  <c r="J70" i="55"/>
  <c r="Q70" i="55"/>
  <c r="B71" i="55"/>
  <c r="C71" i="55"/>
  <c r="D71" i="55" a="1"/>
  <c r="D71" i="55"/>
  <c r="G71" i="55"/>
  <c r="E71" i="55"/>
  <c r="F71" i="55"/>
  <c r="I71" i="55"/>
  <c r="J71" i="55"/>
  <c r="Q71" i="55"/>
  <c r="B72" i="55"/>
  <c r="C72" i="55"/>
  <c r="D72" i="55" a="1"/>
  <c r="D72" i="55"/>
  <c r="E72" i="55"/>
  <c r="F72" i="55"/>
  <c r="I72" i="55"/>
  <c r="J72" i="55"/>
  <c r="Q72" i="55"/>
  <c r="B73" i="55"/>
  <c r="C73" i="55"/>
  <c r="G60" i="53"/>
  <c r="D73" i="55" a="1"/>
  <c r="D73" i="55"/>
  <c r="E73" i="55"/>
  <c r="F73" i="55"/>
  <c r="I73" i="55"/>
  <c r="J73" i="55"/>
  <c r="Q73" i="55"/>
  <c r="B74" i="55"/>
  <c r="C74" i="55"/>
  <c r="G66" i="53"/>
  <c r="D74" i="55" a="1"/>
  <c r="D74" i="55"/>
  <c r="H74" i="55"/>
  <c r="E74" i="55"/>
  <c r="F74" i="55"/>
  <c r="I74" i="55"/>
  <c r="J74" i="55"/>
  <c r="Q74" i="55"/>
  <c r="B75" i="55"/>
  <c r="C75" i="55"/>
  <c r="D75" i="55" a="1"/>
  <c r="D75" i="55"/>
  <c r="E75" i="55"/>
  <c r="F75" i="55"/>
  <c r="I75" i="55"/>
  <c r="J75" i="55"/>
  <c r="Q75" i="55"/>
  <c r="B76" i="55"/>
  <c r="C76" i="55"/>
  <c r="G55" i="53"/>
  <c r="D76" i="55" a="1"/>
  <c r="D76" i="55"/>
  <c r="H76" i="55"/>
  <c r="E76" i="55"/>
  <c r="F76" i="55"/>
  <c r="I76" i="55"/>
  <c r="J76" i="55"/>
  <c r="Q76" i="55"/>
  <c r="B77" i="55"/>
  <c r="C77" i="55"/>
  <c r="D77" i="55" a="1"/>
  <c r="D77" i="55"/>
  <c r="E77" i="55"/>
  <c r="F77" i="55"/>
  <c r="I77" i="55"/>
  <c r="J77" i="55"/>
  <c r="Q77" i="55"/>
  <c r="B78" i="55"/>
  <c r="C78" i="55"/>
  <c r="D78" i="55" a="1"/>
  <c r="D78" i="55"/>
  <c r="G78" i="55"/>
  <c r="E78" i="55"/>
  <c r="F78" i="55"/>
  <c r="I78" i="55"/>
  <c r="J78" i="55"/>
  <c r="Q78" i="55"/>
  <c r="B79" i="55"/>
  <c r="C79" i="55"/>
  <c r="D79" i="55" a="1"/>
  <c r="D79" i="55"/>
  <c r="E79" i="55"/>
  <c r="F79" i="55"/>
  <c r="I79" i="55"/>
  <c r="J79" i="55"/>
  <c r="Q79" i="55"/>
  <c r="B80" i="55"/>
  <c r="G74" i="53"/>
  <c r="D80" i="55" a="1"/>
  <c r="D80" i="55"/>
  <c r="E80" i="55"/>
  <c r="F80" i="55"/>
  <c r="I80" i="55"/>
  <c r="J80" i="55"/>
  <c r="Q80" i="55"/>
  <c r="B81" i="55"/>
  <c r="G72" i="53"/>
  <c r="D81" i="55" a="1"/>
  <c r="D81" i="55"/>
  <c r="G81" i="55"/>
  <c r="E81" i="55"/>
  <c r="F81" i="55"/>
  <c r="I81" i="55"/>
  <c r="J81" i="55"/>
  <c r="Q81" i="55"/>
  <c r="B82" i="55"/>
  <c r="D82" i="55" a="1"/>
  <c r="D82" i="55"/>
  <c r="H82" i="55"/>
  <c r="E82" i="55"/>
  <c r="F82" i="55"/>
  <c r="I82" i="55"/>
  <c r="J82" i="55"/>
  <c r="Q82" i="55"/>
  <c r="B83" i="55"/>
  <c r="C83" i="55"/>
  <c r="G109" i="53"/>
  <c r="G75" i="53"/>
  <c r="D83" i="55" a="1"/>
  <c r="D83" i="55"/>
  <c r="E83" i="55"/>
  <c r="F83" i="55"/>
  <c r="I83" i="55"/>
  <c r="J83" i="55"/>
  <c r="Q83" i="55"/>
  <c r="B84" i="55"/>
  <c r="C84" i="55"/>
  <c r="G78" i="53"/>
  <c r="D84" i="55" a="1"/>
  <c r="D84" i="55"/>
  <c r="E84" i="55"/>
  <c r="F84" i="55"/>
  <c r="I84" i="55"/>
  <c r="J84" i="55"/>
  <c r="Q84" i="55"/>
  <c r="B85" i="55"/>
  <c r="C85" i="55"/>
  <c r="G79" i="53"/>
  <c r="D85" i="55" a="1"/>
  <c r="D85" i="55"/>
  <c r="E85" i="55"/>
  <c r="F85" i="55"/>
  <c r="I85" i="55"/>
  <c r="J85" i="55"/>
  <c r="Q85" i="55"/>
  <c r="B86" i="55"/>
  <c r="C86" i="55"/>
  <c r="G86" i="53"/>
  <c r="D86" i="55" a="1"/>
  <c r="D86" i="55"/>
  <c r="H86" i="55"/>
  <c r="E86" i="55"/>
  <c r="F86" i="55"/>
  <c r="I86" i="55"/>
  <c r="J86" i="55"/>
  <c r="Q86" i="55"/>
  <c r="B87" i="55"/>
  <c r="C87" i="55"/>
  <c r="G76" i="53"/>
  <c r="D87" i="55" a="1"/>
  <c r="D87" i="55"/>
  <c r="H87" i="55"/>
  <c r="E87" i="55"/>
  <c r="F87" i="55"/>
  <c r="I87" i="55"/>
  <c r="J87" i="55"/>
  <c r="Q87" i="55"/>
  <c r="B88" i="55"/>
  <c r="C88" i="55"/>
  <c r="G98" i="53"/>
  <c r="D88" i="55" a="1"/>
  <c r="D88" i="55"/>
  <c r="H88" i="55"/>
  <c r="E88" i="55"/>
  <c r="F88" i="55"/>
  <c r="I88" i="55"/>
  <c r="J88" i="55"/>
  <c r="Q88" i="55"/>
  <c r="B89" i="55"/>
  <c r="C89" i="55"/>
  <c r="D89" i="55" a="1"/>
  <c r="D89" i="55"/>
  <c r="E89" i="55"/>
  <c r="F89" i="55"/>
  <c r="I89" i="55"/>
  <c r="J89" i="55"/>
  <c r="Q89" i="55"/>
  <c r="B90" i="55"/>
  <c r="C90" i="55"/>
  <c r="D90" i="55" a="1"/>
  <c r="D90" i="55"/>
  <c r="H90" i="55"/>
  <c r="E90" i="55"/>
  <c r="F90" i="55"/>
  <c r="I90" i="55"/>
  <c r="J90" i="55"/>
  <c r="R90" i="55"/>
  <c r="Q90" i="55"/>
  <c r="B91" i="55"/>
  <c r="C91" i="55"/>
  <c r="G137" i="53"/>
  <c r="D91" i="55" a="1"/>
  <c r="D91" i="55"/>
  <c r="H91" i="55"/>
  <c r="E91" i="55"/>
  <c r="F91" i="55"/>
  <c r="I91" i="55"/>
  <c r="J91" i="55"/>
  <c r="Q91" i="55"/>
  <c r="B92" i="55"/>
  <c r="C92" i="55"/>
  <c r="G139" i="53"/>
  <c r="D92" i="55" a="1"/>
  <c r="D92" i="55"/>
  <c r="H92" i="55"/>
  <c r="E92" i="55"/>
  <c r="F92" i="55"/>
  <c r="I92" i="55"/>
  <c r="J92" i="55"/>
  <c r="Q92" i="55"/>
  <c r="B93" i="55"/>
  <c r="C93" i="55"/>
  <c r="D93" i="55" a="1"/>
  <c r="D93" i="55"/>
  <c r="G93" i="55"/>
  <c r="E93" i="55"/>
  <c r="F93" i="55"/>
  <c r="I93" i="55"/>
  <c r="J93" i="55"/>
  <c r="Q93" i="55"/>
  <c r="B94" i="55"/>
  <c r="C94" i="55"/>
  <c r="G106" i="53"/>
  <c r="D94" i="55" a="1"/>
  <c r="D94" i="55"/>
  <c r="E94" i="55"/>
  <c r="F94" i="55"/>
  <c r="I94" i="55"/>
  <c r="Q94" i="55"/>
  <c r="B95" i="55"/>
  <c r="C95" i="55"/>
  <c r="G126" i="53"/>
  <c r="D95" i="55" a="1"/>
  <c r="D95" i="55"/>
  <c r="E95" i="55"/>
  <c r="F95" i="55"/>
  <c r="I95" i="55"/>
  <c r="J95" i="55"/>
  <c r="Q95" i="55"/>
  <c r="B96" i="55"/>
  <c r="C96" i="55"/>
  <c r="D96" i="55" a="1"/>
  <c r="D96" i="55"/>
  <c r="G96" i="55"/>
  <c r="E96" i="55"/>
  <c r="F96" i="55"/>
  <c r="I96" i="55"/>
  <c r="J96" i="55"/>
  <c r="Q96" i="55"/>
  <c r="B97" i="55"/>
  <c r="C97" i="55"/>
  <c r="D97" i="55" a="1"/>
  <c r="D97" i="55"/>
  <c r="G97" i="55"/>
  <c r="E97" i="55"/>
  <c r="F97" i="55"/>
  <c r="I97" i="55"/>
  <c r="J97" i="55"/>
  <c r="Q97" i="55"/>
  <c r="B98" i="55"/>
  <c r="C98" i="55"/>
  <c r="D98" i="55" a="1"/>
  <c r="D98" i="55"/>
  <c r="G98" i="55"/>
  <c r="E98" i="55"/>
  <c r="F98" i="55"/>
  <c r="I98" i="55"/>
  <c r="J98" i="55"/>
  <c r="Q98" i="55"/>
  <c r="B99" i="55"/>
  <c r="C99" i="55"/>
  <c r="G154" i="53"/>
  <c r="D99" i="55" a="1"/>
  <c r="D99" i="55"/>
  <c r="E99" i="55"/>
  <c r="F99" i="55"/>
  <c r="I99" i="55"/>
  <c r="J99" i="55"/>
  <c r="Q99" i="55"/>
  <c r="B100" i="55"/>
  <c r="C100" i="55"/>
  <c r="D100" i="55" a="1"/>
  <c r="D100" i="55"/>
  <c r="L181" i="53"/>
  <c r="N181" i="53"/>
  <c r="J100" i="55"/>
  <c r="K100" i="55" a="1"/>
  <c r="K100" i="55"/>
  <c r="E100" i="55"/>
  <c r="F100" i="55"/>
  <c r="I100" i="55"/>
  <c r="Q100" i="55"/>
  <c r="B101" i="55"/>
  <c r="C101" i="55"/>
  <c r="D101" i="55" a="1"/>
  <c r="D101" i="55"/>
  <c r="E101" i="55"/>
  <c r="F101" i="55"/>
  <c r="I101" i="55"/>
  <c r="J101" i="55"/>
  <c r="Q101" i="55"/>
  <c r="B102" i="55"/>
  <c r="C102" i="55"/>
  <c r="G133" i="53"/>
  <c r="D102" i="55" a="1"/>
  <c r="D102" i="55"/>
  <c r="E102" i="55"/>
  <c r="F102" i="55"/>
  <c r="I102" i="55"/>
  <c r="J102" i="55"/>
  <c r="Q102" i="55"/>
  <c r="O181" i="53"/>
  <c r="O2" i="53"/>
  <c r="B47" i="59"/>
  <c r="B4" i="59"/>
  <c r="T2" i="53"/>
  <c r="K2" i="53"/>
  <c r="G12" i="53"/>
  <c r="K46" i="59"/>
  <c r="C19" i="59"/>
  <c r="C24" i="59"/>
  <c r="D59" i="59"/>
  <c r="D46" i="59"/>
  <c r="D47" i="59"/>
  <c r="D48" i="59"/>
  <c r="D49" i="59"/>
  <c r="D54" i="59"/>
  <c r="D55" i="59"/>
  <c r="D56" i="59"/>
  <c r="D45" i="59"/>
  <c r="D44" i="59"/>
  <c r="D24" i="59"/>
  <c r="D19" i="59"/>
  <c r="D6" i="59"/>
  <c r="D7" i="59"/>
  <c r="D8" i="59"/>
  <c r="D9" i="59"/>
  <c r="D13" i="59"/>
  <c r="D14" i="59"/>
  <c r="D15" i="59"/>
  <c r="D5" i="59"/>
  <c r="D4" i="59"/>
  <c r="E8" i="59"/>
  <c r="I8" i="55"/>
  <c r="X12" i="53"/>
  <c r="AD2" i="53"/>
  <c r="AC2" i="53"/>
  <c r="AB2" i="53"/>
  <c r="AA2" i="53"/>
  <c r="W2" i="53"/>
  <c r="V2" i="53"/>
  <c r="U2" i="53"/>
  <c r="R2" i="53"/>
  <c r="S19" i="59"/>
  <c r="R19" i="59"/>
  <c r="Q19" i="59"/>
  <c r="P19" i="59"/>
  <c r="K19" i="59"/>
  <c r="J19" i="59"/>
  <c r="I19" i="59"/>
  <c r="H19" i="59"/>
  <c r="E19" i="59"/>
  <c r="B19" i="59"/>
  <c r="S15" i="59"/>
  <c r="R15" i="59"/>
  <c r="Q15" i="59"/>
  <c r="P15" i="59"/>
  <c r="K15" i="59"/>
  <c r="J15" i="59"/>
  <c r="I15" i="59"/>
  <c r="H15" i="59"/>
  <c r="E15" i="59"/>
  <c r="B15" i="59"/>
  <c r="F15" i="59"/>
  <c r="C15" i="59"/>
  <c r="S14" i="59"/>
  <c r="R14" i="59"/>
  <c r="Q14" i="59"/>
  <c r="P14" i="59"/>
  <c r="K14" i="59"/>
  <c r="J14" i="59"/>
  <c r="I14" i="59"/>
  <c r="H14" i="59"/>
  <c r="E14" i="59"/>
  <c r="C14" i="59"/>
  <c r="B14" i="59"/>
  <c r="S13" i="59"/>
  <c r="R13" i="59"/>
  <c r="Q13" i="59"/>
  <c r="B13" i="59"/>
  <c r="P13" i="59"/>
  <c r="K13" i="59"/>
  <c r="J13" i="59"/>
  <c r="I13" i="59"/>
  <c r="H13" i="59"/>
  <c r="E13" i="59"/>
  <c r="C13" i="59"/>
  <c r="N13" i="59"/>
  <c r="S9" i="59"/>
  <c r="R9" i="59"/>
  <c r="Q9" i="59"/>
  <c r="P9" i="59"/>
  <c r="K9" i="59"/>
  <c r="J9" i="59"/>
  <c r="I9" i="59"/>
  <c r="H9" i="59"/>
  <c r="E9" i="59"/>
  <c r="B9" i="59"/>
  <c r="F9" i="59"/>
  <c r="C9" i="59"/>
  <c r="S8" i="59"/>
  <c r="R8" i="59"/>
  <c r="Q8" i="59"/>
  <c r="P8" i="59"/>
  <c r="K8" i="59"/>
  <c r="J8" i="59"/>
  <c r="I8" i="59"/>
  <c r="H8" i="59"/>
  <c r="C8" i="59"/>
  <c r="B8" i="59"/>
  <c r="S7" i="59"/>
  <c r="R7" i="59"/>
  <c r="Q7" i="59"/>
  <c r="P7" i="59"/>
  <c r="K7" i="59"/>
  <c r="J7" i="59"/>
  <c r="I7" i="59"/>
  <c r="H7" i="59"/>
  <c r="C7" i="59"/>
  <c r="S6" i="59"/>
  <c r="R6" i="59"/>
  <c r="Q6" i="59"/>
  <c r="P6" i="59"/>
  <c r="K6" i="59"/>
  <c r="J6" i="59"/>
  <c r="I6" i="59"/>
  <c r="H6" i="59"/>
  <c r="E6" i="59"/>
  <c r="C6" i="59"/>
  <c r="B6" i="59"/>
  <c r="F6" i="59"/>
  <c r="S5" i="59"/>
  <c r="R5" i="59"/>
  <c r="Q5" i="59"/>
  <c r="P5" i="59"/>
  <c r="K5" i="59"/>
  <c r="J5" i="59"/>
  <c r="I5" i="59"/>
  <c r="H5" i="59"/>
  <c r="E5" i="59"/>
  <c r="C5" i="59"/>
  <c r="L5" i="59"/>
  <c r="B5" i="59"/>
  <c r="S4" i="59"/>
  <c r="R4" i="59"/>
  <c r="Q4" i="59"/>
  <c r="P4" i="59"/>
  <c r="K4" i="59"/>
  <c r="J4" i="59"/>
  <c r="I4" i="59"/>
  <c r="H4" i="59"/>
  <c r="E4" i="59"/>
  <c r="C4" i="59"/>
  <c r="I113" i="55"/>
  <c r="AG30" i="53"/>
  <c r="AG24" i="53"/>
  <c r="AG25" i="53"/>
  <c r="AG26" i="53"/>
  <c r="AG27" i="53"/>
  <c r="AG28" i="53"/>
  <c r="AG29" i="53"/>
  <c r="AG31" i="53"/>
  <c r="AG32" i="53"/>
  <c r="AG33" i="53"/>
  <c r="AG35" i="53"/>
  <c r="AG36" i="53"/>
  <c r="AG37" i="53"/>
  <c r="AG38" i="53"/>
  <c r="AG39" i="53"/>
  <c r="AG40" i="53"/>
  <c r="AG43" i="53"/>
  <c r="AG45" i="53"/>
  <c r="AG46" i="53"/>
  <c r="AG47" i="53"/>
  <c r="AG48" i="53"/>
  <c r="AG49" i="53"/>
  <c r="AG51" i="53"/>
  <c r="AG52" i="53"/>
  <c r="AG53" i="53"/>
  <c r="AG54" i="53"/>
  <c r="AG55" i="53"/>
  <c r="AG56" i="53"/>
  <c r="AG57" i="53"/>
  <c r="AG58" i="53"/>
  <c r="AG59" i="53"/>
  <c r="AG60" i="53"/>
  <c r="AG61" i="53"/>
  <c r="AG62" i="53"/>
  <c r="AG63" i="53"/>
  <c r="AG64" i="53"/>
  <c r="AG65" i="53"/>
  <c r="AG66" i="53"/>
  <c r="AG70" i="53"/>
  <c r="AG72" i="53"/>
  <c r="AG73" i="53"/>
  <c r="AG74" i="53"/>
  <c r="AG75" i="53"/>
  <c r="AG76" i="53"/>
  <c r="AG77" i="53"/>
  <c r="AG78" i="53"/>
  <c r="AG79" i="53"/>
  <c r="AG80"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7" i="53"/>
  <c r="AG108" i="53"/>
  <c r="AG109" i="53"/>
  <c r="AG110" i="53"/>
  <c r="AG111" i="53"/>
  <c r="AG112" i="53"/>
  <c r="AG113" i="53"/>
  <c r="AG114" i="53"/>
  <c r="AG115" i="53"/>
  <c r="AG116" i="53"/>
  <c r="AG117" i="53"/>
  <c r="AG118" i="53"/>
  <c r="AG119" i="53"/>
  <c r="AG120" i="53"/>
  <c r="AG121" i="53"/>
  <c r="AG122" i="53"/>
  <c r="AG124" i="53"/>
  <c r="AG125" i="53"/>
  <c r="AG126" i="53"/>
  <c r="AG127"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7" i="53"/>
  <c r="AG8" i="53"/>
  <c r="AG9" i="53"/>
  <c r="AG10" i="53"/>
  <c r="AG11" i="53"/>
  <c r="AG12" i="53"/>
  <c r="AG15" i="53"/>
  <c r="AG17" i="53"/>
  <c r="AG18" i="53"/>
  <c r="AG23" i="53"/>
  <c r="J16" i="55"/>
  <c r="J17" i="55"/>
  <c r="R17" i="55"/>
  <c r="D16" i="55" a="1"/>
  <c r="D16" i="55"/>
  <c r="H16" i="55"/>
  <c r="D17" i="55" a="1"/>
  <c r="D17" i="55"/>
  <c r="L17" i="55" a="1"/>
  <c r="L17" i="55"/>
  <c r="D9" i="55" a="1"/>
  <c r="D9" i="55"/>
  <c r="D10" i="55" a="1"/>
  <c r="D10" i="55"/>
  <c r="G10" i="55"/>
  <c r="D11" i="55" a="1"/>
  <c r="D11" i="55"/>
  <c r="J11" i="55"/>
  <c r="J12" i="55"/>
  <c r="D13" i="55" a="1"/>
  <c r="D13" i="55"/>
  <c r="D14" i="55" a="1"/>
  <c r="D14" i="55"/>
  <c r="G14" i="55"/>
  <c r="D15" i="55" a="1"/>
  <c r="D15" i="55"/>
  <c r="G15" i="55"/>
  <c r="D18" i="55" a="1"/>
  <c r="D18" i="55"/>
  <c r="D19" i="55" a="1"/>
  <c r="D19" i="55"/>
  <c r="D20" i="55" a="1"/>
  <c r="D20" i="55"/>
  <c r="D21" i="55" a="1"/>
  <c r="D21" i="55"/>
  <c r="D22" i="55" a="1"/>
  <c r="D22" i="55"/>
  <c r="H22" i="55"/>
  <c r="D23" i="55" a="1"/>
  <c r="D23" i="55"/>
  <c r="D24" i="55" a="1"/>
  <c r="D24" i="55"/>
  <c r="G24" i="55"/>
  <c r="D25" i="55" a="1"/>
  <c r="D25" i="55"/>
  <c r="D26" i="55" a="1"/>
  <c r="D26" i="55"/>
  <c r="G26" i="55"/>
  <c r="D28" i="55" a="1"/>
  <c r="D28" i="55"/>
  <c r="G28" i="55"/>
  <c r="D29" i="55" a="1"/>
  <c r="D29" i="55"/>
  <c r="D30" i="55" a="1"/>
  <c r="D30" i="55"/>
  <c r="D31" i="55" a="1"/>
  <c r="D31" i="55"/>
  <c r="H31" i="55"/>
  <c r="D32" i="55" a="1"/>
  <c r="D32" i="55"/>
  <c r="D33" i="55" a="1"/>
  <c r="D33" i="55"/>
  <c r="D34" i="55" a="1"/>
  <c r="D34" i="55"/>
  <c r="D35" i="55" a="1"/>
  <c r="D35" i="55"/>
  <c r="H35" i="55"/>
  <c r="D103" i="55" a="1"/>
  <c r="D103" i="55"/>
  <c r="D104" i="55" a="1"/>
  <c r="D104" i="55"/>
  <c r="H104" i="55"/>
  <c r="D105" i="55" a="1"/>
  <c r="D105" i="55"/>
  <c r="D106" i="55" a="1"/>
  <c r="D106" i="55"/>
  <c r="D107" i="55" a="1"/>
  <c r="D107" i="55"/>
  <c r="D108" i="55" a="1"/>
  <c r="D108" i="55"/>
  <c r="D109" i="55" a="1"/>
  <c r="D109" i="55"/>
  <c r="D110" i="55" a="1"/>
  <c r="D110" i="55"/>
  <c r="D111" i="55" a="1"/>
  <c r="D111" i="55"/>
  <c r="D112" i="55" a="1"/>
  <c r="D112" i="55"/>
  <c r="H112" i="55"/>
  <c r="D113" i="55" a="1"/>
  <c r="D113" i="55"/>
  <c r="D114" i="55" a="1"/>
  <c r="D114" i="55"/>
  <c r="D115" i="55" a="1"/>
  <c r="D115" i="55"/>
  <c r="G115" i="55"/>
  <c r="D116" i="55" a="1"/>
  <c r="D116" i="55"/>
  <c r="H116" i="55"/>
  <c r="D117" i="55" a="1"/>
  <c r="D117" i="55"/>
  <c r="G117" i="55"/>
  <c r="D118" i="55" a="1"/>
  <c r="D118" i="55"/>
  <c r="D119" i="55" a="1"/>
  <c r="D119" i="55"/>
  <c r="G119" i="55"/>
  <c r="D120" i="55" a="1"/>
  <c r="D120" i="55"/>
  <c r="D121" i="55" a="1"/>
  <c r="D121" i="55"/>
  <c r="G121" i="55"/>
  <c r="D122" i="55" a="1"/>
  <c r="D122" i="55"/>
  <c r="H122" i="55"/>
  <c r="D123" i="55" a="1"/>
  <c r="D123" i="55"/>
  <c r="H123" i="55"/>
  <c r="D124" i="55" a="1"/>
  <c r="D124" i="55"/>
  <c r="D125" i="55" a="1"/>
  <c r="D125" i="55"/>
  <c r="D126" i="55" a="1"/>
  <c r="D126" i="55"/>
  <c r="H126" i="55"/>
  <c r="D127" i="55" a="1"/>
  <c r="D127" i="55"/>
  <c r="D128" i="55" a="1"/>
  <c r="D128" i="55"/>
  <c r="D129" i="55" a="1"/>
  <c r="D129" i="55"/>
  <c r="D130" i="55" a="1"/>
  <c r="D130" i="55"/>
  <c r="D131" i="55" a="1"/>
  <c r="D131" i="55"/>
  <c r="D132" i="55" a="1"/>
  <c r="D132" i="55"/>
  <c r="D133" i="55" a="1"/>
  <c r="D133" i="55"/>
  <c r="G133" i="55"/>
  <c r="D134" i="55" a="1"/>
  <c r="D134" i="55"/>
  <c r="D135" i="55" a="1"/>
  <c r="D135" i="55"/>
  <c r="G135" i="55"/>
  <c r="D136" i="55" a="1"/>
  <c r="D136" i="55"/>
  <c r="D137" i="55" a="1"/>
  <c r="D137" i="55"/>
  <c r="D138" i="55" a="1"/>
  <c r="D138" i="55"/>
  <c r="D139" i="55" a="1"/>
  <c r="D139"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103" i="55"/>
  <c r="I104" i="55"/>
  <c r="I105" i="55"/>
  <c r="I106" i="55"/>
  <c r="I107" i="55"/>
  <c r="I108" i="55"/>
  <c r="I109" i="55"/>
  <c r="I110" i="55"/>
  <c r="I111" i="55"/>
  <c r="I112" i="55"/>
  <c r="I114" i="55"/>
  <c r="I115" i="55"/>
  <c r="I116" i="55"/>
  <c r="I117" i="55"/>
  <c r="I118" i="55"/>
  <c r="I119" i="55"/>
  <c r="I120" i="55"/>
  <c r="I121" i="55"/>
  <c r="I122" i="55"/>
  <c r="I123" i="55"/>
  <c r="I124" i="55"/>
  <c r="I125" i="55"/>
  <c r="I126" i="55"/>
  <c r="I127" i="55"/>
  <c r="I128" i="55"/>
  <c r="I129" i="55"/>
  <c r="I130" i="55"/>
  <c r="I131" i="55"/>
  <c r="I132" i="55"/>
  <c r="I133" i="55"/>
  <c r="I134" i="55"/>
  <c r="I135" i="55"/>
  <c r="I136" i="55"/>
  <c r="I137" i="55"/>
  <c r="I138" i="55"/>
  <c r="I139" i="55"/>
  <c r="I140" i="55"/>
  <c r="I54" i="59"/>
  <c r="P54"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103" i="55"/>
  <c r="Q104" i="55"/>
  <c r="Q105" i="55"/>
  <c r="Q106" i="55"/>
  <c r="Q107" i="55"/>
  <c r="Q108" i="55"/>
  <c r="Q109" i="55"/>
  <c r="Q110" i="55"/>
  <c r="Q111" i="55"/>
  <c r="Q112" i="55"/>
  <c r="Q113" i="55"/>
  <c r="Q114" i="55"/>
  <c r="Q115" i="55"/>
  <c r="Q116" i="55"/>
  <c r="Q117" i="55"/>
  <c r="Q118" i="55"/>
  <c r="Q119" i="55"/>
  <c r="Q120" i="55"/>
  <c r="Q121" i="55"/>
  <c r="Q122" i="55"/>
  <c r="Q123" i="55"/>
  <c r="Q124" i="55"/>
  <c r="Q125" i="55"/>
  <c r="Q126" i="55"/>
  <c r="Q127" i="55"/>
  <c r="Q128" i="55"/>
  <c r="Q129" i="55"/>
  <c r="Q130" i="55"/>
  <c r="Q131" i="55"/>
  <c r="Q132" i="55"/>
  <c r="Q133" i="55"/>
  <c r="Q134" i="55"/>
  <c r="Q135" i="55"/>
  <c r="Q136" i="55"/>
  <c r="Q137" i="55"/>
  <c r="Q138" i="55"/>
  <c r="Q139" i="55"/>
  <c r="Q140" i="55"/>
  <c r="Q8" i="55"/>
  <c r="P18" i="55"/>
  <c r="S18" i="55"/>
  <c r="P19" i="55"/>
  <c r="S19" i="55"/>
  <c r="P117" i="55"/>
  <c r="S117" i="55"/>
  <c r="J9" i="55"/>
  <c r="J10" i="55"/>
  <c r="K10" i="55" a="1"/>
  <c r="K10" i="55"/>
  <c r="J13" i="55"/>
  <c r="J14" i="55"/>
  <c r="J15" i="55"/>
  <c r="J18" i="55"/>
  <c r="R18" i="55"/>
  <c r="J19" i="55"/>
  <c r="R19" i="55"/>
  <c r="J20" i="55"/>
  <c r="P20" i="55"/>
  <c r="R20" i="55"/>
  <c r="J21" i="55"/>
  <c r="J22" i="55"/>
  <c r="R22" i="55"/>
  <c r="T22" i="55"/>
  <c r="J23" i="55"/>
  <c r="J24" i="55"/>
  <c r="R24" i="55"/>
  <c r="J25" i="55"/>
  <c r="R25" i="55"/>
  <c r="J26" i="55"/>
  <c r="J27" i="55"/>
  <c r="J28" i="55"/>
  <c r="J29" i="55"/>
  <c r="J30" i="55"/>
  <c r="J31" i="55"/>
  <c r="J32" i="55"/>
  <c r="J33" i="55"/>
  <c r="J34" i="55"/>
  <c r="J35" i="55"/>
  <c r="J103" i="55"/>
  <c r="R103" i="55"/>
  <c r="J104" i="55"/>
  <c r="J105" i="55"/>
  <c r="J106" i="55"/>
  <c r="J107" i="55"/>
  <c r="J108" i="55"/>
  <c r="J109" i="55"/>
  <c r="J110" i="55"/>
  <c r="J111" i="55"/>
  <c r="J112" i="55"/>
  <c r="J113" i="55"/>
  <c r="J114" i="55"/>
  <c r="J115" i="55"/>
  <c r="J116" i="55"/>
  <c r="J117" i="55"/>
  <c r="J118" i="55"/>
  <c r="J119" i="55"/>
  <c r="J120" i="55"/>
  <c r="J121" i="55"/>
  <c r="J122" i="55"/>
  <c r="R122" i="55"/>
  <c r="J123" i="55"/>
  <c r="J124" i="55"/>
  <c r="P124" i="55"/>
  <c r="S124" i="55"/>
  <c r="J125" i="55"/>
  <c r="J126" i="55"/>
  <c r="J127" i="55"/>
  <c r="J128" i="55"/>
  <c r="J129" i="55"/>
  <c r="R129" i="55"/>
  <c r="J130" i="55"/>
  <c r="R130" i="55"/>
  <c r="T130" i="55"/>
  <c r="J131" i="55"/>
  <c r="J132" i="55"/>
  <c r="P132" i="55"/>
  <c r="S132" i="55"/>
  <c r="J133" i="55"/>
  <c r="J134" i="55"/>
  <c r="J135" i="55"/>
  <c r="J136" i="55"/>
  <c r="R136" i="55"/>
  <c r="J137" i="55"/>
  <c r="J138" i="55"/>
  <c r="J139" i="55"/>
  <c r="J140" i="55"/>
  <c r="J8" i="55"/>
  <c r="P8" i="55"/>
  <c r="S8"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8" i="55"/>
  <c r="D8" i="55" a="1"/>
  <c r="D8" i="55"/>
  <c r="B14" i="55"/>
  <c r="B15" i="55"/>
  <c r="B16" i="55"/>
  <c r="B17" i="55"/>
  <c r="B18" i="55"/>
  <c r="B19" i="55"/>
  <c r="B20" i="55"/>
  <c r="B21" i="55"/>
  <c r="B22" i="55"/>
  <c r="B24" i="55"/>
  <c r="B25" i="55"/>
  <c r="B26" i="55"/>
  <c r="B27" i="55"/>
  <c r="B29" i="55"/>
  <c r="B30" i="55"/>
  <c r="B31" i="55"/>
  <c r="B32" i="55"/>
  <c r="B33" i="55"/>
  <c r="B34" i="55"/>
  <c r="B35"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6" i="55"/>
  <c r="B137" i="55"/>
  <c r="B138" i="55"/>
  <c r="B139" i="55"/>
  <c r="B140" i="55"/>
  <c r="B11" i="55"/>
  <c r="B12" i="55"/>
  <c r="N41" i="55" a="1"/>
  <c r="N41" i="55"/>
  <c r="G9" i="53"/>
  <c r="F14" i="55"/>
  <c r="F16" i="55"/>
  <c r="F22" i="55"/>
  <c r="F24" i="55"/>
  <c r="F30" i="55"/>
  <c r="F32" i="55"/>
  <c r="F105" i="55"/>
  <c r="F107" i="55"/>
  <c r="F113" i="55"/>
  <c r="F115" i="55"/>
  <c r="F120" i="55"/>
  <c r="F122" i="55"/>
  <c r="F128" i="55"/>
  <c r="F130" i="55"/>
  <c r="F136" i="55"/>
  <c r="F138" i="55"/>
  <c r="F8" i="55"/>
  <c r="F9" i="55"/>
  <c r="F10" i="55"/>
  <c r="F11" i="55"/>
  <c r="F12" i="55"/>
  <c r="F13" i="55"/>
  <c r="F15" i="55"/>
  <c r="F17" i="55"/>
  <c r="F18" i="55"/>
  <c r="F19" i="55"/>
  <c r="F20" i="55"/>
  <c r="F21" i="55"/>
  <c r="F23" i="55"/>
  <c r="F25" i="55"/>
  <c r="F26" i="55"/>
  <c r="F27" i="55"/>
  <c r="F28" i="55"/>
  <c r="F29" i="55"/>
  <c r="F31" i="55"/>
  <c r="F33" i="55"/>
  <c r="F34" i="55"/>
  <c r="F35" i="55"/>
  <c r="F103" i="55"/>
  <c r="F104" i="55"/>
  <c r="F106" i="55"/>
  <c r="F108" i="55"/>
  <c r="F109" i="55"/>
  <c r="F110" i="55"/>
  <c r="F111" i="55"/>
  <c r="F112" i="55"/>
  <c r="F114" i="55"/>
  <c r="F116" i="55"/>
  <c r="F117" i="55"/>
  <c r="F118" i="55"/>
  <c r="F119" i="55"/>
  <c r="F121" i="55"/>
  <c r="F123" i="55"/>
  <c r="F124" i="55"/>
  <c r="F125" i="55"/>
  <c r="F126" i="55"/>
  <c r="F127" i="55"/>
  <c r="F129" i="55"/>
  <c r="F131" i="55"/>
  <c r="F132" i="55"/>
  <c r="F133" i="55"/>
  <c r="F134" i="55"/>
  <c r="F135" i="55"/>
  <c r="F137" i="55"/>
  <c r="F139" i="55"/>
  <c r="F140" i="55"/>
  <c r="C15" i="55"/>
  <c r="C16" i="55"/>
  <c r="G52" i="53"/>
  <c r="C17" i="55"/>
  <c r="C18" i="55"/>
  <c r="C19" i="55"/>
  <c r="C20" i="55"/>
  <c r="C21" i="55"/>
  <c r="C22" i="55"/>
  <c r="C23" i="55"/>
  <c r="C24" i="55"/>
  <c r="C25" i="55"/>
  <c r="G18" i="53"/>
  <c r="C26" i="55"/>
  <c r="C27" i="55"/>
  <c r="C28" i="55"/>
  <c r="C29" i="55"/>
  <c r="C30" i="55"/>
  <c r="C31" i="55"/>
  <c r="C32" i="55"/>
  <c r="C33" i="55"/>
  <c r="C34" i="55"/>
  <c r="C35" i="55"/>
  <c r="G11" i="53"/>
  <c r="C103" i="55"/>
  <c r="G168" i="53"/>
  <c r="C104" i="55"/>
  <c r="C105" i="55"/>
  <c r="G161" i="53"/>
  <c r="C106" i="55"/>
  <c r="G162" i="53"/>
  <c r="C107" i="55"/>
  <c r="G152" i="53"/>
  <c r="C108" i="55"/>
  <c r="C109" i="55"/>
  <c r="C110" i="55"/>
  <c r="C111" i="55"/>
  <c r="G164" i="53"/>
  <c r="C112" i="55"/>
  <c r="G166" i="53"/>
  <c r="C113" i="55"/>
  <c r="G167" i="53"/>
  <c r="G113" i="53"/>
  <c r="C114" i="55"/>
  <c r="C115" i="55"/>
  <c r="C116" i="55"/>
  <c r="C117" i="55"/>
  <c r="C118" i="55"/>
  <c r="G170" i="53"/>
  <c r="C119" i="55"/>
  <c r="C120" i="55"/>
  <c r="C121" i="55"/>
  <c r="C122" i="55"/>
  <c r="C123" i="55"/>
  <c r="G47" i="53"/>
  <c r="C125" i="55"/>
  <c r="C126" i="55"/>
  <c r="C127" i="55"/>
  <c r="G40" i="53"/>
  <c r="C128" i="55"/>
  <c r="G38" i="53"/>
  <c r="C129" i="55"/>
  <c r="C130" i="55"/>
  <c r="C131" i="55"/>
  <c r="G24" i="53"/>
  <c r="C132" i="55"/>
  <c r="C134" i="55"/>
  <c r="G45" i="53"/>
  <c r="C135" i="55"/>
  <c r="C136" i="55"/>
  <c r="C137" i="55"/>
  <c r="G150" i="53"/>
  <c r="C138" i="55"/>
  <c r="C139" i="55"/>
  <c r="C140" i="55"/>
  <c r="G169" i="53"/>
  <c r="G65" i="53"/>
  <c r="C9" i="55"/>
  <c r="C10" i="55"/>
  <c r="C11" i="55"/>
  <c r="G165" i="53"/>
  <c r="C12" i="55"/>
  <c r="C13" i="55"/>
  <c r="C14" i="55"/>
  <c r="C8" i="55"/>
  <c r="G171" i="53"/>
  <c r="C59" i="59"/>
  <c r="AE7" i="53"/>
  <c r="X7" i="53"/>
  <c r="B45" i="59"/>
  <c r="K59" i="59"/>
  <c r="J59" i="59"/>
  <c r="K56" i="59"/>
  <c r="J56" i="59"/>
  <c r="K55" i="59"/>
  <c r="J55" i="59"/>
  <c r="K54" i="59"/>
  <c r="J54" i="59"/>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S44" i="59"/>
  <c r="R44" i="59"/>
  <c r="R24" i="59"/>
  <c r="AD181" i="53"/>
  <c r="AC181" i="53"/>
  <c r="AB181" i="53"/>
  <c r="AA181" i="53"/>
  <c r="W181" i="53"/>
  <c r="V181" i="53"/>
  <c r="H44" i="59"/>
  <c r="C45" i="59"/>
  <c r="N45" i="59"/>
  <c r="C46" i="59"/>
  <c r="C47" i="59"/>
  <c r="C48" i="59"/>
  <c r="C49" i="59"/>
  <c r="C54" i="59"/>
  <c r="C55" i="59"/>
  <c r="C56" i="59"/>
  <c r="L56" i="59"/>
  <c r="C44" i="59"/>
  <c r="N44" i="59"/>
  <c r="B44" i="59"/>
  <c r="V44" i="59"/>
  <c r="B24" i="59"/>
  <c r="Q24" i="59"/>
  <c r="P24" i="59"/>
  <c r="I24" i="59"/>
  <c r="H24" i="59"/>
  <c r="E24" i="59"/>
  <c r="E45" i="59"/>
  <c r="E46" i="59"/>
  <c r="E48" i="59"/>
  <c r="E49" i="59"/>
  <c r="E54" i="59"/>
  <c r="E55" i="59"/>
  <c r="E56" i="59"/>
  <c r="E59" i="59"/>
  <c r="Q45" i="59"/>
  <c r="Q46" i="59"/>
  <c r="Q47" i="59"/>
  <c r="Q48" i="59"/>
  <c r="Q49" i="59"/>
  <c r="Q54" i="59"/>
  <c r="Q55" i="59"/>
  <c r="Q56" i="59"/>
  <c r="Q59" i="59"/>
  <c r="Q44" i="59"/>
  <c r="P45" i="59"/>
  <c r="P46" i="59"/>
  <c r="P47" i="59"/>
  <c r="P48" i="59"/>
  <c r="P49" i="59"/>
  <c r="P55" i="59"/>
  <c r="P56" i="59"/>
  <c r="P59" i="59"/>
  <c r="P44" i="59"/>
  <c r="I45" i="59"/>
  <c r="I46" i="59"/>
  <c r="I47" i="59"/>
  <c r="I48" i="59"/>
  <c r="I49" i="59"/>
  <c r="I55" i="59"/>
  <c r="I56" i="59"/>
  <c r="I59" i="59"/>
  <c r="I44" i="59"/>
  <c r="H45" i="59"/>
  <c r="H46" i="59"/>
  <c r="H47" i="59"/>
  <c r="H48" i="59"/>
  <c r="H49" i="59"/>
  <c r="H54" i="59"/>
  <c r="H55" i="59"/>
  <c r="H56" i="59"/>
  <c r="H59" i="59"/>
  <c r="E44" i="59"/>
  <c r="B46" i="59"/>
  <c r="B48" i="59"/>
  <c r="B49" i="59"/>
  <c r="B54" i="59"/>
  <c r="B55" i="59"/>
  <c r="B56" i="59"/>
  <c r="V56" i="59"/>
  <c r="B59" i="59"/>
  <c r="X170" i="53"/>
  <c r="X169" i="53"/>
  <c r="X168" i="53"/>
  <c r="X167" i="53"/>
  <c r="X166" i="53"/>
  <c r="X165" i="53"/>
  <c r="X164" i="53"/>
  <c r="X163" i="53"/>
  <c r="X162" i="53"/>
  <c r="X161" i="53"/>
  <c r="X160" i="53"/>
  <c r="X158" i="53"/>
  <c r="X157" i="53"/>
  <c r="X156" i="53"/>
  <c r="X155" i="53"/>
  <c r="X154" i="53"/>
  <c r="X151" i="53"/>
  <c r="X150" i="53"/>
  <c r="X149" i="53"/>
  <c r="X148" i="53"/>
  <c r="X147" i="53"/>
  <c r="X146" i="53"/>
  <c r="X145" i="53"/>
  <c r="X144" i="53"/>
  <c r="X143" i="53"/>
  <c r="X142" i="53"/>
  <c r="X141" i="53"/>
  <c r="X140" i="53"/>
  <c r="X139" i="53"/>
  <c r="X138" i="53"/>
  <c r="X137" i="53"/>
  <c r="X136" i="53"/>
  <c r="X135" i="53"/>
  <c r="X134" i="53"/>
  <c r="X133" i="53"/>
  <c r="X132" i="53"/>
  <c r="X131" i="53"/>
  <c r="X130" i="53"/>
  <c r="X129" i="53"/>
  <c r="X127" i="53"/>
  <c r="X126" i="53"/>
  <c r="X125" i="53"/>
  <c r="X124" i="53"/>
  <c r="X122" i="53"/>
  <c r="X121" i="53"/>
  <c r="X120" i="53"/>
  <c r="X119" i="53"/>
  <c r="X118" i="53"/>
  <c r="X117" i="53"/>
  <c r="X116" i="53"/>
  <c r="X115" i="53"/>
  <c r="X114" i="53"/>
  <c r="X113" i="53"/>
  <c r="X112" i="53"/>
  <c r="X111" i="53"/>
  <c r="X110" i="53"/>
  <c r="X109" i="53"/>
  <c r="X108" i="53"/>
  <c r="X107" i="53"/>
  <c r="X104" i="53"/>
  <c r="X103" i="53"/>
  <c r="X102" i="53"/>
  <c r="X101" i="53"/>
  <c r="X100" i="53"/>
  <c r="X99" i="53"/>
  <c r="X98" i="53"/>
  <c r="X97" i="53"/>
  <c r="X96" i="53"/>
  <c r="X95" i="53"/>
  <c r="X94" i="53"/>
  <c r="X93" i="53"/>
  <c r="X92" i="53"/>
  <c r="X91" i="53"/>
  <c r="X90" i="53"/>
  <c r="X89" i="53"/>
  <c r="X88" i="53"/>
  <c r="X87" i="53"/>
  <c r="X86" i="53"/>
  <c r="X85" i="53"/>
  <c r="X84" i="53"/>
  <c r="X83" i="53"/>
  <c r="X82" i="53"/>
  <c r="X80" i="53"/>
  <c r="X79" i="53"/>
  <c r="X78" i="53"/>
  <c r="X77" i="53"/>
  <c r="X76" i="53"/>
  <c r="X75" i="53"/>
  <c r="X74" i="53"/>
  <c r="X73" i="53"/>
  <c r="X72" i="53"/>
  <c r="X70" i="53"/>
  <c r="X64" i="53"/>
  <c r="X63" i="53"/>
  <c r="X62" i="53"/>
  <c r="X61" i="53"/>
  <c r="X60" i="53"/>
  <c r="X59" i="53"/>
  <c r="X58" i="53"/>
  <c r="X57" i="53"/>
  <c r="X56" i="53"/>
  <c r="X55" i="53"/>
  <c r="X54" i="53"/>
  <c r="X53" i="53"/>
  <c r="X52" i="53"/>
  <c r="X51" i="53"/>
  <c r="X48" i="53"/>
  <c r="X47" i="53"/>
  <c r="X46" i="53"/>
  <c r="X45" i="53"/>
  <c r="X43" i="53"/>
  <c r="X40" i="53"/>
  <c r="X39" i="53"/>
  <c r="X38" i="53"/>
  <c r="X37" i="53"/>
  <c r="X36" i="53"/>
  <c r="X35" i="53"/>
  <c r="X33" i="53"/>
  <c r="X32" i="53"/>
  <c r="X31" i="53"/>
  <c r="X30" i="53"/>
  <c r="X29" i="53"/>
  <c r="X27" i="53"/>
  <c r="X26" i="53"/>
  <c r="X25" i="53"/>
  <c r="X24" i="53"/>
  <c r="X23" i="53"/>
  <c r="X18" i="53"/>
  <c r="X17" i="53"/>
  <c r="X10" i="53"/>
  <c r="X9" i="53"/>
  <c r="X8" i="53"/>
  <c r="S20" i="55"/>
  <c r="P12" i="55"/>
  <c r="S12" i="55"/>
  <c r="AE166" i="53"/>
  <c r="P111" i="55"/>
  <c r="AE165" i="53"/>
  <c r="P11" i="55"/>
  <c r="S11" i="55"/>
  <c r="P98" i="55"/>
  <c r="S98" i="55"/>
  <c r="AE150" i="53"/>
  <c r="AE148" i="53"/>
  <c r="AE147" i="53"/>
  <c r="AE145" i="53"/>
  <c r="AE143" i="53"/>
  <c r="AE140" i="53"/>
  <c r="AE138" i="53"/>
  <c r="AE134" i="53"/>
  <c r="AE119" i="53"/>
  <c r="AE113" i="53"/>
  <c r="AE103" i="53"/>
  <c r="AE99" i="53"/>
  <c r="AE97" i="53"/>
  <c r="AE92" i="53"/>
  <c r="AE83" i="53"/>
  <c r="AE64" i="53"/>
  <c r="AE63" i="53"/>
  <c r="P67" i="55"/>
  <c r="S67" i="55"/>
  <c r="AE58" i="53"/>
  <c r="AE52" i="53"/>
  <c r="P61" i="55"/>
  <c r="S61" i="55"/>
  <c r="P58" i="55"/>
  <c r="S58" i="55"/>
  <c r="AE36" i="53"/>
  <c r="AE35" i="53"/>
  <c r="AE33" i="53"/>
  <c r="AE28" i="53"/>
  <c r="AE25" i="53"/>
  <c r="P48" i="55"/>
  <c r="S48" i="55"/>
  <c r="AE17" i="53"/>
  <c r="P17" i="55"/>
  <c r="S17" i="55"/>
  <c r="AE12" i="53"/>
  <c r="P29" i="55"/>
  <c r="S29" i="55"/>
  <c r="AE9" i="53"/>
  <c r="AE6" i="53"/>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G14" i="26"/>
  <c r="P9" i="55"/>
  <c r="S9" i="55"/>
  <c r="O24" i="59"/>
  <c r="U24" i="59"/>
  <c r="G10" i="53"/>
  <c r="G6" i="53"/>
  <c r="G8" i="53"/>
  <c r="P39" i="55"/>
  <c r="S39" i="55"/>
  <c r="G5" i="59"/>
  <c r="M5" i="59"/>
  <c r="P27" i="55"/>
  <c r="S27" i="55"/>
  <c r="P33" i="55"/>
  <c r="S33" i="55"/>
  <c r="P118" i="55"/>
  <c r="S118" i="55"/>
  <c r="P31" i="55"/>
  <c r="S31" i="55"/>
  <c r="G56" i="59"/>
  <c r="M56" i="59"/>
  <c r="P28" i="55"/>
  <c r="S28" i="55"/>
  <c r="O44" i="59"/>
  <c r="U44" i="59"/>
  <c r="G59" i="59"/>
  <c r="M59" i="59"/>
  <c r="P15" i="55"/>
  <c r="S15" i="55"/>
  <c r="P24" i="55"/>
  <c r="S24" i="55"/>
  <c r="AE8" i="53"/>
  <c r="P42" i="55"/>
  <c r="R42" i="55"/>
  <c r="X152" i="53"/>
  <c r="G52" i="59"/>
  <c r="M52" i="59"/>
  <c r="G12" i="59"/>
  <c r="M12" i="59"/>
  <c r="P114" i="55"/>
  <c r="S114" i="55"/>
  <c r="G44" i="59"/>
  <c r="M44" i="59"/>
  <c r="AE74" i="53"/>
  <c r="P121" i="55"/>
  <c r="S121" i="55"/>
  <c r="G19" i="59"/>
  <c r="M19" i="59"/>
  <c r="G14" i="59"/>
  <c r="M14" i="59"/>
  <c r="AE75" i="53"/>
  <c r="P77" i="55"/>
  <c r="S77" i="55"/>
  <c r="X153" i="53"/>
  <c r="P109" i="55"/>
  <c r="S109" i="55"/>
  <c r="G8" i="59"/>
  <c r="G50" i="59"/>
  <c r="M50" i="59"/>
  <c r="P35" i="55"/>
  <c r="S35" i="55"/>
  <c r="G54" i="59"/>
  <c r="M54" i="59"/>
  <c r="P93" i="55"/>
  <c r="S93" i="55"/>
  <c r="AE164" i="53"/>
  <c r="G7" i="59"/>
  <c r="M7" i="59"/>
  <c r="AE29" i="53"/>
  <c r="P133" i="55"/>
  <c r="S133" i="55"/>
  <c r="P66" i="55"/>
  <c r="S66" i="55"/>
  <c r="P59" i="55"/>
  <c r="S59" i="55"/>
  <c r="AE153" i="53"/>
  <c r="P36" i="55"/>
  <c r="R36" i="55"/>
  <c r="O51" i="59"/>
  <c r="U51" i="59"/>
  <c r="P62" i="55"/>
  <c r="R62" i="55"/>
  <c r="X65" i="53"/>
  <c r="G51" i="59"/>
  <c r="M51" i="59"/>
  <c r="G11" i="59"/>
  <c r="M11" i="59"/>
  <c r="X66" i="53"/>
  <c r="G16" i="59"/>
  <c r="M16" i="59"/>
  <c r="AE31" i="53"/>
  <c r="P38" i="55"/>
  <c r="P40" i="55"/>
  <c r="S40" i="55"/>
  <c r="AE66" i="53"/>
  <c r="P63" i="55"/>
  <c r="S63" i="55"/>
  <c r="P119" i="55"/>
  <c r="S119" i="55"/>
  <c r="P25" i="55"/>
  <c r="S25" i="55"/>
  <c r="P128" i="55"/>
  <c r="S128" i="55"/>
  <c r="P54" i="55"/>
  <c r="S54" i="55"/>
  <c r="G46" i="59"/>
  <c r="G55" i="59"/>
  <c r="M55" i="59"/>
  <c r="AE24" i="53"/>
  <c r="AE82" i="53"/>
  <c r="G48" i="59"/>
  <c r="P43" i="55"/>
  <c r="S43" i="55"/>
  <c r="P57" i="55"/>
  <c r="S57" i="55"/>
  <c r="P56" i="55"/>
  <c r="S56" i="55"/>
  <c r="P79" i="55"/>
  <c r="S79" i="55"/>
  <c r="P50" i="55"/>
  <c r="R50" i="55"/>
  <c r="P53" i="55"/>
  <c r="X11" i="53"/>
  <c r="AE49" i="53"/>
  <c r="G83" i="53"/>
  <c r="G115" i="53"/>
  <c r="G84" i="53"/>
  <c r="G111" i="53"/>
  <c r="G119" i="53"/>
  <c r="G15" i="53"/>
  <c r="G144" i="53"/>
  <c r="G122" i="53"/>
  <c r="G121" i="53"/>
  <c r="G120" i="53"/>
  <c r="G39" i="53"/>
  <c r="G114" i="53"/>
  <c r="G7" i="53"/>
  <c r="G148" i="53"/>
  <c r="G147" i="53"/>
  <c r="G145" i="53"/>
  <c r="G85" i="53"/>
  <c r="G82" i="53"/>
  <c r="G118" i="53"/>
  <c r="G112" i="53"/>
  <c r="G117" i="53"/>
  <c r="G29" i="53"/>
  <c r="G25" i="53"/>
  <c r="G163" i="53"/>
  <c r="G49" i="53"/>
  <c r="G80" i="53"/>
  <c r="G146" i="53"/>
  <c r="G45" i="59"/>
  <c r="M45" i="59"/>
  <c r="G13" i="59"/>
  <c r="M13" i="59"/>
  <c r="AE131" i="53"/>
  <c r="P23" i="55"/>
  <c r="S23" i="55"/>
  <c r="G6" i="59"/>
  <c r="G47" i="59"/>
  <c r="P10" i="55"/>
  <c r="P139" i="55"/>
  <c r="S139" i="55"/>
  <c r="Q12" i="26"/>
  <c r="D12" i="26"/>
  <c r="AA12" i="26"/>
  <c r="G49" i="59"/>
  <c r="M49" i="59"/>
  <c r="X159" i="53"/>
  <c r="G4" i="59"/>
  <c r="G24" i="59"/>
  <c r="M24" i="59"/>
  <c r="P136" i="55"/>
  <c r="S136" i="55"/>
  <c r="G15" i="59"/>
  <c r="M15" i="59"/>
  <c r="H12" i="26"/>
  <c r="X15" i="53"/>
  <c r="G9" i="59"/>
  <c r="M9" i="59"/>
  <c r="G116" i="53"/>
  <c r="G143" i="53"/>
  <c r="G135" i="53"/>
  <c r="G10" i="59"/>
  <c r="L10" i="59"/>
  <c r="S2" i="53"/>
  <c r="T37" i="59"/>
  <c r="V57" i="59"/>
  <c r="T53" i="59"/>
  <c r="V53" i="59"/>
  <c r="V37" i="59"/>
  <c r="G33" i="59"/>
  <c r="M33" i="59"/>
  <c r="S181" i="53"/>
  <c r="AF14" i="26"/>
  <c r="AL14" i="26"/>
  <c r="G12" i="26"/>
  <c r="K14" i="26"/>
  <c r="W12" i="26"/>
  <c r="AH14" i="26"/>
  <c r="O35" i="59"/>
  <c r="P107" i="55"/>
  <c r="S107" i="55"/>
  <c r="AE76" i="53"/>
  <c r="P134" i="55"/>
  <c r="S134" i="55"/>
  <c r="P102" i="55"/>
  <c r="S102" i="55"/>
  <c r="AE152" i="53"/>
  <c r="P81" i="55"/>
  <c r="P140" i="55"/>
  <c r="S140" i="55"/>
  <c r="P126" i="55"/>
  <c r="S126" i="55"/>
  <c r="P105" i="55"/>
  <c r="S105" i="55"/>
  <c r="P145" i="55"/>
  <c r="R145" i="55"/>
  <c r="P26" i="55"/>
  <c r="S26" i="55"/>
  <c r="AE169" i="53"/>
  <c r="P155" i="55"/>
  <c r="R155" i="55"/>
  <c r="P148" i="55"/>
  <c r="S148" i="55"/>
  <c r="P144" i="55"/>
  <c r="R144" i="55"/>
  <c r="AE163" i="53"/>
  <c r="P108" i="55"/>
  <c r="S108" i="55"/>
  <c r="P52" i="55"/>
  <c r="S52" i="55"/>
  <c r="P113" i="55"/>
  <c r="S113" i="55"/>
  <c r="P87" i="55"/>
  <c r="O36" i="59"/>
  <c r="T36" i="59"/>
  <c r="AE53" i="53"/>
  <c r="P85" i="55"/>
  <c r="S85" i="55"/>
  <c r="P13" i="55"/>
  <c r="S13" i="55"/>
  <c r="P14" i="55"/>
  <c r="P116" i="55"/>
  <c r="S116" i="55"/>
  <c r="AE78" i="53"/>
  <c r="P16" i="55"/>
  <c r="S16" i="55"/>
  <c r="P129" i="55"/>
  <c r="S129" i="55"/>
  <c r="P115" i="55"/>
  <c r="P44" i="55"/>
  <c r="S44" i="55"/>
  <c r="O9" i="59"/>
  <c r="U9" i="59"/>
  <c r="O45" i="59"/>
  <c r="U45" i="59"/>
  <c r="P45" i="55"/>
  <c r="M92" i="55" a="1"/>
  <c r="M92" i="55"/>
  <c r="M156" i="55" a="1"/>
  <c r="M156" i="55"/>
  <c r="AE43" i="53"/>
  <c r="P156" i="55"/>
  <c r="P37" i="55"/>
  <c r="R37" i="55"/>
  <c r="S120" i="55"/>
  <c r="G26" i="53"/>
  <c r="G50" i="53"/>
  <c r="P106" i="55"/>
  <c r="S106" i="55"/>
  <c r="O16" i="59"/>
  <c r="U16" i="59"/>
  <c r="P92" i="55"/>
  <c r="S92" i="55"/>
  <c r="P82" i="55"/>
  <c r="S82" i="55"/>
  <c r="AE120" i="53"/>
  <c r="S68" i="55"/>
  <c r="P125" i="55"/>
  <c r="S125" i="55"/>
  <c r="AE168" i="53"/>
  <c r="O56" i="59"/>
  <c r="U56" i="59"/>
  <c r="P69" i="55"/>
  <c r="S69" i="55"/>
  <c r="P96" i="55"/>
  <c r="S96" i="55"/>
  <c r="T29" i="59"/>
  <c r="O31" i="59"/>
  <c r="U31" i="59"/>
  <c r="P91" i="55"/>
  <c r="S91" i="55"/>
  <c r="P138" i="55"/>
  <c r="S138" i="55"/>
  <c r="P83" i="55"/>
  <c r="S83" i="55"/>
  <c r="O4" i="59"/>
  <c r="U4" i="59"/>
  <c r="O30" i="59"/>
  <c r="U30" i="59"/>
  <c r="AE65" i="53"/>
  <c r="O33" i="59"/>
  <c r="T33" i="59"/>
  <c r="O7" i="59"/>
  <c r="U7" i="59"/>
  <c r="AE51" i="53"/>
  <c r="AE59" i="53"/>
  <c r="O11" i="59"/>
  <c r="U11" i="59"/>
  <c r="P100" i="55"/>
  <c r="S100" i="55"/>
  <c r="P34" i="55"/>
  <c r="S34" i="55"/>
  <c r="P32" i="55"/>
  <c r="S32" i="55"/>
  <c r="P55" i="55"/>
  <c r="R55" i="55"/>
  <c r="P86" i="55"/>
  <c r="S86" i="55"/>
  <c r="AE10" i="53"/>
  <c r="O52" i="59"/>
  <c r="T52" i="59"/>
  <c r="P49" i="55"/>
  <c r="S49" i="55"/>
  <c r="P101" i="55"/>
  <c r="S101" i="55"/>
  <c r="P80" i="55"/>
  <c r="S80" i="55"/>
  <c r="F17" i="59"/>
  <c r="F34" i="59"/>
  <c r="P104" i="55"/>
  <c r="S104" i="55"/>
  <c r="O49" i="59"/>
  <c r="U49" i="59"/>
  <c r="P73" i="55"/>
  <c r="P76" i="55"/>
  <c r="S76" i="55"/>
  <c r="P47" i="55"/>
  <c r="S47" i="55"/>
  <c r="F26" i="59"/>
  <c r="V51" i="59"/>
  <c r="F51" i="59"/>
  <c r="O14" i="59"/>
  <c r="U14" i="59"/>
  <c r="P70" i="55"/>
  <c r="AE115" i="53"/>
  <c r="P89" i="55"/>
  <c r="S89" i="55"/>
  <c r="O13" i="59"/>
  <c r="U13" i="59"/>
  <c r="P99" i="55"/>
  <c r="S99" i="55"/>
  <c r="U55" i="59"/>
  <c r="P154" i="55"/>
  <c r="S154" i="55"/>
  <c r="M150" i="55" a="1"/>
  <c r="M150" i="55"/>
  <c r="M154" i="55" a="1"/>
  <c r="M154" i="55"/>
  <c r="M146" i="55" a="1"/>
  <c r="M146" i="55"/>
  <c r="O146" i="55"/>
  <c r="M152" i="55" a="1"/>
  <c r="M152" i="55"/>
  <c r="M144" i="55" a="1"/>
  <c r="M144" i="55"/>
  <c r="P152" i="55"/>
  <c r="S152" i="55"/>
  <c r="G107" i="53"/>
  <c r="G159" i="53"/>
  <c r="G125" i="53"/>
  <c r="G59" i="53"/>
  <c r="G46" i="53"/>
  <c r="G30" i="53"/>
  <c r="G31" i="53"/>
  <c r="G32" i="53"/>
  <c r="O54" i="59"/>
  <c r="U54" i="59"/>
  <c r="F11" i="59"/>
  <c r="P110" i="55"/>
  <c r="S110" i="55"/>
  <c r="G28" i="53"/>
  <c r="T17" i="59"/>
  <c r="V17" i="59"/>
  <c r="V12" i="59"/>
  <c r="F10" i="59"/>
  <c r="F29" i="59"/>
  <c r="H37" i="55"/>
  <c r="F37" i="59"/>
  <c r="F31" i="59"/>
  <c r="H41" i="55"/>
  <c r="T28" i="59"/>
  <c r="G158" i="53"/>
  <c r="G157" i="53"/>
  <c r="E47" i="59"/>
  <c r="O5" i="59"/>
  <c r="U5" i="59"/>
  <c r="P95" i="55"/>
  <c r="S95" i="55"/>
  <c r="I2" i="55"/>
  <c r="V28" i="59"/>
  <c r="V9" i="59"/>
  <c r="F16" i="59"/>
  <c r="T39" i="59"/>
  <c r="V50" i="59"/>
  <c r="F27" i="59"/>
  <c r="F30" i="59"/>
  <c r="V39" i="59"/>
  <c r="F50" i="59"/>
  <c r="V11" i="59"/>
  <c r="F28" i="59"/>
  <c r="V16" i="59"/>
  <c r="V52" i="59"/>
  <c r="E7" i="59"/>
  <c r="G155" i="53"/>
  <c r="G124" i="53"/>
  <c r="G87" i="53"/>
  <c r="G156" i="53"/>
  <c r="G134" i="53"/>
  <c r="G68" i="53"/>
  <c r="G73" i="53"/>
  <c r="M122" i="55" a="1"/>
  <c r="M122" i="55"/>
  <c r="M100" i="55" a="1"/>
  <c r="M100" i="55"/>
  <c r="O100" i="55"/>
  <c r="M129" i="55" a="1"/>
  <c r="M129" i="55"/>
  <c r="M34" i="55" a="1"/>
  <c r="M34" i="55"/>
  <c r="S41" i="55"/>
  <c r="M19" i="55" a="1"/>
  <c r="M19" i="55"/>
  <c r="O19" i="55"/>
  <c r="M75" i="55" a="1"/>
  <c r="M75" i="55"/>
  <c r="M135" i="55" a="1"/>
  <c r="M135" i="55"/>
  <c r="M162" i="55"/>
  <c r="R65" i="55"/>
  <c r="T65" i="55"/>
  <c r="M65" i="55" a="1"/>
  <c r="M65" i="55"/>
  <c r="M27" i="55" a="1"/>
  <c r="M27" i="55"/>
  <c r="M23" i="55" a="1"/>
  <c r="M23" i="55"/>
  <c r="M119" i="55" a="1"/>
  <c r="M119" i="55"/>
  <c r="M14" i="55" a="1"/>
  <c r="M14" i="55"/>
  <c r="O14" i="55"/>
  <c r="M37" i="55" a="1"/>
  <c r="M37" i="55"/>
  <c r="O37" i="55"/>
  <c r="M86" i="55" a="1"/>
  <c r="M86" i="55"/>
  <c r="F5" i="59"/>
  <c r="M38" i="55" a="1"/>
  <c r="M38" i="55"/>
  <c r="M139" i="55" a="1"/>
  <c r="M139" i="55"/>
  <c r="O139" i="55"/>
  <c r="M81" i="55" a="1"/>
  <c r="M81" i="55"/>
  <c r="M124" i="55" a="1"/>
  <c r="M124" i="55"/>
  <c r="M109" i="55" a="1"/>
  <c r="M109" i="55"/>
  <c r="M13" i="55" a="1"/>
  <c r="M13" i="55"/>
  <c r="M69" i="55" a="1"/>
  <c r="M69" i="55"/>
  <c r="M52" i="55" a="1"/>
  <c r="M52" i="55"/>
  <c r="M120" i="55" a="1"/>
  <c r="M120" i="55"/>
  <c r="M18" i="55" a="1"/>
  <c r="M18" i="55"/>
  <c r="O18" i="55"/>
  <c r="M43" i="55" a="1"/>
  <c r="M43" i="55"/>
  <c r="O43" i="55"/>
  <c r="M56" i="55" a="1"/>
  <c r="M56" i="55"/>
  <c r="M140" i="55" a="1"/>
  <c r="M140" i="55"/>
  <c r="M66" i="55" a="1"/>
  <c r="M66" i="55"/>
  <c r="M46" i="55" a="1"/>
  <c r="M46" i="55"/>
  <c r="M33" i="55" a="1"/>
  <c r="M33" i="55"/>
  <c r="M83" i="55" a="1"/>
  <c r="M83" i="55"/>
  <c r="M49" i="55" a="1"/>
  <c r="M49" i="55"/>
  <c r="M73" i="55" a="1"/>
  <c r="M73" i="55"/>
  <c r="M104" i="55" a="1"/>
  <c r="M104" i="55"/>
  <c r="O104" i="55"/>
  <c r="M62" i="55" a="1"/>
  <c r="M62" i="55"/>
  <c r="M8" i="55" a="1"/>
  <c r="M8" i="55"/>
  <c r="M137" i="55" a="1"/>
  <c r="M137" i="55"/>
  <c r="M132" i="55" a="1"/>
  <c r="M132" i="55"/>
  <c r="M50" i="55" a="1"/>
  <c r="M50" i="55"/>
  <c r="M76" i="55" a="1"/>
  <c r="M76" i="55"/>
  <c r="M39" i="55" a="1"/>
  <c r="M39" i="55"/>
  <c r="O39" i="55"/>
  <c r="M74" i="55" a="1"/>
  <c r="M74" i="55"/>
  <c r="M107" i="55" a="1"/>
  <c r="M107" i="55"/>
  <c r="M91" i="55" a="1"/>
  <c r="M91" i="55"/>
  <c r="M48" i="55" a="1"/>
  <c r="M48" i="55"/>
  <c r="O48" i="55"/>
  <c r="M101" i="55" a="1"/>
  <c r="M101" i="55"/>
  <c r="O101" i="55"/>
  <c r="M110" i="55" a="1"/>
  <c r="M110" i="55"/>
  <c r="T32" i="59"/>
  <c r="N34" i="55" a="1"/>
  <c r="N34" i="55"/>
  <c r="M77" i="55" a="1"/>
  <c r="M77" i="55"/>
  <c r="M30" i="55" a="1"/>
  <c r="M30" i="55"/>
  <c r="O30" i="55"/>
  <c r="M131" i="55" a="1"/>
  <c r="M131" i="55"/>
  <c r="M70" i="55" a="1"/>
  <c r="M70" i="55"/>
  <c r="M130" i="55" a="1"/>
  <c r="M130" i="55"/>
  <c r="M82" i="55" a="1"/>
  <c r="M82" i="55"/>
  <c r="M15" i="55" a="1"/>
  <c r="M15" i="55"/>
  <c r="O15" i="55"/>
  <c r="N23" i="55" a="1"/>
  <c r="N23" i="55"/>
  <c r="N35" i="55" a="1"/>
  <c r="N35" i="55"/>
  <c r="N92" i="55" a="1"/>
  <c r="N92" i="55"/>
  <c r="N114" i="55" a="1"/>
  <c r="N114" i="55"/>
  <c r="N50" i="55" a="1"/>
  <c r="N50" i="55"/>
  <c r="M68" i="55" a="1"/>
  <c r="M68" i="55"/>
  <c r="M61" i="55" a="1"/>
  <c r="M61" i="55"/>
  <c r="M127" i="55" a="1"/>
  <c r="M127" i="55"/>
  <c r="M87" i="55" a="1"/>
  <c r="M87" i="55"/>
  <c r="M11" i="55" a="1"/>
  <c r="M11" i="55"/>
  <c r="O11" i="55"/>
  <c r="M106" i="55" a="1"/>
  <c r="M106" i="55"/>
  <c r="O106" i="55"/>
  <c r="M26" i="55" a="1"/>
  <c r="M26" i="55"/>
  <c r="M80" i="55" a="1"/>
  <c r="M80" i="55"/>
  <c r="M36" i="55" a="1"/>
  <c r="M36" i="55"/>
  <c r="N19" i="59"/>
  <c r="N52" i="55" a="1"/>
  <c r="N52" i="55"/>
  <c r="N8" i="55" a="1"/>
  <c r="N8" i="55"/>
  <c r="N20" i="55" a="1"/>
  <c r="N20" i="55"/>
  <c r="G67" i="55"/>
  <c r="S90" i="55"/>
  <c r="S64" i="55"/>
  <c r="H14" i="55"/>
  <c r="H10" i="55"/>
  <c r="H71" i="55"/>
  <c r="G73" i="55"/>
  <c r="H73" i="55"/>
  <c r="G86" i="55"/>
  <c r="G140" i="55"/>
  <c r="H81" i="55"/>
  <c r="H78" i="55"/>
  <c r="G68" i="55"/>
  <c r="H68" i="55"/>
  <c r="G140" i="53"/>
  <c r="G102" i="53"/>
  <c r="G100" i="53"/>
  <c r="G64" i="53"/>
  <c r="F44" i="59"/>
  <c r="T51" i="59"/>
  <c r="G37" i="53"/>
  <c r="G56" i="53"/>
  <c r="G53" i="53"/>
  <c r="G58" i="53"/>
  <c r="G142" i="53"/>
  <c r="G88" i="53"/>
  <c r="G141" i="53"/>
  <c r="G131" i="53"/>
  <c r="G27" i="53"/>
  <c r="G108" i="53"/>
  <c r="G101" i="53"/>
  <c r="G90" i="53"/>
  <c r="G91" i="53"/>
  <c r="G23" i="53"/>
  <c r="G103" i="53"/>
  <c r="G99" i="53"/>
  <c r="AB14" i="26"/>
  <c r="S14" i="26"/>
  <c r="U12" i="26"/>
  <c r="J12" i="26"/>
  <c r="AI14" i="26"/>
  <c r="L14" i="26"/>
  <c r="U14" i="26"/>
  <c r="P12" i="26"/>
  <c r="AH12" i="26"/>
  <c r="K12" i="26"/>
  <c r="B12" i="26"/>
  <c r="AC12" i="26"/>
  <c r="AI12" i="26"/>
  <c r="O12" i="26"/>
  <c r="X12" i="26"/>
  <c r="I12" i="26"/>
  <c r="AC14" i="26"/>
  <c r="O14" i="26"/>
  <c r="AF12" i="26"/>
  <c r="M12" i="26"/>
  <c r="AD12" i="26"/>
  <c r="E12" i="26"/>
  <c r="L12" i="26"/>
  <c r="AA14" i="26"/>
  <c r="AB12" i="26"/>
  <c r="R12" i="26"/>
  <c r="H14" i="26"/>
  <c r="AK12" i="26"/>
  <c r="T12" i="26"/>
  <c r="W14" i="26"/>
  <c r="Y14" i="26"/>
  <c r="I14" i="26"/>
  <c r="F14" i="26"/>
  <c r="I162" i="55"/>
  <c r="V32" i="59"/>
  <c r="J162" i="55"/>
  <c r="R101" i="55"/>
  <c r="L43" i="55" a="1"/>
  <c r="L43" i="55"/>
  <c r="K43" i="55"/>
  <c r="J20" i="59"/>
  <c r="N99" i="55" a="1"/>
  <c r="N99" i="55"/>
  <c r="N26" i="55" a="1"/>
  <c r="N26" i="55"/>
  <c r="N58" i="55" a="1"/>
  <c r="N58" i="55"/>
  <c r="N33" i="55" a="1"/>
  <c r="N33" i="55"/>
  <c r="N78" i="55" a="1"/>
  <c r="N78" i="55"/>
  <c r="G54" i="55"/>
  <c r="N53" i="55" a="1"/>
  <c r="N53" i="55"/>
  <c r="N69" i="55" a="1"/>
  <c r="N69" i="55"/>
  <c r="G76" i="55"/>
  <c r="N61" i="55" a="1"/>
  <c r="N61" i="55"/>
  <c r="N132" i="55" a="1"/>
  <c r="N132" i="55"/>
  <c r="N48" i="55" a="1"/>
  <c r="N48" i="55"/>
  <c r="N39" i="55" a="1"/>
  <c r="N39" i="55"/>
  <c r="N115" i="55" a="1"/>
  <c r="N115" i="55"/>
  <c r="M6" i="59"/>
  <c r="N24" i="55" a="1"/>
  <c r="N24" i="55"/>
  <c r="N111" i="55" a="1"/>
  <c r="N111" i="55"/>
  <c r="P135" i="55"/>
  <c r="S135" i="55"/>
  <c r="V10" i="59"/>
  <c r="O47" i="59"/>
  <c r="U47" i="59"/>
  <c r="O46" i="59"/>
  <c r="U46" i="59"/>
  <c r="N98" i="55" a="1"/>
  <c r="N98" i="55"/>
  <c r="N120" i="55" a="1"/>
  <c r="N120" i="55"/>
  <c r="N139" i="55" a="1"/>
  <c r="N139" i="55"/>
  <c r="V27" i="59"/>
  <c r="N136" i="55" a="1"/>
  <c r="N136" i="55"/>
  <c r="M47" i="59"/>
  <c r="N13" i="55" a="1"/>
  <c r="N13" i="55"/>
  <c r="N135" i="55" a="1"/>
  <c r="N135" i="55"/>
  <c r="N5" i="59"/>
  <c r="M8" i="59"/>
  <c r="M48" i="59"/>
  <c r="N53" i="59"/>
  <c r="M46" i="59"/>
  <c r="M30" i="59"/>
  <c r="L9" i="59"/>
  <c r="N138" i="55" a="1"/>
  <c r="N138" i="55"/>
  <c r="N74" i="55" a="1"/>
  <c r="N74" i="55"/>
  <c r="N72" i="55" a="1"/>
  <c r="N72" i="55"/>
  <c r="N97" i="55" a="1"/>
  <c r="N97" i="55"/>
  <c r="N32" i="55" a="1"/>
  <c r="N32" i="55"/>
  <c r="N113" i="55" a="1"/>
  <c r="N113" i="55"/>
  <c r="N112" i="55" a="1"/>
  <c r="N112" i="55"/>
  <c r="N107" i="55" a="1"/>
  <c r="N107" i="55"/>
  <c r="N133" i="55" a="1"/>
  <c r="N133" i="55"/>
  <c r="N88" i="55" a="1"/>
  <c r="N88" i="55"/>
  <c r="N110" i="55" a="1"/>
  <c r="N110" i="55"/>
  <c r="O110" i="55"/>
  <c r="N91" i="55" a="1"/>
  <c r="N91" i="55"/>
  <c r="N21" i="55" a="1"/>
  <c r="N21" i="55"/>
  <c r="N140" i="55" a="1"/>
  <c r="N140" i="55"/>
  <c r="N16" i="55" a="1"/>
  <c r="N16" i="55"/>
  <c r="N54" i="55" a="1"/>
  <c r="N54" i="55"/>
  <c r="N47" i="55" a="1"/>
  <c r="N47" i="55"/>
  <c r="N2" i="55"/>
  <c r="N28" i="55" a="1"/>
  <c r="N28" i="55"/>
  <c r="N38" i="55" a="1"/>
  <c r="N38" i="55"/>
  <c r="N70" i="55" a="1"/>
  <c r="N70" i="55"/>
  <c r="N59" i="55" a="1"/>
  <c r="N59" i="55"/>
  <c r="N71" i="55" a="1"/>
  <c r="N71" i="55"/>
  <c r="N44" i="55" a="1"/>
  <c r="N44" i="55"/>
  <c r="N96" i="55" a="1"/>
  <c r="N96" i="55"/>
  <c r="N106" i="55" a="1"/>
  <c r="N106" i="55"/>
  <c r="N122" i="55" a="1"/>
  <c r="N122" i="55"/>
  <c r="O122" i="55"/>
  <c r="N73" i="55" a="1"/>
  <c r="N73" i="55"/>
  <c r="O73" i="55"/>
  <c r="N130" i="55" a="1"/>
  <c r="N130" i="55"/>
  <c r="N118" i="55" a="1"/>
  <c r="N118" i="55"/>
  <c r="N25" i="55" a="1"/>
  <c r="N25" i="55"/>
  <c r="N162" i="55"/>
  <c r="N50" i="59"/>
  <c r="N37" i="59"/>
  <c r="L37" i="59"/>
  <c r="M26" i="59"/>
  <c r="L17" i="59"/>
  <c r="M10" i="59"/>
  <c r="N8" i="59"/>
  <c r="N6" i="59"/>
  <c r="N30" i="55" a="1"/>
  <c r="N30" i="55"/>
  <c r="N51" i="55" a="1"/>
  <c r="N51" i="55"/>
  <c r="M113" i="55" a="1"/>
  <c r="M113" i="55"/>
  <c r="M98" i="55" a="1"/>
  <c r="M98" i="55"/>
  <c r="M118" i="55" a="1"/>
  <c r="M118" i="55"/>
  <c r="O118" i="55"/>
  <c r="P94" i="55"/>
  <c r="S94" i="55"/>
  <c r="M67" i="55" a="1"/>
  <c r="M67" i="55"/>
  <c r="M116" i="55" a="1"/>
  <c r="M116" i="55"/>
  <c r="M20" i="55" a="1"/>
  <c r="M20" i="55"/>
  <c r="M108" i="55" a="1"/>
  <c r="M108" i="55"/>
  <c r="N103" i="55" a="1"/>
  <c r="N103" i="55"/>
  <c r="N148" i="55" a="1"/>
  <c r="N148" i="55"/>
  <c r="O48" i="59"/>
  <c r="U48" i="59"/>
  <c r="M24" i="55" a="1"/>
  <c r="M24" i="55"/>
  <c r="O24" i="55"/>
  <c r="M155" i="55" a="1"/>
  <c r="M155" i="55"/>
  <c r="M60" i="55" a="1"/>
  <c r="M60" i="55"/>
  <c r="M95" i="55" a="1"/>
  <c r="M95" i="55"/>
  <c r="M47" i="55" a="1"/>
  <c r="M47" i="55"/>
  <c r="M17" i="55" a="1"/>
  <c r="M17" i="55"/>
  <c r="O17" i="55"/>
  <c r="N10" i="55" a="1"/>
  <c r="N10" i="55"/>
  <c r="M71" i="55" a="1"/>
  <c r="M71" i="55"/>
  <c r="N79" i="55" a="1"/>
  <c r="N79" i="55"/>
  <c r="M51" i="55" a="1"/>
  <c r="M51" i="55"/>
  <c r="M58" i="55" a="1"/>
  <c r="M58" i="55"/>
  <c r="M45" i="55" a="1"/>
  <c r="M45" i="55"/>
  <c r="M40" i="55" a="1"/>
  <c r="M40" i="55"/>
  <c r="M25" i="55" a="1"/>
  <c r="M25" i="55"/>
  <c r="O25" i="55"/>
  <c r="M153" i="55" a="1"/>
  <c r="M153" i="55"/>
  <c r="O153" i="55"/>
  <c r="P127" i="55"/>
  <c r="S127" i="55"/>
  <c r="O8" i="59"/>
  <c r="U8" i="59"/>
  <c r="M63" i="55" a="1"/>
  <c r="M63" i="55"/>
  <c r="M147" i="55" a="1"/>
  <c r="M147" i="55"/>
  <c r="O147" i="55"/>
  <c r="P97" i="55"/>
  <c r="R97" i="55"/>
  <c r="M99" i="55" a="1"/>
  <c r="M99" i="55"/>
  <c r="O99" i="55"/>
  <c r="M148" i="55" a="1"/>
  <c r="M148" i="55"/>
  <c r="M78" i="55" a="1"/>
  <c r="M78" i="55"/>
  <c r="M121" i="55" a="1"/>
  <c r="M121" i="55"/>
  <c r="M90" i="55" a="1"/>
  <c r="M90" i="55"/>
  <c r="O90" i="55"/>
  <c r="M103" i="55" a="1"/>
  <c r="M103" i="55"/>
  <c r="M115" i="55" a="1"/>
  <c r="M115" i="55"/>
  <c r="M141" i="55" a="1"/>
  <c r="M141" i="55"/>
  <c r="O141" i="55"/>
  <c r="O59" i="59"/>
  <c r="U59" i="59"/>
  <c r="L52" i="59"/>
  <c r="L50" i="59"/>
  <c r="N67" i="55" a="1"/>
  <c r="N67" i="55"/>
  <c r="N55" i="55" a="1"/>
  <c r="N55" i="55"/>
  <c r="N102" i="55" a="1"/>
  <c r="N102" i="55"/>
  <c r="M54" i="55" a="1"/>
  <c r="M54" i="55"/>
  <c r="N60" i="55" a="1"/>
  <c r="N60" i="55"/>
  <c r="M123" i="55" a="1"/>
  <c r="M123" i="55"/>
  <c r="M128" i="55" a="1"/>
  <c r="M128" i="55"/>
  <c r="M84" i="55" a="1"/>
  <c r="M84" i="55"/>
  <c r="M41" i="55" a="1"/>
  <c r="M41" i="55"/>
  <c r="O41" i="55"/>
  <c r="M57" i="55" a="1"/>
  <c r="M57" i="55"/>
  <c r="M112" i="55" a="1"/>
  <c r="M112" i="55"/>
  <c r="M143" i="55" a="1"/>
  <c r="M143" i="55"/>
  <c r="O143" i="55"/>
  <c r="M125" i="55" a="1"/>
  <c r="M125" i="55"/>
  <c r="P46" i="55"/>
  <c r="S46" i="55"/>
  <c r="AE15" i="53"/>
  <c r="N62" i="55" a="1"/>
  <c r="N62" i="55"/>
  <c r="N131" i="55" a="1"/>
  <c r="N131" i="55"/>
  <c r="N119" i="55" a="1"/>
  <c r="N119" i="55"/>
  <c r="O119" i="55"/>
  <c r="N137" i="55" a="1"/>
  <c r="N137" i="55"/>
  <c r="N80" i="55" a="1"/>
  <c r="N80" i="55"/>
  <c r="O80" i="55"/>
  <c r="M102" i="55" a="1"/>
  <c r="M102" i="55"/>
  <c r="N14" i="55" a="1"/>
  <c r="N14" i="55"/>
  <c r="M111" i="55" a="1"/>
  <c r="M111" i="55"/>
  <c r="M85" i="55" a="1"/>
  <c r="M85" i="55"/>
  <c r="M79" i="55" a="1"/>
  <c r="M79" i="55"/>
  <c r="M72" i="55" a="1"/>
  <c r="M72" i="55"/>
  <c r="M97" i="55" a="1"/>
  <c r="M97" i="55"/>
  <c r="M96" i="55" a="1"/>
  <c r="M96" i="55"/>
  <c r="M10" i="55" a="1"/>
  <c r="M10" i="55"/>
  <c r="O10" i="55"/>
  <c r="L39" i="59"/>
  <c r="M151" i="55" a="1"/>
  <c r="M151" i="55"/>
  <c r="M114" i="55" a="1"/>
  <c r="M114" i="55"/>
  <c r="M89" i="55" a="1"/>
  <c r="M89" i="55"/>
  <c r="M53" i="55" a="1"/>
  <c r="M53" i="55"/>
  <c r="M12" i="55" a="1"/>
  <c r="M12" i="55"/>
  <c r="O12" i="55"/>
  <c r="M32" i="55" a="1"/>
  <c r="M32" i="55"/>
  <c r="M16" i="55" a="1"/>
  <c r="M16" i="55"/>
  <c r="O16" i="55"/>
  <c r="M22" i="55" a="1"/>
  <c r="M22" i="55"/>
  <c r="O22" i="55"/>
  <c r="O6" i="59"/>
  <c r="U6" i="59"/>
  <c r="N37" i="55" a="1"/>
  <c r="N37" i="55"/>
  <c r="N12" i="55" a="1"/>
  <c r="N12" i="55"/>
  <c r="N123" i="55" a="1"/>
  <c r="N123" i="55"/>
  <c r="N125" i="55" a="1"/>
  <c r="N125" i="55"/>
  <c r="V15" i="59"/>
  <c r="N9" i="55" a="1"/>
  <c r="N9" i="55"/>
  <c r="N11" i="55" a="1"/>
  <c r="N11" i="55"/>
  <c r="N90" i="55" a="1"/>
  <c r="N90" i="55"/>
  <c r="N124" i="55" a="1"/>
  <c r="N124" i="55"/>
  <c r="N68" i="55" a="1"/>
  <c r="N68" i="55"/>
  <c r="N105" i="55" a="1"/>
  <c r="N105" i="55"/>
  <c r="N63" i="55" a="1"/>
  <c r="N63" i="55"/>
  <c r="N127" i="55" a="1"/>
  <c r="N127" i="55"/>
  <c r="N77" i="55" a="1"/>
  <c r="N77" i="55"/>
  <c r="N81" i="55" a="1"/>
  <c r="N81" i="55"/>
  <c r="N84" i="55" a="1"/>
  <c r="N84" i="55"/>
  <c r="N45" i="55" a="1"/>
  <c r="N45" i="55"/>
  <c r="N134" i="55" a="1"/>
  <c r="N134" i="55"/>
  <c r="N36" i="55" a="1"/>
  <c r="N36" i="55"/>
  <c r="N27" i="55" a="1"/>
  <c r="N27" i="55"/>
  <c r="N14" i="59"/>
  <c r="T25" i="59"/>
  <c r="V14" i="59"/>
  <c r="N65" i="55" a="1"/>
  <c r="N65" i="55"/>
  <c r="O65" i="55"/>
  <c r="N64" i="55" a="1"/>
  <c r="N64" i="55"/>
  <c r="N100" i="55" a="1"/>
  <c r="N100" i="55"/>
  <c r="N126" i="55" a="1"/>
  <c r="N126" i="55"/>
  <c r="M145" i="55" a="1"/>
  <c r="M145" i="55"/>
  <c r="F19" i="59"/>
  <c r="N143" i="55" a="1"/>
  <c r="N143" i="55"/>
  <c r="P137" i="55"/>
  <c r="S137" i="55"/>
  <c r="N87" i="55" a="1"/>
  <c r="N87" i="55"/>
  <c r="N86" i="55" a="1"/>
  <c r="N86" i="55"/>
  <c r="N116" i="55" a="1"/>
  <c r="N116" i="55"/>
  <c r="V19" i="59"/>
  <c r="N128" i="55" a="1"/>
  <c r="N128" i="55"/>
  <c r="N40" i="55" a="1"/>
  <c r="N40" i="55"/>
  <c r="N76" i="55" a="1"/>
  <c r="N76" i="55"/>
  <c r="N145" i="55" a="1"/>
  <c r="N145" i="55"/>
  <c r="N156" i="55" a="1"/>
  <c r="N156" i="55"/>
  <c r="Q162" i="55"/>
  <c r="O19" i="59"/>
  <c r="L14" i="59"/>
  <c r="L13" i="59"/>
  <c r="R64" i="55"/>
  <c r="T64" i="55"/>
  <c r="N82" i="55" a="1"/>
  <c r="N82" i="55"/>
  <c r="O82" i="55"/>
  <c r="N29" i="55" a="1"/>
  <c r="N29" i="55"/>
  <c r="N18" i="55" a="1"/>
  <c r="N18" i="55"/>
  <c r="N49" i="55" a="1"/>
  <c r="N49" i="55"/>
  <c r="N104" i="55" a="1"/>
  <c r="N104" i="55"/>
  <c r="N15" i="55" a="1"/>
  <c r="N15" i="55"/>
  <c r="N57" i="55" a="1"/>
  <c r="N57" i="55"/>
  <c r="N89" i="55" a="1"/>
  <c r="N89" i="55"/>
  <c r="N17" i="55" a="1"/>
  <c r="N17" i="55"/>
  <c r="N85" i="55" a="1"/>
  <c r="N85" i="55"/>
  <c r="N95" i="55" a="1"/>
  <c r="N95" i="55"/>
  <c r="N56" i="55" a="1"/>
  <c r="N56" i="55"/>
  <c r="N43" i="55" a="1"/>
  <c r="N43" i="55"/>
  <c r="L8" i="59"/>
  <c r="N146" i="55" a="1"/>
  <c r="N146" i="55"/>
  <c r="V30" i="59"/>
  <c r="N17" i="59"/>
  <c r="N109" i="55" a="1"/>
  <c r="N109" i="55"/>
  <c r="N108" i="55" a="1"/>
  <c r="N108" i="55"/>
  <c r="N46" i="55" a="1"/>
  <c r="N46" i="55"/>
  <c r="P21" i="55"/>
  <c r="S21" i="55"/>
  <c r="N152" i="55" a="1"/>
  <c r="N152" i="55"/>
  <c r="N147" i="55" a="1"/>
  <c r="N147" i="55"/>
  <c r="G25" i="55"/>
  <c r="K25" i="55" a="1"/>
  <c r="K25" i="55"/>
  <c r="S42" i="55"/>
  <c r="V13" i="59"/>
  <c r="L24" i="59"/>
  <c r="V26" i="59"/>
  <c r="F25" i="59"/>
  <c r="F45" i="59"/>
  <c r="F36" i="59"/>
  <c r="S20" i="59"/>
  <c r="I20" i="59"/>
  <c r="R93" i="55"/>
  <c r="L19" i="59"/>
  <c r="S72" i="55"/>
  <c r="R72" i="55"/>
  <c r="G153" i="55"/>
  <c r="H153" i="55"/>
  <c r="S51" i="55"/>
  <c r="R51" i="55"/>
  <c r="G20" i="59"/>
  <c r="L47" i="59"/>
  <c r="I40" i="59"/>
  <c r="F52" i="59"/>
  <c r="R20" i="59"/>
  <c r="R39" i="55"/>
  <c r="T39" i="55"/>
  <c r="R70" i="55"/>
  <c r="N75" i="55" a="1"/>
  <c r="N75" i="55"/>
  <c r="O75" i="55"/>
  <c r="V33" i="59"/>
  <c r="O162" i="55"/>
  <c r="D20" i="59"/>
  <c r="F14" i="59"/>
  <c r="F33" i="59"/>
  <c r="L27" i="59"/>
  <c r="H60" i="59"/>
  <c r="N55" i="59"/>
  <c r="Q20" i="59"/>
  <c r="V5" i="59"/>
  <c r="M4" i="59"/>
  <c r="N48" i="59"/>
  <c r="D60" i="59"/>
  <c r="D40" i="59"/>
  <c r="L45" i="59"/>
  <c r="N59" i="59"/>
  <c r="N57" i="59"/>
  <c r="S40" i="59"/>
  <c r="S60" i="59"/>
  <c r="Q2" i="55"/>
  <c r="V54" i="59"/>
  <c r="V6" i="59"/>
  <c r="V55" i="59"/>
  <c r="V31" i="59"/>
  <c r="V36" i="59"/>
  <c r="V59" i="59"/>
  <c r="U36" i="59"/>
  <c r="R126" i="55"/>
  <c r="T126" i="55"/>
  <c r="R54" i="55"/>
  <c r="T54" i="55"/>
  <c r="T11" i="59"/>
  <c r="N52" i="59"/>
  <c r="F24" i="59"/>
  <c r="R84" i="55"/>
  <c r="T84" i="55"/>
  <c r="R105" i="55"/>
  <c r="T26" i="59"/>
  <c r="R119" i="55"/>
  <c r="T8" i="59"/>
  <c r="R9" i="55"/>
  <c r="T9" i="55"/>
  <c r="F46" i="59"/>
  <c r="E40" i="59"/>
  <c r="F18" i="59"/>
  <c r="K40" i="59"/>
  <c r="J40" i="59"/>
  <c r="Q40" i="59"/>
  <c r="L59" i="59"/>
  <c r="F48" i="59"/>
  <c r="F35" i="59"/>
  <c r="H40" i="59"/>
  <c r="I60" i="59"/>
  <c r="P40" i="59"/>
  <c r="T31" i="59"/>
  <c r="L51" i="59"/>
  <c r="T56" i="59"/>
  <c r="N49" i="59"/>
  <c r="P60" i="59"/>
  <c r="V45" i="59"/>
  <c r="J60" i="59"/>
  <c r="V34" i="59"/>
  <c r="G40" i="59"/>
  <c r="M40" i="59"/>
  <c r="T153" i="55"/>
  <c r="R41" i="55"/>
  <c r="T41" i="55"/>
  <c r="B40" i="59"/>
  <c r="V35" i="59"/>
  <c r="F59" i="59"/>
  <c r="V8" i="59"/>
  <c r="F13" i="59"/>
  <c r="T35" i="59"/>
  <c r="F54" i="59"/>
  <c r="T24" i="59"/>
  <c r="R149" i="55"/>
  <c r="R11" i="55"/>
  <c r="R127" i="55"/>
  <c r="T127" i="55"/>
  <c r="R47" i="55"/>
  <c r="R86" i="55"/>
  <c r="T27" i="59"/>
  <c r="R120" i="55"/>
  <c r="T120" i="55"/>
  <c r="R46" i="55"/>
  <c r="S50" i="55"/>
  <c r="T50" i="55"/>
  <c r="T55" i="59"/>
  <c r="R113" i="55"/>
  <c r="R89" i="55"/>
  <c r="T89" i="55"/>
  <c r="U35" i="59"/>
  <c r="T59" i="59"/>
  <c r="T54" i="59"/>
  <c r="R59" i="55"/>
  <c r="R95" i="55"/>
  <c r="T95" i="55"/>
  <c r="R152" i="55"/>
  <c r="R34" i="55"/>
  <c r="T34" i="55"/>
  <c r="R16" i="55"/>
  <c r="T16" i="55"/>
  <c r="S70" i="55"/>
  <c r="R104" i="55"/>
  <c r="T104" i="55"/>
  <c r="T12" i="59"/>
  <c r="S149" i="55"/>
  <c r="T46" i="59"/>
  <c r="R83" i="55"/>
  <c r="S38" i="55"/>
  <c r="G113" i="55"/>
  <c r="H113" i="55"/>
  <c r="H72" i="55"/>
  <c r="G72" i="55"/>
  <c r="L25" i="55" a="1"/>
  <c r="L25" i="55"/>
  <c r="H25" i="55"/>
  <c r="H97" i="55"/>
  <c r="H115" i="55"/>
  <c r="G22" i="55"/>
  <c r="G87" i="55"/>
  <c r="H96" i="55"/>
  <c r="H98" i="55"/>
  <c r="H135" i="55"/>
  <c r="L49" i="59"/>
  <c r="N46" i="59"/>
  <c r="N10" i="59"/>
  <c r="L28" i="59"/>
  <c r="T13" i="59"/>
  <c r="L44" i="59"/>
  <c r="V49" i="59"/>
  <c r="Q60" i="59"/>
  <c r="R60" i="59"/>
  <c r="H20" i="59"/>
  <c r="M20" i="59"/>
  <c r="T9" i="59"/>
  <c r="T30" i="59"/>
  <c r="O40" i="59"/>
  <c r="U40" i="59"/>
  <c r="L48" i="59"/>
  <c r="F56" i="59"/>
  <c r="T16" i="59"/>
  <c r="U52" i="59"/>
  <c r="T5" i="59"/>
  <c r="U33" i="59"/>
  <c r="K20" i="59"/>
  <c r="F4" i="59"/>
  <c r="H11" i="55"/>
  <c r="G11" i="55"/>
  <c r="H36" i="55"/>
  <c r="R79" i="55"/>
  <c r="R138" i="55"/>
  <c r="T138" i="55"/>
  <c r="R80" i="55"/>
  <c r="T80" i="55"/>
  <c r="R58" i="55"/>
  <c r="R142" i="55"/>
  <c r="S75" i="55"/>
  <c r="R75" i="55"/>
  <c r="S122" i="55"/>
  <c r="S71" i="55"/>
  <c r="R71" i="55"/>
  <c r="T71" i="55"/>
  <c r="S74" i="55"/>
  <c r="R74" i="55"/>
  <c r="H105" i="55"/>
  <c r="G105" i="55"/>
  <c r="G57" i="55"/>
  <c r="H57" i="55"/>
  <c r="H9" i="55"/>
  <c r="G9" i="55"/>
  <c r="G103" i="55"/>
  <c r="H103" i="55"/>
  <c r="H133" i="55"/>
  <c r="H62" i="55"/>
  <c r="G62" i="55"/>
  <c r="G75" i="55"/>
  <c r="H75" i="55"/>
  <c r="G116" i="55"/>
  <c r="T47" i="59"/>
  <c r="V47" i="59"/>
  <c r="B60" i="59"/>
  <c r="V60" i="59"/>
  <c r="F47" i="59"/>
  <c r="S103" i="55"/>
  <c r="P20" i="59"/>
  <c r="N11" i="59"/>
  <c r="N35" i="59"/>
  <c r="T49" i="59"/>
  <c r="F49" i="59"/>
  <c r="T44" i="59"/>
  <c r="N31" i="55" a="1"/>
  <c r="N31" i="55"/>
  <c r="N22" i="55" a="1"/>
  <c r="N22" i="55"/>
  <c r="N149" i="55" a="1"/>
  <c r="N149" i="55"/>
  <c r="T45" i="59"/>
  <c r="R98" i="55"/>
  <c r="N142" i="55" a="1"/>
  <c r="N142" i="55"/>
  <c r="E20" i="59"/>
  <c r="G60" i="59"/>
  <c r="N150" i="55" a="1"/>
  <c r="N150" i="55"/>
  <c r="O150" i="55"/>
  <c r="N9" i="59"/>
  <c r="N36" i="59"/>
  <c r="T18" i="59"/>
  <c r="V4" i="59"/>
  <c r="B7" i="59"/>
  <c r="R10" i="55"/>
  <c r="V24" i="59"/>
  <c r="L15" i="59"/>
  <c r="N12" i="59"/>
  <c r="F38" i="59"/>
  <c r="V58" i="59"/>
  <c r="R117" i="55"/>
  <c r="T117" i="55"/>
  <c r="N26" i="59"/>
  <c r="J94" i="55"/>
  <c r="R94" i="55"/>
  <c r="T94" i="55"/>
  <c r="N27" i="59"/>
  <c r="F58" i="59"/>
  <c r="N19" i="55" a="1"/>
  <c r="N19" i="55"/>
  <c r="H117" i="55"/>
  <c r="N151" i="55" a="1"/>
  <c r="N151" i="55"/>
  <c r="O151" i="55"/>
  <c r="T4" i="59"/>
  <c r="N16" i="59"/>
  <c r="L30" i="59"/>
  <c r="R40" i="59"/>
  <c r="L46" i="59"/>
  <c r="N66" i="55" a="1"/>
  <c r="N66" i="55"/>
  <c r="V48" i="59"/>
  <c r="F55" i="59"/>
  <c r="L54" i="59"/>
  <c r="R48" i="55"/>
  <c r="N141" i="55" a="1"/>
  <c r="N141" i="55"/>
  <c r="N31" i="59"/>
  <c r="V46" i="59"/>
  <c r="E60" i="59"/>
  <c r="R56" i="55"/>
  <c r="T56" i="55"/>
  <c r="N117" i="55" a="1"/>
  <c r="N117" i="55"/>
  <c r="N129" i="55" a="1"/>
  <c r="N129" i="55"/>
  <c r="O129" i="55"/>
  <c r="L7" i="59"/>
  <c r="N144" i="55" a="1"/>
  <c r="N144" i="55"/>
  <c r="R118" i="55"/>
  <c r="L2" i="53"/>
  <c r="N121" i="55" a="1"/>
  <c r="N121" i="55"/>
  <c r="N42" i="55" a="1"/>
  <c r="N42" i="55"/>
  <c r="N154" i="55" a="1"/>
  <c r="N154" i="55"/>
  <c r="O154" i="55"/>
  <c r="L4" i="59"/>
  <c r="N7" i="59"/>
  <c r="N54" i="59"/>
  <c r="N30" i="59"/>
  <c r="C40" i="59"/>
  <c r="L11" i="59"/>
  <c r="N25" i="59"/>
  <c r="N24" i="59"/>
  <c r="O50" i="59"/>
  <c r="S53" i="55"/>
  <c r="Z181" i="53"/>
  <c r="T24" i="55"/>
  <c r="R140" i="55"/>
  <c r="P131" i="55"/>
  <c r="S131" i="55"/>
  <c r="P60" i="55"/>
  <c r="R60" i="55"/>
  <c r="R133" i="55"/>
  <c r="T133" i="55"/>
  <c r="R150" i="55"/>
  <c r="T150" i="55"/>
  <c r="R154" i="55"/>
  <c r="Z2" i="53"/>
  <c r="O10" i="59"/>
  <c r="R30" i="55"/>
  <c r="T14" i="59"/>
  <c r="S142" i="55"/>
  <c r="R27" i="55"/>
  <c r="C20" i="59"/>
  <c r="L20" i="59"/>
  <c r="N47" i="59"/>
  <c r="N28" i="59"/>
  <c r="N4" i="59"/>
  <c r="L29" i="59"/>
  <c r="N32" i="59"/>
  <c r="L38" i="59"/>
  <c r="L31" i="59"/>
  <c r="N15" i="59"/>
  <c r="L36" i="59"/>
  <c r="N34" i="59"/>
  <c r="L6" i="59"/>
  <c r="C60" i="59"/>
  <c r="L35" i="59"/>
  <c r="N33" i="59"/>
  <c r="N56" i="59"/>
  <c r="L26" i="59"/>
  <c r="G50" i="55"/>
  <c r="H50" i="55"/>
  <c r="G150" i="55"/>
  <c r="H150" i="55"/>
  <c r="L136" i="55" a="1"/>
  <c r="L136" i="55"/>
  <c r="G84" i="55"/>
  <c r="H84" i="55"/>
  <c r="H63" i="55"/>
  <c r="G126" i="55"/>
  <c r="G16" i="55"/>
  <c r="H77" i="55"/>
  <c r="G77" i="55"/>
  <c r="H111" i="55"/>
  <c r="G111" i="55"/>
  <c r="G131" i="55"/>
  <c r="H131" i="55"/>
  <c r="H51" i="55"/>
  <c r="G51" i="55"/>
  <c r="G39" i="55"/>
  <c r="H39" i="55"/>
  <c r="H139" i="55"/>
  <c r="G139" i="55"/>
  <c r="H33" i="55"/>
  <c r="G33" i="55"/>
  <c r="G85" i="55"/>
  <c r="H85" i="55"/>
  <c r="G128" i="55"/>
  <c r="H128" i="55"/>
  <c r="H66" i="55"/>
  <c r="G66" i="55"/>
  <c r="G31" i="55"/>
  <c r="L153" i="55" a="1"/>
  <c r="L153" i="55"/>
  <c r="G44" i="55"/>
  <c r="G38" i="55"/>
  <c r="K17" i="55" a="1"/>
  <c r="K17" i="55"/>
  <c r="G118" i="55"/>
  <c r="H118" i="55"/>
  <c r="H42" i="55"/>
  <c r="G42" i="55"/>
  <c r="G146" i="55"/>
  <c r="K146" i="55" a="1"/>
  <c r="K146" i="55"/>
  <c r="L146" i="55" a="1"/>
  <c r="L146" i="55"/>
  <c r="H146" i="55"/>
  <c r="X181" i="53"/>
  <c r="X2" i="53"/>
  <c r="H155" i="55"/>
  <c r="G155" i="55"/>
  <c r="J2" i="55"/>
  <c r="F8" i="59"/>
  <c r="H144" i="55"/>
  <c r="G144" i="55"/>
  <c r="H151" i="55"/>
  <c r="G151" i="55"/>
  <c r="G74" i="55"/>
  <c r="G47" i="55"/>
  <c r="H47" i="55"/>
  <c r="H43" i="55"/>
  <c r="G43" i="55"/>
  <c r="S10" i="55"/>
  <c r="S112" i="55"/>
  <c r="R112" i="55"/>
  <c r="H149" i="55"/>
  <c r="G149" i="55"/>
  <c r="H156" i="55"/>
  <c r="G147" i="55"/>
  <c r="L147" i="55" a="1"/>
  <c r="L147" i="55"/>
  <c r="K147" i="55" a="1"/>
  <c r="K147" i="55"/>
  <c r="H147" i="55"/>
  <c r="D7" i="26"/>
  <c r="L55" i="59"/>
  <c r="H154" i="55"/>
  <c r="G154" i="55"/>
  <c r="H95" i="55"/>
  <c r="G95" i="55"/>
  <c r="H145" i="55"/>
  <c r="G145" i="55"/>
  <c r="H152" i="55"/>
  <c r="G152" i="55"/>
  <c r="G52" i="55"/>
  <c r="H52" i="55"/>
  <c r="K141" i="55" a="1"/>
  <c r="K141" i="55"/>
  <c r="H141" i="55"/>
  <c r="L141" i="55" a="1"/>
  <c r="L141" i="55"/>
  <c r="G141" i="55"/>
  <c r="L143" i="55" a="1"/>
  <c r="L143" i="55"/>
  <c r="G143" i="55"/>
  <c r="H143" i="55"/>
  <c r="K143" i="55" a="1"/>
  <c r="K143" i="55"/>
  <c r="T38" i="59"/>
  <c r="Q14" i="26"/>
  <c r="G2" i="26"/>
  <c r="X14" i="26"/>
  <c r="V18" i="59"/>
  <c r="T58" i="59"/>
  <c r="L16" i="59"/>
  <c r="N101" i="55" a="1"/>
  <c r="N101" i="55"/>
  <c r="N155" i="55" a="1"/>
  <c r="N155" i="55"/>
  <c r="B6" i="26"/>
  <c r="P14" i="26"/>
  <c r="K153" i="55" a="1"/>
  <c r="K153" i="55"/>
  <c r="L58" i="59"/>
  <c r="J14" i="26"/>
  <c r="AE14" i="26"/>
  <c r="M14" i="26"/>
  <c r="N83" i="55" a="1"/>
  <c r="N83" i="55"/>
  <c r="O83" i="55"/>
  <c r="N153" i="55" a="1"/>
  <c r="N153" i="55"/>
  <c r="AG14" i="26"/>
  <c r="V12" i="26"/>
  <c r="AJ14" i="26"/>
  <c r="N18" i="59"/>
  <c r="S12" i="26"/>
  <c r="Z14" i="26"/>
  <c r="C12" i="26"/>
  <c r="N2" i="53"/>
  <c r="N14" i="26"/>
  <c r="R14" i="26"/>
  <c r="T14" i="26"/>
  <c r="AG12" i="26"/>
  <c r="AL12" i="26"/>
  <c r="AE12" i="26"/>
  <c r="M60" i="59"/>
  <c r="N20" i="59"/>
  <c r="L60" i="59"/>
  <c r="K77" i="55" a="1"/>
  <c r="K77" i="55"/>
  <c r="K121" i="55" a="1"/>
  <c r="K121" i="55"/>
  <c r="K51" i="55" a="1"/>
  <c r="K51" i="55"/>
  <c r="N40" i="59"/>
  <c r="V40" i="59"/>
  <c r="K86" i="55" a="1"/>
  <c r="K86" i="55"/>
  <c r="T40" i="59"/>
  <c r="K50" i="55" a="1"/>
  <c r="K50" i="55"/>
  <c r="K71" i="55" a="1"/>
  <c r="K71" i="55"/>
  <c r="K113" i="55" a="1"/>
  <c r="K113" i="55"/>
  <c r="L40" i="59"/>
  <c r="K26" i="55" a="1"/>
  <c r="K26" i="55"/>
  <c r="B20" i="59"/>
  <c r="V20" i="59"/>
  <c r="V7" i="59"/>
  <c r="K155" i="55" a="1"/>
  <c r="K155" i="55"/>
  <c r="K42" i="55" a="1"/>
  <c r="K42" i="55"/>
  <c r="AE2" i="53"/>
  <c r="P2" i="55"/>
  <c r="P162" i="55"/>
  <c r="S60" i="55"/>
  <c r="T60" i="55"/>
  <c r="O60" i="59"/>
  <c r="U60" i="59"/>
  <c r="T10" i="59"/>
  <c r="U10" i="59"/>
  <c r="L16" i="55" a="1"/>
  <c r="L16" i="55"/>
  <c r="L22" i="55" a="1"/>
  <c r="L22" i="55"/>
  <c r="K11" i="55" a="1"/>
  <c r="K11" i="55"/>
  <c r="K131" i="55" a="1"/>
  <c r="K131" i="55"/>
  <c r="K119" i="55" a="1"/>
  <c r="K119" i="55"/>
  <c r="K2" i="55"/>
  <c r="K115" i="55" a="1"/>
  <c r="K115" i="55"/>
  <c r="K52" i="55" a="1"/>
  <c r="K52" i="55"/>
  <c r="K152" i="55" a="1"/>
  <c r="K152" i="55"/>
  <c r="K162" i="55"/>
  <c r="K103" i="55" a="1"/>
  <c r="K103" i="55"/>
  <c r="K81" i="55" a="1"/>
  <c r="K81" i="55"/>
  <c r="K68" i="55" a="1"/>
  <c r="K68" i="55"/>
  <c r="K34" i="55" a="1"/>
  <c r="K34" i="55"/>
  <c r="K67" i="55" a="1"/>
  <c r="K67" i="55"/>
  <c r="K44" i="55" a="1"/>
  <c r="K44" i="55"/>
  <c r="K39" i="55" a="1"/>
  <c r="K39" i="55"/>
  <c r="K132" i="55" a="1"/>
  <c r="K132" i="55"/>
  <c r="K149" i="55" a="1"/>
  <c r="K149" i="55"/>
  <c r="K95" i="55" a="1"/>
  <c r="K95" i="55"/>
  <c r="K62" i="55" a="1"/>
  <c r="K62" i="55"/>
  <c r="K45" i="55" a="1"/>
  <c r="K45" i="55"/>
  <c r="K97" i="55" a="1"/>
  <c r="K97" i="55"/>
  <c r="K72" i="55" a="1"/>
  <c r="K72" i="55"/>
  <c r="K150" i="55" a="1"/>
  <c r="K150" i="55"/>
  <c r="K111" i="55" a="1"/>
  <c r="K111" i="55"/>
  <c r="D6" i="26"/>
  <c r="E7" i="26"/>
  <c r="E6" i="26"/>
  <c r="K88" i="55" a="1"/>
  <c r="K88" i="55"/>
  <c r="K128" i="55" a="1"/>
  <c r="K128" i="55"/>
  <c r="K145" i="55" a="1"/>
  <c r="K145" i="55"/>
  <c r="K54" i="55" a="1"/>
  <c r="K54" i="55"/>
  <c r="K118" i="55" a="1"/>
  <c r="K118" i="55"/>
  <c r="K96" i="55" a="1"/>
  <c r="K96" i="55"/>
  <c r="K27" i="55" a="1"/>
  <c r="K27" i="55"/>
  <c r="K37" i="55" a="1"/>
  <c r="K37" i="55"/>
  <c r="K76" i="55" a="1"/>
  <c r="K76" i="55"/>
  <c r="K139" i="55" a="1"/>
  <c r="K139" i="55"/>
  <c r="K151" i="55" a="1"/>
  <c r="K151" i="55"/>
  <c r="K140" i="55" a="1"/>
  <c r="K140" i="55"/>
  <c r="K74" i="55" a="1"/>
  <c r="K74" i="55"/>
  <c r="K156" i="55" a="1"/>
  <c r="K156" i="55"/>
  <c r="K66" i="55" a="1"/>
  <c r="K66" i="55"/>
  <c r="K47" i="55" a="1"/>
  <c r="K47" i="55"/>
  <c r="K38" i="55" a="1"/>
  <c r="K38" i="55"/>
  <c r="K117" i="55" a="1"/>
  <c r="K117" i="55"/>
  <c r="K126" i="55" a="1"/>
  <c r="K126" i="55"/>
  <c r="K104" i="55" a="1"/>
  <c r="K104" i="55"/>
  <c r="K84" i="55" a="1"/>
  <c r="K84" i="55"/>
  <c r="K22" i="55" a="1"/>
  <c r="K22" i="55"/>
  <c r="K36" i="55" a="1"/>
  <c r="K36" i="55"/>
  <c r="K133" i="55" a="1"/>
  <c r="K133" i="55"/>
  <c r="K98" i="55" a="1"/>
  <c r="K98" i="55"/>
  <c r="K75" i="55" a="1"/>
  <c r="K75" i="55"/>
  <c r="K9" i="55" a="1"/>
  <c r="K9" i="55"/>
  <c r="T60" i="59"/>
  <c r="S162" i="55"/>
  <c r="S2" i="55"/>
  <c r="R2" i="55"/>
  <c r="R162" i="55"/>
  <c r="T2" i="55"/>
  <c r="F7" i="26"/>
  <c r="G7" i="26"/>
  <c r="D10" i="57"/>
  <c r="D12" i="57"/>
  <c r="D9" i="57"/>
  <c r="D7" i="57"/>
  <c r="D5" i="57"/>
  <c r="D6" i="57"/>
  <c r="D8" i="57"/>
  <c r="D11" i="57"/>
  <c r="G138" i="53"/>
  <c r="G36" i="53"/>
  <c r="G153" i="53"/>
  <c r="G136" i="53"/>
  <c r="R139" i="55"/>
  <c r="T139" i="55"/>
  <c r="O33" i="55"/>
  <c r="S97" i="55"/>
  <c r="R73" i="55"/>
  <c r="R14" i="55"/>
  <c r="G149" i="53"/>
  <c r="T11" i="55"/>
  <c r="T74" i="55"/>
  <c r="T149" i="55"/>
  <c r="R125" i="55"/>
  <c r="T125" i="55"/>
  <c r="O76" i="55"/>
  <c r="O114" i="55"/>
  <c r="O13" i="55"/>
  <c r="K124" i="55" a="1"/>
  <c r="K124" i="55"/>
  <c r="R63" i="55"/>
  <c r="T63" i="55"/>
  <c r="G17" i="55"/>
  <c r="G122" i="55"/>
  <c r="R107" i="55"/>
  <c r="T107" i="55"/>
  <c r="H17" i="55"/>
  <c r="O132" i="55"/>
  <c r="H15" i="55"/>
  <c r="R81" i="55"/>
  <c r="O103" i="55"/>
  <c r="G151" i="53"/>
  <c r="R52" i="55"/>
  <c r="T52" i="55"/>
  <c r="T142" i="55"/>
  <c r="R78" i="55"/>
  <c r="T78" i="55"/>
  <c r="T98" i="55"/>
  <c r="O74" i="55"/>
  <c r="R106" i="55"/>
  <c r="T106" i="55"/>
  <c r="R23" i="55"/>
  <c r="O56" i="55"/>
  <c r="O127" i="55"/>
  <c r="O8" i="55"/>
  <c r="G123" i="55"/>
  <c r="O32" i="55"/>
  <c r="T72" i="55"/>
  <c r="R12" i="55"/>
  <c r="T12" i="55"/>
  <c r="K135" i="55" a="1"/>
  <c r="K135" i="55"/>
  <c r="R44" i="55"/>
  <c r="T44" i="55"/>
  <c r="T140" i="55"/>
  <c r="T51" i="55"/>
  <c r="O69" i="55"/>
  <c r="K19" i="55" a="1"/>
  <c r="K19" i="55"/>
  <c r="L19" i="55" a="1"/>
  <c r="L19" i="55"/>
  <c r="G19" i="55"/>
  <c r="H69" i="55"/>
  <c r="G69" i="55"/>
  <c r="K13" i="55" a="1"/>
  <c r="K13" i="55"/>
  <c r="G13" i="55"/>
  <c r="H13" i="55"/>
  <c r="H80" i="55"/>
  <c r="K80" i="55" a="1"/>
  <c r="K80" i="55"/>
  <c r="G138" i="55"/>
  <c r="K138" i="55" a="1"/>
  <c r="K138" i="55"/>
  <c r="H61" i="55"/>
  <c r="R137" i="55"/>
  <c r="T137" i="55"/>
  <c r="K108" i="55" a="1"/>
  <c r="K108" i="55"/>
  <c r="T25" i="55"/>
  <c r="R151" i="55"/>
  <c r="T151" i="55"/>
  <c r="K78" i="55" a="1"/>
  <c r="K78" i="55"/>
  <c r="K63" i="55" a="1"/>
  <c r="K63" i="55"/>
  <c r="T75" i="55"/>
  <c r="R100" i="55"/>
  <c r="T100" i="55"/>
  <c r="O102" i="55"/>
  <c r="O123" i="55"/>
  <c r="G94" i="53"/>
  <c r="G104" i="53"/>
  <c r="T79" i="55"/>
  <c r="O91" i="55"/>
  <c r="G132" i="53"/>
  <c r="G160" i="53"/>
  <c r="R45" i="55"/>
  <c r="K137" i="55" a="1"/>
  <c r="K137" i="55"/>
  <c r="G88" i="55"/>
  <c r="R21" i="55"/>
  <c r="G100" i="55"/>
  <c r="R49" i="55"/>
  <c r="T49" i="55"/>
  <c r="O125" i="55"/>
  <c r="G95" i="53"/>
  <c r="G110" i="53"/>
  <c r="G96" i="53"/>
  <c r="T43" i="55"/>
  <c r="R33" i="55"/>
  <c r="T33" i="55"/>
  <c r="G112" i="55"/>
  <c r="G97" i="53"/>
  <c r="G129" i="53"/>
  <c r="O50" i="55"/>
  <c r="R32" i="55"/>
  <c r="T32" i="55"/>
  <c r="R96" i="55"/>
  <c r="T96" i="55"/>
  <c r="R102" i="55"/>
  <c r="T102" i="55"/>
  <c r="O52" i="55"/>
  <c r="G93" i="53"/>
  <c r="R8" i="55"/>
  <c r="K122" i="55" a="1"/>
  <c r="K122" i="55"/>
  <c r="O61" i="55"/>
  <c r="O121" i="55"/>
  <c r="K30" i="55" a="1"/>
  <c r="K30" i="55"/>
  <c r="H30" i="55"/>
  <c r="G30" i="55"/>
  <c r="G102" i="55"/>
  <c r="H102" i="55"/>
  <c r="K102" i="55" a="1"/>
  <c r="K102" i="55"/>
  <c r="G125" i="55"/>
  <c r="H125" i="55"/>
  <c r="K55" i="55" a="1"/>
  <c r="K55" i="55"/>
  <c r="G55" i="55"/>
  <c r="H55" i="55"/>
  <c r="G49" i="55"/>
  <c r="H49" i="55"/>
  <c r="K49" i="55" a="1"/>
  <c r="K49" i="55"/>
  <c r="G109" i="55"/>
  <c r="H109" i="55"/>
  <c r="H107" i="55"/>
  <c r="G107" i="55"/>
  <c r="H70" i="55"/>
  <c r="G70" i="55"/>
  <c r="G142" i="55"/>
  <c r="K142" i="55" a="1"/>
  <c r="K142" i="55"/>
  <c r="H142" i="55"/>
  <c r="H64" i="55"/>
  <c r="G64" i="55"/>
  <c r="H48" i="55"/>
  <c r="G48" i="55"/>
  <c r="K48" i="55" a="1"/>
  <c r="K48" i="55"/>
  <c r="K40" i="55" a="1"/>
  <c r="K40" i="55"/>
  <c r="H40" i="55"/>
  <c r="G40" i="55"/>
  <c r="K79" i="55" a="1"/>
  <c r="K79" i="55"/>
  <c r="H79" i="55"/>
  <c r="G79" i="55"/>
  <c r="O113" i="55"/>
  <c r="G61" i="53"/>
  <c r="T122" i="55"/>
  <c r="T23" i="55"/>
  <c r="K33" i="55" a="1"/>
  <c r="K33" i="55"/>
  <c r="S36" i="55"/>
  <c r="T36" i="55"/>
  <c r="G48" i="53"/>
  <c r="O34" i="55"/>
  <c r="S81" i="55"/>
  <c r="T81" i="55"/>
  <c r="H28" i="55"/>
  <c r="O155" i="55"/>
  <c r="T90" i="55"/>
  <c r="G137" i="55"/>
  <c r="T10" i="55"/>
  <c r="T103" i="55"/>
  <c r="R28" i="55"/>
  <c r="T28" i="55"/>
  <c r="O124" i="55"/>
  <c r="L24" i="55" a="1"/>
  <c r="L24" i="55"/>
  <c r="R77" i="55"/>
  <c r="T77" i="55"/>
  <c r="O68" i="55"/>
  <c r="O120" i="55"/>
  <c r="G62" i="53"/>
  <c r="R115" i="55"/>
  <c r="T136" i="55"/>
  <c r="O156" i="55"/>
  <c r="O84" i="55"/>
  <c r="T47" i="55"/>
  <c r="O152" i="55"/>
  <c r="K16" i="55" a="1"/>
  <c r="K16" i="55"/>
  <c r="S37" i="55"/>
  <c r="T37" i="55"/>
  <c r="R111" i="55"/>
  <c r="R15" i="55"/>
  <c r="T15" i="55"/>
  <c r="R35" i="55"/>
  <c r="T35" i="55"/>
  <c r="R66" i="55"/>
  <c r="T66" i="55"/>
  <c r="O51" i="55"/>
  <c r="G80" i="55"/>
  <c r="S145" i="55"/>
  <c r="T145" i="55"/>
  <c r="G63" i="53"/>
  <c r="R61" i="55"/>
  <c r="T61" i="55"/>
  <c r="T119" i="55"/>
  <c r="T20" i="55"/>
  <c r="R114" i="55"/>
  <c r="T114" i="55"/>
  <c r="R31" i="55"/>
  <c r="T31" i="55"/>
  <c r="T97" i="55"/>
  <c r="H100" i="55"/>
  <c r="H93" i="55"/>
  <c r="T70" i="55"/>
  <c r="O77" i="55"/>
  <c r="R13" i="55"/>
  <c r="T13" i="55"/>
  <c r="R53" i="55"/>
  <c r="T53" i="55"/>
  <c r="T58" i="55"/>
  <c r="T30" i="55"/>
  <c r="R134" i="55"/>
  <c r="T134" i="55"/>
  <c r="O71" i="55"/>
  <c r="O70" i="55"/>
  <c r="G92" i="55"/>
  <c r="R85" i="55"/>
  <c r="T147" i="55"/>
  <c r="R69" i="55"/>
  <c r="T69" i="55"/>
  <c r="T93" i="55"/>
  <c r="O109" i="55"/>
  <c r="S62" i="55"/>
  <c r="T62" i="55"/>
  <c r="R148" i="55"/>
  <c r="T148" i="55"/>
  <c r="R92" i="55"/>
  <c r="T92" i="55"/>
  <c r="R99" i="55"/>
  <c r="T99" i="55"/>
  <c r="O81" i="55"/>
  <c r="T101" i="55"/>
  <c r="R67" i="55"/>
  <c r="T67" i="55"/>
  <c r="K35" i="55" a="1"/>
  <c r="K35" i="55"/>
  <c r="R91" i="55"/>
  <c r="T91" i="55"/>
  <c r="K90" i="55" a="1"/>
  <c r="K90" i="55"/>
  <c r="T105" i="55"/>
  <c r="R38" i="55"/>
  <c r="T38" i="55"/>
  <c r="T27" i="55"/>
  <c r="T18" i="55"/>
  <c r="K92" i="55" a="1"/>
  <c r="K92" i="55"/>
  <c r="O79" i="55"/>
  <c r="R87" i="55"/>
  <c r="T17" i="55"/>
  <c r="K114" i="55" a="1"/>
  <c r="K114" i="55"/>
  <c r="G114" i="55"/>
  <c r="H114" i="55"/>
  <c r="G8" i="55"/>
  <c r="K8" i="55" a="1"/>
  <c r="K8" i="55"/>
  <c r="H8" i="55"/>
  <c r="G29" i="55"/>
  <c r="H29" i="55"/>
  <c r="H127" i="55"/>
  <c r="G127" i="55"/>
  <c r="G32" i="55"/>
  <c r="K32" i="55" a="1"/>
  <c r="K32" i="55"/>
  <c r="H32" i="55"/>
  <c r="H18" i="55"/>
  <c r="L18" i="55" a="1"/>
  <c r="L18" i="55"/>
  <c r="G18" i="55"/>
  <c r="K18" i="55" a="1"/>
  <c r="K18" i="55"/>
  <c r="G83" i="55"/>
  <c r="K83" i="55" a="1"/>
  <c r="K83" i="55"/>
  <c r="H83" i="55"/>
  <c r="T21" i="55"/>
  <c r="O53" i="55"/>
  <c r="G60" i="55"/>
  <c r="H60" i="55"/>
  <c r="K58" i="55" a="1"/>
  <c r="K58" i="55"/>
  <c r="G58" i="55"/>
  <c r="H58" i="55"/>
  <c r="K110" i="55" a="1"/>
  <c r="K110" i="55"/>
  <c r="G110" i="55"/>
  <c r="H110" i="55"/>
  <c r="G56" i="55"/>
  <c r="H56" i="55"/>
  <c r="K56" i="55" a="1"/>
  <c r="K56" i="55"/>
  <c r="G94" i="55"/>
  <c r="H94" i="55"/>
  <c r="H12" i="55"/>
  <c r="G12" i="55"/>
  <c r="T129" i="55"/>
  <c r="G120" i="55"/>
  <c r="K120" i="55" a="1"/>
  <c r="K120" i="55"/>
  <c r="H120" i="55"/>
  <c r="G106" i="55"/>
  <c r="H106" i="55"/>
  <c r="K106" i="55" a="1"/>
  <c r="K106" i="55"/>
  <c r="G23" i="55"/>
  <c r="H23" i="55"/>
  <c r="K23" i="55" a="1"/>
  <c r="K23" i="55"/>
  <c r="G59" i="55"/>
  <c r="H59" i="55"/>
  <c r="K59" i="55" a="1"/>
  <c r="K59" i="55"/>
  <c r="O92" i="55"/>
  <c r="T85" i="55"/>
  <c r="H21" i="55"/>
  <c r="K21" i="55" a="1"/>
  <c r="K21" i="55"/>
  <c r="G21" i="55"/>
  <c r="H20" i="55"/>
  <c r="G20" i="55"/>
  <c r="K20" i="55" a="1"/>
  <c r="K20" i="55"/>
  <c r="H101" i="55"/>
  <c r="G101" i="55"/>
  <c r="K101" i="55" a="1"/>
  <c r="K101" i="55"/>
  <c r="L101" i="55" a="1"/>
  <c r="L101" i="55"/>
  <c r="H89" i="55"/>
  <c r="G89" i="55"/>
  <c r="K89" i="55" a="1"/>
  <c r="K89" i="55"/>
  <c r="K53" i="55" a="1"/>
  <c r="K53" i="55"/>
  <c r="H53" i="55"/>
  <c r="G53" i="55"/>
  <c r="G148" i="55"/>
  <c r="H148" i="55"/>
  <c r="H65" i="55"/>
  <c r="G65" i="55"/>
  <c r="H46" i="55"/>
  <c r="G46" i="55"/>
  <c r="K46" i="55" a="1"/>
  <c r="K46" i="55"/>
  <c r="O36" i="55"/>
  <c r="O47" i="55"/>
  <c r="G129" i="55"/>
  <c r="K129" i="55" a="1"/>
  <c r="K129" i="55"/>
  <c r="H129" i="55"/>
  <c r="L129" i="55" a="1"/>
  <c r="L129" i="55"/>
  <c r="K99" i="55" a="1"/>
  <c r="K99" i="55"/>
  <c r="G99" i="55"/>
  <c r="H99" i="55"/>
  <c r="O135" i="55"/>
  <c r="S73" i="55"/>
  <c r="T73" i="55"/>
  <c r="S45" i="55"/>
  <c r="S14" i="55"/>
  <c r="T14" i="55"/>
  <c r="S144" i="55"/>
  <c r="T144" i="55"/>
  <c r="S111" i="55"/>
  <c r="O40" i="55"/>
  <c r="O38" i="55"/>
  <c r="O58" i="55"/>
  <c r="O137" i="55"/>
  <c r="T42" i="55"/>
  <c r="T154" i="55"/>
  <c r="T48" i="55"/>
  <c r="K85" i="55" a="1"/>
  <c r="K85" i="55"/>
  <c r="H137" i="55"/>
  <c r="T113" i="55"/>
  <c r="T112" i="55"/>
  <c r="G104" i="55"/>
  <c r="R40" i="55"/>
  <c r="T40" i="55"/>
  <c r="O128" i="55"/>
  <c r="O72" i="55"/>
  <c r="O54" i="55"/>
  <c r="R109" i="55"/>
  <c r="T109" i="55"/>
  <c r="R57" i="55"/>
  <c r="T57" i="55"/>
  <c r="T118" i="55"/>
  <c r="R110" i="55"/>
  <c r="T110" i="55"/>
  <c r="O95" i="55"/>
  <c r="O78" i="55"/>
  <c r="O140" i="55"/>
  <c r="R131" i="55"/>
  <c r="T131" i="55"/>
  <c r="O148" i="55"/>
  <c r="O107" i="55"/>
  <c r="G130" i="53"/>
  <c r="G127" i="53"/>
  <c r="O45" i="55"/>
  <c r="O67" i="55"/>
  <c r="O112" i="55"/>
  <c r="T19" i="55"/>
  <c r="O144" i="55"/>
  <c r="T46" i="55"/>
  <c r="R121" i="55"/>
  <c r="T121" i="55"/>
  <c r="R76" i="55"/>
  <c r="T76" i="55"/>
  <c r="O46" i="55"/>
  <c r="O111" i="55"/>
  <c r="O85" i="55"/>
  <c r="G82" i="55"/>
  <c r="S55" i="55"/>
  <c r="T55" i="55"/>
  <c r="O89" i="55"/>
  <c r="K24" i="55" a="1"/>
  <c r="K24" i="55"/>
  <c r="G128" i="53"/>
  <c r="S115" i="55"/>
  <c r="S87" i="55"/>
  <c r="O97" i="55"/>
  <c r="O23" i="55"/>
  <c r="R135" i="55"/>
  <c r="T135" i="55"/>
  <c r="R82" i="55"/>
  <c r="T82" i="55"/>
  <c r="O131" i="55"/>
  <c r="R68" i="55"/>
  <c r="T68" i="55"/>
  <c r="G91" i="55"/>
  <c r="T86" i="55"/>
  <c r="O20" i="55"/>
  <c r="H24" i="55"/>
  <c r="T152" i="55"/>
  <c r="O108" i="55"/>
  <c r="R116" i="55"/>
  <c r="T116" i="55"/>
  <c r="O49" i="55"/>
  <c r="R108" i="55"/>
  <c r="T108" i="55"/>
  <c r="D13" i="57"/>
  <c r="E5" i="57"/>
  <c r="E6" i="57"/>
  <c r="E7" i="57"/>
  <c r="E8" i="57"/>
  <c r="E9" i="57"/>
  <c r="E10" i="57"/>
  <c r="E11" i="57"/>
  <c r="E12" i="57"/>
  <c r="H7" i="26"/>
  <c r="G6" i="26"/>
  <c r="O96" i="55"/>
  <c r="G132" i="55"/>
  <c r="H132" i="55"/>
  <c r="O60" i="55"/>
  <c r="H130" i="55"/>
  <c r="G130" i="55"/>
  <c r="K130" i="55" a="1"/>
  <c r="K130" i="55"/>
  <c r="K12" i="55" a="1"/>
  <c r="K12" i="55"/>
  <c r="K29" i="55" a="1"/>
  <c r="K29" i="55"/>
  <c r="K148" i="55" a="1"/>
  <c r="K148" i="55"/>
  <c r="K127" i="55" a="1"/>
  <c r="K127" i="55"/>
  <c r="K109" i="55" a="1"/>
  <c r="K109" i="55"/>
  <c r="K28" i="55" a="1"/>
  <c r="K28" i="55"/>
  <c r="K154" i="55" a="1"/>
  <c r="K154" i="55"/>
  <c r="K73" i="55" a="1"/>
  <c r="K73" i="55"/>
  <c r="K65" i="55" a="1"/>
  <c r="K65" i="55"/>
  <c r="K82" i="55" a="1"/>
  <c r="K82" i="55"/>
  <c r="K69" i="55" a="1"/>
  <c r="K69" i="55"/>
  <c r="K41" i="55" a="1"/>
  <c r="K41" i="55"/>
  <c r="K125" i="55" a="1"/>
  <c r="K125" i="55"/>
  <c r="K70" i="55" a="1"/>
  <c r="K70" i="55"/>
  <c r="K14" i="55" a="1"/>
  <c r="K14" i="55"/>
  <c r="K116" i="55" a="1"/>
  <c r="K116" i="55"/>
  <c r="K87" i="55" a="1"/>
  <c r="K87" i="55"/>
  <c r="K123" i="55" a="1"/>
  <c r="K123" i="55"/>
  <c r="L32" i="55" a="1"/>
  <c r="L32" i="55"/>
  <c r="L92" i="55" a="1"/>
  <c r="L92" i="55"/>
  <c r="L148" i="55" a="1"/>
  <c r="L148" i="55"/>
  <c r="F20" i="59" a="1"/>
  <c r="F20" i="59"/>
  <c r="L91" i="55" a="1"/>
  <c r="L91" i="55"/>
  <c r="L63" i="55" a="1"/>
  <c r="L63" i="55"/>
  <c r="L84" i="55" a="1"/>
  <c r="L84" i="55"/>
  <c r="L72" i="55" a="1"/>
  <c r="L72" i="55"/>
  <c r="L75" i="55" a="1"/>
  <c r="L75" i="55"/>
  <c r="F40" i="59" a="1"/>
  <c r="F40" i="59"/>
  <c r="L88" i="55" a="1"/>
  <c r="L88" i="55"/>
  <c r="L65" i="55" a="1"/>
  <c r="L65" i="55"/>
  <c r="P2" i="53"/>
  <c r="F60" i="59" a="1"/>
  <c r="F60" i="59"/>
  <c r="L116" i="55" a="1"/>
  <c r="L116" i="55"/>
  <c r="L77" i="55" a="1"/>
  <c r="L77" i="55"/>
  <c r="L85" i="55" a="1"/>
  <c r="L85" i="55"/>
  <c r="L114" i="55" a="1"/>
  <c r="L114" i="55"/>
  <c r="L113" i="55" a="1"/>
  <c r="L113" i="55"/>
  <c r="L21" i="55" a="1"/>
  <c r="L21" i="55"/>
  <c r="L96" i="55" a="1"/>
  <c r="L96" i="55"/>
  <c r="L87" i="55" a="1"/>
  <c r="L87" i="55"/>
  <c r="L20" i="55" a="1"/>
  <c r="L20" i="55"/>
  <c r="L80" i="55" a="1"/>
  <c r="L80" i="55"/>
  <c r="L122" i="55" a="1"/>
  <c r="L122" i="55"/>
  <c r="O26" i="55"/>
  <c r="H108" i="55"/>
  <c r="G108" i="55"/>
  <c r="T48" i="59"/>
  <c r="O98" i="55"/>
  <c r="O62" i="55"/>
  <c r="O86" i="55"/>
  <c r="F6" i="26"/>
  <c r="O87" i="55"/>
  <c r="G27" i="55"/>
  <c r="H27" i="55"/>
  <c r="T162" i="55"/>
  <c r="L29" i="55" a="1"/>
  <c r="L29" i="55"/>
  <c r="K57" i="55" a="1"/>
  <c r="K57" i="55"/>
  <c r="K64" i="55" a="1"/>
  <c r="K64" i="55"/>
  <c r="K105" i="55" a="1"/>
  <c r="K105" i="55"/>
  <c r="K144" i="55" a="1"/>
  <c r="K144" i="55"/>
  <c r="K91" i="55" a="1"/>
  <c r="K91" i="55"/>
  <c r="L30" i="55" a="1"/>
  <c r="L30" i="55"/>
  <c r="K93" i="55" a="1"/>
  <c r="K93" i="55"/>
  <c r="L61" i="55" a="1"/>
  <c r="L61" i="55"/>
  <c r="L130" i="55" a="1"/>
  <c r="L130" i="55"/>
  <c r="K15" i="55" a="1"/>
  <c r="K15" i="55"/>
  <c r="U50" i="59"/>
  <c r="T50" i="59"/>
  <c r="T59" i="55"/>
  <c r="T19" i="59"/>
  <c r="U19" i="59"/>
  <c r="O130" i="55"/>
  <c r="K112" i="55" a="1"/>
  <c r="K112" i="55"/>
  <c r="K61" i="55" a="1"/>
  <c r="K61" i="55"/>
  <c r="L50" i="55" a="1"/>
  <c r="L50" i="55"/>
  <c r="K94" i="55" a="1"/>
  <c r="K94" i="55"/>
  <c r="L28" i="55" a="1"/>
  <c r="L28" i="55"/>
  <c r="K31" i="55" a="1"/>
  <c r="K31" i="55"/>
  <c r="L119" i="55" a="1"/>
  <c r="L119" i="55"/>
  <c r="L47" i="55" a="1"/>
  <c r="L47" i="55"/>
  <c r="N60" i="59"/>
  <c r="H121" i="55"/>
  <c r="T83" i="55"/>
  <c r="O57" i="55"/>
  <c r="L81" i="55" a="1"/>
  <c r="L81" i="55"/>
  <c r="L78" i="55" a="1"/>
  <c r="L78" i="55"/>
  <c r="L86" i="55" a="1"/>
  <c r="L86" i="55"/>
  <c r="L12" i="55" a="1"/>
  <c r="L12" i="55"/>
  <c r="K60" i="55" a="1"/>
  <c r="K60" i="55"/>
  <c r="F7" i="59"/>
  <c r="T7" i="59"/>
  <c r="O145" i="55"/>
  <c r="O63" i="55"/>
  <c r="O27" i="55"/>
  <c r="H136" i="55"/>
  <c r="K136" i="55" a="1"/>
  <c r="K136" i="55"/>
  <c r="G136" i="55"/>
  <c r="K107" i="55" a="1"/>
  <c r="K107" i="55"/>
  <c r="H119" i="55"/>
  <c r="O115" i="55"/>
  <c r="H34" i="55"/>
  <c r="G34" i="55"/>
  <c r="O116" i="55"/>
  <c r="G134" i="55"/>
  <c r="H134" i="55"/>
  <c r="K134" i="55" a="1"/>
  <c r="K134" i="55"/>
  <c r="L74" i="55" a="1"/>
  <c r="L74" i="55"/>
  <c r="L34" i="55" a="1"/>
  <c r="L34" i="55"/>
  <c r="L107" i="55" a="1"/>
  <c r="L107" i="55"/>
  <c r="L54" i="55" a="1"/>
  <c r="L54" i="55"/>
  <c r="T6" i="59"/>
  <c r="O66" i="55"/>
  <c r="O2" i="55"/>
  <c r="R156" i="55"/>
  <c r="S156" i="55"/>
  <c r="G35" i="55"/>
  <c r="R132" i="55"/>
  <c r="T132" i="55"/>
  <c r="H124" i="55"/>
  <c r="G124" i="55"/>
  <c r="G17" i="53"/>
  <c r="K60" i="59"/>
  <c r="T8" i="55"/>
  <c r="G90" i="55"/>
  <c r="L90" i="55" a="1"/>
  <c r="L90" i="55"/>
  <c r="M42" i="55" a="1"/>
  <c r="M42" i="55"/>
  <c r="O42" i="55"/>
  <c r="M133" i="55" a="1"/>
  <c r="M133" i="55"/>
  <c r="O133" i="55"/>
  <c r="M88" i="55" a="1"/>
  <c r="M88" i="55"/>
  <c r="O88" i="55"/>
  <c r="M35" i="55" a="1"/>
  <c r="M35" i="55"/>
  <c r="O35" i="55"/>
  <c r="M64" i="55" a="1"/>
  <c r="M64" i="55"/>
  <c r="O64" i="55"/>
  <c r="M7" i="55" a="1"/>
  <c r="M7" i="55"/>
  <c r="O7" i="55"/>
  <c r="M117" i="55" a="1"/>
  <c r="M117" i="55"/>
  <c r="O117" i="55"/>
  <c r="M134" i="55" a="1"/>
  <c r="M134" i="55"/>
  <c r="O134" i="55"/>
  <c r="M29" i="55" a="1"/>
  <c r="M29" i="55"/>
  <c r="O29" i="55"/>
  <c r="M55" i="55" a="1"/>
  <c r="M55" i="55"/>
  <c r="O55" i="55"/>
  <c r="M138" i="55" a="1"/>
  <c r="M138" i="55"/>
  <c r="O138" i="55"/>
  <c r="M142" i="55" a="1"/>
  <c r="M142" i="55"/>
  <c r="O142" i="55"/>
  <c r="M31" i="55" a="1"/>
  <c r="M31" i="55"/>
  <c r="O31" i="55"/>
  <c r="M105" i="55" a="1"/>
  <c r="M105" i="55"/>
  <c r="O105" i="55"/>
  <c r="M9" i="55" a="1"/>
  <c r="M9" i="55"/>
  <c r="O9" i="55"/>
  <c r="M28" i="55" a="1"/>
  <c r="M28" i="55"/>
  <c r="O28" i="55"/>
  <c r="M126" i="55" a="1"/>
  <c r="M126" i="55"/>
  <c r="O126" i="55"/>
  <c r="M2" i="55"/>
  <c r="M149" i="55" a="1"/>
  <c r="M149" i="55"/>
  <c r="O149" i="55"/>
  <c r="M136" i="55" a="1"/>
  <c r="M136" i="55"/>
  <c r="O136" i="55"/>
  <c r="M44" i="55" a="1"/>
  <c r="M44" i="55"/>
  <c r="O44" i="55"/>
  <c r="M21" i="55" a="1"/>
  <c r="M21" i="55"/>
  <c r="O21" i="55"/>
  <c r="M59" i="55" a="1"/>
  <c r="M59" i="55"/>
  <c r="O59" i="55"/>
  <c r="R128" i="55"/>
  <c r="T128" i="55"/>
  <c r="G77" i="53"/>
  <c r="H138" i="55"/>
  <c r="F12" i="26"/>
  <c r="AD14" i="26"/>
  <c r="AK14" i="26"/>
  <c r="AJ12" i="26"/>
  <c r="N12" i="26"/>
  <c r="Z12" i="26"/>
  <c r="Y12" i="26"/>
  <c r="V14" i="26"/>
  <c r="L7" i="55" a="1"/>
  <c r="L7" i="55"/>
  <c r="G7" i="55"/>
  <c r="H7" i="55"/>
  <c r="K7" i="55" a="1"/>
  <c r="K7" i="55"/>
  <c r="H26" i="55"/>
  <c r="R29" i="55"/>
  <c r="T29" i="55"/>
  <c r="R124" i="55"/>
  <c r="T124" i="55"/>
  <c r="G45" i="55"/>
  <c r="H45" i="55"/>
  <c r="R26" i="55"/>
  <c r="T26" i="55"/>
  <c r="L12" i="59"/>
  <c r="H19" i="55"/>
  <c r="S155" i="55"/>
  <c r="T155" i="55"/>
  <c r="T7" i="55"/>
  <c r="G54" i="53"/>
  <c r="AE45" i="53"/>
  <c r="F57" i="59"/>
  <c r="G92" i="53"/>
  <c r="G57" i="53"/>
  <c r="P88" i="55"/>
  <c r="P123" i="55"/>
  <c r="G105" i="53"/>
  <c r="O15" i="59"/>
  <c r="AE26" i="53"/>
  <c r="T45" i="55"/>
  <c r="T156" i="55"/>
  <c r="T87" i="55"/>
  <c r="T111" i="55"/>
  <c r="T115" i="55"/>
  <c r="S123" i="55"/>
  <c r="R123" i="55"/>
  <c r="T123" i="55"/>
  <c r="L162" i="55"/>
  <c r="L2" i="55"/>
  <c r="L69" i="55" a="1"/>
  <c r="L69" i="55"/>
  <c r="L37" i="55" a="1"/>
  <c r="L37" i="55"/>
  <c r="L26" i="55" a="1"/>
  <c r="L26" i="55"/>
  <c r="L97" i="55" a="1"/>
  <c r="L97" i="55"/>
  <c r="L123" i="55" a="1"/>
  <c r="L123" i="55"/>
  <c r="L8" i="55" a="1"/>
  <c r="L8" i="55"/>
  <c r="L115" i="55" a="1"/>
  <c r="L115" i="55"/>
  <c r="L125" i="55" a="1"/>
  <c r="L125" i="55"/>
  <c r="L39" i="55" a="1"/>
  <c r="L39" i="55"/>
  <c r="L9" i="55" a="1"/>
  <c r="L9" i="55"/>
  <c r="L42" i="55" a="1"/>
  <c r="L42" i="55"/>
  <c r="L79" i="55" a="1"/>
  <c r="L79" i="55"/>
  <c r="L66" i="55" a="1"/>
  <c r="L66" i="55"/>
  <c r="L106" i="55" a="1"/>
  <c r="L106" i="55"/>
  <c r="L44" i="55" a="1"/>
  <c r="L44" i="55"/>
  <c r="L94" i="55" a="1"/>
  <c r="L94" i="55"/>
  <c r="L93" i="55" a="1"/>
  <c r="L93" i="55"/>
  <c r="L151" i="55" a="1"/>
  <c r="L151" i="55"/>
  <c r="L60" i="55" a="1"/>
  <c r="L60" i="55"/>
  <c r="L95" i="55" a="1"/>
  <c r="L95" i="55"/>
  <c r="L73" i="55" a="1"/>
  <c r="L73" i="55"/>
  <c r="L154" i="55" a="1"/>
  <c r="L154" i="55"/>
  <c r="L100" i="55" a="1"/>
  <c r="L100" i="55"/>
  <c r="L48" i="55" a="1"/>
  <c r="L48" i="55"/>
  <c r="L62" i="55" a="1"/>
  <c r="L62" i="55"/>
  <c r="L99" i="55" a="1"/>
  <c r="L99" i="55"/>
  <c r="L118" i="55" a="1"/>
  <c r="L118" i="55"/>
  <c r="L108" i="55" a="1"/>
  <c r="L108" i="55"/>
  <c r="L128" i="55" a="1"/>
  <c r="L128" i="55"/>
  <c r="L135" i="55" a="1"/>
  <c r="L135" i="55"/>
  <c r="L117" i="55" a="1"/>
  <c r="L117" i="55"/>
  <c r="L41" i="55" a="1"/>
  <c r="L41" i="55"/>
  <c r="L155" i="55" a="1"/>
  <c r="L155" i="55"/>
  <c r="L27" i="55" a="1"/>
  <c r="L27" i="55"/>
  <c r="L156" i="55" a="1"/>
  <c r="L156" i="55"/>
  <c r="L144" i="55" a="1"/>
  <c r="L144" i="55"/>
  <c r="L150" i="55" a="1"/>
  <c r="L150" i="55"/>
  <c r="L112" i="55" a="1"/>
  <c r="L112" i="55"/>
  <c r="L138" i="55" a="1"/>
  <c r="L138" i="55"/>
  <c r="L149" i="55" a="1"/>
  <c r="L149" i="55"/>
  <c r="L145" i="55" a="1"/>
  <c r="L145" i="55"/>
  <c r="L132" i="55" a="1"/>
  <c r="L132" i="55"/>
  <c r="L35" i="55" a="1"/>
  <c r="L35" i="55"/>
  <c r="L76" i="55" a="1"/>
  <c r="L76" i="55"/>
  <c r="L110" i="55" a="1"/>
  <c r="L110" i="55"/>
  <c r="L142" i="55" a="1"/>
  <c r="L142" i="55"/>
  <c r="L105" i="55" a="1"/>
  <c r="L105" i="55"/>
  <c r="L52" i="55" a="1"/>
  <c r="L52" i="55"/>
  <c r="L83" i="55" a="1"/>
  <c r="L83" i="55"/>
  <c r="L111" i="55" a="1"/>
  <c r="L111" i="55"/>
  <c r="L45" i="55" a="1"/>
  <c r="L45" i="55"/>
  <c r="L133" i="55" a="1"/>
  <c r="L133" i="55"/>
  <c r="L10" i="55" a="1"/>
  <c r="L10" i="55"/>
  <c r="L98" i="55" a="1"/>
  <c r="L98" i="55"/>
  <c r="L126" i="55" a="1"/>
  <c r="L126" i="55"/>
  <c r="L58" i="55" a="1"/>
  <c r="L58" i="55"/>
  <c r="L46" i="55" a="1"/>
  <c r="L46" i="55"/>
  <c r="L103" i="55" a="1"/>
  <c r="L103" i="55"/>
  <c r="L14" i="55" a="1"/>
  <c r="L14" i="55"/>
  <c r="L82" i="55" a="1"/>
  <c r="L82" i="55"/>
  <c r="L59" i="55" a="1"/>
  <c r="L59" i="55"/>
  <c r="L109" i="55" a="1"/>
  <c r="L109" i="55"/>
  <c r="L140" i="55" a="1"/>
  <c r="L140" i="55"/>
  <c r="L40" i="55" a="1"/>
  <c r="L40" i="55"/>
  <c r="L23" i="55" a="1"/>
  <c r="L23" i="55"/>
  <c r="L124" i="55" a="1"/>
  <c r="L124" i="55"/>
  <c r="L139" i="55" a="1"/>
  <c r="L139" i="55"/>
  <c r="L36" i="55" a="1"/>
  <c r="L36" i="55"/>
  <c r="L31" i="55" a="1"/>
  <c r="L31" i="55"/>
  <c r="L127" i="55" a="1"/>
  <c r="L127" i="55"/>
  <c r="L51" i="55" a="1"/>
  <c r="L51" i="55"/>
  <c r="L57" i="55" a="1"/>
  <c r="L57" i="55"/>
  <c r="L89" i="55" a="1"/>
  <c r="L89" i="55"/>
  <c r="L11" i="55" a="1"/>
  <c r="L11" i="55"/>
  <c r="L53" i="55" a="1"/>
  <c r="L53" i="55"/>
  <c r="L49" i="55" a="1"/>
  <c r="L49" i="55"/>
  <c r="L55" i="55" a="1"/>
  <c r="L55" i="55"/>
  <c r="L134" i="55" a="1"/>
  <c r="L134" i="55"/>
  <c r="L13" i="55" a="1"/>
  <c r="L13" i="55"/>
  <c r="L104" i="55" a="1"/>
  <c r="L104" i="55"/>
  <c r="L68" i="55" a="1"/>
  <c r="L68" i="55"/>
  <c r="L102" i="55" a="1"/>
  <c r="L102" i="55"/>
  <c r="L15" i="55" a="1"/>
  <c r="L15" i="55"/>
  <c r="L67" i="55" a="1"/>
  <c r="L67" i="55"/>
  <c r="L121" i="55" a="1"/>
  <c r="L121" i="55"/>
  <c r="L71" i="55" a="1"/>
  <c r="L71" i="55"/>
  <c r="L64" i="55" a="1"/>
  <c r="L64" i="55"/>
  <c r="L56" i="55" a="1"/>
  <c r="L56" i="55"/>
  <c r="L70" i="55" a="1"/>
  <c r="L70" i="55"/>
  <c r="L120" i="55" a="1"/>
  <c r="L120" i="55"/>
  <c r="L131" i="55" a="1"/>
  <c r="L131" i="55"/>
  <c r="L152" i="55" a="1"/>
  <c r="L152" i="55"/>
  <c r="L33" i="55" a="1"/>
  <c r="L33" i="55"/>
  <c r="L38" i="55" a="1"/>
  <c r="L38" i="55"/>
  <c r="L137" i="55" a="1"/>
  <c r="L137" i="55"/>
  <c r="G162" i="55"/>
  <c r="G163" i="55"/>
  <c r="G3" i="55"/>
  <c r="G2" i="55"/>
  <c r="S88" i="55"/>
  <c r="R88" i="55"/>
  <c r="T88" i="55"/>
  <c r="H2" i="55"/>
  <c r="H162" i="55"/>
  <c r="H6" i="26"/>
  <c r="I7" i="26"/>
  <c r="U15" i="59"/>
  <c r="T15" i="59"/>
  <c r="O20" i="59"/>
  <c r="T20" i="59"/>
  <c r="U20" i="59"/>
  <c r="J7" i="26"/>
  <c r="I6" i="26"/>
  <c r="H163" i="55"/>
  <c r="H3" i="55"/>
  <c r="J6" i="26"/>
  <c r="K7" i="26"/>
  <c r="K6" i="26"/>
  <c r="L7" i="26"/>
  <c r="M7" i="26"/>
  <c r="L6" i="26"/>
  <c r="N7" i="26"/>
  <c r="M6" i="26"/>
  <c r="N6" i="26"/>
  <c r="O7" i="26"/>
  <c r="O6" i="26"/>
  <c r="P7" i="26"/>
  <c r="Q7" i="26"/>
  <c r="P6" i="26"/>
  <c r="R7" i="26"/>
  <c r="Q6" i="26"/>
  <c r="S7" i="26"/>
  <c r="R6" i="26"/>
  <c r="S6" i="26"/>
  <c r="T7" i="26"/>
  <c r="T6" i="26"/>
  <c r="U7" i="26"/>
  <c r="V7" i="26"/>
  <c r="U6" i="26"/>
  <c r="W7" i="26"/>
  <c r="V6" i="26"/>
  <c r="W6" i="26"/>
  <c r="X7" i="26"/>
  <c r="Y7" i="26"/>
  <c r="X6" i="26"/>
  <c r="Y6" i="26"/>
  <c r="Z7" i="26"/>
  <c r="Z6" i="26"/>
  <c r="AA7" i="26"/>
  <c r="AA6" i="26"/>
  <c r="AB7" i="26"/>
  <c r="AC7" i="26"/>
  <c r="AB6" i="26"/>
  <c r="AD7" i="26"/>
  <c r="AC6" i="26"/>
  <c r="AD6" i="26"/>
  <c r="AE7" i="26"/>
  <c r="AF7" i="26"/>
  <c r="AE6" i="26"/>
  <c r="AG7" i="26"/>
  <c r="AF6" i="26"/>
  <c r="AG6" i="26"/>
  <c r="AH7" i="26"/>
  <c r="AI7" i="26"/>
  <c r="AH6" i="26"/>
  <c r="AJ7" i="26"/>
  <c r="AI6" i="26"/>
  <c r="AK7" i="26"/>
  <c r="AJ6" i="26"/>
  <c r="AK6" i="26"/>
  <c r="AL7" i="26"/>
  <c r="AL6" i="26"/>
  <c r="AM7" i="26"/>
  <c r="AM6" i="26"/>
  <c r="E4887" i="59"/>
  <c r="E4886" i="59"/>
  <c r="E4885" i="59"/>
  <c r="E4884" i="59"/>
  <c r="E4883" i="59"/>
  <c r="E4882" i="59"/>
  <c r="E4881" i="59"/>
  <c r="E4880" i="59"/>
  <c r="E4879" i="59"/>
  <c r="E4878" i="59"/>
  <c r="E4877" i="59"/>
  <c r="E4876" i="59"/>
  <c r="E4875" i="59"/>
  <c r="E4874" i="59"/>
  <c r="E4873" i="59"/>
  <c r="E4872" i="59"/>
  <c r="E4871" i="59"/>
  <c r="E4870" i="59"/>
  <c r="E4869" i="59"/>
  <c r="E4868" i="59"/>
  <c r="E4867" i="59"/>
  <c r="E4866" i="59"/>
  <c r="E4865" i="59"/>
  <c r="E4864" i="59"/>
  <c r="E4863" i="59"/>
  <c r="E4862" i="59"/>
  <c r="E4861" i="59"/>
  <c r="E4860" i="59"/>
  <c r="E4859" i="59"/>
  <c r="E4858" i="59"/>
  <c r="E4857" i="59"/>
  <c r="E4856" i="59"/>
  <c r="E4855" i="59"/>
  <c r="E4854" i="59"/>
  <c r="E4853" i="59"/>
  <c r="E4852" i="59"/>
  <c r="E4851" i="59"/>
  <c r="E4850" i="59"/>
  <c r="E4849" i="59"/>
  <c r="E4848" i="59"/>
  <c r="E4847" i="59"/>
  <c r="E4846" i="59"/>
  <c r="E4845" i="59"/>
  <c r="E4844" i="59"/>
  <c r="E4843" i="59"/>
  <c r="E4842" i="59"/>
  <c r="E4841" i="59"/>
  <c r="E4840" i="59"/>
  <c r="E4839" i="59"/>
  <c r="E4838" i="59"/>
  <c r="E4837" i="59"/>
  <c r="E4836" i="59"/>
  <c r="E4835" i="59"/>
  <c r="E4834" i="59"/>
  <c r="E4833" i="59"/>
  <c r="E4832" i="59"/>
  <c r="E4831" i="59"/>
  <c r="E4830" i="59"/>
  <c r="E4829" i="59"/>
  <c r="E4828" i="59"/>
  <c r="E4827" i="59"/>
  <c r="E4826" i="59"/>
  <c r="E4825" i="59"/>
  <c r="E4824" i="59"/>
  <c r="E4823" i="59"/>
  <c r="E4822" i="59"/>
  <c r="E4821" i="59"/>
  <c r="E4820" i="59"/>
  <c r="E4819" i="59"/>
  <c r="E4818" i="59"/>
  <c r="E4817" i="59"/>
  <c r="E4816" i="59"/>
  <c r="E4815" i="59"/>
  <c r="E4814" i="59"/>
  <c r="E4813" i="59"/>
  <c r="E4812" i="59"/>
  <c r="E4811" i="59"/>
  <c r="E4810" i="59"/>
  <c r="E4809" i="59"/>
  <c r="E4808" i="59"/>
  <c r="E4807" i="59"/>
  <c r="E4806" i="59"/>
  <c r="E4805" i="59"/>
  <c r="E4804" i="59"/>
  <c r="E4803" i="59"/>
  <c r="E4802" i="59"/>
  <c r="E4801" i="59"/>
  <c r="E4800" i="59"/>
  <c r="E4799" i="59"/>
  <c r="E4798" i="59"/>
  <c r="E4797" i="59"/>
  <c r="E4796" i="59"/>
  <c r="E4795" i="59"/>
  <c r="E4794" i="59"/>
  <c r="E4793" i="59"/>
  <c r="E4792" i="59"/>
  <c r="E4791" i="59"/>
  <c r="E4790" i="59"/>
  <c r="E4789" i="59"/>
  <c r="E4788" i="59"/>
  <c r="E4787" i="59"/>
  <c r="E4786" i="59"/>
  <c r="E4785" i="59"/>
  <c r="E4784" i="59"/>
  <c r="E4783" i="59"/>
  <c r="E4782" i="59"/>
  <c r="E4781" i="59"/>
  <c r="E4780" i="59"/>
  <c r="E4779" i="59"/>
  <c r="E4778" i="59"/>
  <c r="E4777" i="59"/>
  <c r="E4776" i="59"/>
  <c r="E4775" i="59"/>
  <c r="E4774" i="59"/>
  <c r="E4773" i="59"/>
  <c r="E4772" i="59"/>
  <c r="E4771" i="59"/>
  <c r="E4770" i="59"/>
  <c r="E4769" i="59"/>
  <c r="E4768" i="59"/>
  <c r="E4767" i="59"/>
  <c r="E4766" i="59"/>
  <c r="E4765" i="59"/>
  <c r="E4764" i="59"/>
  <c r="E4763" i="59"/>
  <c r="E4762" i="59"/>
  <c r="E4761" i="59"/>
  <c r="E4760" i="59"/>
  <c r="E4759" i="59"/>
  <c r="E4758" i="59"/>
  <c r="E4757" i="59"/>
  <c r="E4756" i="59"/>
  <c r="E4755" i="59"/>
  <c r="E4754" i="59"/>
  <c r="E4753" i="59"/>
  <c r="E4752" i="59"/>
  <c r="E4751" i="59"/>
  <c r="E4750" i="59"/>
  <c r="E4749" i="59"/>
  <c r="E4748" i="59"/>
  <c r="E4747" i="59"/>
  <c r="E4746" i="59"/>
  <c r="E4745" i="59"/>
  <c r="E4744" i="59"/>
  <c r="E4743" i="59"/>
  <c r="E4742" i="59"/>
  <c r="E4741" i="59"/>
  <c r="E4740" i="59"/>
  <c r="E4739" i="59"/>
  <c r="E4738" i="59"/>
  <c r="E4737" i="59"/>
  <c r="E4736" i="59"/>
  <c r="E4735" i="59"/>
  <c r="E4734" i="59"/>
  <c r="E4733" i="59"/>
  <c r="E4732" i="59"/>
  <c r="E4731" i="59"/>
  <c r="E4730" i="59"/>
  <c r="E4729" i="59"/>
  <c r="E4728" i="59"/>
  <c r="E4727" i="59"/>
  <c r="E4726" i="59"/>
  <c r="E4725" i="59"/>
  <c r="E4724" i="59"/>
  <c r="E4723" i="59"/>
  <c r="E4722" i="59"/>
  <c r="E4721" i="59"/>
  <c r="E4720" i="59"/>
  <c r="E4719" i="59"/>
  <c r="E4718" i="59"/>
  <c r="E4717" i="59"/>
  <c r="E4716" i="59"/>
  <c r="E4715" i="59"/>
  <c r="E4714" i="59"/>
  <c r="E4713" i="59"/>
  <c r="E4712" i="59"/>
  <c r="E4711" i="59"/>
  <c r="E4710" i="59"/>
  <c r="E4709" i="59"/>
  <c r="E4708" i="59"/>
  <c r="E4707" i="59"/>
  <c r="E4706" i="59"/>
  <c r="E4705" i="59"/>
  <c r="E4704" i="59"/>
  <c r="E4703" i="59"/>
  <c r="E4702" i="59"/>
  <c r="E4701" i="59"/>
  <c r="E4700" i="59"/>
  <c r="E4699" i="59"/>
  <c r="E4698" i="59"/>
  <c r="E4697" i="59"/>
  <c r="E4696" i="59"/>
  <c r="E4695" i="59"/>
  <c r="E4694" i="59"/>
  <c r="E4693" i="59"/>
  <c r="E4692" i="59"/>
  <c r="E4691" i="59"/>
  <c r="E4690" i="59"/>
  <c r="E4689" i="59"/>
  <c r="E4688" i="59"/>
  <c r="E4687" i="59"/>
  <c r="E4686" i="59"/>
  <c r="E4685" i="59"/>
  <c r="E4684" i="59"/>
  <c r="E4683" i="59"/>
  <c r="E4682" i="59"/>
  <c r="E4681" i="59"/>
  <c r="E4680" i="59"/>
  <c r="E4679" i="59"/>
  <c r="E4678" i="59"/>
  <c r="E4677" i="59"/>
  <c r="E4676" i="59"/>
  <c r="E4675" i="59"/>
  <c r="E4674" i="59"/>
  <c r="E4673" i="59"/>
  <c r="E4672" i="59"/>
  <c r="E4671" i="59"/>
  <c r="E4670" i="59"/>
  <c r="E4669" i="59"/>
  <c r="E4668" i="59"/>
  <c r="E4667" i="59"/>
  <c r="E4666" i="59"/>
  <c r="E4665" i="59"/>
  <c r="E4664" i="59"/>
  <c r="E4663" i="59"/>
  <c r="E4662" i="59"/>
  <c r="E4661" i="59"/>
  <c r="E4660" i="59"/>
  <c r="E4659" i="59"/>
  <c r="E4658" i="59"/>
  <c r="E4657" i="59"/>
  <c r="E4656" i="59"/>
  <c r="E4655" i="59"/>
  <c r="E4654" i="59"/>
  <c r="E4653" i="59"/>
  <c r="E4652" i="59"/>
  <c r="E4651" i="59"/>
  <c r="E4650" i="59"/>
  <c r="E4649" i="59"/>
  <c r="E4648" i="59"/>
  <c r="E4647" i="59"/>
  <c r="E4646" i="59"/>
  <c r="E4645" i="59"/>
  <c r="E4644" i="59"/>
  <c r="E4643" i="59"/>
  <c r="E4642" i="59"/>
  <c r="E4641" i="59"/>
  <c r="E4640" i="59"/>
  <c r="E4639" i="59"/>
  <c r="E4638" i="59"/>
  <c r="E4637" i="59"/>
  <c r="E4636" i="59"/>
  <c r="E4635" i="59"/>
  <c r="E4634" i="59"/>
  <c r="E4633" i="59"/>
  <c r="E4632" i="59"/>
  <c r="E4631" i="59"/>
  <c r="E4630" i="59"/>
  <c r="E4629" i="59"/>
  <c r="E4628" i="59"/>
  <c r="E4627" i="59"/>
  <c r="E4626" i="59"/>
  <c r="E4625" i="59"/>
  <c r="E4624" i="59"/>
  <c r="E4623" i="59"/>
  <c r="E4622" i="59"/>
  <c r="E4621" i="59"/>
  <c r="E4620" i="59"/>
  <c r="E4619" i="59"/>
  <c r="E4618" i="59"/>
  <c r="E4617" i="59"/>
  <c r="E4616" i="59"/>
  <c r="E4615" i="59"/>
  <c r="E4614" i="59"/>
  <c r="E4613" i="59"/>
  <c r="E4612" i="59"/>
  <c r="E4611" i="59"/>
  <c r="E4610" i="59"/>
  <c r="E4609" i="59"/>
  <c r="E4608" i="59"/>
  <c r="E4607" i="59"/>
  <c r="E4606" i="59"/>
  <c r="E4605" i="59"/>
  <c r="E4604" i="59"/>
  <c r="E4603" i="59"/>
  <c r="E4602" i="59"/>
  <c r="E4601" i="59"/>
  <c r="E4600" i="59"/>
  <c r="E4599" i="59"/>
  <c r="E4598" i="59"/>
  <c r="E4597" i="59"/>
  <c r="E4596" i="59"/>
  <c r="E4595" i="59"/>
  <c r="E4594" i="59"/>
  <c r="E4593" i="59"/>
  <c r="E4592" i="59"/>
  <c r="E4591" i="59"/>
  <c r="E4590" i="59"/>
  <c r="E4589" i="59"/>
  <c r="E4588" i="59"/>
  <c r="E4587" i="59"/>
  <c r="E4586" i="59"/>
  <c r="E4585" i="59"/>
  <c r="E4584" i="59"/>
  <c r="E4583" i="59"/>
  <c r="E4582" i="59"/>
  <c r="E4581" i="59"/>
  <c r="E4580" i="59"/>
  <c r="E4579" i="59"/>
  <c r="E4578" i="59"/>
  <c r="E4577" i="59"/>
  <c r="E4576" i="59"/>
  <c r="E4575" i="59"/>
  <c r="E4574" i="59"/>
  <c r="E4573" i="59"/>
  <c r="E4572" i="59"/>
  <c r="E4571" i="59"/>
  <c r="E4570" i="59"/>
  <c r="E4569" i="59"/>
  <c r="E4568" i="59"/>
  <c r="E4567" i="59"/>
  <c r="E4566" i="59"/>
  <c r="E4565" i="59"/>
  <c r="E4564" i="59"/>
  <c r="E4563" i="59"/>
  <c r="E4562" i="59"/>
  <c r="E4561" i="59"/>
  <c r="E4560" i="59"/>
  <c r="E4559" i="59"/>
  <c r="E4558" i="59"/>
  <c r="E4557" i="59"/>
  <c r="E4556" i="59"/>
  <c r="E4555" i="59"/>
  <c r="E4554" i="59"/>
  <c r="E4553" i="59"/>
  <c r="E4552" i="59"/>
  <c r="E4551" i="59"/>
  <c r="E4550" i="59"/>
  <c r="E4549" i="59"/>
  <c r="E4548" i="59"/>
  <c r="E4547" i="59"/>
  <c r="E4546" i="59"/>
  <c r="E4545" i="59"/>
  <c r="E4544" i="59"/>
  <c r="E4543" i="59"/>
  <c r="E4542" i="59"/>
  <c r="E4541" i="59"/>
  <c r="E4540" i="59"/>
  <c r="E4539" i="59"/>
  <c r="E4538" i="59"/>
  <c r="E4537" i="59"/>
  <c r="E4536" i="59"/>
  <c r="E4535" i="59"/>
  <c r="E4534" i="59"/>
  <c r="E4533" i="59"/>
  <c r="E4532" i="59"/>
  <c r="E4531" i="59"/>
  <c r="E4530" i="59"/>
  <c r="E4529" i="59"/>
  <c r="E4528" i="59"/>
  <c r="E4527" i="59"/>
  <c r="E4526" i="59"/>
  <c r="E4525" i="59"/>
  <c r="E4524" i="59"/>
  <c r="E4523" i="59"/>
  <c r="E4522" i="59"/>
  <c r="E4521" i="59"/>
  <c r="E4520" i="59"/>
  <c r="E4519" i="59"/>
  <c r="E4518" i="59"/>
  <c r="E4517" i="59"/>
  <c r="E4516" i="59"/>
  <c r="E4515" i="59"/>
  <c r="E4514" i="59"/>
  <c r="E4513" i="59"/>
  <c r="E4512" i="59"/>
  <c r="E4511" i="59"/>
  <c r="E4510" i="59"/>
  <c r="E4509" i="59"/>
  <c r="E4508" i="59"/>
  <c r="E4507" i="59"/>
  <c r="E4506" i="59"/>
  <c r="E4505" i="59"/>
  <c r="E4504" i="59"/>
  <c r="E4503" i="59"/>
  <c r="E4502" i="59"/>
  <c r="E4501" i="59"/>
  <c r="E4500" i="59"/>
  <c r="E4499" i="59"/>
  <c r="E4498" i="59"/>
  <c r="E4497" i="59"/>
  <c r="E4496" i="59"/>
  <c r="E4495" i="59"/>
  <c r="E4494" i="59"/>
  <c r="E4493" i="59"/>
  <c r="E4492" i="59"/>
  <c r="E4491" i="59"/>
  <c r="E4490" i="59"/>
  <c r="E4489" i="59"/>
  <c r="E4488" i="59"/>
  <c r="E4487" i="59"/>
  <c r="E4486" i="59"/>
  <c r="E4485" i="59"/>
  <c r="E4484" i="59"/>
  <c r="E4483" i="59"/>
  <c r="E4482" i="59"/>
  <c r="E4481" i="59"/>
  <c r="E4480" i="59"/>
  <c r="E4479" i="59"/>
  <c r="E4478" i="59"/>
  <c r="E4477" i="59"/>
  <c r="E4476" i="59"/>
  <c r="E4475" i="59"/>
  <c r="E4474" i="59"/>
  <c r="E4473" i="59"/>
  <c r="E4472" i="59"/>
  <c r="E4471" i="59"/>
  <c r="E4470" i="59"/>
  <c r="E4469" i="59"/>
  <c r="E4468" i="59"/>
  <c r="E4467" i="59"/>
  <c r="E4466" i="59"/>
  <c r="E4465" i="59"/>
  <c r="E4464" i="59"/>
  <c r="E4463" i="59"/>
  <c r="E4462" i="59"/>
  <c r="E4461" i="59"/>
  <c r="E4460" i="59"/>
  <c r="E4459" i="59"/>
  <c r="E4458" i="59"/>
  <c r="E4457" i="59"/>
  <c r="E4456" i="59"/>
  <c r="E4455" i="59"/>
  <c r="E4454" i="59"/>
  <c r="E4453" i="59"/>
  <c r="E4452" i="59"/>
  <c r="E4451" i="59"/>
  <c r="E4450" i="59"/>
  <c r="E4449" i="59"/>
  <c r="E4448" i="59"/>
  <c r="E4447" i="59"/>
  <c r="E4446" i="59"/>
  <c r="E4445" i="59"/>
  <c r="E4444" i="59"/>
  <c r="E4443" i="59"/>
  <c r="E4442" i="59"/>
  <c r="E4441" i="59"/>
  <c r="E4440" i="59"/>
  <c r="E4439" i="59"/>
  <c r="E4438" i="59"/>
  <c r="E4437" i="59"/>
  <c r="E4436" i="59"/>
  <c r="E4435" i="59"/>
  <c r="E4434" i="59"/>
  <c r="E4433" i="59"/>
  <c r="E4432" i="59"/>
  <c r="E4431" i="59"/>
  <c r="E4430" i="59"/>
  <c r="E4429" i="59"/>
  <c r="E4428" i="59"/>
  <c r="E4427" i="59"/>
  <c r="E4426" i="59"/>
  <c r="E4425" i="59"/>
  <c r="E4424" i="59"/>
  <c r="E4423" i="59"/>
  <c r="E4422" i="59"/>
  <c r="E4421" i="59"/>
  <c r="E4420" i="59"/>
  <c r="E4419" i="59"/>
  <c r="E4418" i="59"/>
  <c r="E4417" i="59"/>
  <c r="E4416" i="59"/>
  <c r="E4415" i="59"/>
  <c r="E4414" i="59"/>
  <c r="E4413" i="59"/>
  <c r="E4412" i="59"/>
  <c r="E4411" i="59"/>
  <c r="E4410" i="59"/>
  <c r="E4409" i="59"/>
  <c r="E4408" i="59"/>
  <c r="E4407" i="59"/>
  <c r="E4406" i="59"/>
  <c r="E4405" i="59"/>
  <c r="E4404" i="59"/>
  <c r="E4403" i="59"/>
  <c r="E4402" i="59"/>
  <c r="E4401" i="59"/>
  <c r="E4400" i="59"/>
  <c r="E4399" i="59"/>
  <c r="E4398" i="59"/>
  <c r="E4397" i="59"/>
  <c r="E4396" i="59"/>
  <c r="E4395" i="59"/>
  <c r="E4394" i="59"/>
  <c r="E4393" i="59"/>
  <c r="E4392" i="59"/>
  <c r="E4391" i="59"/>
  <c r="E4390" i="59"/>
  <c r="E4389" i="59"/>
  <c r="E4388" i="59"/>
  <c r="E4387" i="59"/>
  <c r="E4386" i="59"/>
  <c r="E4385" i="59"/>
  <c r="E4384" i="59"/>
  <c r="E4383" i="59"/>
  <c r="E4382" i="59"/>
  <c r="E4381" i="59"/>
  <c r="E4380" i="59"/>
  <c r="E4379" i="59"/>
  <c r="E4378" i="59"/>
  <c r="E4377" i="59"/>
  <c r="E4376" i="59"/>
  <c r="E4375" i="59"/>
  <c r="E4374" i="59"/>
  <c r="E4373" i="59"/>
  <c r="E4372" i="59"/>
  <c r="E4371" i="59"/>
  <c r="E4370" i="59"/>
  <c r="E4369" i="59"/>
  <c r="E4368" i="59"/>
  <c r="E4367" i="59"/>
  <c r="E4366" i="59"/>
  <c r="E4365" i="59"/>
  <c r="E4364" i="59"/>
  <c r="E4363" i="59"/>
  <c r="E4362" i="59"/>
  <c r="E4361" i="59"/>
  <c r="E4360" i="59"/>
  <c r="E4359" i="59"/>
  <c r="E4358" i="59"/>
  <c r="E4357" i="59"/>
  <c r="E4356" i="59"/>
  <c r="E4355" i="59"/>
  <c r="E4354" i="59"/>
  <c r="E4353" i="59"/>
  <c r="E4352" i="59"/>
  <c r="E4351" i="59"/>
  <c r="E4350" i="59"/>
  <c r="E4349" i="59"/>
  <c r="E4348" i="59"/>
  <c r="E4347" i="59"/>
  <c r="E4346" i="59"/>
  <c r="E4345" i="59"/>
  <c r="E4344" i="59"/>
  <c r="E4343" i="59"/>
  <c r="E4342" i="59"/>
  <c r="E4341" i="59"/>
  <c r="E4340" i="59"/>
  <c r="E4339" i="59"/>
  <c r="E4338" i="59"/>
  <c r="E4337" i="59"/>
  <c r="E4336" i="59"/>
  <c r="E4335" i="59"/>
  <c r="E4334" i="59"/>
  <c r="E4333" i="59"/>
  <c r="E4332" i="59"/>
  <c r="E4331" i="59"/>
  <c r="E4330" i="59"/>
  <c r="E4329" i="59"/>
  <c r="E4328" i="59"/>
  <c r="E4327" i="59"/>
  <c r="E4326" i="59"/>
  <c r="E4325" i="59"/>
  <c r="E4324" i="59"/>
  <c r="E4323" i="59"/>
  <c r="E4322" i="59"/>
  <c r="E4321" i="59"/>
  <c r="E4320" i="59"/>
  <c r="E4319" i="59"/>
  <c r="E4318" i="59"/>
  <c r="E4317" i="59"/>
  <c r="E4316" i="59"/>
  <c r="E4315" i="59"/>
  <c r="E4314" i="59"/>
  <c r="E4313" i="59"/>
  <c r="E4312" i="59"/>
  <c r="E4311" i="59"/>
  <c r="E4310" i="59"/>
  <c r="E4309" i="59"/>
  <c r="E4308" i="59"/>
  <c r="E4307" i="59"/>
  <c r="E4306" i="59"/>
  <c r="E4305" i="59"/>
  <c r="E4304" i="59"/>
  <c r="E4303" i="59"/>
  <c r="E4302" i="59"/>
  <c r="E4301" i="59"/>
  <c r="E4300" i="59"/>
  <c r="E4299" i="59"/>
  <c r="E4298" i="59"/>
  <c r="E4297" i="59"/>
  <c r="E4296" i="59"/>
  <c r="E4295" i="59"/>
  <c r="E4294" i="59"/>
  <c r="E4293" i="59"/>
  <c r="E4292" i="59"/>
  <c r="E4291" i="59"/>
  <c r="E4290" i="59"/>
  <c r="E4289" i="59"/>
  <c r="E4288" i="59"/>
  <c r="E4287" i="59"/>
  <c r="E4286" i="59"/>
  <c r="E4285" i="59"/>
  <c r="E4284" i="59"/>
  <c r="E4283" i="59"/>
  <c r="E4282" i="59"/>
  <c r="E4281" i="59"/>
  <c r="E4280" i="59"/>
  <c r="E4279" i="59"/>
  <c r="E4278" i="59"/>
  <c r="E4277" i="59"/>
  <c r="E4276" i="59"/>
  <c r="E4275" i="59"/>
  <c r="E4274" i="59"/>
  <c r="E4273" i="59"/>
  <c r="E4272" i="59"/>
  <c r="E4271" i="59"/>
  <c r="E4270" i="59"/>
  <c r="E4269" i="59"/>
  <c r="E4268" i="59"/>
  <c r="E4267" i="59"/>
  <c r="E4266" i="59"/>
  <c r="E4265" i="59"/>
  <c r="E4264" i="59"/>
  <c r="E4263" i="59"/>
  <c r="E4262" i="59"/>
  <c r="E4261" i="59"/>
  <c r="E4260" i="59"/>
  <c r="E4259" i="59"/>
  <c r="E4258" i="59"/>
  <c r="E4257" i="59"/>
  <c r="E4256" i="59"/>
  <c r="E4255" i="59"/>
  <c r="E4254" i="59"/>
  <c r="E4253" i="59"/>
  <c r="E4252" i="59"/>
  <c r="E4251" i="59"/>
  <c r="E4250" i="59"/>
  <c r="E4249" i="59"/>
  <c r="E4248" i="59"/>
  <c r="E4247" i="59"/>
  <c r="E4246" i="59"/>
  <c r="E4245" i="59"/>
  <c r="E4244" i="59"/>
  <c r="E4243" i="59"/>
  <c r="E4242" i="59"/>
  <c r="E4241" i="59"/>
  <c r="E4240" i="59"/>
  <c r="E4239" i="59"/>
  <c r="E4238" i="59"/>
  <c r="E4237" i="59"/>
  <c r="E4236" i="59"/>
  <c r="E4235" i="59"/>
  <c r="E4234" i="59"/>
  <c r="E4233" i="59"/>
  <c r="E4232" i="59"/>
  <c r="E4231" i="59"/>
  <c r="E4230" i="59"/>
  <c r="E4229" i="59"/>
  <c r="E4228" i="59"/>
  <c r="E4227" i="59"/>
  <c r="E4226" i="59"/>
  <c r="E4225" i="59"/>
  <c r="E4224" i="59"/>
  <c r="E4223" i="59"/>
  <c r="E4222" i="59"/>
  <c r="E4221" i="59"/>
  <c r="E4220" i="59"/>
  <c r="E4219" i="59"/>
  <c r="E4218" i="59"/>
  <c r="E4217" i="59"/>
  <c r="E4216" i="59"/>
  <c r="E4215" i="59"/>
  <c r="E4214" i="59"/>
  <c r="E4213" i="59"/>
  <c r="E4212" i="59"/>
  <c r="E4211" i="59"/>
  <c r="E4210" i="59"/>
  <c r="E4209" i="59"/>
  <c r="E4208" i="59"/>
  <c r="E4207" i="59"/>
  <c r="E4206" i="59"/>
  <c r="E4205" i="59"/>
  <c r="E4204" i="59"/>
  <c r="E4203" i="59"/>
  <c r="E4202" i="59"/>
  <c r="E4201" i="59"/>
  <c r="E4200" i="59"/>
  <c r="E4199" i="59"/>
  <c r="E4198" i="59"/>
  <c r="E4197" i="59"/>
  <c r="E4196" i="59"/>
  <c r="E4195" i="59"/>
  <c r="E4194" i="59"/>
  <c r="E4193" i="59"/>
  <c r="E4192" i="59"/>
  <c r="E4191" i="59"/>
  <c r="E4190" i="59"/>
  <c r="E4189" i="59"/>
  <c r="E4188" i="59"/>
  <c r="E4187" i="59"/>
  <c r="E4186" i="59"/>
  <c r="E4185" i="59"/>
  <c r="E4184" i="59"/>
  <c r="E4183" i="59"/>
  <c r="E4182" i="59"/>
  <c r="E4181" i="59"/>
  <c r="E4180" i="59"/>
  <c r="E4179" i="59"/>
  <c r="E4178" i="59"/>
  <c r="E4177" i="59"/>
  <c r="E4176" i="59"/>
  <c r="E4175" i="59"/>
  <c r="E4174" i="59"/>
  <c r="E4173" i="59"/>
  <c r="E4172" i="59"/>
  <c r="E4171" i="59"/>
  <c r="E4170" i="59"/>
  <c r="E4169" i="59"/>
  <c r="E4168" i="59"/>
  <c r="E4167" i="59"/>
  <c r="E4166" i="59"/>
  <c r="E4165" i="59"/>
  <c r="E4164" i="59"/>
  <c r="E4163" i="59"/>
  <c r="E4162" i="59"/>
  <c r="E4161" i="59"/>
  <c r="E4160" i="59"/>
  <c r="E4159" i="59"/>
  <c r="E4158" i="59"/>
  <c r="E4157" i="59"/>
  <c r="E4156" i="59"/>
  <c r="E4155" i="59"/>
  <c r="E4154" i="59"/>
  <c r="E4153" i="59"/>
  <c r="E4152" i="59"/>
  <c r="E4151" i="59"/>
  <c r="E4150" i="59"/>
  <c r="E4149" i="59"/>
  <c r="E4148" i="59"/>
  <c r="E4147" i="59"/>
  <c r="E4146" i="59"/>
  <c r="E4145" i="59"/>
  <c r="E4144" i="59"/>
  <c r="E4143" i="59"/>
  <c r="E4142" i="59"/>
  <c r="E4141" i="59"/>
  <c r="E4140" i="59"/>
  <c r="E4139" i="59"/>
  <c r="E4138" i="59"/>
  <c r="E4137" i="59"/>
  <c r="E4136" i="59"/>
  <c r="E4135" i="59"/>
  <c r="E4134" i="59"/>
  <c r="E4133" i="59"/>
  <c r="E4132" i="59"/>
  <c r="E4131" i="59"/>
  <c r="E4130" i="59"/>
  <c r="E4129" i="59"/>
  <c r="E4128" i="59"/>
  <c r="E4127" i="59"/>
  <c r="E4126" i="59"/>
  <c r="E4125" i="59"/>
  <c r="E4124" i="59"/>
  <c r="E4123" i="59"/>
  <c r="E4122" i="59"/>
  <c r="E4121" i="59"/>
  <c r="E4120" i="59"/>
  <c r="E4119" i="59"/>
  <c r="E4118" i="59"/>
  <c r="E4117" i="59"/>
  <c r="E4116" i="59"/>
  <c r="E4115" i="59"/>
  <c r="E4114" i="59"/>
  <c r="E4113" i="59"/>
  <c r="E4112" i="59"/>
  <c r="E4111" i="59"/>
  <c r="E4110" i="59"/>
  <c r="E4109" i="59"/>
  <c r="E4108" i="59"/>
  <c r="E4107" i="59"/>
  <c r="E4106" i="59"/>
  <c r="E4105" i="59"/>
  <c r="E4104" i="59"/>
  <c r="E4103" i="59"/>
  <c r="E4102" i="59"/>
  <c r="E4101" i="59"/>
  <c r="E4100" i="59"/>
  <c r="E4099" i="59"/>
  <c r="E4098" i="59"/>
  <c r="E4097" i="59"/>
  <c r="E4096" i="59"/>
  <c r="E4095" i="59"/>
  <c r="E4094" i="59"/>
  <c r="E4093" i="59"/>
  <c r="E4092" i="59"/>
  <c r="E4091" i="59"/>
  <c r="E4090" i="59"/>
  <c r="E4089" i="59"/>
  <c r="E4088" i="59"/>
  <c r="E4087" i="59"/>
  <c r="E4086" i="59"/>
  <c r="E4085" i="59"/>
  <c r="E4084" i="59"/>
  <c r="E4083" i="59"/>
  <c r="E4082" i="59"/>
  <c r="E4081" i="59"/>
  <c r="E4080" i="59"/>
  <c r="E4079" i="59"/>
  <c r="E4078" i="59"/>
  <c r="E4077" i="59"/>
  <c r="E4076" i="59"/>
  <c r="E4075" i="59"/>
  <c r="E4074" i="59"/>
  <c r="E4073" i="59"/>
  <c r="E4072" i="59"/>
  <c r="E4071" i="59"/>
  <c r="E4070" i="59"/>
  <c r="E4069" i="59"/>
  <c r="E4068" i="59"/>
  <c r="E4067" i="59"/>
  <c r="E4066" i="59"/>
  <c r="E4065" i="59"/>
  <c r="E4064" i="59"/>
  <c r="E4063" i="59"/>
  <c r="E4062" i="59"/>
  <c r="E4061" i="59"/>
  <c r="E4060" i="59"/>
  <c r="E4059" i="59"/>
  <c r="E4058" i="59"/>
  <c r="E4057" i="59"/>
  <c r="E4056" i="59"/>
  <c r="E4055" i="59"/>
  <c r="E4054" i="59"/>
  <c r="E4053" i="59"/>
  <c r="E4052" i="59"/>
  <c r="E4051" i="59"/>
  <c r="E4050" i="59"/>
  <c r="E4049" i="59"/>
  <c r="E4048" i="59"/>
  <c r="E4047" i="59"/>
  <c r="E4046" i="59"/>
  <c r="E4045" i="59"/>
  <c r="E4044" i="59"/>
  <c r="E4043" i="59"/>
  <c r="E4042" i="59"/>
  <c r="E4041" i="59"/>
  <c r="E4040" i="59"/>
  <c r="E4039" i="59"/>
  <c r="E4038" i="59"/>
  <c r="E4037" i="59"/>
  <c r="E4036" i="59"/>
  <c r="E4035" i="59"/>
  <c r="E4034" i="59"/>
  <c r="E4033" i="59"/>
  <c r="E4032" i="59"/>
  <c r="E4031" i="59"/>
  <c r="E4030" i="59"/>
  <c r="E4029" i="59"/>
  <c r="E4028" i="59"/>
  <c r="E4027" i="59"/>
  <c r="E4026" i="59"/>
  <c r="E4025" i="59"/>
  <c r="E4024" i="59"/>
  <c r="E4023" i="59"/>
  <c r="E4022" i="59"/>
  <c r="E4021" i="59"/>
  <c r="E4020" i="59"/>
  <c r="E4019" i="59"/>
  <c r="E4018" i="59"/>
  <c r="E4017" i="59"/>
  <c r="E4016" i="59"/>
  <c r="E4015" i="59"/>
  <c r="E4014" i="59"/>
  <c r="E4013" i="59"/>
  <c r="E4012" i="59"/>
  <c r="E4011" i="59"/>
  <c r="E4010" i="59"/>
  <c r="E4009" i="59"/>
  <c r="E4008" i="59"/>
  <c r="E4007" i="59"/>
  <c r="E4006" i="59"/>
  <c r="E4005" i="59"/>
  <c r="E4004" i="59"/>
  <c r="E4003" i="59"/>
  <c r="E4002" i="59"/>
  <c r="E4001" i="59"/>
  <c r="E4000" i="59"/>
  <c r="E3999" i="59"/>
  <c r="E3998" i="59"/>
  <c r="E3997" i="59"/>
  <c r="E3996" i="59"/>
  <c r="E3995" i="59"/>
  <c r="E3994" i="59"/>
  <c r="E3993" i="59"/>
  <c r="E3992" i="59"/>
  <c r="E3991" i="59"/>
  <c r="E3990" i="59"/>
  <c r="E3989" i="59"/>
  <c r="E3988" i="59"/>
  <c r="E3987" i="59"/>
  <c r="E3986" i="59"/>
  <c r="E3985" i="59"/>
  <c r="E3984" i="59"/>
  <c r="E3983" i="59"/>
  <c r="E3982" i="59"/>
  <c r="E3981" i="59"/>
  <c r="E3980" i="59"/>
  <c r="E3979" i="59"/>
  <c r="E3978" i="59"/>
  <c r="E3977" i="59"/>
  <c r="E3976" i="59"/>
  <c r="E3975" i="59"/>
  <c r="E3974" i="59"/>
  <c r="E3973" i="59"/>
  <c r="E3972" i="59"/>
  <c r="E3971" i="59"/>
  <c r="E3970" i="59"/>
  <c r="E3969" i="59"/>
  <c r="E3968" i="59"/>
  <c r="E3967" i="59"/>
  <c r="E3966" i="59"/>
  <c r="E3965" i="59"/>
  <c r="E3964" i="59"/>
  <c r="E3963" i="59"/>
  <c r="E3962" i="59"/>
  <c r="E3961" i="59"/>
  <c r="E3960" i="59"/>
  <c r="E3959" i="59"/>
  <c r="E3958" i="59"/>
  <c r="E3957" i="59"/>
  <c r="E3956" i="59"/>
  <c r="E3955" i="59"/>
  <c r="E3954" i="59"/>
  <c r="E3953" i="59"/>
  <c r="E3952" i="59"/>
  <c r="E3951" i="59"/>
  <c r="E3950" i="59"/>
  <c r="E3949" i="59"/>
  <c r="E3948" i="59"/>
  <c r="E3947" i="59"/>
  <c r="E3946" i="59"/>
  <c r="E3945" i="59"/>
  <c r="E3944" i="59"/>
  <c r="E3943" i="59"/>
  <c r="E3942" i="59"/>
  <c r="E3941" i="59"/>
  <c r="E3940" i="59"/>
  <c r="E3939" i="59"/>
  <c r="E3938" i="59"/>
  <c r="E3937" i="59"/>
  <c r="E3936" i="59"/>
  <c r="E3935" i="59"/>
  <c r="E3934" i="59"/>
  <c r="E3933" i="59"/>
  <c r="E3932" i="59"/>
  <c r="E3931" i="59"/>
  <c r="E3930" i="59"/>
  <c r="E3929" i="59"/>
  <c r="E3928" i="59"/>
  <c r="E3927" i="59"/>
  <c r="E3926" i="59"/>
  <c r="E3925" i="59"/>
  <c r="E3924" i="59"/>
  <c r="E3923" i="59"/>
  <c r="E3922" i="59"/>
  <c r="E3921" i="59"/>
  <c r="E3920" i="59"/>
  <c r="E3919" i="59"/>
  <c r="E3918" i="59"/>
  <c r="E3917" i="59"/>
  <c r="E3916" i="59"/>
  <c r="E3915" i="59"/>
  <c r="E3914" i="59"/>
  <c r="E3913" i="59"/>
  <c r="E3912" i="59"/>
  <c r="E3911" i="59"/>
  <c r="E3910" i="59"/>
  <c r="E3909" i="59"/>
  <c r="E3908" i="59"/>
  <c r="E3907" i="59"/>
  <c r="E3906" i="59"/>
  <c r="E3905" i="59"/>
  <c r="E3904" i="59"/>
  <c r="E3903" i="59"/>
  <c r="E3902" i="59"/>
  <c r="E3901" i="59"/>
  <c r="E3900" i="59"/>
  <c r="E3899" i="59"/>
  <c r="E3898" i="59"/>
  <c r="E3897" i="59"/>
  <c r="E3896" i="59"/>
  <c r="E3895" i="59"/>
  <c r="E3894" i="59"/>
  <c r="E3893" i="59"/>
  <c r="E3892" i="59"/>
  <c r="E3891" i="59"/>
  <c r="E3890" i="59"/>
  <c r="E3889" i="59"/>
  <c r="E3888" i="59"/>
  <c r="E3887" i="59"/>
  <c r="E3886" i="59"/>
  <c r="E3885" i="59"/>
  <c r="E3884" i="59"/>
  <c r="E3883" i="59"/>
  <c r="E3882" i="59"/>
  <c r="E3881" i="59"/>
  <c r="E3880" i="59"/>
  <c r="E3879" i="59"/>
  <c r="E3878" i="59"/>
  <c r="E3877" i="59"/>
  <c r="E3876" i="59"/>
  <c r="E3875" i="59"/>
  <c r="E3874" i="59"/>
  <c r="E3873" i="59"/>
  <c r="E3872" i="59"/>
  <c r="E3871" i="59"/>
  <c r="E3870" i="59"/>
  <c r="E3869" i="59"/>
  <c r="E3868" i="59"/>
  <c r="E3867" i="59"/>
  <c r="E3866" i="59"/>
  <c r="E3865" i="59"/>
  <c r="E3864" i="59"/>
  <c r="E3863" i="59"/>
  <c r="E3862" i="59"/>
  <c r="E3861" i="59"/>
  <c r="E3860" i="59"/>
  <c r="E3859" i="59"/>
  <c r="E3858" i="59"/>
  <c r="E3857" i="59"/>
  <c r="E3856" i="59"/>
  <c r="E3855" i="59"/>
  <c r="E3854" i="59"/>
  <c r="E3853" i="59"/>
  <c r="E3852" i="59"/>
  <c r="E3851" i="59"/>
  <c r="E3850" i="59"/>
  <c r="E3849" i="59"/>
  <c r="E3848" i="59"/>
  <c r="E3847" i="59"/>
  <c r="E3846" i="59"/>
  <c r="E3845" i="59"/>
  <c r="E3844" i="59"/>
  <c r="E3843" i="59"/>
  <c r="E3842" i="59"/>
  <c r="E3841" i="59"/>
  <c r="E3840" i="59"/>
  <c r="E3839" i="59"/>
  <c r="E3838" i="59"/>
  <c r="E3837" i="59"/>
  <c r="E3836" i="59"/>
  <c r="E3835" i="59"/>
  <c r="E3834" i="59"/>
  <c r="E3833" i="59"/>
  <c r="E3832" i="59"/>
  <c r="E3831" i="59"/>
  <c r="E3830" i="59"/>
  <c r="E3829" i="59"/>
  <c r="E3828" i="59"/>
  <c r="E3827" i="59"/>
  <c r="E3826" i="59"/>
  <c r="E3825" i="59"/>
  <c r="E3824" i="59"/>
  <c r="E3823" i="59"/>
  <c r="E3822" i="59"/>
  <c r="E3821" i="59"/>
  <c r="E3820" i="59"/>
  <c r="E3819" i="59"/>
  <c r="E3818" i="59"/>
  <c r="E3817" i="59"/>
  <c r="E3816" i="59"/>
  <c r="E3815" i="59"/>
  <c r="E3814" i="59"/>
  <c r="E3813" i="59"/>
  <c r="E3812" i="59"/>
  <c r="E3811" i="59"/>
  <c r="E3810" i="59"/>
  <c r="E3809" i="59"/>
  <c r="E3808" i="59"/>
  <c r="E3807" i="59"/>
  <c r="E3806" i="59"/>
  <c r="E3805" i="59"/>
  <c r="E3804" i="59"/>
  <c r="E3803" i="59"/>
  <c r="E3802" i="59"/>
  <c r="E3801" i="59"/>
  <c r="E3800" i="59"/>
  <c r="E3799" i="59"/>
  <c r="E3798" i="59"/>
  <c r="E3797" i="59"/>
  <c r="E3796" i="59"/>
  <c r="E3795" i="59"/>
  <c r="E3794" i="59"/>
  <c r="E3793" i="59"/>
  <c r="E3792" i="59"/>
  <c r="E3791" i="59"/>
  <c r="E3790" i="59"/>
  <c r="E3789" i="59"/>
  <c r="E3788" i="59"/>
  <c r="E3787" i="59"/>
  <c r="E3786" i="59"/>
  <c r="E3785" i="59"/>
  <c r="E3784" i="59"/>
  <c r="E3783" i="59"/>
  <c r="E3782" i="59"/>
  <c r="E3781" i="59"/>
  <c r="E3780" i="59"/>
  <c r="E3779" i="59"/>
  <c r="E3778" i="59"/>
  <c r="E3777" i="59"/>
  <c r="E3776" i="59"/>
  <c r="E3775" i="59"/>
  <c r="E3774" i="59"/>
  <c r="E3773" i="59"/>
  <c r="E3772" i="59"/>
  <c r="E3771" i="59"/>
  <c r="E3770" i="59"/>
  <c r="E3769" i="59"/>
  <c r="E3768" i="59"/>
  <c r="E3767" i="59"/>
  <c r="E3766" i="59"/>
  <c r="E3765" i="59"/>
  <c r="E3764" i="59"/>
  <c r="E3763" i="59"/>
  <c r="E3762" i="59"/>
  <c r="E3761" i="59"/>
  <c r="E3760" i="59"/>
  <c r="E3759" i="59"/>
  <c r="E3758" i="59"/>
  <c r="E3757" i="59"/>
  <c r="E3756" i="59"/>
  <c r="E3755" i="59"/>
  <c r="E3754" i="59"/>
  <c r="E3753" i="59"/>
  <c r="E3752" i="59"/>
  <c r="E3751" i="59"/>
  <c r="E3750" i="59"/>
  <c r="E3749" i="59"/>
  <c r="E3748" i="59"/>
  <c r="E3747" i="59"/>
  <c r="E3746" i="59"/>
  <c r="E3745" i="59"/>
  <c r="E3744" i="59"/>
  <c r="E3743" i="59"/>
  <c r="E3742" i="59"/>
  <c r="E3741" i="59"/>
  <c r="E3740" i="59"/>
  <c r="E3739" i="59"/>
  <c r="E3738" i="59"/>
  <c r="E3737" i="59"/>
  <c r="E3736" i="59"/>
  <c r="E3735" i="59"/>
  <c r="E3734" i="59"/>
  <c r="E3733" i="59"/>
  <c r="E3732" i="59"/>
  <c r="E3731" i="59"/>
  <c r="E3730" i="59"/>
  <c r="E3729" i="59"/>
  <c r="E3728" i="59"/>
  <c r="E3727" i="59"/>
  <c r="E3726" i="59"/>
  <c r="E3725" i="59"/>
  <c r="E3724" i="59"/>
  <c r="E3723" i="59"/>
  <c r="E3722" i="59"/>
  <c r="E3721" i="59"/>
  <c r="E3720" i="59"/>
  <c r="E3719" i="59"/>
  <c r="E3718" i="59"/>
  <c r="E3717" i="59"/>
  <c r="E3716" i="59"/>
  <c r="E3715" i="59"/>
  <c r="E3714" i="59"/>
  <c r="E3713" i="59"/>
  <c r="E3712" i="59"/>
  <c r="E3711" i="59"/>
  <c r="E3710" i="59"/>
  <c r="E3709" i="59"/>
  <c r="E3708" i="59"/>
  <c r="E3707" i="59"/>
  <c r="E3706" i="59"/>
  <c r="E3705" i="59"/>
  <c r="E3704" i="59"/>
  <c r="E3703" i="59"/>
  <c r="E3702" i="59"/>
  <c r="E3701" i="59"/>
  <c r="E3700" i="59"/>
  <c r="E3699" i="59"/>
  <c r="E3698" i="59"/>
  <c r="E3697" i="59"/>
  <c r="E3696" i="59"/>
  <c r="E3695" i="59"/>
  <c r="E3694" i="59"/>
  <c r="E3693" i="59"/>
  <c r="E3692" i="59"/>
  <c r="E3691" i="59"/>
  <c r="E3690" i="59"/>
  <c r="E3689" i="59"/>
  <c r="E3688" i="59"/>
  <c r="E3687" i="59"/>
  <c r="E3686" i="59"/>
  <c r="E3685" i="59"/>
  <c r="E3684" i="59"/>
  <c r="E3683" i="59"/>
  <c r="E3682" i="59"/>
  <c r="E3681" i="59"/>
  <c r="E3680" i="59"/>
  <c r="E3679" i="59"/>
  <c r="E3678" i="59"/>
  <c r="E3677" i="59"/>
  <c r="E3676" i="59"/>
  <c r="E3675" i="59"/>
  <c r="E3674" i="59"/>
  <c r="E3673" i="59"/>
  <c r="E3672" i="59"/>
  <c r="E3671" i="59"/>
  <c r="E3670" i="59"/>
  <c r="E3669" i="59"/>
  <c r="E3668" i="59"/>
  <c r="E3667" i="59"/>
  <c r="E3666" i="59"/>
  <c r="E3665" i="59"/>
  <c r="E3664" i="59"/>
  <c r="E3663" i="59"/>
  <c r="E3662" i="59"/>
  <c r="E3661" i="59"/>
  <c r="E3660" i="59"/>
  <c r="E3659" i="59"/>
  <c r="E3658" i="59"/>
  <c r="E3657" i="59"/>
  <c r="E3656" i="59"/>
  <c r="E3655" i="59"/>
  <c r="E3654" i="59"/>
  <c r="E3653" i="59"/>
  <c r="E3652" i="59"/>
  <c r="E3651" i="59"/>
  <c r="E3650" i="59"/>
  <c r="E3649" i="59"/>
  <c r="E3648" i="59"/>
  <c r="E3647" i="59"/>
  <c r="E3646" i="59"/>
  <c r="E3645" i="59"/>
  <c r="E3644" i="59"/>
  <c r="E3643" i="59"/>
  <c r="E3642" i="59"/>
  <c r="E3641" i="59"/>
  <c r="E3640" i="59"/>
  <c r="E3639" i="59"/>
  <c r="E3638" i="59"/>
  <c r="E3637" i="59"/>
  <c r="E3636" i="59"/>
  <c r="E3635" i="59"/>
  <c r="E3634" i="59"/>
  <c r="E3633" i="59"/>
  <c r="E3632" i="59"/>
  <c r="E3631" i="59"/>
  <c r="E3630" i="59"/>
  <c r="E3629" i="59"/>
  <c r="E3628" i="59"/>
  <c r="E3627" i="59"/>
  <c r="E3626" i="59"/>
  <c r="E3625" i="59"/>
  <c r="E3624" i="59"/>
  <c r="E3623" i="59"/>
  <c r="E3622" i="59"/>
  <c r="E3621" i="59"/>
  <c r="E3620" i="59"/>
  <c r="E3619" i="59"/>
  <c r="E3618" i="59"/>
  <c r="E3617" i="59"/>
  <c r="E3616" i="59"/>
  <c r="E3615" i="59"/>
  <c r="E3614" i="59"/>
  <c r="E3613" i="59"/>
  <c r="E3612" i="59"/>
  <c r="E3611" i="59"/>
  <c r="E3610" i="59"/>
  <c r="E3609" i="59"/>
  <c r="E3608" i="59"/>
  <c r="E3607" i="59"/>
  <c r="E3606" i="59"/>
  <c r="E3605" i="59"/>
  <c r="E3604" i="59"/>
  <c r="E3603" i="59"/>
  <c r="E3602" i="59"/>
  <c r="E3601" i="59"/>
  <c r="E3600" i="59"/>
  <c r="E3599" i="59"/>
  <c r="E3598" i="59"/>
  <c r="E3597" i="59"/>
  <c r="E3596" i="59"/>
  <c r="E3595" i="59"/>
  <c r="E3594" i="59"/>
  <c r="E3593" i="59"/>
  <c r="E3592" i="59"/>
  <c r="E3591" i="59"/>
  <c r="E3590" i="59"/>
  <c r="E3589" i="59"/>
  <c r="E3588" i="59"/>
  <c r="E3587" i="59"/>
  <c r="E3586" i="59"/>
  <c r="E3585" i="59"/>
  <c r="E3584" i="59"/>
  <c r="E3583" i="59"/>
  <c r="E3582" i="59"/>
  <c r="E3581" i="59"/>
  <c r="E3580" i="59"/>
  <c r="E3579" i="59"/>
  <c r="E3578" i="59"/>
  <c r="E3577" i="59"/>
  <c r="E3576" i="59"/>
  <c r="E3575" i="59"/>
  <c r="E3574" i="59"/>
  <c r="E3573" i="59"/>
  <c r="E3572" i="59"/>
  <c r="E3571" i="59"/>
  <c r="E3570" i="59"/>
  <c r="E3569" i="59"/>
  <c r="E3568" i="59"/>
  <c r="E3567" i="59"/>
  <c r="E3566" i="59"/>
  <c r="E3565" i="59"/>
  <c r="E3564" i="59"/>
  <c r="E3563" i="59"/>
  <c r="E3562" i="59"/>
  <c r="E3561" i="59"/>
  <c r="E3560" i="59"/>
  <c r="E3559" i="59"/>
  <c r="E3558" i="59"/>
  <c r="E3557" i="59"/>
  <c r="E3556" i="59"/>
  <c r="E3555" i="59"/>
  <c r="E3554" i="59"/>
  <c r="E3553" i="59"/>
  <c r="E3552" i="59"/>
  <c r="E3551" i="59"/>
  <c r="E3550" i="59"/>
  <c r="E3549" i="59"/>
  <c r="E3548" i="59"/>
  <c r="E3547" i="59"/>
  <c r="E3546" i="59"/>
  <c r="E3545" i="59"/>
  <c r="E3544" i="59"/>
  <c r="E3543" i="59"/>
  <c r="E3542" i="59"/>
  <c r="E3541" i="59"/>
  <c r="E3540" i="59"/>
  <c r="E3539" i="59"/>
  <c r="E3538" i="59"/>
  <c r="E3537" i="59"/>
  <c r="E3536" i="59"/>
  <c r="E3535" i="59"/>
  <c r="E3534" i="59"/>
  <c r="E3533" i="59"/>
  <c r="E3532" i="59"/>
  <c r="E3531" i="59"/>
  <c r="E3530" i="59"/>
  <c r="E3529" i="59"/>
  <c r="E3528" i="59"/>
  <c r="E3527" i="59"/>
  <c r="E3526" i="59"/>
  <c r="E3525" i="59"/>
  <c r="E3524" i="59"/>
  <c r="E3523" i="59"/>
  <c r="E3522" i="59"/>
  <c r="E3521" i="59"/>
  <c r="E3520" i="59"/>
  <c r="E3519" i="59"/>
  <c r="E3518" i="59"/>
  <c r="E3517" i="59"/>
  <c r="E3516" i="59"/>
  <c r="E3515" i="59"/>
  <c r="E3514" i="59"/>
  <c r="E3513" i="59"/>
  <c r="E3512" i="59"/>
  <c r="E3511" i="59"/>
  <c r="E3510" i="59"/>
  <c r="E3509" i="59"/>
  <c r="E3508" i="59"/>
  <c r="E3507" i="59"/>
  <c r="E3506" i="59"/>
  <c r="E3505" i="59"/>
  <c r="E3504" i="59"/>
  <c r="E3503" i="59"/>
  <c r="E3502" i="59"/>
  <c r="E3501" i="59"/>
  <c r="E3500" i="59"/>
  <c r="E3499" i="59"/>
  <c r="E3498" i="59"/>
  <c r="E3497" i="59"/>
  <c r="E3496" i="59"/>
  <c r="E3495" i="59"/>
  <c r="E3494" i="59"/>
  <c r="E3493" i="59"/>
  <c r="E3492" i="59"/>
  <c r="E3491" i="59"/>
  <c r="E3490" i="59"/>
  <c r="E3489" i="59"/>
  <c r="E3488" i="59"/>
  <c r="E3487" i="59"/>
  <c r="E3486" i="59"/>
  <c r="E3485" i="59"/>
  <c r="E3484" i="59"/>
  <c r="E3483" i="59"/>
  <c r="E3482" i="59"/>
  <c r="E3481" i="59"/>
  <c r="E3480" i="59"/>
  <c r="E3479" i="59"/>
  <c r="E3478" i="59"/>
  <c r="E3477" i="59"/>
  <c r="E3476" i="59"/>
  <c r="E3475" i="59"/>
  <c r="E3474" i="59"/>
  <c r="E3473" i="59"/>
  <c r="E3472" i="59"/>
  <c r="E3471" i="59"/>
  <c r="E3470" i="59"/>
  <c r="E3469" i="59"/>
  <c r="E3468" i="59"/>
  <c r="E3467" i="59"/>
  <c r="E3466" i="59"/>
  <c r="E3465" i="59"/>
  <c r="E3464" i="59"/>
  <c r="E3463" i="59"/>
  <c r="E3462" i="59"/>
  <c r="E3461" i="59"/>
  <c r="E3460" i="59"/>
  <c r="E3459" i="59"/>
  <c r="E3458" i="59"/>
  <c r="E3457" i="59"/>
  <c r="E3456" i="59"/>
  <c r="E3455" i="59"/>
  <c r="E3454" i="59"/>
  <c r="E3453" i="59"/>
  <c r="E3452" i="59"/>
  <c r="E3451" i="59"/>
  <c r="E3450" i="59"/>
  <c r="E3449" i="59"/>
  <c r="E3448" i="59"/>
  <c r="E3447" i="59"/>
  <c r="E3446" i="59"/>
  <c r="E3445" i="59"/>
  <c r="E3444" i="59"/>
  <c r="E3443" i="59"/>
  <c r="E3442" i="59"/>
  <c r="E3441" i="59"/>
  <c r="E3440" i="59"/>
  <c r="E3439" i="59"/>
  <c r="E3438" i="59"/>
  <c r="E3437" i="59"/>
  <c r="E3436" i="59"/>
  <c r="E3435" i="59"/>
  <c r="E3434" i="59"/>
  <c r="E3433" i="59"/>
  <c r="E3432" i="59"/>
  <c r="E3431" i="59"/>
  <c r="E3430" i="59"/>
  <c r="E3429" i="59"/>
  <c r="E3428" i="59"/>
  <c r="E3427" i="59"/>
  <c r="E3426" i="59"/>
  <c r="E3425" i="59"/>
  <c r="E3424" i="59"/>
  <c r="E3423" i="59"/>
  <c r="E3422" i="59"/>
  <c r="E3421" i="59"/>
  <c r="E3420" i="59"/>
  <c r="E3419" i="59"/>
  <c r="E3418" i="59"/>
  <c r="E3417" i="59"/>
  <c r="E3416" i="59"/>
  <c r="E3415" i="59"/>
  <c r="E3414" i="59"/>
  <c r="E3413" i="59"/>
  <c r="E3412" i="59"/>
  <c r="E3411" i="59"/>
  <c r="E3410" i="59"/>
  <c r="E3409" i="59"/>
  <c r="E3408" i="59"/>
  <c r="E3407" i="59"/>
  <c r="E3406" i="59"/>
  <c r="E3405" i="59"/>
  <c r="E3404" i="59"/>
  <c r="E3403" i="59"/>
  <c r="E3402" i="59"/>
  <c r="E3401" i="59"/>
  <c r="E3400" i="59"/>
  <c r="E3399" i="59"/>
  <c r="E3398" i="59"/>
  <c r="E3397" i="59"/>
  <c r="E3396" i="59"/>
  <c r="E3395" i="59"/>
  <c r="E3394" i="59"/>
  <c r="E3393" i="59"/>
  <c r="E3392" i="59"/>
  <c r="E3391" i="59"/>
  <c r="E3390" i="59"/>
  <c r="E3389" i="59"/>
  <c r="E3388" i="59"/>
  <c r="E3387" i="59"/>
  <c r="E3386" i="59"/>
  <c r="E3385" i="59"/>
  <c r="E3384" i="59"/>
  <c r="E3383" i="59"/>
  <c r="E3382" i="59"/>
  <c r="E3381" i="59"/>
  <c r="E3380" i="59"/>
  <c r="E3379" i="59"/>
  <c r="E3378" i="59"/>
  <c r="E3377" i="59"/>
  <c r="E3376" i="59"/>
  <c r="E3375" i="59"/>
  <c r="E3374" i="59"/>
  <c r="E3373" i="59"/>
  <c r="E3372" i="59"/>
  <c r="E3371" i="59"/>
  <c r="E3370" i="59"/>
  <c r="E3369" i="59"/>
  <c r="E3368" i="59"/>
  <c r="E3367" i="59"/>
  <c r="E3366" i="59"/>
  <c r="E3365" i="59"/>
  <c r="E3364" i="59"/>
  <c r="E3363" i="59"/>
  <c r="E3362" i="59"/>
  <c r="E3361" i="59"/>
  <c r="E3360" i="59"/>
  <c r="E3359" i="59"/>
  <c r="E3358" i="59"/>
  <c r="E3357" i="59"/>
  <c r="E3356" i="59"/>
  <c r="E3355" i="59"/>
  <c r="E3354" i="59"/>
  <c r="E3353" i="59"/>
  <c r="E3352" i="59"/>
  <c r="E3351" i="59"/>
  <c r="E3350" i="59"/>
  <c r="E3349" i="59"/>
  <c r="E3348" i="59"/>
  <c r="E3347" i="59"/>
  <c r="E3346" i="59"/>
  <c r="E3345" i="59"/>
  <c r="E3344" i="59"/>
  <c r="E3343" i="59"/>
  <c r="E3342" i="59"/>
  <c r="E3341" i="59"/>
  <c r="E3340" i="59"/>
  <c r="E3339" i="59"/>
  <c r="E3338" i="59"/>
  <c r="E3337" i="59"/>
  <c r="E3336" i="59"/>
  <c r="E3335" i="59"/>
  <c r="E3334" i="59"/>
  <c r="E3333" i="59"/>
  <c r="E3332" i="59"/>
  <c r="E3331" i="59"/>
  <c r="E3330" i="59"/>
  <c r="E3329" i="59"/>
  <c r="E3328" i="59"/>
  <c r="E3327" i="59"/>
  <c r="E3326" i="59"/>
  <c r="E3325" i="59"/>
  <c r="E3324" i="59"/>
  <c r="E3323" i="59"/>
  <c r="E3322" i="59"/>
  <c r="E3321" i="59"/>
  <c r="E3320" i="59"/>
  <c r="E3319" i="59"/>
  <c r="E3318" i="59"/>
  <c r="E3317" i="59"/>
  <c r="E3316" i="59"/>
  <c r="E3315" i="59"/>
  <c r="E3314" i="59"/>
  <c r="E3313" i="59"/>
  <c r="E3312" i="59"/>
  <c r="E3311" i="59"/>
  <c r="E3310" i="59"/>
  <c r="E3309" i="59"/>
  <c r="E3308" i="59"/>
  <c r="E3307" i="59"/>
  <c r="E3306" i="59"/>
  <c r="E3305" i="59"/>
  <c r="E3304" i="59"/>
  <c r="E3303" i="59"/>
  <c r="E3302" i="59"/>
  <c r="E3301" i="59"/>
  <c r="E3300" i="59"/>
  <c r="E3299" i="59"/>
  <c r="E3298" i="59"/>
  <c r="E3297" i="59"/>
  <c r="E3296" i="59"/>
  <c r="E3295" i="59"/>
  <c r="E3294" i="59"/>
  <c r="E3293" i="59"/>
  <c r="E3292" i="59"/>
  <c r="E3291" i="59"/>
  <c r="E3290" i="59"/>
  <c r="E3289" i="59"/>
  <c r="E3288" i="59"/>
  <c r="E3287" i="59"/>
  <c r="E3286" i="59"/>
  <c r="E3285" i="59"/>
  <c r="E3284" i="59"/>
  <c r="E3283" i="59"/>
  <c r="E3282" i="59"/>
  <c r="E3281" i="59"/>
  <c r="E3280" i="59"/>
  <c r="E3279" i="59"/>
  <c r="E3278" i="59"/>
  <c r="E3277" i="59"/>
  <c r="E3276" i="59"/>
  <c r="E3275" i="59"/>
  <c r="E3274" i="59"/>
  <c r="E3273" i="59"/>
  <c r="E3272" i="59"/>
  <c r="E3271" i="59"/>
  <c r="E3270" i="59"/>
  <c r="E3269" i="59"/>
  <c r="E3268" i="59"/>
  <c r="E3267" i="59"/>
  <c r="E3266" i="59"/>
  <c r="E3265" i="59"/>
  <c r="E3264" i="59"/>
  <c r="E3263" i="59"/>
  <c r="E3262" i="59"/>
  <c r="E3261" i="59"/>
  <c r="E3260" i="59"/>
  <c r="E3259" i="59"/>
  <c r="E3258" i="59"/>
  <c r="E3257" i="59"/>
  <c r="E3256" i="59"/>
  <c r="E3255" i="59"/>
  <c r="E3254" i="59"/>
  <c r="E3253" i="59"/>
  <c r="E3252" i="59"/>
  <c r="E3251" i="59"/>
  <c r="E3250" i="59"/>
  <c r="E3249" i="59"/>
  <c r="E3248" i="59"/>
  <c r="E3247" i="59"/>
  <c r="E3246" i="59"/>
  <c r="E3245" i="59"/>
  <c r="E3244" i="59"/>
  <c r="E3243" i="59"/>
  <c r="E3242" i="59"/>
  <c r="E3241" i="59"/>
  <c r="E3240" i="59"/>
  <c r="E3239" i="59"/>
  <c r="E3238" i="59"/>
  <c r="E3237" i="59"/>
  <c r="E3236" i="59"/>
  <c r="E3235" i="59"/>
  <c r="E3234" i="59"/>
  <c r="E3233" i="59"/>
  <c r="E3232" i="59"/>
  <c r="E3231" i="59"/>
  <c r="E3230" i="59"/>
  <c r="E3229" i="59"/>
  <c r="E3228" i="59"/>
  <c r="E3227" i="59"/>
  <c r="E3226" i="59"/>
  <c r="E3225" i="59"/>
  <c r="E3224" i="59"/>
  <c r="E3223" i="59"/>
  <c r="E3222" i="59"/>
  <c r="E3221" i="59"/>
  <c r="E3220" i="59"/>
  <c r="E3219" i="59"/>
  <c r="E3218" i="59"/>
  <c r="E3217" i="59"/>
  <c r="E3216" i="59"/>
  <c r="E3215" i="59"/>
  <c r="E3214" i="59"/>
  <c r="E3213" i="59"/>
  <c r="E3212" i="59"/>
  <c r="E3211" i="59"/>
  <c r="E3210" i="59"/>
  <c r="E3209" i="59"/>
  <c r="E3208" i="59"/>
  <c r="E3207" i="59"/>
  <c r="E3206" i="59"/>
  <c r="E3205" i="59"/>
  <c r="E3204" i="59"/>
  <c r="E3203" i="59"/>
  <c r="E3202" i="59"/>
  <c r="E3201" i="59"/>
  <c r="E3200" i="59"/>
  <c r="E3199" i="59"/>
  <c r="E3198" i="59"/>
  <c r="E3197" i="59"/>
  <c r="E3196" i="59"/>
  <c r="E3195" i="59"/>
  <c r="E3194" i="59"/>
  <c r="E3193" i="59"/>
  <c r="E3192" i="59"/>
  <c r="E3191" i="59"/>
  <c r="E3190" i="59"/>
  <c r="E3189" i="59"/>
  <c r="E3188" i="59"/>
  <c r="E3187" i="59"/>
  <c r="E3186" i="59"/>
  <c r="E3185" i="59"/>
  <c r="E3184" i="59"/>
  <c r="E3183" i="59"/>
  <c r="E3182" i="59"/>
  <c r="E3181" i="59"/>
  <c r="E3180" i="59"/>
  <c r="E3179" i="59"/>
  <c r="E3178" i="59"/>
  <c r="E3177" i="59"/>
  <c r="E3176" i="59"/>
  <c r="E3175" i="59"/>
  <c r="E3174" i="59"/>
  <c r="E3173" i="59"/>
  <c r="E3172" i="59"/>
  <c r="E3171" i="59"/>
  <c r="E3170" i="59"/>
  <c r="E3169" i="59"/>
  <c r="E3168" i="59"/>
  <c r="E3167" i="59"/>
  <c r="E3166" i="59"/>
  <c r="E3165" i="59"/>
  <c r="E3164" i="59"/>
  <c r="E3163" i="59"/>
  <c r="E3162" i="59"/>
  <c r="E3161" i="59"/>
  <c r="E3160" i="59"/>
  <c r="E3159" i="59"/>
  <c r="E3158" i="59"/>
  <c r="E3157" i="59"/>
  <c r="E3156" i="59"/>
  <c r="E3155" i="59"/>
  <c r="E3154" i="59"/>
  <c r="E3153" i="59"/>
  <c r="E3152" i="59"/>
  <c r="E3151" i="59"/>
  <c r="E3150" i="59"/>
  <c r="E3149" i="59"/>
  <c r="E3148" i="59"/>
  <c r="E3147" i="59"/>
  <c r="E3146" i="59"/>
  <c r="E3145" i="59"/>
  <c r="E3144" i="59"/>
  <c r="E3143" i="59"/>
  <c r="E3142" i="59"/>
  <c r="E3141" i="59"/>
  <c r="E3140" i="59"/>
  <c r="E3139" i="59"/>
  <c r="E3138" i="59"/>
  <c r="E3137" i="59"/>
  <c r="E3136" i="59"/>
  <c r="E3135" i="59"/>
  <c r="E3134" i="59"/>
  <c r="E3133" i="59"/>
  <c r="E3132" i="59"/>
  <c r="E3131" i="59"/>
  <c r="E3130" i="59"/>
  <c r="E3129" i="59"/>
  <c r="E3128" i="59"/>
  <c r="E3127" i="59"/>
  <c r="E3126" i="59"/>
  <c r="E3125" i="59"/>
  <c r="E3124" i="59"/>
  <c r="E3123" i="59"/>
  <c r="E3122" i="59"/>
  <c r="E3121" i="59"/>
  <c r="E3120" i="59"/>
  <c r="E3119" i="59"/>
  <c r="E3118" i="59"/>
  <c r="E3117" i="59"/>
  <c r="E3116" i="59"/>
  <c r="E3115" i="59"/>
  <c r="E3114" i="59"/>
  <c r="E3113" i="59"/>
  <c r="E3112" i="59"/>
  <c r="E3111" i="59"/>
  <c r="E3110" i="59"/>
  <c r="E3109" i="59"/>
  <c r="E3108" i="59"/>
  <c r="E3107" i="59"/>
  <c r="E3106" i="59"/>
  <c r="E3105" i="59"/>
  <c r="E3104" i="59"/>
  <c r="E3103" i="59"/>
  <c r="E3102" i="59"/>
  <c r="E3101" i="59"/>
  <c r="E3100" i="59"/>
  <c r="E3099" i="59"/>
  <c r="E3098" i="59"/>
  <c r="E3097" i="59"/>
  <c r="E3096" i="59"/>
  <c r="E3095" i="59"/>
  <c r="E3094" i="59"/>
  <c r="E3093" i="59"/>
  <c r="E3092" i="59"/>
  <c r="E3091" i="59"/>
  <c r="E3090" i="59"/>
  <c r="E3089" i="59"/>
  <c r="E3088" i="59"/>
  <c r="E3087" i="59"/>
  <c r="E3086" i="59"/>
  <c r="E3085" i="59"/>
  <c r="E3084" i="59"/>
  <c r="E3083" i="59"/>
  <c r="E3082" i="59"/>
  <c r="E3081" i="59"/>
  <c r="E3080" i="59"/>
  <c r="E3079" i="59"/>
  <c r="E3078" i="59"/>
  <c r="E3077" i="59"/>
  <c r="E3076" i="59"/>
  <c r="E3075" i="59"/>
  <c r="E3074" i="59"/>
  <c r="E3073" i="59"/>
  <c r="E3072" i="59"/>
  <c r="E3071" i="59"/>
  <c r="E3070" i="59"/>
  <c r="E3069" i="59"/>
  <c r="E3068" i="59"/>
  <c r="E3067" i="59"/>
  <c r="E3066" i="59"/>
  <c r="E3065" i="59"/>
  <c r="E3064" i="59"/>
  <c r="E3063" i="59"/>
  <c r="E3062" i="59"/>
  <c r="E3061" i="59"/>
  <c r="E3060" i="59"/>
  <c r="E3059" i="59"/>
  <c r="E3058" i="59"/>
  <c r="E3057" i="59"/>
  <c r="E3056" i="59"/>
  <c r="E3055" i="59"/>
  <c r="E3054" i="59"/>
  <c r="E3053" i="59"/>
  <c r="E3052" i="59"/>
  <c r="E3051" i="59"/>
  <c r="E3050" i="59"/>
  <c r="E3049" i="59"/>
  <c r="E3048" i="59"/>
  <c r="E3047" i="59"/>
  <c r="E3046" i="59"/>
  <c r="E3045" i="59"/>
  <c r="E3044" i="59"/>
  <c r="E3043" i="59"/>
  <c r="E3042" i="59"/>
  <c r="E3041" i="59"/>
  <c r="E3040" i="59"/>
  <c r="E3039" i="59"/>
  <c r="E3038" i="59"/>
  <c r="E3037" i="59"/>
  <c r="E3036" i="59"/>
  <c r="E3035" i="59"/>
  <c r="E3034" i="59"/>
  <c r="E3033" i="59"/>
  <c r="E3032" i="59"/>
  <c r="E3031" i="59"/>
  <c r="E3030" i="59"/>
  <c r="E3029" i="59"/>
  <c r="E3028" i="59"/>
  <c r="E3027" i="59"/>
  <c r="E3026" i="59"/>
  <c r="E3025" i="59"/>
  <c r="E3024" i="59"/>
  <c r="E3023" i="59"/>
  <c r="E3022" i="59"/>
  <c r="E3021" i="59"/>
  <c r="E3020" i="59"/>
  <c r="E3019" i="59"/>
  <c r="E3018" i="59"/>
  <c r="E3017" i="59"/>
  <c r="E3016" i="59"/>
  <c r="E3015" i="59"/>
  <c r="E3014" i="59"/>
  <c r="E3013" i="59"/>
  <c r="E3012" i="59"/>
  <c r="E3011" i="59"/>
  <c r="E3010" i="59"/>
  <c r="E3009" i="59"/>
  <c r="E3008" i="59"/>
  <c r="E3007" i="59"/>
  <c r="E3006" i="59"/>
  <c r="E3005" i="59"/>
  <c r="E3004" i="59"/>
  <c r="E3003" i="59"/>
  <c r="E3002" i="59"/>
  <c r="E3001" i="59"/>
  <c r="E3000" i="59"/>
  <c r="E2999" i="59"/>
  <c r="E2998" i="59"/>
  <c r="E2997" i="59"/>
  <c r="E2996" i="59"/>
  <c r="E2995" i="59"/>
  <c r="E2994" i="59"/>
  <c r="E2993" i="59"/>
  <c r="E2992" i="59"/>
  <c r="E2991" i="59"/>
  <c r="E2990" i="59"/>
  <c r="E2989" i="59"/>
  <c r="E2988" i="59"/>
  <c r="E2987" i="59"/>
  <c r="E2986" i="59"/>
  <c r="E2985" i="59"/>
  <c r="E2984" i="59"/>
  <c r="E2983" i="59"/>
  <c r="E2982" i="59"/>
  <c r="E2981" i="59"/>
  <c r="E2980" i="59"/>
  <c r="E2979" i="59"/>
  <c r="E2978" i="59"/>
  <c r="E2977" i="59"/>
  <c r="E2976" i="59"/>
  <c r="E2975" i="59"/>
  <c r="E2974" i="59"/>
  <c r="E2973" i="59"/>
  <c r="E2972" i="59"/>
  <c r="E2971" i="59"/>
  <c r="E2970" i="59"/>
  <c r="E2969" i="59"/>
  <c r="E2968" i="59"/>
  <c r="E2967" i="59"/>
  <c r="E2966" i="59"/>
  <c r="E2965" i="59"/>
  <c r="E2964" i="59"/>
  <c r="E2963" i="59"/>
  <c r="E2962" i="59"/>
  <c r="E2961" i="59"/>
  <c r="E2960" i="59"/>
  <c r="E2959" i="59"/>
  <c r="E2958" i="59"/>
  <c r="E2957" i="59"/>
  <c r="E2956" i="59"/>
  <c r="E2955" i="59"/>
  <c r="E2954" i="59"/>
  <c r="E2953" i="59"/>
  <c r="E2952" i="59"/>
  <c r="E2951" i="59"/>
  <c r="E2950" i="59"/>
  <c r="E2949" i="59"/>
  <c r="E2948" i="59"/>
  <c r="E2947" i="59"/>
  <c r="E2946" i="59"/>
  <c r="E2945" i="59"/>
  <c r="E2944" i="59"/>
  <c r="E2943" i="59"/>
  <c r="E2942" i="59"/>
  <c r="E2941" i="59"/>
  <c r="E2940" i="59"/>
  <c r="E2939" i="59"/>
  <c r="E2938" i="59"/>
  <c r="E2937" i="59"/>
  <c r="E2936" i="59"/>
  <c r="E2935" i="59"/>
  <c r="E2934" i="59"/>
  <c r="E2933" i="59"/>
  <c r="E2932" i="59"/>
  <c r="E2931" i="59"/>
  <c r="E2930" i="59"/>
  <c r="E2929" i="59"/>
  <c r="E2928" i="59"/>
  <c r="E2927" i="59"/>
  <c r="E2926" i="59"/>
  <c r="E2925" i="59"/>
  <c r="E2924" i="59"/>
  <c r="E2923" i="59"/>
  <c r="E2922" i="59"/>
  <c r="E2921" i="59"/>
  <c r="E2920" i="59"/>
  <c r="E2919" i="59"/>
  <c r="E2918" i="59"/>
  <c r="E2917" i="59"/>
  <c r="E2916" i="59"/>
  <c r="E2915" i="59"/>
  <c r="E2914" i="59"/>
  <c r="E2913" i="59"/>
  <c r="E2912" i="59"/>
  <c r="E2911" i="59"/>
  <c r="E2910" i="59"/>
  <c r="E2909" i="59"/>
  <c r="E2908" i="59"/>
  <c r="E2907" i="59"/>
  <c r="E2906" i="59"/>
  <c r="E2905" i="59"/>
  <c r="E2904" i="59"/>
  <c r="E2903" i="59"/>
  <c r="E2902" i="59"/>
  <c r="E2901" i="59"/>
  <c r="E2900" i="59"/>
  <c r="E2899" i="59"/>
  <c r="E2898" i="59"/>
  <c r="E2897" i="59"/>
  <c r="E2896" i="59"/>
  <c r="E2895" i="59"/>
  <c r="E2894" i="59"/>
  <c r="E2893" i="59"/>
  <c r="E2892" i="59"/>
  <c r="E2891" i="59"/>
  <c r="E2890" i="59"/>
  <c r="E2889" i="59"/>
  <c r="E2888" i="59"/>
  <c r="E2887" i="59"/>
  <c r="E2886" i="59"/>
  <c r="E2885" i="59"/>
  <c r="E2884" i="59"/>
  <c r="E2883" i="59"/>
  <c r="E2882" i="59"/>
  <c r="E2881" i="59"/>
  <c r="E2880" i="59"/>
  <c r="E2879" i="59"/>
  <c r="E2878" i="59"/>
  <c r="E2877" i="59"/>
  <c r="E2876" i="59"/>
  <c r="E2875" i="59"/>
  <c r="E2874" i="59"/>
  <c r="E2873" i="59"/>
  <c r="E2872" i="59"/>
  <c r="E2871" i="59"/>
  <c r="E2870" i="59"/>
  <c r="E2869" i="59"/>
  <c r="E2868" i="59"/>
  <c r="E2867" i="59"/>
  <c r="E2866" i="59"/>
  <c r="E2865" i="59"/>
  <c r="E2864" i="59"/>
  <c r="E2863" i="59"/>
  <c r="E2862" i="59"/>
  <c r="E2861" i="59"/>
  <c r="E2860" i="59"/>
  <c r="E2859" i="59"/>
  <c r="E2858" i="59"/>
  <c r="E2857" i="59"/>
  <c r="E2856" i="59"/>
  <c r="E2855" i="59"/>
  <c r="E2854" i="59"/>
  <c r="E2853" i="59"/>
  <c r="E2852" i="59"/>
  <c r="E2851" i="59"/>
  <c r="E2850" i="59"/>
  <c r="E2849" i="59"/>
  <c r="E2848" i="59"/>
  <c r="E2847" i="59"/>
  <c r="E2846" i="59"/>
  <c r="E2845" i="59"/>
  <c r="E2844" i="59"/>
  <c r="E2843" i="59"/>
  <c r="E2842" i="59"/>
  <c r="E2841" i="59"/>
  <c r="E2840" i="59"/>
  <c r="E2839" i="59"/>
  <c r="E2838" i="59"/>
  <c r="E2837" i="59"/>
  <c r="E2836" i="59"/>
  <c r="E2835" i="59"/>
  <c r="E2834" i="59"/>
  <c r="E2833" i="59"/>
  <c r="E2832" i="59"/>
  <c r="E2831" i="59"/>
  <c r="E2830" i="59"/>
  <c r="E2829" i="59"/>
  <c r="E2828" i="59"/>
  <c r="E2827" i="59"/>
  <c r="E2826" i="59"/>
  <c r="E2825" i="59"/>
  <c r="E2824" i="59"/>
  <c r="E2823" i="59"/>
  <c r="E2822" i="59"/>
  <c r="E2821" i="59"/>
  <c r="E2820" i="59"/>
  <c r="E2819" i="59"/>
  <c r="E2818" i="59"/>
  <c r="E2817" i="59"/>
  <c r="E2816" i="59"/>
  <c r="E2815" i="59"/>
  <c r="E2814" i="59"/>
  <c r="E2813" i="59"/>
  <c r="E2812" i="59"/>
  <c r="E2811" i="59"/>
  <c r="E2810" i="59"/>
  <c r="E2809" i="59"/>
  <c r="E2808" i="59"/>
  <c r="E2807" i="59"/>
  <c r="E2806" i="59"/>
  <c r="E2805" i="59"/>
  <c r="E2804" i="59"/>
  <c r="E2803" i="59"/>
  <c r="E2802" i="59"/>
  <c r="E2801" i="59"/>
  <c r="E2800" i="59"/>
  <c r="E2799" i="59"/>
  <c r="E2798" i="59"/>
  <c r="E2797" i="59"/>
  <c r="E2796" i="59"/>
  <c r="E2795" i="59"/>
  <c r="E2794" i="59"/>
  <c r="E2793" i="59"/>
  <c r="E2792" i="59"/>
  <c r="E2791" i="59"/>
  <c r="E2790" i="59"/>
  <c r="E2789" i="59"/>
  <c r="E2788" i="59"/>
  <c r="E2787" i="59"/>
  <c r="E2786" i="59"/>
  <c r="E2785" i="59"/>
  <c r="E2784" i="59"/>
  <c r="E2783" i="59"/>
  <c r="E2782" i="59"/>
  <c r="E2781" i="59"/>
  <c r="E2780" i="59"/>
  <c r="E2779" i="59"/>
  <c r="E2778" i="59"/>
  <c r="E2777" i="59"/>
  <c r="E2776" i="59"/>
  <c r="E2775" i="59"/>
  <c r="E2774" i="59"/>
  <c r="E2773" i="59"/>
  <c r="E2772" i="59"/>
  <c r="E2771" i="59"/>
  <c r="E2770" i="59"/>
  <c r="E2769" i="59"/>
  <c r="E2768" i="59"/>
  <c r="E2767" i="59"/>
  <c r="E2766" i="59"/>
  <c r="E2765" i="59"/>
  <c r="E2764" i="59"/>
  <c r="E2763" i="59"/>
  <c r="E2762" i="59"/>
  <c r="E2761" i="59"/>
  <c r="E2760" i="59"/>
  <c r="E2759" i="59"/>
  <c r="E2758" i="59"/>
  <c r="E2757" i="59"/>
  <c r="E2756" i="59"/>
  <c r="E2755" i="59"/>
  <c r="E2754" i="59"/>
  <c r="E2753" i="59"/>
  <c r="E2752" i="59"/>
  <c r="E2751" i="59"/>
  <c r="E2750" i="59"/>
  <c r="E2749" i="59"/>
  <c r="E2748" i="59"/>
  <c r="E2747" i="59"/>
  <c r="E2746" i="59"/>
  <c r="E2745" i="59"/>
  <c r="E2744" i="59"/>
  <c r="E2743" i="59"/>
  <c r="E2742" i="59"/>
  <c r="E2741" i="59"/>
  <c r="E2740" i="59"/>
  <c r="E2739" i="59"/>
  <c r="E2738" i="59"/>
  <c r="E2737" i="59"/>
  <c r="E2736" i="59"/>
  <c r="E2735" i="59"/>
  <c r="E2734" i="59"/>
  <c r="E2733" i="59"/>
  <c r="E2732" i="59"/>
  <c r="E2731" i="59"/>
  <c r="E2730" i="59"/>
  <c r="E2729" i="59"/>
  <c r="E2728" i="59"/>
  <c r="E2727" i="59"/>
  <c r="E2726" i="59"/>
  <c r="E2725" i="59"/>
  <c r="E2724" i="59"/>
  <c r="E2723" i="59"/>
  <c r="E2722" i="59"/>
  <c r="E2721" i="59"/>
  <c r="E2720" i="59"/>
  <c r="E2719" i="59"/>
  <c r="E2718" i="59"/>
  <c r="E2717" i="59"/>
  <c r="E2716" i="59"/>
  <c r="E2715" i="59"/>
  <c r="E2714" i="59"/>
  <c r="E2713" i="59"/>
  <c r="E2712" i="59"/>
  <c r="E2711" i="59"/>
  <c r="E2710" i="59"/>
  <c r="E2709" i="59"/>
  <c r="E2708" i="59"/>
  <c r="E2707" i="59"/>
  <c r="E2706" i="59"/>
  <c r="E2705" i="59"/>
  <c r="E2704" i="59"/>
  <c r="E2703" i="59"/>
  <c r="E2702" i="59"/>
  <c r="E2701" i="59"/>
  <c r="E2700" i="59"/>
  <c r="E2699" i="59"/>
  <c r="E2698" i="59"/>
  <c r="E2697" i="59"/>
  <c r="E2696" i="59"/>
  <c r="E2695" i="59"/>
  <c r="E2694" i="59"/>
  <c r="E2693" i="59"/>
  <c r="E2692" i="59"/>
  <c r="E2691" i="59"/>
  <c r="E2690" i="59"/>
  <c r="E2689" i="59"/>
  <c r="E2688" i="59"/>
  <c r="E2687" i="59"/>
  <c r="E2686" i="59"/>
  <c r="E2685" i="59"/>
  <c r="E2684" i="59"/>
  <c r="E2683" i="59"/>
  <c r="E2682" i="59"/>
  <c r="E2681" i="59"/>
  <c r="E2680" i="59"/>
  <c r="E2679" i="59"/>
  <c r="E2678" i="59"/>
  <c r="E2677" i="59"/>
  <c r="E2676" i="59"/>
  <c r="E2675" i="59"/>
  <c r="E2674" i="59"/>
  <c r="E2673" i="59"/>
  <c r="E2672" i="59"/>
  <c r="E2671" i="59"/>
  <c r="E2670" i="59"/>
  <c r="E2669" i="59"/>
  <c r="E2668" i="59"/>
  <c r="E2667" i="59"/>
  <c r="E2666" i="59"/>
  <c r="E2665" i="59"/>
  <c r="E2664" i="59"/>
  <c r="E2663" i="59"/>
  <c r="E2662" i="59"/>
  <c r="E2661" i="59"/>
  <c r="E2660" i="59"/>
  <c r="E2659" i="59"/>
  <c r="E2658" i="59"/>
  <c r="E2657" i="59"/>
  <c r="E2656" i="59"/>
  <c r="E2655" i="59"/>
  <c r="E2654" i="59"/>
  <c r="E2653" i="59"/>
  <c r="E2652" i="59"/>
  <c r="E2651" i="59"/>
  <c r="E2650" i="59"/>
  <c r="E2649" i="59"/>
  <c r="E2648" i="59"/>
  <c r="E2647" i="59"/>
  <c r="E2646" i="59"/>
  <c r="E2645" i="59"/>
  <c r="E2644" i="59"/>
  <c r="E2643" i="59"/>
  <c r="E2642" i="59"/>
  <c r="E2641" i="59"/>
  <c r="E2640" i="59"/>
  <c r="E2639" i="59"/>
  <c r="E2638" i="59"/>
  <c r="E2637" i="59"/>
  <c r="E2636" i="59"/>
  <c r="E2635" i="59"/>
  <c r="E2634" i="59"/>
  <c r="E2633" i="59"/>
  <c r="E2632" i="59"/>
  <c r="E2631" i="59"/>
  <c r="E2630" i="59"/>
  <c r="E2629" i="59"/>
  <c r="E2628" i="59"/>
  <c r="E2627" i="59"/>
  <c r="E2626" i="59"/>
  <c r="E2625" i="59"/>
  <c r="E2624" i="59"/>
  <c r="E2623" i="59"/>
  <c r="E2622" i="59"/>
  <c r="E2621" i="59"/>
  <c r="E2620" i="59"/>
  <c r="E2619" i="59"/>
  <c r="E2618" i="59"/>
  <c r="E2617" i="59"/>
  <c r="E2616" i="59"/>
  <c r="E2615" i="59"/>
  <c r="E2614" i="59"/>
  <c r="E2613" i="59"/>
  <c r="E2612" i="59"/>
  <c r="E2611" i="59"/>
  <c r="E2610" i="59"/>
  <c r="E2609" i="59"/>
  <c r="E2608" i="59"/>
  <c r="E2607" i="59"/>
  <c r="E2606" i="59"/>
  <c r="E2605" i="59"/>
  <c r="E2604" i="59"/>
  <c r="E2603" i="59"/>
  <c r="E2602" i="59"/>
  <c r="E2601" i="59"/>
  <c r="E2600" i="59"/>
  <c r="E2599" i="59"/>
  <c r="E2598" i="59"/>
  <c r="E2597" i="59"/>
  <c r="E2596" i="59"/>
  <c r="E2595" i="59"/>
  <c r="E2594" i="59"/>
  <c r="E2593" i="59"/>
  <c r="E2592" i="59"/>
  <c r="E2591" i="59"/>
  <c r="E2590" i="59"/>
  <c r="E2589" i="59"/>
  <c r="E2588" i="59"/>
  <c r="E2587" i="59"/>
  <c r="E2586" i="59"/>
  <c r="E2585" i="59"/>
  <c r="E2584" i="59"/>
  <c r="E2583" i="59"/>
  <c r="E2582" i="59"/>
  <c r="E2581" i="59"/>
  <c r="E2580" i="59"/>
  <c r="E2579" i="59"/>
  <c r="E2578" i="59"/>
  <c r="E2577" i="59"/>
  <c r="E2576" i="59"/>
  <c r="E2575" i="59"/>
  <c r="E2574" i="59"/>
  <c r="E2573" i="59"/>
  <c r="E2572" i="59"/>
  <c r="E2571" i="59"/>
  <c r="E2570" i="59"/>
  <c r="E2569" i="59"/>
  <c r="E2568" i="59"/>
  <c r="E2567" i="59"/>
  <c r="E2566" i="59"/>
  <c r="E2565" i="59"/>
  <c r="E2564" i="59"/>
  <c r="E2563" i="59"/>
  <c r="E2562" i="59"/>
  <c r="E2561" i="59"/>
  <c r="E2560" i="59"/>
  <c r="E2559" i="59"/>
  <c r="E2558" i="59"/>
  <c r="E2557" i="59"/>
  <c r="E2556" i="59"/>
  <c r="E2555" i="59"/>
  <c r="E2554" i="59"/>
  <c r="E2553" i="59"/>
  <c r="E2552" i="59"/>
  <c r="E2551" i="59"/>
  <c r="E2550" i="59"/>
  <c r="E2549" i="59"/>
  <c r="E2548" i="59"/>
  <c r="E2547" i="59"/>
  <c r="E2546" i="59"/>
  <c r="E2545" i="59"/>
  <c r="E2544" i="59"/>
  <c r="E2543" i="59"/>
  <c r="E2542" i="59"/>
  <c r="E2541" i="59"/>
  <c r="E2540" i="59"/>
  <c r="E2539" i="59"/>
  <c r="E2538" i="59"/>
  <c r="E2537" i="59"/>
  <c r="E2536" i="59"/>
  <c r="E2535" i="59"/>
  <c r="E2534" i="59"/>
  <c r="E2533" i="59"/>
  <c r="E2532" i="59"/>
  <c r="E2531" i="59"/>
  <c r="E2530" i="59"/>
  <c r="E2529" i="59"/>
  <c r="E2528" i="59"/>
  <c r="E2527" i="59"/>
  <c r="E2526" i="59"/>
  <c r="E2525" i="59"/>
  <c r="E2524" i="59"/>
  <c r="E2523" i="59"/>
  <c r="E2522" i="59"/>
  <c r="E2521" i="59"/>
  <c r="E2520" i="59"/>
  <c r="E2519" i="59"/>
  <c r="E2518" i="59"/>
  <c r="E2517" i="59"/>
  <c r="E2516" i="59"/>
  <c r="E2515" i="59"/>
  <c r="E2514" i="59"/>
  <c r="E2513" i="59"/>
  <c r="E2512" i="59"/>
  <c r="E2511" i="59"/>
  <c r="E2510" i="59"/>
  <c r="E2509" i="59"/>
  <c r="E2508" i="59"/>
  <c r="E2507" i="59"/>
  <c r="E2506" i="59"/>
  <c r="E2505" i="59"/>
  <c r="E2504" i="59"/>
  <c r="E2503" i="59"/>
  <c r="E2502" i="59"/>
  <c r="E2501" i="59"/>
  <c r="E2500" i="59"/>
  <c r="E2499" i="59"/>
  <c r="E2498" i="59"/>
  <c r="E2497" i="59"/>
  <c r="E2496" i="59"/>
  <c r="E2495" i="59"/>
  <c r="E2494" i="59"/>
  <c r="E2493" i="59"/>
  <c r="E2492" i="59"/>
  <c r="E2491" i="59"/>
  <c r="E2490" i="59"/>
  <c r="E2489" i="59"/>
  <c r="E2488" i="59"/>
  <c r="E2487" i="59"/>
  <c r="E2486" i="59"/>
  <c r="E2485" i="59"/>
  <c r="E2484" i="59"/>
  <c r="E2483" i="59"/>
  <c r="E2482" i="59"/>
  <c r="E2481" i="59"/>
  <c r="E2480" i="59"/>
  <c r="E2479" i="59"/>
  <c r="E2478" i="59"/>
  <c r="E2477" i="59"/>
  <c r="E2476" i="59"/>
  <c r="E2475" i="59"/>
  <c r="E2474" i="59"/>
  <c r="E2473" i="59"/>
  <c r="E2472" i="59"/>
  <c r="E2471" i="59"/>
  <c r="E2470" i="59"/>
  <c r="E2469" i="59"/>
  <c r="E2468" i="59"/>
  <c r="E2467" i="59"/>
  <c r="E2466" i="59"/>
  <c r="E2465" i="59"/>
  <c r="E2464" i="59"/>
  <c r="E2463" i="59"/>
  <c r="E2462" i="59"/>
  <c r="E2461" i="59"/>
  <c r="E2460" i="59"/>
  <c r="E2459" i="59"/>
  <c r="E2458" i="59"/>
  <c r="E2457" i="59"/>
  <c r="E2456" i="59"/>
  <c r="E2455" i="59"/>
  <c r="E2454" i="59"/>
  <c r="E2453" i="59"/>
  <c r="E2452" i="59"/>
  <c r="E2451" i="59"/>
  <c r="E2450" i="59"/>
  <c r="E2449" i="59"/>
  <c r="E2448" i="59"/>
  <c r="E2447" i="59"/>
  <c r="E2446" i="59"/>
  <c r="E2445" i="59"/>
  <c r="E2444" i="59"/>
  <c r="E2443" i="59"/>
  <c r="E2442" i="59"/>
  <c r="E2441" i="59"/>
  <c r="E2440" i="59"/>
  <c r="E2439" i="59"/>
  <c r="E2438" i="59"/>
  <c r="E2437" i="59"/>
  <c r="E2436" i="59"/>
  <c r="E2435" i="59"/>
  <c r="E2434" i="59"/>
  <c r="E2433" i="59"/>
  <c r="E2432" i="59"/>
  <c r="E2431" i="59"/>
  <c r="E2430" i="59"/>
  <c r="E2429" i="59"/>
  <c r="E2428" i="59"/>
  <c r="E2427" i="59"/>
  <c r="E2426" i="59"/>
  <c r="E2425" i="59"/>
  <c r="E2424" i="59"/>
  <c r="E2423" i="59"/>
  <c r="E2422" i="59"/>
  <c r="E2421" i="59"/>
  <c r="E2420" i="59"/>
  <c r="E2419" i="59"/>
  <c r="E2418" i="59"/>
  <c r="E2417" i="59"/>
  <c r="E2416" i="59"/>
  <c r="E2415" i="59"/>
  <c r="E2414" i="59"/>
  <c r="E2413" i="59"/>
  <c r="E2412" i="59"/>
  <c r="E2411" i="59"/>
  <c r="E2410" i="59"/>
  <c r="E2409" i="59"/>
  <c r="E2408" i="59"/>
  <c r="E2407" i="59"/>
  <c r="E2406" i="59"/>
  <c r="E2405" i="59"/>
  <c r="E2404" i="59"/>
  <c r="E2403" i="59"/>
  <c r="E2402" i="59"/>
  <c r="E2401" i="59"/>
  <c r="E2400" i="59"/>
  <c r="E2399" i="59"/>
  <c r="E2398" i="59"/>
  <c r="E2397" i="59"/>
  <c r="E2396" i="59"/>
  <c r="E2395" i="59"/>
  <c r="E2394" i="59"/>
  <c r="E2393" i="59"/>
  <c r="E2392" i="59"/>
  <c r="E2391" i="59"/>
  <c r="E2390" i="59"/>
  <c r="E2389" i="59"/>
  <c r="E2388" i="59"/>
  <c r="E2387" i="59"/>
  <c r="E2386" i="59"/>
  <c r="E2385" i="59"/>
  <c r="E2384" i="59"/>
  <c r="E2383" i="59"/>
  <c r="E2382" i="59"/>
  <c r="E2381" i="59"/>
  <c r="E2380" i="59"/>
  <c r="E2379" i="59"/>
  <c r="E2378" i="59"/>
  <c r="E2377" i="59"/>
  <c r="E2376" i="59"/>
  <c r="E2375" i="59"/>
  <c r="E2374" i="59"/>
  <c r="E2373" i="59"/>
  <c r="E2372" i="59"/>
  <c r="E2371" i="59"/>
  <c r="E2370" i="59"/>
  <c r="E2369" i="59"/>
  <c r="E2368" i="59"/>
  <c r="E2367" i="59"/>
  <c r="E2366" i="59"/>
  <c r="E2365" i="59"/>
  <c r="E2364" i="59"/>
  <c r="E2363" i="59"/>
  <c r="E2362" i="59"/>
  <c r="E2361" i="59"/>
  <c r="E2360" i="59"/>
  <c r="E2359" i="59"/>
  <c r="E2358" i="59"/>
  <c r="E2357" i="59"/>
  <c r="E2356" i="59"/>
  <c r="E2355" i="59"/>
  <c r="E2354" i="59"/>
  <c r="E2353" i="59"/>
  <c r="E2352" i="59"/>
  <c r="E2351" i="59"/>
  <c r="E2350" i="59"/>
  <c r="E2349" i="59"/>
  <c r="E2348" i="59"/>
  <c r="E2347" i="59"/>
  <c r="E2346" i="59"/>
  <c r="E2345" i="59"/>
  <c r="E2344" i="59"/>
  <c r="E2343" i="59"/>
  <c r="E2342" i="59"/>
  <c r="E2341" i="59"/>
  <c r="E2340" i="59"/>
  <c r="E2339" i="59"/>
  <c r="E2338" i="59"/>
  <c r="E2337" i="59"/>
  <c r="E2336" i="59"/>
  <c r="E2335" i="59"/>
  <c r="E2334" i="59"/>
  <c r="E2333" i="59"/>
  <c r="E2332" i="59"/>
  <c r="E2331" i="59"/>
  <c r="E2330" i="59"/>
  <c r="E2329" i="59"/>
  <c r="E2328" i="59"/>
  <c r="E2327" i="59"/>
  <c r="E2326" i="59"/>
  <c r="E2325" i="59"/>
  <c r="E2324" i="59"/>
  <c r="E2323" i="59"/>
  <c r="E2322" i="59"/>
  <c r="E2321" i="59"/>
  <c r="E2320" i="59"/>
  <c r="E2319" i="59"/>
  <c r="E2318" i="59"/>
  <c r="E2317" i="59"/>
  <c r="E2316" i="59"/>
  <c r="E2315" i="59"/>
  <c r="E2314" i="59"/>
  <c r="E2313" i="59"/>
  <c r="E2312" i="59"/>
  <c r="E2311" i="59"/>
  <c r="E2310" i="59"/>
  <c r="E2309" i="59"/>
  <c r="E2308" i="59"/>
  <c r="E2307" i="59"/>
  <c r="E2306" i="59"/>
  <c r="E2305" i="59"/>
  <c r="E2304" i="59"/>
  <c r="E2303" i="59"/>
  <c r="E2302" i="59"/>
  <c r="E2301" i="59"/>
  <c r="E2300" i="59"/>
  <c r="E2299" i="59"/>
  <c r="E2298" i="59"/>
  <c r="E2297" i="59"/>
  <c r="E2296" i="59"/>
  <c r="E2295" i="59"/>
  <c r="E2294" i="59"/>
  <c r="E2293" i="59"/>
  <c r="E2292" i="59"/>
  <c r="E2291" i="59"/>
  <c r="E2290" i="59"/>
  <c r="E2289" i="59"/>
  <c r="E2288" i="59"/>
  <c r="E2287" i="59"/>
  <c r="E2286" i="59"/>
  <c r="E2285" i="59"/>
  <c r="E2284" i="59"/>
  <c r="E2283" i="59"/>
  <c r="E2282" i="59"/>
  <c r="E2281" i="59"/>
  <c r="E2280" i="59"/>
  <c r="E2279" i="59"/>
  <c r="E2278" i="59"/>
  <c r="E2277" i="59"/>
  <c r="E2276" i="59"/>
  <c r="E2275" i="59"/>
  <c r="E2274" i="59"/>
  <c r="E2273" i="59"/>
  <c r="E2272" i="59"/>
  <c r="E2271" i="59"/>
  <c r="E2270" i="59"/>
  <c r="E2269" i="59"/>
  <c r="E2268" i="59"/>
  <c r="E2267" i="59"/>
  <c r="E2266" i="59"/>
  <c r="E2265" i="59"/>
  <c r="E2264" i="59"/>
  <c r="E2263" i="59"/>
  <c r="E2262" i="59"/>
  <c r="E2261" i="59"/>
  <c r="E2260" i="59"/>
  <c r="E2259" i="59"/>
  <c r="E2258" i="59"/>
  <c r="E2257" i="59"/>
  <c r="E2256" i="59"/>
  <c r="E2255" i="59"/>
  <c r="E2254" i="59"/>
  <c r="E2253" i="59"/>
  <c r="E2252" i="59"/>
  <c r="E2251" i="59"/>
  <c r="E2250" i="59"/>
  <c r="E2249" i="59"/>
  <c r="E2248" i="59"/>
  <c r="E2247" i="59"/>
  <c r="E2246" i="59"/>
  <c r="E2245" i="59"/>
  <c r="E2244" i="59"/>
  <c r="E2243" i="59"/>
  <c r="E2242" i="59"/>
  <c r="E2241" i="59"/>
  <c r="E2240" i="59"/>
  <c r="E2239" i="59"/>
  <c r="E2238" i="59"/>
  <c r="E2237" i="59"/>
  <c r="E2236" i="59"/>
  <c r="E2235" i="59"/>
  <c r="E2234" i="59"/>
  <c r="E2233" i="59"/>
  <c r="E2232" i="59"/>
  <c r="E2231" i="59"/>
  <c r="E2230" i="59"/>
  <c r="E2229" i="59"/>
  <c r="E2228" i="59"/>
  <c r="E2227" i="59"/>
  <c r="E2226" i="59"/>
  <c r="E2225" i="59"/>
  <c r="E2224" i="59"/>
  <c r="E2223" i="59"/>
  <c r="E2222" i="59"/>
  <c r="E2221" i="59"/>
  <c r="E2220" i="59"/>
  <c r="E2219" i="59"/>
  <c r="E2218" i="59"/>
  <c r="E2217" i="59"/>
  <c r="E2216" i="59"/>
  <c r="E2215" i="59"/>
  <c r="E2214" i="59"/>
  <c r="E2213" i="59"/>
  <c r="E2212" i="59"/>
  <c r="E2211" i="59"/>
  <c r="E2210" i="59"/>
  <c r="E2209" i="59"/>
  <c r="E2208" i="59"/>
  <c r="E2207" i="59"/>
  <c r="E2206" i="59"/>
  <c r="E2205" i="59"/>
  <c r="E2204" i="59"/>
  <c r="E2203" i="59"/>
  <c r="E2202" i="59"/>
  <c r="E2201" i="59"/>
  <c r="E2200" i="59"/>
  <c r="E2199" i="59"/>
  <c r="E2198" i="59"/>
  <c r="E2197" i="59"/>
  <c r="E2196" i="59"/>
  <c r="E2195" i="59"/>
  <c r="E2194" i="59"/>
  <c r="E2193" i="59"/>
  <c r="E2192" i="59"/>
  <c r="E2191" i="59"/>
  <c r="E2190" i="59"/>
  <c r="E2189" i="59"/>
  <c r="E2188" i="59"/>
  <c r="E2187" i="59"/>
  <c r="E2186" i="59"/>
  <c r="E2185" i="59"/>
  <c r="E2184" i="59"/>
  <c r="E2183" i="59"/>
  <c r="E2182" i="59"/>
  <c r="E2181" i="59"/>
  <c r="E2180" i="59"/>
  <c r="E2179" i="59"/>
  <c r="E2178" i="59"/>
  <c r="E2177" i="59"/>
  <c r="E2176" i="59"/>
  <c r="E2175" i="59"/>
  <c r="E2174" i="59"/>
  <c r="E2173" i="59"/>
  <c r="E2172" i="59"/>
  <c r="E2171" i="59"/>
  <c r="E2170" i="59"/>
  <c r="E2169" i="59"/>
  <c r="E2168" i="59"/>
  <c r="E2167" i="59"/>
  <c r="E2166" i="59"/>
  <c r="E2165" i="59"/>
  <c r="E2164" i="59"/>
  <c r="E2163" i="59"/>
  <c r="E2162" i="59"/>
  <c r="E2161" i="59"/>
  <c r="E2160" i="59"/>
  <c r="E2159" i="59"/>
  <c r="E2158" i="59"/>
  <c r="E2157" i="59"/>
  <c r="E2156" i="59"/>
  <c r="E2155" i="59"/>
  <c r="E2154" i="59"/>
  <c r="E2153" i="59"/>
  <c r="E2152" i="59"/>
  <c r="E2151" i="59"/>
  <c r="E2150" i="59"/>
  <c r="E2149" i="59"/>
  <c r="E2148" i="59"/>
  <c r="E2147" i="59"/>
  <c r="E2146" i="59"/>
  <c r="E2145" i="59"/>
  <c r="E2144" i="59"/>
  <c r="E2143" i="59"/>
  <c r="E2142" i="59"/>
  <c r="E2141" i="59"/>
  <c r="E2140" i="59"/>
  <c r="E2139" i="59"/>
  <c r="E2138" i="59"/>
  <c r="E2137" i="59"/>
  <c r="E2136" i="59"/>
  <c r="E2135" i="59"/>
  <c r="E2134" i="59"/>
  <c r="E2133" i="59"/>
  <c r="E2132" i="59"/>
  <c r="E2131" i="59"/>
  <c r="E2130" i="59"/>
  <c r="E2129" i="59"/>
  <c r="E2128" i="59"/>
  <c r="E2127" i="59"/>
  <c r="E2126" i="59"/>
  <c r="E2125" i="59"/>
  <c r="E2124" i="59"/>
  <c r="E2123" i="59"/>
  <c r="E2122" i="59"/>
  <c r="E2121" i="59"/>
  <c r="E2120" i="59"/>
  <c r="E2119" i="59"/>
  <c r="E2118" i="59"/>
  <c r="E2117" i="59"/>
  <c r="E2116" i="59"/>
  <c r="E2115" i="59"/>
  <c r="E2114" i="59"/>
  <c r="E2113" i="59"/>
  <c r="E2112" i="59"/>
  <c r="E2111" i="59"/>
  <c r="E2110" i="59"/>
  <c r="E2109" i="59"/>
  <c r="E2108" i="59"/>
  <c r="E2107" i="59"/>
  <c r="E2106" i="59"/>
  <c r="E2105" i="59"/>
  <c r="E2104" i="59"/>
  <c r="E2103" i="59"/>
  <c r="E2102" i="59"/>
  <c r="E2101" i="59"/>
  <c r="E2100" i="59"/>
  <c r="E2099" i="59"/>
  <c r="E2098" i="59"/>
  <c r="E2097" i="59"/>
  <c r="E2096" i="59"/>
  <c r="E2095" i="59"/>
  <c r="E2094" i="59"/>
  <c r="E2093" i="59"/>
  <c r="E2092" i="59"/>
  <c r="E2091" i="59"/>
  <c r="E2090" i="59"/>
  <c r="E2089" i="59"/>
  <c r="E2088" i="59"/>
  <c r="E2087" i="59"/>
  <c r="E2086" i="59"/>
  <c r="E2085" i="59"/>
  <c r="E2084" i="59"/>
  <c r="E2083" i="59"/>
  <c r="E2082" i="59"/>
  <c r="E2081" i="59"/>
  <c r="E2080" i="59"/>
  <c r="E2079" i="59"/>
  <c r="E2078" i="59"/>
  <c r="E2077" i="59"/>
  <c r="E2076" i="59"/>
  <c r="E2075" i="59"/>
  <c r="E2074" i="59"/>
  <c r="E2073" i="59"/>
  <c r="E2072" i="59"/>
  <c r="E2071" i="59"/>
  <c r="E2070" i="59"/>
  <c r="E2069" i="59"/>
  <c r="E2068" i="59"/>
  <c r="E2067" i="59"/>
  <c r="E2066" i="59"/>
  <c r="E2065" i="59"/>
  <c r="E2064" i="59"/>
  <c r="E2063" i="59"/>
  <c r="E2062" i="59"/>
  <c r="E2061" i="59"/>
  <c r="E2060" i="59"/>
  <c r="E2059" i="59"/>
  <c r="E2058" i="59"/>
  <c r="E2057" i="59"/>
  <c r="E2056" i="59"/>
  <c r="E2055" i="59"/>
  <c r="E2054" i="59"/>
  <c r="E2053" i="59"/>
  <c r="E2052" i="59"/>
  <c r="E2051" i="59"/>
  <c r="E2050" i="59"/>
  <c r="E2049" i="59"/>
  <c r="E2048" i="59"/>
  <c r="E2047" i="59"/>
  <c r="E2046" i="59"/>
  <c r="E2045" i="59"/>
  <c r="E2044" i="59"/>
  <c r="E2043" i="59"/>
  <c r="E2042" i="59"/>
  <c r="E2041" i="59"/>
  <c r="E2040" i="59"/>
  <c r="E2039" i="59"/>
  <c r="E2038" i="59"/>
  <c r="E2037" i="59"/>
  <c r="E2036" i="59"/>
  <c r="E2035" i="59"/>
  <c r="E2034" i="59"/>
  <c r="E2033" i="59"/>
  <c r="E2032" i="59"/>
  <c r="E2031" i="59"/>
  <c r="E2030" i="59"/>
  <c r="E2029" i="59"/>
  <c r="E2028" i="59"/>
  <c r="E2027" i="59"/>
  <c r="E2026" i="59"/>
  <c r="E2025" i="59"/>
  <c r="E2024" i="59"/>
  <c r="E2023" i="59"/>
  <c r="E2022" i="59"/>
  <c r="E2021" i="59"/>
  <c r="E2020" i="59"/>
  <c r="E2019" i="59"/>
  <c r="E2018" i="59"/>
  <c r="E2017" i="59"/>
  <c r="E2016" i="59"/>
  <c r="E2015" i="59"/>
  <c r="E2014" i="59"/>
  <c r="E2013" i="59"/>
  <c r="E2012" i="59"/>
  <c r="E2011" i="59"/>
  <c r="E2010" i="59"/>
  <c r="E2009" i="59"/>
  <c r="E2008" i="59"/>
  <c r="E2007" i="59"/>
  <c r="E2006" i="59"/>
  <c r="E2005" i="59"/>
  <c r="E2004" i="59"/>
  <c r="E2003" i="59"/>
  <c r="E2002" i="59"/>
  <c r="E2001" i="59"/>
  <c r="E2000" i="59"/>
  <c r="E1999" i="59"/>
  <c r="E1998" i="59"/>
  <c r="E1997" i="59"/>
  <c r="E1996" i="59"/>
  <c r="E1995" i="59"/>
  <c r="E1994" i="59"/>
  <c r="E1993" i="59"/>
  <c r="E1992" i="59"/>
  <c r="E1991" i="59"/>
  <c r="E1990" i="59"/>
  <c r="E1989" i="59"/>
  <c r="E1988" i="59"/>
  <c r="E1987" i="59"/>
  <c r="E1986" i="59"/>
  <c r="E1985" i="59"/>
  <c r="E1984" i="59"/>
  <c r="E1983" i="59"/>
  <c r="E1982" i="59"/>
  <c r="E1981" i="59"/>
  <c r="E1980" i="59"/>
  <c r="E1979" i="59"/>
  <c r="E1978" i="59"/>
  <c r="E1977" i="59"/>
  <c r="E1976" i="59"/>
  <c r="E1975" i="59"/>
  <c r="E1974" i="59"/>
  <c r="E1973" i="59"/>
  <c r="E1972" i="59"/>
  <c r="E1971" i="59"/>
  <c r="E1970" i="59"/>
  <c r="E1969" i="59"/>
  <c r="E1968" i="59"/>
  <c r="E1967" i="59"/>
  <c r="E1966" i="59"/>
  <c r="E1965" i="59"/>
  <c r="E1964" i="59"/>
  <c r="E1963" i="59"/>
  <c r="E1962" i="59"/>
  <c r="E1961" i="59"/>
  <c r="E1960" i="59"/>
  <c r="E1959" i="59"/>
  <c r="E1958" i="59"/>
  <c r="E1957" i="59"/>
  <c r="E1956" i="59"/>
  <c r="E1955" i="59"/>
  <c r="E1954" i="59"/>
  <c r="E1953" i="59"/>
  <c r="E1952" i="59"/>
  <c r="E1951" i="59"/>
  <c r="E1950" i="59"/>
  <c r="E1949" i="59"/>
  <c r="E1948" i="59"/>
  <c r="E1947" i="59"/>
  <c r="E1946" i="59"/>
  <c r="E1945" i="59"/>
  <c r="E1944" i="59"/>
  <c r="E1943" i="59"/>
  <c r="E1942" i="59"/>
  <c r="E1941" i="59"/>
  <c r="E1940" i="59"/>
  <c r="E1939" i="59"/>
  <c r="E1938" i="59"/>
  <c r="E1937" i="59"/>
  <c r="E1936" i="59"/>
  <c r="E1935" i="59"/>
  <c r="E1934" i="59"/>
  <c r="E1933" i="59"/>
  <c r="E1932" i="59"/>
  <c r="E1931" i="59"/>
  <c r="E1930" i="59"/>
  <c r="E1929" i="59"/>
  <c r="E1928" i="59"/>
  <c r="E1927" i="59"/>
  <c r="E1926" i="59"/>
  <c r="E1925" i="59"/>
  <c r="E1924" i="59"/>
  <c r="E1923" i="59"/>
  <c r="E1922" i="59"/>
  <c r="E1921" i="59"/>
  <c r="E1920" i="59"/>
  <c r="E1919" i="59"/>
  <c r="E1918" i="59"/>
  <c r="E1917" i="59"/>
  <c r="E1916" i="59"/>
  <c r="E1915" i="59"/>
  <c r="E1914" i="59"/>
  <c r="E1913" i="59"/>
  <c r="E1912" i="59"/>
  <c r="E1911" i="59"/>
  <c r="E1910" i="59"/>
  <c r="E1909" i="59"/>
  <c r="E1908" i="59"/>
  <c r="E1907" i="59"/>
  <c r="E1906" i="59"/>
  <c r="E1905" i="59"/>
  <c r="E1904" i="59"/>
  <c r="E1903" i="59"/>
  <c r="E1902" i="59"/>
  <c r="E1901" i="59"/>
  <c r="E1900" i="59"/>
  <c r="E1899" i="59"/>
  <c r="E1898" i="59"/>
  <c r="E1897" i="59"/>
  <c r="E1896" i="59"/>
  <c r="E1895" i="59"/>
  <c r="E1894" i="59"/>
  <c r="E1893" i="59"/>
  <c r="E1892" i="59"/>
  <c r="E1891" i="59"/>
  <c r="E1890" i="59"/>
  <c r="E1889" i="59"/>
  <c r="E1888" i="59"/>
  <c r="E1887" i="59"/>
  <c r="E1886" i="59"/>
  <c r="E1885" i="59"/>
  <c r="E1884" i="59"/>
  <c r="E1883" i="59"/>
  <c r="E1882" i="59"/>
  <c r="E1881" i="59"/>
  <c r="E1880" i="59"/>
  <c r="E1879" i="59"/>
  <c r="E1878" i="59"/>
  <c r="E1877" i="59"/>
  <c r="E1876" i="59"/>
  <c r="E1875" i="59"/>
  <c r="E1874" i="59"/>
  <c r="E1873" i="59"/>
  <c r="E1872" i="59"/>
  <c r="E1871" i="59"/>
  <c r="E1870" i="59"/>
  <c r="E1869" i="59"/>
  <c r="E1868" i="59"/>
  <c r="E1867" i="59"/>
  <c r="E1866" i="59"/>
  <c r="E1865" i="59"/>
  <c r="E1864" i="59"/>
  <c r="E1863" i="59"/>
  <c r="E1862" i="59"/>
  <c r="E1861" i="59"/>
  <c r="E1860" i="59"/>
  <c r="E1859" i="59"/>
  <c r="E1858" i="59"/>
  <c r="E1857" i="59"/>
  <c r="E1856" i="59"/>
  <c r="E1855" i="59"/>
  <c r="E1854" i="59"/>
  <c r="E1853" i="59"/>
  <c r="E1852" i="59"/>
  <c r="E1851" i="59"/>
  <c r="E1850" i="59"/>
  <c r="E1849" i="59"/>
  <c r="E1848" i="59"/>
  <c r="E1847" i="59"/>
  <c r="E1846" i="59"/>
  <c r="E1845" i="59"/>
  <c r="E1844" i="59"/>
  <c r="E1843" i="59"/>
  <c r="E1842" i="59"/>
  <c r="E1841" i="59"/>
  <c r="E1840" i="59"/>
  <c r="E1839" i="59"/>
  <c r="E1838" i="59"/>
  <c r="E1837" i="59"/>
  <c r="E1836" i="59"/>
  <c r="E1835" i="59"/>
  <c r="E1834" i="59"/>
  <c r="E1833" i="59"/>
  <c r="E1832" i="59"/>
  <c r="E1831" i="59"/>
  <c r="E1830" i="59"/>
  <c r="E1829" i="59"/>
  <c r="E1828" i="59"/>
  <c r="E1827" i="59"/>
  <c r="E1826" i="59"/>
  <c r="E1825" i="59"/>
  <c r="E1824" i="59"/>
  <c r="E1823" i="59"/>
  <c r="E1822" i="59"/>
  <c r="E1821" i="59"/>
  <c r="E1820" i="59"/>
  <c r="E1819" i="59"/>
  <c r="E1818" i="59"/>
  <c r="E1817" i="59"/>
  <c r="E1816" i="59"/>
  <c r="E1815" i="59"/>
  <c r="E1814" i="59"/>
  <c r="E1813" i="59"/>
  <c r="E1812" i="59"/>
  <c r="E1811" i="59"/>
  <c r="E1810" i="59"/>
  <c r="E1809" i="59"/>
  <c r="E1808" i="59"/>
  <c r="E1807" i="59"/>
  <c r="E1806" i="59"/>
  <c r="E1805" i="59"/>
  <c r="E1804" i="59"/>
  <c r="E1803" i="59"/>
  <c r="E1802" i="59"/>
  <c r="E1801" i="59"/>
  <c r="E1800" i="59"/>
  <c r="E1799" i="59"/>
  <c r="E1798" i="59"/>
  <c r="E1797" i="59"/>
  <c r="E1796" i="59"/>
  <c r="E1795" i="59"/>
  <c r="E1794" i="59"/>
  <c r="E1793" i="59"/>
  <c r="E1792" i="59"/>
  <c r="E1791" i="59"/>
  <c r="E1790" i="59"/>
  <c r="E1789" i="59"/>
  <c r="E1788" i="59"/>
  <c r="E1787" i="59"/>
  <c r="E1786" i="59"/>
  <c r="E1785" i="59"/>
  <c r="E1784" i="59"/>
  <c r="E1783" i="59"/>
  <c r="E1782" i="59"/>
  <c r="E1781" i="59"/>
  <c r="E1780" i="59"/>
  <c r="E1779" i="59"/>
  <c r="E1778" i="59"/>
  <c r="E1777" i="59"/>
  <c r="E1776" i="59"/>
  <c r="E1775" i="59"/>
  <c r="E1774" i="59"/>
  <c r="E1773" i="59"/>
  <c r="E1772" i="59"/>
  <c r="E1771" i="59"/>
  <c r="E1770" i="59"/>
  <c r="E1769" i="59"/>
  <c r="E1768" i="59"/>
  <c r="E1767" i="59"/>
  <c r="E1766" i="59"/>
  <c r="E1765" i="59"/>
  <c r="E1764" i="59"/>
  <c r="E1763" i="59"/>
  <c r="E1762" i="59"/>
  <c r="E1761" i="59"/>
  <c r="E1760" i="59"/>
  <c r="E1759" i="59"/>
  <c r="E1758" i="59"/>
  <c r="E1757" i="59"/>
  <c r="E1756" i="59"/>
  <c r="E1755" i="59"/>
  <c r="E1754" i="59"/>
  <c r="E1753" i="59"/>
  <c r="E1752" i="59"/>
  <c r="E1751" i="59"/>
  <c r="E1750" i="59"/>
  <c r="E1749" i="59"/>
  <c r="E1748" i="59"/>
  <c r="E1747" i="59"/>
  <c r="E1746" i="59"/>
  <c r="E1745" i="59"/>
  <c r="E1744" i="59"/>
  <c r="E1743" i="59"/>
  <c r="E1742" i="59"/>
  <c r="E1741" i="59"/>
  <c r="E1740" i="59"/>
  <c r="E1739" i="59"/>
  <c r="E1738" i="59"/>
  <c r="E1737" i="59"/>
  <c r="E1736" i="59"/>
  <c r="E1735" i="59"/>
  <c r="E1734" i="59"/>
  <c r="E1733" i="59"/>
  <c r="E1732" i="59"/>
  <c r="E1731" i="59"/>
  <c r="E1730" i="59"/>
  <c r="E1729" i="59"/>
  <c r="E1728" i="59"/>
  <c r="E1727" i="59"/>
  <c r="E1726" i="59"/>
  <c r="E1725" i="59"/>
  <c r="E1724" i="59"/>
  <c r="E1723" i="59"/>
  <c r="E1722" i="59"/>
  <c r="E1721" i="59"/>
  <c r="E1720" i="59"/>
  <c r="E1719" i="59"/>
  <c r="E1718" i="59"/>
  <c r="E1717" i="59"/>
  <c r="E1716" i="59"/>
  <c r="E1715" i="59"/>
  <c r="E1714" i="59"/>
  <c r="E1713" i="59"/>
  <c r="E1712" i="59"/>
  <c r="E1711" i="59"/>
  <c r="E1710" i="59"/>
  <c r="E1709" i="59"/>
  <c r="E1708" i="59"/>
  <c r="E1707" i="59"/>
  <c r="E1706" i="59"/>
  <c r="E1705" i="59"/>
  <c r="E1704" i="59"/>
  <c r="E1703" i="59"/>
  <c r="E1702" i="59"/>
  <c r="E1701" i="59"/>
  <c r="E1700" i="59"/>
  <c r="E1699" i="59"/>
  <c r="E1698" i="59"/>
  <c r="E1697" i="59"/>
  <c r="E1696" i="59"/>
  <c r="E1695" i="59"/>
  <c r="E1694" i="59"/>
  <c r="E1693" i="59"/>
  <c r="E1692" i="59"/>
  <c r="E1691" i="59"/>
  <c r="E1690" i="59"/>
  <c r="E1689" i="59"/>
  <c r="E1688" i="59"/>
  <c r="E1687" i="59"/>
  <c r="E1686" i="59"/>
  <c r="E1685" i="59"/>
  <c r="E1684" i="59"/>
  <c r="E1683" i="59"/>
  <c r="E1682" i="59"/>
  <c r="E1681" i="59"/>
  <c r="E1680" i="59"/>
  <c r="E1679" i="59"/>
  <c r="E1678" i="59"/>
  <c r="E1677" i="59"/>
  <c r="E1676" i="59"/>
  <c r="E1675" i="59"/>
  <c r="E1674" i="59"/>
  <c r="E1673" i="59"/>
  <c r="E1672" i="59"/>
  <c r="E1671" i="59"/>
  <c r="E1670" i="59"/>
  <c r="E1669" i="59"/>
  <c r="E1668" i="59"/>
  <c r="E1667" i="59"/>
  <c r="E1666" i="59"/>
  <c r="E1665" i="59"/>
  <c r="E1664" i="59"/>
  <c r="E1663" i="59"/>
  <c r="E1662" i="59"/>
  <c r="E1661" i="59"/>
  <c r="E1660" i="59"/>
  <c r="E1659" i="59"/>
  <c r="E1658" i="59"/>
  <c r="E1657" i="59"/>
  <c r="E1656" i="59"/>
  <c r="E1655" i="59"/>
  <c r="E1654" i="59"/>
  <c r="E1653" i="59"/>
  <c r="E1652" i="59"/>
  <c r="E1651" i="59"/>
  <c r="E1650" i="59"/>
  <c r="E1649" i="59"/>
  <c r="E1648" i="59"/>
  <c r="E1647" i="59"/>
  <c r="E1646" i="59"/>
  <c r="E1645" i="59"/>
  <c r="E1644" i="59"/>
  <c r="E1643" i="59"/>
  <c r="E1642" i="59"/>
  <c r="E1641" i="59"/>
  <c r="E1640" i="59"/>
  <c r="E1639" i="59"/>
  <c r="E1638" i="59"/>
  <c r="E1637" i="59"/>
  <c r="E1636" i="59"/>
  <c r="E1635" i="59"/>
  <c r="E1634" i="59"/>
  <c r="E1633" i="59"/>
  <c r="E1632" i="59"/>
  <c r="E1631" i="59"/>
  <c r="E1630" i="59"/>
  <c r="E1629" i="59"/>
  <c r="E1628" i="59"/>
  <c r="E1627" i="59"/>
  <c r="E1626" i="59"/>
  <c r="E1625" i="59"/>
  <c r="E1624" i="59"/>
  <c r="E1623" i="59"/>
  <c r="E1622" i="59"/>
  <c r="E1621" i="59"/>
  <c r="E1620" i="59"/>
  <c r="E1619" i="59"/>
  <c r="E1618" i="59"/>
  <c r="E1617" i="59"/>
  <c r="E1616" i="59"/>
  <c r="E1615" i="59"/>
  <c r="E1614" i="59"/>
  <c r="E1613" i="59"/>
  <c r="E1612" i="59"/>
  <c r="E1611" i="59"/>
  <c r="E1610" i="59"/>
  <c r="E1609" i="59"/>
  <c r="E1608" i="59"/>
  <c r="E1607" i="59"/>
  <c r="E1606" i="59"/>
  <c r="E1605" i="59"/>
  <c r="E1604" i="59"/>
  <c r="E1603" i="59"/>
  <c r="E1602" i="59"/>
  <c r="E1601" i="59"/>
  <c r="E1600" i="59"/>
  <c r="E1599" i="59"/>
  <c r="E1598" i="59"/>
  <c r="E1597" i="59"/>
  <c r="E1596" i="59"/>
  <c r="E1595" i="59"/>
  <c r="E1594" i="59"/>
  <c r="E1593" i="59"/>
  <c r="E1592" i="59"/>
  <c r="E1591" i="59"/>
  <c r="E1590" i="59"/>
  <c r="E1589" i="59"/>
  <c r="E1588" i="59"/>
  <c r="E1587" i="59"/>
  <c r="E1586" i="59"/>
  <c r="E1585" i="59"/>
  <c r="E1584" i="59"/>
  <c r="E1583" i="59"/>
  <c r="E1582" i="59"/>
  <c r="E1581" i="59"/>
  <c r="E1580" i="59"/>
  <c r="E1579" i="59"/>
  <c r="E1578" i="59"/>
  <c r="E1577" i="59"/>
  <c r="E1576" i="59"/>
  <c r="E1575" i="59"/>
  <c r="E1574" i="59"/>
  <c r="E1573" i="59"/>
  <c r="E1572" i="59"/>
  <c r="E1571" i="59"/>
  <c r="E1570" i="59"/>
  <c r="E1569" i="59"/>
  <c r="E1568" i="59"/>
  <c r="E1567" i="59"/>
  <c r="E1566" i="59"/>
  <c r="E1565" i="59"/>
  <c r="E1564" i="59"/>
  <c r="E1563" i="59"/>
  <c r="E1562" i="59"/>
  <c r="E1561" i="59"/>
  <c r="E1560" i="59"/>
  <c r="E1559" i="59"/>
  <c r="E1558" i="59"/>
  <c r="E1557" i="59"/>
  <c r="E1556" i="59"/>
  <c r="E1555" i="59"/>
  <c r="E1554" i="59"/>
  <c r="E1553" i="59"/>
  <c r="E1552" i="59"/>
  <c r="E1551" i="59"/>
  <c r="E1550" i="59"/>
  <c r="E1549" i="59"/>
  <c r="E1548" i="59"/>
  <c r="E1547" i="59"/>
  <c r="E1546" i="59"/>
  <c r="E1545" i="59"/>
  <c r="E1544" i="59"/>
  <c r="E1543" i="59"/>
  <c r="E1542" i="59"/>
  <c r="E1541" i="59"/>
  <c r="E1540" i="59"/>
  <c r="E1539" i="59"/>
  <c r="E1538" i="59"/>
  <c r="E1537" i="59"/>
  <c r="E1536" i="59"/>
  <c r="E1535" i="59"/>
  <c r="E1534" i="59"/>
  <c r="E1533" i="59"/>
  <c r="E1532" i="59"/>
  <c r="E1531" i="59"/>
  <c r="E1530" i="59"/>
  <c r="E1529" i="59"/>
  <c r="E1528" i="59"/>
  <c r="E1527" i="59"/>
  <c r="E1526" i="59"/>
  <c r="E1525" i="59"/>
  <c r="E1524" i="59"/>
  <c r="E1523" i="59"/>
  <c r="E1522" i="59"/>
  <c r="E1521" i="59"/>
  <c r="E1520" i="59"/>
  <c r="E1519" i="59"/>
  <c r="E1518" i="59"/>
  <c r="E1517" i="59"/>
  <c r="E1516" i="59"/>
  <c r="E1515" i="59"/>
  <c r="E1514" i="59"/>
  <c r="E1513" i="59"/>
  <c r="E1512" i="59"/>
  <c r="E1511" i="59"/>
  <c r="E1510" i="59"/>
  <c r="E1509" i="59"/>
  <c r="E1508" i="59"/>
  <c r="E1507" i="59"/>
  <c r="E1506" i="59"/>
  <c r="E1505" i="59"/>
  <c r="E1504" i="59"/>
  <c r="E1503" i="59"/>
  <c r="E1502" i="59"/>
  <c r="E1501" i="59"/>
  <c r="E1500" i="59"/>
  <c r="E1499" i="59"/>
  <c r="E1498" i="59"/>
  <c r="E1497" i="59"/>
  <c r="E1496" i="59"/>
  <c r="E1495" i="59"/>
  <c r="E1494" i="59"/>
  <c r="E1493" i="59"/>
  <c r="E1492" i="59"/>
  <c r="E1491" i="59"/>
  <c r="E1490" i="59"/>
  <c r="E1489" i="59"/>
  <c r="E1488" i="59"/>
  <c r="E1487" i="59"/>
  <c r="E1486" i="59"/>
  <c r="E1485" i="59"/>
  <c r="E1484" i="59"/>
  <c r="E1483" i="59"/>
  <c r="E1482" i="59"/>
  <c r="E1481" i="59"/>
  <c r="E1480" i="59"/>
  <c r="E1479" i="59"/>
  <c r="E1478" i="59"/>
  <c r="E1477" i="59"/>
  <c r="E1476" i="59"/>
  <c r="E1475" i="59"/>
  <c r="E1474" i="59"/>
  <c r="E1473" i="59"/>
  <c r="E1472" i="59"/>
  <c r="E1471" i="59"/>
  <c r="E1470" i="59"/>
  <c r="E1469" i="59"/>
  <c r="E1468" i="59"/>
  <c r="E1467" i="59"/>
  <c r="E1466" i="59"/>
  <c r="E1465" i="59"/>
  <c r="E1464" i="59"/>
  <c r="E1463" i="59"/>
  <c r="E1462" i="59"/>
  <c r="E1461" i="59"/>
  <c r="E1460" i="59"/>
  <c r="E1459" i="59"/>
  <c r="E1458" i="59"/>
  <c r="E1457" i="59"/>
  <c r="E1456" i="59"/>
  <c r="E1455" i="59"/>
  <c r="E1454" i="59"/>
  <c r="E1453" i="59"/>
  <c r="E1452" i="59"/>
  <c r="E1451" i="59"/>
  <c r="E1450" i="59"/>
  <c r="E1449" i="59"/>
  <c r="E1448" i="59"/>
  <c r="E1447" i="59"/>
  <c r="E1446" i="59"/>
  <c r="E1445" i="59"/>
  <c r="E1444" i="59"/>
  <c r="E1443" i="59"/>
  <c r="E1442" i="59"/>
  <c r="E1441" i="59"/>
  <c r="E1440" i="59"/>
  <c r="E1439" i="59"/>
  <c r="E1438" i="59"/>
  <c r="E1437" i="59"/>
  <c r="E1436" i="59"/>
  <c r="E1435" i="59"/>
  <c r="E1434" i="59"/>
  <c r="E1433" i="59"/>
  <c r="E1432" i="59"/>
  <c r="E1431" i="59"/>
  <c r="E1430" i="59"/>
  <c r="E1429" i="59"/>
  <c r="E1428" i="59"/>
  <c r="E1427" i="59"/>
  <c r="E1426" i="59"/>
  <c r="E1425" i="59"/>
  <c r="E1424" i="59"/>
  <c r="E1423" i="59"/>
  <c r="E1422" i="59"/>
  <c r="E1421" i="59"/>
  <c r="E1420" i="59"/>
  <c r="E1419" i="59"/>
  <c r="E1418" i="59"/>
  <c r="E1417" i="59"/>
  <c r="E1416" i="59"/>
  <c r="E1415" i="59"/>
  <c r="E1414" i="59"/>
  <c r="E1413" i="59"/>
  <c r="E1412" i="59"/>
  <c r="E1411" i="59"/>
  <c r="E1410" i="59"/>
  <c r="E1409" i="59"/>
  <c r="E1408" i="59"/>
  <c r="E1407" i="59"/>
  <c r="E1406" i="59"/>
  <c r="E1405" i="59"/>
  <c r="E1404" i="59"/>
  <c r="E1403" i="59"/>
  <c r="E1402" i="59"/>
  <c r="E1401" i="59"/>
  <c r="E1400" i="59"/>
  <c r="E1399" i="59"/>
  <c r="E1398" i="59"/>
  <c r="E1397" i="59"/>
  <c r="E1396" i="59"/>
  <c r="E1395" i="59"/>
  <c r="E1394" i="59"/>
  <c r="E1393" i="59"/>
  <c r="E1392" i="59"/>
  <c r="E1391" i="59"/>
  <c r="E1390" i="59"/>
  <c r="E1389" i="59"/>
  <c r="E1388" i="59"/>
  <c r="E1387" i="59"/>
  <c r="E1386" i="59"/>
  <c r="E1385" i="59"/>
  <c r="E1384" i="59"/>
  <c r="E1383" i="59"/>
  <c r="E1382" i="59"/>
  <c r="E1381" i="59"/>
  <c r="E1380" i="59"/>
  <c r="E1379" i="59"/>
  <c r="E1378" i="59"/>
  <c r="E1377" i="59"/>
  <c r="E1376" i="59"/>
  <c r="E1375" i="59"/>
  <c r="E1374" i="59"/>
  <c r="E1373" i="59"/>
  <c r="E1372" i="59"/>
  <c r="E1371" i="59"/>
  <c r="E1370" i="59"/>
  <c r="E1369" i="59"/>
  <c r="E1368" i="59"/>
  <c r="E1367" i="59"/>
  <c r="E1366" i="59"/>
  <c r="E1365" i="59"/>
  <c r="E1364" i="59"/>
  <c r="E1363" i="59"/>
  <c r="E1362" i="59"/>
  <c r="E1361" i="59"/>
  <c r="E1360" i="59"/>
  <c r="E1359" i="59"/>
  <c r="E1358" i="59"/>
  <c r="E1357" i="59"/>
  <c r="E1356" i="59"/>
  <c r="E1355" i="59"/>
  <c r="E1354" i="59"/>
  <c r="E1353" i="59"/>
  <c r="E1352" i="59"/>
  <c r="E1351" i="59"/>
  <c r="E1350" i="59"/>
  <c r="E1349" i="59"/>
  <c r="E1348" i="59"/>
  <c r="E1347" i="59"/>
  <c r="E1346" i="59"/>
  <c r="E1345" i="59"/>
  <c r="E1344" i="59"/>
  <c r="E1343" i="59"/>
  <c r="E1342" i="59"/>
  <c r="E1341" i="59"/>
  <c r="E1340" i="59"/>
  <c r="E1339" i="59"/>
  <c r="E1338" i="59"/>
  <c r="E1337" i="59"/>
  <c r="E1336" i="59"/>
  <c r="E1335" i="59"/>
  <c r="E1334" i="59"/>
  <c r="E1333" i="59"/>
  <c r="E1332" i="59"/>
  <c r="E1331" i="59"/>
  <c r="E1330" i="59"/>
  <c r="E1329" i="59"/>
  <c r="E1328" i="59"/>
  <c r="E1327" i="59"/>
  <c r="E1326" i="59"/>
  <c r="E1325" i="59"/>
  <c r="E1324" i="59"/>
  <c r="E1323" i="59"/>
  <c r="E1322" i="59"/>
  <c r="E1321" i="59"/>
  <c r="E1320" i="59"/>
  <c r="E1319" i="59"/>
  <c r="E1318" i="59"/>
  <c r="E1317" i="59"/>
  <c r="E1316" i="59"/>
  <c r="E1315" i="59"/>
  <c r="E1314" i="59"/>
  <c r="E1313" i="59"/>
  <c r="E1312" i="59"/>
  <c r="E1311" i="59"/>
  <c r="E1310" i="59"/>
  <c r="E1309" i="59"/>
  <c r="E1308" i="59"/>
  <c r="E1307" i="59"/>
  <c r="E1306" i="59"/>
  <c r="E1305" i="59"/>
  <c r="E1304" i="59"/>
  <c r="E1303" i="59"/>
  <c r="E1302" i="59"/>
  <c r="E1301" i="59"/>
  <c r="E1300" i="59"/>
  <c r="E1299" i="59"/>
  <c r="E1298" i="59"/>
  <c r="E1297" i="59"/>
  <c r="E1296" i="59"/>
  <c r="E1295" i="59"/>
  <c r="E1294" i="59"/>
  <c r="E1293" i="59"/>
  <c r="E1292" i="59"/>
  <c r="E1291" i="59"/>
  <c r="E1290" i="59"/>
  <c r="E1289" i="59"/>
  <c r="E1288" i="59"/>
  <c r="E1287" i="59"/>
  <c r="E1286" i="59"/>
  <c r="E1285" i="59"/>
  <c r="E1284" i="59"/>
  <c r="E1283" i="59"/>
  <c r="E1282" i="59"/>
  <c r="E1281" i="59"/>
  <c r="E1280" i="59"/>
  <c r="E1279" i="59"/>
  <c r="E1278" i="59"/>
  <c r="E1277" i="59"/>
  <c r="E1276" i="59"/>
  <c r="E1275" i="59"/>
  <c r="E1274" i="59"/>
  <c r="E1273" i="59"/>
  <c r="E1272" i="59"/>
  <c r="E1271" i="59"/>
  <c r="E1270" i="59"/>
  <c r="E1269" i="59"/>
  <c r="E1268" i="59"/>
  <c r="E1267" i="59"/>
  <c r="E1266" i="59"/>
  <c r="E1265" i="59"/>
  <c r="E1264" i="59"/>
  <c r="E1263" i="59"/>
  <c r="E1262" i="59"/>
  <c r="E1261" i="59"/>
  <c r="E1260" i="59"/>
  <c r="E1259" i="59"/>
  <c r="E1258" i="59"/>
  <c r="E1257" i="59"/>
  <c r="E1256" i="59"/>
  <c r="E1255" i="59"/>
  <c r="E1254" i="59"/>
  <c r="E1253" i="59"/>
  <c r="E1252" i="59"/>
  <c r="E1251" i="59"/>
  <c r="E1250" i="59"/>
  <c r="E1249" i="59"/>
  <c r="E1248" i="59"/>
  <c r="E1247" i="59"/>
  <c r="E1246" i="59"/>
  <c r="E1245" i="59"/>
  <c r="E1244" i="59"/>
  <c r="E1243" i="59"/>
  <c r="E1242" i="59"/>
  <c r="E1241" i="59"/>
  <c r="E1240" i="59"/>
  <c r="E1239" i="59"/>
  <c r="E1238" i="59"/>
  <c r="E1237" i="59"/>
  <c r="E1236" i="59"/>
  <c r="E1235" i="59"/>
  <c r="E1234" i="59"/>
  <c r="E1233" i="59"/>
  <c r="E1232" i="59"/>
  <c r="E1231" i="59"/>
  <c r="E1230" i="59"/>
  <c r="E1229" i="59"/>
  <c r="E1228" i="59"/>
  <c r="E1227" i="59"/>
  <c r="E1226" i="59"/>
  <c r="E1225" i="59"/>
  <c r="E1224" i="59"/>
  <c r="E1223" i="59"/>
  <c r="E1222" i="59"/>
  <c r="E1221" i="59"/>
  <c r="E1220" i="59"/>
  <c r="E1219" i="59"/>
  <c r="E1218" i="59"/>
  <c r="E1217" i="59"/>
  <c r="E1216" i="59"/>
  <c r="E1215" i="59"/>
  <c r="E1214" i="59"/>
  <c r="E1213" i="59"/>
  <c r="E1212" i="59"/>
  <c r="E1211" i="59"/>
  <c r="E1210" i="59"/>
  <c r="E1209" i="59"/>
  <c r="E1208" i="59"/>
  <c r="E1207" i="59"/>
  <c r="E1206" i="59"/>
  <c r="E1205" i="59"/>
  <c r="E1204" i="59"/>
  <c r="E1203" i="59"/>
  <c r="E1202" i="59"/>
  <c r="E1201" i="59"/>
  <c r="E1200" i="59"/>
  <c r="E1199" i="59"/>
  <c r="E1198" i="59"/>
  <c r="E1197" i="59"/>
  <c r="E1196" i="59"/>
  <c r="E1195" i="59"/>
  <c r="E1194" i="59"/>
  <c r="E1193" i="59"/>
  <c r="E1192" i="59"/>
  <c r="E1191" i="59"/>
  <c r="E1190" i="59"/>
  <c r="E1189" i="59"/>
  <c r="E1188" i="59"/>
  <c r="E1187" i="59"/>
  <c r="E1186" i="59"/>
  <c r="E1185" i="59"/>
  <c r="E1184" i="59"/>
  <c r="E1183" i="59"/>
  <c r="E1182" i="59"/>
  <c r="E1181" i="59"/>
  <c r="E1180" i="59"/>
  <c r="E1179" i="59"/>
  <c r="E1178" i="59"/>
  <c r="E1177" i="59"/>
  <c r="E1176" i="59"/>
  <c r="E1175" i="59"/>
  <c r="E1174" i="59"/>
  <c r="E1173" i="59"/>
  <c r="E1172" i="59"/>
  <c r="E1171" i="59"/>
  <c r="E1170" i="59"/>
  <c r="E1169" i="59"/>
  <c r="E1168" i="59"/>
  <c r="E1167" i="59"/>
  <c r="E1166" i="59"/>
  <c r="E1165" i="59"/>
  <c r="E1164" i="59"/>
  <c r="E1163" i="59"/>
  <c r="E1162" i="59"/>
  <c r="E1161" i="59"/>
  <c r="E1160" i="59"/>
  <c r="E1159" i="59"/>
  <c r="E1158" i="59"/>
  <c r="E1157" i="59"/>
  <c r="E1156" i="59"/>
  <c r="E1155" i="59"/>
  <c r="E1154" i="59"/>
  <c r="E1153" i="59"/>
  <c r="E1152" i="59"/>
  <c r="E1151" i="59"/>
  <c r="E1150" i="59"/>
  <c r="E1149" i="59"/>
  <c r="E1148" i="59"/>
  <c r="E1147" i="59"/>
  <c r="E1146" i="59"/>
  <c r="E1145" i="59"/>
  <c r="E1144" i="59"/>
  <c r="E1143" i="59"/>
  <c r="E1142" i="59"/>
  <c r="E1141" i="59"/>
  <c r="E1140" i="59"/>
  <c r="E1139" i="59"/>
  <c r="E1138" i="59"/>
  <c r="E1137" i="59"/>
  <c r="E1136" i="59"/>
  <c r="E1135" i="59"/>
  <c r="E1134" i="59"/>
  <c r="E1133" i="59"/>
  <c r="E1132" i="59"/>
  <c r="E1131" i="59"/>
  <c r="E1130" i="59"/>
  <c r="E1129" i="59"/>
  <c r="E1128" i="59"/>
  <c r="E1127" i="59"/>
  <c r="E1126" i="59"/>
  <c r="E1125" i="59"/>
  <c r="E1124" i="59"/>
  <c r="E1123" i="59"/>
  <c r="E1122" i="59"/>
  <c r="E1121" i="59"/>
  <c r="E1120" i="59"/>
  <c r="E1119" i="59"/>
  <c r="E1118" i="59"/>
  <c r="E1117" i="59"/>
  <c r="E1116" i="59"/>
  <c r="E1115" i="59"/>
  <c r="E1114" i="59"/>
  <c r="E1113" i="59"/>
  <c r="E1112" i="59"/>
  <c r="E1111" i="59"/>
  <c r="E1110" i="59"/>
  <c r="E1109" i="59"/>
  <c r="E1108" i="59"/>
  <c r="E1107" i="59"/>
  <c r="E1106" i="59"/>
  <c r="E1105" i="59"/>
  <c r="E1104" i="59"/>
  <c r="E1103" i="59"/>
  <c r="E1102" i="59"/>
  <c r="E1101" i="59"/>
  <c r="E1100" i="59"/>
  <c r="E1099" i="59"/>
  <c r="E1098" i="59"/>
  <c r="E1097" i="59"/>
  <c r="E1096" i="59"/>
  <c r="E1095" i="59"/>
  <c r="E1094" i="59"/>
  <c r="E1093" i="59"/>
  <c r="E1092" i="59"/>
  <c r="E1091" i="59"/>
  <c r="E1090" i="59"/>
  <c r="E1089" i="59"/>
  <c r="E1088" i="59"/>
  <c r="E1087" i="59"/>
  <c r="E1086" i="59"/>
  <c r="E1085" i="59"/>
  <c r="E1084" i="59"/>
  <c r="E1083" i="59"/>
  <c r="E1082" i="59"/>
  <c r="E1081" i="59"/>
  <c r="E1080" i="59"/>
  <c r="E1079" i="59"/>
  <c r="E1078" i="59"/>
  <c r="E1077" i="59"/>
  <c r="E1076" i="59"/>
  <c r="E1075" i="59"/>
  <c r="E1074" i="59"/>
  <c r="E1073" i="59"/>
  <c r="E1072" i="59"/>
  <c r="E1071" i="59"/>
  <c r="E1070" i="59"/>
  <c r="E1069" i="59"/>
  <c r="E1068" i="59"/>
  <c r="E1067" i="59"/>
  <c r="E1066" i="59"/>
  <c r="E1065" i="59"/>
  <c r="E1064" i="59"/>
  <c r="E1063" i="59"/>
  <c r="E1062" i="59"/>
  <c r="E1061" i="59"/>
  <c r="E1060" i="59"/>
  <c r="E1059" i="59"/>
  <c r="E1058" i="59"/>
  <c r="E1057" i="59"/>
  <c r="E1056" i="59"/>
  <c r="E1055" i="59"/>
  <c r="E1054" i="59"/>
  <c r="E1053" i="59"/>
  <c r="E1052" i="59"/>
  <c r="E1051" i="59"/>
  <c r="E1050" i="59"/>
  <c r="E1049" i="59"/>
  <c r="E1048" i="59"/>
  <c r="E1047" i="59"/>
  <c r="E1046" i="59"/>
  <c r="E1045" i="59"/>
  <c r="E1044" i="59"/>
  <c r="E1043" i="59"/>
  <c r="E1042" i="59"/>
  <c r="E1041" i="59"/>
  <c r="E1040" i="59"/>
  <c r="E1039" i="59"/>
  <c r="E1038" i="59"/>
  <c r="E1037" i="59"/>
  <c r="E1036" i="59"/>
  <c r="E1035" i="59"/>
  <c r="E1034" i="59"/>
  <c r="E1033" i="59"/>
  <c r="E1032" i="59"/>
  <c r="E1031" i="59"/>
  <c r="E1030" i="59"/>
  <c r="E1029" i="59"/>
  <c r="E1028" i="59"/>
  <c r="E1027" i="59"/>
  <c r="E1026" i="59"/>
  <c r="E1025" i="59"/>
  <c r="E1024" i="59"/>
  <c r="E1023" i="59"/>
  <c r="E1022" i="59"/>
  <c r="E1021" i="59"/>
  <c r="E1020" i="59"/>
  <c r="E1019" i="59"/>
  <c r="E1018" i="59"/>
  <c r="E1017" i="59"/>
  <c r="E1016" i="59"/>
  <c r="E1015" i="59"/>
  <c r="E1014" i="59"/>
  <c r="E1013" i="59"/>
  <c r="E1012" i="59"/>
  <c r="E1011" i="59"/>
  <c r="E1010" i="59"/>
  <c r="E1009" i="59"/>
  <c r="E1008" i="59"/>
  <c r="E1007" i="59"/>
  <c r="E1006" i="59"/>
  <c r="E1005" i="59"/>
  <c r="E1004" i="59"/>
  <c r="E1003" i="59"/>
  <c r="E1002" i="59"/>
  <c r="E1001" i="59"/>
  <c r="E1000" i="59"/>
  <c r="E999" i="59"/>
  <c r="E998" i="59"/>
  <c r="E997" i="59"/>
  <c r="E996" i="59"/>
  <c r="E995" i="59"/>
  <c r="E994" i="59"/>
  <c r="E993" i="59"/>
  <c r="E992" i="59"/>
  <c r="E991" i="59"/>
  <c r="E990" i="59"/>
  <c r="E989" i="59"/>
  <c r="E988" i="59"/>
  <c r="E987" i="59"/>
  <c r="E986" i="59"/>
  <c r="E985" i="59"/>
  <c r="E984" i="59"/>
  <c r="E983" i="59"/>
  <c r="E982" i="59"/>
  <c r="E981" i="59"/>
  <c r="E980" i="59"/>
  <c r="E979" i="59"/>
  <c r="E978" i="59"/>
  <c r="E977" i="59"/>
  <c r="E976" i="59"/>
  <c r="E975" i="59"/>
  <c r="E974" i="59"/>
  <c r="E973" i="59"/>
  <c r="E972" i="59"/>
  <c r="E971" i="59"/>
  <c r="E970" i="59"/>
  <c r="E969" i="59"/>
  <c r="E968" i="59"/>
  <c r="E967" i="59"/>
  <c r="E966" i="59"/>
  <c r="E965" i="59"/>
  <c r="E964" i="59"/>
  <c r="E963" i="59"/>
  <c r="E962" i="59"/>
  <c r="E961" i="59"/>
  <c r="E960" i="59"/>
  <c r="E959" i="59"/>
  <c r="E958" i="59"/>
  <c r="E957" i="59"/>
  <c r="E956" i="59"/>
  <c r="E955" i="59"/>
  <c r="E954" i="59"/>
  <c r="E953" i="59"/>
  <c r="E952" i="59"/>
  <c r="E951" i="59"/>
  <c r="E950" i="59"/>
  <c r="E949" i="59"/>
  <c r="E948" i="59"/>
  <c r="E947" i="59"/>
  <c r="E946" i="59"/>
  <c r="E945" i="59"/>
  <c r="E944" i="59"/>
  <c r="E943" i="59"/>
  <c r="E942" i="59"/>
  <c r="E941" i="59"/>
  <c r="E940" i="59"/>
  <c r="E939" i="59"/>
  <c r="E938" i="59"/>
  <c r="E937" i="59"/>
  <c r="E936" i="59"/>
  <c r="E935" i="59"/>
  <c r="E934" i="59"/>
  <c r="E933" i="59"/>
  <c r="E932" i="59"/>
  <c r="E931" i="59"/>
  <c r="E930" i="59"/>
  <c r="E929" i="59"/>
  <c r="E928" i="59"/>
  <c r="E927" i="59"/>
  <c r="E926" i="59"/>
  <c r="E925" i="59"/>
  <c r="E924" i="59"/>
  <c r="E923" i="59"/>
  <c r="E922" i="59"/>
  <c r="E921" i="59"/>
  <c r="E920" i="59"/>
  <c r="E919" i="59"/>
  <c r="E918" i="59"/>
  <c r="E917" i="59"/>
  <c r="E916" i="59"/>
  <c r="E915" i="59"/>
  <c r="E914" i="59"/>
  <c r="E913" i="59"/>
  <c r="E912" i="59"/>
  <c r="E911" i="59"/>
  <c r="E910" i="59"/>
  <c r="E909" i="59"/>
  <c r="E908" i="59"/>
  <c r="E907" i="59"/>
  <c r="E906" i="59"/>
  <c r="E905" i="59"/>
  <c r="E904" i="59"/>
  <c r="E903" i="59"/>
  <c r="E902" i="59"/>
  <c r="E901" i="59"/>
  <c r="E900" i="59"/>
  <c r="E899" i="59"/>
  <c r="E898" i="59"/>
  <c r="E897" i="59"/>
  <c r="E896" i="59"/>
  <c r="E895" i="59"/>
  <c r="E894" i="59"/>
  <c r="E893" i="59"/>
  <c r="E892" i="59"/>
  <c r="E891" i="59"/>
  <c r="E890" i="59"/>
  <c r="E889" i="59"/>
  <c r="E888" i="59"/>
  <c r="E887" i="59"/>
  <c r="E886" i="59"/>
  <c r="E885" i="59"/>
  <c r="E884" i="59"/>
  <c r="E883" i="59"/>
  <c r="E882" i="59"/>
  <c r="E881" i="59"/>
  <c r="E880" i="59"/>
  <c r="E879" i="59"/>
  <c r="E878" i="59"/>
  <c r="E877" i="59"/>
  <c r="E876" i="59"/>
  <c r="E875" i="59"/>
  <c r="E874" i="59"/>
  <c r="E873" i="59"/>
  <c r="E872" i="59"/>
  <c r="E871" i="59"/>
  <c r="E870" i="59"/>
  <c r="E869" i="59"/>
  <c r="E868" i="59"/>
  <c r="E867" i="59"/>
  <c r="E866" i="59"/>
  <c r="E865" i="59"/>
  <c r="E864" i="59"/>
  <c r="E863" i="59"/>
  <c r="E862" i="59"/>
  <c r="E861" i="59"/>
  <c r="E860" i="59"/>
  <c r="E859" i="59"/>
  <c r="E858" i="59"/>
  <c r="E857" i="59"/>
  <c r="E856" i="59"/>
  <c r="E855" i="59"/>
  <c r="E854" i="59"/>
  <c r="E853" i="59"/>
  <c r="E852" i="59"/>
  <c r="E851" i="59"/>
  <c r="E850" i="59"/>
  <c r="E849" i="59"/>
  <c r="E848" i="59"/>
  <c r="E847" i="59"/>
  <c r="E846" i="59"/>
  <c r="E845" i="59"/>
  <c r="E844" i="59"/>
  <c r="E843" i="59"/>
  <c r="E842" i="59"/>
  <c r="E841" i="59"/>
  <c r="E840" i="59"/>
  <c r="E839" i="59"/>
  <c r="E838" i="59"/>
  <c r="E837" i="59"/>
  <c r="E836" i="59"/>
  <c r="E835" i="59"/>
  <c r="E834" i="59"/>
  <c r="E833" i="59"/>
  <c r="E832" i="59"/>
  <c r="E831" i="59"/>
  <c r="E830" i="59"/>
  <c r="E829" i="59"/>
  <c r="E828" i="59"/>
  <c r="E827" i="59"/>
  <c r="E826" i="59"/>
  <c r="E825" i="59"/>
  <c r="E824" i="59"/>
  <c r="E823" i="59"/>
  <c r="E822" i="59"/>
  <c r="E821" i="59"/>
  <c r="E820" i="59"/>
  <c r="E819" i="59"/>
  <c r="E818" i="59"/>
  <c r="E817" i="59"/>
  <c r="E816" i="59"/>
  <c r="E815" i="59"/>
  <c r="E814" i="59"/>
  <c r="E813" i="59"/>
  <c r="E812" i="59"/>
  <c r="E811" i="59"/>
  <c r="E810" i="59"/>
  <c r="E809" i="59"/>
  <c r="E808" i="59"/>
  <c r="E807" i="59"/>
  <c r="E806" i="59"/>
  <c r="E805" i="59"/>
  <c r="E804" i="59"/>
  <c r="E803" i="59"/>
  <c r="E802" i="59"/>
  <c r="E801" i="59"/>
  <c r="E800" i="59"/>
  <c r="E799" i="59"/>
  <c r="E798" i="59"/>
  <c r="E797" i="59"/>
  <c r="E796" i="59"/>
  <c r="E795" i="59"/>
  <c r="E794" i="59"/>
  <c r="E793" i="59"/>
  <c r="E792" i="59"/>
  <c r="E791" i="59"/>
  <c r="E790" i="59"/>
  <c r="E789" i="59"/>
  <c r="E788" i="59"/>
  <c r="E787" i="59"/>
  <c r="E786" i="59"/>
  <c r="E785" i="59"/>
  <c r="E784" i="59"/>
  <c r="E783" i="59"/>
  <c r="E782" i="59"/>
  <c r="E781" i="59"/>
  <c r="E780" i="59"/>
  <c r="E779" i="59"/>
  <c r="E778" i="59"/>
  <c r="E777" i="59"/>
  <c r="E776" i="59"/>
  <c r="E775" i="59"/>
  <c r="E774" i="59"/>
  <c r="E773" i="59"/>
  <c r="E772" i="59"/>
  <c r="E771" i="59"/>
  <c r="E770" i="59"/>
  <c r="E769" i="59"/>
  <c r="E768" i="59"/>
  <c r="E767" i="59"/>
  <c r="E766" i="59"/>
  <c r="E765" i="59"/>
  <c r="E764" i="59"/>
  <c r="E763" i="59"/>
  <c r="E762" i="59"/>
  <c r="E761" i="59"/>
  <c r="E760" i="59"/>
  <c r="E759" i="59"/>
  <c r="E758" i="59"/>
  <c r="E757" i="59"/>
  <c r="E756" i="59"/>
  <c r="E755" i="59"/>
  <c r="E754" i="59"/>
  <c r="E753" i="59"/>
  <c r="E752" i="59"/>
  <c r="E751" i="59"/>
  <c r="E750" i="59"/>
  <c r="E749" i="59"/>
  <c r="E748" i="59"/>
  <c r="E747" i="59"/>
  <c r="E746" i="59"/>
  <c r="E745" i="59"/>
  <c r="E744" i="59"/>
  <c r="E743" i="59"/>
  <c r="E742" i="59"/>
  <c r="E741" i="59"/>
  <c r="E740" i="59"/>
  <c r="E739" i="59"/>
  <c r="E738" i="59"/>
  <c r="E737" i="59"/>
  <c r="E736" i="59"/>
  <c r="E735" i="59"/>
  <c r="E734" i="59"/>
  <c r="E733" i="59"/>
  <c r="E732" i="59"/>
  <c r="E731" i="59"/>
  <c r="E730" i="59"/>
  <c r="E729" i="59"/>
  <c r="E728" i="59"/>
  <c r="E727" i="59"/>
  <c r="E726" i="59"/>
  <c r="E725" i="59"/>
  <c r="E724" i="59"/>
  <c r="E723" i="59"/>
  <c r="E722" i="59"/>
  <c r="E721" i="59"/>
  <c r="E720" i="59"/>
  <c r="E719" i="59"/>
  <c r="E718" i="59"/>
  <c r="E717" i="59"/>
  <c r="E716" i="59"/>
  <c r="E715" i="59"/>
  <c r="E714" i="59"/>
  <c r="E713" i="59"/>
  <c r="E712" i="59"/>
  <c r="E711" i="59"/>
  <c r="E710" i="59"/>
  <c r="E709" i="59"/>
  <c r="E708" i="59"/>
  <c r="E707" i="59"/>
  <c r="E706" i="59"/>
  <c r="E705" i="59"/>
  <c r="E704" i="59"/>
  <c r="E703" i="59"/>
  <c r="E702" i="59"/>
  <c r="E701" i="59"/>
  <c r="E700" i="59"/>
  <c r="E699" i="59"/>
  <c r="E698" i="59"/>
  <c r="E697" i="59"/>
  <c r="E696" i="59"/>
  <c r="E695" i="59"/>
  <c r="E694" i="59"/>
  <c r="E693" i="59"/>
  <c r="E692" i="59"/>
  <c r="E691" i="59"/>
  <c r="E690" i="59"/>
  <c r="E689" i="59"/>
  <c r="E688" i="59"/>
  <c r="E687" i="59"/>
  <c r="E686" i="59"/>
  <c r="E685" i="59"/>
  <c r="E684" i="59"/>
  <c r="E683" i="59"/>
  <c r="E682" i="59"/>
  <c r="E681" i="59"/>
  <c r="E680" i="59"/>
  <c r="E679" i="59"/>
  <c r="E678" i="59"/>
  <c r="E677" i="59"/>
  <c r="E676" i="59"/>
  <c r="E675" i="59"/>
  <c r="E674" i="59"/>
  <c r="E673" i="59"/>
  <c r="E672" i="59"/>
  <c r="E671" i="59"/>
  <c r="E670" i="59"/>
  <c r="E669" i="59"/>
  <c r="E668" i="59"/>
  <c r="E667" i="59"/>
  <c r="E666" i="59"/>
  <c r="E665" i="59"/>
  <c r="E664" i="59"/>
  <c r="E663" i="59"/>
  <c r="E662" i="59"/>
  <c r="E661" i="59"/>
  <c r="E660" i="59"/>
  <c r="E659" i="59"/>
  <c r="E658" i="59"/>
  <c r="E657" i="59"/>
  <c r="E656" i="59"/>
  <c r="E655" i="59"/>
  <c r="E654" i="59"/>
  <c r="E653" i="59"/>
  <c r="E652" i="59"/>
  <c r="E651" i="59"/>
  <c r="E650" i="59"/>
  <c r="E649" i="59"/>
  <c r="E648" i="59"/>
  <c r="E647" i="59"/>
  <c r="E646" i="59"/>
  <c r="E645" i="59"/>
  <c r="E644" i="59"/>
  <c r="E643" i="59"/>
  <c r="E642" i="59"/>
  <c r="E641" i="59"/>
  <c r="E640" i="59"/>
  <c r="E639" i="59"/>
  <c r="E638" i="59"/>
  <c r="E637" i="59"/>
  <c r="E636" i="59"/>
  <c r="E635" i="59"/>
  <c r="E634" i="59"/>
  <c r="E633" i="59"/>
  <c r="E632" i="59"/>
  <c r="E631" i="59"/>
  <c r="E630" i="59"/>
  <c r="E629" i="59"/>
  <c r="E628" i="59"/>
  <c r="E627" i="59"/>
  <c r="E626" i="59"/>
  <c r="E625" i="59"/>
  <c r="E624" i="59"/>
  <c r="E623" i="59"/>
  <c r="E622" i="59"/>
  <c r="E621" i="59"/>
  <c r="E620" i="59"/>
  <c r="E619" i="59"/>
  <c r="E618" i="59"/>
  <c r="E617" i="59"/>
  <c r="E616" i="59"/>
  <c r="E615" i="59"/>
  <c r="E614" i="59"/>
  <c r="E613" i="59"/>
  <c r="E612" i="59"/>
  <c r="E611" i="59"/>
  <c r="E610" i="59"/>
  <c r="E609" i="59"/>
  <c r="E608" i="59"/>
  <c r="E607" i="59"/>
  <c r="E606" i="59"/>
  <c r="E605" i="59"/>
  <c r="E604" i="59"/>
  <c r="E603" i="59"/>
  <c r="E602" i="59"/>
  <c r="E601" i="59"/>
  <c r="E600" i="59"/>
  <c r="E599" i="59"/>
  <c r="E598" i="59"/>
  <c r="E597" i="59"/>
  <c r="E596" i="59"/>
  <c r="E595" i="59"/>
  <c r="E594" i="59"/>
  <c r="E593" i="59"/>
  <c r="E592" i="59"/>
  <c r="E591" i="59"/>
  <c r="E590" i="59"/>
  <c r="E589" i="59"/>
  <c r="E588" i="59"/>
  <c r="E587" i="59"/>
  <c r="E586" i="59"/>
  <c r="E585" i="59"/>
  <c r="E584" i="59"/>
  <c r="E583" i="59"/>
  <c r="E582" i="59"/>
  <c r="E581" i="59"/>
  <c r="E580" i="59"/>
  <c r="E579" i="59"/>
  <c r="E578" i="59"/>
  <c r="E577" i="59"/>
  <c r="E576" i="59"/>
  <c r="E575" i="59"/>
  <c r="E574" i="59"/>
  <c r="E573" i="59"/>
  <c r="E572" i="59"/>
  <c r="E571" i="59"/>
  <c r="E570" i="59"/>
  <c r="E569" i="59"/>
  <c r="E568" i="59"/>
  <c r="E567" i="59"/>
  <c r="E566" i="59"/>
  <c r="E565" i="59"/>
  <c r="E564" i="59"/>
  <c r="E563" i="59"/>
  <c r="E562" i="59"/>
  <c r="E561" i="59"/>
  <c r="E560" i="59"/>
  <c r="E559" i="59"/>
  <c r="E558" i="59"/>
  <c r="E557" i="59"/>
  <c r="E556" i="59"/>
  <c r="E555" i="59"/>
  <c r="E554" i="59"/>
  <c r="E553" i="59"/>
  <c r="E552" i="59"/>
  <c r="E551" i="59"/>
  <c r="E550" i="59"/>
  <c r="E549" i="59"/>
  <c r="E548" i="59"/>
  <c r="E547" i="59"/>
  <c r="E546" i="59"/>
  <c r="E545" i="59"/>
  <c r="E544" i="59"/>
  <c r="E543" i="59"/>
  <c r="E542" i="59"/>
  <c r="E541" i="59"/>
  <c r="E540" i="59"/>
  <c r="E539" i="59"/>
  <c r="E538" i="59"/>
  <c r="E537" i="59"/>
  <c r="E536" i="59"/>
  <c r="E535" i="59"/>
  <c r="E534" i="59"/>
  <c r="E533" i="59"/>
  <c r="E532" i="59"/>
  <c r="E531" i="59"/>
  <c r="E530" i="59"/>
  <c r="E529" i="59"/>
  <c r="E528" i="59"/>
  <c r="E527" i="59"/>
  <c r="E526" i="59"/>
  <c r="E525" i="59"/>
  <c r="E524" i="59"/>
  <c r="E523" i="59"/>
  <c r="E522" i="59"/>
  <c r="E521" i="59"/>
  <c r="E520" i="59"/>
  <c r="E519" i="59"/>
  <c r="E518" i="59"/>
  <c r="E517" i="59"/>
  <c r="E516" i="59"/>
  <c r="E515" i="59"/>
  <c r="E514" i="59"/>
  <c r="E513" i="59"/>
  <c r="E512" i="59"/>
  <c r="E511" i="59"/>
  <c r="E510" i="59"/>
  <c r="E509" i="59"/>
  <c r="E508" i="59"/>
  <c r="E507" i="59"/>
  <c r="E506" i="59"/>
  <c r="E505" i="59"/>
  <c r="E504" i="59"/>
  <c r="E503" i="59"/>
  <c r="E502" i="59"/>
  <c r="E501" i="59"/>
  <c r="E500" i="59"/>
  <c r="E499" i="59"/>
  <c r="E498" i="59"/>
  <c r="E497" i="59"/>
  <c r="E496" i="59"/>
  <c r="E495" i="59"/>
  <c r="E494" i="59"/>
  <c r="E493" i="59"/>
  <c r="E492" i="59"/>
  <c r="E491" i="59"/>
  <c r="E490" i="59"/>
  <c r="E489" i="59"/>
  <c r="E488" i="59"/>
  <c r="E487" i="59"/>
  <c r="E486" i="59"/>
  <c r="E485" i="59"/>
  <c r="E484" i="59"/>
  <c r="E483" i="59"/>
  <c r="E482" i="59"/>
  <c r="E481" i="59"/>
  <c r="E480" i="59"/>
  <c r="E479" i="59"/>
  <c r="E478" i="59"/>
  <c r="E477" i="59"/>
  <c r="E476" i="59"/>
  <c r="E475" i="59"/>
  <c r="E474" i="59"/>
  <c r="E473" i="59"/>
  <c r="E472" i="59"/>
  <c r="E471" i="59"/>
  <c r="E470" i="59"/>
  <c r="E469" i="59"/>
  <c r="E468" i="59"/>
  <c r="E467" i="59"/>
  <c r="E466" i="59"/>
  <c r="E465" i="59"/>
  <c r="E464" i="59"/>
  <c r="E463" i="59"/>
  <c r="E462" i="59"/>
  <c r="E461" i="59"/>
  <c r="E460" i="59"/>
  <c r="E459" i="59"/>
  <c r="E458" i="59"/>
  <c r="E457" i="59"/>
  <c r="E456" i="59"/>
  <c r="E455" i="59"/>
  <c r="E454" i="59"/>
  <c r="E453" i="59"/>
  <c r="E452" i="59"/>
  <c r="E451" i="59"/>
  <c r="E450" i="59"/>
  <c r="E449" i="59"/>
  <c r="E448" i="59"/>
  <c r="E447" i="59"/>
  <c r="E446" i="59"/>
  <c r="E445" i="59"/>
  <c r="E444" i="59"/>
  <c r="E443" i="59"/>
  <c r="E442" i="59"/>
  <c r="E441" i="59"/>
  <c r="E440" i="59"/>
  <c r="E439" i="59"/>
  <c r="E438" i="59"/>
  <c r="E437" i="59"/>
  <c r="E436" i="59"/>
  <c r="E435" i="59"/>
  <c r="E434" i="59"/>
  <c r="E433" i="59"/>
  <c r="E432" i="59"/>
  <c r="E431" i="59"/>
  <c r="E430" i="59"/>
  <c r="E429" i="59"/>
  <c r="E428" i="59"/>
  <c r="E427" i="59"/>
  <c r="E426" i="59"/>
  <c r="E425" i="59"/>
  <c r="E424" i="59"/>
  <c r="E423" i="59"/>
  <c r="E422" i="59"/>
  <c r="E421" i="59"/>
  <c r="E420" i="59"/>
  <c r="E419" i="59"/>
  <c r="E418" i="59"/>
  <c r="E417" i="59"/>
  <c r="E416" i="59"/>
  <c r="E415" i="59"/>
  <c r="E414" i="59"/>
  <c r="E413" i="59"/>
  <c r="E412" i="59"/>
  <c r="E411" i="59"/>
  <c r="E410" i="59"/>
  <c r="E409" i="59"/>
  <c r="E408" i="59"/>
  <c r="E407" i="59"/>
  <c r="E406" i="59"/>
  <c r="E405" i="59"/>
  <c r="E404" i="59"/>
  <c r="E403" i="59"/>
  <c r="E402" i="59"/>
  <c r="E401" i="59"/>
  <c r="E400" i="59"/>
  <c r="E399" i="59"/>
  <c r="E398" i="59"/>
  <c r="E397" i="59"/>
  <c r="E396" i="59"/>
  <c r="E395" i="59"/>
  <c r="E394" i="59"/>
  <c r="E393" i="59"/>
  <c r="E392" i="59"/>
  <c r="E391" i="59"/>
  <c r="E390" i="59"/>
  <c r="E389" i="59"/>
  <c r="E388" i="59"/>
  <c r="E387" i="59"/>
  <c r="E386" i="59"/>
  <c r="E385" i="59"/>
  <c r="E384" i="59"/>
  <c r="E383" i="59"/>
  <c r="E382" i="59"/>
  <c r="E381" i="59"/>
  <c r="E380" i="59"/>
  <c r="E379" i="59"/>
  <c r="E378" i="59"/>
  <c r="E377" i="59"/>
  <c r="E376" i="59"/>
  <c r="E375" i="59"/>
  <c r="E374" i="59"/>
  <c r="E373" i="59"/>
  <c r="E372" i="59"/>
  <c r="E371" i="59"/>
  <c r="E370" i="59"/>
  <c r="E369" i="59"/>
  <c r="E368" i="59"/>
  <c r="E367" i="59"/>
  <c r="E366" i="59"/>
  <c r="E365" i="59"/>
  <c r="E364" i="59"/>
  <c r="E363" i="59"/>
  <c r="E362" i="59"/>
  <c r="E361" i="59"/>
  <c r="E360" i="59"/>
  <c r="E359" i="59"/>
  <c r="E358" i="59"/>
  <c r="E357" i="59"/>
  <c r="E356" i="59"/>
  <c r="E355" i="59"/>
  <c r="E354" i="59"/>
  <c r="E353" i="59"/>
  <c r="E352" i="59"/>
  <c r="E351" i="59"/>
  <c r="E350" i="59"/>
  <c r="E349" i="59"/>
  <c r="E348" i="59"/>
  <c r="E347" i="59"/>
  <c r="E346" i="59"/>
  <c r="E345" i="59"/>
  <c r="E344" i="59"/>
  <c r="E343" i="59"/>
  <c r="E342" i="59"/>
  <c r="E341" i="59"/>
  <c r="E340" i="59"/>
  <c r="E339" i="59"/>
  <c r="E338" i="59"/>
  <c r="E337" i="59"/>
  <c r="E336" i="59"/>
  <c r="E335" i="59"/>
  <c r="E334" i="59"/>
  <c r="E333" i="59"/>
  <c r="E332" i="59"/>
  <c r="E331" i="59"/>
  <c r="E330" i="59"/>
  <c r="E329" i="59"/>
  <c r="E328" i="59"/>
  <c r="E327" i="59"/>
  <c r="E326" i="59"/>
  <c r="E325" i="59"/>
  <c r="E324" i="59"/>
  <c r="E323" i="59"/>
  <c r="E322" i="59"/>
  <c r="E321" i="59"/>
  <c r="E320" i="59"/>
  <c r="E319" i="59"/>
  <c r="E318" i="59"/>
  <c r="E317" i="59"/>
  <c r="E316" i="59"/>
  <c r="E315" i="59"/>
  <c r="E314" i="59"/>
  <c r="E313" i="59"/>
  <c r="E312" i="59"/>
  <c r="E311" i="59"/>
  <c r="E310" i="59"/>
  <c r="E309" i="59"/>
  <c r="E308" i="59"/>
  <c r="E307" i="59"/>
  <c r="E306" i="59"/>
  <c r="E305" i="59"/>
  <c r="E304" i="59"/>
  <c r="E303" i="59"/>
  <c r="E302" i="59"/>
  <c r="E301" i="59"/>
  <c r="E300" i="59"/>
  <c r="E299" i="59"/>
  <c r="E298" i="59"/>
  <c r="E297" i="59"/>
  <c r="E296" i="59"/>
  <c r="E295" i="59"/>
  <c r="E294" i="59"/>
  <c r="E293" i="59"/>
  <c r="E292" i="59"/>
  <c r="E291" i="59"/>
  <c r="E290" i="59"/>
  <c r="E289" i="59"/>
  <c r="E288" i="59"/>
  <c r="E287" i="59"/>
  <c r="E286" i="59"/>
  <c r="E285" i="59"/>
  <c r="E284" i="59"/>
  <c r="E283" i="59"/>
  <c r="E282" i="59"/>
  <c r="E281" i="59"/>
  <c r="E280" i="59"/>
  <c r="E279" i="59"/>
  <c r="E278" i="59"/>
  <c r="E277" i="59"/>
  <c r="E276" i="59"/>
  <c r="E275" i="59"/>
  <c r="E274" i="59"/>
  <c r="E273" i="59"/>
  <c r="E272" i="59"/>
  <c r="E271" i="59"/>
  <c r="E270" i="59"/>
  <c r="E269" i="59"/>
  <c r="E268" i="59"/>
  <c r="E267" i="59"/>
  <c r="E266" i="59"/>
  <c r="E265" i="59"/>
  <c r="E264" i="59"/>
  <c r="E263" i="59"/>
  <c r="E262" i="59"/>
  <c r="E261" i="59"/>
  <c r="E260" i="59"/>
  <c r="E259" i="59"/>
  <c r="E258" i="59"/>
  <c r="E257" i="59"/>
  <c r="E256" i="59"/>
  <c r="E255" i="59"/>
  <c r="E254" i="59"/>
  <c r="E253" i="59"/>
  <c r="E252" i="59"/>
  <c r="E251" i="59"/>
  <c r="E250" i="59"/>
  <c r="E249" i="59"/>
  <c r="E248" i="59"/>
  <c r="E247" i="59"/>
  <c r="E246" i="59"/>
  <c r="E245" i="59"/>
  <c r="E244" i="59"/>
  <c r="E243" i="59"/>
  <c r="E242" i="59"/>
  <c r="E241" i="59"/>
  <c r="E240" i="59"/>
  <c r="E239" i="59"/>
  <c r="E238" i="59"/>
  <c r="E237" i="59"/>
  <c r="E236" i="59"/>
  <c r="E235" i="59"/>
  <c r="E234" i="59"/>
  <c r="E233" i="59"/>
  <c r="E232" i="59"/>
  <c r="E231" i="59"/>
  <c r="E230" i="59"/>
  <c r="E229" i="59"/>
  <c r="E228" i="59"/>
  <c r="E227" i="59"/>
  <c r="E226" i="59"/>
  <c r="E225" i="59"/>
  <c r="E224" i="59"/>
  <c r="E223" i="59"/>
  <c r="E222" i="59"/>
  <c r="E221" i="59"/>
  <c r="E220" i="59"/>
  <c r="E219" i="59"/>
  <c r="E218" i="59"/>
  <c r="E217" i="59"/>
  <c r="E216" i="59"/>
  <c r="E215" i="59"/>
  <c r="E214" i="59"/>
  <c r="E213" i="59"/>
  <c r="E212" i="59"/>
  <c r="E211" i="59"/>
  <c r="E210" i="59"/>
  <c r="E209" i="59"/>
  <c r="E208" i="59"/>
  <c r="E207" i="59"/>
  <c r="E206" i="59"/>
  <c r="E205" i="59"/>
  <c r="E204" i="59"/>
  <c r="E203" i="59"/>
  <c r="E202" i="59"/>
  <c r="E201" i="59"/>
  <c r="E200" i="59"/>
  <c r="E199" i="59"/>
  <c r="E198" i="59"/>
  <c r="E197" i="59"/>
  <c r="E196" i="59"/>
  <c r="E195" i="59"/>
  <c r="E194" i="59"/>
  <c r="E193" i="59"/>
  <c r="E192" i="59"/>
  <c r="E191" i="59"/>
  <c r="E190" i="59"/>
  <c r="E189" i="59"/>
  <c r="E188" i="59"/>
  <c r="E187" i="59"/>
  <c r="E186" i="59"/>
  <c r="E185" i="59"/>
  <c r="E184" i="59"/>
  <c r="E183" i="59"/>
  <c r="E182" i="59"/>
  <c r="E181" i="59"/>
  <c r="E180" i="59"/>
  <c r="E179" i="59"/>
  <c r="E178" i="59"/>
  <c r="E177" i="59"/>
  <c r="E176" i="59"/>
  <c r="E175" i="59"/>
  <c r="E174" i="59"/>
  <c r="E173" i="59"/>
  <c r="E172" i="59"/>
  <c r="E171" i="59"/>
  <c r="E170" i="59"/>
  <c r="E169" i="59"/>
  <c r="E168" i="59"/>
  <c r="E167" i="59"/>
  <c r="E166" i="59"/>
  <c r="E165" i="59"/>
  <c r="E164" i="59"/>
  <c r="E163" i="59"/>
  <c r="E162" i="59"/>
  <c r="E161" i="59"/>
  <c r="E160" i="59"/>
  <c r="E159" i="59"/>
  <c r="E158" i="59"/>
  <c r="E157" i="59"/>
  <c r="E156" i="59"/>
  <c r="E155" i="59"/>
  <c r="E154" i="59"/>
  <c r="E153" i="59"/>
  <c r="E152" i="59"/>
  <c r="E151" i="59"/>
  <c r="E150" i="59"/>
  <c r="E149" i="59"/>
  <c r="E148" i="59"/>
  <c r="E147" i="59"/>
  <c r="E146" i="59"/>
  <c r="E145" i="59"/>
  <c r="E144" i="59"/>
  <c r="E143" i="59"/>
  <c r="E142" i="59"/>
  <c r="E141" i="59"/>
  <c r="E140" i="59"/>
  <c r="E139" i="59"/>
  <c r="E138" i="59"/>
  <c r="E137" i="59"/>
  <c r="E136" i="59"/>
  <c r="E135" i="59"/>
  <c r="E134" i="59"/>
  <c r="E133" i="59"/>
  <c r="E132" i="59"/>
  <c r="E131" i="59"/>
  <c r="E130" i="59"/>
  <c r="E129" i="59"/>
  <c r="E128" i="59"/>
  <c r="E127" i="59"/>
  <c r="E126" i="59"/>
  <c r="E125" i="59"/>
  <c r="E124" i="59"/>
  <c r="E123" i="59"/>
  <c r="E122" i="59"/>
  <c r="E121" i="59"/>
  <c r="E120" i="59"/>
  <c r="E119" i="59"/>
  <c r="E118" i="59"/>
  <c r="E117" i="59"/>
  <c r="E116" i="59"/>
  <c r="E115" i="59"/>
  <c r="E114" i="59"/>
  <c r="E113" i="59"/>
  <c r="E112" i="59"/>
  <c r="E111" i="59"/>
  <c r="E110" i="59"/>
  <c r="E109" i="59"/>
  <c r="E108" i="59"/>
  <c r="E107" i="59"/>
  <c r="E106" i="59"/>
  <c r="E105" i="59"/>
  <c r="E104" i="59"/>
  <c r="E103" i="59"/>
  <c r="E102" i="59"/>
  <c r="E101" i="59"/>
  <c r="E100" i="59"/>
  <c r="E99" i="59"/>
  <c r="E98" i="59"/>
  <c r="E97" i="59"/>
  <c r="E96" i="59"/>
  <c r="E95" i="59"/>
  <c r="E94" i="59"/>
  <c r="E93" i="59"/>
  <c r="E92" i="59"/>
  <c r="E91" i="59"/>
  <c r="E90" i="59"/>
  <c r="E89" i="59"/>
  <c r="E88" i="59"/>
  <c r="E87" i="59"/>
  <c r="E86" i="59"/>
  <c r="E85" i="59"/>
  <c r="E84" i="59"/>
  <c r="E83" i="59"/>
  <c r="E82" i="59"/>
  <c r="E81" i="59"/>
  <c r="E80" i="59"/>
  <c r="E79" i="59"/>
  <c r="E78" i="59"/>
  <c r="E77" i="59"/>
  <c r="E76" i="59"/>
  <c r="E75" i="59"/>
  <c r="E74" i="59"/>
  <c r="E73" i="59"/>
  <c r="E72" i="59"/>
  <c r="E71" i="59"/>
  <c r="E70" i="59"/>
  <c r="E69"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<sst xmlns="http://schemas.openxmlformats.org/spreadsheetml/2006/main" count="4014" uniqueCount="1256">
  <si>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</si>
  <si>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</si>
  <si>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</si>
  <si>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</si>
  <si>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</si>
  <si>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</si>
  <si>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</si>
  <si>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</si>
  <si>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</si>
  <si>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</si>
  <si>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</si>
  <si>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</si>
  <si>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</si>
  <si>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</si>
  <si>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</si>
  <si>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</si>
  <si>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</si>
  <si>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</si>
  <si>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</si>
  <si>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</si>
  <si>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</si>
  <si>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</si>
  <si>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</si>
  <si>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</si>
  <si>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</si>
  <si>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</si>
  <si>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</si>
  <si>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</si>
  <si>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</si>
  <si>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</si>
  <si>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</si>
  <si>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</si>
  <si>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</si>
  <si>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</si>
  <si>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</si>
  <si>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</si>
  <si>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</si>
  <si>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</si>
  <si>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</si>
  <si>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</si>
  <si>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</si>
  <si>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</si>
  <si>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</si>
  <si>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</si>
  <si>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</si>
  <si>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</si>
  <si>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</si>
  <si>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</si>
  <si>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</si>
  <si>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</si>
  <si>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</si>
  <si>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</si>
  <si>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</si>
  <si>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</si>
  <si>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</si>
  <si>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</si>
  <si>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</si>
  <si>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</si>
  <si>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</si>
  <si>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</si>
  <si>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</si>
  <si>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</si>
  <si>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</si>
  <si>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</si>
  <si>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</si>
  <si>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</si>
  <si>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</si>
  <si>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</si>
  <si>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</si>
  <si>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</si>
  <si>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</si>
  <si>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</si>
  <si>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</si>
  <si>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</si>
  <si>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</si>
  <si>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</si>
  <si>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</si>
  <si>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</si>
  <si>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</si>
  <si>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</si>
  <si>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</si>
  <si>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</si>
  <si>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</si>
  <si>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</si>
  <si>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</si>
  <si>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</si>
  <si>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</si>
  <si>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</si>
  <si>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</si>
  <si>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</si>
  <si>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</si>
  <si>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</si>
  <si>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</si>
  <si>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</si>
  <si>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</si>
  <si>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</si>
  <si>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</si>
  <si>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</si>
  <si>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</si>
  <si>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</si>
  <si>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</si>
  <si>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</si>
  <si>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</si>
  <si>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</si>
  <si>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</si>
  <si>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</si>
  <si>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</si>
  <si>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</si>
  <si>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</si>
  <si>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</si>
  <si>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</si>
  <si>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</si>
  <si>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</si>
  <si>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</si>
  <si>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</si>
  <si>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</si>
  <si>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</si>
  <si>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</si>
  <si>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</si>
  <si>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</si>
  <si>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</si>
  <si>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</si>
  <si>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</si>
  <si>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</si>
  <si>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</si>
  <si>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</si>
  <si>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</si>
  <si>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</si>
  <si>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</si>
  <si>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</si>
  <si>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</si>
  <si>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</si>
  <si>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</si>
  <si>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</si>
  <si>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</si>
  <si>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</si>
  <si>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</si>
  <si>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</si>
  <si>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</si>
  <si>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</si>
  <si>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</si>
  <si>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</si>
  <si>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</si>
  <si>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</si>
  <si>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</si>
  <si>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</si>
  <si>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</si>
  <si>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</si>
  <si>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</si>
  <si>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</si>
  <si>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</si>
  <si>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</si>
  <si>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</si>
  <si>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</si>
  <si>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</si>
  <si>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</si>
  <si>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</si>
  <si>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</si>
  <si>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</si>
  <si>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</si>
  <si>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</si>
  <si>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</si>
  <si>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</si>
  <si>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</si>
  <si>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</si>
  <si>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</si>
  <si>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</si>
  <si>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</si>
  <si>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</si>
  <si>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</si>
  <si>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</si>
  <si>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</si>
  <si>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</si>
  <si>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</si>
  <si>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</si>
  <si>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</si>
  <si>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</si>
  <si>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</si>
  <si>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</si>
  <si>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</si>
  <si>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</si>
  <si>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</si>
  <si>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</si>
  <si>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</si>
  <si>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</si>
  <si>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</si>
  <si>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</si>
  <si>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</si>
  <si>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</si>
  <si>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</si>
  <si>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</si>
  <si>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</si>
  <si>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</si>
  <si>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</si>
  <si>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</si>
  <si>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</si>
  <si>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</si>
  <si>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</si>
  <si>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</si>
  <si>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</si>
  <si>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</si>
  <si>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</si>
  <si>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</si>
  <si>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</si>
  <si>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</si>
  <si>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</si>
  <si>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</si>
  <si>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</si>
  <si>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</si>
  <si>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</si>
  <si>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</si>
  <si>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</si>
  <si>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</si>
  <si>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</si>
  <si>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</si>
  <si>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</si>
  <si>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</si>
  <si>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</si>
  <si>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</si>
  <si>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</si>
  <si>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</si>
  <si>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</si>
  <si>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</si>
  <si>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</si>
  <si>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</si>
  <si>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</si>
  <si>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</si>
  <si>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</si>
  <si>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</si>
  <si>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</si>
  <si>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</si>
  <si>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</si>
  <si>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</si>
  <si>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</si>
  <si>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</si>
  <si>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</si>
  <si>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</si>
  <si>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</si>
  <si>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</si>
  <si>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</si>
  <si>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</si>
  <si>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</si>
  <si>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</si>
  <si>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</si>
  <si>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</si>
  <si>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</si>
  <si>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</si>
  <si>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</si>
  <si>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</si>
  <si>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</si>
  <si>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</si>
  <si>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</si>
  <si>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</si>
  <si>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</si>
  <si>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</si>
  <si>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</si>
  <si>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</si>
  <si>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</si>
  <si>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</si>
  <si>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</si>
  <si>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</si>
  <si>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</si>
  <si>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</si>
  <si>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</si>
  <si>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</si>
  <si>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</si>
  <si>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</si>
  <si>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</si>
  <si>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</si>
  <si>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</si>
  <si>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</si>
  <si>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</si>
  <si>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</si>
  <si>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</si>
  <si>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</si>
  <si>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</si>
  <si>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</si>
  <si>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</si>
  <si>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</si>
  <si>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</si>
  <si>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</si>
  <si>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</si>
  <si>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</si>
  <si>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</si>
  <si>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</si>
  <si>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</si>
  <si>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</si>
  <si>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</si>
  <si>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</si>
  <si>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</si>
  <si>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</si>
  <si>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</si>
  <si>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</si>
  <si>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</si>
  <si>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</si>
  <si>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</si>
  <si>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</si>
  <si>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</si>
  <si>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</si>
  <si>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</si>
  <si>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</si>
  <si>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</si>
  <si>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DCN4.001</t>
  </si>
  <si>
    <t>DCN4.001 - Improved display interop</t>
  </si>
  <si>
    <t>Total # of Features</t>
  </si>
  <si>
    <t>DCN4.002</t>
  </si>
  <si>
    <t>DCN4.002 - Ipx dldo pg</t>
  </si>
  <si>
    <t>Total # of P1</t>
  </si>
  <si>
    <t>DCN4.003</t>
  </si>
  <si>
    <t>DCN4.003 - Display mode performance</t>
  </si>
  <si>
    <t>Total # of P2</t>
  </si>
  <si>
    <t>DCN4.004</t>
  </si>
  <si>
    <t>DCN4.004 - Support 16k8k@60</t>
  </si>
  <si>
    <t>Total # of P3</t>
  </si>
  <si>
    <t>DCN4.005</t>
  </si>
  <si>
    <t>DCN4.005 - Support 6k60</t>
  </si>
  <si>
    <t>Total # of Diagnostics</t>
  </si>
  <si>
    <t>DCN4.006</t>
  </si>
  <si>
    <t>DCN4.006 - Max pixel rate single pipe</t>
  </si>
  <si>
    <t>Total # of Driver</t>
  </si>
  <si>
    <t>DCN4.007</t>
  </si>
  <si>
    <t>DCN4.007 - Dma program 3dlut</t>
  </si>
  <si>
    <t>Total # of IPSE</t>
  </si>
  <si>
    <t>DCN4.008</t>
  </si>
  <si>
    <t>DCN4.008 - Distributed dcc</t>
  </si>
  <si>
    <t>Total # of N/A</t>
  </si>
  <si>
    <t>DCN4.009</t>
  </si>
  <si>
    <t>DCN4.009 - 64K surface pitch</t>
  </si>
  <si>
    <t>Total # of Legacy</t>
  </si>
  <si>
    <t>DCN4.010</t>
  </si>
  <si>
    <t>DCN4.010 - Remove hpd pad from dcn</t>
  </si>
  <si>
    <t>Total # of Delta</t>
  </si>
  <si>
    <t>DCN4.011</t>
  </si>
  <si>
    <t>DCN4.011 - Power gate dchb dpp dsc</t>
  </si>
  <si>
    <t>Total # of New</t>
  </si>
  <si>
    <t>DCN4.012</t>
  </si>
  <si>
    <t>DCN4.012 - Clock gate</t>
  </si>
  <si>
    <t>DCN4.013</t>
  </si>
  <si>
    <t>DCN4.013 - dcfclk deep sleep and dpm</t>
  </si>
  <si>
    <t>DCN4.014</t>
  </si>
  <si>
    <t>DCN4.014 - Sram low power mode</t>
  </si>
  <si>
    <t>DCN4.015</t>
  </si>
  <si>
    <t>DCN4.015 - Dcc</t>
  </si>
  <si>
    <t>DCN4.016</t>
  </si>
  <si>
    <t xml:space="preserve">DCN4.016 - DCC compression ratio </t>
  </si>
  <si>
    <t>DCN4.017</t>
  </si>
  <si>
    <t>DCN4.017 - Abm</t>
  </si>
  <si>
    <t>DCN4.018</t>
  </si>
  <si>
    <t>DCN4.018 - Psr psr-su and crc for psr-su</t>
  </si>
  <si>
    <t>DCN4.019</t>
  </si>
  <si>
    <t>DCN4.019 - edp1.4 alpm</t>
  </si>
  <si>
    <t>DCN4.020</t>
  </si>
  <si>
    <t>DCN4.020 - pstate dram clock switch</t>
  </si>
  <si>
    <t>DCN4.021</t>
  </si>
  <si>
    <t>DCN4.021 - Dchubbub wm change support</t>
  </si>
  <si>
    <t>DCN4.022</t>
  </si>
  <si>
    <t>DCN4.022 - Dram self-refresh and cstate and stutter</t>
  </si>
  <si>
    <t>DCN4.023</t>
  </si>
  <si>
    <t>DCN4.023 - Stutter efficiency</t>
  </si>
  <si>
    <t>DCN4.024</t>
  </si>
  <si>
    <t>DCN4.024 - QoS urgent latency</t>
  </si>
  <si>
    <t>DCN4.025</t>
  </si>
  <si>
    <t>DCN4.025 - HW rotation and mirroring</t>
  </si>
  <si>
    <t>DCN4.026</t>
  </si>
  <si>
    <t>DCN4.026 - Immediate Flip</t>
  </si>
  <si>
    <t>DCN4.027</t>
  </si>
  <si>
    <t>DCN4.027 - Vsync Flip</t>
  </si>
  <si>
    <t>DCN4.028</t>
  </si>
  <si>
    <t>DCN4.028 - GSL</t>
  </si>
  <si>
    <t>DCN4.029</t>
  </si>
  <si>
    <t>DCN4.029 - Linear and 2d-tiled surface</t>
  </si>
  <si>
    <t>DCN4.030</t>
  </si>
  <si>
    <t>DCN4.030 - GFX Tiling</t>
  </si>
  <si>
    <t>DCN4.031</t>
  </si>
  <si>
    <t>DCN4.031 - TMZ</t>
  </si>
  <si>
    <t>DCN4.032</t>
  </si>
  <si>
    <t xml:space="preserve">DCN4.032 - Cab
</t>
  </si>
  <si>
    <t>DCN4.033</t>
  </si>
  <si>
    <t xml:space="preserve">DCN4.033 - Cab tmz
</t>
  </si>
  <si>
    <t>DCN4.034</t>
  </si>
  <si>
    <t xml:space="preserve">DCN4.034 - Uclk pstate change using mall
</t>
  </si>
  <si>
    <t>DCN4.035</t>
  </si>
  <si>
    <t>DCN4.035 - Pstate change with drr</t>
  </si>
  <si>
    <t>DCN4.036</t>
  </si>
  <si>
    <t>DCN4.036 - Sub-viewport mall prefetch</t>
  </si>
  <si>
    <t>DCN4.037</t>
  </si>
  <si>
    <t>DCN4.037 - Sdp prefetch with ack and no data return</t>
  </si>
  <si>
    <t>DCN4.038</t>
  </si>
  <si>
    <t>DCN4.038 - Stereoscopic display</t>
  </si>
  <si>
    <t>DCN4.039</t>
  </si>
  <si>
    <t>DCN4.039 - VM support</t>
  </si>
  <si>
    <t>DCN4.040</t>
  </si>
  <si>
    <t>DCN4.040 - Format Conversion</t>
  </si>
  <si>
    <t>DCN4.041</t>
  </si>
  <si>
    <t xml:space="preserve">DCN4.041 - Cursor </t>
  </si>
  <si>
    <t>DCN4.042</t>
  </si>
  <si>
    <t>DCN4.042 - Win10 cursor support</t>
  </si>
  <si>
    <t>DCN4.043</t>
  </si>
  <si>
    <t>DCN4.043 - De-alpha and bias</t>
  </si>
  <si>
    <t>DCN4.044</t>
  </si>
  <si>
    <t>DCN4.044 - Input csc</t>
  </si>
  <si>
    <t>DCN4.045</t>
  </si>
  <si>
    <t>DCN4.045 - Degamma</t>
  </si>
  <si>
    <t>DCN4.046</t>
  </si>
  <si>
    <t>DCN4.046 - Hdr multiplier coefficients</t>
  </si>
  <si>
    <t>DCN4.047</t>
  </si>
  <si>
    <t>DCN4.047 - Relocatable gamut remap</t>
  </si>
  <si>
    <t>DCN4.048</t>
  </si>
  <si>
    <t>DCN4.048 - Prescale linearization</t>
  </si>
  <si>
    <t>DCN4.049</t>
  </si>
  <si>
    <t>DCN4.049 - Downscale</t>
  </si>
  <si>
    <t>DCN4.050</t>
  </si>
  <si>
    <t>DCN4.050 - Upscale</t>
  </si>
  <si>
    <t>DCN4.051</t>
  </si>
  <si>
    <t>DCN4.051 - Alpha scale</t>
  </si>
  <si>
    <t>DCN4.052</t>
  </si>
  <si>
    <t>DCN4.052 - Scale sharpening</t>
  </si>
  <si>
    <t>DCN4.053</t>
  </si>
  <si>
    <t>DCN4.053 - Edge adaptive scaler and sharpening</t>
  </si>
  <si>
    <t>DCN4.054</t>
  </si>
  <si>
    <t>DCN4.054 - Auto scale</t>
  </si>
  <si>
    <t>DCN4.055</t>
  </si>
  <si>
    <t>DCN4.055 - Scale underscan and overscan</t>
  </si>
  <si>
    <t>DCN4.056</t>
  </si>
  <si>
    <t>DCN4.056 - Stereo scale</t>
  </si>
  <si>
    <t>DCN4.057</t>
  </si>
  <si>
    <t>DCN4.057 - Scale boundary</t>
  </si>
  <si>
    <t>DCN4.058</t>
  </si>
  <si>
    <t>DCN4.058 - LB dynamic allocation and partition</t>
  </si>
  <si>
    <t>DCN4.059</t>
  </si>
  <si>
    <t>DCN4.059 - Blender bypass</t>
  </si>
  <si>
    <t>DCN4.060</t>
  </si>
  <si>
    <t>DCN4.060 - Multi-plane composing with alpha</t>
  </si>
  <si>
    <t>DCN4.061</t>
  </si>
  <si>
    <t>DCN4.061 - Output Gamma</t>
  </si>
  <si>
    <t>DCN4.062</t>
  </si>
  <si>
    <t>DCN4.062 - Output csc</t>
  </si>
  <si>
    <t>DCN4.063</t>
  </si>
  <si>
    <t>DCN4.063 - Denorm and round and clamp</t>
  </si>
  <si>
    <t>DCN4.064</t>
  </si>
  <si>
    <t>DCN4.064 - Video blanking generation</t>
  </si>
  <si>
    <t>DCN4.065</t>
  </si>
  <si>
    <t>DCN4.065 - Fmt truncate and round</t>
  </si>
  <si>
    <t>DCN4.066</t>
  </si>
  <si>
    <t>DCN4.066 - Fmt clamp</t>
  </si>
  <si>
    <t>DCN4.067</t>
  </si>
  <si>
    <t>DCN4.067 - Fmt subsample</t>
  </si>
  <si>
    <t>DCN4.068</t>
  </si>
  <si>
    <t>DCN4.068 - Fmt dynamic and zero expansion</t>
  </si>
  <si>
    <t>DCN4.069</t>
  </si>
  <si>
    <t>DCN4.069 - Fmt repetition</t>
  </si>
  <si>
    <t>DCN4.070</t>
  </si>
  <si>
    <t>DCN4.070 - Fmt dither</t>
  </si>
  <si>
    <t>DCN4.071</t>
  </si>
  <si>
    <t>DCN4.071 - DSC for DP</t>
  </si>
  <si>
    <t>DCN4.072</t>
  </si>
  <si>
    <t>DCN4.072 - DSC area optimization</t>
  </si>
  <si>
    <t>DCN4.073</t>
  </si>
  <si>
    <t>DCN4.073 - DP FEC support</t>
  </si>
  <si>
    <t>DCN4.074</t>
  </si>
  <si>
    <t xml:space="preserve">DCN4.074 - ODM Combine </t>
  </si>
  <si>
    <t>DCN4.075</t>
  </si>
  <si>
    <t>DCN4.075 - ODM Combine improvement</t>
  </si>
  <si>
    <t>DCN4.076</t>
  </si>
  <si>
    <t xml:space="preserve">DCN4.076 - Dynamic odm
</t>
  </si>
  <si>
    <t>DCN4.077</t>
  </si>
  <si>
    <t>DCN4.077 - Ranged timing</t>
  </si>
  <si>
    <t>DCN4.078</t>
  </si>
  <si>
    <t xml:space="preserve">DCN4.078 - Underflow Detection and Recovery </t>
  </si>
  <si>
    <t>DCN4.079</t>
  </si>
  <si>
    <t>DCN4.079 - Horizontal pixel repetition</t>
  </si>
  <si>
    <t>DCN4.080</t>
  </si>
  <si>
    <t>DCN4.080 - Vstartup Vupdate and Vready Interrupt</t>
  </si>
  <si>
    <t>DCN4.081</t>
  </si>
  <si>
    <t>DCN4.081 - DRR</t>
  </si>
  <si>
    <t>DCN4.082</t>
  </si>
  <si>
    <t>DCN4.082 - HDMI 1.4 and 2.0</t>
  </si>
  <si>
    <t>DCN4.083</t>
  </si>
  <si>
    <t>DCN4.083 - Hdmi2.1 frl dsc vrr fva and qms</t>
  </si>
  <si>
    <t>DCN4.084</t>
  </si>
  <si>
    <t>DCN4.084 - Hdmi dolby vision</t>
  </si>
  <si>
    <t>DCN4.085</t>
  </si>
  <si>
    <t>DCN4.085 - Hdmi spdif control bits</t>
  </si>
  <si>
    <t>DCN4.086</t>
  </si>
  <si>
    <t>DCN4.086 - Hdmi2.1 data flow metering</t>
  </si>
  <si>
    <t>DCN4.087</t>
  </si>
  <si>
    <t>DCN4.087 - Hdmi2.1 audio</t>
  </si>
  <si>
    <t>DCN4.088</t>
  </si>
  <si>
    <t>DCN4.088 - Hdmi2.1 stereoscopic</t>
  </si>
  <si>
    <t>DCN4.089</t>
  </si>
  <si>
    <t>DCN4.089 - Hdmi2.1 frame accurate metadata</t>
  </si>
  <si>
    <t>DCN4.090</t>
  </si>
  <si>
    <t>DCN4.090 - Hdmi2.1 packet generation</t>
  </si>
  <si>
    <t>DCN4.091</t>
  </si>
  <si>
    <t>DCN4.091 - Hdmi2.1 timing support</t>
  </si>
  <si>
    <t>DCN4.092</t>
  </si>
  <si>
    <t>DCN4.092 - Dp1.4</t>
  </si>
  <si>
    <t>DCN4.093</t>
  </si>
  <si>
    <t>DCN4.093 - Dp1.4 mst</t>
  </si>
  <si>
    <t>DCN4.094</t>
  </si>
  <si>
    <t>DCN4.094 - Dp dynamic metadata</t>
  </si>
  <si>
    <t>DCN4.095</t>
  </si>
  <si>
    <t>DCN4.095 - Aux and i2c</t>
  </si>
  <si>
    <t>DCN4.096</t>
  </si>
  <si>
    <t>DCN4.096 - Hpd</t>
  </si>
  <si>
    <t>DCN4.097</t>
  </si>
  <si>
    <t>DCN4.097 - Hdcp</t>
  </si>
  <si>
    <t>DCN4.098</t>
  </si>
  <si>
    <t>DCN4.098 - Encryption required control in otg</t>
  </si>
  <si>
    <t>DCN4.099</t>
  </si>
  <si>
    <t>DCN4.099 - Global time code</t>
  </si>
  <si>
    <t>DCN4.100</t>
  </si>
  <si>
    <t>DCN4.100 - Jack presence support</t>
  </si>
  <si>
    <t>DCN4.101</t>
  </si>
  <si>
    <t>DCN4.101 - Hardware silient stream support</t>
  </si>
  <si>
    <t>DCN4.102</t>
  </si>
  <si>
    <t>DCN4.102 - Latency hiding</t>
  </si>
  <si>
    <t>DCN4.103</t>
  </si>
  <si>
    <t>DCN4.103 - DP HDMI HDCP for audio</t>
  </si>
  <si>
    <t>DCN4.104</t>
  </si>
  <si>
    <t>DCN4.104 - Audio controller cg and deep sleep</t>
  </si>
  <si>
    <t>DCN4.105</t>
  </si>
  <si>
    <t>DCN4.105 - External event and unsolicited response</t>
  </si>
  <si>
    <t>DCN4.106</t>
  </si>
  <si>
    <t>DCN4.106 - Dwb support 1080p60 444 32bpp</t>
  </si>
  <si>
    <t>DCN4.107</t>
  </si>
  <si>
    <t>DCN4.107 - RSMU-RBBM-DC Interface Support</t>
  </si>
  <si>
    <t>DCN4.108</t>
  </si>
  <si>
    <t>DCN4.108 - Dmcu secure fw loading</t>
  </si>
  <si>
    <t>DCN4.109</t>
  </si>
  <si>
    <t>DCN4.109 - Interrupts Handler client support</t>
  </si>
  <si>
    <t>DCN4.110</t>
  </si>
  <si>
    <t>DCN4.110 - Fine grain security gasket</t>
  </si>
  <si>
    <t>DCN4.111</t>
  </si>
  <si>
    <t>DCN4.111 - Db register update</t>
  </si>
  <si>
    <t>DCN4.112</t>
  </si>
  <si>
    <t>DCN4.112 - Triple buffered register update</t>
  </si>
  <si>
    <t>DCN4.113</t>
  </si>
  <si>
    <t>DCN4.113 - Digital bypass</t>
  </si>
  <si>
    <t>DCN4.114</t>
  </si>
  <si>
    <t>DCN4.114 - Basic pixel unpacking</t>
  </si>
  <si>
    <t>DCN4.115</t>
  </si>
  <si>
    <t>DCN4.115 - Generic infoframe packet for DP and HDMI</t>
  </si>
  <si>
    <t>DCN4.116</t>
  </si>
  <si>
    <t>DCN4.116 - Rgbe alpha pixel format</t>
  </si>
  <si>
    <t>DCN4.117</t>
  </si>
  <si>
    <t>DCN4.117 - Large DET VM row buffer</t>
  </si>
  <si>
    <t>DCN4.118</t>
  </si>
  <si>
    <t>DCN4.118 - New display phy power down seq</t>
  </si>
  <si>
    <t>DCN4.119</t>
  </si>
  <si>
    <t>DCN4.119 - DFS bypass switching for DISPCLK and DPPCLK</t>
  </si>
  <si>
    <t>DCN4.120</t>
  </si>
  <si>
    <t>DCN4.120 - Hbr3 Vmin 0.65v</t>
  </si>
  <si>
    <t>DCN4.121</t>
  </si>
  <si>
    <t>DCN4.121 - Register access and timeout Support</t>
  </si>
  <si>
    <t>DCN4.122</t>
  </si>
  <si>
    <t>DCN4.122 - Unallocated space access</t>
  </si>
  <si>
    <t>DCN4.123</t>
  </si>
  <si>
    <t>DCN4.123 - MPCC Gamut Remap</t>
  </si>
  <si>
    <t>DCN4.124</t>
  </si>
  <si>
    <t>DCN4.124 - Pre-dealpha</t>
  </si>
  <si>
    <t>DCN4.125</t>
  </si>
  <si>
    <t>DCN4.125 - Post-scaler csc</t>
  </si>
  <si>
    <t>DCN4.126</t>
  </si>
  <si>
    <t>DCN4.126 - Pre-realpha</t>
  </si>
  <si>
    <t>DCN4.127</t>
  </si>
  <si>
    <t>DCN4.127 - Gamma correction</t>
  </si>
  <si>
    <t>DCN4.128</t>
  </si>
  <si>
    <t>DCN4.128 - Larger viewport size</t>
  </si>
  <si>
    <t>DCN4.129</t>
  </si>
  <si>
    <t>DCN4.129 - Dcc</t>
  </si>
  <si>
    <t>DCN4.130</t>
  </si>
  <si>
    <t>DCN4.130 - Mpc 3dlut</t>
  </si>
  <si>
    <t>DCN4.131</t>
  </si>
  <si>
    <t>DCN4.131 - 2 dscl configurable filter kernels</t>
  </si>
  <si>
    <t>DCN4.132</t>
  </si>
  <si>
    <t xml:space="preserve">DCN4.132 - Increased dscl line buffer size
</t>
  </si>
  <si>
    <t>DCN4.133</t>
  </si>
  <si>
    <t>DCN4.133 - 1dlut</t>
  </si>
  <si>
    <t>DCN4.134</t>
  </si>
  <si>
    <t>DCN4.134 - Out gamma</t>
  </si>
  <si>
    <t>DCN4.135</t>
  </si>
  <si>
    <t>DCN4.135 - Dmcub zfb support</t>
  </si>
  <si>
    <t>DCN4.136</t>
  </si>
  <si>
    <t>DCN4.136 - edp1.5 auxless alpm</t>
  </si>
  <si>
    <t>DCN4.137</t>
  </si>
  <si>
    <t xml:space="preserve">DCN4.137 - DP2.0
</t>
  </si>
  <si>
    <t>DCN4.138</t>
  </si>
  <si>
    <t>DCN4.138 - Display PHY</t>
  </si>
  <si>
    <t>DCN4.139</t>
  </si>
  <si>
    <t>DCN4.139 - Single pipe 6k@60</t>
  </si>
  <si>
    <t>DCN4.140</t>
  </si>
  <si>
    <t xml:space="preserve">DCN4.140 - Fclk pstate change
</t>
  </si>
  <si>
    <t>DCN4.141</t>
  </si>
  <si>
    <t>DCN4.141 - Data-poison status at memory interface</t>
  </si>
  <si>
    <t>DCN4.142</t>
  </si>
  <si>
    <t xml:space="preserve">DCN4.142 - Scalable crb and metatag buf size
</t>
  </si>
  <si>
    <t>DCN4.143</t>
  </si>
  <si>
    <t xml:space="preserve">DCN4.143 - Increased number of outstanding sdp requests
</t>
  </si>
  <si>
    <t>DCN4.144</t>
  </si>
  <si>
    <t>DCN4.144 - Vm pattern generator</t>
  </si>
  <si>
    <t>DCN4.145</t>
  </si>
  <si>
    <t>DCN4.145 - Entire dcn harvesting</t>
  </si>
  <si>
    <t>DCN4.146</t>
  </si>
  <si>
    <t>DCN4.146 - ASSR encryption support on DP 128b132b</t>
  </si>
  <si>
    <t>DCN4.147</t>
  </si>
  <si>
    <t>DCN4.147 - Auxless ALPM for DP2</t>
  </si>
  <si>
    <t>DCN4.148</t>
  </si>
  <si>
    <t>DCN4.148 - Support per OTG disable fuse</t>
  </si>
  <si>
    <t>DCN4.149</t>
  </si>
  <si>
    <t>DCN4.149 - Dchub sdp 2-bit no-alloc signaling</t>
  </si>
  <si>
    <t>DCN4.150</t>
  </si>
  <si>
    <t>DCN4.150 - Dpp Recin width and height upate</t>
  </si>
  <si>
    <t>DCN4.151</t>
  </si>
  <si>
    <t>DCN4.151 - Dmcub mailbox</t>
  </si>
  <si>
    <t>DCN4.152</t>
  </si>
  <si>
    <t>DCN4.152 - G7 PPT - Chiplet</t>
  </si>
  <si>
    <t>DCN4.153</t>
  </si>
  <si>
    <t>DCN4.153 - ABM Enhancement</t>
  </si>
  <si>
    <t>DCN4.154</t>
  </si>
  <si>
    <t>DCN4.154 - Pixel corruption issue fix</t>
  </si>
  <si>
    <t>DCN4.155</t>
  </si>
  <si>
    <t>DCN4.155 - HDMI port I2C VOL level</t>
  </si>
  <si>
    <t>4.0.1</t>
  </si>
  <si>
    <t>DCN4.132 - Increased dscl line buffer size</t>
  </si>
  <si>
    <t>DCN4.156</t>
  </si>
  <si>
    <t>DCN4.156 - mpc top layer pass through</t>
  </si>
  <si>
    <t>DCN4.157</t>
  </si>
  <si>
    <t>DCN4.157 - Stereo format blending</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</si>
  <si>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</si>
  <si>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</si>
  <si>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</si>
  <si>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</si>
  <si>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</si>
  <si>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</si>
  <si>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</si>
  <si>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DCN4.021,
DCN4.025,
DCN4.108</t>
  </si>
  <si>
    <t>DCN4.021 - Dchubbub wm change support,
DCN4.025 - HW rotation and mirroring,
DCN4.108 - Dmcu secure fw loading</t>
  </si>
  <si>
    <t>Rotation &amp; Mirroring Test</t>
  </si>
  <si>
    <t>DCHB004</t>
  </si>
  <si>
    <t>DCN4.039,
DCN4.144,
DCN4.158,
DCN4.026,
DCN4.027
DCN4.117</t>
  </si>
  <si>
    <t>DCN4.039 - VM support,
DCN4.144 - Vm pattern generator,
DCN4.158 - 4 levels gpuvm,
DCN4.026 - Immediate Flip,
DCN4.027 - Vsync Flip
DCN4.117 - Large DET VM row buffer</t>
  </si>
  <si>
    <t>Basic Flip Test</t>
  </si>
  <si>
    <t>DCHB005</t>
  </si>
  <si>
    <t>Pre-si:
FPGA: dchb5.1
N-1: others</t>
  </si>
  <si>
    <t>DCN4.026,
DCN4.027</t>
  </si>
  <si>
    <t>DCN4.026 - Immediate Flip,
DCN4.027 - Vsync Flip</t>
  </si>
  <si>
    <t>Stereoscopic Flip Test</t>
  </si>
  <si>
    <t>DCHB006</t>
  </si>
  <si>
    <t>Pre-si:
FPGA: dchb6.1
N-1: others</t>
  </si>
  <si>
    <t>DCN4.028,
DCN4.025
DCN4.128</t>
  </si>
  <si>
    <t>DCN4.028 - GSL,
DCN4.025 - HW rotation and mirroring
DCN4.128 - Larger viewport size</t>
  </si>
  <si>
    <t>Viewport Panning Test</t>
  </si>
  <si>
    <t>DCHB007</t>
  </si>
  <si>
    <t>Immediate Flip Stress Test</t>
  </si>
  <si>
    <t>DCHB008</t>
  </si>
  <si>
    <t>FPGA too much time
N-1 passed</t>
  </si>
  <si>
    <t>NV48-DCN-029</t>
  </si>
  <si>
    <t>[DCHUB]Reader Line Position Support</t>
  </si>
  <si>
    <t>Reader Line Position Test</t>
  </si>
  <si>
    <t>DCHB011</t>
  </si>
  <si>
    <t>DCN4.030,
DCN4.029</t>
  </si>
  <si>
    <t>DCN4.030 - GFX Tiling
DCN4.029 - Linear and 2d-tiled surface</t>
  </si>
  <si>
    <t>GFX12 Tiling/Swizzle Modes Test</t>
  </si>
  <si>
    <t>DCHB014</t>
  </si>
  <si>
    <t>Pre-si:
FPGA: dchb14.1
N-1: others</t>
  </si>
  <si>
    <t>DCN4.032
DCN4.034,
DCN4.036
DCN4.149</t>
  </si>
  <si>
    <t>DCN4.032 - Cab
DCN4.034 - Uclk pstate change using mall,
DCN4.036 - Sub-viewport mall prefetch
DCN4.149 - Dchub sdp 2-bit no-alloc signaling</t>
  </si>
  <si>
    <t>UCLK PState change with MALL at sub-viewport mode Test</t>
  </si>
  <si>
    <t>DCHB017</t>
  </si>
  <si>
    <t>Tserver</t>
  </si>
  <si>
    <t>tserver passed</t>
  </si>
  <si>
    <t>DCN4.032 - Cab</t>
  </si>
  <si>
    <t>MALL Static Screen CAB Basic test</t>
  </si>
  <si>
    <t>DCHB023</t>
  </si>
  <si>
    <t xml:space="preserve">
DCN4.039,
DCN4.158,
DCN4.026,
DCN4.027</t>
  </si>
  <si>
    <t>DCN4.039 - VM support,
DCN4.158 - 4 levels gpuvm,
DCN4.026 - Immediate Flip,
DCN4.027 - Vsync Flip</t>
  </si>
  <si>
    <t>Advanced Flip Test</t>
  </si>
  <si>
    <t>DCHB021</t>
  </si>
  <si>
    <t>DCHB21.7 crc mismatch</t>
  </si>
  <si>
    <t>Display Surface TMZ Test</t>
  </si>
  <si>
    <t>DCHB030</t>
  </si>
  <si>
    <t>pass on emulator
./tserverlite -cf=dcn.cf -test=dchb30.2 -gpu_copyengine=sdma_sysmem -sdma_copysize=32 -sdma_rb_size=256B -vm -oss_timeout=20000 -oss_verbose=2 -tcorelog</t>
  </si>
  <si>
    <t>Colour Component Crossbar Test</t>
  </si>
  <si>
    <t>DCHB033</t>
  </si>
  <si>
    <t>FPGA too much time</t>
  </si>
  <si>
    <t>DCN4.039
DCN4.144</t>
  </si>
  <si>
    <t>DCN4.039 - VM support
DCN4.144 - Vm pattern generator</t>
  </si>
  <si>
    <t>Basic Virtual Memory(GPUVM) Testing</t>
  </si>
  <si>
    <t>DCHB022</t>
  </si>
  <si>
    <t>dchb22.1,101,201,998,999 pass</t>
  </si>
  <si>
    <t>DCN4.004,
DCN4.005,
DCN4.139
DCN4.006
DCN4.022
DCN4.023
DCN4.009
DCN4.135</t>
  </si>
  <si>
    <t>DCN4.004 - Support 16k8k@60
DCN4.005 - Support 6k60,
DCN4.139 - Single pipe 6k@60,
DCN4.006 - Max pixel rate single pipe
DCN4.022 - Dram self-refresh and cstate and stutter
DCN4.023 - Stutter efficiency
DCN4.009 - 64K surface pitch
DCN4.135 - Dmcub zfb support</t>
  </si>
  <si>
    <t>DPP</t>
  </si>
  <si>
    <t>Display modeset test</t>
  </si>
  <si>
    <t>disp.smoke.modeset</t>
  </si>
  <si>
    <t xml:space="preserve">3DLUT Fast loading </t>
  </si>
  <si>
    <t>p2</t>
  </si>
  <si>
    <t>DCHB062</t>
  </si>
  <si>
    <t>Distributed dcc</t>
  </si>
  <si>
    <t>DCHB064</t>
  </si>
  <si>
    <t>CNVC Dynamic Pixel Expansion Test</t>
  </si>
  <si>
    <t>DPP002</t>
  </si>
  <si>
    <t>DCN4.041 - Cursor</t>
  </si>
  <si>
    <t>Stereoscopic Cursor Test</t>
  </si>
  <si>
    <t>DPP005</t>
  </si>
  <si>
    <t>Scaler Hardcoded 2-Tap Sharpening Test</t>
  </si>
  <si>
    <t>DPP008</t>
  </si>
  <si>
    <t>DCN4.055,
DCN4.057,
DCN4.049,
DCN4.048
DCN4.119
DCN4.152
DCN4.053
DCN4.052</t>
  </si>
  <si>
    <t>DCN4.055 - Scale underscan and overscan,
DCN4.057 - Scale boundary,
DCN4.049 - Downscale,
DCN4.048 - Prescale linearization
DCN4.119 - DFS bypass switching for DISPCLK and DPPCLK
DCN4.152 - G7 PPT - Chiplet
DCN4.053 - Edge adaptive scaler and sharpening
DCN4.052 - Scale sharpening</t>
  </si>
  <si>
    <t>Scaler N-Tap Scaling Test</t>
  </si>
  <si>
    <t>DPP009</t>
  </si>
  <si>
    <t>5 more variations for EASF and ImgSharpener
pass on N-1, need verify case 1 on FPGA</t>
  </si>
  <si>
    <t>DCN4.058
DCN4.132</t>
  </si>
  <si>
    <t>DCN4.058 - LB dynamic allocation and partition
DCN4.132 - Increased dscl line buffer size</t>
  </si>
  <si>
    <t>Line Buffer Memory Size Test</t>
  </si>
  <si>
    <t>DPP010</t>
  </si>
  <si>
    <t>Pre-si:
FPGA: DPP10.1
Assertion `m_impl-&gt;m_feature_values.find(feature) != m_impl-&gt;m_feature_values.end()</t>
  </si>
  <si>
    <t>Color Keyer Alpha Generation Test</t>
  </si>
  <si>
    <t>DPP024</t>
  </si>
  <si>
    <t>Alpha Expansion LUT Test</t>
  </si>
  <si>
    <t>DPP031</t>
  </si>
  <si>
    <t>DCN4.048,
DCN4.049,
DCN4.057，
DCN4.051，
DCN4.050，
DCN4.055
DCN4.150
DCN4.135</t>
  </si>
  <si>
    <t>DCN4.048 - Prescale linearization,
DCN4.049 - Downscale,
DCN4.057 - Scale boundary,
DCN4.051 - Alpha scale,
DCN4.050 - Upscale,
DCN4.055 - Scale underscan and overscan
DCN4.150 - Dpp Recin width and height update
DCN4.135 - Dmcub zfb support</t>
  </si>
  <si>
    <t>Scaler Scenario Test</t>
  </si>
  <si>
    <t>DPP034</t>
  </si>
  <si>
    <t>core dump</t>
  </si>
  <si>
    <t>Stereoscopic Scaling Test</t>
  </si>
  <si>
    <t>DPP036</t>
  </si>
  <si>
    <t>OPTC underflow
crc mismatch</t>
  </si>
  <si>
    <t>De-alpha and Bias Test</t>
  </si>
  <si>
    <t>DPP037</t>
  </si>
  <si>
    <t>FCNV Clamp to Positive Test</t>
  </si>
  <si>
    <t>DPP042</t>
  </si>
  <si>
    <t xml:space="preserve">DCN4.041 </t>
  </si>
  <si>
    <t>Cursor Blending Stereoscopic Test</t>
  </si>
  <si>
    <t>DPP045</t>
  </si>
  <si>
    <t>crc mismatch</t>
  </si>
  <si>
    <t>CNVC Pre-DeAlpha Test</t>
  </si>
  <si>
    <t>DPP046</t>
  </si>
  <si>
    <t>CNVC PreCSC S2.13 Coefcient Format Test</t>
  </si>
  <si>
    <t>DPP047</t>
  </si>
  <si>
    <t>CNVC PreCSC S3.12 Coefficient Format Test</t>
  </si>
  <si>
    <t>DPP048</t>
  </si>
  <si>
    <t>DCN4.062
DCN4.125</t>
  </si>
  <si>
    <t>DCN4.062 - Output csc
DCN4.125 - Post-scaler csc</t>
  </si>
  <si>
    <t>CM PostCSC S2.13 Coefcient Format Test</t>
  </si>
  <si>
    <t>DPP049</t>
  </si>
  <si>
    <t>CM PostCSC S3.12 Coefficient Format Test</t>
  </si>
  <si>
    <t>DPP050</t>
  </si>
  <si>
    <t>DCN4.043，
DCN4.126</t>
  </si>
  <si>
    <t>DCN4.043 - De-alpha and bias,
DCN4.126 - Pre-realpha</t>
  </si>
  <si>
    <t>Pre-ReAlpha and De-Alpha Test</t>
  </si>
  <si>
    <t>DPP052</t>
  </si>
  <si>
    <t>CM Gamma Correction Test</t>
  </si>
  <si>
    <t>DPP053</t>
  </si>
  <si>
    <t>Win10 cursor Test</t>
  </si>
  <si>
    <t>DPP055</t>
  </si>
  <si>
    <t>DCN4.156,
DCN4.060
DCN4.014
DCN4.148</t>
  </si>
  <si>
    <t>DCN4.156 - mpc top layer pass through,
DCN4.060 - Multi-plane composing with alpha
DCN4.014 - Sram low power mode
DCN4.148 - Support per OTG disable fuse</t>
  </si>
  <si>
    <t>MPC</t>
  </si>
  <si>
    <t>MPCC Mode Test</t>
  </si>
  <si>
    <t>MPC003</t>
  </si>
  <si>
    <t>Pre-si:
FPGA: MPC3.1
(core dumped)
N-1: others</t>
  </si>
  <si>
    <t>MPCC Stereo Mixing Test</t>
  </si>
  <si>
    <t>MPC005</t>
  </si>
  <si>
    <t>Alpha Blending Per-Layer Gain Test</t>
  </si>
  <si>
    <t>MPC007</t>
  </si>
  <si>
    <t>MPC Output CSC Test</t>
  </si>
  <si>
    <t>MPC009</t>
  </si>
  <si>
    <t>MPC Denormalization and Clamping Test</t>
  </si>
  <si>
    <t>MPC010</t>
  </si>
  <si>
    <t>MPC Gamut Remap Test</t>
  </si>
  <si>
    <t>MPC012</t>
  </si>
  <si>
    <t>all passed on tserver</t>
  </si>
  <si>
    <t>MPC Gamut Remap S3.12 Coefficient Format Test</t>
  </si>
  <si>
    <t>MPC013</t>
  </si>
  <si>
    <t>DCN4.067,
DCN4.061</t>
  </si>
  <si>
    <t>DCN4.067 - Fmt subsample,
DCN4.061 - Output Gamma</t>
  </si>
  <si>
    <t>MPCC Extend Output Gamma Test</t>
  </si>
  <si>
    <t>MPC015</t>
  </si>
  <si>
    <t>Pre-si:
FPGA: MPC15.1
(crc mismatch)
N-1: others</t>
  </si>
  <si>
    <t>MPCC 3D LUT test</t>
  </si>
  <si>
    <t>MPC017</t>
  </si>
  <si>
    <t>DCN4.017
DCN4.153</t>
  </si>
  <si>
    <t>DCN4.017 - Abm
DCN4.153 - ABM Enhancement</t>
  </si>
  <si>
    <t>ABM</t>
  </si>
  <si>
    <t>ABM Histogram</t>
  </si>
  <si>
    <t>ABM066</t>
  </si>
  <si>
    <t>ABM Luma Statistics</t>
  </si>
  <si>
    <t>ABM067</t>
  </si>
  <si>
    <t>legacy all passed on tserver</t>
  </si>
  <si>
    <t>FMT</t>
  </si>
  <si>
    <t>FMT Truncation Test</t>
  </si>
  <si>
    <t>FMT001</t>
  </si>
  <si>
    <t>FMT Basic Spatial Dither Test</t>
  </si>
  <si>
    <t>FMT002</t>
  </si>
  <si>
    <t>Pre-si:
FPGA: FMT2.1
N-1: others</t>
  </si>
  <si>
    <t>FMT Spatial Dither Mode Test</t>
  </si>
  <si>
    <t>FMT003</t>
  </si>
  <si>
    <t>FMT Frame Random Spatial Dither Test</t>
  </si>
  <si>
    <t>FMT004</t>
  </si>
  <si>
    <t>FMT Spatial Dither Frame Counter Test</t>
  </si>
  <si>
    <t>FMT005</t>
  </si>
  <si>
    <t>FMT Temporal Dither Test</t>
  </si>
  <si>
    <t>FMT006</t>
  </si>
  <si>
    <t>Pre-si:
FPGA: FMT6.1
N-1: others</t>
  </si>
  <si>
    <t>FMT Clamping Test</t>
  </si>
  <si>
    <t>FMT007</t>
  </si>
  <si>
    <t>FMT 4:2:2 Subsampling Test</t>
  </si>
  <si>
    <t>FMT009</t>
  </si>
  <si>
    <t>FMT 4:2:0 Basic Subsampling Test</t>
  </si>
  <si>
    <t>FMT010</t>
  </si>
  <si>
    <t xml:space="preserve"> FMT 4:2:0 Stereoscopic (Side-by-Side Half) Subsampling Test</t>
  </si>
  <si>
    <t>FMT011</t>
  </si>
  <si>
    <t>Segmentation fault</t>
  </si>
  <si>
    <t>FMT 4:2:2 Subsampling with ODM Combine Test</t>
  </si>
  <si>
    <t>FMT014</t>
  </si>
  <si>
    <t>Basic Subsampling with ODM Combine Test</t>
  </si>
  <si>
    <t>FMT015</t>
  </si>
  <si>
    <t>DCN4.071,
DCN4.083,
DCN4.073,
NV48-DCN-xxx
DCN4.072</t>
  </si>
  <si>
    <t>DCN4.071 - DSC for DP,
DCN4.083 - Hdmi2.1 frl dsc vrr fva and qms,
DCN4.073 - DP FEC support,
[OPP]DSC Resource Manager Support
DCN4.072 - DSC area optimization</t>
  </si>
  <si>
    <t>DSC</t>
  </si>
  <si>
    <t>Multi-Stream DSC Test</t>
  </si>
  <si>
    <t>DSC004</t>
  </si>
  <si>
    <t>DCN4.074
DCN4.075</t>
  </si>
  <si>
    <t>DCN4.074 - ODM Combine 
DCN4.075 - ODM Combine improvement</t>
  </si>
  <si>
    <t>ODM</t>
  </si>
  <si>
    <t>ODM Combine Mode Basic Test</t>
  </si>
  <si>
    <t>ODM001</t>
  </si>
  <si>
    <t>Pre-si:
FPGA: ODM1.1
N-1: others</t>
  </si>
  <si>
    <t>ODM Combine Mode DSC Test</t>
  </si>
  <si>
    <t>ODM003</t>
  </si>
  <si>
    <t>Pre-si:
FPGA: ODM3.1
N-1: others</t>
  </si>
  <si>
    <t>ODM Combine Mode with HBR3 Test </t>
  </si>
  <si>
    <t>ODM005</t>
  </si>
  <si>
    <t>ODM Combine Mode (4:1) with DSC Test (DP DIO and HPO)</t>
  </si>
  <si>
    <t>ODM004</t>
  </si>
  <si>
    <t>Pre-si:
FPGA: ODM4.1
N-1: others</t>
  </si>
  <si>
    <t>DCN4.076 - Dynamic odm</t>
  </si>
  <si>
    <t>Dynamic Switch Of ODM Test</t>
  </si>
  <si>
    <t>ODM007</t>
  </si>
  <si>
    <t>Pre-si:
FPGA: ODM7.1
N-1: others</t>
  </si>
  <si>
    <t>ODM Combine Mode (3:1) for DP/DP2/FRL</t>
  </si>
  <si>
    <t>ODM013</t>
  </si>
  <si>
    <t>Pre-si:
FPGA: ODM13.1
N-1: others</t>
  </si>
  <si>
    <t>DCN4.173</t>
  </si>
  <si>
    <t>DCN4.173 - Forced vsync support</t>
  </si>
  <si>
    <t>OTG</t>
  </si>
  <si>
    <t>OTG Force VSYNC Next Line Test</t>
  </si>
  <si>
    <t>OTG007</t>
  </si>
  <si>
    <t>Pre-si:
FPGA: OTG7.1
N-1: others</t>
  </si>
  <si>
    <t>OTG Frame-Sequential Stereoscopic Test</t>
  </si>
  <si>
    <t>OTG009</t>
  </si>
  <si>
    <t>Pre-si:
FPGA: OTG9.1
N-1: others</t>
  </si>
  <si>
    <t>DCN4.172</t>
  </si>
  <si>
    <t>DCN4.172 - Otg trigger</t>
  </si>
  <si>
    <t>OTG Trigger Detection Test</t>
  </si>
  <si>
    <t>OTG011</t>
  </si>
  <si>
    <t>DCN4.175</t>
  </si>
  <si>
    <t>DCN4.175 - Forced H and V counter</t>
  </si>
  <si>
    <t>OTG Force Count Test</t>
  </si>
  <si>
    <t>OTG013</t>
  </si>
  <si>
    <t>DCN4.081
DCN4.035</t>
  </si>
  <si>
    <t>DCN4.081 - DRR
DCN4.035 - Pstate change with drr</t>
  </si>
  <si>
    <t>OTG Dynamic Refresh Rate Test</t>
  </si>
  <si>
    <t>OTG014</t>
  </si>
  <si>
    <t>Pre-si:
FPGA: OTG14.1
N-1: others</t>
  </si>
  <si>
    <t>OTG Pixel Repetition Test</t>
  </si>
  <si>
    <t>OTG017</t>
  </si>
  <si>
    <t>segment fault</t>
  </si>
  <si>
    <t>Underflow Recovery Test</t>
  </si>
  <si>
    <t>OTG025</t>
  </si>
  <si>
    <t>Assertion `pixclk' failed.</t>
  </si>
  <si>
    <t>DCN4.176</t>
  </si>
  <si>
    <t>DCN4.176 - Static screen</t>
  </si>
  <si>
    <t>OTG Static Screen Event Test</t>
  </si>
  <si>
    <t>OTG026</t>
  </si>
  <si>
    <t>OTG should take frames = 59 to re-enter static screen state. Actually took 0 frames</t>
  </si>
  <si>
    <t>DCN4.064
DCN4.169</t>
  </si>
  <si>
    <t>DCN4.064 - Video blanking generation
DCN4.169 - Dpg</t>
  </si>
  <si>
    <t>Display Pattern Generator Test</t>
  </si>
  <si>
    <t>OTG027</t>
  </si>
  <si>
    <t>DPG with ODM test</t>
  </si>
  <si>
    <t>OTG029</t>
  </si>
  <si>
    <t xml:space="preserve">DCN4.080，
DCN4.109 </t>
  </si>
  <si>
    <t>DCN4.080 - Vstartup Vupdate and Vready Interrupt,
DCN4.109 - Interrupts Handler client support</t>
  </si>
  <si>
    <t>OTG VUPDATE Interrupt Test</t>
  </si>
  <si>
    <t>OTG800</t>
  </si>
  <si>
    <t>OTG0 VUPDATE interrupt of falling edge sticky bit erroneously stayed set after triggering pulse-based interrupt (interrupt enabled)</t>
  </si>
  <si>
    <t xml:space="preserve">DCN4.080，
DCN4.174 </t>
  </si>
  <si>
    <t>DCN4.080 - Vstartup Vupdate and Vready Interrupt,
DCN4.174 - H, V and frame count snapshot</t>
  </si>
  <si>
    <t>OTG Snapshot Interrupt Test</t>
  </si>
  <si>
    <t>OTG801</t>
  </si>
  <si>
    <t>DCN4.109 ，
DCN4.172</t>
  </si>
  <si>
    <t>DCN4.109 - Interrupts Handler client support
DCN4.172 - Otg trigger</t>
  </si>
  <si>
    <t>OTG TRIGA Interrupt Test</t>
  </si>
  <si>
    <t>OTG804</t>
  </si>
  <si>
    <t>OTG TRIGB Interrupt Test</t>
  </si>
  <si>
    <t>OTG805</t>
  </si>
  <si>
    <t>OTG VSTARTUP Interrupt Test</t>
  </si>
  <si>
    <t>OTG809</t>
  </si>
  <si>
    <t>OTG VREADY Interrupt Test</t>
  </si>
  <si>
    <t>OTG810</t>
  </si>
  <si>
    <t>DCN4.095
DCN4.096
DCN4.155</t>
  </si>
  <si>
    <t>DCN4.095 - Aux and i2c
DCN4.096 - Hpd
DCN4.155 - HDMI port I2C VOL level</t>
  </si>
  <si>
    <t>Aux Channel DPCD Read/Write Tests</t>
  </si>
  <si>
    <t>DIO003</t>
  </si>
  <si>
    <t>DCN4.038,
DCN4.082,
NV48-DCN-063</t>
  </si>
  <si>
    <t>DCN4.038 - Stereoscopic display,
DCN4.082 - HDMI 1.4 and 2.0,
[OPP]Stereo Dummy Data Insertion Support</t>
  </si>
  <si>
    <t>HDMI 1.4 Frame Packing 3D Test</t>
  </si>
  <si>
    <t>DIO220</t>
  </si>
  <si>
    <t>HDMI 2.0 Scrambler Test</t>
  </si>
  <si>
    <t>DIO221</t>
  </si>
  <si>
    <t>HDMI Basic Output Test on PHYA</t>
  </si>
  <si>
    <t>DIO217</t>
  </si>
  <si>
    <t>HDMI Random Audio Test</t>
  </si>
  <si>
    <t>DIO224</t>
  </si>
  <si>
    <t>HDMI Ramp Audio Test</t>
  </si>
  <si>
    <t>DIO225</t>
  </si>
  <si>
    <t>HDMI Azalia Basic Audio Test</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</si>
  <si>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</si>
  <si>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</si>
  <si>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</si>
  <si>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</si>
  <si>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</si>
  <si>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</si>
  <si>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</si>
  <si>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</si>
  <si>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</si>
  <si>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</si>
  <si>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</si>
  <si>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</si>
  <si>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</si>
  <si>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</si>
  <si>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</si>
  <si>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Deep Color Azalia 2.0 Channel HD Audio Test</t>
  </si>
  <si>
    <t>DIO236</t>
  </si>
  <si>
    <t>HDMI Deep Color Azalia 7.1 Channel HD Audio Test</t>
  </si>
  <si>
    <t>DIO237</t>
  </si>
  <si>
    <t>HDMI Deep Color Azalia HBR Audio Test</t>
  </si>
  <si>
    <t>DIO238</t>
  </si>
  <si>
    <t>HDMI Azalia Audio Test</t>
  </si>
  <si>
    <t>DIO253</t>
  </si>
  <si>
    <t>DP Azalia Audio Test</t>
  </si>
  <si>
    <t>DIO352</t>
  </si>
  <si>
    <t>PHYE core dump</t>
  </si>
  <si>
    <t>DP Frame Packing 3D Test</t>
  </si>
  <si>
    <t>DIO365</t>
  </si>
  <si>
    <t>DP Frame Packing 3D Test with Scaling</t>
  </si>
  <si>
    <t>DIO366</t>
  </si>
  <si>
    <t>DisplayPort Ranged Timing H/V TOTAL Change Test</t>
  </si>
  <si>
    <t>DIO367</t>
  </si>
  <si>
    <t>DisplayPort Ranged Timing Pixel Rate Change Test</t>
  </si>
  <si>
    <t>DIO368</t>
  </si>
  <si>
    <t>DCN4.092,
DCN4.138
NV48-DCN-092</t>
  </si>
  <si>
    <t>DCN4.092 - Dp1.4,
[DIO]usb-c alt mode
DCN4.138 - Display PHY</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</si>
  <si>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</si>
  <si>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</si>
  <si>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</si>
  <si>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</si>
  <si>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</si>
  <si>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</si>
  <si>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</si>
  <si>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</si>
  <si>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</si>
  <si>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</si>
  <si>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</si>
  <si>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</si>
  <si>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DCN4.092,
NV48-DCN-092
DCN4.138</t>
  </si>
  <si>
    <t>DP 5.40GHz 1 Lane Test</t>
  </si>
  <si>
    <t>DIO375</t>
  </si>
  <si>
    <t>DP 5.40GHz 2 Lane Test</t>
  </si>
  <si>
    <t>DIO376</t>
  </si>
  <si>
    <t>DP 5.40GHz 4 Lane Test</t>
  </si>
  <si>
    <t>DIO377</t>
  </si>
  <si>
    <t>DCN4.092
DCN4.120
DCN4.138
NV48-DCN-092</t>
  </si>
  <si>
    <t>DCN4.092 - Dp1.4,
DCN4.120 - Hbr3 Vmin 0.65v
DCN4.138 - Display PHY
[DIO]usb-c alt mode</t>
  </si>
  <si>
    <t>DP 8.10GHz 1 Lane Test</t>
  </si>
  <si>
    <t>DIO378</t>
  </si>
  <si>
    <t>DCN4.092
DCN4.120
NV48-DCN-092</t>
  </si>
  <si>
    <t>DCN4.092 - Dp1.4,
DCN4.120 - Hbr3 Vmin 0.65v
[DIO]usb-c alt mode</t>
  </si>
  <si>
    <t>DP 8.10GHz 2 Lane Test</t>
  </si>
  <si>
    <t>DIO379</t>
  </si>
  <si>
    <t>DP 8.10GHz 4 Lane Test</t>
  </si>
  <si>
    <t>DIO380</t>
  </si>
  <si>
    <t>C10 Tx only PHY</t>
  </si>
  <si>
    <t>DIO390</t>
  </si>
  <si>
    <t>DP MST Source Test</t>
  </si>
  <si>
    <t>DIO322</t>
  </si>
  <si>
    <t>DP MST Combo Test: UNIPHYB</t>
  </si>
  <si>
    <t>DIO324</t>
  </si>
  <si>
    <t>DP MST Combo Test: UNIPHYC</t>
  </si>
  <si>
    <t>DIO325</t>
  </si>
  <si>
    <t>DisplayPort 4:2:0 Subsampling Test</t>
  </si>
  <si>
    <t>DIO381</t>
  </si>
  <si>
    <t>DisplayPort 1.4 basic output Test on PHYA</t>
  </si>
  <si>
    <t>DIO335</t>
  </si>
  <si>
    <t>DisplayPort Basic Output Test on PHYA/B</t>
  </si>
  <si>
    <t>DIO337</t>
  </si>
  <si>
    <t>DP Random Audio Test</t>
  </si>
  <si>
    <t>DIO383</t>
  </si>
  <si>
    <t>DP Ramp Audio Test</t>
  </si>
  <si>
    <t>DIO384</t>
  </si>
  <si>
    <t>DIO385</t>
  </si>
  <si>
    <t>DisplayPort Keep-alive Enable Azalia Audio Test</t>
  </si>
  <si>
    <t>DIO386</t>
  </si>
  <si>
    <t>DCN4.092
DCN4.138</t>
  </si>
  <si>
    <t>DCN4.092 - Dp1.4
DCN4.138 - Display PHY</t>
  </si>
  <si>
    <t>DisplayPort Tx-Rx CRC Test</t>
  </si>
  <si>
    <t>DIO389</t>
  </si>
  <si>
    <t>DCN4.091，
DCN4.083</t>
  </si>
  <si>
    <t>DCN4.091 - Hdmi2.1 timing support，
DCN4.083 - Hdmi2.1 frl dsc vrr fva and qms</t>
  </si>
  <si>
    <t>HPO Video Ouput test on PHYx</t>
  </si>
  <si>
    <t>DIO620</t>
  </si>
  <si>
    <t>HDMI2.1 Azalia 2.0 Channel HD Audio test</t>
  </si>
  <si>
    <t>DIO602</t>
  </si>
  <si>
    <t>HDMI2.1 Azalia 7.1 Channel HD Audio test</t>
  </si>
  <si>
    <t>DIO603</t>
  </si>
  <si>
    <t>HDMI2.1 Azalia HBR Audio test</t>
  </si>
  <si>
    <t>DIO604</t>
  </si>
  <si>
    <t>HPO Stereo test on PHYA</t>
  </si>
  <si>
    <t>DIO605</t>
  </si>
  <si>
    <t>DCN4.137
DCN4.138</t>
  </si>
  <si>
    <t>DCN4.137 - DP2.0
DCN4.138 - Display PHY</t>
  </si>
  <si>
    <t>DP2.0 10GHz 1 Lane Test</t>
  </si>
  <si>
    <t>DIO650</t>
  </si>
  <si>
    <t>DP2.0 10GHz 2 Lane Test</t>
  </si>
  <si>
    <t>DIO651</t>
  </si>
  <si>
    <t>DP2.0 10GHz 4 Lane Test</t>
  </si>
  <si>
    <t>DIO652</t>
  </si>
  <si>
    <t>DCN4.137
DCN4.138
NV48-DCN-131</t>
  </si>
  <si>
    <t>DCN4.137 - DP2.0
DCN4.138 - Display PHY
[DIO] C20 combo PHY</t>
  </si>
  <si>
    <t>DP2.0 13.5GHz 1 Lane Test</t>
  </si>
  <si>
    <t>DIO653</t>
  </si>
  <si>
    <t>DIO654</t>
  </si>
  <si>
    <t>DIO655</t>
  </si>
  <si>
    <t>DP2.0 20GHz 1 Lane Test</t>
  </si>
  <si>
    <t>DIO656</t>
  </si>
  <si>
    <t>DIO657</t>
  </si>
  <si>
    <t>DIO658</t>
  </si>
  <si>
    <t>DCN4.137 - DP2.0
[DIO] C20 combo PHY</t>
  </si>
  <si>
    <t>DP2.0 Random Audio Test</t>
  </si>
  <si>
    <t>DIO660</t>
  </si>
  <si>
    <t>DP2.0 Ramp Audio Test</t>
  </si>
  <si>
    <t>DIO661</t>
  </si>
  <si>
    <t>DP2.0 Azalia Audio Test</t>
  </si>
  <si>
    <t>DIO662</t>
  </si>
  <si>
    <t>DWB</t>
  </si>
  <si>
    <t>DWB Stereo</t>
  </si>
  <si>
    <t>DWB002</t>
  </si>
  <si>
    <t>EB</t>
  </si>
  <si>
    <t>HDCP Check Keys</t>
  </si>
  <si>
    <t>EB001</t>
  </si>
  <si>
    <t>HDCP 1.x DVI Single Link Test: PHYD</t>
  </si>
  <si>
    <t>EB117</t>
  </si>
  <si>
    <t>DCN4.097
DCN4.103
DCN4.098</t>
  </si>
  <si>
    <t>DCN4.097 - Hdcp
DCN4.103 - DP HDMI HDCP for audio
DCN4.098 - Encryption required control in otg</t>
  </si>
  <si>
    <t>HDCP 1.x HDMI with Azalia Audio Test: PHYC</t>
  </si>
  <si>
    <t>EB200</t>
  </si>
  <si>
    <t>HDCP 1.x HDMI 1.4 Frame Packing 3D with 7.1 LPCM Audio
Test: PHYD</t>
  </si>
  <si>
    <t>EB213</t>
  </si>
  <si>
    <t xml:space="preserve">DCN4.097
DCN4.098 </t>
  </si>
  <si>
    <t>DCN4.097 - Hdcp
DCN4.098 - Encryption required control in otg</t>
  </si>
  <si>
    <t>HDCP 1.x DisplayPort Test</t>
  </si>
  <si>
    <t>EB300</t>
  </si>
  <si>
    <t>DisplayPort with Audio HDCP Test</t>
  </si>
  <si>
    <t>EB302</t>
  </si>
  <si>
    <t>HDCP 2.2 DisplayPort Cipher Test</t>
  </si>
  <si>
    <t>EB303</t>
  </si>
  <si>
    <t>DCN4.105 - External event and unsolicited response
[DIO] C20 combo PHY</t>
  </si>
  <si>
    <t>CE</t>
  </si>
  <si>
    <t>Auto payload in unsolicited response</t>
  </si>
  <si>
    <t>CE005</t>
  </si>
  <si>
    <t>DCN4.104 - Audio controller cg and deep sleep
[DIO] C20 combo PHY</t>
  </si>
  <si>
    <t>Azalia Controller Clock Gating Test</t>
  </si>
  <si>
    <t>CE012</t>
  </si>
  <si>
    <t>Azalia Unsolicited Response Holding Test</t>
  </si>
  <si>
    <t>CE013</t>
  </si>
  <si>
    <t>DCN4.122,
DCN4.107</t>
  </si>
  <si>
    <t>DCN4.122 - Unallocated space access,
DCN4.107 - RSMU-RBBM-DC Interface Support</t>
  </si>
  <si>
    <t>DMU</t>
  </si>
  <si>
    <t>Unallocated Register Access Test</t>
  </si>
  <si>
    <t>DMU001</t>
  </si>
  <si>
    <t>Fine-Grained Security Gasket Test</t>
  </si>
  <si>
    <t>DMU002</t>
  </si>
  <si>
    <t>Register write/read test Failed at secure level 5/6/7</t>
  </si>
  <si>
    <t>DCN4.107,
DCN4.121</t>
  </si>
  <si>
    <t>DCN4.107 - RSMU-RBBM-DC Interface Support,
DCN4.121 - Register access and timeout Support</t>
  </si>
  <si>
    <t>Register Access Timeout Test</t>
  </si>
  <si>
    <t>DMU003</t>
  </si>
  <si>
    <t>segmentation fault</t>
  </si>
  <si>
    <t>DISP</t>
  </si>
  <si>
    <t>Display Register Double-Buffering Test</t>
  </si>
  <si>
    <t>DISP002</t>
  </si>
  <si>
    <t>Triple Buffered Register Update Test</t>
  </si>
  <si>
    <t>DISP007</t>
  </si>
  <si>
    <t>Display High Bandwidth Usage Test</t>
  </si>
  <si>
    <t>DISP005</t>
  </si>
  <si>
    <t>DCN4.140
DCN4.020
DCN4.151</t>
  </si>
  <si>
    <t>DCN4.140 - Fclk pstate change
DCN4.020 - pstate dram clock switch
DCN4.151 - Dmcub mailbox</t>
  </si>
  <si>
    <t>Memory P-State Switching at High Refresh Rate</t>
  </si>
  <si>
    <t>DISP014</t>
  </si>
  <si>
    <t>Display Non-Stream Test</t>
  </si>
  <si>
    <t>DISP016</t>
  </si>
  <si>
    <t>DLPC</t>
  </si>
  <si>
    <t>IPS Transition Test</t>
  </si>
  <si>
    <t>DLPC001</t>
  </si>
  <si>
    <t>NV48-DCN-005
NV48-DCN-006</t>
  </si>
  <si>
    <t>SRAM retention in DPP &amp; MPC to reduce restore time 
0pin retention</t>
  </si>
  <si>
    <t>IPS SRAM / 0 pin flop retention test</t>
  </si>
  <si>
    <t>DLPC002</t>
  </si>
  <si>
    <t>DCN4.003
DCN4.151</t>
  </si>
  <si>
    <t>DCN4.003 - Display mode performance
DCN4.151 - Dmcub mailbox</t>
  </si>
  <si>
    <t>Display multiple pipe test</t>
  </si>
  <si>
    <t>disp.smoke.multi_stream</t>
  </si>
  <si>
    <t>DCN4.003
DCN4.024
DCN4.152
DCN4.142</t>
  </si>
  <si>
    <t>DCN4.003 - Display mode performance
DCN4.024 - QoS urgent latency
DCN4.152 - G7 PPT - Chiplet
DCN4.142 - Scalable crb and metatag buf size</t>
  </si>
  <si>
    <t>MSA</t>
  </si>
  <si>
    <t>DPP Basic Pixel Unpacking Test</t>
  </si>
  <si>
    <t>DPP001</t>
  </si>
  <si>
    <t xml:space="preserve">PLEASE DO NOT CROSS THIS LINE.   Insert New Rows OR Copied Cells "Above" The Last Known Good Row Only So Each Copied Cells &amp; Rows Still Contains The Right Formulas (Similar Concept for Removing or Deleting Rows)        </t>
  </si>
  <si>
    <t xml:space="preserve"> </t>
  </si>
  <si>
    <t>r</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</si>
  <si>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</si>
  <si>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</si>
  <si>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Reason why this feature is not Entitled</t>
  </si>
  <si>
    <t>Reason why the feature is Entitled while not Commited</t>
  </si>
  <si>
    <t>Not covered by DIAG</t>
  </si>
  <si>
    <t>w7</t>
  </si>
  <si>
    <t>w6</t>
  </si>
  <si>
    <t>w8</t>
  </si>
  <si>
    <t>w1</t>
  </si>
  <si>
    <t>w3</t>
  </si>
  <si>
    <t>w4</t>
  </si>
  <si>
    <t>{=TEXTJOIN("",TRUE,IF(ISNUMBER(SEARCH($A27,'Diags Raw Data'!$A$6:$A$3808)),CONCATENATE('Diags Raw Data'!$H$6:$H$3808,", "),""))}</t>
  </si>
  <si>
    <t>w2</t>
  </si>
  <si>
    <t>w5</t>
  </si>
  <si>
    <t>{=SUMPRODUCT(--(ISNUMBER(SEARCH($A93,'Diags Raw Data'!$A$6:$A$3805))),--('Diags Raw Data'!$Q$6:$Q$3805&lt;&gt;"N/A"),'Diags Raw Data'!$R$6:$R$3805)}</t>
  </si>
  <si>
    <t>{=SUMPRODUCT(--(ISNUMBER(SEARCH($A94,'Diags Raw Data'!$A$6:$A$3805))),--('Diags Raw Data'!$Q$6:$Q$3805&lt;&gt;"N/A"),'Diags Raw Data'!$R$6:$R$3805)}</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</si>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</sst>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7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2"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3"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3"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0" xfId="0" applyFill="1" applyBorder="1" applyAlignment="1" applyProtection="1">
      <alignment horizontal="center" vertical="center"/>
      <protection locked="0"/>
    </xf>
    <xf numFmtId="1" fontId="51"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4" fillId="52" borderId="10" xfId="0" applyFont="1" applyFill="1" applyBorder="1" applyAlignment="1">
      <alignment horizontal="center" vertical="center" wrapText="1"/>
    </xf>
    <xf numFmtId="1" fontId="54"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5" fillId="58" borderId="10" xfId="0" applyFont="1" applyFill="1" applyBorder="1" applyAlignment="1">
      <alignment horizontal="center" vertical="center" wrapText="1"/>
    </xf>
    <xf numFmtId="1" fontId="55"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2"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1" fontId="18" fillId="52" borderId="56" xfId="0" applyNumberFormat="1" applyFont="1" applyFill="1" applyBorder="1" applyAlignment="1" applyProtection="1">
      <alignment vertical="center" wrapText="1"/>
      <protection locked="0"/>
    </xf>
    <xf numFmtId="1" fontId="18" fillId="33" borderId="26" xfId="0" applyNumberFormat="1" applyFont="1" applyFill="1" applyBorder="1" applyAlignment="1">
      <alignment horizontal="center" vertical="center"/>
    </xf>
    <xf numFmtId="0" fontId="0" fillId="52" borderId="10" xfId="0" applyFill="1" applyBorder="1" applyAlignment="1" applyProtection="1">
      <alignment vertical="center" wrapText="1"/>
      <protection locked="0"/>
    </xf>
    <xf numFmtId="0" fontId="20" fillId="52" borderId="26" xfId="0" applyFont="1" applyFill="1" applyBorder="1" applyAlignment="1">
      <alignment vertical="center"/>
    </xf>
    <xf numFmtId="0" fontId="20" fillId="52" borderId="10" xfId="0" applyFont="1" applyFill="1" applyBorder="1" applyAlignment="1">
      <alignment vertical="center"/>
    </xf>
    <xf numFmtId="0" fontId="19" fillId="0" borderId="0" xfId="0" applyFont="1" applyAlignment="1">
      <alignment horizontal="left" vertical="center"/>
    </xf>
    <xf numFmtId="0" fontId="20" fillId="0" borderId="0" xfId="0" applyFont="1"/>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84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xr3:uid="{AEA406A1-0E4B-5B11-9CD5-51D6E497D94C}"/>
  </sheetViews>
  <sheetFormatPr defaultColWidth="9.140625" defaultRowHeight="14.6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xr3:uid="{78B4E459-6924-5F8B-B7BA-2DD04133E49E}">
      <selection activeCell="K7" sqref="K7"/>
    </sheetView>
  </sheetViews>
  <sheetFormatPr defaultColWidth="8.42578125" defaultRowHeight="14.6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xr3:uid="{958C4451-9541-5A59-BF78-D2F731DF1C81}">
      <pane xSplit="3" ySplit="8" topLeftCell="D71" activePane="bottomRight" state="frozen"/>
      <selection pane="bottomRight" activeCell="G2" sqref="G2"/>
      <selection pane="bottomLeft" activeCell="A9" sqref="A9"/>
      <selection pane="topRight" activeCell="D1" sqref="D1"/>
    </sheetView>
  </sheetViews>
  <sheetFormatPr defaultColWidth="26.28515625" defaultRowHeight="14.6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628" t="s">
        <v>54</v>
      </c>
      <c r="C1" s="629"/>
      <c r="D1" s="629"/>
      <c r="E1" s="167" t="s">
        <v>55</v>
      </c>
      <c r="F1" s="167" t="s">
        <v>56</v>
      </c>
      <c r="G1" s="110" t="s">
        <v>57</v>
      </c>
    </row>
    <row r="2" spans="1:7">
      <c r="A2" s="116" t="s">
        <v>58</v>
      </c>
      <c r="B2" s="630" t="s">
        <v>59</v>
      </c>
      <c r="C2" s="631"/>
      <c r="D2" s="631"/>
      <c r="E2" s="294" t="s">
        <v>60</v>
      </c>
      <c r="F2" s="294" t="s">
        <v>61</v>
      </c>
      <c r="G2" s="325" t="s">
        <v>62</v>
      </c>
    </row>
    <row r="3" spans="1:7" s="81" customFormat="1">
      <c r="A3" s="203" t="s">
        <v>63</v>
      </c>
      <c r="B3" s="637" t="s">
        <v>64</v>
      </c>
      <c r="C3" s="638"/>
      <c r="D3" s="639"/>
      <c r="E3" s="80" t="s">
        <v>60</v>
      </c>
      <c r="F3" s="80" t="s">
        <v>61</v>
      </c>
      <c r="G3" s="326" t="s">
        <v>62</v>
      </c>
    </row>
    <row r="4" spans="1:7">
      <c r="A4" s="203" t="s">
        <v>65</v>
      </c>
      <c r="B4" s="634" t="s">
        <v>66</v>
      </c>
      <c r="C4" s="635"/>
      <c r="D4" s="636"/>
      <c r="E4" s="80" t="s">
        <v>67</v>
      </c>
      <c r="F4" s="80" t="s">
        <v>61</v>
      </c>
      <c r="G4" s="326" t="s">
        <v>62</v>
      </c>
    </row>
    <row r="5" spans="1:7">
      <c r="A5" s="117" t="s">
        <v>68</v>
      </c>
      <c r="B5" s="634" t="s">
        <v>69</v>
      </c>
      <c r="C5" s="635"/>
      <c r="D5" s="636"/>
      <c r="E5" s="80" t="s">
        <v>67</v>
      </c>
      <c r="F5" s="80" t="s">
        <v>61</v>
      </c>
      <c r="G5" s="326" t="s">
        <v>62</v>
      </c>
    </row>
    <row r="6" spans="1:7">
      <c r="A6" s="117" t="s">
        <v>70</v>
      </c>
      <c r="B6" s="634" t="s">
        <v>71</v>
      </c>
      <c r="C6" s="635"/>
      <c r="D6" s="636"/>
      <c r="E6" s="80" t="s">
        <v>72</v>
      </c>
      <c r="F6" s="80" t="s">
        <v>61</v>
      </c>
      <c r="G6" s="85"/>
    </row>
    <row r="7" spans="1:7" ht="15" thickBot="1">
      <c r="A7" s="118" t="s">
        <v>73</v>
      </c>
      <c r="B7" s="632" t="s">
        <v>74</v>
      </c>
      <c r="C7" s="633"/>
      <c r="D7" s="633"/>
      <c r="E7" s="86" t="s">
        <v>72</v>
      </c>
      <c r="F7" s="86"/>
      <c r="G7" s="87"/>
    </row>
    <row r="8" spans="1:7" s="84" customFormat="1" ht="15" thickBot="1">
      <c r="A8" s="115" t="s">
        <v>53</v>
      </c>
      <c r="B8" s="413" t="s">
        <v>1</v>
      </c>
      <c r="C8" s="167" t="s">
        <v>75</v>
      </c>
      <c r="D8" s="167" t="s">
        <v>54</v>
      </c>
      <c r="E8" s="167" t="s">
        <v>55</v>
      </c>
      <c r="F8" s="167" t="s">
        <v>56</v>
      </c>
      <c r="G8" s="110" t="s">
        <v>57</v>
      </c>
    </row>
    <row r="9" spans="1:7" ht="102">
      <c r="A9" s="614" t="s">
        <v>58</v>
      </c>
      <c r="B9" s="617" t="s">
        <v>76</v>
      </c>
      <c r="C9" s="332" t="s">
        <v>77</v>
      </c>
      <c r="D9" s="94" t="s">
        <v>78</v>
      </c>
      <c r="E9" s="94" t="s">
        <v>60</v>
      </c>
      <c r="F9" s="94" t="s">
        <v>79</v>
      </c>
      <c r="G9" s="414" t="s">
        <v>80</v>
      </c>
    </row>
    <row r="10" spans="1:7" ht="58.35">
      <c r="A10" s="615"/>
      <c r="B10" s="618"/>
      <c r="C10" s="328" t="s">
        <v>81</v>
      </c>
      <c r="D10" s="82" t="s">
        <v>82</v>
      </c>
      <c r="E10" s="82" t="s">
        <v>60</v>
      </c>
      <c r="F10" s="82" t="s">
        <v>79</v>
      </c>
      <c r="G10" s="321" t="s">
        <v>83</v>
      </c>
    </row>
    <row r="11" spans="1:7" ht="43.7">
      <c r="A11" s="615"/>
      <c r="B11" s="618"/>
      <c r="C11" s="328" t="s">
        <v>84</v>
      </c>
      <c r="D11" s="82" t="s">
        <v>85</v>
      </c>
      <c r="E11" s="82" t="s">
        <v>86</v>
      </c>
      <c r="F11" s="82" t="s">
        <v>79</v>
      </c>
      <c r="G11" s="95" t="s">
        <v>87</v>
      </c>
    </row>
    <row r="12" spans="1:7" ht="116.65">
      <c r="A12" s="615"/>
      <c r="B12" s="618"/>
      <c r="C12" s="328" t="s">
        <v>88</v>
      </c>
      <c r="D12" s="345" t="s">
        <v>89</v>
      </c>
      <c r="E12" s="82" t="s">
        <v>86</v>
      </c>
      <c r="F12" s="82" t="s">
        <v>79</v>
      </c>
      <c r="G12" s="321" t="s">
        <v>90</v>
      </c>
    </row>
    <row r="13" spans="1:7" ht="29.1">
      <c r="A13" s="615"/>
      <c r="B13" s="618"/>
      <c r="C13" s="328" t="s">
        <v>91</v>
      </c>
      <c r="D13" s="82" t="s">
        <v>92</v>
      </c>
      <c r="E13" s="82" t="s">
        <v>86</v>
      </c>
      <c r="F13" s="82" t="s">
        <v>79</v>
      </c>
      <c r="G13" s="95" t="s">
        <v>93</v>
      </c>
    </row>
    <row r="14" spans="1:7" ht="29.1">
      <c r="A14" s="615"/>
      <c r="B14" s="618"/>
      <c r="C14" s="328" t="s">
        <v>94</v>
      </c>
      <c r="D14" s="82" t="s">
        <v>95</v>
      </c>
      <c r="E14" s="82" t="s">
        <v>86</v>
      </c>
      <c r="F14" s="82" t="s">
        <v>79</v>
      </c>
      <c r="G14" s="95" t="s">
        <v>93</v>
      </c>
    </row>
    <row r="15" spans="1:7">
      <c r="A15" s="615"/>
      <c r="B15" s="618"/>
      <c r="C15" s="121" t="s">
        <v>96</v>
      </c>
      <c r="D15" s="82" t="s">
        <v>97</v>
      </c>
      <c r="E15" s="82" t="s">
        <v>60</v>
      </c>
      <c r="F15" s="82" t="s">
        <v>79</v>
      </c>
      <c r="G15" s="95" t="s">
        <v>98</v>
      </c>
    </row>
    <row r="16" spans="1:7" ht="58.35">
      <c r="A16" s="615"/>
      <c r="B16" s="618"/>
      <c r="C16" s="328" t="s">
        <v>99</v>
      </c>
      <c r="D16" s="345" t="s">
        <v>100</v>
      </c>
      <c r="E16" s="82" t="s">
        <v>86</v>
      </c>
      <c r="F16" s="82" t="s">
        <v>79</v>
      </c>
      <c r="G16" s="321" t="s">
        <v>101</v>
      </c>
    </row>
    <row r="17" spans="1:7" ht="29.1">
      <c r="A17" s="615"/>
      <c r="B17" s="618"/>
      <c r="C17" s="328" t="s">
        <v>102</v>
      </c>
      <c r="D17" s="82" t="s">
        <v>103</v>
      </c>
      <c r="E17" s="82" t="s">
        <v>86</v>
      </c>
      <c r="F17" s="82" t="s">
        <v>79</v>
      </c>
      <c r="G17" s="95" t="s">
        <v>104</v>
      </c>
    </row>
    <row r="18" spans="1:7" ht="43.7">
      <c r="A18" s="615"/>
      <c r="B18" s="618"/>
      <c r="C18" s="328" t="s">
        <v>105</v>
      </c>
      <c r="D18" s="82" t="s">
        <v>106</v>
      </c>
      <c r="E18" s="82" t="s">
        <v>86</v>
      </c>
      <c r="F18" s="82" t="s">
        <v>79</v>
      </c>
      <c r="G18" s="95" t="s">
        <v>107</v>
      </c>
    </row>
    <row r="19" spans="1:7">
      <c r="A19" s="615"/>
      <c r="B19" s="618"/>
      <c r="C19" s="328" t="s">
        <v>108</v>
      </c>
      <c r="D19" s="82" t="s">
        <v>109</v>
      </c>
      <c r="E19" s="82" t="s">
        <v>86</v>
      </c>
      <c r="F19" s="82" t="s">
        <v>79</v>
      </c>
      <c r="G19" s="95" t="s">
        <v>110</v>
      </c>
    </row>
    <row r="20" spans="1:7" ht="102.4" thickBot="1">
      <c r="A20" s="615"/>
      <c r="B20" s="619"/>
      <c r="C20" s="415" t="s">
        <v>1</v>
      </c>
      <c r="D20" s="518" t="s">
        <v>111</v>
      </c>
      <c r="E20" s="390" t="s">
        <v>86</v>
      </c>
      <c r="F20" s="390" t="s">
        <v>79</v>
      </c>
      <c r="G20" s="416" t="s">
        <v>112</v>
      </c>
    </row>
    <row r="21" spans="1:7" ht="43.7">
      <c r="A21" s="615"/>
      <c r="B21" s="651" t="s">
        <v>113</v>
      </c>
      <c r="C21" s="329" t="s">
        <v>114</v>
      </c>
      <c r="D21" s="105" t="s">
        <v>115</v>
      </c>
      <c r="E21" s="105" t="s">
        <v>86</v>
      </c>
      <c r="F21" s="105" t="s">
        <v>116</v>
      </c>
      <c r="G21" s="168" t="s">
        <v>117</v>
      </c>
    </row>
    <row r="22" spans="1:7" ht="29.1">
      <c r="A22" s="615"/>
      <c r="B22" s="652"/>
      <c r="C22" s="330" t="s">
        <v>118</v>
      </c>
      <c r="D22" s="420" t="s">
        <v>119</v>
      </c>
      <c r="E22" s="420" t="s">
        <v>86</v>
      </c>
      <c r="F22" s="420" t="s">
        <v>116</v>
      </c>
      <c r="G22" s="421" t="s">
        <v>120</v>
      </c>
    </row>
    <row r="23" spans="1:7" ht="15" thickBot="1">
      <c r="A23" s="615"/>
      <c r="B23" s="653"/>
      <c r="C23" s="422" t="s">
        <v>121</v>
      </c>
      <c r="D23" s="107" t="s">
        <v>122</v>
      </c>
      <c r="E23" s="107" t="s">
        <v>86</v>
      </c>
      <c r="F23" s="107" t="s">
        <v>116</v>
      </c>
      <c r="G23" s="108" t="s">
        <v>123</v>
      </c>
    </row>
    <row r="24" spans="1:7" ht="30" customHeight="1">
      <c r="A24" s="615"/>
      <c r="B24" s="654" t="s">
        <v>124</v>
      </c>
      <c r="C24" s="417" t="s">
        <v>125</v>
      </c>
      <c r="D24" s="418" t="s">
        <v>126</v>
      </c>
      <c r="E24" s="418" t="s">
        <v>86</v>
      </c>
      <c r="F24" s="418" t="s">
        <v>79</v>
      </c>
      <c r="G24" s="419" t="s">
        <v>127</v>
      </c>
    </row>
    <row r="25" spans="1:7" ht="30" customHeight="1">
      <c r="A25" s="615"/>
      <c r="B25" s="655"/>
      <c r="C25" s="330" t="s">
        <v>128</v>
      </c>
      <c r="D25" s="109" t="s">
        <v>129</v>
      </c>
      <c r="E25" s="109" t="s">
        <v>86</v>
      </c>
      <c r="F25" s="109" t="s">
        <v>130</v>
      </c>
      <c r="G25" s="608" t="s">
        <v>131</v>
      </c>
    </row>
    <row r="26" spans="1:7" ht="29.1">
      <c r="A26" s="615"/>
      <c r="B26" s="655"/>
      <c r="C26" s="276" t="s">
        <v>132</v>
      </c>
      <c r="D26" s="109" t="s">
        <v>133</v>
      </c>
      <c r="E26" s="109" t="s">
        <v>86</v>
      </c>
      <c r="F26" s="109" t="s">
        <v>130</v>
      </c>
      <c r="G26" s="609"/>
    </row>
    <row r="27" spans="1:7">
      <c r="A27" s="615"/>
      <c r="B27" s="655"/>
      <c r="C27" s="330" t="s">
        <v>30</v>
      </c>
      <c r="D27" s="109" t="s">
        <v>134</v>
      </c>
      <c r="E27" s="109" t="s">
        <v>86</v>
      </c>
      <c r="F27" s="109" t="s">
        <v>130</v>
      </c>
      <c r="G27" s="609"/>
    </row>
    <row r="28" spans="1:7">
      <c r="A28" s="615"/>
      <c r="B28" s="655"/>
      <c r="C28" s="330" t="s">
        <v>135</v>
      </c>
      <c r="D28" s="109" t="s">
        <v>136</v>
      </c>
      <c r="E28" s="109" t="s">
        <v>86</v>
      </c>
      <c r="F28" s="109" t="s">
        <v>130</v>
      </c>
      <c r="G28" s="609"/>
    </row>
    <row r="29" spans="1:7">
      <c r="A29" s="615"/>
      <c r="B29" s="655"/>
      <c r="C29" s="330" t="s">
        <v>36</v>
      </c>
      <c r="D29" s="109" t="s">
        <v>137</v>
      </c>
      <c r="E29" s="109" t="s">
        <v>86</v>
      </c>
      <c r="F29" s="109" t="s">
        <v>130</v>
      </c>
      <c r="G29" s="609"/>
    </row>
    <row r="30" spans="1:7">
      <c r="A30" s="615"/>
      <c r="B30" s="655"/>
      <c r="C30" s="330" t="s">
        <v>138</v>
      </c>
      <c r="D30" s="109" t="s">
        <v>139</v>
      </c>
      <c r="E30" s="109" t="s">
        <v>86</v>
      </c>
      <c r="F30" s="109" t="s">
        <v>130</v>
      </c>
      <c r="G30" s="609"/>
    </row>
    <row r="31" spans="1:7">
      <c r="A31" s="615"/>
      <c r="B31" s="655"/>
      <c r="C31" s="276" t="s">
        <v>140</v>
      </c>
      <c r="D31" s="109" t="s">
        <v>141</v>
      </c>
      <c r="E31" s="109" t="s">
        <v>86</v>
      </c>
      <c r="F31" s="109" t="s">
        <v>130</v>
      </c>
      <c r="G31" s="609"/>
    </row>
    <row r="32" spans="1:7" ht="29.65" thickBot="1">
      <c r="A32" s="615"/>
      <c r="B32" s="656"/>
      <c r="C32" s="331" t="s">
        <v>142</v>
      </c>
      <c r="D32" s="104" t="s">
        <v>143</v>
      </c>
      <c r="E32" s="104" t="s">
        <v>86</v>
      </c>
      <c r="F32" s="104" t="s">
        <v>130</v>
      </c>
      <c r="G32" s="610"/>
    </row>
    <row r="33" spans="1:7" ht="29.1">
      <c r="A33" s="615"/>
      <c r="B33" s="657" t="s">
        <v>144</v>
      </c>
      <c r="C33" s="310" t="s">
        <v>132</v>
      </c>
      <c r="D33" s="274" t="s">
        <v>145</v>
      </c>
      <c r="E33" s="274" t="s">
        <v>86</v>
      </c>
      <c r="F33" s="274" t="s">
        <v>146</v>
      </c>
      <c r="G33" s="275" t="s">
        <v>147</v>
      </c>
    </row>
    <row r="34" spans="1:7">
      <c r="A34" s="615"/>
      <c r="B34" s="658"/>
      <c r="C34" s="328" t="s">
        <v>30</v>
      </c>
      <c r="D34" s="83" t="s">
        <v>148</v>
      </c>
      <c r="E34" s="83" t="s">
        <v>86</v>
      </c>
      <c r="F34" s="83" t="s">
        <v>146</v>
      </c>
      <c r="G34" s="99"/>
    </row>
    <row r="35" spans="1:7">
      <c r="A35" s="615"/>
      <c r="B35" s="658"/>
      <c r="C35" s="328" t="s">
        <v>135</v>
      </c>
      <c r="D35" s="83" t="s">
        <v>149</v>
      </c>
      <c r="E35" s="83" t="s">
        <v>86</v>
      </c>
      <c r="F35" s="83" t="s">
        <v>146</v>
      </c>
      <c r="G35" s="99" t="s">
        <v>150</v>
      </c>
    </row>
    <row r="36" spans="1:7">
      <c r="A36" s="615"/>
      <c r="B36" s="658"/>
      <c r="C36" s="328" t="s">
        <v>36</v>
      </c>
      <c r="D36" s="83" t="s">
        <v>151</v>
      </c>
      <c r="E36" s="83" t="s">
        <v>86</v>
      </c>
      <c r="F36" s="83" t="s">
        <v>146</v>
      </c>
      <c r="G36" s="113"/>
    </row>
    <row r="37" spans="1:7">
      <c r="A37" s="615"/>
      <c r="B37" s="658"/>
      <c r="C37" s="328" t="s">
        <v>138</v>
      </c>
      <c r="D37" s="83" t="s">
        <v>152</v>
      </c>
      <c r="E37" s="83" t="s">
        <v>86</v>
      </c>
      <c r="F37" s="83" t="s">
        <v>146</v>
      </c>
      <c r="G37" s="99" t="s">
        <v>153</v>
      </c>
    </row>
    <row r="38" spans="1:7">
      <c r="A38" s="615"/>
      <c r="B38" s="658"/>
      <c r="C38" s="277" t="s">
        <v>140</v>
      </c>
      <c r="D38" s="83" t="s">
        <v>154</v>
      </c>
      <c r="E38" s="83" t="s">
        <v>86</v>
      </c>
      <c r="F38" s="83" t="s">
        <v>146</v>
      </c>
      <c r="G38" s="99"/>
    </row>
    <row r="39" spans="1:7" ht="29.1">
      <c r="A39" s="615"/>
      <c r="B39" s="658"/>
      <c r="C39" s="330" t="s">
        <v>155</v>
      </c>
      <c r="D39" s="83" t="s">
        <v>156</v>
      </c>
      <c r="E39" s="83" t="s">
        <v>86</v>
      </c>
      <c r="F39" s="83" t="s">
        <v>146</v>
      </c>
      <c r="G39" s="99"/>
    </row>
    <row r="40" spans="1:7" ht="29.1">
      <c r="A40" s="615"/>
      <c r="B40" s="658"/>
      <c r="C40" s="277" t="s">
        <v>157</v>
      </c>
      <c r="D40" s="83" t="s">
        <v>158</v>
      </c>
      <c r="E40" s="83" t="s">
        <v>60</v>
      </c>
      <c r="F40" s="83" t="s">
        <v>146</v>
      </c>
      <c r="G40" s="99" t="s">
        <v>159</v>
      </c>
    </row>
    <row r="41" spans="1:7" ht="29.65" thickBot="1">
      <c r="A41" s="615"/>
      <c r="B41" s="659"/>
      <c r="C41" s="327" t="s">
        <v>160</v>
      </c>
      <c r="D41" s="100" t="s">
        <v>161</v>
      </c>
      <c r="E41" s="100" t="s">
        <v>86</v>
      </c>
      <c r="F41" s="100" t="s">
        <v>146</v>
      </c>
      <c r="G41" s="101" t="s">
        <v>162</v>
      </c>
    </row>
    <row r="42" spans="1:7" ht="131.65" thickBot="1">
      <c r="A42" s="614" t="s">
        <v>63</v>
      </c>
      <c r="B42" s="423" t="s">
        <v>163</v>
      </c>
      <c r="C42" s="332" t="s">
        <v>88</v>
      </c>
      <c r="D42" s="424" t="s">
        <v>164</v>
      </c>
      <c r="E42" s="424" t="s">
        <v>86</v>
      </c>
      <c r="F42" s="424" t="s">
        <v>79</v>
      </c>
      <c r="G42" s="425" t="s">
        <v>165</v>
      </c>
    </row>
    <row r="43" spans="1:7" ht="15" customHeight="1">
      <c r="A43" s="615"/>
      <c r="B43" s="643" t="s">
        <v>166</v>
      </c>
      <c r="C43" s="307" t="s">
        <v>167</v>
      </c>
      <c r="D43" s="295" t="s">
        <v>168</v>
      </c>
      <c r="E43" s="295" t="s">
        <v>67</v>
      </c>
      <c r="F43" s="295" t="s">
        <v>79</v>
      </c>
      <c r="G43" s="279" t="s">
        <v>169</v>
      </c>
    </row>
    <row r="44" spans="1:7" ht="29.1">
      <c r="A44" s="615"/>
      <c r="B44" s="644"/>
      <c r="C44" s="308" t="s">
        <v>128</v>
      </c>
      <c r="D44" s="296" t="s">
        <v>170</v>
      </c>
      <c r="E44" s="296" t="s">
        <v>67</v>
      </c>
      <c r="F44" s="296" t="s">
        <v>79</v>
      </c>
      <c r="G44" s="280" t="s">
        <v>169</v>
      </c>
    </row>
    <row r="45" spans="1:7" ht="29.1">
      <c r="A45" s="615"/>
      <c r="B45" s="644"/>
      <c r="C45" s="308" t="s">
        <v>105</v>
      </c>
      <c r="D45" s="296" t="s">
        <v>171</v>
      </c>
      <c r="E45" s="296" t="s">
        <v>67</v>
      </c>
      <c r="F45" s="296" t="s">
        <v>79</v>
      </c>
      <c r="G45" s="280" t="s">
        <v>172</v>
      </c>
    </row>
    <row r="46" spans="1:7">
      <c r="A46" s="615"/>
      <c r="B46" s="644"/>
      <c r="C46" s="308" t="s">
        <v>173</v>
      </c>
      <c r="D46" s="296" t="s">
        <v>174</v>
      </c>
      <c r="E46" s="296" t="s">
        <v>67</v>
      </c>
      <c r="F46" s="296" t="s">
        <v>79</v>
      </c>
      <c r="G46" s="280" t="s">
        <v>169</v>
      </c>
    </row>
    <row r="47" spans="1:7" ht="15" thickBot="1">
      <c r="A47" s="615"/>
      <c r="B47" s="645"/>
      <c r="C47" s="309" t="s">
        <v>175</v>
      </c>
      <c r="D47" s="297" t="s">
        <v>176</v>
      </c>
      <c r="E47" s="296" t="s">
        <v>67</v>
      </c>
      <c r="F47" s="297" t="s">
        <v>79</v>
      </c>
      <c r="G47" s="281" t="s">
        <v>169</v>
      </c>
    </row>
    <row r="48" spans="1:7" ht="29.1">
      <c r="A48" s="615"/>
      <c r="B48" s="646" t="s">
        <v>177</v>
      </c>
      <c r="C48" s="304" t="s">
        <v>132</v>
      </c>
      <c r="D48" s="298" t="s">
        <v>178</v>
      </c>
      <c r="E48" s="298" t="s">
        <v>67</v>
      </c>
      <c r="F48" s="298" t="s">
        <v>130</v>
      </c>
      <c r="G48" s="611" t="s">
        <v>179</v>
      </c>
    </row>
    <row r="49" spans="1:7" ht="29.1">
      <c r="A49" s="615"/>
      <c r="B49" s="646"/>
      <c r="C49" s="305" t="s">
        <v>30</v>
      </c>
      <c r="D49" s="282" t="s">
        <v>180</v>
      </c>
      <c r="E49" s="282" t="s">
        <v>67</v>
      </c>
      <c r="F49" s="282" t="s">
        <v>130</v>
      </c>
      <c r="G49" s="612"/>
    </row>
    <row r="50" spans="1:7" ht="29.1">
      <c r="A50" s="615"/>
      <c r="B50" s="646"/>
      <c r="C50" s="305" t="s">
        <v>135</v>
      </c>
      <c r="D50" s="282" t="s">
        <v>181</v>
      </c>
      <c r="E50" s="282" t="s">
        <v>67</v>
      </c>
      <c r="F50" s="282" t="s">
        <v>130</v>
      </c>
      <c r="G50" s="612"/>
    </row>
    <row r="51" spans="1:7">
      <c r="A51" s="615"/>
      <c r="B51" s="646"/>
      <c r="C51" s="305" t="s">
        <v>36</v>
      </c>
      <c r="D51" s="282" t="s">
        <v>182</v>
      </c>
      <c r="E51" s="282" t="s">
        <v>67</v>
      </c>
      <c r="F51" s="282" t="s">
        <v>130</v>
      </c>
      <c r="G51" s="612"/>
    </row>
    <row r="52" spans="1:7">
      <c r="A52" s="615"/>
      <c r="B52" s="646"/>
      <c r="C52" s="305" t="s">
        <v>138</v>
      </c>
      <c r="D52" s="282" t="s">
        <v>183</v>
      </c>
      <c r="E52" s="282" t="s">
        <v>67</v>
      </c>
      <c r="F52" s="282" t="s">
        <v>130</v>
      </c>
      <c r="G52" s="612"/>
    </row>
    <row r="53" spans="1:7">
      <c r="A53" s="615"/>
      <c r="B53" s="646"/>
      <c r="C53" s="305" t="s">
        <v>184</v>
      </c>
      <c r="D53" s="282" t="s">
        <v>185</v>
      </c>
      <c r="E53" s="282" t="s">
        <v>67</v>
      </c>
      <c r="F53" s="282" t="s">
        <v>130</v>
      </c>
      <c r="G53" s="612"/>
    </row>
    <row r="54" spans="1:7">
      <c r="A54" s="615"/>
      <c r="B54" s="646"/>
      <c r="C54" s="305" t="s">
        <v>140</v>
      </c>
      <c r="D54" s="282" t="s">
        <v>186</v>
      </c>
      <c r="E54" s="282" t="s">
        <v>67</v>
      </c>
      <c r="F54" s="282" t="s">
        <v>130</v>
      </c>
      <c r="G54" s="612"/>
    </row>
    <row r="55" spans="1:7" ht="15" thickBot="1">
      <c r="A55" s="615"/>
      <c r="B55" s="647"/>
      <c r="C55" s="306" t="s">
        <v>187</v>
      </c>
      <c r="D55" s="299" t="s">
        <v>188</v>
      </c>
      <c r="E55" s="299" t="s">
        <v>67</v>
      </c>
      <c r="F55" s="299" t="s">
        <v>130</v>
      </c>
      <c r="G55" s="613"/>
    </row>
    <row r="56" spans="1:7" ht="29.1">
      <c r="A56" s="615"/>
      <c r="B56" s="648" t="s">
        <v>144</v>
      </c>
      <c r="C56" s="410" t="s">
        <v>132</v>
      </c>
      <c r="D56" s="411" t="s">
        <v>189</v>
      </c>
      <c r="E56" s="411" t="s">
        <v>67</v>
      </c>
      <c r="F56" s="411" t="s">
        <v>146</v>
      </c>
      <c r="G56" s="412" t="s">
        <v>169</v>
      </c>
    </row>
    <row r="57" spans="1:7">
      <c r="A57" s="615"/>
      <c r="B57" s="649"/>
      <c r="C57" s="302" t="s">
        <v>30</v>
      </c>
      <c r="D57" s="300" t="s">
        <v>190</v>
      </c>
      <c r="E57" s="300" t="s">
        <v>67</v>
      </c>
      <c r="F57" s="300" t="s">
        <v>146</v>
      </c>
      <c r="G57" s="278" t="s">
        <v>169</v>
      </c>
    </row>
    <row r="58" spans="1:7" ht="29.1">
      <c r="A58" s="615"/>
      <c r="B58" s="649"/>
      <c r="C58" s="302" t="s">
        <v>135</v>
      </c>
      <c r="D58" s="300" t="s">
        <v>191</v>
      </c>
      <c r="E58" s="300" t="s">
        <v>67</v>
      </c>
      <c r="F58" s="300" t="s">
        <v>146</v>
      </c>
      <c r="G58" s="278" t="s">
        <v>169</v>
      </c>
    </row>
    <row r="59" spans="1:7">
      <c r="A59" s="615"/>
      <c r="B59" s="649"/>
      <c r="C59" s="302" t="s">
        <v>36</v>
      </c>
      <c r="D59" s="300" t="s">
        <v>192</v>
      </c>
      <c r="E59" s="300" t="s">
        <v>67</v>
      </c>
      <c r="F59" s="300" t="s">
        <v>146</v>
      </c>
      <c r="G59" s="278" t="s">
        <v>169</v>
      </c>
    </row>
    <row r="60" spans="1:7">
      <c r="A60" s="615"/>
      <c r="B60" s="649"/>
      <c r="C60" s="302" t="s">
        <v>138</v>
      </c>
      <c r="D60" s="300" t="s">
        <v>193</v>
      </c>
      <c r="E60" s="300" t="s">
        <v>67</v>
      </c>
      <c r="F60" s="300" t="s">
        <v>146</v>
      </c>
      <c r="G60" s="278" t="s">
        <v>169</v>
      </c>
    </row>
    <row r="61" spans="1:7">
      <c r="A61" s="615"/>
      <c r="B61" s="649"/>
      <c r="C61" s="302" t="s">
        <v>184</v>
      </c>
      <c r="D61" s="300" t="s">
        <v>194</v>
      </c>
      <c r="E61" s="300" t="s">
        <v>67</v>
      </c>
      <c r="F61" s="300" t="s">
        <v>146</v>
      </c>
      <c r="G61" s="278" t="s">
        <v>169</v>
      </c>
    </row>
    <row r="62" spans="1:7">
      <c r="A62" s="615"/>
      <c r="B62" s="649"/>
      <c r="C62" s="302" t="s">
        <v>140</v>
      </c>
      <c r="D62" s="300" t="s">
        <v>195</v>
      </c>
      <c r="E62" s="300" t="s">
        <v>67</v>
      </c>
      <c r="F62" s="300" t="s">
        <v>146</v>
      </c>
      <c r="G62" s="278" t="s">
        <v>169</v>
      </c>
    </row>
    <row r="63" spans="1:7" ht="15" thickBot="1">
      <c r="A63" s="616"/>
      <c r="B63" s="650"/>
      <c r="C63" s="303" t="s">
        <v>187</v>
      </c>
      <c r="D63" s="301" t="s">
        <v>196</v>
      </c>
      <c r="E63" s="301" t="s">
        <v>67</v>
      </c>
      <c r="F63" s="301" t="s">
        <v>146</v>
      </c>
      <c r="G63" s="283" t="s">
        <v>169</v>
      </c>
    </row>
    <row r="64" spans="1:7" ht="116.65">
      <c r="A64" s="615" t="s">
        <v>65</v>
      </c>
      <c r="B64" s="640" t="s">
        <v>197</v>
      </c>
      <c r="C64" s="329" t="s">
        <v>77</v>
      </c>
      <c r="D64" s="285" t="s">
        <v>198</v>
      </c>
      <c r="E64" s="285" t="s">
        <v>60</v>
      </c>
      <c r="F64" s="285" t="s">
        <v>79</v>
      </c>
      <c r="G64" s="426" t="s">
        <v>199</v>
      </c>
    </row>
    <row r="65" spans="1:7" ht="58.35">
      <c r="A65" s="615"/>
      <c r="B65" s="641"/>
      <c r="C65" s="330" t="s">
        <v>81</v>
      </c>
      <c r="D65" s="286" t="s">
        <v>82</v>
      </c>
      <c r="E65" s="286" t="s">
        <v>60</v>
      </c>
      <c r="F65" s="286" t="s">
        <v>79</v>
      </c>
      <c r="G65" s="428" t="s">
        <v>200</v>
      </c>
    </row>
    <row r="66" spans="1:7">
      <c r="A66" s="615"/>
      <c r="B66" s="641"/>
      <c r="C66" s="330" t="s">
        <v>96</v>
      </c>
      <c r="D66" s="286" t="s">
        <v>97</v>
      </c>
      <c r="E66" s="286" t="s">
        <v>60</v>
      </c>
      <c r="F66" s="286" t="s">
        <v>79</v>
      </c>
      <c r="G66" s="287" t="s">
        <v>201</v>
      </c>
    </row>
    <row r="67" spans="1:7">
      <c r="A67" s="615"/>
      <c r="B67" s="641"/>
      <c r="C67" s="330" t="s">
        <v>202</v>
      </c>
      <c r="D67" s="286" t="s">
        <v>203</v>
      </c>
      <c r="E67" s="286" t="s">
        <v>60</v>
      </c>
      <c r="F67" s="286" t="s">
        <v>79</v>
      </c>
      <c r="G67" s="287" t="s">
        <v>204</v>
      </c>
    </row>
    <row r="68" spans="1:7">
      <c r="A68" s="615"/>
      <c r="B68" s="641"/>
      <c r="C68" s="330" t="s">
        <v>1</v>
      </c>
      <c r="D68" s="286" t="s">
        <v>205</v>
      </c>
      <c r="E68" s="286" t="s">
        <v>60</v>
      </c>
      <c r="F68" s="286" t="s">
        <v>79</v>
      </c>
      <c r="G68" s="287" t="s">
        <v>206</v>
      </c>
    </row>
    <row r="69" spans="1:7" ht="15" thickBot="1">
      <c r="A69" s="615"/>
      <c r="B69" s="642"/>
      <c r="C69" s="331" t="s">
        <v>207</v>
      </c>
      <c r="D69" s="288" t="s">
        <v>208</v>
      </c>
      <c r="E69" s="288" t="s">
        <v>60</v>
      </c>
      <c r="F69" s="288" t="s">
        <v>79</v>
      </c>
      <c r="G69" s="289"/>
    </row>
    <row r="70" spans="1:7" ht="131.1">
      <c r="A70" s="614" t="s">
        <v>68</v>
      </c>
      <c r="B70" s="617" t="s">
        <v>76</v>
      </c>
      <c r="C70" s="337" t="s">
        <v>77</v>
      </c>
      <c r="D70" s="284" t="s">
        <v>209</v>
      </c>
      <c r="E70" s="284" t="s">
        <v>60</v>
      </c>
      <c r="F70" s="284" t="s">
        <v>79</v>
      </c>
      <c r="G70" s="427" t="s">
        <v>210</v>
      </c>
    </row>
    <row r="71" spans="1:7">
      <c r="A71" s="615"/>
      <c r="B71" s="618"/>
      <c r="C71" s="121" t="s">
        <v>81</v>
      </c>
      <c r="D71" s="82" t="s">
        <v>82</v>
      </c>
      <c r="E71" s="82" t="s">
        <v>60</v>
      </c>
      <c r="F71" s="82" t="s">
        <v>79</v>
      </c>
      <c r="G71" s="95" t="s">
        <v>169</v>
      </c>
    </row>
    <row r="72" spans="1:7">
      <c r="A72" s="615"/>
      <c r="B72" s="618"/>
      <c r="C72" s="121" t="s">
        <v>96</v>
      </c>
      <c r="D72" s="82" t="s">
        <v>97</v>
      </c>
      <c r="E72" s="82" t="s">
        <v>60</v>
      </c>
      <c r="F72" s="82" t="s">
        <v>79</v>
      </c>
      <c r="G72" s="95" t="s">
        <v>211</v>
      </c>
    </row>
    <row r="73" spans="1:7">
      <c r="A73" s="615"/>
      <c r="B73" s="618"/>
      <c r="C73" s="121" t="s">
        <v>212</v>
      </c>
      <c r="D73" s="82" t="s">
        <v>213</v>
      </c>
      <c r="E73" s="82" t="s">
        <v>86</v>
      </c>
      <c r="F73" s="82" t="s">
        <v>79</v>
      </c>
      <c r="G73" s="95" t="s">
        <v>169</v>
      </c>
    </row>
    <row r="74" spans="1:7" ht="60" customHeight="1">
      <c r="A74" s="615"/>
      <c r="B74" s="618"/>
      <c r="C74" s="121" t="s">
        <v>88</v>
      </c>
      <c r="D74" s="82" t="s">
        <v>214</v>
      </c>
      <c r="E74" s="82" t="s">
        <v>86</v>
      </c>
      <c r="F74" s="82" t="s">
        <v>79</v>
      </c>
      <c r="G74" s="95" t="s">
        <v>169</v>
      </c>
    </row>
    <row r="75" spans="1:7">
      <c r="A75" s="615"/>
      <c r="B75" s="618"/>
      <c r="C75" s="121" t="s">
        <v>1</v>
      </c>
      <c r="D75" s="82" t="s">
        <v>205</v>
      </c>
      <c r="E75" s="82" t="s">
        <v>86</v>
      </c>
      <c r="F75" s="82" t="s">
        <v>79</v>
      </c>
      <c r="G75" s="95" t="s">
        <v>169</v>
      </c>
    </row>
    <row r="76" spans="1:7" ht="87.4">
      <c r="A76" s="615"/>
      <c r="B76" s="618"/>
      <c r="C76" s="121" t="s">
        <v>215</v>
      </c>
      <c r="D76" s="82" t="s">
        <v>216</v>
      </c>
      <c r="E76" s="82" t="s">
        <v>60</v>
      </c>
      <c r="F76" s="82" t="s">
        <v>79</v>
      </c>
      <c r="G76" s="321" t="s">
        <v>217</v>
      </c>
    </row>
    <row r="77" spans="1:7" ht="87.4">
      <c r="A77" s="615"/>
      <c r="B77" s="618"/>
      <c r="C77" s="121" t="s">
        <v>218</v>
      </c>
      <c r="D77" s="82" t="s">
        <v>219</v>
      </c>
      <c r="E77" s="82" t="s">
        <v>60</v>
      </c>
      <c r="F77" s="82" t="s">
        <v>79</v>
      </c>
      <c r="G77" s="321" t="s">
        <v>220</v>
      </c>
    </row>
    <row r="78" spans="1:7" ht="29.1">
      <c r="A78" s="615"/>
      <c r="B78" s="618"/>
      <c r="C78" s="121" t="s">
        <v>105</v>
      </c>
      <c r="D78" s="82" t="s">
        <v>171</v>
      </c>
      <c r="E78" s="82" t="s">
        <v>86</v>
      </c>
      <c r="F78" s="82" t="s">
        <v>79</v>
      </c>
      <c r="G78" s="95" t="s">
        <v>172</v>
      </c>
    </row>
    <row r="79" spans="1:7" ht="29.65" thickBot="1">
      <c r="A79" s="615"/>
      <c r="B79" s="619"/>
      <c r="C79" s="122" t="s">
        <v>221</v>
      </c>
      <c r="D79" s="96" t="s">
        <v>222</v>
      </c>
      <c r="E79" s="96" t="s">
        <v>60</v>
      </c>
      <c r="F79" s="96" t="s">
        <v>79</v>
      </c>
      <c r="G79" s="97" t="s">
        <v>223</v>
      </c>
    </row>
    <row r="80" spans="1:7" ht="29.1">
      <c r="A80" s="615"/>
      <c r="B80" s="620" t="s">
        <v>113</v>
      </c>
      <c r="C80" s="123" t="s">
        <v>114</v>
      </c>
      <c r="D80" s="105" t="s">
        <v>224</v>
      </c>
      <c r="E80" s="105" t="s">
        <v>60</v>
      </c>
      <c r="F80" s="105" t="s">
        <v>225</v>
      </c>
      <c r="G80" s="106" t="s">
        <v>223</v>
      </c>
    </row>
    <row r="81" spans="1:7" ht="29.65" thickBot="1">
      <c r="A81" s="615"/>
      <c r="B81" s="621"/>
      <c r="C81" s="124" t="s">
        <v>121</v>
      </c>
      <c r="D81" s="107" t="s">
        <v>226</v>
      </c>
      <c r="E81" s="107" t="s">
        <v>60</v>
      </c>
      <c r="F81" s="107" t="s">
        <v>225</v>
      </c>
      <c r="G81" s="108" t="s">
        <v>223</v>
      </c>
    </row>
    <row r="82" spans="1:7" ht="29.1">
      <c r="A82" s="615"/>
      <c r="B82" s="622" t="s">
        <v>124</v>
      </c>
      <c r="C82" s="125" t="s">
        <v>227</v>
      </c>
      <c r="D82" s="102" t="s">
        <v>228</v>
      </c>
      <c r="E82" s="102" t="s">
        <v>60</v>
      </c>
      <c r="F82" s="102" t="s">
        <v>79</v>
      </c>
      <c r="G82" s="103" t="s">
        <v>223</v>
      </c>
    </row>
    <row r="83" spans="1:7" ht="29.1">
      <c r="A83" s="615"/>
      <c r="B83" s="623"/>
      <c r="C83" s="127" t="s">
        <v>229</v>
      </c>
      <c r="D83" s="109" t="s">
        <v>230</v>
      </c>
      <c r="E83" s="109" t="s">
        <v>60</v>
      </c>
      <c r="F83" s="109" t="s">
        <v>225</v>
      </c>
      <c r="G83" s="114" t="s">
        <v>223</v>
      </c>
    </row>
    <row r="84" spans="1:7" ht="29.65" thickBot="1">
      <c r="A84" s="615"/>
      <c r="B84" s="624"/>
      <c r="C84" s="128" t="s">
        <v>187</v>
      </c>
      <c r="D84" s="119" t="s">
        <v>231</v>
      </c>
      <c r="E84" s="119" t="s">
        <v>60</v>
      </c>
      <c r="F84" s="119" t="s">
        <v>225</v>
      </c>
      <c r="G84" s="120" t="s">
        <v>223</v>
      </c>
    </row>
    <row r="85" spans="1:7" ht="29.1">
      <c r="A85" s="615"/>
      <c r="B85" s="625" t="s">
        <v>144</v>
      </c>
      <c r="C85" s="126" t="s">
        <v>232</v>
      </c>
      <c r="D85" s="111" t="s">
        <v>233</v>
      </c>
      <c r="E85" s="111" t="s">
        <v>60</v>
      </c>
      <c r="F85" s="111" t="s">
        <v>225</v>
      </c>
      <c r="G85" s="112" t="s">
        <v>223</v>
      </c>
    </row>
    <row r="86" spans="1:7" ht="29.1">
      <c r="A86" s="615"/>
      <c r="B86" s="626"/>
      <c r="C86" s="98" t="s">
        <v>229</v>
      </c>
      <c r="D86" s="83" t="s">
        <v>234</v>
      </c>
      <c r="E86" s="83" t="s">
        <v>60</v>
      </c>
      <c r="F86" s="83" t="s">
        <v>225</v>
      </c>
      <c r="G86" s="99" t="s">
        <v>223</v>
      </c>
    </row>
    <row r="87" spans="1:7" ht="29.1">
      <c r="A87" s="615"/>
      <c r="B87" s="626"/>
      <c r="C87" s="98" t="s">
        <v>184</v>
      </c>
      <c r="D87" s="83" t="s">
        <v>235</v>
      </c>
      <c r="E87" s="83" t="s">
        <v>60</v>
      </c>
      <c r="F87" s="83" t="s">
        <v>225</v>
      </c>
      <c r="G87" s="99" t="s">
        <v>223</v>
      </c>
    </row>
    <row r="88" spans="1:7" ht="29.1">
      <c r="A88" s="615"/>
      <c r="B88" s="626"/>
      <c r="C88" s="98" t="s">
        <v>140</v>
      </c>
      <c r="D88" s="83" t="s">
        <v>236</v>
      </c>
      <c r="E88" s="83" t="s">
        <v>60</v>
      </c>
      <c r="F88" s="83" t="s">
        <v>225</v>
      </c>
      <c r="G88" s="99" t="s">
        <v>223</v>
      </c>
    </row>
    <row r="89" spans="1:7" ht="45" customHeight="1">
      <c r="A89" s="615"/>
      <c r="B89" s="626"/>
      <c r="C89" s="98" t="s">
        <v>187</v>
      </c>
      <c r="D89" s="83" t="s">
        <v>237</v>
      </c>
      <c r="E89" s="83" t="s">
        <v>60</v>
      </c>
      <c r="F89" s="83" t="s">
        <v>225</v>
      </c>
      <c r="G89" s="99" t="s">
        <v>223</v>
      </c>
    </row>
    <row r="90" spans="1:7" ht="29.65" thickBot="1">
      <c r="A90" s="616"/>
      <c r="B90" s="627"/>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xr3:uid="{5945094E-5B0A-5C92-AD52-36A0BCBA7BC1}">
      <selection activeCell="B27" sqref="B27"/>
    </sheetView>
  </sheetViews>
  <sheetFormatPr defaultRowHeight="14.6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60" t="s">
        <v>240</v>
      </c>
      <c r="B2" s="660"/>
      <c r="C2" s="660"/>
      <c r="D2" s="660"/>
      <c r="E2" s="660"/>
      <c r="F2" s="89"/>
      <c r="G2" s="89"/>
      <c r="H2" s="89"/>
      <c r="I2" s="89"/>
      <c r="J2" s="89"/>
      <c r="K2" s="89"/>
      <c r="L2" s="89"/>
      <c r="M2" s="89"/>
      <c r="N2" s="89"/>
      <c r="O2" s="89"/>
      <c r="P2" s="89"/>
      <c r="Q2" s="89"/>
      <c r="R2" s="89"/>
    </row>
    <row r="3" spans="1:19" ht="43.7">
      <c r="A3" s="519" t="s">
        <v>241</v>
      </c>
      <c r="B3" s="519" t="s">
        <v>242</v>
      </c>
      <c r="C3" s="519" t="s">
        <v>243</v>
      </c>
      <c r="D3" s="519" t="s">
        <v>244</v>
      </c>
      <c r="E3" s="519" t="s">
        <v>245</v>
      </c>
    </row>
    <row r="4" spans="1:19">
      <c r="A4" s="520" t="s">
        <v>246</v>
      </c>
      <c r="B4" s="520" t="s">
        <v>247</v>
      </c>
      <c r="C4" s="520" t="s">
        <v>248</v>
      </c>
      <c r="D4" s="520" t="s">
        <v>249</v>
      </c>
      <c r="E4" s="520" t="s">
        <v>248</v>
      </c>
    </row>
    <row r="5" spans="1:19">
      <c r="A5" s="520" t="s">
        <v>250</v>
      </c>
      <c r="B5" s="520" t="s">
        <v>251</v>
      </c>
      <c r="C5" s="520" t="s">
        <v>252</v>
      </c>
      <c r="D5" s="520" t="s">
        <v>249</v>
      </c>
      <c r="E5" s="520" t="s">
        <v>248</v>
      </c>
    </row>
    <row r="6" spans="1:19">
      <c r="A6" s="81"/>
    </row>
    <row r="7" spans="1:19" ht="59.25" customHeight="1">
      <c r="A7" s="660" t="s">
        <v>253</v>
      </c>
      <c r="B7" s="661"/>
      <c r="C7" s="661"/>
      <c r="D7" s="661"/>
      <c r="E7" s="661"/>
      <c r="F7" s="661"/>
      <c r="G7" s="661"/>
      <c r="H7" s="661"/>
      <c r="I7" s="661"/>
      <c r="J7" s="661"/>
      <c r="K7" s="661"/>
      <c r="L7" s="661"/>
      <c r="M7" s="89"/>
      <c r="N7" s="89"/>
      <c r="O7" s="89"/>
      <c r="P7" s="89"/>
      <c r="Q7" s="89"/>
      <c r="R7" s="89"/>
      <c r="S7" s="89"/>
    </row>
    <row r="8" spans="1:19">
      <c r="A8" s="521" t="s">
        <v>254</v>
      </c>
      <c r="B8" s="522"/>
      <c r="C8" s="522"/>
      <c r="D8" s="522"/>
      <c r="E8" s="522"/>
      <c r="F8" s="522"/>
      <c r="G8" s="522"/>
      <c r="H8" s="522"/>
      <c r="I8" s="522"/>
      <c r="J8" s="522"/>
      <c r="K8" s="522"/>
      <c r="L8" s="522"/>
      <c r="M8" s="89"/>
      <c r="N8" s="89"/>
      <c r="O8" s="89"/>
      <c r="P8" s="89"/>
      <c r="Q8" s="89"/>
      <c r="R8" s="89"/>
      <c r="S8" s="89"/>
    </row>
    <row r="9" spans="1:19">
      <c r="A9" s="523" t="s">
        <v>77</v>
      </c>
      <c r="B9" s="524" t="s">
        <v>81</v>
      </c>
      <c r="C9" s="524" t="s">
        <v>84</v>
      </c>
      <c r="D9" s="525" t="s">
        <v>88</v>
      </c>
      <c r="E9" s="524" t="s">
        <v>91</v>
      </c>
      <c r="F9" s="524" t="s">
        <v>94</v>
      </c>
      <c r="G9" s="524" t="s">
        <v>96</v>
      </c>
      <c r="H9" s="524" t="s">
        <v>99</v>
      </c>
      <c r="I9" s="524" t="s">
        <v>102</v>
      </c>
      <c r="J9" s="526" t="s">
        <v>105</v>
      </c>
      <c r="K9" s="526" t="s">
        <v>108</v>
      </c>
      <c r="L9" s="527" t="s">
        <v>1</v>
      </c>
    </row>
    <row r="10" spans="1:19">
      <c r="A10" s="528" t="s">
        <v>255</v>
      </c>
      <c r="B10" s="529" t="s">
        <v>256</v>
      </c>
      <c r="C10" s="529"/>
      <c r="D10" s="530" t="s">
        <v>257</v>
      </c>
      <c r="E10" s="531"/>
      <c r="F10" s="529" t="s">
        <v>258</v>
      </c>
      <c r="G10" s="530" t="s">
        <v>259</v>
      </c>
      <c r="H10" s="529" t="s">
        <v>260</v>
      </c>
      <c r="I10" s="529"/>
      <c r="J10" s="530">
        <v>1</v>
      </c>
      <c r="K10" s="530">
        <v>1</v>
      </c>
      <c r="L10" s="530" t="s">
        <v>261</v>
      </c>
    </row>
    <row r="11" spans="1:19">
      <c r="A11" s="528" t="s">
        <v>262</v>
      </c>
      <c r="B11" s="529" t="s">
        <v>263</v>
      </c>
      <c r="C11" s="529"/>
      <c r="D11" s="530" t="s">
        <v>264</v>
      </c>
      <c r="E11" s="531"/>
      <c r="F11" s="529" t="s">
        <v>265</v>
      </c>
      <c r="G11" s="530" t="s">
        <v>259</v>
      </c>
      <c r="H11" s="529" t="s">
        <v>266</v>
      </c>
      <c r="I11" s="529"/>
      <c r="J11" s="530">
        <v>1</v>
      </c>
      <c r="K11" s="530">
        <v>1</v>
      </c>
      <c r="L11" s="530" t="s">
        <v>267</v>
      </c>
    </row>
    <row r="12" spans="1:19" ht="29.1">
      <c r="A12" s="528" t="s">
        <v>268</v>
      </c>
      <c r="B12" s="528" t="s">
        <v>269</v>
      </c>
      <c r="C12" s="529"/>
      <c r="D12" s="530" t="s">
        <v>247</v>
      </c>
      <c r="E12" s="531"/>
      <c r="F12" s="529" t="s">
        <v>270</v>
      </c>
      <c r="G12" s="530" t="e">
        <v>#N/A</v>
      </c>
      <c r="H12" s="529" t="s">
        <v>249</v>
      </c>
      <c r="I12" s="529"/>
      <c r="J12" s="530">
        <v>1</v>
      </c>
      <c r="K12" s="530">
        <v>1</v>
      </c>
      <c r="L12" s="530" t="s">
        <v>261</v>
      </c>
    </row>
    <row r="13" spans="1:19">
      <c r="A13" s="532" t="s">
        <v>271</v>
      </c>
    </row>
    <row r="14" spans="1:19">
      <c r="A14" s="523" t="s">
        <v>77</v>
      </c>
      <c r="B14" s="524" t="s">
        <v>81</v>
      </c>
      <c r="C14" s="524" t="s">
        <v>84</v>
      </c>
      <c r="D14" s="525" t="s">
        <v>88</v>
      </c>
      <c r="E14" s="524" t="s">
        <v>91</v>
      </c>
      <c r="F14" s="524" t="s">
        <v>94</v>
      </c>
      <c r="G14" s="524" t="s">
        <v>96</v>
      </c>
      <c r="H14" s="524" t="s">
        <v>99</v>
      </c>
      <c r="I14" s="524" t="s">
        <v>102</v>
      </c>
      <c r="J14" s="526" t="s">
        <v>105</v>
      </c>
      <c r="K14" s="526" t="s">
        <v>108</v>
      </c>
      <c r="L14" s="533" t="s">
        <v>1</v>
      </c>
      <c r="M14" s="526" t="s">
        <v>114</v>
      </c>
      <c r="N14" s="526" t="s">
        <v>118</v>
      </c>
      <c r="O14" s="526" t="s">
        <v>121</v>
      </c>
      <c r="P14" s="526" t="s">
        <v>125</v>
      </c>
      <c r="Q14" s="526" t="s">
        <v>128</v>
      </c>
      <c r="R14" s="526" t="s">
        <v>132</v>
      </c>
      <c r="S14" s="526" t="s">
        <v>157</v>
      </c>
    </row>
    <row r="15" spans="1:19">
      <c r="A15" s="528" t="s">
        <v>272</v>
      </c>
      <c r="B15" s="529" t="s">
        <v>273</v>
      </c>
      <c r="C15" s="529"/>
      <c r="D15" s="530" t="s">
        <v>252</v>
      </c>
      <c r="E15" s="529"/>
      <c r="F15" s="529" t="s">
        <v>274</v>
      </c>
      <c r="G15" s="530" t="s">
        <v>259</v>
      </c>
      <c r="H15" s="529" t="s">
        <v>275</v>
      </c>
      <c r="I15" s="529"/>
      <c r="J15" s="530">
        <v>1</v>
      </c>
      <c r="K15" s="530">
        <v>1</v>
      </c>
      <c r="L15" s="530" t="s">
        <v>276</v>
      </c>
      <c r="M15" s="534">
        <v>0</v>
      </c>
      <c r="N15" s="530"/>
      <c r="O15" s="534">
        <v>0</v>
      </c>
      <c r="P15" s="529" t="s">
        <v>48</v>
      </c>
      <c r="Q15" s="530">
        <v>1</v>
      </c>
      <c r="R15" s="530">
        <v>0</v>
      </c>
      <c r="S15" s="529" t="s">
        <v>277</v>
      </c>
    </row>
    <row r="16" spans="1:19">
      <c r="A16" s="528" t="s">
        <v>250</v>
      </c>
      <c r="B16" s="529" t="s">
        <v>278</v>
      </c>
      <c r="C16" s="529"/>
      <c r="D16" s="535" t="s">
        <v>247</v>
      </c>
      <c r="E16" s="529"/>
      <c r="F16" s="529" t="s">
        <v>279</v>
      </c>
      <c r="G16" s="530" t="s">
        <v>280</v>
      </c>
      <c r="H16" s="536" t="s">
        <v>249</v>
      </c>
      <c r="I16" s="529"/>
      <c r="J16" s="530">
        <v>1</v>
      </c>
      <c r="K16" s="530">
        <v>1</v>
      </c>
      <c r="L16" s="530" t="s">
        <v>261</v>
      </c>
      <c r="M16" s="534">
        <v>0</v>
      </c>
      <c r="N16" s="530"/>
      <c r="O16" s="534">
        <v>0</v>
      </c>
      <c r="P16" s="529" t="s">
        <v>48</v>
      </c>
      <c r="Q16" s="530">
        <v>1</v>
      </c>
      <c r="R16" s="530">
        <v>0</v>
      </c>
      <c r="S16" s="529" t="s">
        <v>277</v>
      </c>
    </row>
    <row r="17" spans="1:19">
      <c r="A17" s="528" t="s">
        <v>281</v>
      </c>
      <c r="B17" s="529" t="s">
        <v>282</v>
      </c>
      <c r="C17" s="529"/>
      <c r="D17" s="530" t="s">
        <v>252</v>
      </c>
      <c r="E17" s="529"/>
      <c r="F17" s="529" t="s">
        <v>283</v>
      </c>
      <c r="G17" s="530" t="s">
        <v>284</v>
      </c>
      <c r="H17" s="529" t="s">
        <v>285</v>
      </c>
      <c r="I17" s="529"/>
      <c r="J17" s="530">
        <v>1</v>
      </c>
      <c r="K17" s="530">
        <v>1</v>
      </c>
      <c r="L17" s="530" t="s">
        <v>276</v>
      </c>
      <c r="M17" s="534">
        <v>0</v>
      </c>
      <c r="N17" s="530"/>
      <c r="O17" s="534">
        <v>0</v>
      </c>
      <c r="P17" s="529" t="s">
        <v>48</v>
      </c>
      <c r="Q17" s="530">
        <v>1</v>
      </c>
      <c r="R17" s="530">
        <v>0</v>
      </c>
      <c r="S17" s="529"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xr3:uid="{EAA6BE0F-A623-5FC0-AFD2-9CA7079ED315}">
      <pane xSplit="1" ySplit="1" topLeftCell="B2" activePane="bottomRight" state="frozen"/>
      <selection pane="bottomRight" activeCell="B9" sqref="B9"/>
      <selection pane="bottomLeft" activeCell="A2" sqref="A2"/>
      <selection pane="topRight" activeCell="B1" sqref="B1"/>
    </sheetView>
  </sheetViews>
  <sheetFormatPr defaultColWidth="9.140625" defaultRowHeight="14.65"/>
  <cols>
    <col min="1" max="1" width="9.7109375" style="169" bestFit="1" customWidth="1"/>
    <col min="2" max="2" width="123" style="81" bestFit="1" customWidth="1"/>
    <col min="3" max="3" width="7.140625" style="81" bestFit="1" customWidth="1"/>
    <col min="4" max="16384" width="9.140625" style="81"/>
  </cols>
  <sheetData>
    <row r="1" spans="1:3">
      <c r="A1" s="537" t="s">
        <v>0</v>
      </c>
      <c r="B1" s="538" t="s">
        <v>287</v>
      </c>
      <c r="C1" s="538" t="s">
        <v>288</v>
      </c>
    </row>
    <row r="2" spans="1:3">
      <c r="A2" s="539">
        <v>43807</v>
      </c>
      <c r="B2" s="540" t="s">
        <v>289</v>
      </c>
      <c r="C2" s="540" t="s">
        <v>11</v>
      </c>
    </row>
    <row r="3" spans="1:3" ht="29.1">
      <c r="A3" s="539">
        <v>43937</v>
      </c>
      <c r="B3" s="80" t="s">
        <v>290</v>
      </c>
      <c r="C3" s="540" t="s">
        <v>11</v>
      </c>
    </row>
    <row r="4" spans="1:3">
      <c r="A4" s="539">
        <v>43941</v>
      </c>
      <c r="B4" s="540" t="s">
        <v>291</v>
      </c>
      <c r="C4" s="540" t="s">
        <v>11</v>
      </c>
    </row>
    <row r="5" spans="1:3">
      <c r="A5" s="539">
        <v>43942</v>
      </c>
      <c r="B5" s="540" t="s">
        <v>292</v>
      </c>
      <c r="C5" s="540" t="s">
        <v>11</v>
      </c>
    </row>
    <row r="6" spans="1:3">
      <c r="A6" s="539">
        <v>43963</v>
      </c>
      <c r="B6" s="540" t="s">
        <v>293</v>
      </c>
      <c r="C6" s="540" t="s">
        <v>11</v>
      </c>
    </row>
    <row r="7" spans="1:3">
      <c r="A7" s="539">
        <v>43990</v>
      </c>
      <c r="B7" s="540" t="s">
        <v>294</v>
      </c>
      <c r="C7" s="540" t="s">
        <v>11</v>
      </c>
    </row>
    <row r="8" spans="1:3" ht="29.1">
      <c r="A8" s="539">
        <v>44104</v>
      </c>
      <c r="B8" s="80" t="s">
        <v>295</v>
      </c>
      <c r="C8" s="540" t="s">
        <v>296</v>
      </c>
    </row>
    <row r="9" spans="1:3" ht="145.69999999999999">
      <c r="A9" s="539">
        <v>44128</v>
      </c>
      <c r="B9" s="80" t="s">
        <v>297</v>
      </c>
      <c r="C9" s="540" t="s">
        <v>296</v>
      </c>
    </row>
    <row r="10" spans="1:3">
      <c r="A10" s="539">
        <v>44361</v>
      </c>
      <c r="B10" s="540" t="s">
        <v>298</v>
      </c>
      <c r="C10" s="540" t="s">
        <v>299</v>
      </c>
    </row>
    <row r="11" spans="1:3">
      <c r="A11" s="539">
        <v>44813</v>
      </c>
      <c r="B11" s="540" t="s">
        <v>300</v>
      </c>
      <c r="C11" s="54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7"/>
  <sheetViews>
    <sheetView workbookViewId="0" xr3:uid="{8082856C-810B-54E1-9DD2-C815FD52AFE6}">
      <pane ySplit="2" topLeftCell="A3" activePane="bottomLeft" state="frozen"/>
      <selection pane="bottomLeft" activeCell="K129" sqref="K129"/>
    </sheetView>
  </sheetViews>
  <sheetFormatPr defaultRowHeight="14.6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73"/>
  </cols>
  <sheetData>
    <row r="1" spans="1:8" ht="39" customHeight="1" thickBot="1">
      <c r="A1" s="662" t="s">
        <v>301</v>
      </c>
      <c r="B1" s="663"/>
      <c r="C1" s="663"/>
      <c r="D1" s="663"/>
      <c r="E1" s="663"/>
      <c r="F1" s="663"/>
      <c r="G1" s="663"/>
      <c r="H1" s="664"/>
    </row>
    <row r="2" spans="1:8" s="79" customFormat="1" ht="15" thickBot="1">
      <c r="A2" s="582" t="s">
        <v>77</v>
      </c>
      <c r="B2" s="583" t="s">
        <v>81</v>
      </c>
      <c r="C2" s="589" t="s">
        <v>96</v>
      </c>
      <c r="D2" s="589" t="s">
        <v>202</v>
      </c>
      <c r="E2" s="588" t="s">
        <v>1</v>
      </c>
    </row>
    <row r="3" spans="1:8" ht="15" thickBot="1">
      <c r="A3" s="584" t="s">
        <v>302</v>
      </c>
      <c r="B3" s="584" t="s">
        <v>303</v>
      </c>
      <c r="C3" s="591" t="s">
        <v>280</v>
      </c>
      <c r="D3" s="591"/>
      <c r="E3" s="586" t="s">
        <v>44</v>
      </c>
      <c r="F3" s="585" t="s">
        <v>77</v>
      </c>
      <c r="G3" s="290" t="s">
        <v>304</v>
      </c>
      <c r="H3" s="513">
        <f>COUNTA(A3:A4005)</f>
        <v>155</v>
      </c>
    </row>
    <row r="4" spans="1:8">
      <c r="A4" s="584" t="s">
        <v>305</v>
      </c>
      <c r="B4" s="584" t="s">
        <v>306</v>
      </c>
      <c r="C4" s="591" t="s">
        <v>280</v>
      </c>
      <c r="D4" s="591"/>
      <c r="E4" s="586" t="s">
        <v>39</v>
      </c>
      <c r="F4" s="665" t="s">
        <v>96</v>
      </c>
      <c r="G4" s="291" t="s">
        <v>307</v>
      </c>
      <c r="H4" s="514">
        <f>COUNTIFS($C3:$C4005,"P1")</f>
        <v>0</v>
      </c>
    </row>
    <row r="5" spans="1:8">
      <c r="A5" s="584" t="s">
        <v>308</v>
      </c>
      <c r="B5" s="584" t="s">
        <v>309</v>
      </c>
      <c r="C5" s="591" t="s">
        <v>280</v>
      </c>
      <c r="D5" s="591"/>
      <c r="E5" s="586" t="s">
        <v>44</v>
      </c>
      <c r="F5" s="666"/>
      <c r="G5" s="292" t="s">
        <v>310</v>
      </c>
      <c r="H5" s="515">
        <f>COUNTIFS($C3:$C4005,"P2")</f>
        <v>155</v>
      </c>
    </row>
    <row r="6" spans="1:8" ht="15" thickBot="1">
      <c r="A6" s="584" t="s">
        <v>311</v>
      </c>
      <c r="B6" s="584" t="s">
        <v>312</v>
      </c>
      <c r="C6" s="591" t="s">
        <v>280</v>
      </c>
      <c r="D6" s="591"/>
      <c r="E6" s="586" t="s">
        <v>44</v>
      </c>
      <c r="F6" s="667"/>
      <c r="G6" s="293" t="s">
        <v>313</v>
      </c>
      <c r="H6" s="516">
        <f>COUNTIFS($C3:$C4005,"P3")</f>
        <v>0</v>
      </c>
    </row>
    <row r="7" spans="1:8">
      <c r="A7" s="584" t="s">
        <v>314</v>
      </c>
      <c r="B7" s="584" t="s">
        <v>315</v>
      </c>
      <c r="C7" s="591" t="s">
        <v>280</v>
      </c>
      <c r="D7" s="591"/>
      <c r="E7" s="586" t="s">
        <v>44</v>
      </c>
      <c r="F7" s="668" t="s">
        <v>202</v>
      </c>
      <c r="G7" s="291" t="s">
        <v>316</v>
      </c>
      <c r="H7" s="514">
        <f>COUNTIFS($D3:$D4005,"Diagnostics")</f>
        <v>0</v>
      </c>
    </row>
    <row r="8" spans="1:8">
      <c r="A8" s="584" t="s">
        <v>317</v>
      </c>
      <c r="B8" s="584" t="s">
        <v>318</v>
      </c>
      <c r="C8" s="591" t="s">
        <v>280</v>
      </c>
      <c r="D8" s="591"/>
      <c r="E8" s="586" t="s">
        <v>44</v>
      </c>
      <c r="F8" s="669"/>
      <c r="G8" s="292" t="s">
        <v>319</v>
      </c>
      <c r="H8" s="515">
        <f>COUNTIFS($D3:$D4005,"Driver")</f>
        <v>0</v>
      </c>
    </row>
    <row r="9" spans="1:8">
      <c r="A9" s="584" t="s">
        <v>320</v>
      </c>
      <c r="B9" s="584" t="s">
        <v>321</v>
      </c>
      <c r="C9" s="591" t="s">
        <v>280</v>
      </c>
      <c r="D9" s="591"/>
      <c r="E9" s="586" t="s">
        <v>44</v>
      </c>
      <c r="F9" s="669"/>
      <c r="G9" s="292" t="s">
        <v>322</v>
      </c>
      <c r="H9" s="515">
        <f>COUNTIFS($D3:$D4005,"IPSE")</f>
        <v>0</v>
      </c>
    </row>
    <row r="10" spans="1:8" ht="15" thickBot="1">
      <c r="A10" s="584" t="s">
        <v>323</v>
      </c>
      <c r="B10" s="584" t="s">
        <v>324</v>
      </c>
      <c r="C10" s="591" t="s">
        <v>280</v>
      </c>
      <c r="D10" s="591"/>
      <c r="E10" s="586" t="s">
        <v>44</v>
      </c>
      <c r="F10" s="670"/>
      <c r="G10" s="293" t="s">
        <v>325</v>
      </c>
      <c r="H10" s="516">
        <f>COUNTIFS($D3:$D4005,"N/A")</f>
        <v>0</v>
      </c>
    </row>
    <row r="11" spans="1:8">
      <c r="A11" s="584" t="s">
        <v>326</v>
      </c>
      <c r="B11" s="584" t="s">
        <v>327</v>
      </c>
      <c r="C11" s="591" t="s">
        <v>280</v>
      </c>
      <c r="D11" s="591"/>
      <c r="E11" s="586" t="s">
        <v>44</v>
      </c>
      <c r="F11" s="668" t="s">
        <v>1</v>
      </c>
      <c r="G11" s="291" t="s">
        <v>328</v>
      </c>
      <c r="H11" s="514">
        <f>COUNTIFS($E3:$E4005,"Legacy")</f>
        <v>119</v>
      </c>
    </row>
    <row r="12" spans="1:8">
      <c r="A12" s="584" t="s">
        <v>329</v>
      </c>
      <c r="B12" s="584" t="s">
        <v>330</v>
      </c>
      <c r="C12" s="591" t="s">
        <v>280</v>
      </c>
      <c r="D12" s="591"/>
      <c r="E12" s="586" t="s">
        <v>44</v>
      </c>
      <c r="F12" s="669"/>
      <c r="G12" s="292" t="s">
        <v>331</v>
      </c>
      <c r="H12" s="515">
        <f>COUNTIFS($E3:$E4005,"Delta")</f>
        <v>13</v>
      </c>
    </row>
    <row r="13" spans="1:8" ht="15" thickBot="1">
      <c r="A13" s="584" t="s">
        <v>332</v>
      </c>
      <c r="B13" s="584" t="s">
        <v>333</v>
      </c>
      <c r="C13" s="591" t="s">
        <v>280</v>
      </c>
      <c r="D13" s="591"/>
      <c r="E13" s="586" t="s">
        <v>33</v>
      </c>
      <c r="F13" s="670"/>
      <c r="G13" s="293" t="s">
        <v>334</v>
      </c>
      <c r="H13" s="516">
        <f>COUNTIFS($E3:$E4005,"New")</f>
        <v>23</v>
      </c>
    </row>
    <row r="14" spans="1:8" ht="15" thickBot="1">
      <c r="A14" s="584" t="s">
        <v>335</v>
      </c>
      <c r="B14" s="584" t="s">
        <v>336</v>
      </c>
      <c r="C14" s="591" t="s">
        <v>280</v>
      </c>
      <c r="D14" s="591"/>
      <c r="E14" s="586" t="s">
        <v>33</v>
      </c>
      <c r="F14" s="590" t="s">
        <v>207</v>
      </c>
      <c r="G14" s="671">
        <v>4.01</v>
      </c>
      <c r="H14" s="672"/>
    </row>
    <row r="15" spans="1:8">
      <c r="A15" s="584" t="s">
        <v>337</v>
      </c>
      <c r="B15" s="584" t="s">
        <v>338</v>
      </c>
      <c r="C15" s="591" t="s">
        <v>280</v>
      </c>
      <c r="D15" s="591"/>
      <c r="E15" s="586" t="s">
        <v>33</v>
      </c>
    </row>
    <row r="16" spans="1:8">
      <c r="A16" s="584" t="s">
        <v>339</v>
      </c>
      <c r="B16" s="584" t="s">
        <v>340</v>
      </c>
      <c r="C16" s="591" t="s">
        <v>280</v>
      </c>
      <c r="D16" s="591"/>
      <c r="E16" s="586" t="s">
        <v>33</v>
      </c>
    </row>
    <row r="17" spans="1:5">
      <c r="A17" s="584" t="s">
        <v>341</v>
      </c>
      <c r="B17" s="584" t="s">
        <v>342</v>
      </c>
      <c r="C17" s="591" t="s">
        <v>280</v>
      </c>
      <c r="D17" s="591"/>
      <c r="E17" s="586" t="s">
        <v>33</v>
      </c>
    </row>
    <row r="18" spans="1:5">
      <c r="A18" s="584" t="s">
        <v>343</v>
      </c>
      <c r="B18" s="584" t="s">
        <v>344</v>
      </c>
      <c r="C18" s="591" t="s">
        <v>280</v>
      </c>
      <c r="D18" s="591"/>
      <c r="E18" s="586" t="s">
        <v>33</v>
      </c>
    </row>
    <row r="19" spans="1:5">
      <c r="A19" s="584" t="s">
        <v>345</v>
      </c>
      <c r="B19" s="584" t="s">
        <v>346</v>
      </c>
      <c r="C19" s="591" t="s">
        <v>280</v>
      </c>
      <c r="D19" s="591"/>
      <c r="E19" s="586" t="s">
        <v>33</v>
      </c>
    </row>
    <row r="20" spans="1:5">
      <c r="A20" s="584" t="s">
        <v>347</v>
      </c>
      <c r="B20" s="584" t="s">
        <v>348</v>
      </c>
      <c r="C20" s="591" t="s">
        <v>280</v>
      </c>
      <c r="D20" s="591"/>
      <c r="E20" s="586" t="s">
        <v>33</v>
      </c>
    </row>
    <row r="21" spans="1:5">
      <c r="A21" s="584" t="s">
        <v>349</v>
      </c>
      <c r="B21" s="584" t="s">
        <v>350</v>
      </c>
      <c r="C21" s="591" t="s">
        <v>280</v>
      </c>
      <c r="D21" s="591"/>
      <c r="E21" s="586" t="s">
        <v>33</v>
      </c>
    </row>
    <row r="22" spans="1:5">
      <c r="A22" s="584" t="s">
        <v>351</v>
      </c>
      <c r="B22" s="584" t="s">
        <v>352</v>
      </c>
      <c r="C22" s="591" t="s">
        <v>280</v>
      </c>
      <c r="D22" s="591"/>
      <c r="E22" s="586" t="s">
        <v>33</v>
      </c>
    </row>
    <row r="23" spans="1:5">
      <c r="A23" s="584" t="s">
        <v>353</v>
      </c>
      <c r="B23" s="584" t="s">
        <v>354</v>
      </c>
      <c r="C23" s="591" t="s">
        <v>280</v>
      </c>
      <c r="D23" s="591"/>
      <c r="E23" s="586" t="s">
        <v>33</v>
      </c>
    </row>
    <row r="24" spans="1:5">
      <c r="A24" s="584" t="s">
        <v>355</v>
      </c>
      <c r="B24" s="584" t="s">
        <v>356</v>
      </c>
      <c r="C24" s="591" t="s">
        <v>280</v>
      </c>
      <c r="D24" s="591"/>
      <c r="E24" s="586" t="s">
        <v>33</v>
      </c>
    </row>
    <row r="25" spans="1:5">
      <c r="A25" s="584" t="s">
        <v>357</v>
      </c>
      <c r="B25" s="584" t="s">
        <v>358</v>
      </c>
      <c r="C25" s="591" t="s">
        <v>280</v>
      </c>
      <c r="D25" s="591"/>
      <c r="E25" s="586" t="s">
        <v>33</v>
      </c>
    </row>
    <row r="26" spans="1:5">
      <c r="A26" s="584" t="s">
        <v>359</v>
      </c>
      <c r="B26" s="584" t="s">
        <v>360</v>
      </c>
      <c r="C26" s="591" t="s">
        <v>280</v>
      </c>
      <c r="D26" s="591"/>
      <c r="E26" s="586" t="s">
        <v>33</v>
      </c>
    </row>
    <row r="27" spans="1:5">
      <c r="A27" s="584" t="s">
        <v>361</v>
      </c>
      <c r="B27" s="584" t="s">
        <v>362</v>
      </c>
      <c r="C27" s="591" t="s">
        <v>280</v>
      </c>
      <c r="D27" s="591"/>
      <c r="E27" s="586" t="s">
        <v>33</v>
      </c>
    </row>
    <row r="28" spans="1:5">
      <c r="A28" s="584" t="s">
        <v>363</v>
      </c>
      <c r="B28" s="584" t="s">
        <v>364</v>
      </c>
      <c r="C28" s="591" t="s">
        <v>280</v>
      </c>
      <c r="D28" s="591"/>
      <c r="E28" s="586" t="s">
        <v>33</v>
      </c>
    </row>
    <row r="29" spans="1:5">
      <c r="A29" s="584" t="s">
        <v>365</v>
      </c>
      <c r="B29" s="584" t="s">
        <v>366</v>
      </c>
      <c r="C29" s="591" t="s">
        <v>280</v>
      </c>
      <c r="D29" s="591"/>
      <c r="E29" s="586" t="s">
        <v>33</v>
      </c>
    </row>
    <row r="30" spans="1:5">
      <c r="A30" s="584" t="s">
        <v>367</v>
      </c>
      <c r="B30" s="584" t="s">
        <v>368</v>
      </c>
      <c r="C30" s="591" t="s">
        <v>280</v>
      </c>
      <c r="D30" s="591"/>
      <c r="E30" s="586" t="s">
        <v>33</v>
      </c>
    </row>
    <row r="31" spans="1:5">
      <c r="A31" s="584" t="s">
        <v>369</v>
      </c>
      <c r="B31" s="584" t="s">
        <v>370</v>
      </c>
      <c r="C31" s="591" t="s">
        <v>280</v>
      </c>
      <c r="D31" s="591"/>
      <c r="E31" s="586" t="s">
        <v>33</v>
      </c>
    </row>
    <row r="32" spans="1:5">
      <c r="A32" s="584" t="s">
        <v>371</v>
      </c>
      <c r="B32" s="584" t="s">
        <v>372</v>
      </c>
      <c r="C32" s="591" t="s">
        <v>280</v>
      </c>
      <c r="D32" s="591"/>
      <c r="E32" s="586" t="s">
        <v>39</v>
      </c>
    </row>
    <row r="33" spans="1:5">
      <c r="A33" s="584" t="s">
        <v>373</v>
      </c>
      <c r="B33" s="584" t="s">
        <v>374</v>
      </c>
      <c r="C33" s="591" t="s">
        <v>280</v>
      </c>
      <c r="D33" s="591"/>
      <c r="E33" s="586" t="s">
        <v>39</v>
      </c>
    </row>
    <row r="34" spans="1:5">
      <c r="A34" s="584" t="s">
        <v>375</v>
      </c>
      <c r="B34" s="584" t="s">
        <v>376</v>
      </c>
      <c r="C34" s="591" t="s">
        <v>280</v>
      </c>
      <c r="D34" s="591"/>
      <c r="E34" s="586" t="s">
        <v>33</v>
      </c>
    </row>
    <row r="35" spans="1:5">
      <c r="A35" s="584" t="s">
        <v>377</v>
      </c>
      <c r="B35" s="584" t="s">
        <v>378</v>
      </c>
      <c r="C35" s="591" t="s">
        <v>280</v>
      </c>
      <c r="D35" s="591"/>
      <c r="E35" s="586" t="s">
        <v>33</v>
      </c>
    </row>
    <row r="36" spans="1:5">
      <c r="A36" s="584" t="s">
        <v>379</v>
      </c>
      <c r="B36" s="584" t="s">
        <v>380</v>
      </c>
      <c r="C36" s="591" t="s">
        <v>280</v>
      </c>
      <c r="D36" s="591"/>
      <c r="E36" s="586" t="s">
        <v>39</v>
      </c>
    </row>
    <row r="37" spans="1:5">
      <c r="A37" s="584" t="s">
        <v>381</v>
      </c>
      <c r="B37" s="584" t="s">
        <v>382</v>
      </c>
      <c r="C37" s="591" t="s">
        <v>280</v>
      </c>
      <c r="D37" s="591"/>
      <c r="E37" s="586" t="s">
        <v>44</v>
      </c>
    </row>
    <row r="38" spans="1:5">
      <c r="A38" s="584" t="s">
        <v>383</v>
      </c>
      <c r="B38" s="584" t="s">
        <v>384</v>
      </c>
      <c r="C38" s="591" t="s">
        <v>280</v>
      </c>
      <c r="D38" s="591"/>
      <c r="E38" s="586" t="s">
        <v>44</v>
      </c>
    </row>
    <row r="39" spans="1:5">
      <c r="A39" s="584" t="s">
        <v>385</v>
      </c>
      <c r="B39" s="584" t="s">
        <v>386</v>
      </c>
      <c r="C39" s="591" t="s">
        <v>280</v>
      </c>
      <c r="D39" s="591"/>
      <c r="E39" s="586" t="s">
        <v>44</v>
      </c>
    </row>
    <row r="40" spans="1:5">
      <c r="A40" s="584" t="s">
        <v>387</v>
      </c>
      <c r="B40" s="584" t="s">
        <v>388</v>
      </c>
      <c r="C40" s="591" t="s">
        <v>280</v>
      </c>
      <c r="D40" s="591"/>
      <c r="E40" s="586" t="s">
        <v>33</v>
      </c>
    </row>
    <row r="41" spans="1:5">
      <c r="A41" s="584" t="s">
        <v>389</v>
      </c>
      <c r="B41" s="584" t="s">
        <v>390</v>
      </c>
      <c r="C41" s="591" t="s">
        <v>280</v>
      </c>
      <c r="D41" s="591"/>
      <c r="E41" s="586" t="s">
        <v>39</v>
      </c>
    </row>
    <row r="42" spans="1:5">
      <c r="A42" s="584" t="s">
        <v>391</v>
      </c>
      <c r="B42" s="584" t="s">
        <v>392</v>
      </c>
      <c r="C42" s="591" t="s">
        <v>280</v>
      </c>
      <c r="D42" s="591"/>
      <c r="E42" s="586" t="s">
        <v>33</v>
      </c>
    </row>
    <row r="43" spans="1:5">
      <c r="A43" s="584" t="s">
        <v>393</v>
      </c>
      <c r="B43" s="584" t="s">
        <v>394</v>
      </c>
      <c r="C43" s="591" t="s">
        <v>280</v>
      </c>
      <c r="D43" s="591"/>
      <c r="E43" s="586" t="s">
        <v>33</v>
      </c>
    </row>
    <row r="44" spans="1:5">
      <c r="A44" s="584" t="s">
        <v>395</v>
      </c>
      <c r="B44" s="584" t="s">
        <v>396</v>
      </c>
      <c r="C44" s="591" t="s">
        <v>280</v>
      </c>
      <c r="D44" s="591"/>
      <c r="E44" s="586" t="s">
        <v>44</v>
      </c>
    </row>
    <row r="45" spans="1:5">
      <c r="A45" s="584" t="s">
        <v>397</v>
      </c>
      <c r="B45" s="584" t="s">
        <v>398</v>
      </c>
      <c r="C45" s="591" t="s">
        <v>280</v>
      </c>
      <c r="D45" s="591"/>
      <c r="E45" s="586" t="s">
        <v>33</v>
      </c>
    </row>
    <row r="46" spans="1:5">
      <c r="A46" s="584" t="s">
        <v>399</v>
      </c>
      <c r="B46" s="584" t="s">
        <v>400</v>
      </c>
      <c r="C46" s="591" t="s">
        <v>280</v>
      </c>
      <c r="D46" s="591"/>
      <c r="E46" s="586" t="s">
        <v>33</v>
      </c>
    </row>
    <row r="47" spans="1:5">
      <c r="A47" s="584" t="s">
        <v>401</v>
      </c>
      <c r="B47" s="584" t="s">
        <v>402</v>
      </c>
      <c r="C47" s="591" t="s">
        <v>280</v>
      </c>
      <c r="D47" s="591"/>
      <c r="E47" s="586" t="s">
        <v>33</v>
      </c>
    </row>
    <row r="48" spans="1:5">
      <c r="A48" s="584" t="s">
        <v>403</v>
      </c>
      <c r="B48" s="584" t="s">
        <v>404</v>
      </c>
      <c r="C48" s="591" t="s">
        <v>280</v>
      </c>
      <c r="D48" s="591"/>
      <c r="E48" s="586" t="s">
        <v>33</v>
      </c>
    </row>
    <row r="49" spans="1:5">
      <c r="A49" s="584" t="s">
        <v>405</v>
      </c>
      <c r="B49" s="584" t="s">
        <v>406</v>
      </c>
      <c r="C49" s="591" t="s">
        <v>280</v>
      </c>
      <c r="D49" s="591"/>
      <c r="E49" s="586" t="s">
        <v>44</v>
      </c>
    </row>
    <row r="50" spans="1:5">
      <c r="A50" s="584" t="s">
        <v>407</v>
      </c>
      <c r="B50" s="584" t="s">
        <v>408</v>
      </c>
      <c r="C50" s="591" t="s">
        <v>280</v>
      </c>
      <c r="D50" s="591"/>
      <c r="E50" s="586" t="s">
        <v>33</v>
      </c>
    </row>
    <row r="51" spans="1:5">
      <c r="A51" s="584" t="s">
        <v>409</v>
      </c>
      <c r="B51" s="584" t="s">
        <v>410</v>
      </c>
      <c r="C51" s="591" t="s">
        <v>280</v>
      </c>
      <c r="D51" s="591"/>
      <c r="E51" s="586" t="s">
        <v>33</v>
      </c>
    </row>
    <row r="52" spans="1:5">
      <c r="A52" s="584" t="s">
        <v>411</v>
      </c>
      <c r="B52" s="584" t="s">
        <v>412</v>
      </c>
      <c r="C52" s="591" t="s">
        <v>280</v>
      </c>
      <c r="D52" s="591"/>
      <c r="E52" s="586" t="s">
        <v>33</v>
      </c>
    </row>
    <row r="53" spans="1:5">
      <c r="A53" s="584" t="s">
        <v>413</v>
      </c>
      <c r="B53" s="584" t="s">
        <v>414</v>
      </c>
      <c r="C53" s="591" t="s">
        <v>280</v>
      </c>
      <c r="D53" s="591"/>
      <c r="E53" s="586" t="s">
        <v>33</v>
      </c>
    </row>
    <row r="54" spans="1:5">
      <c r="A54" s="584" t="s">
        <v>415</v>
      </c>
      <c r="B54" s="584" t="s">
        <v>416</v>
      </c>
      <c r="C54" s="591" t="s">
        <v>280</v>
      </c>
      <c r="D54" s="591"/>
      <c r="E54" s="586" t="s">
        <v>33</v>
      </c>
    </row>
    <row r="55" spans="1:5">
      <c r="A55" s="584" t="s">
        <v>417</v>
      </c>
      <c r="B55" s="584" t="s">
        <v>418</v>
      </c>
      <c r="C55" s="591" t="s">
        <v>280</v>
      </c>
      <c r="D55" s="591"/>
      <c r="E55" s="586" t="s">
        <v>44</v>
      </c>
    </row>
    <row r="56" spans="1:5">
      <c r="A56" s="584" t="s">
        <v>419</v>
      </c>
      <c r="B56" s="584" t="s">
        <v>420</v>
      </c>
      <c r="C56" s="591" t="s">
        <v>280</v>
      </c>
      <c r="D56" s="591"/>
      <c r="E56" s="586" t="s">
        <v>33</v>
      </c>
    </row>
    <row r="57" spans="1:5">
      <c r="A57" s="584" t="s">
        <v>421</v>
      </c>
      <c r="B57" s="584" t="s">
        <v>422</v>
      </c>
      <c r="C57" s="591" t="s">
        <v>280</v>
      </c>
      <c r="D57" s="591"/>
      <c r="E57" s="586" t="s">
        <v>33</v>
      </c>
    </row>
    <row r="58" spans="1:5">
      <c r="A58" s="584" t="s">
        <v>423</v>
      </c>
      <c r="B58" s="584" t="s">
        <v>424</v>
      </c>
      <c r="C58" s="591" t="s">
        <v>280</v>
      </c>
      <c r="D58" s="591"/>
      <c r="E58" s="586" t="s">
        <v>33</v>
      </c>
    </row>
    <row r="59" spans="1:5">
      <c r="A59" s="584" t="s">
        <v>425</v>
      </c>
      <c r="B59" s="584" t="s">
        <v>426</v>
      </c>
      <c r="C59" s="591" t="s">
        <v>280</v>
      </c>
      <c r="D59" s="591"/>
      <c r="E59" s="586" t="s">
        <v>33</v>
      </c>
    </row>
    <row r="60" spans="1:5">
      <c r="A60" s="584" t="s">
        <v>427</v>
      </c>
      <c r="B60" s="584" t="s">
        <v>428</v>
      </c>
      <c r="C60" s="591" t="s">
        <v>280</v>
      </c>
      <c r="D60" s="591"/>
      <c r="E60" s="586" t="s">
        <v>33</v>
      </c>
    </row>
    <row r="61" spans="1:5">
      <c r="A61" s="584" t="s">
        <v>429</v>
      </c>
      <c r="B61" s="584" t="s">
        <v>430</v>
      </c>
      <c r="C61" s="591" t="s">
        <v>280</v>
      </c>
      <c r="D61" s="591"/>
      <c r="E61" s="586" t="s">
        <v>33</v>
      </c>
    </row>
    <row r="62" spans="1:5">
      <c r="A62" s="584" t="s">
        <v>431</v>
      </c>
      <c r="B62" s="584" t="s">
        <v>432</v>
      </c>
      <c r="C62" s="591" t="s">
        <v>280</v>
      </c>
      <c r="D62" s="591"/>
      <c r="E62" s="586" t="s">
        <v>33</v>
      </c>
    </row>
    <row r="63" spans="1:5">
      <c r="A63" s="584" t="s">
        <v>433</v>
      </c>
      <c r="B63" s="584" t="s">
        <v>434</v>
      </c>
      <c r="C63" s="591" t="s">
        <v>280</v>
      </c>
      <c r="D63" s="591"/>
      <c r="E63" s="586" t="s">
        <v>33</v>
      </c>
    </row>
    <row r="64" spans="1:5">
      <c r="A64" s="584" t="s">
        <v>435</v>
      </c>
      <c r="B64" s="584" t="s">
        <v>436</v>
      </c>
      <c r="C64" s="591" t="s">
        <v>280</v>
      </c>
      <c r="D64" s="591"/>
      <c r="E64" s="586" t="s">
        <v>33</v>
      </c>
    </row>
    <row r="65" spans="1:5">
      <c r="A65" s="584" t="s">
        <v>437</v>
      </c>
      <c r="B65" s="584" t="s">
        <v>438</v>
      </c>
      <c r="C65" s="591" t="s">
        <v>280</v>
      </c>
      <c r="D65" s="591"/>
      <c r="E65" s="586" t="s">
        <v>33</v>
      </c>
    </row>
    <row r="66" spans="1:5">
      <c r="A66" s="584" t="s">
        <v>439</v>
      </c>
      <c r="B66" s="584" t="s">
        <v>440</v>
      </c>
      <c r="C66" s="591" t="s">
        <v>280</v>
      </c>
      <c r="D66" s="591"/>
      <c r="E66" s="586" t="s">
        <v>33</v>
      </c>
    </row>
    <row r="67" spans="1:5">
      <c r="A67" s="584" t="s">
        <v>441</v>
      </c>
      <c r="B67" s="584" t="s">
        <v>442</v>
      </c>
      <c r="C67" s="591" t="s">
        <v>280</v>
      </c>
      <c r="D67" s="591"/>
      <c r="E67" s="586" t="s">
        <v>33</v>
      </c>
    </row>
    <row r="68" spans="1:5">
      <c r="A68" s="584" t="s">
        <v>443</v>
      </c>
      <c r="B68" s="584" t="s">
        <v>444</v>
      </c>
      <c r="C68" s="591" t="s">
        <v>280</v>
      </c>
      <c r="D68" s="591"/>
      <c r="E68" s="586" t="s">
        <v>33</v>
      </c>
    </row>
    <row r="69" spans="1:5">
      <c r="A69" s="584" t="s">
        <v>445</v>
      </c>
      <c r="B69" s="584" t="s">
        <v>446</v>
      </c>
      <c r="C69" s="591" t="s">
        <v>280</v>
      </c>
      <c r="D69" s="591"/>
      <c r="E69" s="586" t="s">
        <v>33</v>
      </c>
    </row>
    <row r="70" spans="1:5">
      <c r="A70" s="584" t="s">
        <v>447</v>
      </c>
      <c r="B70" s="584" t="s">
        <v>448</v>
      </c>
      <c r="C70" s="591" t="s">
        <v>280</v>
      </c>
      <c r="D70" s="591"/>
      <c r="E70" s="586" t="s">
        <v>33</v>
      </c>
    </row>
    <row r="71" spans="1:5">
      <c r="A71" s="584" t="s">
        <v>449</v>
      </c>
      <c r="B71" s="584" t="s">
        <v>450</v>
      </c>
      <c r="C71" s="591" t="s">
        <v>280</v>
      </c>
      <c r="D71" s="591"/>
      <c r="E71" s="586" t="s">
        <v>33</v>
      </c>
    </row>
    <row r="72" spans="1:5">
      <c r="A72" s="584" t="s">
        <v>451</v>
      </c>
      <c r="B72" s="584" t="s">
        <v>452</v>
      </c>
      <c r="C72" s="591" t="s">
        <v>280</v>
      </c>
      <c r="D72" s="591"/>
      <c r="E72" s="586" t="s">
        <v>33</v>
      </c>
    </row>
    <row r="73" spans="1:5">
      <c r="A73" s="584" t="s">
        <v>453</v>
      </c>
      <c r="B73" s="584" t="s">
        <v>454</v>
      </c>
      <c r="C73" s="591" t="s">
        <v>280</v>
      </c>
      <c r="D73" s="591"/>
      <c r="E73" s="586" t="s">
        <v>33</v>
      </c>
    </row>
    <row r="74" spans="1:5">
      <c r="A74" s="584" t="s">
        <v>455</v>
      </c>
      <c r="B74" s="584" t="s">
        <v>456</v>
      </c>
      <c r="C74" s="591" t="s">
        <v>280</v>
      </c>
      <c r="D74" s="591"/>
      <c r="E74" s="586" t="s">
        <v>44</v>
      </c>
    </row>
    <row r="75" spans="1:5">
      <c r="A75" s="584" t="s">
        <v>457</v>
      </c>
      <c r="B75" s="584" t="s">
        <v>458</v>
      </c>
      <c r="C75" s="591" t="s">
        <v>280</v>
      </c>
      <c r="D75" s="591"/>
      <c r="E75" s="586" t="s">
        <v>33</v>
      </c>
    </row>
    <row r="76" spans="1:5">
      <c r="A76" s="584" t="s">
        <v>459</v>
      </c>
      <c r="B76" s="584" t="s">
        <v>460</v>
      </c>
      <c r="C76" s="591" t="s">
        <v>280</v>
      </c>
      <c r="D76" s="591"/>
      <c r="E76" s="586" t="s">
        <v>33</v>
      </c>
    </row>
    <row r="77" spans="1:5">
      <c r="A77" s="584" t="s">
        <v>461</v>
      </c>
      <c r="B77" s="584" t="s">
        <v>462</v>
      </c>
      <c r="C77" s="591" t="s">
        <v>280</v>
      </c>
      <c r="D77" s="591"/>
      <c r="E77" s="586" t="s">
        <v>44</v>
      </c>
    </row>
    <row r="78" spans="1:5">
      <c r="A78" s="584" t="s">
        <v>463</v>
      </c>
      <c r="B78" s="584" t="s">
        <v>464</v>
      </c>
      <c r="C78" s="591" t="s">
        <v>280</v>
      </c>
      <c r="D78" s="591"/>
      <c r="E78" s="586" t="s">
        <v>33</v>
      </c>
    </row>
    <row r="79" spans="1:5">
      <c r="A79" s="584" t="s">
        <v>465</v>
      </c>
      <c r="B79" s="584" t="s">
        <v>466</v>
      </c>
      <c r="C79" s="591" t="s">
        <v>280</v>
      </c>
      <c r="D79" s="591"/>
      <c r="E79" s="586" t="s">
        <v>33</v>
      </c>
    </row>
    <row r="80" spans="1:5">
      <c r="A80" s="584" t="s">
        <v>467</v>
      </c>
      <c r="B80" s="584" t="s">
        <v>468</v>
      </c>
      <c r="C80" s="591" t="s">
        <v>280</v>
      </c>
      <c r="D80" s="591"/>
      <c r="E80" s="586" t="s">
        <v>33</v>
      </c>
    </row>
    <row r="81" spans="1:5">
      <c r="A81" s="584" t="s">
        <v>469</v>
      </c>
      <c r="B81" s="584" t="s">
        <v>470</v>
      </c>
      <c r="C81" s="591" t="s">
        <v>280</v>
      </c>
      <c r="D81" s="591"/>
      <c r="E81" s="586" t="s">
        <v>33</v>
      </c>
    </row>
    <row r="82" spans="1:5">
      <c r="A82" s="584" t="s">
        <v>471</v>
      </c>
      <c r="B82" s="584" t="s">
        <v>472</v>
      </c>
      <c r="C82" s="591" t="s">
        <v>280</v>
      </c>
      <c r="D82" s="591"/>
      <c r="E82" s="586" t="s">
        <v>33</v>
      </c>
    </row>
    <row r="83" spans="1:5">
      <c r="A83" s="584" t="s">
        <v>473</v>
      </c>
      <c r="B83" s="584" t="s">
        <v>474</v>
      </c>
      <c r="C83" s="591" t="s">
        <v>280</v>
      </c>
      <c r="D83" s="591"/>
      <c r="E83" s="586" t="s">
        <v>33</v>
      </c>
    </row>
    <row r="84" spans="1:5">
      <c r="A84" s="584" t="s">
        <v>475</v>
      </c>
      <c r="B84" s="584" t="s">
        <v>476</v>
      </c>
      <c r="C84" s="591" t="s">
        <v>280</v>
      </c>
      <c r="D84" s="591"/>
      <c r="E84" s="586" t="s">
        <v>33</v>
      </c>
    </row>
    <row r="85" spans="1:5">
      <c r="A85" s="584" t="s">
        <v>477</v>
      </c>
      <c r="B85" s="584" t="s">
        <v>478</v>
      </c>
      <c r="C85" s="591" t="s">
        <v>280</v>
      </c>
      <c r="D85" s="591"/>
      <c r="E85" s="586" t="s">
        <v>33</v>
      </c>
    </row>
    <row r="86" spans="1:5">
      <c r="A86" s="584" t="s">
        <v>479</v>
      </c>
      <c r="B86" s="584" t="s">
        <v>480</v>
      </c>
      <c r="C86" s="591" t="s">
        <v>280</v>
      </c>
      <c r="D86" s="591"/>
      <c r="E86" s="586" t="s">
        <v>33</v>
      </c>
    </row>
    <row r="87" spans="1:5">
      <c r="A87" s="584" t="s">
        <v>481</v>
      </c>
      <c r="B87" s="584" t="s">
        <v>482</v>
      </c>
      <c r="C87" s="591" t="s">
        <v>280</v>
      </c>
      <c r="D87" s="591"/>
      <c r="E87" s="586" t="s">
        <v>33</v>
      </c>
    </row>
    <row r="88" spans="1:5">
      <c r="A88" s="584" t="s">
        <v>483</v>
      </c>
      <c r="B88" s="584" t="s">
        <v>484</v>
      </c>
      <c r="C88" s="591" t="s">
        <v>280</v>
      </c>
      <c r="D88" s="591"/>
      <c r="E88" s="586" t="s">
        <v>33</v>
      </c>
    </row>
    <row r="89" spans="1:5">
      <c r="A89" s="584" t="s">
        <v>485</v>
      </c>
      <c r="B89" s="584" t="s">
        <v>486</v>
      </c>
      <c r="C89" s="591" t="s">
        <v>280</v>
      </c>
      <c r="D89" s="591"/>
      <c r="E89" s="586" t="s">
        <v>33</v>
      </c>
    </row>
    <row r="90" spans="1:5">
      <c r="A90" s="584" t="s">
        <v>487</v>
      </c>
      <c r="B90" s="584" t="s">
        <v>488</v>
      </c>
      <c r="C90" s="591" t="s">
        <v>280</v>
      </c>
      <c r="D90" s="591"/>
      <c r="E90" s="586" t="s">
        <v>33</v>
      </c>
    </row>
    <row r="91" spans="1:5">
      <c r="A91" s="584" t="s">
        <v>489</v>
      </c>
      <c r="B91" s="584" t="s">
        <v>490</v>
      </c>
      <c r="C91" s="591" t="s">
        <v>280</v>
      </c>
      <c r="D91" s="591"/>
      <c r="E91" s="586" t="s">
        <v>33</v>
      </c>
    </row>
    <row r="92" spans="1:5">
      <c r="A92" s="584" t="s">
        <v>491</v>
      </c>
      <c r="B92" s="584" t="s">
        <v>492</v>
      </c>
      <c r="C92" s="591" t="s">
        <v>280</v>
      </c>
      <c r="D92" s="591"/>
      <c r="E92" s="586" t="s">
        <v>33</v>
      </c>
    </row>
    <row r="93" spans="1:5">
      <c r="A93" s="584" t="s">
        <v>493</v>
      </c>
      <c r="B93" s="584" t="s">
        <v>494</v>
      </c>
      <c r="C93" s="591" t="s">
        <v>280</v>
      </c>
      <c r="D93" s="591"/>
      <c r="E93" s="586" t="s">
        <v>33</v>
      </c>
    </row>
    <row r="94" spans="1:5">
      <c r="A94" s="584" t="s">
        <v>495</v>
      </c>
      <c r="B94" s="584" t="s">
        <v>496</v>
      </c>
      <c r="C94" s="591" t="s">
        <v>280</v>
      </c>
      <c r="D94" s="591"/>
      <c r="E94" s="586" t="s">
        <v>33</v>
      </c>
    </row>
    <row r="95" spans="1:5">
      <c r="A95" s="584" t="s">
        <v>497</v>
      </c>
      <c r="B95" s="584" t="s">
        <v>498</v>
      </c>
      <c r="C95" s="591" t="s">
        <v>280</v>
      </c>
      <c r="D95" s="591"/>
      <c r="E95" s="586" t="s">
        <v>33</v>
      </c>
    </row>
    <row r="96" spans="1:5">
      <c r="A96" s="584" t="s">
        <v>499</v>
      </c>
      <c r="B96" s="584" t="s">
        <v>500</v>
      </c>
      <c r="C96" s="591" t="s">
        <v>280</v>
      </c>
      <c r="D96" s="591"/>
      <c r="E96" s="586" t="s">
        <v>33</v>
      </c>
    </row>
    <row r="97" spans="1:5">
      <c r="A97" s="584" t="s">
        <v>501</v>
      </c>
      <c r="B97" s="584" t="s">
        <v>502</v>
      </c>
      <c r="C97" s="591" t="s">
        <v>280</v>
      </c>
      <c r="D97" s="591"/>
      <c r="E97" s="586" t="s">
        <v>33</v>
      </c>
    </row>
    <row r="98" spans="1:5">
      <c r="A98" s="584" t="s">
        <v>503</v>
      </c>
      <c r="B98" s="584" t="s">
        <v>504</v>
      </c>
      <c r="C98" s="591" t="s">
        <v>280</v>
      </c>
      <c r="D98" s="591"/>
      <c r="E98" s="586" t="s">
        <v>33</v>
      </c>
    </row>
    <row r="99" spans="1:5">
      <c r="A99" s="584" t="s">
        <v>505</v>
      </c>
      <c r="B99" s="584" t="s">
        <v>506</v>
      </c>
      <c r="C99" s="591" t="s">
        <v>280</v>
      </c>
      <c r="D99" s="591"/>
      <c r="E99" s="586" t="s">
        <v>39</v>
      </c>
    </row>
    <row r="100" spans="1:5">
      <c r="A100" s="584" t="s">
        <v>507</v>
      </c>
      <c r="B100" s="584" t="s">
        <v>508</v>
      </c>
      <c r="C100" s="591" t="s">
        <v>280</v>
      </c>
      <c r="D100" s="591"/>
      <c r="E100" s="586" t="s">
        <v>44</v>
      </c>
    </row>
    <row r="101" spans="1:5">
      <c r="A101" s="584" t="s">
        <v>509</v>
      </c>
      <c r="B101" s="584" t="s">
        <v>510</v>
      </c>
      <c r="C101" s="591" t="s">
        <v>280</v>
      </c>
      <c r="D101" s="591"/>
      <c r="E101" s="586" t="s">
        <v>33</v>
      </c>
    </row>
    <row r="102" spans="1:5">
      <c r="A102" s="584" t="s">
        <v>511</v>
      </c>
      <c r="B102" s="584" t="s">
        <v>512</v>
      </c>
      <c r="C102" s="591" t="s">
        <v>280</v>
      </c>
      <c r="D102" s="591"/>
      <c r="E102" s="586" t="s">
        <v>33</v>
      </c>
    </row>
    <row r="103" spans="1:5">
      <c r="A103" s="584" t="s">
        <v>513</v>
      </c>
      <c r="B103" s="584" t="s">
        <v>514</v>
      </c>
      <c r="C103" s="591" t="s">
        <v>280</v>
      </c>
      <c r="D103" s="591"/>
      <c r="E103" s="586" t="s">
        <v>33</v>
      </c>
    </row>
    <row r="104" spans="1:5">
      <c r="A104" s="584" t="s">
        <v>515</v>
      </c>
      <c r="B104" s="584" t="s">
        <v>516</v>
      </c>
      <c r="C104" s="591" t="s">
        <v>280</v>
      </c>
      <c r="D104" s="591"/>
      <c r="E104" s="586" t="s">
        <v>33</v>
      </c>
    </row>
    <row r="105" spans="1:5" ht="14.25" customHeight="1">
      <c r="A105" s="584" t="s">
        <v>517</v>
      </c>
      <c r="B105" s="584" t="s">
        <v>518</v>
      </c>
      <c r="C105" s="591" t="s">
        <v>280</v>
      </c>
      <c r="D105" s="591"/>
      <c r="E105" s="586" t="s">
        <v>33</v>
      </c>
    </row>
    <row r="106" spans="1:5">
      <c r="A106" s="584" t="s">
        <v>519</v>
      </c>
      <c r="B106" s="584" t="s">
        <v>520</v>
      </c>
      <c r="C106" s="591" t="s">
        <v>280</v>
      </c>
      <c r="D106" s="591"/>
      <c r="E106" s="586" t="s">
        <v>33</v>
      </c>
    </row>
    <row r="107" spans="1:5">
      <c r="A107" s="584" t="s">
        <v>521</v>
      </c>
      <c r="B107" s="584" t="s">
        <v>522</v>
      </c>
      <c r="C107" s="591" t="s">
        <v>280</v>
      </c>
      <c r="D107" s="591"/>
      <c r="E107" s="586" t="s">
        <v>33</v>
      </c>
    </row>
    <row r="108" spans="1:5">
      <c r="A108" s="584" t="s">
        <v>523</v>
      </c>
      <c r="B108" s="584" t="s">
        <v>524</v>
      </c>
      <c r="C108" s="591" t="s">
        <v>280</v>
      </c>
      <c r="D108" s="591"/>
      <c r="E108" s="586" t="s">
        <v>33</v>
      </c>
    </row>
    <row r="109" spans="1:5">
      <c r="A109" s="584" t="s">
        <v>525</v>
      </c>
      <c r="B109" s="584" t="s">
        <v>526</v>
      </c>
      <c r="C109" s="591" t="s">
        <v>280</v>
      </c>
      <c r="D109" s="591"/>
      <c r="E109" s="586" t="s">
        <v>33</v>
      </c>
    </row>
    <row r="110" spans="1:5">
      <c r="A110" s="584" t="s">
        <v>527</v>
      </c>
      <c r="B110" s="584" t="s">
        <v>528</v>
      </c>
      <c r="C110" s="591" t="s">
        <v>280</v>
      </c>
      <c r="D110" s="591"/>
      <c r="E110" s="586" t="s">
        <v>33</v>
      </c>
    </row>
    <row r="111" spans="1:5">
      <c r="A111" s="584" t="s">
        <v>529</v>
      </c>
      <c r="B111" s="584" t="s">
        <v>530</v>
      </c>
      <c r="C111" s="591" t="s">
        <v>280</v>
      </c>
      <c r="D111" s="591"/>
      <c r="E111" s="586" t="s">
        <v>33</v>
      </c>
    </row>
    <row r="112" spans="1:5">
      <c r="A112" s="584" t="s">
        <v>531</v>
      </c>
      <c r="B112" s="584" t="s">
        <v>532</v>
      </c>
      <c r="C112" s="591" t="s">
        <v>280</v>
      </c>
      <c r="D112" s="591"/>
      <c r="E112" s="586" t="s">
        <v>33</v>
      </c>
    </row>
    <row r="113" spans="1:5">
      <c r="A113" s="584" t="s">
        <v>533</v>
      </c>
      <c r="B113" s="584" t="s">
        <v>534</v>
      </c>
      <c r="C113" s="591" t="s">
        <v>280</v>
      </c>
      <c r="D113" s="591"/>
      <c r="E113" s="586" t="s">
        <v>33</v>
      </c>
    </row>
    <row r="114" spans="1:5">
      <c r="A114" s="584" t="s">
        <v>535</v>
      </c>
      <c r="B114" s="584" t="s">
        <v>536</v>
      </c>
      <c r="C114" s="591" t="s">
        <v>280</v>
      </c>
      <c r="D114" s="591"/>
      <c r="E114" s="586" t="s">
        <v>33</v>
      </c>
    </row>
    <row r="115" spans="1:5">
      <c r="A115" s="584" t="s">
        <v>537</v>
      </c>
      <c r="B115" s="584" t="s">
        <v>538</v>
      </c>
      <c r="C115" s="591" t="s">
        <v>280</v>
      </c>
      <c r="D115" s="591"/>
      <c r="E115" s="586" t="s">
        <v>33</v>
      </c>
    </row>
    <row r="116" spans="1:5">
      <c r="A116" s="584" t="s">
        <v>539</v>
      </c>
      <c r="B116" s="584" t="s">
        <v>540</v>
      </c>
      <c r="C116" s="591" t="s">
        <v>280</v>
      </c>
      <c r="D116" s="591"/>
      <c r="E116" s="586" t="s">
        <v>33</v>
      </c>
    </row>
    <row r="117" spans="1:5">
      <c r="A117" s="584" t="s">
        <v>541</v>
      </c>
      <c r="B117" s="584" t="s">
        <v>542</v>
      </c>
      <c r="C117" s="591" t="s">
        <v>280</v>
      </c>
      <c r="D117" s="591"/>
      <c r="E117" s="586" t="s">
        <v>33</v>
      </c>
    </row>
    <row r="118" spans="1:5">
      <c r="A118" s="584" t="s">
        <v>543</v>
      </c>
      <c r="B118" s="584" t="s">
        <v>544</v>
      </c>
      <c r="C118" s="591" t="s">
        <v>280</v>
      </c>
      <c r="D118" s="591"/>
      <c r="E118" s="586" t="s">
        <v>33</v>
      </c>
    </row>
    <row r="119" spans="1:5">
      <c r="A119" s="584" t="s">
        <v>545</v>
      </c>
      <c r="B119" s="584" t="s">
        <v>546</v>
      </c>
      <c r="C119" s="591" t="s">
        <v>280</v>
      </c>
      <c r="D119" s="591"/>
      <c r="E119" s="586" t="s">
        <v>33</v>
      </c>
    </row>
    <row r="120" spans="1:5">
      <c r="A120" s="584" t="s">
        <v>547</v>
      </c>
      <c r="B120" s="584" t="s">
        <v>548</v>
      </c>
      <c r="C120" s="591" t="s">
        <v>280</v>
      </c>
      <c r="D120" s="591"/>
      <c r="E120" s="586" t="s">
        <v>33</v>
      </c>
    </row>
    <row r="121" spans="1:5">
      <c r="A121" s="584" t="s">
        <v>549</v>
      </c>
      <c r="B121" s="584" t="s">
        <v>550</v>
      </c>
      <c r="C121" s="591" t="s">
        <v>280</v>
      </c>
      <c r="D121" s="591"/>
      <c r="E121" s="586" t="s">
        <v>33</v>
      </c>
    </row>
    <row r="122" spans="1:5">
      <c r="A122" s="584" t="s">
        <v>551</v>
      </c>
      <c r="B122" s="584" t="s">
        <v>552</v>
      </c>
      <c r="C122" s="591" t="s">
        <v>280</v>
      </c>
      <c r="D122" s="591"/>
      <c r="E122" s="586" t="s">
        <v>33</v>
      </c>
    </row>
    <row r="123" spans="1:5">
      <c r="A123" s="584" t="s">
        <v>553</v>
      </c>
      <c r="B123" s="584" t="s">
        <v>554</v>
      </c>
      <c r="C123" s="591" t="s">
        <v>280</v>
      </c>
      <c r="D123" s="591"/>
      <c r="E123" s="586" t="s">
        <v>33</v>
      </c>
    </row>
    <row r="124" spans="1:5">
      <c r="A124" s="584" t="s">
        <v>555</v>
      </c>
      <c r="B124" s="584" t="s">
        <v>556</v>
      </c>
      <c r="C124" s="591" t="s">
        <v>280</v>
      </c>
      <c r="D124" s="591"/>
      <c r="E124" s="586" t="s">
        <v>33</v>
      </c>
    </row>
    <row r="125" spans="1:5">
      <c r="A125" s="584" t="s">
        <v>557</v>
      </c>
      <c r="B125" s="584" t="s">
        <v>558</v>
      </c>
      <c r="C125" s="591" t="s">
        <v>280</v>
      </c>
      <c r="D125" s="591"/>
      <c r="E125" s="586" t="s">
        <v>33</v>
      </c>
    </row>
    <row r="126" spans="1:5">
      <c r="A126" s="584" t="s">
        <v>559</v>
      </c>
      <c r="B126" s="584" t="s">
        <v>560</v>
      </c>
      <c r="C126" s="591" t="s">
        <v>280</v>
      </c>
      <c r="D126" s="591"/>
      <c r="E126" s="586" t="s">
        <v>33</v>
      </c>
    </row>
    <row r="127" spans="1:5">
      <c r="A127" s="584" t="s">
        <v>561</v>
      </c>
      <c r="B127" s="584" t="s">
        <v>562</v>
      </c>
      <c r="C127" s="591" t="s">
        <v>280</v>
      </c>
      <c r="D127" s="591"/>
      <c r="E127" s="586" t="s">
        <v>33</v>
      </c>
    </row>
    <row r="128" spans="1:5">
      <c r="A128" s="584" t="s">
        <v>563</v>
      </c>
      <c r="B128" s="584" t="s">
        <v>564</v>
      </c>
      <c r="C128" s="591" t="s">
        <v>280</v>
      </c>
      <c r="D128" s="591"/>
      <c r="E128" s="586" t="s">
        <v>33</v>
      </c>
    </row>
    <row r="129" spans="1:14" s="573" customFormat="1">
      <c r="A129" s="584" t="s">
        <v>565</v>
      </c>
      <c r="B129" s="584" t="s">
        <v>566</v>
      </c>
      <c r="C129" s="591" t="s">
        <v>280</v>
      </c>
      <c r="D129" s="591"/>
      <c r="E129" s="586" t="s">
        <v>33</v>
      </c>
      <c r="F129"/>
      <c r="G129"/>
      <c r="H129"/>
      <c r="I129"/>
      <c r="K129"/>
      <c r="L129"/>
      <c r="M129"/>
      <c r="N129"/>
    </row>
    <row r="130" spans="1:14" s="573" customFormat="1">
      <c r="A130" s="584" t="s">
        <v>567</v>
      </c>
      <c r="B130" s="584" t="s">
        <v>568</v>
      </c>
      <c r="C130" s="591" t="s">
        <v>280</v>
      </c>
      <c r="D130" s="591"/>
      <c r="E130" s="586" t="s">
        <v>33</v>
      </c>
      <c r="F130"/>
      <c r="G130"/>
      <c r="H130"/>
      <c r="I130"/>
      <c r="K130"/>
      <c r="L130"/>
      <c r="M130"/>
      <c r="N130"/>
    </row>
    <row r="131" spans="1:14" s="573" customFormat="1">
      <c r="A131" s="584" t="s">
        <v>569</v>
      </c>
      <c r="B131" s="584" t="s">
        <v>570</v>
      </c>
      <c r="C131" s="591" t="s">
        <v>280</v>
      </c>
      <c r="D131" s="591"/>
      <c r="E131" s="586" t="s">
        <v>33</v>
      </c>
      <c r="F131"/>
      <c r="G131"/>
      <c r="H131"/>
      <c r="I131"/>
      <c r="K131"/>
      <c r="L131"/>
      <c r="M131"/>
      <c r="N131"/>
    </row>
    <row r="132" spans="1:14" s="573" customFormat="1">
      <c r="A132" s="584" t="s">
        <v>571</v>
      </c>
      <c r="B132" s="584" t="s">
        <v>572</v>
      </c>
      <c r="C132" s="591" t="s">
        <v>280</v>
      </c>
      <c r="D132" s="591"/>
      <c r="E132" s="586" t="s">
        <v>39</v>
      </c>
      <c r="F132"/>
      <c r="G132"/>
      <c r="H132"/>
      <c r="I132"/>
      <c r="K132"/>
      <c r="L132"/>
      <c r="M132"/>
      <c r="N132"/>
    </row>
    <row r="133" spans="1:14" s="573" customFormat="1">
      <c r="A133" s="584" t="s">
        <v>573</v>
      </c>
      <c r="B133" s="584" t="s">
        <v>574</v>
      </c>
      <c r="C133" s="591" t="s">
        <v>280</v>
      </c>
      <c r="D133" s="591"/>
      <c r="E133" s="586" t="s">
        <v>33</v>
      </c>
      <c r="F133"/>
      <c r="G133"/>
      <c r="H133"/>
      <c r="I133"/>
      <c r="K133"/>
      <c r="L133"/>
      <c r="M133"/>
      <c r="N133"/>
    </row>
    <row r="134" spans="1:14" s="573" customFormat="1">
      <c r="A134" s="584" t="s">
        <v>575</v>
      </c>
      <c r="B134" s="584" t="s">
        <v>576</v>
      </c>
      <c r="C134" s="591" t="s">
        <v>280</v>
      </c>
      <c r="D134" s="591"/>
      <c r="E134" s="586" t="s">
        <v>33</v>
      </c>
      <c r="F134"/>
      <c r="G134"/>
      <c r="H134"/>
      <c r="I134"/>
      <c r="K134"/>
      <c r="L134"/>
      <c r="M134"/>
      <c r="N134"/>
    </row>
    <row r="135" spans="1:14" s="573" customFormat="1">
      <c r="A135" s="584" t="s">
        <v>577</v>
      </c>
      <c r="B135" s="584" t="s">
        <v>578</v>
      </c>
      <c r="C135" s="591" t="s">
        <v>280</v>
      </c>
      <c r="D135" s="591"/>
      <c r="E135" s="586" t="s">
        <v>33</v>
      </c>
      <c r="F135"/>
      <c r="G135"/>
      <c r="H135"/>
      <c r="I135"/>
      <c r="K135"/>
      <c r="L135"/>
      <c r="M135"/>
      <c r="N135"/>
    </row>
    <row r="136" spans="1:14" s="573" customFormat="1">
      <c r="A136" s="584" t="s">
        <v>579</v>
      </c>
      <c r="B136" s="584" t="s">
        <v>580</v>
      </c>
      <c r="C136" s="591" t="s">
        <v>280</v>
      </c>
      <c r="D136" s="591"/>
      <c r="E136" s="586" t="s">
        <v>33</v>
      </c>
      <c r="F136"/>
      <c r="G136"/>
      <c r="H136"/>
      <c r="I136"/>
      <c r="K136"/>
      <c r="L136"/>
      <c r="M136"/>
      <c r="N136"/>
    </row>
    <row r="137" spans="1:14" s="573" customFormat="1">
      <c r="A137" s="584" t="s">
        <v>581</v>
      </c>
      <c r="B137" s="584" t="s">
        <v>582</v>
      </c>
      <c r="C137" s="591" t="s">
        <v>280</v>
      </c>
      <c r="D137" s="591"/>
      <c r="E137" s="586" t="s">
        <v>33</v>
      </c>
      <c r="F137"/>
      <c r="G137"/>
      <c r="H137"/>
      <c r="I137"/>
      <c r="K137"/>
      <c r="L137"/>
      <c r="M137"/>
      <c r="N137"/>
    </row>
    <row r="138" spans="1:14" s="573" customFormat="1">
      <c r="A138" s="584" t="s">
        <v>583</v>
      </c>
      <c r="B138" s="584" t="s">
        <v>584</v>
      </c>
      <c r="C138" s="591" t="s">
        <v>280</v>
      </c>
      <c r="D138" s="591"/>
      <c r="E138" s="586" t="s">
        <v>33</v>
      </c>
      <c r="F138"/>
      <c r="G138"/>
      <c r="H138"/>
      <c r="I138"/>
      <c r="K138"/>
      <c r="L138"/>
      <c r="M138"/>
      <c r="N138"/>
    </row>
    <row r="139" spans="1:14" s="573" customFormat="1">
      <c r="A139" s="584" t="s">
        <v>585</v>
      </c>
      <c r="B139" s="584" t="s">
        <v>586</v>
      </c>
      <c r="C139" s="591" t="s">
        <v>280</v>
      </c>
      <c r="D139" s="591"/>
      <c r="E139" s="586" t="s">
        <v>33</v>
      </c>
      <c r="F139"/>
      <c r="G139"/>
      <c r="H139"/>
      <c r="I139"/>
      <c r="K139"/>
      <c r="L139"/>
      <c r="M139"/>
      <c r="N139"/>
    </row>
    <row r="140" spans="1:14" s="573" customFormat="1">
      <c r="A140" s="584" t="s">
        <v>587</v>
      </c>
      <c r="B140" s="584" t="s">
        <v>588</v>
      </c>
      <c r="C140" s="591" t="s">
        <v>280</v>
      </c>
      <c r="D140" s="591"/>
      <c r="E140" s="586" t="s">
        <v>39</v>
      </c>
      <c r="F140"/>
      <c r="G140"/>
      <c r="H140"/>
      <c r="I140"/>
      <c r="K140"/>
      <c r="L140"/>
      <c r="M140"/>
      <c r="N140"/>
    </row>
    <row r="141" spans="1:14" s="573" customFormat="1">
      <c r="A141" s="584" t="s">
        <v>589</v>
      </c>
      <c r="B141" s="584" t="s">
        <v>590</v>
      </c>
      <c r="C141" s="591" t="s">
        <v>280</v>
      </c>
      <c r="D141" s="591"/>
      <c r="E141" s="586" t="s">
        <v>33</v>
      </c>
      <c r="F141"/>
      <c r="G141"/>
      <c r="H141"/>
      <c r="I141"/>
      <c r="K141"/>
      <c r="L141"/>
      <c r="M141"/>
      <c r="N141"/>
    </row>
    <row r="142" spans="1:14" s="573" customFormat="1">
      <c r="A142" s="584" t="s">
        <v>591</v>
      </c>
      <c r="B142" s="584" t="s">
        <v>592</v>
      </c>
      <c r="C142" s="591" t="s">
        <v>280</v>
      </c>
      <c r="D142" s="591"/>
      <c r="E142" s="586" t="s">
        <v>33</v>
      </c>
      <c r="F142"/>
      <c r="G142"/>
      <c r="H142"/>
      <c r="I142"/>
      <c r="K142"/>
      <c r="L142"/>
      <c r="M142"/>
      <c r="N142"/>
    </row>
    <row r="143" spans="1:14" s="573" customFormat="1">
      <c r="A143" s="584" t="s">
        <v>593</v>
      </c>
      <c r="B143" s="584" t="s">
        <v>594</v>
      </c>
      <c r="C143" s="591" t="s">
        <v>280</v>
      </c>
      <c r="D143" s="591"/>
      <c r="E143" s="586" t="s">
        <v>33</v>
      </c>
      <c r="F143"/>
      <c r="G143"/>
      <c r="H143"/>
      <c r="I143"/>
      <c r="K143"/>
      <c r="L143"/>
      <c r="M143"/>
      <c r="N143"/>
    </row>
    <row r="144" spans="1:14" s="573" customFormat="1" ht="25.7">
      <c r="A144" s="584" t="s">
        <v>595</v>
      </c>
      <c r="B144" s="598" t="s">
        <v>596</v>
      </c>
      <c r="C144" s="591" t="s">
        <v>280</v>
      </c>
      <c r="D144" s="591"/>
      <c r="E144" s="586" t="s">
        <v>39</v>
      </c>
      <c r="F144"/>
      <c r="G144"/>
      <c r="H144"/>
      <c r="I144"/>
      <c r="K144"/>
      <c r="L144"/>
      <c r="M144"/>
      <c r="N144"/>
    </row>
    <row r="145" spans="1:14" s="574" customFormat="1">
      <c r="A145" s="584" t="s">
        <v>597</v>
      </c>
      <c r="B145" s="584" t="s">
        <v>598</v>
      </c>
      <c r="C145" s="591" t="s">
        <v>280</v>
      </c>
      <c r="D145" s="591"/>
      <c r="E145" s="586" t="s">
        <v>33</v>
      </c>
      <c r="F145"/>
      <c r="G145"/>
      <c r="H145"/>
      <c r="I145"/>
      <c r="J145" s="573"/>
      <c r="K145"/>
      <c r="L145"/>
      <c r="M145"/>
      <c r="N145"/>
    </row>
    <row r="146" spans="1:14" s="574" customFormat="1">
      <c r="A146" s="584" t="s">
        <v>599</v>
      </c>
      <c r="B146" s="584" t="s">
        <v>600</v>
      </c>
      <c r="C146" s="591" t="s">
        <v>280</v>
      </c>
      <c r="D146" s="591"/>
      <c r="E146" s="586" t="s">
        <v>33</v>
      </c>
      <c r="F146"/>
      <c r="G146"/>
      <c r="H146"/>
      <c r="I146"/>
      <c r="J146" s="573"/>
      <c r="K146"/>
      <c r="L146"/>
      <c r="M146"/>
      <c r="N146"/>
    </row>
    <row r="147" spans="1:14" s="574" customFormat="1">
      <c r="A147" s="584" t="s">
        <v>601</v>
      </c>
      <c r="B147" s="584" t="s">
        <v>602</v>
      </c>
      <c r="C147" s="591" t="s">
        <v>280</v>
      </c>
      <c r="D147" s="591"/>
      <c r="E147" s="586" t="s">
        <v>33</v>
      </c>
      <c r="F147"/>
      <c r="G147"/>
      <c r="H147"/>
      <c r="I147"/>
      <c r="J147" s="573"/>
      <c r="K147"/>
      <c r="L147"/>
      <c r="M147"/>
      <c r="N147"/>
    </row>
    <row r="148" spans="1:14" s="574" customFormat="1">
      <c r="A148" s="584" t="s">
        <v>603</v>
      </c>
      <c r="B148" s="584" t="s">
        <v>604</v>
      </c>
      <c r="C148" s="591" t="s">
        <v>280</v>
      </c>
      <c r="D148" s="591"/>
      <c r="E148" s="586" t="s">
        <v>44</v>
      </c>
      <c r="F148"/>
      <c r="G148"/>
      <c r="H148"/>
      <c r="I148"/>
      <c r="J148" s="573"/>
      <c r="K148"/>
      <c r="L148"/>
      <c r="M148"/>
      <c r="N148"/>
    </row>
    <row r="149" spans="1:14">
      <c r="A149" s="584" t="s">
        <v>605</v>
      </c>
      <c r="B149" s="584" t="s">
        <v>606</v>
      </c>
      <c r="C149" s="591" t="s">
        <v>280</v>
      </c>
      <c r="D149" s="587"/>
      <c r="E149" s="586" t="s">
        <v>44</v>
      </c>
    </row>
    <row r="150" spans="1:14">
      <c r="A150" s="584" t="s">
        <v>607</v>
      </c>
      <c r="B150" s="584" t="s">
        <v>608</v>
      </c>
      <c r="C150" s="591" t="s">
        <v>280</v>
      </c>
      <c r="D150" s="587"/>
      <c r="E150" s="586" t="s">
        <v>44</v>
      </c>
    </row>
    <row r="151" spans="1:14">
      <c r="A151" s="584" t="s">
        <v>609</v>
      </c>
      <c r="B151" s="584" t="s">
        <v>610</v>
      </c>
      <c r="C151" s="591" t="s">
        <v>280</v>
      </c>
      <c r="D151" s="587"/>
      <c r="E151" s="586" t="s">
        <v>39</v>
      </c>
    </row>
    <row r="152" spans="1:14">
      <c r="A152" s="584" t="s">
        <v>611</v>
      </c>
      <c r="B152" s="584" t="s">
        <v>612</v>
      </c>
      <c r="C152" s="591" t="s">
        <v>280</v>
      </c>
      <c r="D152" s="587"/>
      <c r="E152" s="586" t="s">
        <v>39</v>
      </c>
    </row>
    <row r="153" spans="1:14">
      <c r="A153" s="584" t="s">
        <v>613</v>
      </c>
      <c r="B153" s="584" t="s">
        <v>614</v>
      </c>
      <c r="C153" s="591" t="s">
        <v>280</v>
      </c>
      <c r="D153" s="587"/>
      <c r="E153" s="586" t="s">
        <v>44</v>
      </c>
    </row>
    <row r="154" spans="1:14">
      <c r="A154" s="584" t="s">
        <v>615</v>
      </c>
      <c r="B154" s="584" t="s">
        <v>616</v>
      </c>
      <c r="C154" s="591" t="s">
        <v>280</v>
      </c>
      <c r="D154" s="587"/>
      <c r="E154" s="586" t="s">
        <v>44</v>
      </c>
    </row>
    <row r="155" spans="1:14">
      <c r="A155" s="584" t="s">
        <v>617</v>
      </c>
      <c r="B155" s="584" t="s">
        <v>618</v>
      </c>
      <c r="C155" s="591" t="s">
        <v>280</v>
      </c>
      <c r="D155" s="587"/>
      <c r="E155" s="586" t="s">
        <v>39</v>
      </c>
    </row>
    <row r="156" spans="1:14">
      <c r="A156" s="584" t="s">
        <v>619</v>
      </c>
      <c r="B156" s="584" t="s">
        <v>620</v>
      </c>
      <c r="C156" s="591" t="s">
        <v>280</v>
      </c>
      <c r="D156" s="587"/>
      <c r="E156" s="586" t="s">
        <v>39</v>
      </c>
    </row>
    <row r="157" spans="1:14">
      <c r="A157" s="584" t="s">
        <v>621</v>
      </c>
      <c r="B157" s="584" t="s">
        <v>622</v>
      </c>
      <c r="C157" s="591" t="s">
        <v>280</v>
      </c>
      <c r="D157" s="587"/>
      <c r="E157" s="586" t="s">
        <v>33</v>
      </c>
    </row>
  </sheetData>
  <autoFilter ref="A2:E148" xr:uid="{2E753270-8E41-4CC5-97C2-EE4540C41FD1}"/>
  <mergeCells count="5">
    <mergeCell ref="A1:H1"/>
    <mergeCell ref="F4:F6"/>
    <mergeCell ref="F7:F10"/>
    <mergeCell ref="F11:F13"/>
    <mergeCell ref="G14:H14"/>
  </mergeCells>
  <conditionalFormatting sqref="E3:E157">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disablePrompts="1" count="1">
    <dataValidation type="list" errorStyle="warning" allowBlank="1" showInputMessage="1" showErrorMessage="1" errorTitle="Error" error="Set a valid value" sqref="E3:E157"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5BB32F-6E44-427E-A43D-BDE121431A57}">
          <x14:formula1>
            <xm:f>'List Options'!$I$1:$I$4</xm:f>
          </x14:formula1>
          <xm:sqref>D3:D148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158"/>
  <sheetViews>
    <sheetView workbookViewId="0" xr3:uid="{51F8DEE0-4D01-5F28-A812-FC0BD7CAC4A5}">
      <pane ySplit="2" topLeftCell="A3" activePane="bottomLeft" state="frozen"/>
      <selection pane="bottomLeft" activeCell="F21" sqref="F21"/>
    </sheetView>
  </sheetViews>
  <sheetFormatPr defaultRowHeight="14.65"/>
  <cols>
    <col min="1" max="1" width="16.85546875" bestFit="1" customWidth="1"/>
    <col min="2" max="2" width="59.28515625" customWidth="1"/>
    <col min="3" max="3" width="10" bestFit="1" customWidth="1"/>
    <col min="4" max="4" width="15.5703125" bestFit="1" customWidth="1"/>
    <col min="5" max="5" width="11.140625" bestFit="1" customWidth="1"/>
    <col min="6" max="6" width="11.140625" customWidth="1"/>
    <col min="7" max="7" width="15.85546875" customWidth="1"/>
    <col min="8" max="8" width="20.5703125" customWidth="1"/>
    <col min="11" max="11" width="9.140625" style="573"/>
  </cols>
  <sheetData>
    <row r="1" spans="1:9" ht="39" customHeight="1" thickBot="1">
      <c r="A1" s="662" t="s">
        <v>301</v>
      </c>
      <c r="B1" s="663"/>
      <c r="C1" s="663"/>
      <c r="D1" s="663"/>
      <c r="E1" s="663"/>
      <c r="F1" s="663"/>
      <c r="G1" s="663"/>
      <c r="H1" s="663"/>
      <c r="I1" s="664"/>
    </row>
    <row r="2" spans="1:9" s="79" customFormat="1" ht="15" thickBot="1">
      <c r="A2" s="582" t="s">
        <v>77</v>
      </c>
      <c r="B2" s="583" t="s">
        <v>81</v>
      </c>
      <c r="C2" s="589" t="s">
        <v>96</v>
      </c>
      <c r="D2" s="589" t="s">
        <v>202</v>
      </c>
      <c r="E2" s="588" t="s">
        <v>1</v>
      </c>
      <c r="F2" s="606"/>
    </row>
    <row r="3" spans="1:9" ht="15" thickBot="1">
      <c r="A3" s="584" t="s">
        <v>302</v>
      </c>
      <c r="B3" s="584" t="s">
        <v>303</v>
      </c>
      <c r="C3" s="591" t="s">
        <v>280</v>
      </c>
      <c r="D3" s="591"/>
      <c r="E3" s="586" t="s">
        <v>44</v>
      </c>
      <c r="F3" s="607"/>
      <c r="G3" s="585" t="s">
        <v>77</v>
      </c>
      <c r="H3" s="290" t="s">
        <v>304</v>
      </c>
      <c r="I3" s="513">
        <f>COUNTA(A3:A4004)</f>
        <v>156</v>
      </c>
    </row>
    <row r="4" spans="1:9">
      <c r="A4" s="584" t="s">
        <v>305</v>
      </c>
      <c r="B4" s="584" t="s">
        <v>306</v>
      </c>
      <c r="C4" s="591" t="s">
        <v>280</v>
      </c>
      <c r="D4" s="591"/>
      <c r="E4" s="586" t="s">
        <v>39</v>
      </c>
      <c r="F4" s="607"/>
      <c r="G4" s="665" t="s">
        <v>96</v>
      </c>
      <c r="H4" s="291" t="s">
        <v>307</v>
      </c>
      <c r="I4" s="514">
        <f>COUNTIFS($C3:$C4004,"P1")</f>
        <v>0</v>
      </c>
    </row>
    <row r="5" spans="1:9">
      <c r="A5" s="584" t="s">
        <v>308</v>
      </c>
      <c r="B5" s="584" t="s">
        <v>309</v>
      </c>
      <c r="C5" s="591" t="s">
        <v>280</v>
      </c>
      <c r="D5" s="591"/>
      <c r="E5" s="586" t="s">
        <v>44</v>
      </c>
      <c r="F5" s="607"/>
      <c r="G5" s="666"/>
      <c r="H5" s="292" t="s">
        <v>310</v>
      </c>
      <c r="I5" s="515">
        <f>COUNTIFS($C3:$C4004,"P2")</f>
        <v>156</v>
      </c>
    </row>
    <row r="6" spans="1:9" ht="15" thickBot="1">
      <c r="A6" s="584" t="s">
        <v>311</v>
      </c>
      <c r="B6" s="584" t="s">
        <v>312</v>
      </c>
      <c r="C6" s="591" t="s">
        <v>280</v>
      </c>
      <c r="D6" s="591"/>
      <c r="E6" s="586" t="s">
        <v>44</v>
      </c>
      <c r="F6" s="607"/>
      <c r="G6" s="667"/>
      <c r="H6" s="293" t="s">
        <v>313</v>
      </c>
      <c r="I6" s="516">
        <f>COUNTIFS($C3:$C4004,"P3")</f>
        <v>0</v>
      </c>
    </row>
    <row r="7" spans="1:9">
      <c r="A7" s="584" t="s">
        <v>314</v>
      </c>
      <c r="B7" s="584" t="s">
        <v>315</v>
      </c>
      <c r="C7" s="591" t="s">
        <v>280</v>
      </c>
      <c r="D7" s="591"/>
      <c r="E7" s="586" t="s">
        <v>44</v>
      </c>
      <c r="F7" s="607"/>
      <c r="G7" s="668" t="s">
        <v>202</v>
      </c>
      <c r="H7" s="291" t="s">
        <v>316</v>
      </c>
      <c r="I7" s="514">
        <f>COUNTIFS($D3:$D4004,"Diagnostics")</f>
        <v>0</v>
      </c>
    </row>
    <row r="8" spans="1:9">
      <c r="A8" s="584" t="s">
        <v>317</v>
      </c>
      <c r="B8" s="584" t="s">
        <v>318</v>
      </c>
      <c r="C8" s="591" t="s">
        <v>280</v>
      </c>
      <c r="D8" s="591"/>
      <c r="E8" s="586" t="s">
        <v>44</v>
      </c>
      <c r="F8" s="607"/>
      <c r="G8" s="669"/>
      <c r="H8" s="292" t="s">
        <v>319</v>
      </c>
      <c r="I8" s="515">
        <f>COUNTIFS($D3:$D4004,"Driver")</f>
        <v>0</v>
      </c>
    </row>
    <row r="9" spans="1:9">
      <c r="A9" s="584" t="s">
        <v>320</v>
      </c>
      <c r="B9" s="584" t="s">
        <v>321</v>
      </c>
      <c r="C9" s="591" t="s">
        <v>280</v>
      </c>
      <c r="D9" s="591"/>
      <c r="E9" s="586" t="s">
        <v>44</v>
      </c>
      <c r="F9" s="607"/>
      <c r="G9" s="669"/>
      <c r="H9" s="292" t="s">
        <v>322</v>
      </c>
      <c r="I9" s="515">
        <f>COUNTIFS($D3:$D4004,"IPSE")</f>
        <v>0</v>
      </c>
    </row>
    <row r="10" spans="1:9" ht="15" thickBot="1">
      <c r="A10" s="584" t="s">
        <v>323</v>
      </c>
      <c r="B10" s="584" t="s">
        <v>324</v>
      </c>
      <c r="C10" s="591" t="s">
        <v>280</v>
      </c>
      <c r="D10" s="591"/>
      <c r="E10" s="586" t="s">
        <v>44</v>
      </c>
      <c r="F10" s="607"/>
      <c r="G10" s="670"/>
      <c r="H10" s="293" t="s">
        <v>325</v>
      </c>
      <c r="I10" s="516">
        <f>COUNTIFS($D3:$D4004,"N/A")</f>
        <v>0</v>
      </c>
    </row>
    <row r="11" spans="1:9">
      <c r="A11" s="584" t="s">
        <v>326</v>
      </c>
      <c r="B11" s="584" t="s">
        <v>327</v>
      </c>
      <c r="C11" s="591" t="s">
        <v>280</v>
      </c>
      <c r="D11" s="591"/>
      <c r="E11" s="586" t="s">
        <v>44</v>
      </c>
      <c r="F11" s="607"/>
      <c r="G11" s="668" t="s">
        <v>1</v>
      </c>
      <c r="H11" s="291" t="s">
        <v>328</v>
      </c>
      <c r="I11" s="514">
        <f>COUNTIFS($E3:$E4004,"Legacy")</f>
        <v>121</v>
      </c>
    </row>
    <row r="12" spans="1:9">
      <c r="A12" s="584" t="s">
        <v>329</v>
      </c>
      <c r="B12" s="584" t="s">
        <v>330</v>
      </c>
      <c r="C12" s="591" t="s">
        <v>280</v>
      </c>
      <c r="D12" s="591"/>
      <c r="E12" s="586" t="s">
        <v>44</v>
      </c>
      <c r="F12" s="607"/>
      <c r="G12" s="669"/>
      <c r="H12" s="292" t="s">
        <v>331</v>
      </c>
      <c r="I12" s="515">
        <f>COUNTIFS($E3:$E4004,"Delta")</f>
        <v>13</v>
      </c>
    </row>
    <row r="13" spans="1:9" ht="15" thickBot="1">
      <c r="A13" s="584" t="s">
        <v>332</v>
      </c>
      <c r="B13" s="584" t="s">
        <v>333</v>
      </c>
      <c r="C13" s="591" t="s">
        <v>280</v>
      </c>
      <c r="D13" s="591"/>
      <c r="E13" s="586" t="s">
        <v>33</v>
      </c>
      <c r="F13" s="607"/>
      <c r="G13" s="670"/>
      <c r="H13" s="293" t="s">
        <v>334</v>
      </c>
      <c r="I13" s="516">
        <f>COUNTIFS($E3:$E4004,"New")</f>
        <v>22</v>
      </c>
    </row>
    <row r="14" spans="1:9" ht="15" thickBot="1">
      <c r="A14" s="584" t="s">
        <v>335</v>
      </c>
      <c r="B14" s="584" t="s">
        <v>336</v>
      </c>
      <c r="C14" s="591" t="s">
        <v>280</v>
      </c>
      <c r="D14" s="591"/>
      <c r="E14" s="586" t="s">
        <v>33</v>
      </c>
      <c r="F14" s="607"/>
      <c r="G14" s="590" t="s">
        <v>207</v>
      </c>
      <c r="H14" s="671" t="s">
        <v>623</v>
      </c>
      <c r="I14" s="672"/>
    </row>
    <row r="15" spans="1:9">
      <c r="A15" s="584" t="s">
        <v>337</v>
      </c>
      <c r="B15" s="584" t="s">
        <v>338</v>
      </c>
      <c r="C15" s="591" t="s">
        <v>280</v>
      </c>
      <c r="D15" s="591"/>
      <c r="E15" s="586" t="s">
        <v>33</v>
      </c>
      <c r="F15" s="607"/>
    </row>
    <row r="16" spans="1:9">
      <c r="A16" s="584" t="s">
        <v>339</v>
      </c>
      <c r="B16" s="584" t="s">
        <v>340</v>
      </c>
      <c r="C16" s="591" t="s">
        <v>280</v>
      </c>
      <c r="D16" s="591"/>
      <c r="E16" s="586" t="s">
        <v>33</v>
      </c>
      <c r="F16" s="607"/>
    </row>
    <row r="17" spans="1:6">
      <c r="A17" s="584" t="s">
        <v>341</v>
      </c>
      <c r="B17" s="584" t="s">
        <v>342</v>
      </c>
      <c r="C17" s="591" t="s">
        <v>280</v>
      </c>
      <c r="D17" s="591"/>
      <c r="E17" s="586" t="s">
        <v>33</v>
      </c>
      <c r="F17" s="607"/>
    </row>
    <row r="18" spans="1:6">
      <c r="A18" s="584" t="s">
        <v>343</v>
      </c>
      <c r="B18" s="584" t="s">
        <v>344</v>
      </c>
      <c r="C18" s="591" t="s">
        <v>280</v>
      </c>
      <c r="D18" s="591"/>
      <c r="E18" s="586" t="s">
        <v>33</v>
      </c>
      <c r="F18" s="607"/>
    </row>
    <row r="19" spans="1:6">
      <c r="A19" s="584" t="s">
        <v>345</v>
      </c>
      <c r="B19" s="584" t="s">
        <v>346</v>
      </c>
      <c r="C19" s="591" t="s">
        <v>280</v>
      </c>
      <c r="D19" s="591"/>
      <c r="E19" s="586" t="s">
        <v>33</v>
      </c>
      <c r="F19" s="607"/>
    </row>
    <row r="20" spans="1:6">
      <c r="A20" s="584" t="s">
        <v>347</v>
      </c>
      <c r="B20" s="584" t="s">
        <v>348</v>
      </c>
      <c r="C20" s="591" t="s">
        <v>280</v>
      </c>
      <c r="D20" s="591"/>
      <c r="E20" s="586" t="s">
        <v>33</v>
      </c>
      <c r="F20" s="607"/>
    </row>
    <row r="21" spans="1:6">
      <c r="A21" s="584" t="s">
        <v>349</v>
      </c>
      <c r="B21" s="584" t="s">
        <v>350</v>
      </c>
      <c r="C21" s="591" t="s">
        <v>280</v>
      </c>
      <c r="D21" s="591"/>
      <c r="E21" s="586" t="s">
        <v>33</v>
      </c>
      <c r="F21" s="607"/>
    </row>
    <row r="22" spans="1:6">
      <c r="A22" s="584" t="s">
        <v>351</v>
      </c>
      <c r="B22" s="584" t="s">
        <v>352</v>
      </c>
      <c r="C22" s="591" t="s">
        <v>280</v>
      </c>
      <c r="D22" s="591"/>
      <c r="E22" s="586" t="s">
        <v>33</v>
      </c>
      <c r="F22" s="607"/>
    </row>
    <row r="23" spans="1:6">
      <c r="A23" s="584" t="s">
        <v>353</v>
      </c>
      <c r="B23" s="584" t="s">
        <v>354</v>
      </c>
      <c r="C23" s="591" t="s">
        <v>280</v>
      </c>
      <c r="D23" s="591"/>
      <c r="E23" s="586" t="s">
        <v>33</v>
      </c>
      <c r="F23" s="607"/>
    </row>
    <row r="24" spans="1:6">
      <c r="A24" s="584" t="s">
        <v>355</v>
      </c>
      <c r="B24" s="584" t="s">
        <v>356</v>
      </c>
      <c r="C24" s="591" t="s">
        <v>280</v>
      </c>
      <c r="D24" s="591"/>
      <c r="E24" s="586" t="s">
        <v>33</v>
      </c>
      <c r="F24" s="607"/>
    </row>
    <row r="25" spans="1:6">
      <c r="A25" s="584" t="s">
        <v>357</v>
      </c>
      <c r="B25" s="584" t="s">
        <v>358</v>
      </c>
      <c r="C25" s="591" t="s">
        <v>280</v>
      </c>
      <c r="D25" s="591"/>
      <c r="E25" s="586" t="s">
        <v>33</v>
      </c>
      <c r="F25" s="607"/>
    </row>
    <row r="26" spans="1:6">
      <c r="A26" s="584" t="s">
        <v>359</v>
      </c>
      <c r="B26" s="584" t="s">
        <v>360</v>
      </c>
      <c r="C26" s="591" t="s">
        <v>280</v>
      </c>
      <c r="D26" s="591"/>
      <c r="E26" s="586" t="s">
        <v>33</v>
      </c>
      <c r="F26" s="607"/>
    </row>
    <row r="27" spans="1:6">
      <c r="A27" s="584" t="s">
        <v>361</v>
      </c>
      <c r="B27" s="584" t="s">
        <v>362</v>
      </c>
      <c r="C27" s="591" t="s">
        <v>280</v>
      </c>
      <c r="D27" s="591"/>
      <c r="E27" s="586" t="s">
        <v>33</v>
      </c>
      <c r="F27" s="607"/>
    </row>
    <row r="28" spans="1:6">
      <c r="A28" s="584" t="s">
        <v>363</v>
      </c>
      <c r="B28" s="584" t="s">
        <v>364</v>
      </c>
      <c r="C28" s="591" t="s">
        <v>280</v>
      </c>
      <c r="D28" s="591"/>
      <c r="E28" s="586" t="s">
        <v>33</v>
      </c>
      <c r="F28" s="607"/>
    </row>
    <row r="29" spans="1:6">
      <c r="A29" s="584" t="s">
        <v>365</v>
      </c>
      <c r="B29" s="584" t="s">
        <v>366</v>
      </c>
      <c r="C29" s="591" t="s">
        <v>280</v>
      </c>
      <c r="D29" s="591"/>
      <c r="E29" s="586" t="s">
        <v>33</v>
      </c>
      <c r="F29" s="607"/>
    </row>
    <row r="30" spans="1:6">
      <c r="A30" s="584" t="s">
        <v>367</v>
      </c>
      <c r="B30" s="584" t="s">
        <v>368</v>
      </c>
      <c r="C30" s="591" t="s">
        <v>280</v>
      </c>
      <c r="D30" s="591"/>
      <c r="E30" s="586" t="s">
        <v>33</v>
      </c>
      <c r="F30" s="607"/>
    </row>
    <row r="31" spans="1:6">
      <c r="A31" s="584" t="s">
        <v>369</v>
      </c>
      <c r="B31" s="584" t="s">
        <v>370</v>
      </c>
      <c r="C31" s="591" t="s">
        <v>280</v>
      </c>
      <c r="D31" s="591"/>
      <c r="E31" s="586" t="s">
        <v>33</v>
      </c>
      <c r="F31" s="607"/>
    </row>
    <row r="32" spans="1:6">
      <c r="A32" s="584" t="s">
        <v>371</v>
      </c>
      <c r="B32" s="584" t="s">
        <v>372</v>
      </c>
      <c r="C32" s="591" t="s">
        <v>280</v>
      </c>
      <c r="D32" s="591"/>
      <c r="E32" s="586" t="s">
        <v>39</v>
      </c>
      <c r="F32" s="607"/>
    </row>
    <row r="33" spans="1:6">
      <c r="A33" s="584" t="s">
        <v>373</v>
      </c>
      <c r="B33" s="584" t="s">
        <v>374</v>
      </c>
      <c r="C33" s="591" t="s">
        <v>280</v>
      </c>
      <c r="D33" s="591"/>
      <c r="E33" s="586" t="s">
        <v>39</v>
      </c>
      <c r="F33" s="607"/>
    </row>
    <row r="34" spans="1:6" ht="25.7">
      <c r="A34" s="584" t="s">
        <v>375</v>
      </c>
      <c r="B34" s="598" t="s">
        <v>376</v>
      </c>
      <c r="C34" s="591" t="s">
        <v>280</v>
      </c>
      <c r="D34" s="591"/>
      <c r="E34" s="586" t="s">
        <v>33</v>
      </c>
      <c r="F34" s="607"/>
    </row>
    <row r="35" spans="1:6">
      <c r="A35" s="584" t="s">
        <v>377</v>
      </c>
      <c r="B35" s="584" t="s">
        <v>378</v>
      </c>
      <c r="C35" s="591" t="s">
        <v>280</v>
      </c>
      <c r="D35" s="591"/>
      <c r="E35" s="586" t="s">
        <v>33</v>
      </c>
      <c r="F35" s="607"/>
    </row>
    <row r="36" spans="1:6" ht="25.7">
      <c r="A36" s="584" t="s">
        <v>379</v>
      </c>
      <c r="B36" s="598" t="s">
        <v>380</v>
      </c>
      <c r="C36" s="591" t="s">
        <v>280</v>
      </c>
      <c r="D36" s="591"/>
      <c r="E36" s="586" t="s">
        <v>39</v>
      </c>
      <c r="F36" s="607"/>
    </row>
    <row r="37" spans="1:6">
      <c r="A37" s="584" t="s">
        <v>381</v>
      </c>
      <c r="B37" s="584" t="s">
        <v>382</v>
      </c>
      <c r="C37" s="591" t="s">
        <v>280</v>
      </c>
      <c r="D37" s="591"/>
      <c r="E37" s="586" t="s">
        <v>44</v>
      </c>
      <c r="F37" s="607"/>
    </row>
    <row r="38" spans="1:6">
      <c r="A38" s="584" t="s">
        <v>383</v>
      </c>
      <c r="B38" s="584" t="s">
        <v>384</v>
      </c>
      <c r="C38" s="591" t="s">
        <v>280</v>
      </c>
      <c r="D38" s="591"/>
      <c r="E38" s="586" t="s">
        <v>44</v>
      </c>
      <c r="F38" s="607"/>
    </row>
    <row r="39" spans="1:6">
      <c r="A39" s="584" t="s">
        <v>385</v>
      </c>
      <c r="B39" s="584" t="s">
        <v>386</v>
      </c>
      <c r="C39" s="591" t="s">
        <v>280</v>
      </c>
      <c r="D39" s="591"/>
      <c r="E39" s="586" t="s">
        <v>44</v>
      </c>
      <c r="F39" s="607"/>
    </row>
    <row r="40" spans="1:6">
      <c r="A40" s="584" t="s">
        <v>387</v>
      </c>
      <c r="B40" s="584" t="s">
        <v>388</v>
      </c>
      <c r="C40" s="591" t="s">
        <v>280</v>
      </c>
      <c r="D40" s="591"/>
      <c r="E40" s="586" t="s">
        <v>33</v>
      </c>
      <c r="F40" s="607"/>
    </row>
    <row r="41" spans="1:6">
      <c r="A41" s="584" t="s">
        <v>389</v>
      </c>
      <c r="B41" s="584" t="s">
        <v>390</v>
      </c>
      <c r="C41" s="591" t="s">
        <v>280</v>
      </c>
      <c r="D41" s="591"/>
      <c r="E41" s="586" t="s">
        <v>39</v>
      </c>
      <c r="F41" s="607"/>
    </row>
    <row r="42" spans="1:6">
      <c r="A42" s="584" t="s">
        <v>391</v>
      </c>
      <c r="B42" s="584" t="s">
        <v>392</v>
      </c>
      <c r="C42" s="591" t="s">
        <v>280</v>
      </c>
      <c r="D42" s="591"/>
      <c r="E42" s="586" t="s">
        <v>33</v>
      </c>
      <c r="F42" s="607"/>
    </row>
    <row r="43" spans="1:6">
      <c r="A43" s="584" t="s">
        <v>393</v>
      </c>
      <c r="B43" s="584" t="s">
        <v>394</v>
      </c>
      <c r="C43" s="591" t="s">
        <v>280</v>
      </c>
      <c r="D43" s="591"/>
      <c r="E43" s="586" t="s">
        <v>33</v>
      </c>
      <c r="F43" s="607"/>
    </row>
    <row r="44" spans="1:6">
      <c r="A44" s="584" t="s">
        <v>395</v>
      </c>
      <c r="B44" s="584" t="s">
        <v>396</v>
      </c>
      <c r="C44" s="591" t="s">
        <v>280</v>
      </c>
      <c r="D44" s="591"/>
      <c r="E44" s="586" t="s">
        <v>44</v>
      </c>
      <c r="F44" s="607"/>
    </row>
    <row r="45" spans="1:6">
      <c r="A45" s="584" t="s">
        <v>397</v>
      </c>
      <c r="B45" s="584" t="s">
        <v>398</v>
      </c>
      <c r="C45" s="591" t="s">
        <v>280</v>
      </c>
      <c r="D45" s="591"/>
      <c r="E45" s="586" t="s">
        <v>33</v>
      </c>
      <c r="F45" s="607"/>
    </row>
    <row r="46" spans="1:6">
      <c r="A46" s="584" t="s">
        <v>399</v>
      </c>
      <c r="B46" s="584" t="s">
        <v>400</v>
      </c>
      <c r="C46" s="591" t="s">
        <v>280</v>
      </c>
      <c r="D46" s="591"/>
      <c r="E46" s="586" t="s">
        <v>33</v>
      </c>
      <c r="F46" s="607"/>
    </row>
    <row r="47" spans="1:6">
      <c r="A47" s="584" t="s">
        <v>401</v>
      </c>
      <c r="B47" s="584" t="s">
        <v>402</v>
      </c>
      <c r="C47" s="591" t="s">
        <v>280</v>
      </c>
      <c r="D47" s="591"/>
      <c r="E47" s="586" t="s">
        <v>33</v>
      </c>
      <c r="F47" s="607"/>
    </row>
    <row r="48" spans="1:6">
      <c r="A48" s="584" t="s">
        <v>403</v>
      </c>
      <c r="B48" s="584" t="s">
        <v>404</v>
      </c>
      <c r="C48" s="591" t="s">
        <v>280</v>
      </c>
      <c r="D48" s="591"/>
      <c r="E48" s="586" t="s">
        <v>33</v>
      </c>
      <c r="F48" s="607"/>
    </row>
    <row r="49" spans="1:6">
      <c r="A49" s="584" t="s">
        <v>405</v>
      </c>
      <c r="B49" s="584" t="s">
        <v>406</v>
      </c>
      <c r="C49" s="591" t="s">
        <v>280</v>
      </c>
      <c r="D49" s="591"/>
      <c r="E49" s="586" t="s">
        <v>44</v>
      </c>
      <c r="F49" s="607"/>
    </row>
    <row r="50" spans="1:6">
      <c r="A50" s="584" t="s">
        <v>407</v>
      </c>
      <c r="B50" s="584" t="s">
        <v>408</v>
      </c>
      <c r="C50" s="591" t="s">
        <v>280</v>
      </c>
      <c r="D50" s="591"/>
      <c r="E50" s="586" t="s">
        <v>33</v>
      </c>
      <c r="F50" s="607"/>
    </row>
    <row r="51" spans="1:6">
      <c r="A51" s="584" t="s">
        <v>409</v>
      </c>
      <c r="B51" s="584" t="s">
        <v>410</v>
      </c>
      <c r="C51" s="591" t="s">
        <v>280</v>
      </c>
      <c r="D51" s="591"/>
      <c r="E51" s="586" t="s">
        <v>33</v>
      </c>
      <c r="F51" s="607"/>
    </row>
    <row r="52" spans="1:6">
      <c r="A52" s="584" t="s">
        <v>411</v>
      </c>
      <c r="B52" s="584" t="s">
        <v>412</v>
      </c>
      <c r="C52" s="591" t="s">
        <v>280</v>
      </c>
      <c r="D52" s="591"/>
      <c r="E52" s="586" t="s">
        <v>33</v>
      </c>
      <c r="F52" s="607"/>
    </row>
    <row r="53" spans="1:6">
      <c r="A53" s="584" t="s">
        <v>413</v>
      </c>
      <c r="B53" s="584" t="s">
        <v>414</v>
      </c>
      <c r="C53" s="591" t="s">
        <v>280</v>
      </c>
      <c r="D53" s="591"/>
      <c r="E53" s="586" t="s">
        <v>33</v>
      </c>
      <c r="F53" s="607"/>
    </row>
    <row r="54" spans="1:6">
      <c r="A54" s="584" t="s">
        <v>415</v>
      </c>
      <c r="B54" s="584" t="s">
        <v>416</v>
      </c>
      <c r="C54" s="591" t="s">
        <v>280</v>
      </c>
      <c r="D54" s="591"/>
      <c r="E54" s="586" t="s">
        <v>33</v>
      </c>
      <c r="F54" s="607"/>
    </row>
    <row r="55" spans="1:6">
      <c r="A55" s="584" t="s">
        <v>417</v>
      </c>
      <c r="B55" s="584" t="s">
        <v>418</v>
      </c>
      <c r="C55" s="591" t="s">
        <v>280</v>
      </c>
      <c r="D55" s="591"/>
      <c r="E55" s="586" t="s">
        <v>44</v>
      </c>
      <c r="F55" s="607"/>
    </row>
    <row r="56" spans="1:6">
      <c r="A56" s="584" t="s">
        <v>419</v>
      </c>
      <c r="B56" s="584" t="s">
        <v>420</v>
      </c>
      <c r="C56" s="591" t="s">
        <v>280</v>
      </c>
      <c r="D56" s="591"/>
      <c r="E56" s="586" t="s">
        <v>33</v>
      </c>
      <c r="F56" s="607"/>
    </row>
    <row r="57" spans="1:6">
      <c r="A57" s="584" t="s">
        <v>421</v>
      </c>
      <c r="B57" s="584" t="s">
        <v>422</v>
      </c>
      <c r="C57" s="591" t="s">
        <v>280</v>
      </c>
      <c r="D57" s="591"/>
      <c r="E57" s="586" t="s">
        <v>33</v>
      </c>
      <c r="F57" s="607"/>
    </row>
    <row r="58" spans="1:6">
      <c r="A58" s="584" t="s">
        <v>423</v>
      </c>
      <c r="B58" s="584" t="s">
        <v>424</v>
      </c>
      <c r="C58" s="591" t="s">
        <v>280</v>
      </c>
      <c r="D58" s="591"/>
      <c r="E58" s="586" t="s">
        <v>33</v>
      </c>
      <c r="F58" s="607"/>
    </row>
    <row r="59" spans="1:6">
      <c r="A59" s="584" t="s">
        <v>425</v>
      </c>
      <c r="B59" s="584" t="s">
        <v>426</v>
      </c>
      <c r="C59" s="591" t="s">
        <v>280</v>
      </c>
      <c r="D59" s="591"/>
      <c r="E59" s="586" t="s">
        <v>33</v>
      </c>
      <c r="F59" s="607"/>
    </row>
    <row r="60" spans="1:6">
      <c r="A60" s="584" t="s">
        <v>427</v>
      </c>
      <c r="B60" s="584" t="s">
        <v>428</v>
      </c>
      <c r="C60" s="591" t="s">
        <v>280</v>
      </c>
      <c r="D60" s="591"/>
      <c r="E60" s="586" t="s">
        <v>33</v>
      </c>
      <c r="F60" s="607"/>
    </row>
    <row r="61" spans="1:6">
      <c r="A61" s="584" t="s">
        <v>429</v>
      </c>
      <c r="B61" s="584" t="s">
        <v>430</v>
      </c>
      <c r="C61" s="591" t="s">
        <v>280</v>
      </c>
      <c r="D61" s="591"/>
      <c r="E61" s="586" t="s">
        <v>33</v>
      </c>
      <c r="F61" s="607"/>
    </row>
    <row r="62" spans="1:6">
      <c r="A62" s="584" t="s">
        <v>431</v>
      </c>
      <c r="B62" s="584" t="s">
        <v>432</v>
      </c>
      <c r="C62" s="591" t="s">
        <v>280</v>
      </c>
      <c r="D62" s="591"/>
      <c r="E62" s="586" t="s">
        <v>33</v>
      </c>
      <c r="F62" s="607"/>
    </row>
    <row r="63" spans="1:6">
      <c r="A63" s="584" t="s">
        <v>433</v>
      </c>
      <c r="B63" s="584" t="s">
        <v>434</v>
      </c>
      <c r="C63" s="591" t="s">
        <v>280</v>
      </c>
      <c r="D63" s="591"/>
      <c r="E63" s="586" t="s">
        <v>33</v>
      </c>
      <c r="F63" s="607"/>
    </row>
    <row r="64" spans="1:6">
      <c r="A64" s="584" t="s">
        <v>435</v>
      </c>
      <c r="B64" s="584" t="s">
        <v>436</v>
      </c>
      <c r="C64" s="591" t="s">
        <v>280</v>
      </c>
      <c r="D64" s="591"/>
      <c r="E64" s="586" t="s">
        <v>33</v>
      </c>
      <c r="F64" s="607"/>
    </row>
    <row r="65" spans="1:6">
      <c r="A65" s="584" t="s">
        <v>437</v>
      </c>
      <c r="B65" s="584" t="s">
        <v>438</v>
      </c>
      <c r="C65" s="591" t="s">
        <v>280</v>
      </c>
      <c r="D65" s="591"/>
      <c r="E65" s="586" t="s">
        <v>33</v>
      </c>
      <c r="F65" s="607"/>
    </row>
    <row r="66" spans="1:6">
      <c r="A66" s="584" t="s">
        <v>439</v>
      </c>
      <c r="B66" s="584" t="s">
        <v>440</v>
      </c>
      <c r="C66" s="591" t="s">
        <v>280</v>
      </c>
      <c r="D66" s="591"/>
      <c r="E66" s="586" t="s">
        <v>33</v>
      </c>
      <c r="F66" s="607"/>
    </row>
    <row r="67" spans="1:6">
      <c r="A67" s="584" t="s">
        <v>441</v>
      </c>
      <c r="B67" s="584" t="s">
        <v>442</v>
      </c>
      <c r="C67" s="591" t="s">
        <v>280</v>
      </c>
      <c r="D67" s="591"/>
      <c r="E67" s="586" t="s">
        <v>33</v>
      </c>
      <c r="F67" s="607"/>
    </row>
    <row r="68" spans="1:6">
      <c r="A68" s="584" t="s">
        <v>443</v>
      </c>
      <c r="B68" s="584" t="s">
        <v>444</v>
      </c>
      <c r="C68" s="591" t="s">
        <v>280</v>
      </c>
      <c r="D68" s="591"/>
      <c r="E68" s="586" t="s">
        <v>33</v>
      </c>
      <c r="F68" s="607"/>
    </row>
    <row r="69" spans="1:6">
      <c r="A69" s="584" t="s">
        <v>445</v>
      </c>
      <c r="B69" s="584" t="s">
        <v>446</v>
      </c>
      <c r="C69" s="591" t="s">
        <v>280</v>
      </c>
      <c r="D69" s="591"/>
      <c r="E69" s="586" t="s">
        <v>33</v>
      </c>
      <c r="F69" s="607"/>
    </row>
    <row r="70" spans="1:6">
      <c r="A70" s="584" t="s">
        <v>447</v>
      </c>
      <c r="B70" s="584" t="s">
        <v>448</v>
      </c>
      <c r="C70" s="591" t="s">
        <v>280</v>
      </c>
      <c r="D70" s="591"/>
      <c r="E70" s="586" t="s">
        <v>33</v>
      </c>
      <c r="F70" s="607"/>
    </row>
    <row r="71" spans="1:6">
      <c r="A71" s="584" t="s">
        <v>449</v>
      </c>
      <c r="B71" s="584" t="s">
        <v>450</v>
      </c>
      <c r="C71" s="591" t="s">
        <v>280</v>
      </c>
      <c r="D71" s="591"/>
      <c r="E71" s="586" t="s">
        <v>33</v>
      </c>
      <c r="F71" s="607"/>
    </row>
    <row r="72" spans="1:6">
      <c r="A72" s="584" t="s">
        <v>451</v>
      </c>
      <c r="B72" s="584" t="s">
        <v>452</v>
      </c>
      <c r="C72" s="591" t="s">
        <v>280</v>
      </c>
      <c r="D72" s="591"/>
      <c r="E72" s="586" t="s">
        <v>33</v>
      </c>
      <c r="F72" s="607"/>
    </row>
    <row r="73" spans="1:6">
      <c r="A73" s="584" t="s">
        <v>453</v>
      </c>
      <c r="B73" s="584" t="s">
        <v>454</v>
      </c>
      <c r="C73" s="591" t="s">
        <v>280</v>
      </c>
      <c r="D73" s="591"/>
      <c r="E73" s="586" t="s">
        <v>33</v>
      </c>
      <c r="F73" s="607"/>
    </row>
    <row r="74" spans="1:6">
      <c r="A74" s="584" t="s">
        <v>455</v>
      </c>
      <c r="B74" s="584" t="s">
        <v>456</v>
      </c>
      <c r="C74" s="591" t="s">
        <v>280</v>
      </c>
      <c r="D74" s="591"/>
      <c r="E74" s="586" t="s">
        <v>44</v>
      </c>
      <c r="F74" s="607"/>
    </row>
    <row r="75" spans="1:6">
      <c r="A75" s="584" t="s">
        <v>457</v>
      </c>
      <c r="B75" s="584" t="s">
        <v>458</v>
      </c>
      <c r="C75" s="591" t="s">
        <v>280</v>
      </c>
      <c r="D75" s="591"/>
      <c r="E75" s="586" t="s">
        <v>33</v>
      </c>
      <c r="F75" s="607"/>
    </row>
    <row r="76" spans="1:6">
      <c r="A76" s="584" t="s">
        <v>459</v>
      </c>
      <c r="B76" s="584" t="s">
        <v>460</v>
      </c>
      <c r="C76" s="591" t="s">
        <v>280</v>
      </c>
      <c r="D76" s="591"/>
      <c r="E76" s="586" t="s">
        <v>33</v>
      </c>
      <c r="F76" s="607"/>
    </row>
    <row r="77" spans="1:6">
      <c r="A77" s="584" t="s">
        <v>461</v>
      </c>
      <c r="B77" s="584" t="s">
        <v>462</v>
      </c>
      <c r="C77" s="591" t="s">
        <v>280</v>
      </c>
      <c r="D77" s="591"/>
      <c r="E77" s="586" t="s">
        <v>44</v>
      </c>
      <c r="F77" s="607"/>
    </row>
    <row r="78" spans="1:6">
      <c r="A78" s="584" t="s">
        <v>463</v>
      </c>
      <c r="B78" s="584" t="s">
        <v>464</v>
      </c>
      <c r="C78" s="591" t="s">
        <v>280</v>
      </c>
      <c r="D78" s="591"/>
      <c r="E78" s="586" t="s">
        <v>33</v>
      </c>
      <c r="F78" s="607"/>
    </row>
    <row r="79" spans="1:6">
      <c r="A79" s="584" t="s">
        <v>465</v>
      </c>
      <c r="B79" s="584" t="s">
        <v>466</v>
      </c>
      <c r="C79" s="591" t="s">
        <v>280</v>
      </c>
      <c r="D79" s="591"/>
      <c r="E79" s="586" t="s">
        <v>33</v>
      </c>
      <c r="F79" s="607"/>
    </row>
    <row r="80" spans="1:6">
      <c r="A80" s="584" t="s">
        <v>467</v>
      </c>
      <c r="B80" s="584" t="s">
        <v>468</v>
      </c>
      <c r="C80" s="591" t="s">
        <v>280</v>
      </c>
      <c r="D80" s="591"/>
      <c r="E80" s="586" t="s">
        <v>33</v>
      </c>
      <c r="F80" s="607"/>
    </row>
    <row r="81" spans="1:6">
      <c r="A81" s="584" t="s">
        <v>469</v>
      </c>
      <c r="B81" s="584" t="s">
        <v>470</v>
      </c>
      <c r="C81" s="591" t="s">
        <v>280</v>
      </c>
      <c r="D81" s="591"/>
      <c r="E81" s="586" t="s">
        <v>33</v>
      </c>
      <c r="F81" s="607"/>
    </row>
    <row r="82" spans="1:6">
      <c r="A82" s="584" t="s">
        <v>471</v>
      </c>
      <c r="B82" s="584" t="s">
        <v>472</v>
      </c>
      <c r="C82" s="591" t="s">
        <v>280</v>
      </c>
      <c r="D82" s="591"/>
      <c r="E82" s="586" t="s">
        <v>33</v>
      </c>
      <c r="F82" s="607"/>
    </row>
    <row r="83" spans="1:6">
      <c r="A83" s="584" t="s">
        <v>473</v>
      </c>
      <c r="B83" s="584" t="s">
        <v>474</v>
      </c>
      <c r="C83" s="591" t="s">
        <v>280</v>
      </c>
      <c r="D83" s="591"/>
      <c r="E83" s="586" t="s">
        <v>33</v>
      </c>
      <c r="F83" s="607"/>
    </row>
    <row r="84" spans="1:6">
      <c r="A84" s="584" t="s">
        <v>475</v>
      </c>
      <c r="B84" s="584" t="s">
        <v>476</v>
      </c>
      <c r="C84" s="591" t="s">
        <v>280</v>
      </c>
      <c r="D84" s="591"/>
      <c r="E84" s="586" t="s">
        <v>33</v>
      </c>
      <c r="F84" s="607"/>
    </row>
    <row r="85" spans="1:6">
      <c r="A85" s="584" t="s">
        <v>477</v>
      </c>
      <c r="B85" s="584" t="s">
        <v>478</v>
      </c>
      <c r="C85" s="591" t="s">
        <v>280</v>
      </c>
      <c r="D85" s="591"/>
      <c r="E85" s="586" t="s">
        <v>33</v>
      </c>
      <c r="F85" s="607"/>
    </row>
    <row r="86" spans="1:6">
      <c r="A86" s="584" t="s">
        <v>479</v>
      </c>
      <c r="B86" s="584" t="s">
        <v>480</v>
      </c>
      <c r="C86" s="591" t="s">
        <v>280</v>
      </c>
      <c r="D86" s="591"/>
      <c r="E86" s="586" t="s">
        <v>33</v>
      </c>
      <c r="F86" s="607"/>
    </row>
    <row r="87" spans="1:6">
      <c r="A87" s="584" t="s">
        <v>481</v>
      </c>
      <c r="B87" s="584" t="s">
        <v>482</v>
      </c>
      <c r="C87" s="591" t="s">
        <v>280</v>
      </c>
      <c r="D87" s="591"/>
      <c r="E87" s="586" t="s">
        <v>33</v>
      </c>
      <c r="F87" s="607"/>
    </row>
    <row r="88" spans="1:6">
      <c r="A88" s="584" t="s">
        <v>483</v>
      </c>
      <c r="B88" s="584" t="s">
        <v>484</v>
      </c>
      <c r="C88" s="591" t="s">
        <v>280</v>
      </c>
      <c r="D88" s="591"/>
      <c r="E88" s="586" t="s">
        <v>33</v>
      </c>
      <c r="F88" s="607"/>
    </row>
    <row r="89" spans="1:6">
      <c r="A89" s="584" t="s">
        <v>485</v>
      </c>
      <c r="B89" s="584" t="s">
        <v>486</v>
      </c>
      <c r="C89" s="591" t="s">
        <v>280</v>
      </c>
      <c r="D89" s="591"/>
      <c r="E89" s="586" t="s">
        <v>33</v>
      </c>
      <c r="F89" s="607"/>
    </row>
    <row r="90" spans="1:6">
      <c r="A90" s="584" t="s">
        <v>487</v>
      </c>
      <c r="B90" s="584" t="s">
        <v>488</v>
      </c>
      <c r="C90" s="591" t="s">
        <v>280</v>
      </c>
      <c r="D90" s="591"/>
      <c r="E90" s="586" t="s">
        <v>33</v>
      </c>
      <c r="F90" s="607"/>
    </row>
    <row r="91" spans="1:6">
      <c r="A91" s="584" t="s">
        <v>489</v>
      </c>
      <c r="B91" s="584" t="s">
        <v>490</v>
      </c>
      <c r="C91" s="591" t="s">
        <v>280</v>
      </c>
      <c r="D91" s="591"/>
      <c r="E91" s="586" t="s">
        <v>33</v>
      </c>
      <c r="F91" s="607"/>
    </row>
    <row r="92" spans="1:6">
      <c r="A92" s="584" t="s">
        <v>491</v>
      </c>
      <c r="B92" s="584" t="s">
        <v>492</v>
      </c>
      <c r="C92" s="591" t="s">
        <v>280</v>
      </c>
      <c r="D92" s="591"/>
      <c r="E92" s="586" t="s">
        <v>33</v>
      </c>
      <c r="F92" s="607"/>
    </row>
    <row r="93" spans="1:6">
      <c r="A93" s="584" t="s">
        <v>493</v>
      </c>
      <c r="B93" s="584" t="s">
        <v>494</v>
      </c>
      <c r="C93" s="591" t="s">
        <v>280</v>
      </c>
      <c r="D93" s="591"/>
      <c r="E93" s="586" t="s">
        <v>33</v>
      </c>
      <c r="F93" s="607"/>
    </row>
    <row r="94" spans="1:6">
      <c r="A94" s="584" t="s">
        <v>495</v>
      </c>
      <c r="B94" s="584" t="s">
        <v>496</v>
      </c>
      <c r="C94" s="591" t="s">
        <v>280</v>
      </c>
      <c r="D94" s="591"/>
      <c r="E94" s="586" t="s">
        <v>33</v>
      </c>
      <c r="F94" s="607"/>
    </row>
    <row r="95" spans="1:6">
      <c r="A95" s="584" t="s">
        <v>497</v>
      </c>
      <c r="B95" s="584" t="s">
        <v>498</v>
      </c>
      <c r="C95" s="591" t="s">
        <v>280</v>
      </c>
      <c r="D95" s="591"/>
      <c r="E95" s="586" t="s">
        <v>33</v>
      </c>
      <c r="F95" s="607"/>
    </row>
    <row r="96" spans="1:6">
      <c r="A96" s="584" t="s">
        <v>499</v>
      </c>
      <c r="B96" s="584" t="s">
        <v>500</v>
      </c>
      <c r="C96" s="591" t="s">
        <v>280</v>
      </c>
      <c r="D96" s="591"/>
      <c r="E96" s="586" t="s">
        <v>33</v>
      </c>
      <c r="F96" s="607"/>
    </row>
    <row r="97" spans="1:6">
      <c r="A97" s="584" t="s">
        <v>501</v>
      </c>
      <c r="B97" s="584" t="s">
        <v>502</v>
      </c>
      <c r="C97" s="591" t="s">
        <v>280</v>
      </c>
      <c r="D97" s="591"/>
      <c r="E97" s="586" t="s">
        <v>33</v>
      </c>
      <c r="F97" s="607"/>
    </row>
    <row r="98" spans="1:6">
      <c r="A98" s="584" t="s">
        <v>503</v>
      </c>
      <c r="B98" s="584" t="s">
        <v>504</v>
      </c>
      <c r="C98" s="591" t="s">
        <v>280</v>
      </c>
      <c r="D98" s="591"/>
      <c r="E98" s="586" t="s">
        <v>33</v>
      </c>
      <c r="F98" s="607"/>
    </row>
    <row r="99" spans="1:6">
      <c r="A99" s="584" t="s">
        <v>505</v>
      </c>
      <c r="B99" s="584" t="s">
        <v>506</v>
      </c>
      <c r="C99" s="591" t="s">
        <v>280</v>
      </c>
      <c r="D99" s="591"/>
      <c r="E99" s="586" t="s">
        <v>39</v>
      </c>
      <c r="F99" s="607"/>
    </row>
    <row r="100" spans="1:6">
      <c r="A100" s="584" t="s">
        <v>507</v>
      </c>
      <c r="B100" s="584" t="s">
        <v>508</v>
      </c>
      <c r="C100" s="591" t="s">
        <v>280</v>
      </c>
      <c r="D100" s="591"/>
      <c r="E100" s="586" t="s">
        <v>44</v>
      </c>
      <c r="F100" s="607"/>
    </row>
    <row r="101" spans="1:6">
      <c r="A101" s="584" t="s">
        <v>509</v>
      </c>
      <c r="B101" s="584" t="s">
        <v>510</v>
      </c>
      <c r="C101" s="591" t="s">
        <v>280</v>
      </c>
      <c r="D101" s="591"/>
      <c r="E101" s="586" t="s">
        <v>33</v>
      </c>
      <c r="F101" s="607"/>
    </row>
    <row r="102" spans="1:6">
      <c r="A102" s="584" t="s">
        <v>511</v>
      </c>
      <c r="B102" s="584" t="s">
        <v>512</v>
      </c>
      <c r="C102" s="591" t="s">
        <v>280</v>
      </c>
      <c r="D102" s="591"/>
      <c r="E102" s="586" t="s">
        <v>33</v>
      </c>
      <c r="F102" s="607"/>
    </row>
    <row r="103" spans="1:6">
      <c r="A103" s="584" t="s">
        <v>513</v>
      </c>
      <c r="B103" s="584" t="s">
        <v>514</v>
      </c>
      <c r="C103" s="591" t="s">
        <v>280</v>
      </c>
      <c r="D103" s="591"/>
      <c r="E103" s="586" t="s">
        <v>33</v>
      </c>
      <c r="F103" s="607"/>
    </row>
    <row r="104" spans="1:6">
      <c r="A104" s="584" t="s">
        <v>515</v>
      </c>
      <c r="B104" s="584" t="s">
        <v>516</v>
      </c>
      <c r="C104" s="591" t="s">
        <v>280</v>
      </c>
      <c r="D104" s="591"/>
      <c r="E104" s="586" t="s">
        <v>33</v>
      </c>
      <c r="F104" s="607"/>
    </row>
    <row r="105" spans="1:6" ht="14.25" customHeight="1">
      <c r="A105" s="584" t="s">
        <v>517</v>
      </c>
      <c r="B105" s="584" t="s">
        <v>518</v>
      </c>
      <c r="C105" s="591" t="s">
        <v>280</v>
      </c>
      <c r="D105" s="591"/>
      <c r="E105" s="586" t="s">
        <v>33</v>
      </c>
      <c r="F105" s="607"/>
    </row>
    <row r="106" spans="1:6">
      <c r="A106" s="584" t="s">
        <v>519</v>
      </c>
      <c r="B106" s="584" t="s">
        <v>520</v>
      </c>
      <c r="C106" s="591" t="s">
        <v>280</v>
      </c>
      <c r="D106" s="591"/>
      <c r="E106" s="586" t="s">
        <v>33</v>
      </c>
      <c r="F106" s="607"/>
    </row>
    <row r="107" spans="1:6">
      <c r="A107" s="584" t="s">
        <v>521</v>
      </c>
      <c r="B107" s="584" t="s">
        <v>522</v>
      </c>
      <c r="C107" s="591" t="s">
        <v>280</v>
      </c>
      <c r="D107" s="591"/>
      <c r="E107" s="586" t="s">
        <v>33</v>
      </c>
      <c r="F107" s="607"/>
    </row>
    <row r="108" spans="1:6">
      <c r="A108" s="584" t="s">
        <v>523</v>
      </c>
      <c r="B108" s="584" t="s">
        <v>524</v>
      </c>
      <c r="C108" s="591" t="s">
        <v>280</v>
      </c>
      <c r="D108" s="591"/>
      <c r="E108" s="586" t="s">
        <v>33</v>
      </c>
      <c r="F108" s="607"/>
    </row>
    <row r="109" spans="1:6">
      <c r="A109" s="584" t="s">
        <v>525</v>
      </c>
      <c r="B109" s="584" t="s">
        <v>526</v>
      </c>
      <c r="C109" s="591" t="s">
        <v>280</v>
      </c>
      <c r="D109" s="591"/>
      <c r="E109" s="586" t="s">
        <v>33</v>
      </c>
      <c r="F109" s="607"/>
    </row>
    <row r="110" spans="1:6">
      <c r="A110" s="584" t="s">
        <v>527</v>
      </c>
      <c r="B110" s="584" t="s">
        <v>528</v>
      </c>
      <c r="C110" s="591" t="s">
        <v>280</v>
      </c>
      <c r="D110" s="591"/>
      <c r="E110" s="586" t="s">
        <v>33</v>
      </c>
      <c r="F110" s="607"/>
    </row>
    <row r="111" spans="1:6">
      <c r="A111" s="584" t="s">
        <v>529</v>
      </c>
      <c r="B111" s="584" t="s">
        <v>530</v>
      </c>
      <c r="C111" s="591" t="s">
        <v>280</v>
      </c>
      <c r="D111" s="591"/>
      <c r="E111" s="586" t="s">
        <v>33</v>
      </c>
      <c r="F111" s="607"/>
    </row>
    <row r="112" spans="1:6">
      <c r="A112" s="584" t="s">
        <v>531</v>
      </c>
      <c r="B112" s="584" t="s">
        <v>532</v>
      </c>
      <c r="C112" s="591" t="s">
        <v>280</v>
      </c>
      <c r="D112" s="591"/>
      <c r="E112" s="586" t="s">
        <v>33</v>
      </c>
      <c r="F112" s="607"/>
    </row>
    <row r="113" spans="1:6">
      <c r="A113" s="584" t="s">
        <v>533</v>
      </c>
      <c r="B113" s="584" t="s">
        <v>534</v>
      </c>
      <c r="C113" s="591" t="s">
        <v>280</v>
      </c>
      <c r="D113" s="591"/>
      <c r="E113" s="586" t="s">
        <v>33</v>
      </c>
      <c r="F113" s="607"/>
    </row>
    <row r="114" spans="1:6">
      <c r="A114" s="584" t="s">
        <v>535</v>
      </c>
      <c r="B114" s="584" t="s">
        <v>536</v>
      </c>
      <c r="C114" s="591" t="s">
        <v>280</v>
      </c>
      <c r="D114" s="591"/>
      <c r="E114" s="586" t="s">
        <v>33</v>
      </c>
      <c r="F114" s="607"/>
    </row>
    <row r="115" spans="1:6">
      <c r="A115" s="584" t="s">
        <v>537</v>
      </c>
      <c r="B115" s="584" t="s">
        <v>538</v>
      </c>
      <c r="C115" s="591" t="s">
        <v>280</v>
      </c>
      <c r="D115" s="591"/>
      <c r="E115" s="586" t="s">
        <v>33</v>
      </c>
      <c r="F115" s="607"/>
    </row>
    <row r="116" spans="1:6">
      <c r="A116" s="584" t="s">
        <v>539</v>
      </c>
      <c r="B116" s="584" t="s">
        <v>540</v>
      </c>
      <c r="C116" s="591" t="s">
        <v>280</v>
      </c>
      <c r="D116" s="591"/>
      <c r="E116" s="586" t="s">
        <v>33</v>
      </c>
      <c r="F116" s="607"/>
    </row>
    <row r="117" spans="1:6">
      <c r="A117" s="584" t="s">
        <v>541</v>
      </c>
      <c r="B117" s="584" t="s">
        <v>542</v>
      </c>
      <c r="C117" s="591" t="s">
        <v>280</v>
      </c>
      <c r="D117" s="591"/>
      <c r="E117" s="586" t="s">
        <v>33</v>
      </c>
      <c r="F117" s="607"/>
    </row>
    <row r="118" spans="1:6">
      <c r="A118" s="584" t="s">
        <v>543</v>
      </c>
      <c r="B118" s="584" t="s">
        <v>544</v>
      </c>
      <c r="C118" s="591" t="s">
        <v>280</v>
      </c>
      <c r="D118" s="591"/>
      <c r="E118" s="586" t="s">
        <v>33</v>
      </c>
      <c r="F118" s="607"/>
    </row>
    <row r="119" spans="1:6">
      <c r="A119" s="584" t="s">
        <v>545</v>
      </c>
      <c r="B119" s="584" t="s">
        <v>546</v>
      </c>
      <c r="C119" s="591" t="s">
        <v>280</v>
      </c>
      <c r="D119" s="591"/>
      <c r="E119" s="586" t="s">
        <v>33</v>
      </c>
      <c r="F119" s="607"/>
    </row>
    <row r="120" spans="1:6">
      <c r="A120" s="584" t="s">
        <v>547</v>
      </c>
      <c r="B120" s="584" t="s">
        <v>548</v>
      </c>
      <c r="C120" s="591" t="s">
        <v>280</v>
      </c>
      <c r="D120" s="591"/>
      <c r="E120" s="586" t="s">
        <v>33</v>
      </c>
      <c r="F120" s="607"/>
    </row>
    <row r="121" spans="1:6">
      <c r="A121" s="584" t="s">
        <v>549</v>
      </c>
      <c r="B121" s="584" t="s">
        <v>550</v>
      </c>
      <c r="C121" s="591" t="s">
        <v>280</v>
      </c>
      <c r="D121" s="591"/>
      <c r="E121" s="586" t="s">
        <v>33</v>
      </c>
      <c r="F121" s="607"/>
    </row>
    <row r="122" spans="1:6">
      <c r="A122" s="584" t="s">
        <v>551</v>
      </c>
      <c r="B122" s="584" t="s">
        <v>552</v>
      </c>
      <c r="C122" s="591" t="s">
        <v>280</v>
      </c>
      <c r="D122" s="591"/>
      <c r="E122" s="586" t="s">
        <v>33</v>
      </c>
      <c r="F122" s="607"/>
    </row>
    <row r="123" spans="1:6">
      <c r="A123" s="584" t="s">
        <v>553</v>
      </c>
      <c r="B123" s="584" t="s">
        <v>554</v>
      </c>
      <c r="C123" s="591" t="s">
        <v>280</v>
      </c>
      <c r="D123" s="591"/>
      <c r="E123" s="586" t="s">
        <v>33</v>
      </c>
      <c r="F123" s="607"/>
    </row>
    <row r="124" spans="1:6">
      <c r="A124" s="584" t="s">
        <v>555</v>
      </c>
      <c r="B124" s="584" t="s">
        <v>556</v>
      </c>
      <c r="C124" s="591" t="s">
        <v>280</v>
      </c>
      <c r="D124" s="591"/>
      <c r="E124" s="586" t="s">
        <v>33</v>
      </c>
      <c r="F124" s="607"/>
    </row>
    <row r="125" spans="1:6">
      <c r="A125" s="584" t="s">
        <v>557</v>
      </c>
      <c r="B125" s="584" t="s">
        <v>558</v>
      </c>
      <c r="C125" s="591" t="s">
        <v>280</v>
      </c>
      <c r="D125" s="591"/>
      <c r="E125" s="586" t="s">
        <v>33</v>
      </c>
      <c r="F125" s="607"/>
    </row>
    <row r="126" spans="1:6">
      <c r="A126" s="584" t="s">
        <v>559</v>
      </c>
      <c r="B126" s="584" t="s">
        <v>560</v>
      </c>
      <c r="C126" s="591" t="s">
        <v>280</v>
      </c>
      <c r="D126" s="591"/>
      <c r="E126" s="586" t="s">
        <v>33</v>
      </c>
      <c r="F126" s="607"/>
    </row>
    <row r="127" spans="1:6">
      <c r="A127" s="584" t="s">
        <v>561</v>
      </c>
      <c r="B127" s="584" t="s">
        <v>562</v>
      </c>
      <c r="C127" s="591" t="s">
        <v>280</v>
      </c>
      <c r="D127" s="591"/>
      <c r="E127" s="586" t="s">
        <v>33</v>
      </c>
      <c r="F127" s="607"/>
    </row>
    <row r="128" spans="1:6">
      <c r="A128" s="584" t="s">
        <v>563</v>
      </c>
      <c r="B128" s="584" t="s">
        <v>564</v>
      </c>
      <c r="C128" s="591" t="s">
        <v>280</v>
      </c>
      <c r="D128" s="591"/>
      <c r="E128" s="586" t="s">
        <v>33</v>
      </c>
      <c r="F128" s="607"/>
    </row>
    <row r="129" spans="1:15" s="573" customFormat="1">
      <c r="A129" s="584" t="s">
        <v>565</v>
      </c>
      <c r="B129" s="584" t="s">
        <v>566</v>
      </c>
      <c r="C129" s="591" t="s">
        <v>280</v>
      </c>
      <c r="D129" s="591"/>
      <c r="E129" s="586" t="s">
        <v>33</v>
      </c>
      <c r="F129" s="607"/>
      <c r="G129"/>
      <c r="H129"/>
      <c r="I129"/>
      <c r="J129"/>
      <c r="L129"/>
      <c r="M129"/>
      <c r="N129"/>
      <c r="O129"/>
    </row>
    <row r="130" spans="1:15" s="573" customFormat="1">
      <c r="A130" s="584" t="s">
        <v>567</v>
      </c>
      <c r="B130" s="584" t="s">
        <v>568</v>
      </c>
      <c r="C130" s="591" t="s">
        <v>280</v>
      </c>
      <c r="D130" s="591"/>
      <c r="E130" s="586" t="s">
        <v>33</v>
      </c>
      <c r="F130" s="607"/>
      <c r="G130"/>
      <c r="H130"/>
      <c r="I130"/>
      <c r="J130"/>
      <c r="L130"/>
      <c r="M130"/>
      <c r="N130"/>
      <c r="O130"/>
    </row>
    <row r="131" spans="1:15" s="573" customFormat="1">
      <c r="A131" s="584" t="s">
        <v>569</v>
      </c>
      <c r="B131" s="584" t="s">
        <v>570</v>
      </c>
      <c r="C131" s="591" t="s">
        <v>280</v>
      </c>
      <c r="D131" s="591"/>
      <c r="E131" s="586" t="s">
        <v>33</v>
      </c>
      <c r="F131" s="607"/>
      <c r="G131"/>
      <c r="H131"/>
      <c r="I131"/>
      <c r="J131"/>
      <c r="L131"/>
      <c r="M131"/>
      <c r="N131"/>
      <c r="O131"/>
    </row>
    <row r="132" spans="1:15" s="573" customFormat="1">
      <c r="A132" s="584" t="s">
        <v>571</v>
      </c>
      <c r="B132" s="584" t="s">
        <v>572</v>
      </c>
      <c r="C132" s="591" t="s">
        <v>280</v>
      </c>
      <c r="D132" s="591"/>
      <c r="E132" s="586" t="s">
        <v>39</v>
      </c>
      <c r="F132" s="607"/>
      <c r="G132"/>
      <c r="H132"/>
      <c r="I132"/>
      <c r="J132"/>
      <c r="L132"/>
      <c r="M132"/>
      <c r="N132"/>
      <c r="O132"/>
    </row>
    <row r="133" spans="1:15" s="573" customFormat="1">
      <c r="A133" s="584" t="s">
        <v>573</v>
      </c>
      <c r="B133" s="584" t="s">
        <v>574</v>
      </c>
      <c r="C133" s="591" t="s">
        <v>280</v>
      </c>
      <c r="D133" s="591"/>
      <c r="E133" s="586" t="s">
        <v>33</v>
      </c>
      <c r="F133" s="607"/>
      <c r="G133"/>
      <c r="H133"/>
      <c r="I133"/>
      <c r="J133"/>
      <c r="L133"/>
      <c r="M133"/>
      <c r="N133"/>
      <c r="O133"/>
    </row>
    <row r="134" spans="1:15" s="573" customFormat="1">
      <c r="A134" s="584" t="s">
        <v>575</v>
      </c>
      <c r="B134" s="598" t="s">
        <v>624</v>
      </c>
      <c r="C134" s="591" t="s">
        <v>280</v>
      </c>
      <c r="D134" s="591"/>
      <c r="E134" s="586" t="s">
        <v>33</v>
      </c>
      <c r="F134" s="607"/>
      <c r="G134"/>
      <c r="H134"/>
      <c r="I134"/>
      <c r="J134"/>
      <c r="L134"/>
      <c r="M134"/>
      <c r="N134"/>
      <c r="O134"/>
    </row>
    <row r="135" spans="1:15" s="573" customFormat="1">
      <c r="A135" s="584" t="s">
        <v>577</v>
      </c>
      <c r="B135" s="584" t="s">
        <v>578</v>
      </c>
      <c r="C135" s="591" t="s">
        <v>280</v>
      </c>
      <c r="D135" s="591"/>
      <c r="E135" s="586" t="s">
        <v>33</v>
      </c>
      <c r="F135" s="607"/>
      <c r="G135"/>
      <c r="H135"/>
      <c r="I135"/>
      <c r="J135"/>
      <c r="L135"/>
      <c r="M135"/>
      <c r="N135"/>
      <c r="O135"/>
    </row>
    <row r="136" spans="1:15" s="573" customFormat="1">
      <c r="A136" s="584" t="s">
        <v>579</v>
      </c>
      <c r="B136" s="584" t="s">
        <v>580</v>
      </c>
      <c r="C136" s="591" t="s">
        <v>280</v>
      </c>
      <c r="D136" s="591"/>
      <c r="E136" s="586" t="s">
        <v>33</v>
      </c>
      <c r="F136" s="607"/>
      <c r="G136"/>
      <c r="H136"/>
      <c r="I136"/>
      <c r="J136"/>
      <c r="L136"/>
      <c r="M136"/>
      <c r="N136"/>
      <c r="O136"/>
    </row>
    <row r="137" spans="1:15" s="573" customFormat="1">
      <c r="A137" s="584" t="s">
        <v>581</v>
      </c>
      <c r="B137" s="584" t="s">
        <v>582</v>
      </c>
      <c r="C137" s="591" t="s">
        <v>280</v>
      </c>
      <c r="D137" s="591"/>
      <c r="E137" s="586" t="s">
        <v>33</v>
      </c>
      <c r="F137" s="607"/>
      <c r="G137"/>
      <c r="H137"/>
      <c r="I137"/>
      <c r="J137"/>
      <c r="L137"/>
      <c r="M137"/>
      <c r="N137"/>
      <c r="O137"/>
    </row>
    <row r="138" spans="1:15" s="573" customFormat="1">
      <c r="A138" s="584" t="s">
        <v>583</v>
      </c>
      <c r="B138" s="584" t="s">
        <v>584</v>
      </c>
      <c r="C138" s="591" t="s">
        <v>280</v>
      </c>
      <c r="D138" s="591"/>
      <c r="E138" s="586" t="s">
        <v>33</v>
      </c>
      <c r="F138" s="607"/>
      <c r="G138"/>
      <c r="H138"/>
      <c r="I138"/>
      <c r="J138"/>
      <c r="L138"/>
      <c r="M138"/>
      <c r="N138"/>
      <c r="O138"/>
    </row>
    <row r="139" spans="1:15" s="573" customFormat="1">
      <c r="A139" s="584" t="s">
        <v>585</v>
      </c>
      <c r="B139" s="584" t="s">
        <v>586</v>
      </c>
      <c r="C139" s="591" t="s">
        <v>280</v>
      </c>
      <c r="D139" s="591"/>
      <c r="E139" s="586" t="s">
        <v>33</v>
      </c>
      <c r="F139" s="607"/>
      <c r="G139"/>
      <c r="H139"/>
      <c r="I139"/>
      <c r="J139"/>
      <c r="L139"/>
      <c r="M139"/>
      <c r="N139"/>
      <c r="O139"/>
    </row>
    <row r="140" spans="1:15" s="573" customFormat="1">
      <c r="A140" s="584" t="s">
        <v>587</v>
      </c>
      <c r="B140" s="584" t="s">
        <v>588</v>
      </c>
      <c r="C140" s="591" t="s">
        <v>280</v>
      </c>
      <c r="D140" s="591"/>
      <c r="E140" s="586" t="s">
        <v>39</v>
      </c>
      <c r="F140" s="607"/>
      <c r="G140"/>
      <c r="H140"/>
      <c r="I140"/>
      <c r="J140"/>
      <c r="L140"/>
      <c r="M140"/>
      <c r="N140"/>
      <c r="O140"/>
    </row>
    <row r="141" spans="1:15" s="573" customFormat="1">
      <c r="A141" s="584" t="s">
        <v>589</v>
      </c>
      <c r="B141" s="584" t="s">
        <v>590</v>
      </c>
      <c r="C141" s="591" t="s">
        <v>280</v>
      </c>
      <c r="D141" s="591"/>
      <c r="E141" s="586" t="s">
        <v>33</v>
      </c>
      <c r="F141" s="607"/>
      <c r="G141"/>
      <c r="H141"/>
      <c r="I141"/>
      <c r="J141"/>
      <c r="L141"/>
      <c r="M141"/>
      <c r="N141"/>
      <c r="O141"/>
    </row>
    <row r="142" spans="1:15" s="573" customFormat="1">
      <c r="A142" s="584" t="s">
        <v>591</v>
      </c>
      <c r="B142" s="584" t="s">
        <v>592</v>
      </c>
      <c r="C142" s="591" t="s">
        <v>280</v>
      </c>
      <c r="D142" s="591"/>
      <c r="E142" s="586" t="s">
        <v>33</v>
      </c>
      <c r="F142" s="607"/>
      <c r="G142"/>
      <c r="H142"/>
      <c r="I142"/>
      <c r="J142"/>
      <c r="L142"/>
      <c r="M142"/>
      <c r="N142"/>
      <c r="O142"/>
    </row>
    <row r="143" spans="1:15" s="573" customFormat="1">
      <c r="A143" s="584" t="s">
        <v>593</v>
      </c>
      <c r="B143" s="584" t="s">
        <v>594</v>
      </c>
      <c r="C143" s="591" t="s">
        <v>280</v>
      </c>
      <c r="D143" s="591"/>
      <c r="E143" s="586" t="s">
        <v>33</v>
      </c>
      <c r="F143" s="607"/>
      <c r="G143"/>
      <c r="H143"/>
      <c r="I143"/>
      <c r="J143"/>
      <c r="L143"/>
      <c r="M143"/>
      <c r="N143"/>
      <c r="O143"/>
    </row>
    <row r="144" spans="1:15" s="573" customFormat="1">
      <c r="A144" s="584" t="s">
        <v>595</v>
      </c>
      <c r="B144" s="584" t="s">
        <v>596</v>
      </c>
      <c r="C144" s="591" t="s">
        <v>280</v>
      </c>
      <c r="D144" s="591"/>
      <c r="E144" s="586" t="s">
        <v>39</v>
      </c>
      <c r="F144" s="607"/>
      <c r="G144"/>
      <c r="H144"/>
      <c r="I144"/>
      <c r="J144"/>
      <c r="L144"/>
      <c r="M144"/>
      <c r="N144"/>
      <c r="O144"/>
    </row>
    <row r="145" spans="1:15" s="574" customFormat="1">
      <c r="A145" s="584" t="s">
        <v>597</v>
      </c>
      <c r="B145" s="584" t="s">
        <v>598</v>
      </c>
      <c r="C145" s="591" t="s">
        <v>280</v>
      </c>
      <c r="D145" s="591"/>
      <c r="E145" s="586" t="s">
        <v>33</v>
      </c>
      <c r="F145" s="607"/>
      <c r="G145"/>
      <c r="H145"/>
      <c r="I145"/>
      <c r="J145"/>
      <c r="K145" s="573"/>
      <c r="L145"/>
      <c r="M145"/>
      <c r="N145"/>
      <c r="O145"/>
    </row>
    <row r="146" spans="1:15" s="574" customFormat="1">
      <c r="A146" s="584" t="s">
        <v>599</v>
      </c>
      <c r="B146" s="584" t="s">
        <v>600</v>
      </c>
      <c r="C146" s="591" t="s">
        <v>280</v>
      </c>
      <c r="D146" s="591"/>
      <c r="E146" s="586" t="s">
        <v>33</v>
      </c>
      <c r="F146" s="607"/>
      <c r="G146"/>
      <c r="H146"/>
      <c r="I146"/>
      <c r="J146"/>
      <c r="K146" s="573"/>
      <c r="L146"/>
      <c r="M146"/>
      <c r="N146"/>
      <c r="O146"/>
    </row>
    <row r="147" spans="1:15" s="574" customFormat="1">
      <c r="A147" s="584" t="s">
        <v>601</v>
      </c>
      <c r="B147" s="584" t="s">
        <v>602</v>
      </c>
      <c r="C147" s="591" t="s">
        <v>280</v>
      </c>
      <c r="D147" s="591"/>
      <c r="E147" s="586" t="s">
        <v>33</v>
      </c>
      <c r="F147" s="607"/>
      <c r="G147"/>
      <c r="H147"/>
      <c r="I147"/>
      <c r="J147"/>
      <c r="K147" s="573"/>
      <c r="L147"/>
      <c r="M147"/>
      <c r="N147"/>
      <c r="O147"/>
    </row>
    <row r="148" spans="1:15" s="574" customFormat="1">
      <c r="A148" s="584" t="s">
        <v>603</v>
      </c>
      <c r="B148" s="584" t="s">
        <v>604</v>
      </c>
      <c r="C148" s="591" t="s">
        <v>280</v>
      </c>
      <c r="D148" s="591"/>
      <c r="E148" s="586" t="s">
        <v>44</v>
      </c>
      <c r="F148" s="607"/>
      <c r="G148"/>
      <c r="H148"/>
      <c r="I148"/>
      <c r="J148"/>
      <c r="K148" s="573"/>
      <c r="L148"/>
      <c r="M148"/>
      <c r="N148"/>
      <c r="O148"/>
    </row>
    <row r="149" spans="1:15">
      <c r="A149" s="584" t="s">
        <v>605</v>
      </c>
      <c r="B149" s="584" t="s">
        <v>606</v>
      </c>
      <c r="C149" s="591" t="s">
        <v>280</v>
      </c>
      <c r="D149" s="587"/>
      <c r="E149" s="586" t="s">
        <v>44</v>
      </c>
      <c r="F149" s="607"/>
    </row>
    <row r="150" spans="1:15">
      <c r="A150" s="584" t="s">
        <v>607</v>
      </c>
      <c r="B150" s="584" t="s">
        <v>608</v>
      </c>
      <c r="C150" s="591" t="s">
        <v>280</v>
      </c>
      <c r="D150" s="587"/>
      <c r="E150" s="586" t="s">
        <v>44</v>
      </c>
      <c r="F150" s="607"/>
    </row>
    <row r="151" spans="1:15">
      <c r="A151" s="584" t="s">
        <v>609</v>
      </c>
      <c r="B151" s="584" t="s">
        <v>610</v>
      </c>
      <c r="C151" s="591" t="s">
        <v>280</v>
      </c>
      <c r="D151" s="587"/>
      <c r="E151" s="586" t="s">
        <v>39</v>
      </c>
      <c r="F151" s="607"/>
    </row>
    <row r="152" spans="1:15">
      <c r="A152" s="584" t="s">
        <v>611</v>
      </c>
      <c r="B152" s="584" t="s">
        <v>612</v>
      </c>
      <c r="C152" s="591" t="s">
        <v>280</v>
      </c>
      <c r="D152" s="587"/>
      <c r="E152" s="586" t="s">
        <v>39</v>
      </c>
      <c r="F152" s="607"/>
    </row>
    <row r="153" spans="1:15">
      <c r="A153" s="584" t="s">
        <v>613</v>
      </c>
      <c r="B153" s="584" t="s">
        <v>614</v>
      </c>
      <c r="C153" s="591" t="s">
        <v>280</v>
      </c>
      <c r="D153" s="587"/>
      <c r="E153" s="586" t="s">
        <v>44</v>
      </c>
      <c r="F153" s="607"/>
    </row>
    <row r="154" spans="1:15">
      <c r="A154" s="584" t="s">
        <v>617</v>
      </c>
      <c r="B154" s="584" t="s">
        <v>618</v>
      </c>
      <c r="C154" s="591" t="s">
        <v>280</v>
      </c>
      <c r="D154" s="587"/>
      <c r="E154" s="586" t="s">
        <v>39</v>
      </c>
      <c r="F154" s="607"/>
    </row>
    <row r="155" spans="1:15">
      <c r="A155" s="584" t="s">
        <v>619</v>
      </c>
      <c r="B155" s="584" t="s">
        <v>620</v>
      </c>
      <c r="C155" s="591" t="s">
        <v>280</v>
      </c>
      <c r="D155" s="587"/>
      <c r="E155" s="586" t="s">
        <v>39</v>
      </c>
      <c r="F155" s="607"/>
    </row>
    <row r="156" spans="1:15">
      <c r="A156" s="584" t="s">
        <v>621</v>
      </c>
      <c r="B156" s="584" t="s">
        <v>622</v>
      </c>
      <c r="C156" s="591" t="s">
        <v>280</v>
      </c>
      <c r="D156" s="587"/>
      <c r="E156" s="586" t="s">
        <v>33</v>
      </c>
      <c r="F156" s="607"/>
    </row>
    <row r="157" spans="1:15">
      <c r="A157" s="599" t="s">
        <v>625</v>
      </c>
      <c r="B157" s="599" t="s">
        <v>626</v>
      </c>
      <c r="C157" s="600" t="s">
        <v>280</v>
      </c>
      <c r="D157" s="587"/>
      <c r="E157" s="586" t="s">
        <v>33</v>
      </c>
      <c r="F157" s="607"/>
    </row>
    <row r="158" spans="1:15">
      <c r="A158" s="599" t="s">
        <v>627</v>
      </c>
      <c r="B158" s="599" t="s">
        <v>628</v>
      </c>
      <c r="C158" s="600" t="s">
        <v>280</v>
      </c>
      <c r="D158" s="587"/>
      <c r="E158" s="586" t="s">
        <v>33</v>
      </c>
      <c r="F158" s="607"/>
    </row>
  </sheetData>
  <autoFilter ref="A2:E148" xr:uid="{2E753270-8E41-4CC5-97C2-EE4540C41FD1}"/>
  <mergeCells count="5">
    <mergeCell ref="A1:I1"/>
    <mergeCell ref="G4:G6"/>
    <mergeCell ref="G7:G10"/>
    <mergeCell ref="G11:G13"/>
    <mergeCell ref="H14:I14"/>
  </mergeCells>
  <phoneticPr fontId="30" type="noConversion"/>
  <conditionalFormatting sqref="E3:F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F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filterMode="1"/>
  <dimension ref="A1:AI202"/>
  <sheetViews>
    <sheetView tabSelected="1" zoomScale="85" zoomScaleNormal="85" workbookViewId="0" xr3:uid="{842E5F09-E766-5B8D-85AF-A39847EA96FD}">
      <pane xSplit="2" ySplit="5" topLeftCell="O25" activePane="bottomRight" state="frozen"/>
      <selection pane="bottomRight" activeCell="AE184" sqref="AE184"/>
      <selection pane="bottomLeft" activeCell="A4" sqref="A4"/>
      <selection pane="topRight" activeCell="C1" sqref="C1"/>
    </sheetView>
  </sheetViews>
  <sheetFormatPr defaultColWidth="9.140625" defaultRowHeight="14.65"/>
  <cols>
    <col min="1" max="1" width="7.7109375" style="173" customWidth="1"/>
    <col min="2" max="2" width="27.28515625" style="170" customWidth="1"/>
    <col min="3" max="3" width="6.42578125" style="170" customWidth="1"/>
    <col min="4" max="4" width="6.42578125" style="174" customWidth="1"/>
    <col min="5" max="5" width="6.42578125" style="170" customWidth="1"/>
    <col min="6" max="6" width="22.7109375" style="170" customWidth="1"/>
    <col min="7" max="7" width="13.140625" style="170" customWidth="1"/>
    <col min="8" max="8" width="13" style="174" customWidth="1"/>
    <col min="9" max="9" width="9.85546875" style="174" customWidth="1"/>
    <col min="10" max="10" width="8.5703125" style="170" customWidth="1"/>
    <col min="11" max="11" width="9.42578125" style="170" customWidth="1"/>
    <col min="12" max="12" width="16" style="170" customWidth="1"/>
    <col min="13" max="13" width="14.7109375" style="170" customWidth="1"/>
    <col min="14" max="14" width="17" style="170" customWidth="1"/>
    <col min="15" max="15" width="16.28515625" style="170" customWidth="1"/>
    <col min="16" max="16" width="16" style="170" customWidth="1"/>
    <col min="17" max="17" width="17.140625" style="170" customWidth="1"/>
    <col min="18" max="18" width="23.5703125" style="176" customWidth="1"/>
    <col min="19" max="19" width="14.7109375" style="176" customWidth="1"/>
    <col min="20" max="20" width="13.140625" style="175" customWidth="1"/>
    <col min="21" max="21" width="7.5703125" style="175" customWidth="1"/>
    <col min="22" max="23" width="6.42578125" style="175" customWidth="1"/>
    <col min="24" max="24" width="11.42578125" style="175" customWidth="1"/>
    <col min="25" max="25" width="18.42578125" style="176" customWidth="1"/>
    <col min="26" max="26" width="6.42578125" style="176" customWidth="1"/>
    <col min="27" max="27" width="16.7109375" style="175" customWidth="1"/>
    <col min="28" max="28" width="15.7109375" style="175" customWidth="1"/>
    <col min="29" max="30" width="6.42578125" style="175" customWidth="1"/>
    <col min="31" max="31" width="12.140625" style="175" customWidth="1"/>
    <col min="32" max="34" width="6.42578125" style="170" customWidth="1"/>
    <col min="35" max="35" width="24.5703125" style="170" customWidth="1"/>
    <col min="36" max="16384" width="9.140625" style="170"/>
  </cols>
  <sheetData>
    <row r="1" spans="1:35" ht="18.95" thickBot="1">
      <c r="A1" s="673" t="s">
        <v>629</v>
      </c>
      <c r="B1" s="674"/>
      <c r="C1" s="674"/>
      <c r="D1" s="674"/>
      <c r="E1" s="674"/>
      <c r="F1" s="674"/>
      <c r="G1" s="674"/>
      <c r="H1" s="674"/>
      <c r="I1" s="674"/>
      <c r="J1" s="674"/>
      <c r="K1" s="674"/>
      <c r="L1" s="674"/>
      <c r="M1" s="674"/>
      <c r="N1" s="674"/>
      <c r="O1" s="674"/>
      <c r="P1" s="674"/>
      <c r="Q1" s="674"/>
      <c r="R1" s="674"/>
      <c r="S1" s="674"/>
      <c r="T1" s="674"/>
      <c r="U1" s="674"/>
      <c r="V1" s="674"/>
      <c r="W1" s="674"/>
      <c r="X1" s="674"/>
      <c r="Y1" s="674"/>
      <c r="Z1" s="674"/>
      <c r="AA1" s="674"/>
      <c r="AB1" s="674"/>
      <c r="AC1" s="674"/>
      <c r="AD1" s="674"/>
      <c r="AE1" s="674"/>
      <c r="AF1" s="674"/>
      <c r="AG1" s="674"/>
      <c r="AH1" s="675"/>
    </row>
    <row r="2" spans="1:35" ht="18.95" thickBot="1">
      <c r="A2" s="676" t="s">
        <v>630</v>
      </c>
      <c r="B2" s="677"/>
      <c r="C2" s="677"/>
      <c r="D2" s="677"/>
      <c r="E2" s="677"/>
      <c r="F2" s="677"/>
      <c r="G2" s="677"/>
      <c r="H2" s="677"/>
      <c r="I2" s="677"/>
      <c r="J2" s="678"/>
      <c r="K2" s="395">
        <f>SUM(K6:K178)</f>
        <v>303</v>
      </c>
      <c r="L2" s="395">
        <f>SUM(L6:L178)</f>
        <v>2994</v>
      </c>
      <c r="M2" s="396"/>
      <c r="N2" s="450">
        <f>SUMPRODUCT(K6:K178,N6:N178)/K181</f>
        <v>1</v>
      </c>
      <c r="O2" s="451">
        <f>SUM(O6:O178)</f>
        <v>2969</v>
      </c>
      <c r="P2" s="452">
        <f>SUMPRODUCT(K6:K178,P6:P178)/K181</f>
        <v>0.97359735973597361</v>
      </c>
      <c r="Q2" s="397"/>
      <c r="R2" s="398">
        <f t="shared" ref="R2:W2" si="0">SUM(R6:R178)</f>
        <v>2627</v>
      </c>
      <c r="S2" s="453">
        <f t="shared" si="0"/>
        <v>2438</v>
      </c>
      <c r="T2" s="453">
        <f t="shared" si="0"/>
        <v>2335</v>
      </c>
      <c r="U2" s="453">
        <f t="shared" si="0"/>
        <v>0</v>
      </c>
      <c r="V2" s="453">
        <f t="shared" si="0"/>
        <v>79</v>
      </c>
      <c r="W2" s="453">
        <f t="shared" si="0"/>
        <v>21</v>
      </c>
      <c r="X2" s="454">
        <f>IF((S181=0),0,((T181+U181)/S181*100%))</f>
        <v>0.95775225594749791</v>
      </c>
      <c r="Y2" s="399"/>
      <c r="Z2" s="467">
        <f>SUM(Z6:Z178)</f>
        <v>0</v>
      </c>
      <c r="AA2" s="468">
        <f>SUM(AA6:AA178)</f>
        <v>0</v>
      </c>
      <c r="AB2" s="468">
        <f>SUM(AB6:AB178)</f>
        <v>0</v>
      </c>
      <c r="AC2" s="468">
        <f>SUM(AC6:AC178)</f>
        <v>0</v>
      </c>
      <c r="AD2" s="468">
        <f>SUM(AD6:AD178)</f>
        <v>0</v>
      </c>
      <c r="AE2" s="457">
        <f>IF((Z181=0),0,((AA181+AB181)/Z181*100%))</f>
        <v>0</v>
      </c>
      <c r="AF2" s="400"/>
      <c r="AG2" s="400"/>
      <c r="AH2" s="401"/>
    </row>
    <row r="3" spans="1:35" ht="19.5" customHeight="1" thickBot="1">
      <c r="A3" s="673" t="s">
        <v>631</v>
      </c>
      <c r="B3" s="674"/>
      <c r="C3" s="674"/>
      <c r="D3" s="674"/>
      <c r="E3" s="674"/>
      <c r="F3" s="674"/>
      <c r="G3" s="674"/>
      <c r="H3" s="674"/>
      <c r="I3" s="674"/>
      <c r="J3" s="674"/>
      <c r="K3" s="674"/>
      <c r="L3" s="674"/>
      <c r="M3" s="674"/>
      <c r="N3" s="674"/>
      <c r="O3" s="674"/>
      <c r="P3" s="674"/>
      <c r="Q3" s="674"/>
      <c r="R3" s="674"/>
      <c r="S3" s="674"/>
      <c r="T3" s="674"/>
      <c r="U3" s="674"/>
      <c r="V3" s="674"/>
      <c r="W3" s="674"/>
      <c r="X3" s="674"/>
      <c r="Y3" s="674"/>
      <c r="Z3" s="674"/>
      <c r="AA3" s="674"/>
      <c r="AB3" s="674"/>
      <c r="AC3" s="674"/>
      <c r="AD3" s="674"/>
      <c r="AE3" s="674"/>
      <c r="AF3" s="674"/>
      <c r="AG3" s="674"/>
      <c r="AH3" s="675"/>
    </row>
    <row r="4" spans="1:35" ht="31.5" customHeight="1" thickBot="1">
      <c r="A4" s="679" t="s">
        <v>76</v>
      </c>
      <c r="B4" s="680"/>
      <c r="C4" s="680"/>
      <c r="D4" s="680"/>
      <c r="E4" s="680"/>
      <c r="F4" s="680"/>
      <c r="G4" s="680"/>
      <c r="H4" s="680"/>
      <c r="I4" s="680"/>
      <c r="J4" s="680"/>
      <c r="K4" s="680"/>
      <c r="L4" s="680"/>
      <c r="M4" s="681"/>
      <c r="N4" s="682" t="s">
        <v>632</v>
      </c>
      <c r="O4" s="683"/>
      <c r="P4" s="684"/>
      <c r="Q4" s="689" t="s">
        <v>633</v>
      </c>
      <c r="R4" s="690"/>
      <c r="S4" s="690"/>
      <c r="T4" s="690"/>
      <c r="U4" s="690"/>
      <c r="V4" s="690"/>
      <c r="W4" s="690"/>
      <c r="X4" s="690"/>
      <c r="Y4" s="691"/>
      <c r="Z4" s="685" t="s">
        <v>634</v>
      </c>
      <c r="AA4" s="686"/>
      <c r="AB4" s="686"/>
      <c r="AC4" s="686"/>
      <c r="AD4" s="686"/>
      <c r="AE4" s="687"/>
      <c r="AF4" s="687"/>
      <c r="AG4" s="687"/>
      <c r="AH4" s="688"/>
    </row>
    <row r="5" spans="1:35" s="171" customFormat="1" ht="29.65" thickBot="1">
      <c r="A5" s="346" t="s">
        <v>77</v>
      </c>
      <c r="B5" s="347" t="s">
        <v>81</v>
      </c>
      <c r="C5" s="347" t="s">
        <v>84</v>
      </c>
      <c r="D5" s="348" t="s">
        <v>88</v>
      </c>
      <c r="E5" s="347" t="s">
        <v>91</v>
      </c>
      <c r="F5" s="347" t="s">
        <v>94</v>
      </c>
      <c r="G5" s="347" t="s">
        <v>96</v>
      </c>
      <c r="H5" s="347" t="s">
        <v>99</v>
      </c>
      <c r="I5" s="347" t="s">
        <v>635</v>
      </c>
      <c r="J5" s="347" t="s">
        <v>102</v>
      </c>
      <c r="K5" s="349" t="s">
        <v>105</v>
      </c>
      <c r="L5" s="349" t="s">
        <v>108</v>
      </c>
      <c r="M5" s="517" t="s">
        <v>1</v>
      </c>
      <c r="N5" s="357" t="s">
        <v>114</v>
      </c>
      <c r="O5" s="351" t="s">
        <v>118</v>
      </c>
      <c r="P5" s="358" t="s">
        <v>121</v>
      </c>
      <c r="Q5" s="356" t="s">
        <v>125</v>
      </c>
      <c r="R5" s="352" t="s">
        <v>128</v>
      </c>
      <c r="S5" s="352" t="s">
        <v>132</v>
      </c>
      <c r="T5" s="353" t="s">
        <v>30</v>
      </c>
      <c r="U5" s="353" t="s">
        <v>135</v>
      </c>
      <c r="V5" s="353" t="s">
        <v>36</v>
      </c>
      <c r="W5" s="353" t="s">
        <v>138</v>
      </c>
      <c r="X5" s="353" t="s">
        <v>140</v>
      </c>
      <c r="Y5" s="354" t="s">
        <v>142</v>
      </c>
      <c r="Z5" s="355" t="s">
        <v>132</v>
      </c>
      <c r="AA5" s="353" t="s">
        <v>30</v>
      </c>
      <c r="AB5" s="353" t="s">
        <v>135</v>
      </c>
      <c r="AC5" s="353" t="s">
        <v>36</v>
      </c>
      <c r="AD5" s="353" t="s">
        <v>138</v>
      </c>
      <c r="AE5" s="353" t="s">
        <v>140</v>
      </c>
      <c r="AF5" s="347" t="s">
        <v>155</v>
      </c>
      <c r="AG5" s="347" t="s">
        <v>157</v>
      </c>
      <c r="AH5" s="350" t="s">
        <v>160</v>
      </c>
    </row>
    <row r="6" spans="1:35" ht="87.4" hidden="1">
      <c r="A6" s="330" t="s">
        <v>636</v>
      </c>
      <c r="B6" s="544" t="s">
        <v>637</v>
      </c>
      <c r="C6" s="545"/>
      <c r="D6" s="546" t="s">
        <v>264</v>
      </c>
      <c r="E6" s="547"/>
      <c r="F6" s="545" t="s">
        <v>638</v>
      </c>
      <c r="G6" s="243" t="e">
        <f>VLOOKUP(A6,'Feature Summary'!$A$7:$C$4055,3,FALSE)</f>
        <v>#N/A</v>
      </c>
      <c r="H6" s="557" t="s">
        <v>639</v>
      </c>
      <c r="I6" s="429" t="s">
        <v>35</v>
      </c>
      <c r="J6" s="322"/>
      <c r="K6" s="561">
        <v>1</v>
      </c>
      <c r="L6" s="562">
        <v>36</v>
      </c>
      <c r="M6" s="562" t="s">
        <v>39</v>
      </c>
      <c r="N6" s="443">
        <v>1</v>
      </c>
      <c r="O6" s="562">
        <v>36</v>
      </c>
      <c r="P6" s="444">
        <f>IF((O6=0),0,(O6/L6))</f>
        <v>1</v>
      </c>
      <c r="Q6" s="429" t="s">
        <v>38</v>
      </c>
      <c r="R6" s="323">
        <v>1</v>
      </c>
      <c r="S6" s="469">
        <v>1</v>
      </c>
      <c r="T6" s="459">
        <v>1</v>
      </c>
      <c r="U6" s="459"/>
      <c r="V6" s="459"/>
      <c r="W6" s="459"/>
      <c r="X6" s="470">
        <f>IF((S6=0),0,((T6+U6)/S6*100%))</f>
        <v>1</v>
      </c>
      <c r="Y6" s="601"/>
      <c r="Z6" s="458">
        <f t="shared" ref="Z6:Z56" si="1">SUM(AA6:AD6)</f>
        <v>0</v>
      </c>
      <c r="AA6" s="459">
        <v>0</v>
      </c>
      <c r="AB6" s="459">
        <v>0</v>
      </c>
      <c r="AC6" s="459">
        <v>0</v>
      </c>
      <c r="AD6" s="459">
        <v>0</v>
      </c>
      <c r="AE6" s="460">
        <f>IF((Z6=0),0,((AA6+AB6)/Z6*100%))</f>
        <v>0</v>
      </c>
      <c r="AF6" s="322"/>
      <c r="AG6" s="431" t="e">
        <f>VLOOKUP(A6,'Feature Summary'!$A$7:$U$4055,21,FALSE)</f>
        <v>#N/A</v>
      </c>
      <c r="AH6" s="324"/>
      <c r="AI6" s="173"/>
    </row>
    <row r="7" spans="1:35" ht="174.95" hidden="1">
      <c r="A7" s="330" t="s">
        <v>640</v>
      </c>
      <c r="B7" s="544" t="s">
        <v>641</v>
      </c>
      <c r="C7" s="545"/>
      <c r="D7" s="546" t="s">
        <v>264</v>
      </c>
      <c r="E7" s="547"/>
      <c r="F7" s="545" t="s">
        <v>642</v>
      </c>
      <c r="G7" s="243" t="e">
        <f>VLOOKUP(A7,'Feature Summary'!$A$7:$C$4055,3,FALSE)</f>
        <v>#N/A</v>
      </c>
      <c r="H7" s="557" t="s">
        <v>643</v>
      </c>
      <c r="I7" s="429" t="s">
        <v>35</v>
      </c>
      <c r="J7" s="322"/>
      <c r="K7" s="561">
        <v>1</v>
      </c>
      <c r="L7" s="562">
        <v>14</v>
      </c>
      <c r="M7" s="562" t="s">
        <v>33</v>
      </c>
      <c r="N7" s="443">
        <v>1</v>
      </c>
      <c r="O7" s="562">
        <v>14</v>
      </c>
      <c r="P7" s="444">
        <f>IF((O7=0),0,(O7/L7))</f>
        <v>1</v>
      </c>
      <c r="Q7" s="429" t="s">
        <v>48</v>
      </c>
      <c r="R7" s="323">
        <v>14</v>
      </c>
      <c r="S7" s="469">
        <v>14</v>
      </c>
      <c r="T7" s="459">
        <v>14</v>
      </c>
      <c r="U7" s="459"/>
      <c r="V7" s="459"/>
      <c r="W7" s="459"/>
      <c r="X7" s="470">
        <f>IF((S7=0),0,((T7+U7)/S7*100%))</f>
        <v>1</v>
      </c>
      <c r="Y7" s="601" t="s">
        <v>644</v>
      </c>
      <c r="Z7" s="458">
        <f>SUM(AA7:AD7)</f>
        <v>0</v>
      </c>
      <c r="AA7" s="459">
        <v>0</v>
      </c>
      <c r="AB7" s="459">
        <v>0</v>
      </c>
      <c r="AC7" s="459">
        <v>0</v>
      </c>
      <c r="AD7" s="459">
        <v>0</v>
      </c>
      <c r="AE7" s="460">
        <f>IF((Z7=0),0,((AA7+AB7)/Z7*100%))</f>
        <v>0</v>
      </c>
      <c r="AF7" s="322"/>
      <c r="AG7" s="431" t="e">
        <f>VLOOKUP(A7,'Feature Summary'!$A$7:$U$4055,21,FALSE)</f>
        <v>#N/A</v>
      </c>
      <c r="AH7" s="324"/>
      <c r="AI7" s="173"/>
    </row>
    <row r="8" spans="1:35" ht="58.35" hidden="1">
      <c r="A8" s="330" t="s">
        <v>645</v>
      </c>
      <c r="B8" s="544" t="s">
        <v>646</v>
      </c>
      <c r="C8" s="545"/>
      <c r="D8" s="546" t="s">
        <v>264</v>
      </c>
      <c r="E8" s="547"/>
      <c r="F8" s="545" t="s">
        <v>647</v>
      </c>
      <c r="G8" s="243" t="e">
        <f>VLOOKUP(A8,'Feature Summary'!$A$7:$C$4055,3,FALSE)</f>
        <v>#N/A</v>
      </c>
      <c r="H8" s="557" t="s">
        <v>648</v>
      </c>
      <c r="I8" s="429" t="s">
        <v>41</v>
      </c>
      <c r="J8" s="322"/>
      <c r="K8" s="561">
        <v>1</v>
      </c>
      <c r="L8" s="562">
        <v>20</v>
      </c>
      <c r="M8" s="562" t="s">
        <v>33</v>
      </c>
      <c r="N8" s="443">
        <v>1</v>
      </c>
      <c r="O8" s="562">
        <v>20</v>
      </c>
      <c r="P8" s="444">
        <f t="shared" ref="P8:P56" si="2">IF((O8=0),0,(O8/L8))</f>
        <v>1</v>
      </c>
      <c r="Q8" s="429" t="s">
        <v>48</v>
      </c>
      <c r="R8" s="323">
        <v>20</v>
      </c>
      <c r="S8" s="469">
        <v>20</v>
      </c>
      <c r="T8" s="459">
        <v>20</v>
      </c>
      <c r="U8" s="459"/>
      <c r="V8" s="459"/>
      <c r="W8" s="459"/>
      <c r="X8" s="470">
        <f>IF((S8=0),0,((T8+U8)/S8*100%))</f>
        <v>1</v>
      </c>
      <c r="Y8" s="601" t="s">
        <v>649</v>
      </c>
      <c r="Z8" s="458">
        <f t="shared" si="1"/>
        <v>0</v>
      </c>
      <c r="AA8" s="459">
        <v>0</v>
      </c>
      <c r="AB8" s="459">
        <v>0</v>
      </c>
      <c r="AC8" s="459">
        <v>0</v>
      </c>
      <c r="AD8" s="459">
        <v>0</v>
      </c>
      <c r="AE8" s="460">
        <f t="shared" ref="AE8:AE56" si="3">IF((Z8=0),0,((AA8+AB8)/Z8*100%))</f>
        <v>0</v>
      </c>
      <c r="AF8" s="322"/>
      <c r="AG8" s="431" t="e">
        <f>VLOOKUP(A8,'Feature Summary'!$A$7:$U$4055,21,FALSE)</f>
        <v>#N/A</v>
      </c>
      <c r="AH8" s="324"/>
      <c r="AI8" s="173"/>
    </row>
    <row r="9" spans="1:35" ht="87.4" hidden="1">
      <c r="A9" s="330" t="s">
        <v>650</v>
      </c>
      <c r="B9" s="544" t="s">
        <v>651</v>
      </c>
      <c r="C9" s="545"/>
      <c r="D9" s="546" t="s">
        <v>264</v>
      </c>
      <c r="E9" s="547"/>
      <c r="F9" s="545" t="s">
        <v>652</v>
      </c>
      <c r="G9" s="243" t="e">
        <f>VLOOKUP(A9,'Feature Summary'!$A$7:$C$4055,3,FALSE)</f>
        <v>#N/A</v>
      </c>
      <c r="H9" s="557" t="s">
        <v>653</v>
      </c>
      <c r="I9" s="429" t="s">
        <v>41</v>
      </c>
      <c r="J9" s="322"/>
      <c r="K9" s="561">
        <v>1</v>
      </c>
      <c r="L9" s="562">
        <v>11</v>
      </c>
      <c r="M9" s="562" t="s">
        <v>33</v>
      </c>
      <c r="N9" s="443">
        <v>1</v>
      </c>
      <c r="O9" s="562">
        <v>11</v>
      </c>
      <c r="P9" s="444">
        <f t="shared" si="2"/>
        <v>1</v>
      </c>
      <c r="Q9" s="429" t="s">
        <v>48</v>
      </c>
      <c r="R9" s="323">
        <v>11</v>
      </c>
      <c r="S9" s="469">
        <v>11</v>
      </c>
      <c r="T9" s="459">
        <v>11</v>
      </c>
      <c r="U9" s="459"/>
      <c r="V9" s="459"/>
      <c r="W9" s="459"/>
      <c r="X9" s="470">
        <f t="shared" ref="X9:X55" si="4">IF((S9=0),0,((T9+U9)/S9*100%))</f>
        <v>1</v>
      </c>
      <c r="Y9" s="430"/>
      <c r="Z9" s="458">
        <f t="shared" si="1"/>
        <v>0</v>
      </c>
      <c r="AA9" s="459">
        <v>0</v>
      </c>
      <c r="AB9" s="459">
        <v>0</v>
      </c>
      <c r="AC9" s="459">
        <v>0</v>
      </c>
      <c r="AD9" s="459">
        <v>0</v>
      </c>
      <c r="AE9" s="460">
        <f>IF((Z9=0),0,((AA9+AB9)/Z9*100%))</f>
        <v>0</v>
      </c>
      <c r="AF9" s="322"/>
      <c r="AG9" s="431" t="e">
        <f>VLOOKUP(A9,'Feature Summary'!$A$7:$U$4055,21,FALSE)</f>
        <v>#N/A</v>
      </c>
      <c r="AH9" s="324"/>
    </row>
    <row r="10" spans="1:35" ht="45" hidden="1">
      <c r="A10" s="330" t="s">
        <v>645</v>
      </c>
      <c r="B10" s="544" t="s">
        <v>646</v>
      </c>
      <c r="C10" s="545"/>
      <c r="D10" s="546" t="s">
        <v>264</v>
      </c>
      <c r="E10" s="547"/>
      <c r="F10" s="545" t="s">
        <v>654</v>
      </c>
      <c r="G10" s="243" t="e">
        <f>VLOOKUP(A10,'Feature Summary'!$A$7:$C$4055,3,FALSE)</f>
        <v>#N/A</v>
      </c>
      <c r="H10" s="557" t="s">
        <v>655</v>
      </c>
      <c r="I10" s="429" t="s">
        <v>41</v>
      </c>
      <c r="J10" s="322"/>
      <c r="K10" s="561">
        <v>1</v>
      </c>
      <c r="L10" s="562">
        <v>4</v>
      </c>
      <c r="M10" s="562" t="s">
        <v>33</v>
      </c>
      <c r="N10" s="443">
        <v>1</v>
      </c>
      <c r="O10" s="562">
        <v>4</v>
      </c>
      <c r="P10" s="444">
        <f>IF((O10=0),0,(O10/L10))</f>
        <v>1</v>
      </c>
      <c r="Q10" s="429" t="s">
        <v>38</v>
      </c>
      <c r="R10" s="323">
        <v>1</v>
      </c>
      <c r="S10" s="469">
        <v>1</v>
      </c>
      <c r="T10" s="459"/>
      <c r="U10" s="459"/>
      <c r="V10" s="459">
        <v>1</v>
      </c>
      <c r="W10" s="459"/>
      <c r="X10" s="470">
        <f>IF((S10=0),0,((T10+U10)/S10*100%))</f>
        <v>0</v>
      </c>
      <c r="Y10" s="601" t="s">
        <v>656</v>
      </c>
      <c r="Z10" s="458">
        <f t="shared" si="1"/>
        <v>0</v>
      </c>
      <c r="AA10" s="459">
        <v>0</v>
      </c>
      <c r="AB10" s="459">
        <v>0</v>
      </c>
      <c r="AC10" s="459">
        <v>0</v>
      </c>
      <c r="AD10" s="459">
        <v>0</v>
      </c>
      <c r="AE10" s="460">
        <f>IF((Z10=0),0,((AA10+AB10)/Z10*100%))</f>
        <v>0</v>
      </c>
      <c r="AF10" s="322"/>
      <c r="AG10" s="431" t="e">
        <f>VLOOKUP(A10,'Feature Summary'!$A$7:$U$4055,21,FALSE)</f>
        <v>#N/A</v>
      </c>
      <c r="AH10" s="324"/>
    </row>
    <row r="11" spans="1:35" ht="43.7" hidden="1">
      <c r="A11" s="330" t="s">
        <v>657</v>
      </c>
      <c r="B11" s="544" t="s">
        <v>658</v>
      </c>
      <c r="C11" s="545"/>
      <c r="D11" s="546" t="s">
        <v>264</v>
      </c>
      <c r="E11" s="547"/>
      <c r="F11" s="545" t="s">
        <v>659</v>
      </c>
      <c r="G11" s="243" t="e">
        <f>VLOOKUP(A11,'Feature Summary'!$A$7:$C$4055,3,FALSE)</f>
        <v>#N/A</v>
      </c>
      <c r="H11" s="557" t="s">
        <v>660</v>
      </c>
      <c r="I11" s="429" t="s">
        <v>41</v>
      </c>
      <c r="J11" s="322"/>
      <c r="K11" s="561">
        <v>1</v>
      </c>
      <c r="L11" s="562">
        <v>4</v>
      </c>
      <c r="M11" s="562" t="s">
        <v>33</v>
      </c>
      <c r="N11" s="443">
        <v>1</v>
      </c>
      <c r="O11" s="562">
        <v>4</v>
      </c>
      <c r="P11" s="444">
        <f t="shared" si="2"/>
        <v>1</v>
      </c>
      <c r="Q11" s="429" t="s">
        <v>38</v>
      </c>
      <c r="R11" s="323">
        <v>1</v>
      </c>
      <c r="S11" s="469">
        <v>1</v>
      </c>
      <c r="T11" s="459">
        <v>1</v>
      </c>
      <c r="U11" s="459"/>
      <c r="V11" s="459"/>
      <c r="W11" s="459"/>
      <c r="X11" s="470">
        <f t="shared" si="4"/>
        <v>1</v>
      </c>
      <c r="Y11" s="430"/>
      <c r="Z11" s="458">
        <f t="shared" si="1"/>
        <v>0</v>
      </c>
      <c r="AA11" s="459">
        <v>0</v>
      </c>
      <c r="AB11" s="459">
        <v>0</v>
      </c>
      <c r="AC11" s="459">
        <v>0</v>
      </c>
      <c r="AD11" s="459">
        <v>0</v>
      </c>
      <c r="AE11" s="460">
        <f>IF((Z11=0),0,((AA11+AB11)/Z11*100%))</f>
        <v>0</v>
      </c>
      <c r="AF11" s="322"/>
      <c r="AG11" s="431" t="e">
        <f>VLOOKUP(A11,'Feature Summary'!$A$7:$U$4055,21,FALSE)</f>
        <v>#N/A</v>
      </c>
      <c r="AH11" s="324"/>
    </row>
    <row r="12" spans="1:35" ht="58.35" hidden="1">
      <c r="A12" s="330" t="s">
        <v>661</v>
      </c>
      <c r="B12" s="544" t="s">
        <v>662</v>
      </c>
      <c r="C12" s="545"/>
      <c r="D12" s="546" t="s">
        <v>264</v>
      </c>
      <c r="E12" s="547"/>
      <c r="F12" s="545" t="s">
        <v>663</v>
      </c>
      <c r="G12" s="243" t="e">
        <f>VLOOKUP(A12,'Feature Summary'!$A$7:$C$4055,3,FALSE)</f>
        <v>#N/A</v>
      </c>
      <c r="H12" s="557" t="s">
        <v>664</v>
      </c>
      <c r="I12" s="429" t="s">
        <v>35</v>
      </c>
      <c r="J12" s="322"/>
      <c r="K12" s="561">
        <v>1</v>
      </c>
      <c r="L12" s="562">
        <v>259</v>
      </c>
      <c r="M12" s="562" t="s">
        <v>33</v>
      </c>
      <c r="N12" s="443">
        <v>1</v>
      </c>
      <c r="O12" s="562">
        <v>259</v>
      </c>
      <c r="P12" s="444">
        <f>IF((O12=0),0,(O12/L12))</f>
        <v>1</v>
      </c>
      <c r="Q12" s="429" t="s">
        <v>48</v>
      </c>
      <c r="R12" s="323">
        <v>259</v>
      </c>
      <c r="S12" s="469">
        <v>259</v>
      </c>
      <c r="T12" s="459">
        <v>259</v>
      </c>
      <c r="U12" s="459"/>
      <c r="V12" s="459"/>
      <c r="W12" s="459"/>
      <c r="X12" s="470">
        <f>IF((S12=0),0,((T12+U12)/S12*100%))</f>
        <v>1</v>
      </c>
      <c r="Y12" s="601" t="s">
        <v>665</v>
      </c>
      <c r="Z12" s="458">
        <f t="shared" si="1"/>
        <v>0</v>
      </c>
      <c r="AA12" s="459">
        <v>0</v>
      </c>
      <c r="AB12" s="459">
        <v>0</v>
      </c>
      <c r="AC12" s="459">
        <v>0</v>
      </c>
      <c r="AD12" s="459">
        <v>0</v>
      </c>
      <c r="AE12" s="460">
        <f t="shared" si="3"/>
        <v>0</v>
      </c>
      <c r="AF12" s="322"/>
      <c r="AG12" s="431" t="e">
        <f>VLOOKUP(A12,'Feature Summary'!$A$7:$U$4055,21,FALSE)</f>
        <v>#N/A</v>
      </c>
      <c r="AH12" s="324"/>
      <c r="AI12" s="173"/>
    </row>
    <row r="13" spans="1:35" ht="105" hidden="1">
      <c r="A13" s="330" t="s">
        <v>666</v>
      </c>
      <c r="B13" s="551" t="s">
        <v>667</v>
      </c>
      <c r="C13" s="545"/>
      <c r="D13" s="546" t="s">
        <v>264</v>
      </c>
      <c r="E13" s="547"/>
      <c r="F13" s="551" t="s">
        <v>668</v>
      </c>
      <c r="G13" s="243" t="e">
        <f>VLOOKUP(A13,'Feature Summary'!$A$7:$C$4055,3,FALSE)</f>
        <v>#N/A</v>
      </c>
      <c r="H13" s="557" t="s">
        <v>669</v>
      </c>
      <c r="I13" s="429" t="s">
        <v>670</v>
      </c>
      <c r="J13" s="322"/>
      <c r="K13" s="561">
        <v>5</v>
      </c>
      <c r="L13" s="562">
        <v>1</v>
      </c>
      <c r="M13" s="576" t="s">
        <v>33</v>
      </c>
      <c r="N13" s="577">
        <v>1</v>
      </c>
      <c r="O13" s="575">
        <v>1</v>
      </c>
      <c r="P13" s="444">
        <f>IF((O13=0),0,(O13/L13))</f>
        <v>1</v>
      </c>
      <c r="Q13" s="429" t="s">
        <v>48</v>
      </c>
      <c r="R13" s="578">
        <v>1</v>
      </c>
      <c r="S13" s="471"/>
      <c r="T13" s="459"/>
      <c r="U13" s="579"/>
      <c r="V13" s="459"/>
      <c r="W13" s="579"/>
      <c r="X13" s="473">
        <f>IF((S13=0),0,((T13+U13)/S13*100%))</f>
        <v>0</v>
      </c>
      <c r="Y13" s="579" t="s">
        <v>671</v>
      </c>
      <c r="Z13" s="461">
        <f t="shared" ref="Z13" si="5">SUM(AA13:AD13)</f>
        <v>0</v>
      </c>
      <c r="AA13" s="580">
        <v>0</v>
      </c>
      <c r="AB13" s="580"/>
      <c r="AC13" s="580">
        <v>0</v>
      </c>
      <c r="AD13" s="580">
        <v>0</v>
      </c>
      <c r="AE13" s="463">
        <f t="shared" ref="AE13" si="6">IF((Z13=0),0,((AA13+AB13)/Z13*100%))</f>
        <v>0</v>
      </c>
      <c r="AF13" s="579"/>
      <c r="AG13" s="581"/>
      <c r="AH13" s="324"/>
    </row>
    <row r="14" spans="1:35" ht="29.1" hidden="1">
      <c r="A14" s="330" t="s">
        <v>375</v>
      </c>
      <c r="B14" s="551" t="s">
        <v>672</v>
      </c>
      <c r="C14" s="545"/>
      <c r="D14" s="546" t="s">
        <v>264</v>
      </c>
      <c r="E14" s="547"/>
      <c r="F14" s="551" t="s">
        <v>673</v>
      </c>
      <c r="G14" s="243" t="str">
        <f>VLOOKUP(A14,'Feature Summary'!$A$7:$C$4055,3,FALSE)</f>
        <v>P2</v>
      </c>
      <c r="H14" s="557" t="s">
        <v>674</v>
      </c>
      <c r="I14" s="429" t="s">
        <v>41</v>
      </c>
      <c r="J14" s="322"/>
      <c r="K14" s="561">
        <v>5</v>
      </c>
      <c r="L14" s="562">
        <v>1</v>
      </c>
      <c r="M14" s="576" t="s">
        <v>33</v>
      </c>
      <c r="N14" s="577">
        <v>1</v>
      </c>
      <c r="O14" s="575">
        <v>1</v>
      </c>
      <c r="P14" s="444">
        <f>IF((O14=0),0,(O14/L14))</f>
        <v>1</v>
      </c>
      <c r="Q14" s="429" t="s">
        <v>50</v>
      </c>
      <c r="R14" s="578">
        <v>1</v>
      </c>
      <c r="S14" s="471">
        <v>1</v>
      </c>
      <c r="T14" s="459">
        <v>1</v>
      </c>
      <c r="U14" s="579"/>
      <c r="V14" s="459"/>
      <c r="W14" s="579"/>
      <c r="X14" s="473">
        <f>IF((S14=0),0,((T14+U14)/S14*100%))</f>
        <v>1</v>
      </c>
      <c r="Y14" s="579"/>
      <c r="Z14" s="461">
        <f t="shared" si="1"/>
        <v>0</v>
      </c>
      <c r="AA14" s="580">
        <v>0</v>
      </c>
      <c r="AB14" s="580"/>
      <c r="AC14" s="580">
        <v>0</v>
      </c>
      <c r="AD14" s="580">
        <v>0</v>
      </c>
      <c r="AE14" s="463">
        <f t="shared" si="3"/>
        <v>0</v>
      </c>
      <c r="AF14" s="579"/>
      <c r="AG14" s="581"/>
      <c r="AH14" s="324"/>
    </row>
    <row r="15" spans="1:35" ht="131.1" hidden="1">
      <c r="A15" s="330" t="s">
        <v>675</v>
      </c>
      <c r="B15" s="544" t="s">
        <v>676</v>
      </c>
      <c r="C15" s="545"/>
      <c r="D15" s="546" t="s">
        <v>264</v>
      </c>
      <c r="E15" s="547"/>
      <c r="F15" s="545" t="s">
        <v>677</v>
      </c>
      <c r="G15" s="243" t="e">
        <f>VLOOKUP(A15,'Feature Summary'!$A$7:$C$4055,3,FALSE)</f>
        <v>#N/A</v>
      </c>
      <c r="H15" s="557" t="s">
        <v>678</v>
      </c>
      <c r="I15" s="429" t="s">
        <v>41</v>
      </c>
      <c r="J15" s="322"/>
      <c r="K15" s="561">
        <v>1</v>
      </c>
      <c r="L15" s="562">
        <v>11</v>
      </c>
      <c r="M15" s="562" t="s">
        <v>33</v>
      </c>
      <c r="N15" s="443">
        <v>1</v>
      </c>
      <c r="O15" s="562">
        <v>11</v>
      </c>
      <c r="P15" s="444">
        <f t="shared" si="2"/>
        <v>1</v>
      </c>
      <c r="Q15" s="429" t="s">
        <v>48</v>
      </c>
      <c r="R15" s="323">
        <v>11</v>
      </c>
      <c r="S15" s="469">
        <v>11</v>
      </c>
      <c r="T15" s="459">
        <v>10</v>
      </c>
      <c r="U15" s="459">
        <v>0</v>
      </c>
      <c r="V15" s="459">
        <v>1</v>
      </c>
      <c r="W15" s="459">
        <v>0</v>
      </c>
      <c r="X15" s="470">
        <f t="shared" si="4"/>
        <v>0.90909090909090906</v>
      </c>
      <c r="Y15" s="601" t="s">
        <v>679</v>
      </c>
      <c r="Z15" s="458">
        <f t="shared" si="1"/>
        <v>0</v>
      </c>
      <c r="AA15" s="459">
        <v>0</v>
      </c>
      <c r="AB15" s="459">
        <v>0</v>
      </c>
      <c r="AC15" s="459">
        <v>0</v>
      </c>
      <c r="AD15" s="459">
        <v>0</v>
      </c>
      <c r="AE15" s="460">
        <f t="shared" si="3"/>
        <v>0</v>
      </c>
      <c r="AF15" s="322"/>
      <c r="AG15" s="431" t="e">
        <f>VLOOKUP(A15,'Feature Summary'!$A$7:$U$4055,21,FALSE)</f>
        <v>#N/A</v>
      </c>
      <c r="AH15" s="324"/>
    </row>
    <row r="16" spans="1:35" ht="270" hidden="1">
      <c r="A16" s="330" t="s">
        <v>373</v>
      </c>
      <c r="B16" s="544" t="s">
        <v>374</v>
      </c>
      <c r="C16" s="545"/>
      <c r="D16" s="546" t="s">
        <v>264</v>
      </c>
      <c r="E16" s="547"/>
      <c r="F16" s="545" t="s">
        <v>680</v>
      </c>
      <c r="G16" s="243" t="str">
        <f>VLOOKUP(A16,'Feature Summary'!$A$7:$C$4055,3,FALSE)</f>
        <v>P2</v>
      </c>
      <c r="H16" s="557" t="s">
        <v>681</v>
      </c>
      <c r="I16" s="429" t="s">
        <v>41</v>
      </c>
      <c r="J16" s="322"/>
      <c r="K16" s="561">
        <v>1</v>
      </c>
      <c r="L16" s="562">
        <v>5</v>
      </c>
      <c r="M16" s="562" t="s">
        <v>33</v>
      </c>
      <c r="N16" s="443">
        <v>1</v>
      </c>
      <c r="O16" s="562">
        <v>5</v>
      </c>
      <c r="P16" s="444">
        <f t="shared" si="2"/>
        <v>1</v>
      </c>
      <c r="Q16" s="429" t="s">
        <v>47</v>
      </c>
      <c r="R16" s="323">
        <v>0</v>
      </c>
      <c r="S16" s="469">
        <v>1</v>
      </c>
      <c r="T16" s="459">
        <v>1</v>
      </c>
      <c r="U16" s="459"/>
      <c r="V16" s="459"/>
      <c r="W16" s="459"/>
      <c r="X16" s="470">
        <f t="shared" si="4"/>
        <v>1</v>
      </c>
      <c r="Y16" s="601" t="s">
        <v>682</v>
      </c>
      <c r="Z16" s="458">
        <f t="shared" si="1"/>
        <v>0</v>
      </c>
      <c r="AA16" s="459">
        <v>0</v>
      </c>
      <c r="AB16" s="459">
        <v>0</v>
      </c>
      <c r="AC16" s="459">
        <v>0</v>
      </c>
      <c r="AD16" s="459">
        <v>0</v>
      </c>
      <c r="AE16" s="460">
        <f t="shared" si="3"/>
        <v>0</v>
      </c>
      <c r="AF16" s="322"/>
      <c r="AG16" s="431" t="str">
        <f>VLOOKUP(A16,'Feature Summary'!$A$7:$U$4055,21,FALSE)</f>
        <v>w4</v>
      </c>
      <c r="AH16" s="324"/>
    </row>
    <row r="17" spans="1:35" ht="29.1" hidden="1">
      <c r="A17" s="330" t="s">
        <v>367</v>
      </c>
      <c r="B17" s="544" t="s">
        <v>368</v>
      </c>
      <c r="C17" s="545"/>
      <c r="D17" s="546" t="s">
        <v>264</v>
      </c>
      <c r="E17" s="547"/>
      <c r="F17" s="545" t="s">
        <v>683</v>
      </c>
      <c r="G17" s="243" t="str">
        <f>VLOOKUP(A17,'Feature Summary'!$A$7:$C$4055,3,FALSE)</f>
        <v>P2</v>
      </c>
      <c r="H17" s="557" t="s">
        <v>684</v>
      </c>
      <c r="I17" s="429" t="s">
        <v>41</v>
      </c>
      <c r="J17" s="322"/>
      <c r="K17" s="561">
        <v>1</v>
      </c>
      <c r="L17" s="562">
        <v>1</v>
      </c>
      <c r="M17" s="562" t="s">
        <v>33</v>
      </c>
      <c r="N17" s="443">
        <v>1</v>
      </c>
      <c r="O17" s="562">
        <v>1</v>
      </c>
      <c r="P17" s="444">
        <f t="shared" si="2"/>
        <v>1</v>
      </c>
      <c r="Q17" s="429" t="s">
        <v>38</v>
      </c>
      <c r="R17" s="323">
        <v>1</v>
      </c>
      <c r="S17" s="469"/>
      <c r="T17" s="459"/>
      <c r="U17" s="459"/>
      <c r="V17" s="459"/>
      <c r="W17" s="459"/>
      <c r="X17" s="470">
        <f t="shared" si="4"/>
        <v>0</v>
      </c>
      <c r="Y17" s="430" t="s">
        <v>685</v>
      </c>
      <c r="Z17" s="458">
        <f t="shared" si="1"/>
        <v>0</v>
      </c>
      <c r="AA17" s="459">
        <v>0</v>
      </c>
      <c r="AB17" s="459">
        <v>0</v>
      </c>
      <c r="AC17" s="459">
        <v>0</v>
      </c>
      <c r="AD17" s="459">
        <v>0</v>
      </c>
      <c r="AE17" s="460">
        <f t="shared" si="3"/>
        <v>0</v>
      </c>
      <c r="AF17" s="322"/>
      <c r="AG17" s="431" t="str">
        <f>VLOOKUP(A17,'Feature Summary'!$A$7:$U$4055,21,FALSE)</f>
        <v>w4</v>
      </c>
      <c r="AH17" s="324"/>
    </row>
    <row r="18" spans="1:35" ht="45" hidden="1">
      <c r="A18" s="330" t="s">
        <v>686</v>
      </c>
      <c r="B18" s="544" t="s">
        <v>687</v>
      </c>
      <c r="C18" s="545"/>
      <c r="D18" s="546" t="s">
        <v>264</v>
      </c>
      <c r="E18" s="547"/>
      <c r="F18" s="548" t="s">
        <v>688</v>
      </c>
      <c r="G18" s="243" t="e">
        <f>VLOOKUP(A18,'Feature Summary'!$A$7:$C$4055,3,FALSE)</f>
        <v>#N/A</v>
      </c>
      <c r="H18" s="557" t="s">
        <v>689</v>
      </c>
      <c r="I18" s="429" t="s">
        <v>41</v>
      </c>
      <c r="J18" s="322"/>
      <c r="K18" s="561">
        <v>1</v>
      </c>
      <c r="L18" s="562">
        <v>24</v>
      </c>
      <c r="M18" s="562" t="s">
        <v>33</v>
      </c>
      <c r="N18" s="443">
        <v>1</v>
      </c>
      <c r="O18" s="562">
        <v>24</v>
      </c>
      <c r="P18" s="444">
        <f t="shared" si="2"/>
        <v>1</v>
      </c>
      <c r="Q18" s="429" t="s">
        <v>48</v>
      </c>
      <c r="R18" s="323">
        <v>24</v>
      </c>
      <c r="S18" s="469">
        <v>24</v>
      </c>
      <c r="T18" s="459">
        <v>5</v>
      </c>
      <c r="U18" s="459"/>
      <c r="V18" s="459">
        <v>16</v>
      </c>
      <c r="W18" s="459"/>
      <c r="X18" s="470">
        <f t="shared" si="4"/>
        <v>0.20833333333333334</v>
      </c>
      <c r="Y18" s="430" t="s">
        <v>690</v>
      </c>
      <c r="Z18" s="458">
        <f t="shared" si="1"/>
        <v>0</v>
      </c>
      <c r="AA18" s="459">
        <v>0</v>
      </c>
      <c r="AB18" s="459">
        <v>0</v>
      </c>
      <c r="AC18" s="459">
        <v>0</v>
      </c>
      <c r="AD18" s="459">
        <v>0</v>
      </c>
      <c r="AE18" s="460">
        <f t="shared" si="3"/>
        <v>0</v>
      </c>
      <c r="AF18" s="322"/>
      <c r="AG18" s="431" t="e">
        <f>VLOOKUP(A18,'Feature Summary'!$A$7:$U$4055,21,FALSE)</f>
        <v>#N/A</v>
      </c>
      <c r="AH18" s="324"/>
    </row>
    <row r="19" spans="1:35" ht="144" customHeight="1">
      <c r="A19" s="330" t="s">
        <v>691</v>
      </c>
      <c r="B19" s="544" t="s">
        <v>692</v>
      </c>
      <c r="C19" s="545"/>
      <c r="D19" s="546" t="s">
        <v>693</v>
      </c>
      <c r="E19" s="547"/>
      <c r="F19" s="548" t="s">
        <v>694</v>
      </c>
      <c r="G19" s="243" t="e">
        <f>VLOOKUP(A19,'Feature Summary'!$A$7:$C$4055,3,FALSE)</f>
        <v>#N/A</v>
      </c>
      <c r="H19" s="557" t="s">
        <v>695</v>
      </c>
      <c r="I19" s="429" t="s">
        <v>35</v>
      </c>
      <c r="J19" s="322"/>
      <c r="K19" s="561">
        <v>3</v>
      </c>
      <c r="L19" s="562">
        <v>3</v>
      </c>
      <c r="M19" s="562" t="s">
        <v>44</v>
      </c>
      <c r="N19" s="443">
        <v>1</v>
      </c>
      <c r="O19" s="562">
        <v>0</v>
      </c>
      <c r="P19" s="444">
        <f>IF((O19=0),0,(O19/L19))</f>
        <v>0</v>
      </c>
      <c r="Q19" s="429" t="s">
        <v>47</v>
      </c>
      <c r="R19" s="323">
        <v>0</v>
      </c>
      <c r="S19" s="469"/>
      <c r="T19" s="459"/>
      <c r="U19" s="459"/>
      <c r="V19" s="459"/>
      <c r="W19" s="459"/>
      <c r="X19" s="470"/>
      <c r="Y19" s="430"/>
      <c r="Z19" s="458"/>
      <c r="AA19" s="459"/>
      <c r="AB19" s="459"/>
      <c r="AC19" s="459"/>
      <c r="AD19" s="459"/>
      <c r="AE19" s="460"/>
      <c r="AF19" s="322"/>
      <c r="AG19" s="431"/>
      <c r="AH19" s="324"/>
    </row>
    <row r="20" spans="1:35" ht="33.75" customHeight="1">
      <c r="A20" s="584" t="s">
        <v>320</v>
      </c>
      <c r="B20" s="584" t="s">
        <v>321</v>
      </c>
      <c r="C20" s="545"/>
      <c r="D20" s="546" t="s">
        <v>264</v>
      </c>
      <c r="E20" s="547"/>
      <c r="F20" s="548" t="s">
        <v>696</v>
      </c>
      <c r="G20" s="243" t="s">
        <v>697</v>
      </c>
      <c r="H20" s="557" t="s">
        <v>698</v>
      </c>
      <c r="I20" s="429" t="s">
        <v>35</v>
      </c>
      <c r="J20" s="322"/>
      <c r="K20" s="561">
        <v>1</v>
      </c>
      <c r="L20" s="562">
        <v>1</v>
      </c>
      <c r="M20" s="562" t="s">
        <v>44</v>
      </c>
      <c r="N20" s="443">
        <v>1</v>
      </c>
      <c r="O20" s="562">
        <v>0</v>
      </c>
      <c r="P20" s="444">
        <f>IF((O20=0),0,(O20/L20))</f>
        <v>0</v>
      </c>
      <c r="Q20" s="429" t="s">
        <v>38</v>
      </c>
      <c r="R20" s="323"/>
      <c r="S20" s="469"/>
      <c r="T20" s="459"/>
      <c r="U20" s="459"/>
      <c r="V20" s="459"/>
      <c r="W20" s="459"/>
      <c r="X20" s="470"/>
      <c r="Y20" s="430"/>
      <c r="Z20" s="458"/>
      <c r="AA20" s="459"/>
      <c r="AB20" s="459"/>
      <c r="AC20" s="459"/>
      <c r="AD20" s="459"/>
      <c r="AE20" s="460"/>
      <c r="AF20" s="322"/>
      <c r="AG20" s="431"/>
      <c r="AH20" s="324"/>
    </row>
    <row r="21" spans="1:35" ht="46.5" customHeight="1">
      <c r="A21" s="604" t="s">
        <v>323</v>
      </c>
      <c r="B21" s="605" t="s">
        <v>324</v>
      </c>
      <c r="C21" s="545"/>
      <c r="D21" s="546" t="s">
        <v>264</v>
      </c>
      <c r="E21" s="547"/>
      <c r="F21" s="548" t="s">
        <v>699</v>
      </c>
      <c r="G21" s="243" t="s">
        <v>280</v>
      </c>
      <c r="H21" s="557" t="s">
        <v>700</v>
      </c>
      <c r="I21" s="429" t="s">
        <v>41</v>
      </c>
      <c r="J21" s="322"/>
      <c r="K21" s="561">
        <v>1</v>
      </c>
      <c r="L21" s="562">
        <v>1</v>
      </c>
      <c r="M21" s="562" t="s">
        <v>44</v>
      </c>
      <c r="N21" s="443">
        <v>1</v>
      </c>
      <c r="O21" s="562">
        <v>0</v>
      </c>
      <c r="P21" s="444">
        <f>IF((O21=0),0,(O21/L21))</f>
        <v>0</v>
      </c>
      <c r="Q21" s="429" t="s">
        <v>50</v>
      </c>
      <c r="R21" s="323"/>
      <c r="S21" s="469"/>
      <c r="T21" s="459"/>
      <c r="U21" s="459"/>
      <c r="V21" s="459"/>
      <c r="W21" s="459"/>
      <c r="X21" s="470"/>
      <c r="Y21" s="430"/>
      <c r="Z21" s="458">
        <v>0</v>
      </c>
      <c r="AA21" s="459">
        <v>0</v>
      </c>
      <c r="AB21" s="459">
        <v>0</v>
      </c>
      <c r="AC21" s="459">
        <v>0</v>
      </c>
      <c r="AD21" s="459">
        <v>0</v>
      </c>
      <c r="AE21" s="460">
        <v>0</v>
      </c>
      <c r="AF21" s="322"/>
      <c r="AG21" s="431"/>
      <c r="AH21" s="324"/>
    </row>
    <row r="22" spans="1:35" ht="29.1" hidden="1">
      <c r="A22" s="330" t="s">
        <v>391</v>
      </c>
      <c r="B22" s="544" t="s">
        <v>392</v>
      </c>
      <c r="C22" s="545"/>
      <c r="D22" s="546" t="s">
        <v>693</v>
      </c>
      <c r="E22" s="547"/>
      <c r="F22" s="545" t="s">
        <v>701</v>
      </c>
      <c r="G22" s="243" t="str">
        <f>VLOOKUP(A22,'Feature Summary'!$A$7:$C$4055,3,FALSE)</f>
        <v>P2</v>
      </c>
      <c r="H22" s="557" t="s">
        <v>702</v>
      </c>
      <c r="I22" s="429" t="s">
        <v>35</v>
      </c>
      <c r="J22" s="322"/>
      <c r="K22" s="561">
        <v>1</v>
      </c>
      <c r="L22" s="562">
        <v>7</v>
      </c>
      <c r="M22" s="562" t="s">
        <v>33</v>
      </c>
      <c r="N22" s="443">
        <v>1</v>
      </c>
      <c r="O22" s="562">
        <v>7</v>
      </c>
      <c r="P22" s="444">
        <f t="shared" si="2"/>
        <v>1</v>
      </c>
      <c r="Q22" s="429" t="s">
        <v>38</v>
      </c>
      <c r="R22" s="323">
        <v>7</v>
      </c>
      <c r="S22" s="469">
        <v>7</v>
      </c>
      <c r="T22" s="459">
        <v>7</v>
      </c>
      <c r="U22" s="459"/>
      <c r="V22" s="459"/>
      <c r="W22" s="459"/>
      <c r="X22" s="470">
        <f t="shared" si="4"/>
        <v>1</v>
      </c>
      <c r="Y22" s="430"/>
      <c r="Z22" s="458">
        <f t="shared" si="1"/>
        <v>0</v>
      </c>
      <c r="AA22" s="459">
        <v>0</v>
      </c>
      <c r="AB22" s="459">
        <v>0</v>
      </c>
      <c r="AC22" s="459">
        <v>0</v>
      </c>
      <c r="AD22" s="459">
        <v>0</v>
      </c>
      <c r="AE22" s="460">
        <f t="shared" si="3"/>
        <v>0</v>
      </c>
      <c r="AF22" s="322"/>
      <c r="AG22" s="431" t="str">
        <f>VLOOKUP(A22,'Feature Summary'!$A$7:$U$4055,21,FALSE)</f>
        <v>w2</v>
      </c>
      <c r="AH22" s="324"/>
    </row>
    <row r="23" spans="1:35" ht="29.1" hidden="1">
      <c r="A23" s="330" t="s">
        <v>393</v>
      </c>
      <c r="B23" s="544" t="s">
        <v>703</v>
      </c>
      <c r="C23" s="545"/>
      <c r="D23" s="546" t="s">
        <v>693</v>
      </c>
      <c r="E23" s="547"/>
      <c r="F23" s="545" t="s">
        <v>704</v>
      </c>
      <c r="G23" s="243" t="str">
        <f>VLOOKUP(A23,'Feature Summary'!$A$7:$C$4055,3,FALSE)</f>
        <v>P2</v>
      </c>
      <c r="H23" s="557" t="s">
        <v>705</v>
      </c>
      <c r="I23" s="429" t="s">
        <v>35</v>
      </c>
      <c r="J23" s="322"/>
      <c r="K23" s="561">
        <v>1</v>
      </c>
      <c r="L23" s="562">
        <v>3</v>
      </c>
      <c r="M23" s="562" t="s">
        <v>33</v>
      </c>
      <c r="N23" s="443">
        <v>1</v>
      </c>
      <c r="O23" s="562">
        <v>3</v>
      </c>
      <c r="P23" s="444">
        <f t="shared" si="2"/>
        <v>1</v>
      </c>
      <c r="Q23" s="429" t="s">
        <v>38</v>
      </c>
      <c r="R23" s="323">
        <v>1</v>
      </c>
      <c r="S23" s="469"/>
      <c r="T23" s="459"/>
      <c r="U23" s="459"/>
      <c r="V23" s="459"/>
      <c r="W23" s="459"/>
      <c r="X23" s="470">
        <f t="shared" si="4"/>
        <v>0</v>
      </c>
      <c r="Y23" s="430"/>
      <c r="Z23" s="458">
        <f t="shared" si="1"/>
        <v>0</v>
      </c>
      <c r="AA23" s="459">
        <v>0</v>
      </c>
      <c r="AB23" s="459">
        <v>0</v>
      </c>
      <c r="AC23" s="459">
        <v>0</v>
      </c>
      <c r="AD23" s="459">
        <v>0</v>
      </c>
      <c r="AE23" s="460">
        <f t="shared" si="3"/>
        <v>0</v>
      </c>
      <c r="AF23" s="322"/>
      <c r="AG23" s="431" t="str">
        <f>VLOOKUP(A23,'Feature Summary'!$A$7:$U$4055,21,FALSE)</f>
        <v>w3</v>
      </c>
      <c r="AH23" s="324"/>
    </row>
    <row r="24" spans="1:35" ht="29.1" hidden="1">
      <c r="A24" s="330" t="s">
        <v>573</v>
      </c>
      <c r="B24" s="544" t="s">
        <v>574</v>
      </c>
      <c r="C24" s="545"/>
      <c r="D24" s="546" t="s">
        <v>693</v>
      </c>
      <c r="E24" s="547"/>
      <c r="F24" s="545" t="s">
        <v>706</v>
      </c>
      <c r="G24" s="243" t="str">
        <f>VLOOKUP(A24,'Feature Summary'!$A$7:$C$4055,3,FALSE)</f>
        <v>P2</v>
      </c>
      <c r="H24" s="557" t="s">
        <v>707</v>
      </c>
      <c r="I24" s="429" t="s">
        <v>41</v>
      </c>
      <c r="J24" s="322"/>
      <c r="K24" s="561">
        <v>1</v>
      </c>
      <c r="L24" s="562">
        <v>2</v>
      </c>
      <c r="M24" s="562" t="s">
        <v>33</v>
      </c>
      <c r="N24" s="443">
        <v>1</v>
      </c>
      <c r="O24" s="562">
        <v>2</v>
      </c>
      <c r="P24" s="444">
        <f t="shared" si="2"/>
        <v>1</v>
      </c>
      <c r="Q24" s="429" t="s">
        <v>38</v>
      </c>
      <c r="R24" s="323">
        <v>1</v>
      </c>
      <c r="S24" s="469">
        <v>1</v>
      </c>
      <c r="T24" s="459">
        <v>1</v>
      </c>
      <c r="U24" s="459"/>
      <c r="V24" s="459"/>
      <c r="W24" s="459"/>
      <c r="X24" s="470">
        <f t="shared" si="4"/>
        <v>1</v>
      </c>
      <c r="Y24" s="430"/>
      <c r="Z24" s="458">
        <f t="shared" si="1"/>
        <v>0</v>
      </c>
      <c r="AA24" s="459">
        <v>0</v>
      </c>
      <c r="AB24" s="459">
        <v>0</v>
      </c>
      <c r="AC24" s="459">
        <v>0</v>
      </c>
      <c r="AD24" s="459">
        <v>0</v>
      </c>
      <c r="AE24" s="460">
        <f t="shared" si="3"/>
        <v>0</v>
      </c>
      <c r="AF24" s="322"/>
      <c r="AG24" s="431" t="str">
        <f>VLOOKUP(A24,'Feature Summary'!$A$7:$U$4055,21,FALSE)</f>
        <v>w2</v>
      </c>
      <c r="AH24" s="324"/>
    </row>
    <row r="25" spans="1:35" ht="409.5" customHeight="1">
      <c r="A25" s="330" t="s">
        <v>708</v>
      </c>
      <c r="B25" s="544" t="s">
        <v>709</v>
      </c>
      <c r="C25" s="545"/>
      <c r="D25" s="546" t="s">
        <v>693</v>
      </c>
      <c r="E25" s="547"/>
      <c r="F25" s="545" t="s">
        <v>710</v>
      </c>
      <c r="G25" s="243" t="e">
        <f>VLOOKUP(A25,'Feature Summary'!$A$7:$C$4055,3,FALSE)</f>
        <v>#N/A</v>
      </c>
      <c r="H25" s="545" t="s">
        <v>711</v>
      </c>
      <c r="I25" s="429" t="s">
        <v>35</v>
      </c>
      <c r="J25" s="322"/>
      <c r="K25" s="561">
        <v>1</v>
      </c>
      <c r="L25" s="562">
        <v>43</v>
      </c>
      <c r="M25" s="562" t="s">
        <v>39</v>
      </c>
      <c r="N25" s="443">
        <v>1</v>
      </c>
      <c r="O25" s="562">
        <v>43</v>
      </c>
      <c r="P25" s="444">
        <f t="shared" si="2"/>
        <v>1</v>
      </c>
      <c r="Q25" s="429" t="s">
        <v>38</v>
      </c>
      <c r="R25" s="323">
        <v>43</v>
      </c>
      <c r="S25" s="469">
        <v>43</v>
      </c>
      <c r="T25" s="459">
        <v>43</v>
      </c>
      <c r="U25" s="459">
        <v>0</v>
      </c>
      <c r="V25" s="459">
        <v>0</v>
      </c>
      <c r="W25" s="459">
        <v>0</v>
      </c>
      <c r="X25" s="470">
        <f t="shared" si="4"/>
        <v>1</v>
      </c>
      <c r="Y25" s="601" t="s">
        <v>712</v>
      </c>
      <c r="Z25" s="458">
        <f t="shared" si="1"/>
        <v>0</v>
      </c>
      <c r="AA25" s="459">
        <v>0</v>
      </c>
      <c r="AB25" s="459">
        <v>0</v>
      </c>
      <c r="AC25" s="459">
        <v>0</v>
      </c>
      <c r="AD25" s="459">
        <v>0</v>
      </c>
      <c r="AE25" s="460">
        <f t="shared" si="3"/>
        <v>0</v>
      </c>
      <c r="AF25" s="322"/>
      <c r="AG25" s="431" t="e">
        <f>VLOOKUP(A25,'Feature Summary'!$A$7:$U$4055,21,FALSE)</f>
        <v>#N/A</v>
      </c>
      <c r="AH25" s="324"/>
      <c r="AI25" s="173"/>
    </row>
    <row r="26" spans="1:35" ht="255" hidden="1">
      <c r="A26" s="330" t="s">
        <v>713</v>
      </c>
      <c r="B26" s="544" t="s">
        <v>714</v>
      </c>
      <c r="C26" s="545"/>
      <c r="D26" s="546" t="s">
        <v>693</v>
      </c>
      <c r="E26" s="547"/>
      <c r="F26" s="545" t="s">
        <v>715</v>
      </c>
      <c r="G26" s="243" t="e">
        <f>VLOOKUP(A26,'Feature Summary'!$A$7:$C$4055,3,FALSE)</f>
        <v>#N/A</v>
      </c>
      <c r="H26" s="557" t="s">
        <v>716</v>
      </c>
      <c r="I26" s="429" t="s">
        <v>41</v>
      </c>
      <c r="J26" s="322"/>
      <c r="K26" s="561">
        <v>1</v>
      </c>
      <c r="L26" s="562">
        <v>35</v>
      </c>
      <c r="M26" s="562" t="s">
        <v>33</v>
      </c>
      <c r="N26" s="443">
        <v>1</v>
      </c>
      <c r="O26" s="562">
        <v>35</v>
      </c>
      <c r="P26" s="444">
        <f t="shared" si="2"/>
        <v>1</v>
      </c>
      <c r="Q26" s="429" t="s">
        <v>38</v>
      </c>
      <c r="R26" s="323">
        <v>35</v>
      </c>
      <c r="S26" s="469">
        <v>35</v>
      </c>
      <c r="T26" s="459">
        <v>34</v>
      </c>
      <c r="U26" s="459"/>
      <c r="V26" s="459">
        <v>1</v>
      </c>
      <c r="W26" s="459"/>
      <c r="X26" s="470">
        <f t="shared" si="4"/>
        <v>0.97142857142857142</v>
      </c>
      <c r="Y26" s="601" t="s">
        <v>717</v>
      </c>
      <c r="Z26" s="458">
        <f t="shared" si="1"/>
        <v>0</v>
      </c>
      <c r="AA26" s="459">
        <v>0</v>
      </c>
      <c r="AB26" s="459">
        <v>0</v>
      </c>
      <c r="AC26" s="459">
        <v>0</v>
      </c>
      <c r="AD26" s="459">
        <v>0</v>
      </c>
      <c r="AE26" s="460">
        <f t="shared" si="3"/>
        <v>0</v>
      </c>
      <c r="AF26" s="322"/>
      <c r="AG26" s="431" t="e">
        <f>VLOOKUP(A26,'Feature Summary'!$A$7:$U$4055,21,FALSE)</f>
        <v>#N/A</v>
      </c>
      <c r="AH26" s="324"/>
      <c r="AI26" s="173"/>
    </row>
    <row r="27" spans="1:35" ht="29.1" hidden="1">
      <c r="A27" s="330" t="s">
        <v>391</v>
      </c>
      <c r="B27" s="544" t="s">
        <v>392</v>
      </c>
      <c r="C27" s="545"/>
      <c r="D27" s="546" t="s">
        <v>693</v>
      </c>
      <c r="E27" s="547"/>
      <c r="F27" s="545" t="s">
        <v>718</v>
      </c>
      <c r="G27" s="243" t="str">
        <f>VLOOKUP(A27,'Feature Summary'!$A$7:$C$4055,3,FALSE)</f>
        <v>P2</v>
      </c>
      <c r="H27" s="557" t="s">
        <v>719</v>
      </c>
      <c r="I27" s="429" t="s">
        <v>41</v>
      </c>
      <c r="J27" s="322"/>
      <c r="K27" s="561">
        <v>1</v>
      </c>
      <c r="L27" s="562">
        <v>1</v>
      </c>
      <c r="M27" s="562" t="s">
        <v>33</v>
      </c>
      <c r="N27" s="443">
        <v>1</v>
      </c>
      <c r="O27" s="562">
        <v>1</v>
      </c>
      <c r="P27" s="444">
        <f t="shared" si="2"/>
        <v>1</v>
      </c>
      <c r="Q27" s="429" t="s">
        <v>38</v>
      </c>
      <c r="R27" s="323">
        <v>1</v>
      </c>
      <c r="S27" s="469">
        <v>1</v>
      </c>
      <c r="T27" s="459">
        <v>1</v>
      </c>
      <c r="U27" s="459"/>
      <c r="V27" s="459"/>
      <c r="W27" s="459"/>
      <c r="X27" s="470">
        <f t="shared" si="4"/>
        <v>1</v>
      </c>
      <c r="Y27" s="430"/>
      <c r="Z27" s="458">
        <f t="shared" si="1"/>
        <v>0</v>
      </c>
      <c r="AA27" s="459">
        <v>0</v>
      </c>
      <c r="AB27" s="459">
        <v>0</v>
      </c>
      <c r="AC27" s="459">
        <v>0</v>
      </c>
      <c r="AD27" s="459">
        <v>0</v>
      </c>
      <c r="AE27" s="460">
        <f t="shared" si="3"/>
        <v>0</v>
      </c>
      <c r="AF27" s="322"/>
      <c r="AG27" s="431" t="str">
        <f>VLOOKUP(A27,'Feature Summary'!$A$7:$U$4055,21,FALSE)</f>
        <v>w2</v>
      </c>
      <c r="AH27" s="324"/>
    </row>
    <row r="28" spans="1:35" ht="29.1" hidden="1">
      <c r="A28" s="330" t="s">
        <v>391</v>
      </c>
      <c r="B28" s="544" t="s">
        <v>392</v>
      </c>
      <c r="C28" s="545"/>
      <c r="D28" s="546" t="s">
        <v>693</v>
      </c>
      <c r="E28" s="547"/>
      <c r="F28" s="545" t="s">
        <v>720</v>
      </c>
      <c r="G28" s="243" t="str">
        <f>VLOOKUP(A28,'Feature Summary'!$A$7:$C$4055,3,FALSE)</f>
        <v>P2</v>
      </c>
      <c r="H28" s="557" t="s">
        <v>721</v>
      </c>
      <c r="I28" s="429" t="s">
        <v>41</v>
      </c>
      <c r="J28" s="322"/>
      <c r="K28" s="561">
        <v>1</v>
      </c>
      <c r="L28" s="562">
        <v>1</v>
      </c>
      <c r="M28" s="562" t="s">
        <v>33</v>
      </c>
      <c r="N28" s="443">
        <v>1</v>
      </c>
      <c r="O28" s="562">
        <v>1</v>
      </c>
      <c r="P28" s="444">
        <f t="shared" si="2"/>
        <v>1</v>
      </c>
      <c r="Q28" s="429" t="s">
        <v>38</v>
      </c>
      <c r="R28" s="323">
        <v>1</v>
      </c>
      <c r="S28" s="469">
        <v>1</v>
      </c>
      <c r="T28" s="459">
        <v>1</v>
      </c>
      <c r="U28" s="459"/>
      <c r="V28" s="459"/>
      <c r="W28" s="459"/>
      <c r="X28" s="470">
        <f t="shared" si="4"/>
        <v>1</v>
      </c>
      <c r="Y28" s="430"/>
      <c r="Z28" s="458">
        <f t="shared" si="1"/>
        <v>0</v>
      </c>
      <c r="AA28" s="459">
        <v>0</v>
      </c>
      <c r="AB28" s="459">
        <v>0</v>
      </c>
      <c r="AC28" s="459">
        <v>0</v>
      </c>
      <c r="AD28" s="459">
        <v>0</v>
      </c>
      <c r="AE28" s="460">
        <f t="shared" si="3"/>
        <v>0</v>
      </c>
      <c r="AF28" s="322"/>
      <c r="AG28" s="431" t="str">
        <f>VLOOKUP(A28,'Feature Summary'!$A$7:$U$4055,21,FALSE)</f>
        <v>w2</v>
      </c>
      <c r="AH28" s="324"/>
    </row>
    <row r="29" spans="1:35" ht="233.1" hidden="1">
      <c r="A29" s="330" t="s">
        <v>722</v>
      </c>
      <c r="B29" s="544" t="s">
        <v>723</v>
      </c>
      <c r="C29" s="545"/>
      <c r="D29" s="546" t="s">
        <v>693</v>
      </c>
      <c r="E29" s="547"/>
      <c r="F29" s="545" t="s">
        <v>724</v>
      </c>
      <c r="G29" s="243" t="e">
        <f>VLOOKUP(A29,'Feature Summary'!$A$7:$C$4055,3,FALSE)</f>
        <v>#N/A</v>
      </c>
      <c r="H29" s="545" t="s">
        <v>725</v>
      </c>
      <c r="I29" s="429" t="s">
        <v>41</v>
      </c>
      <c r="J29" s="322"/>
      <c r="K29" s="561">
        <v>1</v>
      </c>
      <c r="L29" s="562">
        <v>13</v>
      </c>
      <c r="M29" s="562" t="s">
        <v>39</v>
      </c>
      <c r="N29" s="443">
        <v>1</v>
      </c>
      <c r="O29" s="562">
        <v>13</v>
      </c>
      <c r="P29" s="444">
        <f t="shared" si="2"/>
        <v>1</v>
      </c>
      <c r="Q29" s="429" t="s">
        <v>38</v>
      </c>
      <c r="R29" s="323">
        <v>1</v>
      </c>
      <c r="S29" s="469">
        <v>1</v>
      </c>
      <c r="T29" s="459"/>
      <c r="U29" s="459"/>
      <c r="V29" s="459">
        <v>1</v>
      </c>
      <c r="W29" s="459"/>
      <c r="X29" s="470">
        <f t="shared" si="4"/>
        <v>0</v>
      </c>
      <c r="Y29" s="430" t="s">
        <v>726</v>
      </c>
      <c r="Z29" s="458">
        <f t="shared" si="1"/>
        <v>0</v>
      </c>
      <c r="AA29" s="459">
        <v>0</v>
      </c>
      <c r="AB29" s="459">
        <v>0</v>
      </c>
      <c r="AC29" s="459">
        <v>0</v>
      </c>
      <c r="AD29" s="459">
        <v>0</v>
      </c>
      <c r="AE29" s="460">
        <f t="shared" si="3"/>
        <v>0</v>
      </c>
      <c r="AF29" s="322"/>
      <c r="AG29" s="431" t="e">
        <f>VLOOKUP(A29,'Feature Summary'!$A$7:$U$4055,21,FALSE)</f>
        <v>#N/A</v>
      </c>
      <c r="AH29" s="324"/>
    </row>
    <row r="30" spans="1:35" ht="43.7" hidden="1">
      <c r="A30" s="330" t="s">
        <v>423</v>
      </c>
      <c r="B30" s="544" t="s">
        <v>424</v>
      </c>
      <c r="C30" s="545"/>
      <c r="D30" s="546" t="s">
        <v>693</v>
      </c>
      <c r="E30" s="547"/>
      <c r="F30" s="545" t="s">
        <v>727</v>
      </c>
      <c r="G30" s="243" t="str">
        <f>VLOOKUP(A30,'Feature Summary'!$A$7:$C$4055,3,FALSE)</f>
        <v>P2</v>
      </c>
      <c r="H30" s="557" t="s">
        <v>728</v>
      </c>
      <c r="I30" s="429" t="s">
        <v>41</v>
      </c>
      <c r="J30" s="322"/>
      <c r="K30" s="561">
        <v>1</v>
      </c>
      <c r="L30" s="562">
        <v>2</v>
      </c>
      <c r="M30" s="562" t="s">
        <v>33</v>
      </c>
      <c r="N30" s="443">
        <v>1</v>
      </c>
      <c r="O30" s="562">
        <v>2</v>
      </c>
      <c r="P30" s="444">
        <f t="shared" si="2"/>
        <v>1</v>
      </c>
      <c r="Q30" s="429" t="s">
        <v>38</v>
      </c>
      <c r="R30" s="323">
        <v>1</v>
      </c>
      <c r="S30" s="469">
        <v>1</v>
      </c>
      <c r="T30" s="459"/>
      <c r="U30" s="459"/>
      <c r="V30" s="459">
        <v>1</v>
      </c>
      <c r="W30" s="459"/>
      <c r="X30" s="470">
        <f t="shared" si="4"/>
        <v>0</v>
      </c>
      <c r="Y30" s="601" t="s">
        <v>729</v>
      </c>
      <c r="Z30" s="458">
        <f t="shared" si="1"/>
        <v>0</v>
      </c>
      <c r="AA30" s="459">
        <v>0</v>
      </c>
      <c r="AB30" s="459">
        <v>0</v>
      </c>
      <c r="AC30" s="459">
        <v>0</v>
      </c>
      <c r="AD30" s="459">
        <v>0</v>
      </c>
      <c r="AE30" s="460">
        <f t="shared" si="3"/>
        <v>0</v>
      </c>
      <c r="AF30" s="322"/>
      <c r="AG30" s="431" t="str">
        <f>VLOOKUP(A30,'Feature Summary'!$A$7:$U$4055,21,FALSE)</f>
        <v>w2</v>
      </c>
      <c r="AH30" s="324"/>
    </row>
    <row r="31" spans="1:35" ht="29.1" hidden="1">
      <c r="A31" s="330" t="s">
        <v>397</v>
      </c>
      <c r="B31" s="544" t="s">
        <v>398</v>
      </c>
      <c r="C31" s="545"/>
      <c r="D31" s="546" t="s">
        <v>693</v>
      </c>
      <c r="E31" s="547"/>
      <c r="F31" s="545" t="s">
        <v>730</v>
      </c>
      <c r="G31" s="243" t="str">
        <f>VLOOKUP(A31,'Feature Summary'!$A$7:$C$4055,3,FALSE)</f>
        <v>P2</v>
      </c>
      <c r="H31" s="557" t="s">
        <v>731</v>
      </c>
      <c r="I31" s="429" t="s">
        <v>41</v>
      </c>
      <c r="J31" s="322"/>
      <c r="K31" s="561">
        <v>1</v>
      </c>
      <c r="L31" s="562">
        <v>1</v>
      </c>
      <c r="M31" s="562" t="s">
        <v>33</v>
      </c>
      <c r="N31" s="443">
        <v>1</v>
      </c>
      <c r="O31" s="562">
        <v>1</v>
      </c>
      <c r="P31" s="444">
        <f t="shared" si="2"/>
        <v>1</v>
      </c>
      <c r="Q31" s="429" t="s">
        <v>38</v>
      </c>
      <c r="R31" s="323">
        <v>1</v>
      </c>
      <c r="S31" s="469">
        <v>1</v>
      </c>
      <c r="T31" s="459">
        <v>1</v>
      </c>
      <c r="U31" s="459"/>
      <c r="V31" s="459"/>
      <c r="W31" s="459"/>
      <c r="X31" s="470">
        <f t="shared" si="4"/>
        <v>1</v>
      </c>
      <c r="Y31" s="430"/>
      <c r="Z31" s="458">
        <f t="shared" si="1"/>
        <v>0</v>
      </c>
      <c r="AA31" s="459">
        <v>0</v>
      </c>
      <c r="AB31" s="459">
        <v>0</v>
      </c>
      <c r="AC31" s="459">
        <v>0</v>
      </c>
      <c r="AD31" s="459">
        <v>0</v>
      </c>
      <c r="AE31" s="460">
        <f t="shared" si="3"/>
        <v>0</v>
      </c>
      <c r="AF31" s="322"/>
      <c r="AG31" s="431" t="str">
        <f>VLOOKUP(A31,'Feature Summary'!$A$7:$U$4055,21,FALSE)</f>
        <v>w3</v>
      </c>
      <c r="AH31" s="324"/>
    </row>
    <row r="32" spans="1:35" ht="29.1" hidden="1">
      <c r="A32" s="330" t="s">
        <v>391</v>
      </c>
      <c r="B32" s="544" t="s">
        <v>392</v>
      </c>
      <c r="C32" s="545"/>
      <c r="D32" s="546" t="s">
        <v>693</v>
      </c>
      <c r="E32" s="547"/>
      <c r="F32" s="545" t="s">
        <v>732</v>
      </c>
      <c r="G32" s="243" t="str">
        <f>VLOOKUP(A32,'Feature Summary'!$A$7:$C$4055,3,FALSE)</f>
        <v>P2</v>
      </c>
      <c r="H32" s="557" t="s">
        <v>733</v>
      </c>
      <c r="I32" s="429" t="s">
        <v>41</v>
      </c>
      <c r="J32" s="322"/>
      <c r="K32" s="561">
        <v>1</v>
      </c>
      <c r="L32" s="562">
        <v>4</v>
      </c>
      <c r="M32" s="562" t="s">
        <v>33</v>
      </c>
      <c r="N32" s="443">
        <v>1</v>
      </c>
      <c r="O32" s="562">
        <v>4</v>
      </c>
      <c r="P32" s="444">
        <f t="shared" si="2"/>
        <v>1</v>
      </c>
      <c r="Q32" s="429" t="s">
        <v>38</v>
      </c>
      <c r="R32" s="323">
        <v>1</v>
      </c>
      <c r="S32" s="469">
        <v>1</v>
      </c>
      <c r="T32" s="459">
        <v>1</v>
      </c>
      <c r="U32" s="459"/>
      <c r="V32" s="459"/>
      <c r="W32" s="459"/>
      <c r="X32" s="470">
        <f t="shared" si="4"/>
        <v>1</v>
      </c>
      <c r="Y32" s="430"/>
      <c r="Z32" s="458">
        <f t="shared" si="1"/>
        <v>0</v>
      </c>
      <c r="AA32" s="459">
        <v>0</v>
      </c>
      <c r="AB32" s="459">
        <v>0</v>
      </c>
      <c r="AC32" s="459">
        <v>0</v>
      </c>
      <c r="AD32" s="459">
        <v>0</v>
      </c>
      <c r="AE32" s="460">
        <f t="shared" si="3"/>
        <v>0</v>
      </c>
      <c r="AF32" s="322"/>
      <c r="AG32" s="431" t="str">
        <f>VLOOKUP(A32,'Feature Summary'!$A$7:$U$4055,21,FALSE)</f>
        <v>w2</v>
      </c>
      <c r="AH32" s="324"/>
    </row>
    <row r="33" spans="1:34" ht="29.1" hidden="1">
      <c r="A33" s="330" t="s">
        <v>734</v>
      </c>
      <c r="B33" s="544" t="s">
        <v>394</v>
      </c>
      <c r="C33" s="545"/>
      <c r="D33" s="546" t="s">
        <v>693</v>
      </c>
      <c r="E33" s="547"/>
      <c r="F33" s="545" t="s">
        <v>735</v>
      </c>
      <c r="G33" s="243" t="e">
        <f>VLOOKUP(A33,'Feature Summary'!$A$7:$C$4055,3,FALSE)</f>
        <v>#N/A</v>
      </c>
      <c r="H33" s="557" t="s">
        <v>736</v>
      </c>
      <c r="I33" s="429" t="s">
        <v>41</v>
      </c>
      <c r="J33" s="322"/>
      <c r="K33" s="561">
        <v>1</v>
      </c>
      <c r="L33" s="562">
        <v>4</v>
      </c>
      <c r="M33" s="562" t="s">
        <v>33</v>
      </c>
      <c r="N33" s="443">
        <v>1</v>
      </c>
      <c r="O33" s="562">
        <v>4</v>
      </c>
      <c r="P33" s="444">
        <f t="shared" si="2"/>
        <v>1</v>
      </c>
      <c r="Q33" s="429" t="s">
        <v>38</v>
      </c>
      <c r="R33" s="323">
        <v>1</v>
      </c>
      <c r="S33" s="469">
        <v>1</v>
      </c>
      <c r="T33" s="459"/>
      <c r="U33" s="459"/>
      <c r="V33" s="459">
        <v>1</v>
      </c>
      <c r="W33" s="459"/>
      <c r="X33" s="470">
        <f t="shared" si="4"/>
        <v>0</v>
      </c>
      <c r="Y33" s="430" t="s">
        <v>737</v>
      </c>
      <c r="Z33" s="458">
        <f t="shared" si="1"/>
        <v>0</v>
      </c>
      <c r="AA33" s="459">
        <v>0</v>
      </c>
      <c r="AB33" s="459">
        <v>0</v>
      </c>
      <c r="AC33" s="459">
        <v>0</v>
      </c>
      <c r="AD33" s="459">
        <v>0</v>
      </c>
      <c r="AE33" s="460">
        <f t="shared" si="3"/>
        <v>0</v>
      </c>
      <c r="AF33" s="322"/>
      <c r="AG33" s="431" t="e">
        <f>VLOOKUP(A33,'Feature Summary'!$A$7:$U$4055,21,FALSE)</f>
        <v>#N/A</v>
      </c>
      <c r="AH33" s="324"/>
    </row>
    <row r="34" spans="1:34" ht="30" hidden="1">
      <c r="A34" s="330" t="s">
        <v>559</v>
      </c>
      <c r="B34" s="544" t="s">
        <v>560</v>
      </c>
      <c r="C34" s="545"/>
      <c r="D34" s="546" t="s">
        <v>693</v>
      </c>
      <c r="E34" s="547"/>
      <c r="F34" s="545" t="s">
        <v>738</v>
      </c>
      <c r="G34" s="243" t="str">
        <f>VLOOKUP(A34,'Feature Summary'!$A$7:$C$4055,3,FALSE)</f>
        <v>P2</v>
      </c>
      <c r="H34" s="557" t="s">
        <v>739</v>
      </c>
      <c r="I34" s="429" t="s">
        <v>41</v>
      </c>
      <c r="J34" s="322"/>
      <c r="K34" s="561">
        <v>1</v>
      </c>
      <c r="L34" s="562">
        <v>1</v>
      </c>
      <c r="M34" s="562" t="s">
        <v>33</v>
      </c>
      <c r="N34" s="443">
        <v>1</v>
      </c>
      <c r="O34" s="562">
        <v>1</v>
      </c>
      <c r="P34" s="444">
        <f t="shared" si="2"/>
        <v>1</v>
      </c>
      <c r="Q34" s="429" t="s">
        <v>38</v>
      </c>
      <c r="R34" s="323">
        <v>1</v>
      </c>
      <c r="S34" s="469">
        <v>1</v>
      </c>
      <c r="T34" s="459">
        <v>1</v>
      </c>
      <c r="U34" s="459"/>
      <c r="V34" s="459"/>
      <c r="W34" s="459"/>
      <c r="X34" s="470">
        <f t="shared" si="4"/>
        <v>1</v>
      </c>
      <c r="Y34" s="430"/>
      <c r="Z34" s="458">
        <f t="shared" si="1"/>
        <v>0</v>
      </c>
      <c r="AA34" s="459">
        <v>0</v>
      </c>
      <c r="AB34" s="459">
        <v>0</v>
      </c>
      <c r="AC34" s="459">
        <v>0</v>
      </c>
      <c r="AD34" s="459">
        <v>0</v>
      </c>
      <c r="AE34" s="460">
        <f t="shared" si="3"/>
        <v>0</v>
      </c>
      <c r="AF34" s="322"/>
      <c r="AG34" s="431" t="str">
        <f>VLOOKUP(A34,'Feature Summary'!$A$7:$U$4055,21,FALSE)</f>
        <v>w3</v>
      </c>
      <c r="AH34" s="324"/>
    </row>
    <row r="35" spans="1:34" hidden="1">
      <c r="A35" s="584" t="s">
        <v>399</v>
      </c>
      <c r="B35" s="584" t="s">
        <v>400</v>
      </c>
      <c r="C35" s="545"/>
      <c r="D35" s="546" t="s">
        <v>693</v>
      </c>
      <c r="E35" s="547"/>
      <c r="F35" s="545" t="s">
        <v>740</v>
      </c>
      <c r="G35" s="243" t="str">
        <f>VLOOKUP(A35,'Feature Summary'!$A$7:$C$4055,3,FALSE)</f>
        <v>P2</v>
      </c>
      <c r="H35" s="557" t="s">
        <v>741</v>
      </c>
      <c r="I35" s="429" t="s">
        <v>41</v>
      </c>
      <c r="J35" s="322"/>
      <c r="K35" s="561">
        <v>1</v>
      </c>
      <c r="L35" s="562">
        <v>5</v>
      </c>
      <c r="M35" s="562" t="s">
        <v>33</v>
      </c>
      <c r="N35" s="443">
        <v>1</v>
      </c>
      <c r="O35" s="562">
        <v>5</v>
      </c>
      <c r="P35" s="444">
        <f t="shared" si="2"/>
        <v>1</v>
      </c>
      <c r="Q35" s="429" t="s">
        <v>38</v>
      </c>
      <c r="R35" s="323">
        <v>1</v>
      </c>
      <c r="S35" s="469">
        <v>1</v>
      </c>
      <c r="T35" s="459">
        <v>1</v>
      </c>
      <c r="U35" s="459"/>
      <c r="V35" s="459"/>
      <c r="W35" s="459"/>
      <c r="X35" s="470">
        <f t="shared" si="4"/>
        <v>1</v>
      </c>
      <c r="Y35" s="430"/>
      <c r="Z35" s="458">
        <f t="shared" si="1"/>
        <v>0</v>
      </c>
      <c r="AA35" s="459">
        <v>0</v>
      </c>
      <c r="AB35" s="459">
        <v>0</v>
      </c>
      <c r="AC35" s="459">
        <v>0</v>
      </c>
      <c r="AD35" s="459">
        <v>0</v>
      </c>
      <c r="AE35" s="460">
        <f t="shared" si="3"/>
        <v>0</v>
      </c>
      <c r="AF35" s="322"/>
      <c r="AG35" s="431" t="str">
        <f>VLOOKUP(A35,'Feature Summary'!$A$7:$U$4055,21,FALSE)</f>
        <v>w4</v>
      </c>
      <c r="AH35" s="324"/>
    </row>
    <row r="36" spans="1:34" hidden="1">
      <c r="A36" s="584" t="s">
        <v>399</v>
      </c>
      <c r="B36" s="584" t="s">
        <v>400</v>
      </c>
      <c r="C36" s="545"/>
      <c r="D36" s="546" t="s">
        <v>693</v>
      </c>
      <c r="E36" s="547"/>
      <c r="F36" s="545" t="s">
        <v>742</v>
      </c>
      <c r="G36" s="243" t="str">
        <f>VLOOKUP(A36,'Feature Summary'!$A$7:$C$4055,3,FALSE)</f>
        <v>P2</v>
      </c>
      <c r="H36" s="557" t="s">
        <v>743</v>
      </c>
      <c r="I36" s="429" t="s">
        <v>41</v>
      </c>
      <c r="J36" s="322"/>
      <c r="K36" s="561">
        <v>1</v>
      </c>
      <c r="L36" s="562">
        <v>5</v>
      </c>
      <c r="M36" s="562" t="s">
        <v>33</v>
      </c>
      <c r="N36" s="443">
        <v>1</v>
      </c>
      <c r="O36" s="562">
        <v>5</v>
      </c>
      <c r="P36" s="444">
        <f t="shared" si="2"/>
        <v>1</v>
      </c>
      <c r="Q36" s="429" t="s">
        <v>38</v>
      </c>
      <c r="R36" s="323">
        <v>1</v>
      </c>
      <c r="S36" s="469">
        <v>1</v>
      </c>
      <c r="T36" s="459">
        <v>1</v>
      </c>
      <c r="U36" s="459"/>
      <c r="V36" s="459"/>
      <c r="W36" s="459"/>
      <c r="X36" s="470">
        <f t="shared" si="4"/>
        <v>1</v>
      </c>
      <c r="Y36" s="430"/>
      <c r="Z36" s="458">
        <f t="shared" si="1"/>
        <v>0</v>
      </c>
      <c r="AA36" s="459">
        <v>0</v>
      </c>
      <c r="AB36" s="459">
        <v>0</v>
      </c>
      <c r="AC36" s="459">
        <v>0</v>
      </c>
      <c r="AD36" s="459">
        <v>0</v>
      </c>
      <c r="AE36" s="460">
        <f t="shared" si="3"/>
        <v>0</v>
      </c>
      <c r="AF36" s="322"/>
      <c r="AG36" s="431" t="str">
        <f>VLOOKUP(A36,'Feature Summary'!$A$7:$U$4055,21,FALSE)</f>
        <v>w4</v>
      </c>
      <c r="AH36" s="324"/>
    </row>
    <row r="37" spans="1:34" ht="58.35" hidden="1">
      <c r="A37" s="330" t="s">
        <v>744</v>
      </c>
      <c r="B37" s="544" t="s">
        <v>745</v>
      </c>
      <c r="C37" s="545"/>
      <c r="D37" s="546" t="s">
        <v>693</v>
      </c>
      <c r="E37" s="547"/>
      <c r="F37" s="545" t="s">
        <v>746</v>
      </c>
      <c r="G37" s="243" t="e">
        <f>VLOOKUP(A37,'Feature Summary'!$A$7:$C$4055,3,FALSE)</f>
        <v>#N/A</v>
      </c>
      <c r="H37" s="557" t="s">
        <v>747</v>
      </c>
      <c r="I37" s="429" t="s">
        <v>41</v>
      </c>
      <c r="J37" s="322"/>
      <c r="K37" s="561">
        <v>1</v>
      </c>
      <c r="L37" s="562">
        <v>5</v>
      </c>
      <c r="M37" s="562" t="s">
        <v>33</v>
      </c>
      <c r="N37" s="443">
        <v>1</v>
      </c>
      <c r="O37" s="562">
        <v>5</v>
      </c>
      <c r="P37" s="444">
        <f t="shared" si="2"/>
        <v>1</v>
      </c>
      <c r="Q37" s="429" t="s">
        <v>38</v>
      </c>
      <c r="R37" s="323">
        <v>1</v>
      </c>
      <c r="S37" s="469">
        <v>1</v>
      </c>
      <c r="T37" s="459">
        <v>1</v>
      </c>
      <c r="U37" s="459"/>
      <c r="V37" s="459"/>
      <c r="W37" s="459"/>
      <c r="X37" s="470">
        <f t="shared" si="4"/>
        <v>1</v>
      </c>
      <c r="Y37" s="430"/>
      <c r="Z37" s="458">
        <f t="shared" si="1"/>
        <v>0</v>
      </c>
      <c r="AA37" s="459">
        <v>0</v>
      </c>
      <c r="AB37" s="459">
        <v>0</v>
      </c>
      <c r="AC37" s="459">
        <v>0</v>
      </c>
      <c r="AD37" s="459">
        <v>0</v>
      </c>
      <c r="AE37" s="460">
        <f t="shared" si="3"/>
        <v>0</v>
      </c>
      <c r="AF37" s="322"/>
      <c r="AG37" s="431" t="e">
        <f>VLOOKUP(A37,'Feature Summary'!$A$7:$U$4055,21,FALSE)</f>
        <v>#N/A</v>
      </c>
      <c r="AH37" s="324"/>
    </row>
    <row r="38" spans="1:34" ht="58.35" hidden="1">
      <c r="A38" s="330" t="s">
        <v>744</v>
      </c>
      <c r="B38" s="544" t="s">
        <v>745</v>
      </c>
      <c r="C38" s="545"/>
      <c r="D38" s="546" t="s">
        <v>693</v>
      </c>
      <c r="E38" s="547"/>
      <c r="F38" s="545" t="s">
        <v>748</v>
      </c>
      <c r="G38" s="243" t="e">
        <f>VLOOKUP(A38,'Feature Summary'!$A$7:$C$4055,3,FALSE)</f>
        <v>#N/A</v>
      </c>
      <c r="H38" s="557" t="s">
        <v>749</v>
      </c>
      <c r="I38" s="429" t="s">
        <v>41</v>
      </c>
      <c r="J38" s="322"/>
      <c r="K38" s="561">
        <v>1</v>
      </c>
      <c r="L38" s="562">
        <v>5</v>
      </c>
      <c r="M38" s="562" t="s">
        <v>33</v>
      </c>
      <c r="N38" s="443">
        <v>1</v>
      </c>
      <c r="O38" s="562">
        <v>5</v>
      </c>
      <c r="P38" s="444">
        <f t="shared" si="2"/>
        <v>1</v>
      </c>
      <c r="Q38" s="429" t="s">
        <v>38</v>
      </c>
      <c r="R38" s="323">
        <v>1</v>
      </c>
      <c r="S38" s="469">
        <v>1</v>
      </c>
      <c r="T38" s="459">
        <v>1</v>
      </c>
      <c r="U38" s="459"/>
      <c r="V38" s="459"/>
      <c r="W38" s="459"/>
      <c r="X38" s="470">
        <f t="shared" si="4"/>
        <v>1</v>
      </c>
      <c r="Y38" s="430"/>
      <c r="Z38" s="458">
        <f t="shared" si="1"/>
        <v>0</v>
      </c>
      <c r="AA38" s="459">
        <v>0</v>
      </c>
      <c r="AB38" s="459">
        <v>0</v>
      </c>
      <c r="AC38" s="459">
        <v>0</v>
      </c>
      <c r="AD38" s="459">
        <v>0</v>
      </c>
      <c r="AE38" s="460">
        <f t="shared" si="3"/>
        <v>0</v>
      </c>
      <c r="AF38" s="322"/>
      <c r="AG38" s="431" t="e">
        <f>VLOOKUP(A38,'Feature Summary'!$A$7:$U$4055,21,FALSE)</f>
        <v>#N/A</v>
      </c>
      <c r="AH38" s="324"/>
    </row>
    <row r="39" spans="1:34" ht="111.95" hidden="1" customHeight="1">
      <c r="A39" s="330" t="s">
        <v>750</v>
      </c>
      <c r="B39" s="544" t="s">
        <v>751</v>
      </c>
      <c r="C39" s="545"/>
      <c r="D39" s="546" t="s">
        <v>693</v>
      </c>
      <c r="E39" s="547"/>
      <c r="F39" s="545" t="s">
        <v>752</v>
      </c>
      <c r="G39" s="243" t="e">
        <f>VLOOKUP(A39,'Feature Summary'!$A$7:$C$4055,3,FALSE)</f>
        <v>#N/A</v>
      </c>
      <c r="H39" s="557" t="s">
        <v>753</v>
      </c>
      <c r="I39" s="429" t="s">
        <v>41</v>
      </c>
      <c r="J39" s="322"/>
      <c r="K39" s="561">
        <v>1</v>
      </c>
      <c r="L39" s="562">
        <v>2</v>
      </c>
      <c r="M39" s="562" t="s">
        <v>33</v>
      </c>
      <c r="N39" s="443">
        <v>1</v>
      </c>
      <c r="O39" s="562">
        <v>2</v>
      </c>
      <c r="P39" s="444">
        <f t="shared" si="2"/>
        <v>1</v>
      </c>
      <c r="Q39" s="429" t="s">
        <v>38</v>
      </c>
      <c r="R39" s="323">
        <v>1</v>
      </c>
      <c r="S39" s="469">
        <v>1</v>
      </c>
      <c r="T39" s="459">
        <v>1</v>
      </c>
      <c r="U39" s="459"/>
      <c r="V39" s="459"/>
      <c r="W39" s="459"/>
      <c r="X39" s="470">
        <f t="shared" si="4"/>
        <v>1</v>
      </c>
      <c r="Y39" s="430"/>
      <c r="Z39" s="458">
        <f t="shared" si="1"/>
        <v>0</v>
      </c>
      <c r="AA39" s="459">
        <v>0</v>
      </c>
      <c r="AB39" s="459">
        <v>0</v>
      </c>
      <c r="AC39" s="459">
        <v>0</v>
      </c>
      <c r="AD39" s="459">
        <v>0</v>
      </c>
      <c r="AE39" s="460">
        <f t="shared" si="3"/>
        <v>0</v>
      </c>
      <c r="AF39" s="322"/>
      <c r="AG39" s="431" t="e">
        <f>VLOOKUP(A39,'Feature Summary'!$A$7:$U$4055,21,FALSE)</f>
        <v>#N/A</v>
      </c>
      <c r="AH39" s="324"/>
    </row>
    <row r="40" spans="1:34" ht="269.10000000000002" hidden="1" customHeight="1">
      <c r="A40" s="330" t="s">
        <v>565</v>
      </c>
      <c r="B40" s="544" t="s">
        <v>566</v>
      </c>
      <c r="C40" s="545"/>
      <c r="D40" s="546" t="s">
        <v>693</v>
      </c>
      <c r="E40" s="547"/>
      <c r="F40" s="545" t="s">
        <v>754</v>
      </c>
      <c r="G40" s="243" t="str">
        <f>VLOOKUP(A40,'Feature Summary'!$A$7:$C$4055,3,FALSE)</f>
        <v>P2</v>
      </c>
      <c r="H40" s="557" t="s">
        <v>755</v>
      </c>
      <c r="I40" s="429" t="s">
        <v>41</v>
      </c>
      <c r="J40" s="322"/>
      <c r="K40" s="561">
        <v>1</v>
      </c>
      <c r="L40" s="562">
        <v>16</v>
      </c>
      <c r="M40" s="562" t="s">
        <v>33</v>
      </c>
      <c r="N40" s="443">
        <v>1</v>
      </c>
      <c r="O40" s="562">
        <v>16</v>
      </c>
      <c r="P40" s="444">
        <f t="shared" si="2"/>
        <v>1</v>
      </c>
      <c r="Q40" s="429" t="s">
        <v>38</v>
      </c>
      <c r="R40" s="323">
        <v>1</v>
      </c>
      <c r="S40" s="469">
        <v>1</v>
      </c>
      <c r="T40" s="459">
        <v>1</v>
      </c>
      <c r="U40" s="459"/>
      <c r="V40" s="459"/>
      <c r="W40" s="459"/>
      <c r="X40" s="470">
        <f t="shared" si="4"/>
        <v>1</v>
      </c>
      <c r="Y40" s="430"/>
      <c r="Z40" s="458">
        <f t="shared" si="1"/>
        <v>0</v>
      </c>
      <c r="AA40" s="459">
        <v>0</v>
      </c>
      <c r="AB40" s="459">
        <v>0</v>
      </c>
      <c r="AC40" s="459">
        <v>0</v>
      </c>
      <c r="AD40" s="459">
        <v>0</v>
      </c>
      <c r="AE40" s="460">
        <f t="shared" si="3"/>
        <v>0</v>
      </c>
      <c r="AF40" s="322"/>
      <c r="AG40" s="431" t="str">
        <f>VLOOKUP(A40,'Feature Summary'!$A$7:$U$4055,21,FALSE)</f>
        <v>w8</v>
      </c>
      <c r="AH40" s="324"/>
    </row>
    <row r="41" spans="1:34">
      <c r="A41" s="584" t="s">
        <v>395</v>
      </c>
      <c r="B41" s="584" t="s">
        <v>396</v>
      </c>
      <c r="C41" s="545"/>
      <c r="D41" s="546" t="s">
        <v>693</v>
      </c>
      <c r="E41" s="547"/>
      <c r="F41" s="545" t="s">
        <v>756</v>
      </c>
      <c r="G41" s="243" t="s">
        <v>280</v>
      </c>
      <c r="H41" s="557" t="s">
        <v>757</v>
      </c>
      <c r="I41" s="429" t="s">
        <v>35</v>
      </c>
      <c r="J41" s="322"/>
      <c r="K41" s="561">
        <v>1</v>
      </c>
      <c r="L41" s="562">
        <v>4</v>
      </c>
      <c r="M41" s="562" t="s">
        <v>44</v>
      </c>
      <c r="N41" s="443">
        <v>1</v>
      </c>
      <c r="O41" s="562">
        <v>0</v>
      </c>
      <c r="P41" s="444">
        <f t="shared" si="2"/>
        <v>0</v>
      </c>
      <c r="Q41" s="429" t="s">
        <v>38</v>
      </c>
      <c r="R41" s="323"/>
      <c r="S41" s="469"/>
      <c r="T41" s="459"/>
      <c r="U41" s="459"/>
      <c r="V41" s="459"/>
      <c r="W41" s="459"/>
      <c r="X41" s="470"/>
      <c r="Y41" s="430"/>
      <c r="Z41" s="458"/>
      <c r="AA41" s="459"/>
      <c r="AB41" s="459"/>
      <c r="AC41" s="459"/>
      <c r="AD41" s="459"/>
      <c r="AE41" s="460"/>
      <c r="AF41" s="322"/>
      <c r="AG41" s="431"/>
      <c r="AH41" s="324"/>
    </row>
    <row r="42" spans="1:34" ht="120" hidden="1">
      <c r="A42" s="330" t="s">
        <v>758</v>
      </c>
      <c r="B42" s="544" t="s">
        <v>759</v>
      </c>
      <c r="C42" s="545"/>
      <c r="D42" s="546" t="s">
        <v>760</v>
      </c>
      <c r="E42" s="547"/>
      <c r="F42" s="545" t="s">
        <v>761</v>
      </c>
      <c r="G42" s="243" t="e">
        <f>VLOOKUP(A42,'Feature Summary'!$A$7:$C$4055,3,FALSE)</f>
        <v>#N/A</v>
      </c>
      <c r="H42" s="545" t="s">
        <v>762</v>
      </c>
      <c r="I42" s="429" t="s">
        <v>35</v>
      </c>
      <c r="J42" s="322"/>
      <c r="K42" s="561">
        <v>1</v>
      </c>
      <c r="L42" s="562">
        <v>6</v>
      </c>
      <c r="M42" s="562" t="s">
        <v>33</v>
      </c>
      <c r="N42" s="443">
        <v>1</v>
      </c>
      <c r="O42" s="562">
        <v>6</v>
      </c>
      <c r="P42" s="444">
        <f t="shared" si="2"/>
        <v>1</v>
      </c>
      <c r="Q42" s="429" t="s">
        <v>38</v>
      </c>
      <c r="R42" s="323">
        <v>6</v>
      </c>
      <c r="S42" s="469">
        <v>5</v>
      </c>
      <c r="T42" s="459">
        <v>5</v>
      </c>
      <c r="U42" s="459">
        <v>0</v>
      </c>
      <c r="V42" s="459">
        <v>0</v>
      </c>
      <c r="W42" s="459">
        <v>0</v>
      </c>
      <c r="X42" s="470">
        <f t="shared" si="4"/>
        <v>1</v>
      </c>
      <c r="Y42" s="601" t="s">
        <v>763</v>
      </c>
      <c r="Z42" s="458">
        <f t="shared" si="1"/>
        <v>0</v>
      </c>
      <c r="AA42" s="459">
        <v>0</v>
      </c>
      <c r="AB42" s="459">
        <v>0</v>
      </c>
      <c r="AC42" s="459">
        <v>0</v>
      </c>
      <c r="AD42" s="459">
        <v>0</v>
      </c>
      <c r="AE42" s="460">
        <f t="shared" si="3"/>
        <v>0</v>
      </c>
      <c r="AF42" s="322"/>
      <c r="AG42" s="431" t="e">
        <f>VLOOKUP(A42,'Feature Summary'!$A$7:$U$4055,21,FALSE)</f>
        <v>#N/A</v>
      </c>
      <c r="AH42" s="324"/>
    </row>
    <row r="43" spans="1:34" hidden="1">
      <c r="A43" s="599" t="s">
        <v>627</v>
      </c>
      <c r="B43" s="599" t="s">
        <v>628</v>
      </c>
      <c r="C43" s="545"/>
      <c r="D43" s="546" t="s">
        <v>760</v>
      </c>
      <c r="E43" s="547"/>
      <c r="F43" s="545" t="s">
        <v>764</v>
      </c>
      <c r="G43" s="243" t="str">
        <f>VLOOKUP(A43,'Feature Summary'!$A$7:$C$4055,3,FALSE)</f>
        <v>P2</v>
      </c>
      <c r="H43" s="557" t="s">
        <v>765</v>
      </c>
      <c r="I43" s="429" t="s">
        <v>41</v>
      </c>
      <c r="J43" s="322"/>
      <c r="K43" s="561">
        <v>1</v>
      </c>
      <c r="L43" s="562">
        <v>1</v>
      </c>
      <c r="M43" s="562" t="s">
        <v>33</v>
      </c>
      <c r="N43" s="443">
        <v>1</v>
      </c>
      <c r="O43" s="562">
        <v>1</v>
      </c>
      <c r="P43" s="444">
        <f t="shared" si="2"/>
        <v>1</v>
      </c>
      <c r="Q43" s="429" t="s">
        <v>38</v>
      </c>
      <c r="R43" s="323">
        <v>1</v>
      </c>
      <c r="S43" s="469">
        <v>1</v>
      </c>
      <c r="T43" s="459">
        <v>1</v>
      </c>
      <c r="U43" s="459"/>
      <c r="V43" s="459"/>
      <c r="W43" s="459"/>
      <c r="X43" s="470">
        <f t="shared" si="4"/>
        <v>1</v>
      </c>
      <c r="Y43" s="430"/>
      <c r="Z43" s="458">
        <f t="shared" si="1"/>
        <v>0</v>
      </c>
      <c r="AA43" s="459">
        <v>0</v>
      </c>
      <c r="AB43" s="459">
        <v>0</v>
      </c>
      <c r="AC43" s="459">
        <v>0</v>
      </c>
      <c r="AD43" s="459">
        <v>0</v>
      </c>
      <c r="AE43" s="460">
        <f t="shared" si="3"/>
        <v>0</v>
      </c>
      <c r="AF43" s="322"/>
      <c r="AG43" s="431" t="str">
        <f>VLOOKUP(A43,'Feature Summary'!$A$7:$U$4055,21,FALSE)</f>
        <v>w4</v>
      </c>
      <c r="AH43" s="324"/>
    </row>
    <row r="44" spans="1:34" ht="30" hidden="1">
      <c r="A44" s="330" t="s">
        <v>431</v>
      </c>
      <c r="B44" s="544" t="s">
        <v>432</v>
      </c>
      <c r="C44" s="545"/>
      <c r="D44" s="546" t="s">
        <v>760</v>
      </c>
      <c r="E44" s="547"/>
      <c r="F44" s="545" t="s">
        <v>766</v>
      </c>
      <c r="G44" s="243" t="str">
        <f>VLOOKUP(A44,'Feature Summary'!$A$7:$C$4055,3,FALSE)</f>
        <v>P2</v>
      </c>
      <c r="H44" s="545" t="s">
        <v>767</v>
      </c>
      <c r="I44" s="429" t="s">
        <v>41</v>
      </c>
      <c r="J44" s="322"/>
      <c r="K44" s="561">
        <v>1</v>
      </c>
      <c r="L44" s="562">
        <v>4</v>
      </c>
      <c r="M44" s="562" t="s">
        <v>33</v>
      </c>
      <c r="N44" s="443">
        <v>1</v>
      </c>
      <c r="O44" s="562">
        <v>4</v>
      </c>
      <c r="P44" s="444">
        <f t="shared" si="2"/>
        <v>1</v>
      </c>
      <c r="Q44" s="429" t="s">
        <v>38</v>
      </c>
      <c r="R44" s="323">
        <v>1</v>
      </c>
      <c r="S44" s="469">
        <v>1</v>
      </c>
      <c r="T44" s="459">
        <v>1</v>
      </c>
      <c r="U44" s="459"/>
      <c r="V44" s="459"/>
      <c r="W44" s="459"/>
      <c r="X44" s="470">
        <f t="shared" si="4"/>
        <v>1</v>
      </c>
      <c r="Y44" s="430"/>
      <c r="Z44" s="458">
        <f t="shared" si="1"/>
        <v>0</v>
      </c>
      <c r="AA44" s="459">
        <v>0</v>
      </c>
      <c r="AB44" s="459">
        <v>0</v>
      </c>
      <c r="AC44" s="459">
        <v>0</v>
      </c>
      <c r="AD44" s="459">
        <v>0</v>
      </c>
      <c r="AE44" s="460">
        <f t="shared" si="3"/>
        <v>0</v>
      </c>
      <c r="AF44" s="322"/>
      <c r="AG44" s="431" t="str">
        <f>VLOOKUP(A44,'Feature Summary'!$A$7:$U$4055,21,FALSE)</f>
        <v>w1</v>
      </c>
      <c r="AH44" s="324"/>
    </row>
    <row r="45" spans="1:34" ht="29.1" hidden="1">
      <c r="A45" s="330" t="s">
        <v>579</v>
      </c>
      <c r="B45" s="544" t="s">
        <v>580</v>
      </c>
      <c r="C45" s="545"/>
      <c r="D45" s="546" t="s">
        <v>760</v>
      </c>
      <c r="E45" s="547"/>
      <c r="F45" s="545" t="s">
        <v>768</v>
      </c>
      <c r="G45" s="243" t="str">
        <f>VLOOKUP(A45,'Feature Summary'!$A$7:$C$4055,3,FALSE)</f>
        <v>P2</v>
      </c>
      <c r="H45" s="557" t="s">
        <v>769</v>
      </c>
      <c r="I45" s="429" t="s">
        <v>41</v>
      </c>
      <c r="J45" s="322"/>
      <c r="K45" s="561">
        <v>1</v>
      </c>
      <c r="L45" s="562">
        <v>4</v>
      </c>
      <c r="M45" s="562" t="s">
        <v>33</v>
      </c>
      <c r="N45" s="443">
        <v>1</v>
      </c>
      <c r="O45" s="562">
        <v>4</v>
      </c>
      <c r="P45" s="444">
        <f t="shared" si="2"/>
        <v>1</v>
      </c>
      <c r="Q45" s="429" t="s">
        <v>38</v>
      </c>
      <c r="R45" s="323">
        <v>1</v>
      </c>
      <c r="S45" s="469">
        <v>1</v>
      </c>
      <c r="T45" s="459">
        <v>1</v>
      </c>
      <c r="U45" s="459"/>
      <c r="V45" s="459"/>
      <c r="W45" s="459"/>
      <c r="X45" s="470">
        <f t="shared" si="4"/>
        <v>1</v>
      </c>
      <c r="Y45" s="430"/>
      <c r="Z45" s="458">
        <f t="shared" si="1"/>
        <v>0</v>
      </c>
      <c r="AA45" s="459">
        <v>0</v>
      </c>
      <c r="AB45" s="459">
        <v>0</v>
      </c>
      <c r="AC45" s="459">
        <v>0</v>
      </c>
      <c r="AD45" s="459">
        <v>0</v>
      </c>
      <c r="AE45" s="460">
        <f t="shared" si="3"/>
        <v>0</v>
      </c>
      <c r="AF45" s="322"/>
      <c r="AG45" s="431" t="str">
        <f>VLOOKUP(A45,'Feature Summary'!$A$7:$U$4055,21,FALSE)</f>
        <v>w2</v>
      </c>
      <c r="AH45" s="324"/>
    </row>
    <row r="46" spans="1:34" ht="29.1" hidden="1">
      <c r="A46" s="330" t="s">
        <v>437</v>
      </c>
      <c r="B46" s="544" t="s">
        <v>438</v>
      </c>
      <c r="C46" s="545"/>
      <c r="D46" s="546" t="s">
        <v>760</v>
      </c>
      <c r="E46" s="547"/>
      <c r="F46" s="545" t="s">
        <v>770</v>
      </c>
      <c r="G46" s="243" t="str">
        <f>VLOOKUP(A46,'Feature Summary'!$A$7:$C$4055,3,FALSE)</f>
        <v>P2</v>
      </c>
      <c r="H46" s="557" t="s">
        <v>771</v>
      </c>
      <c r="I46" s="429" t="s">
        <v>41</v>
      </c>
      <c r="J46" s="322"/>
      <c r="K46" s="561">
        <v>1</v>
      </c>
      <c r="L46" s="562">
        <v>2</v>
      </c>
      <c r="M46" s="562" t="s">
        <v>33</v>
      </c>
      <c r="N46" s="443">
        <v>1</v>
      </c>
      <c r="O46" s="562">
        <v>2</v>
      </c>
      <c r="P46" s="444">
        <f t="shared" si="2"/>
        <v>1</v>
      </c>
      <c r="Q46" s="429" t="s">
        <v>38</v>
      </c>
      <c r="R46" s="323">
        <v>1</v>
      </c>
      <c r="S46" s="469">
        <v>1</v>
      </c>
      <c r="T46" s="459">
        <v>1</v>
      </c>
      <c r="U46" s="459"/>
      <c r="V46" s="459"/>
      <c r="W46" s="459"/>
      <c r="X46" s="470">
        <f t="shared" si="4"/>
        <v>1</v>
      </c>
      <c r="Y46" s="430"/>
      <c r="Z46" s="458">
        <f t="shared" si="1"/>
        <v>0</v>
      </c>
      <c r="AA46" s="459">
        <v>0</v>
      </c>
      <c r="AB46" s="459">
        <v>0</v>
      </c>
      <c r="AC46" s="459">
        <v>0</v>
      </c>
      <c r="AD46" s="459">
        <v>0</v>
      </c>
      <c r="AE46" s="460">
        <f t="shared" si="3"/>
        <v>0</v>
      </c>
      <c r="AF46" s="322"/>
      <c r="AG46" s="431" t="str">
        <f>VLOOKUP(A46,'Feature Summary'!$A$7:$U$4055,21,FALSE)</f>
        <v>w3</v>
      </c>
      <c r="AH46" s="324"/>
    </row>
    <row r="47" spans="1:34" ht="29.1">
      <c r="A47" s="330" t="s">
        <v>557</v>
      </c>
      <c r="B47" s="544" t="s">
        <v>558</v>
      </c>
      <c r="C47" s="545"/>
      <c r="D47" s="546" t="s">
        <v>760</v>
      </c>
      <c r="E47" s="547"/>
      <c r="F47" s="545" t="s">
        <v>772</v>
      </c>
      <c r="G47" s="243" t="str">
        <f>VLOOKUP(A47,'Feature Summary'!$A$7:$C$4055,3,FALSE)</f>
        <v>P2</v>
      </c>
      <c r="H47" s="557" t="s">
        <v>773</v>
      </c>
      <c r="I47" s="429" t="s">
        <v>35</v>
      </c>
      <c r="J47" s="322"/>
      <c r="K47" s="561">
        <v>1</v>
      </c>
      <c r="L47" s="562">
        <v>1</v>
      </c>
      <c r="M47" s="562" t="s">
        <v>39</v>
      </c>
      <c r="N47" s="443">
        <v>1</v>
      </c>
      <c r="O47" s="562">
        <v>0</v>
      </c>
      <c r="P47" s="444">
        <f t="shared" si="2"/>
        <v>0</v>
      </c>
      <c r="Q47" s="429" t="s">
        <v>38</v>
      </c>
      <c r="R47" s="323">
        <v>1</v>
      </c>
      <c r="S47" s="469">
        <v>0</v>
      </c>
      <c r="T47" s="459">
        <v>0</v>
      </c>
      <c r="U47" s="459"/>
      <c r="V47" s="459"/>
      <c r="W47" s="459"/>
      <c r="X47" s="470">
        <f t="shared" si="4"/>
        <v>0</v>
      </c>
      <c r="Y47" s="430" t="s">
        <v>774</v>
      </c>
      <c r="Z47" s="458">
        <f t="shared" si="1"/>
        <v>0</v>
      </c>
      <c r="AA47" s="459">
        <v>0</v>
      </c>
      <c r="AB47" s="459">
        <v>0</v>
      </c>
      <c r="AC47" s="459">
        <v>0</v>
      </c>
      <c r="AD47" s="459">
        <v>0</v>
      </c>
      <c r="AE47" s="460">
        <f t="shared" si="3"/>
        <v>0</v>
      </c>
      <c r="AF47" s="322"/>
      <c r="AG47" s="431" t="str">
        <f>VLOOKUP(A47,'Feature Summary'!$A$7:$U$4055,21,FALSE)</f>
        <v>w5</v>
      </c>
      <c r="AH47" s="324"/>
    </row>
    <row r="48" spans="1:34" ht="29.1" hidden="1">
      <c r="A48" s="330" t="s">
        <v>557</v>
      </c>
      <c r="B48" s="544" t="s">
        <v>558</v>
      </c>
      <c r="C48" s="545"/>
      <c r="D48" s="546" t="s">
        <v>760</v>
      </c>
      <c r="E48" s="547"/>
      <c r="F48" s="545" t="s">
        <v>775</v>
      </c>
      <c r="G48" s="243" t="str">
        <f>VLOOKUP(A48,'Feature Summary'!$A$7:$C$4055,3,FALSE)</f>
        <v>P2</v>
      </c>
      <c r="H48" s="557" t="s">
        <v>776</v>
      </c>
      <c r="I48" s="429" t="s">
        <v>41</v>
      </c>
      <c r="J48" s="322"/>
      <c r="K48" s="561">
        <v>1</v>
      </c>
      <c r="L48" s="562">
        <v>1</v>
      </c>
      <c r="M48" s="562" t="s">
        <v>33</v>
      </c>
      <c r="N48" s="443">
        <v>1</v>
      </c>
      <c r="O48" s="562">
        <v>1</v>
      </c>
      <c r="P48" s="444">
        <f t="shared" si="2"/>
        <v>1</v>
      </c>
      <c r="Q48" s="429" t="s">
        <v>38</v>
      </c>
      <c r="R48" s="323">
        <v>1</v>
      </c>
      <c r="S48" s="469">
        <v>1</v>
      </c>
      <c r="T48" s="459">
        <v>1</v>
      </c>
      <c r="U48" s="459"/>
      <c r="V48" s="459"/>
      <c r="W48" s="459"/>
      <c r="X48" s="470">
        <f t="shared" si="4"/>
        <v>1</v>
      </c>
      <c r="Y48" s="430"/>
      <c r="Z48" s="458">
        <f t="shared" si="1"/>
        <v>0</v>
      </c>
      <c r="AA48" s="459">
        <v>0</v>
      </c>
      <c r="AB48" s="459">
        <v>0</v>
      </c>
      <c r="AC48" s="459">
        <v>0</v>
      </c>
      <c r="AD48" s="459">
        <v>0</v>
      </c>
      <c r="AE48" s="460">
        <f t="shared" si="3"/>
        <v>0</v>
      </c>
      <c r="AF48" s="322"/>
      <c r="AG48" s="431" t="str">
        <f>VLOOKUP(A48,'Feature Summary'!$A$7:$U$4055,21,FALSE)</f>
        <v>w5</v>
      </c>
      <c r="AH48" s="324"/>
    </row>
    <row r="49" spans="1:35" ht="58.35" hidden="1">
      <c r="A49" s="330" t="s">
        <v>777</v>
      </c>
      <c r="B49" s="544" t="s">
        <v>778</v>
      </c>
      <c r="C49" s="545"/>
      <c r="D49" s="546" t="s">
        <v>760</v>
      </c>
      <c r="E49" s="547"/>
      <c r="F49" s="545" t="s">
        <v>779</v>
      </c>
      <c r="G49" s="243" t="e">
        <f>VLOOKUP(A49,'Feature Summary'!$A$7:$C$4055,3,FALSE)</f>
        <v>#N/A</v>
      </c>
      <c r="H49" s="557" t="s">
        <v>780</v>
      </c>
      <c r="I49" s="429" t="s">
        <v>41</v>
      </c>
      <c r="J49" s="322"/>
      <c r="K49" s="561">
        <v>1</v>
      </c>
      <c r="L49" s="562">
        <v>16</v>
      </c>
      <c r="M49" s="562" t="s">
        <v>33</v>
      </c>
      <c r="N49" s="443">
        <v>1</v>
      </c>
      <c r="O49" s="562">
        <v>16</v>
      </c>
      <c r="P49" s="444">
        <f t="shared" si="2"/>
        <v>1</v>
      </c>
      <c r="Q49" s="429" t="s">
        <v>38</v>
      </c>
      <c r="R49" s="323">
        <v>16</v>
      </c>
      <c r="S49" s="469">
        <v>16</v>
      </c>
      <c r="T49" s="459">
        <v>15</v>
      </c>
      <c r="U49" s="459">
        <v>0</v>
      </c>
      <c r="V49" s="459">
        <v>1</v>
      </c>
      <c r="W49" s="459">
        <v>0</v>
      </c>
      <c r="X49" s="470">
        <f>IF((S49=0),0,((T49+U49)/S49*100%))</f>
        <v>0.9375</v>
      </c>
      <c r="Y49" s="601" t="s">
        <v>781</v>
      </c>
      <c r="Z49" s="458">
        <f t="shared" si="1"/>
        <v>0</v>
      </c>
      <c r="AA49" s="459">
        <v>0</v>
      </c>
      <c r="AB49" s="459">
        <v>0</v>
      </c>
      <c r="AC49" s="459">
        <v>0</v>
      </c>
      <c r="AD49" s="459">
        <v>0</v>
      </c>
      <c r="AE49" s="460">
        <f t="shared" si="3"/>
        <v>0</v>
      </c>
      <c r="AF49" s="322"/>
      <c r="AG49" s="431" t="e">
        <f>VLOOKUP(A49,'Feature Summary'!$A$7:$U$4055,21,FALSE)</f>
        <v>#N/A</v>
      </c>
      <c r="AH49" s="324"/>
      <c r="AI49" s="173"/>
    </row>
    <row r="50" spans="1:35" ht="21.95" hidden="1" customHeight="1">
      <c r="A50" s="584" t="s">
        <v>405</v>
      </c>
      <c r="B50" s="584" t="s">
        <v>406</v>
      </c>
      <c r="C50" s="545"/>
      <c r="D50" s="546" t="s">
        <v>760</v>
      </c>
      <c r="E50" s="547"/>
      <c r="F50" s="545" t="s">
        <v>782</v>
      </c>
      <c r="G50" s="243" t="str">
        <f>VLOOKUP(A50,'Feature Summary'!$A$7:$C$4055,3,FALSE)</f>
        <v>P2</v>
      </c>
      <c r="H50" s="557" t="s">
        <v>783</v>
      </c>
      <c r="I50" s="429" t="s">
        <v>41</v>
      </c>
      <c r="J50" s="322"/>
      <c r="K50" s="561">
        <v>3</v>
      </c>
      <c r="L50" s="562">
        <v>7</v>
      </c>
      <c r="M50" s="562" t="s">
        <v>33</v>
      </c>
      <c r="N50" s="443">
        <v>1</v>
      </c>
      <c r="O50" s="562">
        <v>7</v>
      </c>
      <c r="P50" s="444">
        <f t="shared" ref="P50" si="7">IF((O50=0),0,(O50/L50))</f>
        <v>1</v>
      </c>
      <c r="Q50" s="429" t="s">
        <v>38</v>
      </c>
      <c r="R50" s="323">
        <v>1</v>
      </c>
      <c r="S50" s="469">
        <v>1</v>
      </c>
      <c r="T50" s="459"/>
      <c r="U50" s="459"/>
      <c r="V50" s="459">
        <v>1</v>
      </c>
      <c r="W50" s="459"/>
      <c r="X50" s="470">
        <f t="shared" ref="X50" si="8">IF((S50=0),0,((T50+U50)/S50*100%))</f>
        <v>0</v>
      </c>
      <c r="Y50" s="430" t="s">
        <v>737</v>
      </c>
      <c r="Z50" s="458"/>
      <c r="AA50" s="459"/>
      <c r="AB50" s="459"/>
      <c r="AC50" s="459"/>
      <c r="AD50" s="459"/>
      <c r="AE50" s="460"/>
      <c r="AF50" s="322"/>
      <c r="AG50" s="431"/>
      <c r="AH50" s="324"/>
    </row>
    <row r="51" spans="1:35" ht="39.950000000000003" customHeight="1">
      <c r="A51" s="330" t="s">
        <v>784</v>
      </c>
      <c r="B51" s="544" t="s">
        <v>785</v>
      </c>
      <c r="C51" s="545"/>
      <c r="D51" s="546" t="s">
        <v>786</v>
      </c>
      <c r="E51" s="547"/>
      <c r="F51" s="545" t="s">
        <v>787</v>
      </c>
      <c r="G51" s="243" t="s">
        <v>280</v>
      </c>
      <c r="H51" s="557" t="s">
        <v>788</v>
      </c>
      <c r="I51" s="429" t="s">
        <v>35</v>
      </c>
      <c r="J51" s="322"/>
      <c r="K51" s="561">
        <v>1</v>
      </c>
      <c r="L51" s="562">
        <v>15</v>
      </c>
      <c r="M51" s="562" t="s">
        <v>39</v>
      </c>
      <c r="N51" s="443">
        <v>1</v>
      </c>
      <c r="O51" s="562">
        <v>0</v>
      </c>
      <c r="P51" s="444">
        <f t="shared" si="2"/>
        <v>0</v>
      </c>
      <c r="Q51" s="429" t="s">
        <v>48</v>
      </c>
      <c r="R51" s="323">
        <v>15</v>
      </c>
      <c r="S51" s="469">
        <v>0</v>
      </c>
      <c r="T51" s="459">
        <v>0</v>
      </c>
      <c r="U51" s="459"/>
      <c r="V51" s="459"/>
      <c r="W51" s="459"/>
      <c r="X51" s="470">
        <f t="shared" si="4"/>
        <v>0</v>
      </c>
      <c r="Y51" s="430" t="s">
        <v>774</v>
      </c>
      <c r="Z51" s="458">
        <f t="shared" si="1"/>
        <v>0</v>
      </c>
      <c r="AA51" s="459">
        <v>0</v>
      </c>
      <c r="AB51" s="459">
        <v>0</v>
      </c>
      <c r="AC51" s="459">
        <v>0</v>
      </c>
      <c r="AD51" s="459">
        <v>0</v>
      </c>
      <c r="AE51" s="460">
        <f t="shared" si="3"/>
        <v>0</v>
      </c>
      <c r="AF51" s="322"/>
      <c r="AG51" s="431" t="e">
        <f>VLOOKUP(A51,'Feature Summary'!$A$7:$U$4055,21,FALSE)</f>
        <v>#N/A</v>
      </c>
      <c r="AH51" s="324"/>
      <c r="AI51" s="173"/>
    </row>
    <row r="52" spans="1:35" ht="30.6" hidden="1" customHeight="1">
      <c r="A52" s="330" t="s">
        <v>784</v>
      </c>
      <c r="B52" s="544" t="s">
        <v>785</v>
      </c>
      <c r="C52" s="545"/>
      <c r="D52" s="546" t="s">
        <v>786</v>
      </c>
      <c r="E52" s="547"/>
      <c r="F52" s="545" t="s">
        <v>789</v>
      </c>
      <c r="G52" s="243" t="e">
        <f>VLOOKUP(A52,'Feature Summary'!$A$7:$C$4055,3,FALSE)</f>
        <v>#N/A</v>
      </c>
      <c r="H52" s="557" t="s">
        <v>790</v>
      </c>
      <c r="I52" s="429" t="s">
        <v>41</v>
      </c>
      <c r="J52" s="322"/>
      <c r="K52" s="561">
        <v>1</v>
      </c>
      <c r="L52" s="562">
        <v>1</v>
      </c>
      <c r="M52" s="562" t="s">
        <v>39</v>
      </c>
      <c r="N52" s="443">
        <v>1</v>
      </c>
      <c r="O52" s="562">
        <v>1</v>
      </c>
      <c r="P52" s="444">
        <f t="shared" si="2"/>
        <v>1</v>
      </c>
      <c r="Q52" s="429" t="s">
        <v>48</v>
      </c>
      <c r="R52" s="323">
        <v>1</v>
      </c>
      <c r="S52" s="469">
        <v>1</v>
      </c>
      <c r="T52" s="459">
        <v>1</v>
      </c>
      <c r="U52" s="459">
        <v>0</v>
      </c>
      <c r="V52" s="459">
        <v>0</v>
      </c>
      <c r="W52" s="459">
        <v>0</v>
      </c>
      <c r="X52" s="470">
        <f t="shared" si="4"/>
        <v>1</v>
      </c>
      <c r="Y52" s="430" t="s">
        <v>791</v>
      </c>
      <c r="Z52" s="458">
        <f t="shared" si="1"/>
        <v>0</v>
      </c>
      <c r="AA52" s="459">
        <v>0</v>
      </c>
      <c r="AB52" s="459">
        <v>0</v>
      </c>
      <c r="AC52" s="459">
        <v>0</v>
      </c>
      <c r="AD52" s="459">
        <v>0</v>
      </c>
      <c r="AE52" s="460">
        <f t="shared" si="3"/>
        <v>0</v>
      </c>
      <c r="AF52" s="322"/>
      <c r="AG52" s="431" t="e">
        <f>VLOOKUP(A52,'Feature Summary'!$A$7:$U$4055,21,FALSE)</f>
        <v>#N/A</v>
      </c>
      <c r="AH52" s="324"/>
    </row>
    <row r="53" spans="1:35" ht="29.1" hidden="1">
      <c r="A53" s="330" t="s">
        <v>441</v>
      </c>
      <c r="B53" s="544" t="s">
        <v>442</v>
      </c>
      <c r="C53" s="545"/>
      <c r="D53" s="546" t="s">
        <v>792</v>
      </c>
      <c r="E53" s="547"/>
      <c r="F53" s="545" t="s">
        <v>793</v>
      </c>
      <c r="G53" s="243" t="str">
        <f>VLOOKUP(A53,'Feature Summary'!$A$7:$C$4055,3,FALSE)</f>
        <v>P2</v>
      </c>
      <c r="H53" s="557" t="s">
        <v>794</v>
      </c>
      <c r="I53" s="429" t="s">
        <v>41</v>
      </c>
      <c r="J53" s="322"/>
      <c r="K53" s="561">
        <v>1</v>
      </c>
      <c r="L53" s="562">
        <v>8</v>
      </c>
      <c r="M53" s="562" t="s">
        <v>33</v>
      </c>
      <c r="N53" s="443">
        <v>1</v>
      </c>
      <c r="O53" s="562">
        <v>8</v>
      </c>
      <c r="P53" s="444">
        <f t="shared" si="2"/>
        <v>1</v>
      </c>
      <c r="Q53" s="429" t="s">
        <v>38</v>
      </c>
      <c r="R53" s="323">
        <v>1</v>
      </c>
      <c r="S53" s="469">
        <v>1</v>
      </c>
      <c r="T53" s="459">
        <v>1</v>
      </c>
      <c r="U53" s="459"/>
      <c r="V53" s="459"/>
      <c r="W53" s="459"/>
      <c r="X53" s="470">
        <f t="shared" si="4"/>
        <v>1</v>
      </c>
      <c r="Y53" s="430"/>
      <c r="Z53" s="458">
        <f t="shared" si="1"/>
        <v>0</v>
      </c>
      <c r="AA53" s="459">
        <v>0</v>
      </c>
      <c r="AB53" s="459">
        <v>0</v>
      </c>
      <c r="AC53" s="459">
        <v>0</v>
      </c>
      <c r="AD53" s="459">
        <v>0</v>
      </c>
      <c r="AE53" s="460">
        <f t="shared" si="3"/>
        <v>0</v>
      </c>
      <c r="AF53" s="322"/>
      <c r="AG53" s="431" t="str">
        <f>VLOOKUP(A53,'Feature Summary'!$A$7:$U$4055,21,FALSE)</f>
        <v>w2</v>
      </c>
      <c r="AH53" s="324"/>
    </row>
    <row r="54" spans="1:35" ht="43.7" hidden="1">
      <c r="A54" s="330" t="s">
        <v>451</v>
      </c>
      <c r="B54" s="544" t="s">
        <v>452</v>
      </c>
      <c r="C54" s="545"/>
      <c r="D54" s="546" t="s">
        <v>792</v>
      </c>
      <c r="E54" s="547"/>
      <c r="F54" s="545" t="s">
        <v>795</v>
      </c>
      <c r="G54" s="243" t="str">
        <f>VLOOKUP(A54,'Feature Summary'!$A$7:$C$4055,3,FALSE)</f>
        <v>P2</v>
      </c>
      <c r="H54" s="557" t="s">
        <v>796</v>
      </c>
      <c r="I54" s="429" t="s">
        <v>41</v>
      </c>
      <c r="J54" s="322"/>
      <c r="K54" s="561">
        <v>1</v>
      </c>
      <c r="L54" s="562">
        <v>16</v>
      </c>
      <c r="M54" s="562" t="s">
        <v>33</v>
      </c>
      <c r="N54" s="443">
        <v>1</v>
      </c>
      <c r="O54" s="562">
        <v>16</v>
      </c>
      <c r="P54" s="444">
        <f t="shared" si="2"/>
        <v>1</v>
      </c>
      <c r="Q54" s="429" t="s">
        <v>38</v>
      </c>
      <c r="R54" s="323">
        <v>16</v>
      </c>
      <c r="S54" s="469">
        <v>16</v>
      </c>
      <c r="T54" s="459">
        <v>16</v>
      </c>
      <c r="U54" s="459"/>
      <c r="V54" s="459"/>
      <c r="W54" s="459"/>
      <c r="X54" s="470">
        <f t="shared" si="4"/>
        <v>1</v>
      </c>
      <c r="Y54" s="601" t="s">
        <v>797</v>
      </c>
      <c r="Z54" s="458">
        <f t="shared" si="1"/>
        <v>0</v>
      </c>
      <c r="AA54" s="459">
        <v>0</v>
      </c>
      <c r="AB54" s="459">
        <v>0</v>
      </c>
      <c r="AC54" s="459">
        <v>0</v>
      </c>
      <c r="AD54" s="459">
        <v>0</v>
      </c>
      <c r="AE54" s="460">
        <f t="shared" si="3"/>
        <v>0</v>
      </c>
      <c r="AF54" s="322"/>
      <c r="AG54" s="431" t="str">
        <f>VLOOKUP(A54,'Feature Summary'!$A$7:$U$4055,21,FALSE)</f>
        <v>w2</v>
      </c>
      <c r="AH54" s="324"/>
      <c r="AI54" s="173"/>
    </row>
    <row r="55" spans="1:35" ht="29.1" hidden="1">
      <c r="A55" s="330" t="s">
        <v>451</v>
      </c>
      <c r="B55" s="544" t="s">
        <v>452</v>
      </c>
      <c r="C55" s="545"/>
      <c r="D55" s="546" t="s">
        <v>792</v>
      </c>
      <c r="E55" s="547"/>
      <c r="F55" s="545" t="s">
        <v>798</v>
      </c>
      <c r="G55" s="243" t="str">
        <f>VLOOKUP(A55,'Feature Summary'!$A$7:$C$4055,3,FALSE)</f>
        <v>P2</v>
      </c>
      <c r="H55" s="557" t="s">
        <v>799</v>
      </c>
      <c r="I55" s="429" t="s">
        <v>41</v>
      </c>
      <c r="J55" s="322"/>
      <c r="K55" s="561">
        <v>1</v>
      </c>
      <c r="L55" s="562">
        <v>1</v>
      </c>
      <c r="M55" s="562" t="s">
        <v>33</v>
      </c>
      <c r="N55" s="443">
        <v>1</v>
      </c>
      <c r="O55" s="562">
        <v>1</v>
      </c>
      <c r="P55" s="444">
        <f t="shared" si="2"/>
        <v>1</v>
      </c>
      <c r="Q55" s="429" t="s">
        <v>38</v>
      </c>
      <c r="R55" s="323">
        <v>1</v>
      </c>
      <c r="S55" s="469">
        <v>1</v>
      </c>
      <c r="T55" s="459">
        <v>1</v>
      </c>
      <c r="U55" s="459"/>
      <c r="V55" s="459"/>
      <c r="W55" s="459"/>
      <c r="X55" s="470">
        <f t="shared" si="4"/>
        <v>1</v>
      </c>
      <c r="Y55" s="430"/>
      <c r="Z55" s="458">
        <f t="shared" si="1"/>
        <v>0</v>
      </c>
      <c r="AA55" s="459">
        <v>0</v>
      </c>
      <c r="AB55" s="459">
        <v>0</v>
      </c>
      <c r="AC55" s="459">
        <v>0</v>
      </c>
      <c r="AD55" s="459">
        <v>0</v>
      </c>
      <c r="AE55" s="460">
        <f t="shared" si="3"/>
        <v>0</v>
      </c>
      <c r="AF55" s="322"/>
      <c r="AG55" s="431" t="str">
        <f>VLOOKUP(A55,'Feature Summary'!$A$7:$U$4055,21,FALSE)</f>
        <v>w2</v>
      </c>
      <c r="AH55" s="324"/>
    </row>
    <row r="56" spans="1:35" ht="29.1" hidden="1">
      <c r="A56" s="330" t="s">
        <v>451</v>
      </c>
      <c r="B56" s="544" t="s">
        <v>452</v>
      </c>
      <c r="C56" s="545"/>
      <c r="D56" s="546" t="s">
        <v>792</v>
      </c>
      <c r="E56" s="547"/>
      <c r="F56" s="545" t="s">
        <v>800</v>
      </c>
      <c r="G56" s="243" t="str">
        <f>VLOOKUP(A56,'Feature Summary'!$A$7:$C$4055,3,FALSE)</f>
        <v>P2</v>
      </c>
      <c r="H56" s="557" t="s">
        <v>801</v>
      </c>
      <c r="I56" s="429" t="s">
        <v>41</v>
      </c>
      <c r="J56" s="322"/>
      <c r="K56" s="561">
        <v>1</v>
      </c>
      <c r="L56" s="562">
        <v>1</v>
      </c>
      <c r="M56" s="562" t="s">
        <v>33</v>
      </c>
      <c r="N56" s="443">
        <v>1</v>
      </c>
      <c r="O56" s="562">
        <v>1</v>
      </c>
      <c r="P56" s="444">
        <f t="shared" si="2"/>
        <v>1</v>
      </c>
      <c r="Q56" s="429" t="s">
        <v>38</v>
      </c>
      <c r="R56" s="323">
        <v>1</v>
      </c>
      <c r="S56" s="469">
        <v>1</v>
      </c>
      <c r="T56" s="459">
        <v>1</v>
      </c>
      <c r="U56" s="459"/>
      <c r="V56" s="459"/>
      <c r="W56" s="459"/>
      <c r="X56" s="470">
        <f t="shared" ref="X56:X104" si="9">IF((S56=0),0,((T56+U56)/S56*100%))</f>
        <v>1</v>
      </c>
      <c r="Y56" s="430"/>
      <c r="Z56" s="458">
        <f t="shared" si="1"/>
        <v>0</v>
      </c>
      <c r="AA56" s="459">
        <v>0</v>
      </c>
      <c r="AB56" s="459">
        <v>0</v>
      </c>
      <c r="AC56" s="459">
        <v>0</v>
      </c>
      <c r="AD56" s="459">
        <v>0</v>
      </c>
      <c r="AE56" s="460">
        <f t="shared" si="3"/>
        <v>0</v>
      </c>
      <c r="AF56" s="322"/>
      <c r="AG56" s="431" t="str">
        <f>VLOOKUP(A56,'Feature Summary'!$A$7:$U$4055,21,FALSE)</f>
        <v>w2</v>
      </c>
      <c r="AH56" s="324"/>
    </row>
    <row r="57" spans="1:35" ht="29.1" hidden="1">
      <c r="A57" s="330" t="s">
        <v>451</v>
      </c>
      <c r="B57" s="544" t="s">
        <v>452</v>
      </c>
      <c r="C57" s="545"/>
      <c r="D57" s="546" t="s">
        <v>792</v>
      </c>
      <c r="E57" s="547"/>
      <c r="F57" s="545" t="s">
        <v>802</v>
      </c>
      <c r="G57" s="243" t="str">
        <f>VLOOKUP(A57,'Feature Summary'!$A$7:$C$4055,3,FALSE)</f>
        <v>P2</v>
      </c>
      <c r="H57" s="557" t="s">
        <v>803</v>
      </c>
      <c r="I57" s="429" t="s">
        <v>41</v>
      </c>
      <c r="J57" s="322"/>
      <c r="K57" s="561">
        <v>1</v>
      </c>
      <c r="L57" s="562">
        <v>10</v>
      </c>
      <c r="M57" s="562" t="s">
        <v>33</v>
      </c>
      <c r="N57" s="443">
        <v>1</v>
      </c>
      <c r="O57" s="562">
        <v>10</v>
      </c>
      <c r="P57" s="444">
        <f t="shared" ref="P57:P104" si="10">IF((O57=0),0,(O57/L57))</f>
        <v>1</v>
      </c>
      <c r="Q57" s="429" t="s">
        <v>38</v>
      </c>
      <c r="R57" s="323">
        <v>1</v>
      </c>
      <c r="S57" s="469">
        <v>1</v>
      </c>
      <c r="T57" s="459">
        <v>1</v>
      </c>
      <c r="U57" s="459"/>
      <c r="V57" s="459"/>
      <c r="W57" s="459"/>
      <c r="X57" s="470">
        <f t="shared" si="9"/>
        <v>1</v>
      </c>
      <c r="Y57" s="430"/>
      <c r="Z57" s="458">
        <f t="shared" ref="Z57:Z104" si="11">SUM(AA57:AD57)</f>
        <v>0</v>
      </c>
      <c r="AA57" s="459">
        <v>0</v>
      </c>
      <c r="AB57" s="459">
        <v>0</v>
      </c>
      <c r="AC57" s="459">
        <v>0</v>
      </c>
      <c r="AD57" s="459">
        <v>0</v>
      </c>
      <c r="AE57" s="460">
        <f t="shared" ref="AE57:AE104" si="12">IF((Z57=0),0,((AA57+AB57)/Z57*100%))</f>
        <v>0</v>
      </c>
      <c r="AF57" s="322"/>
      <c r="AG57" s="431" t="str">
        <f>VLOOKUP(A57,'Feature Summary'!$A$7:$U$4055,21,FALSE)</f>
        <v>w2</v>
      </c>
      <c r="AH57" s="324"/>
    </row>
    <row r="58" spans="1:35" ht="43.7" hidden="1">
      <c r="A58" s="330" t="s">
        <v>451</v>
      </c>
      <c r="B58" s="544" t="s">
        <v>452</v>
      </c>
      <c r="C58" s="545"/>
      <c r="D58" s="546" t="s">
        <v>792</v>
      </c>
      <c r="E58" s="547"/>
      <c r="F58" s="545" t="s">
        <v>804</v>
      </c>
      <c r="G58" s="243" t="str">
        <f>VLOOKUP(A58,'Feature Summary'!$A$7:$C$4055,3,FALSE)</f>
        <v>P2</v>
      </c>
      <c r="H58" s="557" t="s">
        <v>805</v>
      </c>
      <c r="I58" s="429" t="s">
        <v>41</v>
      </c>
      <c r="J58" s="322"/>
      <c r="K58" s="561">
        <v>1</v>
      </c>
      <c r="L58" s="562">
        <v>52</v>
      </c>
      <c r="M58" s="562" t="s">
        <v>33</v>
      </c>
      <c r="N58" s="443">
        <v>1</v>
      </c>
      <c r="O58" s="562">
        <v>52</v>
      </c>
      <c r="P58" s="444">
        <f t="shared" si="10"/>
        <v>1</v>
      </c>
      <c r="Q58" s="429" t="s">
        <v>38</v>
      </c>
      <c r="R58" s="323">
        <v>52</v>
      </c>
      <c r="S58" s="469">
        <v>52</v>
      </c>
      <c r="T58" s="459">
        <v>52</v>
      </c>
      <c r="U58" s="459"/>
      <c r="V58" s="459"/>
      <c r="W58" s="459"/>
      <c r="X58" s="470">
        <f t="shared" si="9"/>
        <v>1</v>
      </c>
      <c r="Y58" s="601" t="s">
        <v>806</v>
      </c>
      <c r="Z58" s="458">
        <f t="shared" si="11"/>
        <v>0</v>
      </c>
      <c r="AA58" s="459">
        <v>0</v>
      </c>
      <c r="AB58" s="459">
        <v>0</v>
      </c>
      <c r="AC58" s="459">
        <v>0</v>
      </c>
      <c r="AD58" s="459">
        <v>0</v>
      </c>
      <c r="AE58" s="460">
        <f t="shared" si="12"/>
        <v>0</v>
      </c>
      <c r="AF58" s="322"/>
      <c r="AG58" s="431" t="str">
        <f>VLOOKUP(A58,'Feature Summary'!$A$7:$U$4055,21,FALSE)</f>
        <v>w2</v>
      </c>
      <c r="AH58" s="324"/>
      <c r="AI58" s="173"/>
    </row>
    <row r="59" spans="1:35" ht="29.1" hidden="1">
      <c r="A59" s="330" t="s">
        <v>443</v>
      </c>
      <c r="B59" s="544" t="s">
        <v>444</v>
      </c>
      <c r="C59" s="545"/>
      <c r="D59" s="546" t="s">
        <v>792</v>
      </c>
      <c r="E59" s="547"/>
      <c r="F59" s="545" t="s">
        <v>807</v>
      </c>
      <c r="G59" s="243" t="str">
        <f>VLOOKUP(A59,'Feature Summary'!$A$7:$C$4055,3,FALSE)</f>
        <v>P2</v>
      </c>
      <c r="H59" s="557" t="s">
        <v>808</v>
      </c>
      <c r="I59" s="429" t="s">
        <v>41</v>
      </c>
      <c r="J59" s="322"/>
      <c r="K59" s="561">
        <v>1</v>
      </c>
      <c r="L59" s="562">
        <v>5</v>
      </c>
      <c r="M59" s="562" t="s">
        <v>33</v>
      </c>
      <c r="N59" s="443">
        <v>1</v>
      </c>
      <c r="O59" s="562">
        <v>5</v>
      </c>
      <c r="P59" s="444">
        <f t="shared" si="10"/>
        <v>1</v>
      </c>
      <c r="Q59" s="429" t="s">
        <v>38</v>
      </c>
      <c r="R59" s="323">
        <v>1</v>
      </c>
      <c r="S59" s="469">
        <v>1</v>
      </c>
      <c r="T59" s="459">
        <v>1</v>
      </c>
      <c r="U59" s="459"/>
      <c r="V59" s="459"/>
      <c r="W59" s="459"/>
      <c r="X59" s="470">
        <f t="shared" si="9"/>
        <v>1</v>
      </c>
      <c r="Y59" s="430"/>
      <c r="Z59" s="458">
        <f t="shared" si="11"/>
        <v>0</v>
      </c>
      <c r="AA59" s="459">
        <v>0</v>
      </c>
      <c r="AB59" s="459">
        <v>0</v>
      </c>
      <c r="AC59" s="459">
        <v>0</v>
      </c>
      <c r="AD59" s="459">
        <v>0</v>
      </c>
      <c r="AE59" s="460">
        <f t="shared" si="12"/>
        <v>0</v>
      </c>
      <c r="AF59" s="322"/>
      <c r="AG59" s="431" t="str">
        <f>VLOOKUP(A59,'Feature Summary'!$A$7:$U$4055,21,FALSE)</f>
        <v>w2</v>
      </c>
      <c r="AH59" s="324"/>
    </row>
    <row r="60" spans="1:35" ht="29.1" hidden="1">
      <c r="A60" s="330" t="s">
        <v>445</v>
      </c>
      <c r="B60" s="544" t="s">
        <v>446</v>
      </c>
      <c r="C60" s="545"/>
      <c r="D60" s="546" t="s">
        <v>792</v>
      </c>
      <c r="E60" s="547"/>
      <c r="F60" s="545" t="s">
        <v>809</v>
      </c>
      <c r="G60" s="243" t="str">
        <f>VLOOKUP(A60,'Feature Summary'!$A$7:$C$4055,3,FALSE)</f>
        <v>P2</v>
      </c>
      <c r="H60" s="557" t="s">
        <v>810</v>
      </c>
      <c r="I60" s="429" t="s">
        <v>41</v>
      </c>
      <c r="J60" s="322"/>
      <c r="K60" s="561">
        <v>1</v>
      </c>
      <c r="L60" s="562">
        <v>4</v>
      </c>
      <c r="M60" s="562" t="s">
        <v>33</v>
      </c>
      <c r="N60" s="443">
        <v>1</v>
      </c>
      <c r="O60" s="562">
        <v>4</v>
      </c>
      <c r="P60" s="444">
        <f t="shared" si="10"/>
        <v>1</v>
      </c>
      <c r="Q60" s="429" t="s">
        <v>38</v>
      </c>
      <c r="R60" s="323">
        <v>1</v>
      </c>
      <c r="S60" s="469">
        <v>1</v>
      </c>
      <c r="T60" s="459">
        <v>1</v>
      </c>
      <c r="U60" s="459"/>
      <c r="V60" s="459"/>
      <c r="W60" s="459"/>
      <c r="X60" s="470">
        <f t="shared" si="9"/>
        <v>1</v>
      </c>
      <c r="Y60" s="430"/>
      <c r="Z60" s="458">
        <f t="shared" si="11"/>
        <v>0</v>
      </c>
      <c r="AA60" s="459">
        <v>0</v>
      </c>
      <c r="AB60" s="459">
        <v>0</v>
      </c>
      <c r="AC60" s="459">
        <v>0</v>
      </c>
      <c r="AD60" s="459">
        <v>0</v>
      </c>
      <c r="AE60" s="460">
        <f t="shared" si="12"/>
        <v>0</v>
      </c>
      <c r="AF60" s="322"/>
      <c r="AG60" s="431" t="str">
        <f>VLOOKUP(A60,'Feature Summary'!$A$7:$U$4055,21,FALSE)</f>
        <v>w2</v>
      </c>
      <c r="AH60" s="324"/>
    </row>
    <row r="61" spans="1:35" ht="29.1" hidden="1">
      <c r="A61" s="330" t="s">
        <v>445</v>
      </c>
      <c r="B61" s="544" t="s">
        <v>446</v>
      </c>
      <c r="C61" s="545"/>
      <c r="D61" s="546" t="s">
        <v>792</v>
      </c>
      <c r="E61" s="547"/>
      <c r="F61" s="545" t="s">
        <v>811</v>
      </c>
      <c r="G61" s="243" t="str">
        <f>VLOOKUP(A61,'Feature Summary'!$A$7:$C$4055,3,FALSE)</f>
        <v>P2</v>
      </c>
      <c r="H61" s="557" t="s">
        <v>812</v>
      </c>
      <c r="I61" s="429" t="s">
        <v>41</v>
      </c>
      <c r="J61" s="322"/>
      <c r="K61" s="561">
        <v>1</v>
      </c>
      <c r="L61" s="562">
        <v>8</v>
      </c>
      <c r="M61" s="562" t="s">
        <v>33</v>
      </c>
      <c r="N61" s="443">
        <v>1</v>
      </c>
      <c r="O61" s="562">
        <v>8</v>
      </c>
      <c r="P61" s="444">
        <f t="shared" si="10"/>
        <v>1</v>
      </c>
      <c r="Q61" s="429" t="s">
        <v>38</v>
      </c>
      <c r="R61" s="323">
        <v>1</v>
      </c>
      <c r="S61" s="469">
        <v>1</v>
      </c>
      <c r="T61" s="459">
        <v>1</v>
      </c>
      <c r="U61" s="459"/>
      <c r="V61" s="459"/>
      <c r="W61" s="459"/>
      <c r="X61" s="470">
        <f t="shared" si="9"/>
        <v>1</v>
      </c>
      <c r="Y61" s="430"/>
      <c r="Z61" s="458">
        <f t="shared" si="11"/>
        <v>0</v>
      </c>
      <c r="AA61" s="459">
        <v>0</v>
      </c>
      <c r="AB61" s="459">
        <v>0</v>
      </c>
      <c r="AC61" s="459">
        <v>0</v>
      </c>
      <c r="AD61" s="459">
        <v>0</v>
      </c>
      <c r="AE61" s="460">
        <f t="shared" si="12"/>
        <v>0</v>
      </c>
      <c r="AF61" s="322"/>
      <c r="AG61" s="431" t="str">
        <f>VLOOKUP(A61,'Feature Summary'!$A$7:$U$4055,21,FALSE)</f>
        <v>w2</v>
      </c>
      <c r="AH61" s="324"/>
    </row>
    <row r="62" spans="1:35" ht="29.1" hidden="1">
      <c r="A62" s="330" t="s">
        <v>445</v>
      </c>
      <c r="B62" s="544" t="s">
        <v>446</v>
      </c>
      <c r="C62" s="545"/>
      <c r="D62" s="546" t="s">
        <v>792</v>
      </c>
      <c r="E62" s="547"/>
      <c r="F62" s="545" t="s">
        <v>813</v>
      </c>
      <c r="G62" s="243" t="str">
        <f>VLOOKUP(A62,'Feature Summary'!$A$7:$C$4055,3,FALSE)</f>
        <v>P2</v>
      </c>
      <c r="H62" s="557" t="s">
        <v>814</v>
      </c>
      <c r="I62" s="429" t="s">
        <v>41</v>
      </c>
      <c r="J62" s="322"/>
      <c r="K62" s="561">
        <v>1</v>
      </c>
      <c r="L62" s="562">
        <v>1</v>
      </c>
      <c r="M62" s="562" t="s">
        <v>33</v>
      </c>
      <c r="N62" s="443">
        <v>1</v>
      </c>
      <c r="O62" s="562">
        <v>1</v>
      </c>
      <c r="P62" s="444">
        <f t="shared" si="10"/>
        <v>1</v>
      </c>
      <c r="Q62" s="429" t="s">
        <v>38</v>
      </c>
      <c r="R62" s="323">
        <v>1</v>
      </c>
      <c r="S62" s="469">
        <v>1</v>
      </c>
      <c r="T62" s="459"/>
      <c r="U62" s="459"/>
      <c r="V62" s="459">
        <v>1</v>
      </c>
      <c r="W62" s="459"/>
      <c r="X62" s="470">
        <f t="shared" si="9"/>
        <v>0</v>
      </c>
      <c r="Y62" s="430" t="s">
        <v>815</v>
      </c>
      <c r="Z62" s="458">
        <f t="shared" si="11"/>
        <v>0</v>
      </c>
      <c r="AA62" s="459">
        <v>0</v>
      </c>
      <c r="AB62" s="459">
        <v>0</v>
      </c>
      <c r="AC62" s="459">
        <v>0</v>
      </c>
      <c r="AD62" s="459">
        <v>0</v>
      </c>
      <c r="AE62" s="460">
        <f t="shared" si="12"/>
        <v>0</v>
      </c>
      <c r="AF62" s="322"/>
      <c r="AG62" s="431" t="str">
        <f>VLOOKUP(A62,'Feature Summary'!$A$7:$U$4055,21,FALSE)</f>
        <v>w2</v>
      </c>
      <c r="AH62" s="324"/>
    </row>
    <row r="63" spans="1:35" ht="29.1" hidden="1">
      <c r="A63" s="330" t="s">
        <v>445</v>
      </c>
      <c r="B63" s="544" t="s">
        <v>446</v>
      </c>
      <c r="C63" s="545"/>
      <c r="D63" s="546" t="s">
        <v>792</v>
      </c>
      <c r="E63" s="547"/>
      <c r="F63" s="545" t="s">
        <v>816</v>
      </c>
      <c r="G63" s="243" t="str">
        <f>VLOOKUP(A63,'Feature Summary'!$A$7:$C$4055,3,FALSE)</f>
        <v>P2</v>
      </c>
      <c r="H63" s="557" t="s">
        <v>817</v>
      </c>
      <c r="I63" s="429" t="s">
        <v>41</v>
      </c>
      <c r="J63" s="322"/>
      <c r="K63" s="561">
        <v>1</v>
      </c>
      <c r="L63" s="562">
        <v>4</v>
      </c>
      <c r="M63" s="562" t="s">
        <v>33</v>
      </c>
      <c r="N63" s="443">
        <v>1</v>
      </c>
      <c r="O63" s="562">
        <v>4</v>
      </c>
      <c r="P63" s="444">
        <f t="shared" si="10"/>
        <v>1</v>
      </c>
      <c r="Q63" s="429" t="s">
        <v>38</v>
      </c>
      <c r="R63" s="323">
        <v>1</v>
      </c>
      <c r="S63" s="469">
        <v>1</v>
      </c>
      <c r="T63" s="459">
        <v>1</v>
      </c>
      <c r="U63" s="459"/>
      <c r="V63" s="459"/>
      <c r="W63" s="459"/>
      <c r="X63" s="470">
        <f t="shared" si="9"/>
        <v>1</v>
      </c>
      <c r="Y63" s="430"/>
      <c r="Z63" s="458">
        <f t="shared" si="11"/>
        <v>0</v>
      </c>
      <c r="AA63" s="459">
        <v>0</v>
      </c>
      <c r="AB63" s="459">
        <v>0</v>
      </c>
      <c r="AC63" s="459">
        <v>0</v>
      </c>
      <c r="AD63" s="459">
        <v>0</v>
      </c>
      <c r="AE63" s="460">
        <f t="shared" si="12"/>
        <v>0</v>
      </c>
      <c r="AF63" s="322"/>
      <c r="AG63" s="431" t="str">
        <f>VLOOKUP(A63,'Feature Summary'!$A$7:$U$4055,21,FALSE)</f>
        <v>w2</v>
      </c>
      <c r="AH63" s="324"/>
    </row>
    <row r="64" spans="1:35" ht="29.1" hidden="1">
      <c r="A64" s="330" t="s">
        <v>445</v>
      </c>
      <c r="B64" s="544" t="s">
        <v>446</v>
      </c>
      <c r="C64" s="545"/>
      <c r="D64" s="546" t="s">
        <v>792</v>
      </c>
      <c r="E64" s="547"/>
      <c r="F64" s="545" t="s">
        <v>818</v>
      </c>
      <c r="G64" s="243" t="str">
        <f>VLOOKUP(A64,'Feature Summary'!$A$7:$C$4055,3,FALSE)</f>
        <v>P2</v>
      </c>
      <c r="H64" s="557" t="s">
        <v>819</v>
      </c>
      <c r="I64" s="429" t="s">
        <v>41</v>
      </c>
      <c r="J64" s="322"/>
      <c r="K64" s="561">
        <v>1</v>
      </c>
      <c r="L64" s="562">
        <v>8</v>
      </c>
      <c r="M64" s="562" t="s">
        <v>33</v>
      </c>
      <c r="N64" s="443">
        <v>1</v>
      </c>
      <c r="O64" s="562">
        <v>8</v>
      </c>
      <c r="P64" s="444">
        <f t="shared" si="10"/>
        <v>1</v>
      </c>
      <c r="Q64" s="429" t="s">
        <v>38</v>
      </c>
      <c r="R64" s="323">
        <v>1</v>
      </c>
      <c r="S64" s="469">
        <v>1</v>
      </c>
      <c r="T64" s="459">
        <v>1</v>
      </c>
      <c r="U64" s="459"/>
      <c r="V64" s="459"/>
      <c r="W64" s="459"/>
      <c r="X64" s="470">
        <f t="shared" si="9"/>
        <v>1</v>
      </c>
      <c r="Y64" s="430"/>
      <c r="Z64" s="458">
        <f t="shared" si="11"/>
        <v>0</v>
      </c>
      <c r="AA64" s="459">
        <v>0</v>
      </c>
      <c r="AB64" s="459">
        <v>0</v>
      </c>
      <c r="AC64" s="459">
        <v>0</v>
      </c>
      <c r="AD64" s="459">
        <v>0</v>
      </c>
      <c r="AE64" s="460">
        <f t="shared" si="12"/>
        <v>0</v>
      </c>
      <c r="AF64" s="322"/>
      <c r="AG64" s="431" t="str">
        <f>VLOOKUP(A64,'Feature Summary'!$A$7:$U$4055,21,FALSE)</f>
        <v>w2</v>
      </c>
      <c r="AH64" s="324"/>
    </row>
    <row r="65" spans="1:35" ht="145.69999999999999" hidden="1">
      <c r="A65" s="330" t="s">
        <v>820</v>
      </c>
      <c r="B65" s="544" t="s">
        <v>821</v>
      </c>
      <c r="C65" s="545"/>
      <c r="D65" s="546" t="s">
        <v>822</v>
      </c>
      <c r="E65" s="547"/>
      <c r="F65" s="545" t="s">
        <v>823</v>
      </c>
      <c r="G65" s="243" t="e">
        <f>VLOOKUP(A65,'Feature Summary'!$A$7:$C$4055,3,FALSE)</f>
        <v>#N/A</v>
      </c>
      <c r="H65" s="557" t="s">
        <v>824</v>
      </c>
      <c r="I65" s="429" t="s">
        <v>41</v>
      </c>
      <c r="J65" s="322"/>
      <c r="K65" s="561">
        <v>1</v>
      </c>
      <c r="L65" s="563">
        <v>18</v>
      </c>
      <c r="M65" s="563" t="s">
        <v>39</v>
      </c>
      <c r="N65" s="443">
        <v>1</v>
      </c>
      <c r="O65" s="564">
        <v>18</v>
      </c>
      <c r="P65" s="444">
        <f t="shared" si="10"/>
        <v>1</v>
      </c>
      <c r="Q65" s="429" t="s">
        <v>38</v>
      </c>
      <c r="R65" s="323">
        <v>1</v>
      </c>
      <c r="S65" s="469">
        <v>1</v>
      </c>
      <c r="T65" s="459">
        <v>1</v>
      </c>
      <c r="U65" s="459"/>
      <c r="V65" s="459"/>
      <c r="W65" s="459"/>
      <c r="X65" s="470">
        <f t="shared" si="9"/>
        <v>1</v>
      </c>
      <c r="Y65" s="430"/>
      <c r="Z65" s="458">
        <f t="shared" si="11"/>
        <v>0</v>
      </c>
      <c r="AA65" s="459">
        <v>0</v>
      </c>
      <c r="AB65" s="459">
        <v>0</v>
      </c>
      <c r="AC65" s="459">
        <v>0</v>
      </c>
      <c r="AD65" s="459">
        <v>0</v>
      </c>
      <c r="AE65" s="460">
        <f t="shared" si="12"/>
        <v>0</v>
      </c>
      <c r="AF65" s="322"/>
      <c r="AG65" s="431" t="e">
        <f>VLOOKUP(A65,'Feature Summary'!$A$7:$U$4055,21,FALSE)</f>
        <v>#N/A</v>
      </c>
      <c r="AH65" s="324"/>
    </row>
    <row r="66" spans="1:35" ht="58.35" hidden="1">
      <c r="A66" s="330" t="s">
        <v>825</v>
      </c>
      <c r="B66" s="544" t="s">
        <v>826</v>
      </c>
      <c r="C66" s="545"/>
      <c r="D66" s="546" t="s">
        <v>827</v>
      </c>
      <c r="E66" s="547"/>
      <c r="F66" s="545" t="s">
        <v>828</v>
      </c>
      <c r="G66" s="243" t="e">
        <f>VLOOKUP(A66,'Feature Summary'!$A$7:$C$4055,3,FALSE)</f>
        <v>#N/A</v>
      </c>
      <c r="H66" s="557" t="s">
        <v>829</v>
      </c>
      <c r="I66" s="429" t="s">
        <v>41</v>
      </c>
      <c r="J66" s="322"/>
      <c r="K66" s="561">
        <v>1</v>
      </c>
      <c r="L66" s="562">
        <v>20</v>
      </c>
      <c r="M66" s="562" t="s">
        <v>39</v>
      </c>
      <c r="N66" s="443">
        <v>1</v>
      </c>
      <c r="O66" s="562">
        <v>20</v>
      </c>
      <c r="P66" s="444">
        <f t="shared" si="10"/>
        <v>1</v>
      </c>
      <c r="Q66" s="429" t="s">
        <v>38</v>
      </c>
      <c r="R66" s="323">
        <v>20</v>
      </c>
      <c r="S66" s="469">
        <v>20</v>
      </c>
      <c r="T66" s="459">
        <v>20</v>
      </c>
      <c r="U66" s="459">
        <v>0</v>
      </c>
      <c r="V66" s="459">
        <v>0</v>
      </c>
      <c r="W66" s="459">
        <v>0</v>
      </c>
      <c r="X66" s="470">
        <f t="shared" si="9"/>
        <v>1</v>
      </c>
      <c r="Y66" s="601" t="s">
        <v>830</v>
      </c>
      <c r="Z66" s="458">
        <f t="shared" si="11"/>
        <v>0</v>
      </c>
      <c r="AA66" s="459">
        <v>0</v>
      </c>
      <c r="AB66" s="459">
        <v>0</v>
      </c>
      <c r="AC66" s="459">
        <v>0</v>
      </c>
      <c r="AD66" s="459">
        <v>0</v>
      </c>
      <c r="AE66" s="460">
        <f t="shared" si="12"/>
        <v>0</v>
      </c>
      <c r="AF66" s="322"/>
      <c r="AG66" s="431" t="e">
        <f>VLOOKUP(A66,'Feature Summary'!$A$7:$U$4055,21,FALSE)</f>
        <v>#N/A</v>
      </c>
      <c r="AH66" s="324"/>
      <c r="AI66" s="173"/>
    </row>
    <row r="67" spans="1:35" ht="32.450000000000003" hidden="1" customHeight="1">
      <c r="A67" s="330" t="s">
        <v>825</v>
      </c>
      <c r="B67" s="544" t="s">
        <v>826</v>
      </c>
      <c r="C67" s="545"/>
      <c r="D67" s="546" t="s">
        <v>827</v>
      </c>
      <c r="E67" s="547"/>
      <c r="F67" s="545" t="s">
        <v>831</v>
      </c>
      <c r="G67" s="243" t="e">
        <f>VLOOKUP(A67,'Feature Summary'!$A$7:$C$4055,3,FALSE)</f>
        <v>#N/A</v>
      </c>
      <c r="H67" s="557" t="s">
        <v>832</v>
      </c>
      <c r="I67" s="429" t="s">
        <v>41</v>
      </c>
      <c r="J67" s="322"/>
      <c r="K67" s="561">
        <v>1</v>
      </c>
      <c r="L67" s="562">
        <v>18</v>
      </c>
      <c r="M67" s="562" t="s">
        <v>39</v>
      </c>
      <c r="N67" s="443">
        <v>1</v>
      </c>
      <c r="O67" s="562">
        <v>18</v>
      </c>
      <c r="P67" s="444">
        <f t="shared" ref="P67" si="13">IF((O67=0),0,(O67/L67))</f>
        <v>1</v>
      </c>
      <c r="Q67" s="429" t="s">
        <v>38</v>
      </c>
      <c r="R67" s="323">
        <v>18</v>
      </c>
      <c r="S67" s="469">
        <v>18</v>
      </c>
      <c r="T67" s="459">
        <v>18</v>
      </c>
      <c r="U67" s="459"/>
      <c r="V67" s="459"/>
      <c r="W67" s="459"/>
      <c r="X67" s="470">
        <f t="shared" ref="X67" si="14">IF((S67=0),0,((T67+U67)/S67*100%))</f>
        <v>1</v>
      </c>
      <c r="Y67" s="601" t="s">
        <v>833</v>
      </c>
      <c r="Z67" s="458">
        <f t="shared" ref="Z67" si="15">SUM(AA67:AD67)</f>
        <v>0</v>
      </c>
      <c r="AA67" s="459">
        <v>0</v>
      </c>
      <c r="AB67" s="459">
        <v>0</v>
      </c>
      <c r="AC67" s="459">
        <v>0</v>
      </c>
      <c r="AD67" s="459">
        <v>0</v>
      </c>
      <c r="AE67" s="460">
        <f t="shared" ref="AE67" si="16">IF((Z67=0),0,((AA67+AB67)/Z67*100%))</f>
        <v>0</v>
      </c>
      <c r="AF67" s="322"/>
      <c r="AG67" s="431" t="e">
        <f>VLOOKUP(A67,'Feature Summary'!$A$7:$U$4055,21,FALSE)</f>
        <v>#N/A</v>
      </c>
      <c r="AH67" s="324"/>
      <c r="AI67" s="173"/>
    </row>
    <row r="68" spans="1:35" ht="29.45" hidden="1" customHeight="1">
      <c r="A68" s="330" t="s">
        <v>825</v>
      </c>
      <c r="B68" s="544" t="s">
        <v>826</v>
      </c>
      <c r="C68" s="545"/>
      <c r="D68" s="546" t="s">
        <v>827</v>
      </c>
      <c r="E68" s="547"/>
      <c r="F68" s="545" t="s">
        <v>834</v>
      </c>
      <c r="G68" s="243" t="e">
        <f>VLOOKUP(A68,'Feature Summary'!$A$7:$C$4055,3,FALSE)</f>
        <v>#N/A</v>
      </c>
      <c r="H68" s="557" t="s">
        <v>835</v>
      </c>
      <c r="I68" s="429" t="s">
        <v>35</v>
      </c>
      <c r="J68" s="322"/>
      <c r="K68" s="561">
        <v>1</v>
      </c>
      <c r="L68" s="562">
        <v>1</v>
      </c>
      <c r="M68" s="562" t="s">
        <v>39</v>
      </c>
      <c r="N68" s="443">
        <v>1</v>
      </c>
      <c r="O68" s="562">
        <v>1</v>
      </c>
      <c r="P68" s="444">
        <f t="shared" ref="P68:P69" si="17">IF((O68=0),0,(O68/L68))</f>
        <v>1</v>
      </c>
      <c r="Q68" s="429" t="s">
        <v>38</v>
      </c>
      <c r="R68" s="323">
        <v>1</v>
      </c>
      <c r="S68" s="469"/>
      <c r="T68" s="459"/>
      <c r="U68" s="459"/>
      <c r="V68" s="459"/>
      <c r="W68" s="459"/>
      <c r="X68" s="470">
        <f t="shared" ref="X68" si="18">IF((S68=0),0,((T68+U68)/S68*100%))</f>
        <v>0</v>
      </c>
      <c r="Y68" s="430"/>
      <c r="Z68" s="458">
        <f t="shared" ref="Z68" si="19">SUM(AA68:AD68)</f>
        <v>0</v>
      </c>
      <c r="AA68" s="459">
        <v>0</v>
      </c>
      <c r="AB68" s="459">
        <v>0</v>
      </c>
      <c r="AC68" s="459">
        <v>0</v>
      </c>
      <c r="AD68" s="459">
        <v>0</v>
      </c>
      <c r="AE68" s="460">
        <f t="shared" ref="AE68" si="20">IF((Z68=0),0,((AA68+AB68)/Z68*100%))</f>
        <v>0</v>
      </c>
      <c r="AF68" s="322"/>
      <c r="AG68" s="431" t="e">
        <f>VLOOKUP(A68,'Feature Summary'!$A$7:$U$4055,21,FALSE)</f>
        <v>#N/A</v>
      </c>
      <c r="AH68" s="324"/>
      <c r="AI68" s="173"/>
    </row>
    <row r="69" spans="1:35" ht="43.7" hidden="1">
      <c r="A69" s="584" t="s">
        <v>459</v>
      </c>
      <c r="B69" s="584" t="s">
        <v>460</v>
      </c>
      <c r="C69" s="545"/>
      <c r="D69" s="546" t="s">
        <v>827</v>
      </c>
      <c r="E69" s="547"/>
      <c r="F69" s="545" t="s">
        <v>836</v>
      </c>
      <c r="G69" s="243" t="str">
        <f>VLOOKUP(A69,'Feature Summary'!$A$7:$C$4055,3,FALSE)</f>
        <v>P2</v>
      </c>
      <c r="H69" s="557" t="s">
        <v>837</v>
      </c>
      <c r="I69" s="429" t="s">
        <v>35</v>
      </c>
      <c r="J69" s="322"/>
      <c r="K69" s="561">
        <v>2</v>
      </c>
      <c r="L69" s="562">
        <v>13</v>
      </c>
      <c r="M69" s="562" t="s">
        <v>44</v>
      </c>
      <c r="N69" s="443">
        <v>1</v>
      </c>
      <c r="O69" s="562">
        <v>13</v>
      </c>
      <c r="P69" s="444">
        <f t="shared" si="17"/>
        <v>1</v>
      </c>
      <c r="Q69" s="429" t="s">
        <v>38</v>
      </c>
      <c r="R69" s="323">
        <v>13</v>
      </c>
      <c r="S69" s="469"/>
      <c r="T69" s="459"/>
      <c r="U69" s="459"/>
      <c r="V69" s="459"/>
      <c r="W69" s="459"/>
      <c r="X69" s="470"/>
      <c r="Y69" s="601" t="s">
        <v>838</v>
      </c>
      <c r="Z69" s="458"/>
      <c r="AA69" s="459"/>
      <c r="AB69" s="459"/>
      <c r="AC69" s="459"/>
      <c r="AD69" s="459"/>
      <c r="AE69" s="460"/>
      <c r="AF69" s="322"/>
      <c r="AG69" s="431"/>
      <c r="AH69" s="324"/>
      <c r="AI69" s="173"/>
    </row>
    <row r="70" spans="1:35" ht="43.7" hidden="1">
      <c r="A70" s="549" t="s">
        <v>463</v>
      </c>
      <c r="B70" s="550" t="s">
        <v>839</v>
      </c>
      <c r="C70" s="545"/>
      <c r="D70" s="546" t="s">
        <v>827</v>
      </c>
      <c r="E70" s="547"/>
      <c r="F70" s="551" t="s">
        <v>840</v>
      </c>
      <c r="G70" s="243" t="str">
        <f>VLOOKUP(A70,'Feature Summary'!$A$7:$C$4055,3,FALSE)</f>
        <v>P2</v>
      </c>
      <c r="H70" s="557" t="s">
        <v>841</v>
      </c>
      <c r="I70" s="429" t="s">
        <v>35</v>
      </c>
      <c r="J70" s="322"/>
      <c r="K70" s="561">
        <v>2</v>
      </c>
      <c r="L70" s="562">
        <v>20</v>
      </c>
      <c r="M70" s="562" t="s">
        <v>39</v>
      </c>
      <c r="N70" s="443">
        <v>1</v>
      </c>
      <c r="O70" s="562">
        <v>20</v>
      </c>
      <c r="P70" s="444">
        <f t="shared" si="10"/>
        <v>1</v>
      </c>
      <c r="Q70" s="429" t="s">
        <v>38</v>
      </c>
      <c r="R70" s="323">
        <v>20</v>
      </c>
      <c r="S70" s="469"/>
      <c r="T70" s="459"/>
      <c r="U70" s="459"/>
      <c r="V70" s="459"/>
      <c r="W70" s="459"/>
      <c r="X70" s="470">
        <f t="shared" si="9"/>
        <v>0</v>
      </c>
      <c r="Y70" s="601" t="s">
        <v>842</v>
      </c>
      <c r="Z70" s="458">
        <f t="shared" si="11"/>
        <v>0</v>
      </c>
      <c r="AA70" s="459">
        <v>0</v>
      </c>
      <c r="AB70" s="459">
        <v>0</v>
      </c>
      <c r="AC70" s="459">
        <v>0</v>
      </c>
      <c r="AD70" s="459">
        <v>0</v>
      </c>
      <c r="AE70" s="460">
        <f t="shared" si="12"/>
        <v>0</v>
      </c>
      <c r="AF70" s="322"/>
      <c r="AG70" s="431" t="str">
        <f>VLOOKUP(A70,'Feature Summary'!$A$7:$U$4055,21,FALSE)</f>
        <v>w6</v>
      </c>
      <c r="AH70" s="324"/>
      <c r="AI70" s="173"/>
    </row>
    <row r="71" spans="1:35" ht="43.7" hidden="1">
      <c r="A71" s="584" t="s">
        <v>461</v>
      </c>
      <c r="B71" s="584" t="s">
        <v>462</v>
      </c>
      <c r="C71" s="545"/>
      <c r="D71" s="546" t="s">
        <v>827</v>
      </c>
      <c r="E71" s="547"/>
      <c r="F71" s="551" t="s">
        <v>843</v>
      </c>
      <c r="G71" s="243" t="str">
        <f>VLOOKUP(A71,'Feature Summary'!$A$7:$C$4055,3,FALSE)</f>
        <v>P2</v>
      </c>
      <c r="H71" s="557" t="s">
        <v>844</v>
      </c>
      <c r="I71" s="429" t="s">
        <v>35</v>
      </c>
      <c r="J71" s="322"/>
      <c r="K71" s="561">
        <v>2</v>
      </c>
      <c r="L71" s="562">
        <v>12</v>
      </c>
      <c r="M71" s="562" t="s">
        <v>44</v>
      </c>
      <c r="N71" s="443">
        <v>1</v>
      </c>
      <c r="O71" s="562">
        <v>12</v>
      </c>
      <c r="P71" s="444">
        <f t="shared" si="10"/>
        <v>1</v>
      </c>
      <c r="Q71" s="429" t="s">
        <v>38</v>
      </c>
      <c r="R71" s="323">
        <v>12</v>
      </c>
      <c r="S71" s="469"/>
      <c r="T71" s="459"/>
      <c r="U71" s="459"/>
      <c r="V71" s="459"/>
      <c r="W71" s="459"/>
      <c r="X71" s="470"/>
      <c r="Y71" s="601" t="s">
        <v>845</v>
      </c>
      <c r="Z71" s="458"/>
      <c r="AA71" s="459"/>
      <c r="AB71" s="459"/>
      <c r="AC71" s="459"/>
      <c r="AD71" s="459"/>
      <c r="AE71" s="460"/>
      <c r="AF71" s="322"/>
      <c r="AG71" s="431"/>
      <c r="AH71" s="324"/>
      <c r="AI71" s="173"/>
    </row>
    <row r="72" spans="1:35" ht="43.7" hidden="1">
      <c r="A72" s="330" t="s">
        <v>846</v>
      </c>
      <c r="B72" s="544" t="s">
        <v>847</v>
      </c>
      <c r="C72" s="545"/>
      <c r="D72" s="546" t="s">
        <v>848</v>
      </c>
      <c r="E72" s="547"/>
      <c r="F72" s="552" t="s">
        <v>849</v>
      </c>
      <c r="G72" s="243" t="e">
        <f>VLOOKUP(A72,'Feature Summary'!$A$7:$C$4055,3,FALSE)</f>
        <v>#N/A</v>
      </c>
      <c r="H72" s="558" t="s">
        <v>850</v>
      </c>
      <c r="I72" s="429" t="s">
        <v>41</v>
      </c>
      <c r="J72" s="322"/>
      <c r="K72" s="561">
        <v>1</v>
      </c>
      <c r="L72" s="565">
        <v>215</v>
      </c>
      <c r="M72" s="565" t="s">
        <v>33</v>
      </c>
      <c r="N72" s="443">
        <v>1</v>
      </c>
      <c r="O72" s="566">
        <v>215</v>
      </c>
      <c r="P72" s="444">
        <f t="shared" si="10"/>
        <v>1</v>
      </c>
      <c r="Q72" s="429" t="s">
        <v>48</v>
      </c>
      <c r="R72" s="323">
        <v>215</v>
      </c>
      <c r="S72" s="469">
        <v>215</v>
      </c>
      <c r="T72" s="459">
        <v>206</v>
      </c>
      <c r="U72" s="459"/>
      <c r="V72" s="459"/>
      <c r="W72" s="459">
        <v>9</v>
      </c>
      <c r="X72" s="470">
        <f t="shared" si="9"/>
        <v>0.95813953488372094</v>
      </c>
      <c r="Y72" s="603" t="s">
        <v>851</v>
      </c>
      <c r="Z72" s="602">
        <f t="shared" si="11"/>
        <v>0</v>
      </c>
      <c r="AA72" s="459">
        <v>0</v>
      </c>
      <c r="AB72" s="459">
        <v>0</v>
      </c>
      <c r="AC72" s="459">
        <v>0</v>
      </c>
      <c r="AD72" s="459">
        <v>0</v>
      </c>
      <c r="AE72" s="460">
        <f t="shared" si="12"/>
        <v>0</v>
      </c>
      <c r="AF72" s="322"/>
      <c r="AG72" s="431" t="e">
        <f>VLOOKUP(A72,'Feature Summary'!$A$7:$U$4055,21,FALSE)</f>
        <v>#N/A</v>
      </c>
      <c r="AH72" s="324"/>
      <c r="AI72" s="173"/>
    </row>
    <row r="73" spans="1:35" ht="43.7" hidden="1">
      <c r="A73" s="330" t="s">
        <v>387</v>
      </c>
      <c r="B73" s="544" t="s">
        <v>388</v>
      </c>
      <c r="C73" s="545"/>
      <c r="D73" s="546" t="s">
        <v>848</v>
      </c>
      <c r="E73" s="547"/>
      <c r="F73" s="552" t="s">
        <v>852</v>
      </c>
      <c r="G73" s="243" t="str">
        <f>VLOOKUP(A73,'Feature Summary'!$A$7:$C$4055,3,FALSE)</f>
        <v>P2</v>
      </c>
      <c r="H73" s="558" t="s">
        <v>853</v>
      </c>
      <c r="I73" s="429" t="s">
        <v>41</v>
      </c>
      <c r="J73" s="322"/>
      <c r="K73" s="561">
        <v>1</v>
      </c>
      <c r="L73" s="565">
        <v>215</v>
      </c>
      <c r="M73" s="565" t="s">
        <v>33</v>
      </c>
      <c r="N73" s="443">
        <v>1</v>
      </c>
      <c r="O73" s="566">
        <v>215</v>
      </c>
      <c r="P73" s="444">
        <f t="shared" si="10"/>
        <v>1</v>
      </c>
      <c r="Q73" s="429" t="s">
        <v>48</v>
      </c>
      <c r="R73" s="323">
        <v>215</v>
      </c>
      <c r="S73" s="469">
        <v>215</v>
      </c>
      <c r="T73" s="459">
        <v>215</v>
      </c>
      <c r="U73" s="459"/>
      <c r="V73" s="459"/>
      <c r="W73" s="459"/>
      <c r="X73" s="470">
        <f t="shared" si="9"/>
        <v>1</v>
      </c>
      <c r="Y73" s="603" t="s">
        <v>854</v>
      </c>
      <c r="Z73" s="602">
        <f t="shared" si="11"/>
        <v>0</v>
      </c>
      <c r="AA73" s="459">
        <v>0</v>
      </c>
      <c r="AB73" s="459">
        <v>0</v>
      </c>
      <c r="AC73" s="459">
        <v>0</v>
      </c>
      <c r="AD73" s="459">
        <v>0</v>
      </c>
      <c r="AE73" s="460">
        <f t="shared" si="12"/>
        <v>0</v>
      </c>
      <c r="AF73" s="322"/>
      <c r="AG73" s="431" t="str">
        <f>VLOOKUP(A73,'Feature Summary'!$A$7:$U$4055,21,FALSE)</f>
        <v>w5</v>
      </c>
      <c r="AH73" s="324"/>
      <c r="AI73" s="173"/>
    </row>
    <row r="74" spans="1:35" ht="29.1" hidden="1">
      <c r="A74" s="330" t="s">
        <v>855</v>
      </c>
      <c r="B74" s="584" t="s">
        <v>856</v>
      </c>
      <c r="C74" s="545"/>
      <c r="D74" s="546" t="s">
        <v>848</v>
      </c>
      <c r="E74" s="547"/>
      <c r="F74" s="552" t="s">
        <v>857</v>
      </c>
      <c r="G74" s="243" t="e">
        <f>VLOOKUP(A74,'Feature Summary'!$A$7:$C$4055,3,FALSE)</f>
        <v>#N/A</v>
      </c>
      <c r="H74" s="552" t="s">
        <v>858</v>
      </c>
      <c r="I74" s="429" t="s">
        <v>41</v>
      </c>
      <c r="J74" s="322"/>
      <c r="K74" s="561">
        <v>1</v>
      </c>
      <c r="L74" s="565">
        <v>1</v>
      </c>
      <c r="M74" s="565" t="s">
        <v>33</v>
      </c>
      <c r="N74" s="443">
        <v>1</v>
      </c>
      <c r="O74" s="566">
        <v>1</v>
      </c>
      <c r="P74" s="444">
        <f t="shared" si="10"/>
        <v>1</v>
      </c>
      <c r="Q74" s="429" t="s">
        <v>47</v>
      </c>
      <c r="R74" s="323">
        <v>0</v>
      </c>
      <c r="S74" s="469"/>
      <c r="T74" s="459"/>
      <c r="U74" s="459"/>
      <c r="V74" s="459"/>
      <c r="W74" s="459"/>
      <c r="X74" s="470">
        <f t="shared" si="9"/>
        <v>0</v>
      </c>
      <c r="Y74" s="547"/>
      <c r="Z74" s="602">
        <f t="shared" si="11"/>
        <v>0</v>
      </c>
      <c r="AA74" s="459">
        <v>0</v>
      </c>
      <c r="AB74" s="459">
        <v>0</v>
      </c>
      <c r="AC74" s="459">
        <v>0</v>
      </c>
      <c r="AD74" s="459">
        <v>0</v>
      </c>
      <c r="AE74" s="460">
        <f t="shared" si="12"/>
        <v>0</v>
      </c>
      <c r="AF74" s="322"/>
      <c r="AG74" s="431" t="e">
        <f>VLOOKUP(A74,'Feature Summary'!$A$7:$U$4055,21,FALSE)</f>
        <v>#N/A</v>
      </c>
      <c r="AH74" s="324"/>
    </row>
    <row r="75" spans="1:35" ht="29.1" hidden="1">
      <c r="A75" s="330" t="s">
        <v>859</v>
      </c>
      <c r="B75" s="584" t="s">
        <v>860</v>
      </c>
      <c r="C75" s="545"/>
      <c r="D75" s="546" t="s">
        <v>848</v>
      </c>
      <c r="E75" s="547"/>
      <c r="F75" s="552" t="s">
        <v>861</v>
      </c>
      <c r="G75" s="243" t="e">
        <f>VLOOKUP(A75,'Feature Summary'!$A$7:$C$4055,3,FALSE)</f>
        <v>#N/A</v>
      </c>
      <c r="H75" s="558" t="s">
        <v>862</v>
      </c>
      <c r="I75" s="429" t="s">
        <v>41</v>
      </c>
      <c r="J75" s="322"/>
      <c r="K75" s="561">
        <v>1</v>
      </c>
      <c r="L75" s="565">
        <v>1</v>
      </c>
      <c r="M75" s="565" t="s">
        <v>33</v>
      </c>
      <c r="N75" s="443">
        <v>1</v>
      </c>
      <c r="O75" s="566">
        <v>1</v>
      </c>
      <c r="P75" s="444">
        <f t="shared" si="10"/>
        <v>1</v>
      </c>
      <c r="Q75" s="429" t="s">
        <v>38</v>
      </c>
      <c r="R75" s="323">
        <v>1</v>
      </c>
      <c r="S75" s="469">
        <v>1</v>
      </c>
      <c r="T75" s="459">
        <v>1</v>
      </c>
      <c r="U75" s="459"/>
      <c r="V75" s="459"/>
      <c r="W75" s="459"/>
      <c r="X75" s="470">
        <f t="shared" si="9"/>
        <v>1</v>
      </c>
      <c r="Y75" s="547"/>
      <c r="Z75" s="602">
        <f t="shared" si="11"/>
        <v>0</v>
      </c>
      <c r="AA75" s="459">
        <v>0</v>
      </c>
      <c r="AB75" s="459">
        <v>0</v>
      </c>
      <c r="AC75" s="459">
        <v>0</v>
      </c>
      <c r="AD75" s="459">
        <v>0</v>
      </c>
      <c r="AE75" s="460">
        <f t="shared" si="12"/>
        <v>0</v>
      </c>
      <c r="AF75" s="322"/>
      <c r="AG75" s="431" t="e">
        <f>VLOOKUP(A75,'Feature Summary'!$A$7:$U$4055,21,FALSE)</f>
        <v>#N/A</v>
      </c>
      <c r="AH75" s="324"/>
    </row>
    <row r="76" spans="1:35" ht="49.7" hidden="1">
      <c r="A76" s="598" t="s">
        <v>863</v>
      </c>
      <c r="B76" s="598" t="s">
        <v>864</v>
      </c>
      <c r="C76" s="545"/>
      <c r="D76" s="546" t="s">
        <v>848</v>
      </c>
      <c r="E76" s="547"/>
      <c r="F76" s="552" t="s">
        <v>865</v>
      </c>
      <c r="G76" s="243" t="e">
        <f>VLOOKUP(A76,'Feature Summary'!$A$7:$C$4055,3,FALSE)</f>
        <v>#N/A</v>
      </c>
      <c r="H76" s="558" t="s">
        <v>866</v>
      </c>
      <c r="I76" s="429" t="s">
        <v>41</v>
      </c>
      <c r="J76" s="322"/>
      <c r="K76" s="561">
        <v>1</v>
      </c>
      <c r="L76" s="565">
        <v>199</v>
      </c>
      <c r="M76" s="565" t="s">
        <v>33</v>
      </c>
      <c r="N76" s="443">
        <v>1</v>
      </c>
      <c r="O76" s="566">
        <v>199</v>
      </c>
      <c r="P76" s="444">
        <f t="shared" si="10"/>
        <v>1</v>
      </c>
      <c r="Q76" s="429" t="s">
        <v>48</v>
      </c>
      <c r="R76" s="323">
        <v>199</v>
      </c>
      <c r="S76" s="469">
        <v>199</v>
      </c>
      <c r="T76" s="459">
        <v>199</v>
      </c>
      <c r="U76" s="459"/>
      <c r="V76" s="459"/>
      <c r="W76" s="459"/>
      <c r="X76" s="470">
        <f t="shared" si="9"/>
        <v>1</v>
      </c>
      <c r="Y76" s="603" t="s">
        <v>867</v>
      </c>
      <c r="Z76" s="602">
        <f t="shared" si="11"/>
        <v>0</v>
      </c>
      <c r="AA76" s="459">
        <v>0</v>
      </c>
      <c r="AB76" s="459">
        <v>0</v>
      </c>
      <c r="AC76" s="459">
        <v>0</v>
      </c>
      <c r="AD76" s="459">
        <v>0</v>
      </c>
      <c r="AE76" s="460">
        <f t="shared" si="12"/>
        <v>0</v>
      </c>
      <c r="AF76" s="322"/>
      <c r="AG76" s="431" t="e">
        <f>VLOOKUP(A76,'Feature Summary'!$A$7:$U$4055,21,FALSE)</f>
        <v>#N/A</v>
      </c>
      <c r="AH76" s="324"/>
      <c r="AI76" s="173"/>
    </row>
    <row r="77" spans="1:35" hidden="1">
      <c r="A77" s="584" t="s">
        <v>367</v>
      </c>
      <c r="B77" s="584" t="s">
        <v>368</v>
      </c>
      <c r="C77" s="545"/>
      <c r="D77" s="546" t="s">
        <v>848</v>
      </c>
      <c r="E77" s="547"/>
      <c r="F77" s="552" t="s">
        <v>868</v>
      </c>
      <c r="G77" s="243" t="str">
        <f>VLOOKUP(A77,'Feature Summary'!$A$7:$C$4055,3,FALSE)</f>
        <v>P2</v>
      </c>
      <c r="H77" s="552" t="s">
        <v>869</v>
      </c>
      <c r="I77" s="429" t="s">
        <v>41</v>
      </c>
      <c r="J77" s="322"/>
      <c r="K77" s="561">
        <v>1</v>
      </c>
      <c r="L77" s="565">
        <v>3</v>
      </c>
      <c r="M77" s="565" t="s">
        <v>33</v>
      </c>
      <c r="N77" s="443">
        <v>1</v>
      </c>
      <c r="O77" s="566">
        <v>3</v>
      </c>
      <c r="P77" s="444">
        <f t="shared" si="10"/>
        <v>1</v>
      </c>
      <c r="Q77" s="429" t="s">
        <v>38</v>
      </c>
      <c r="R77" s="323">
        <v>1</v>
      </c>
      <c r="S77" s="469">
        <v>1</v>
      </c>
      <c r="T77" s="459"/>
      <c r="U77" s="459"/>
      <c r="V77" s="459">
        <v>1</v>
      </c>
      <c r="W77" s="459"/>
      <c r="X77" s="470">
        <f t="shared" si="9"/>
        <v>0</v>
      </c>
      <c r="Y77" s="430" t="s">
        <v>870</v>
      </c>
      <c r="Z77" s="458">
        <f t="shared" si="11"/>
        <v>0</v>
      </c>
      <c r="AA77" s="459">
        <v>0</v>
      </c>
      <c r="AB77" s="459">
        <v>0</v>
      </c>
      <c r="AC77" s="459">
        <v>0</v>
      </c>
      <c r="AD77" s="459">
        <v>0</v>
      </c>
      <c r="AE77" s="460">
        <f t="shared" si="12"/>
        <v>0</v>
      </c>
      <c r="AF77" s="322"/>
      <c r="AG77" s="431" t="str">
        <f>VLOOKUP(A77,'Feature Summary'!$A$7:$U$4055,21,FALSE)</f>
        <v>w4</v>
      </c>
      <c r="AH77" s="324"/>
    </row>
    <row r="78" spans="1:35" hidden="1">
      <c r="A78" s="584" t="s">
        <v>467</v>
      </c>
      <c r="B78" s="584" t="s">
        <v>468</v>
      </c>
      <c r="C78" s="545"/>
      <c r="D78" s="546" t="s">
        <v>848</v>
      </c>
      <c r="E78" s="547"/>
      <c r="F78" s="552" t="s">
        <v>871</v>
      </c>
      <c r="G78" s="243" t="str">
        <f>VLOOKUP(A78,'Feature Summary'!$A$7:$C$4055,3,FALSE)</f>
        <v>P2</v>
      </c>
      <c r="H78" s="558" t="s">
        <v>872</v>
      </c>
      <c r="I78" s="429" t="s">
        <v>41</v>
      </c>
      <c r="J78" s="322"/>
      <c r="K78" s="561">
        <v>1</v>
      </c>
      <c r="L78" s="565">
        <v>2</v>
      </c>
      <c r="M78" s="565" t="s">
        <v>33</v>
      </c>
      <c r="N78" s="443">
        <v>1</v>
      </c>
      <c r="O78" s="566">
        <v>2</v>
      </c>
      <c r="P78" s="444">
        <f t="shared" si="10"/>
        <v>1</v>
      </c>
      <c r="Q78" s="429" t="s">
        <v>38</v>
      </c>
      <c r="R78" s="323">
        <v>1</v>
      </c>
      <c r="S78" s="469">
        <v>1</v>
      </c>
      <c r="T78" s="459"/>
      <c r="U78" s="459"/>
      <c r="V78" s="459">
        <v>1</v>
      </c>
      <c r="W78" s="459"/>
      <c r="X78" s="470">
        <f t="shared" si="9"/>
        <v>0</v>
      </c>
      <c r="Y78" s="430" t="s">
        <v>873</v>
      </c>
      <c r="Z78" s="458">
        <f t="shared" si="11"/>
        <v>0</v>
      </c>
      <c r="AA78" s="459">
        <v>0</v>
      </c>
      <c r="AB78" s="459">
        <v>0</v>
      </c>
      <c r="AC78" s="459">
        <v>0</v>
      </c>
      <c r="AD78" s="459">
        <v>0</v>
      </c>
      <c r="AE78" s="460">
        <f t="shared" si="12"/>
        <v>0</v>
      </c>
      <c r="AF78" s="322"/>
      <c r="AG78" s="431" t="str">
        <f>VLOOKUP(A78,'Feature Summary'!$A$7:$U$4055,21,FALSE)</f>
        <v>w5</v>
      </c>
      <c r="AH78" s="324"/>
    </row>
    <row r="79" spans="1:35" hidden="1">
      <c r="A79" s="584" t="s">
        <v>874</v>
      </c>
      <c r="B79" s="584" t="s">
        <v>875</v>
      </c>
      <c r="C79" s="545"/>
      <c r="D79" s="546" t="s">
        <v>848</v>
      </c>
      <c r="E79" s="547"/>
      <c r="F79" s="552" t="s">
        <v>876</v>
      </c>
      <c r="G79" s="243" t="e">
        <f>VLOOKUP(A79,'Feature Summary'!$A$7:$C$4055,3,FALSE)</f>
        <v>#N/A</v>
      </c>
      <c r="H79" s="558" t="s">
        <v>877</v>
      </c>
      <c r="I79" s="429" t="s">
        <v>41</v>
      </c>
      <c r="J79" s="322"/>
      <c r="K79" s="561">
        <v>1</v>
      </c>
      <c r="L79" s="565">
        <v>2</v>
      </c>
      <c r="M79" s="565" t="s">
        <v>33</v>
      </c>
      <c r="N79" s="443">
        <v>1</v>
      </c>
      <c r="O79" s="566">
        <v>2</v>
      </c>
      <c r="P79" s="444">
        <f t="shared" si="10"/>
        <v>1</v>
      </c>
      <c r="Q79" s="429" t="s">
        <v>38</v>
      </c>
      <c r="R79" s="323">
        <v>1</v>
      </c>
      <c r="S79" s="469">
        <v>1</v>
      </c>
      <c r="T79" s="459"/>
      <c r="U79" s="459"/>
      <c r="V79" s="459">
        <v>1</v>
      </c>
      <c r="W79" s="459"/>
      <c r="X79" s="470">
        <f t="shared" si="9"/>
        <v>0</v>
      </c>
      <c r="Y79" s="430" t="s">
        <v>878</v>
      </c>
      <c r="Z79" s="458">
        <f t="shared" si="11"/>
        <v>0</v>
      </c>
      <c r="AA79" s="459">
        <v>0</v>
      </c>
      <c r="AB79" s="459">
        <v>0</v>
      </c>
      <c r="AC79" s="459">
        <v>0</v>
      </c>
      <c r="AD79" s="459">
        <v>0</v>
      </c>
      <c r="AE79" s="460">
        <f t="shared" si="12"/>
        <v>0</v>
      </c>
      <c r="AF79" s="322"/>
      <c r="AG79" s="431" t="e">
        <f>VLOOKUP(A79,'Feature Summary'!$A$7:$U$4055,21,FALSE)</f>
        <v>#N/A</v>
      </c>
      <c r="AH79" s="324"/>
    </row>
    <row r="80" spans="1:35" ht="58.35" hidden="1">
      <c r="A80" s="330" t="s">
        <v>879</v>
      </c>
      <c r="B80" s="544" t="s">
        <v>880</v>
      </c>
      <c r="C80" s="545"/>
      <c r="D80" s="546" t="s">
        <v>848</v>
      </c>
      <c r="E80" s="547"/>
      <c r="F80" s="552" t="s">
        <v>881</v>
      </c>
      <c r="G80" s="243" t="e">
        <f>VLOOKUP(A80,'Feature Summary'!$A$7:$C$4055,3,FALSE)</f>
        <v>#N/A</v>
      </c>
      <c r="H80" s="558" t="s">
        <v>882</v>
      </c>
      <c r="I80" s="429" t="s">
        <v>41</v>
      </c>
      <c r="J80" s="322"/>
      <c r="K80" s="561">
        <v>1</v>
      </c>
      <c r="L80" s="565">
        <v>16</v>
      </c>
      <c r="M80" s="565" t="s">
        <v>33</v>
      </c>
      <c r="N80" s="443">
        <v>1</v>
      </c>
      <c r="O80" s="566">
        <v>16</v>
      </c>
      <c r="P80" s="444">
        <f t="shared" si="10"/>
        <v>1</v>
      </c>
      <c r="Q80" s="429" t="s">
        <v>38</v>
      </c>
      <c r="R80" s="323">
        <v>1</v>
      </c>
      <c r="S80" s="469">
        <v>1</v>
      </c>
      <c r="T80" s="459">
        <v>1</v>
      </c>
      <c r="U80" s="459"/>
      <c r="V80" s="459"/>
      <c r="W80" s="459"/>
      <c r="X80" s="470">
        <f t="shared" si="9"/>
        <v>1</v>
      </c>
      <c r="Y80" s="430"/>
      <c r="Z80" s="458">
        <f t="shared" si="11"/>
        <v>0</v>
      </c>
      <c r="AA80" s="459">
        <v>0</v>
      </c>
      <c r="AB80" s="459">
        <v>0</v>
      </c>
      <c r="AC80" s="459">
        <v>0</v>
      </c>
      <c r="AD80" s="459">
        <v>0</v>
      </c>
      <c r="AE80" s="460">
        <f t="shared" si="12"/>
        <v>0</v>
      </c>
      <c r="AF80" s="322"/>
      <c r="AG80" s="431" t="e">
        <f>VLOOKUP(A80,'Feature Summary'!$A$7:$U$4055,21,FALSE)</f>
        <v>#N/A</v>
      </c>
      <c r="AH80" s="324"/>
    </row>
    <row r="81" spans="1:34" ht="58.35" hidden="1">
      <c r="A81" s="330" t="s">
        <v>825</v>
      </c>
      <c r="B81" s="544" t="s">
        <v>826</v>
      </c>
      <c r="C81" s="545"/>
      <c r="D81" s="546" t="s">
        <v>848</v>
      </c>
      <c r="E81" s="547"/>
      <c r="F81" s="545" t="s">
        <v>883</v>
      </c>
      <c r="G81" s="243" t="e">
        <f>VLOOKUP(A81,'Feature Summary'!$A$7:$C$4055,3,FALSE)</f>
        <v>#N/A</v>
      </c>
      <c r="H81" s="557" t="s">
        <v>884</v>
      </c>
      <c r="I81" s="429" t="s">
        <v>41</v>
      </c>
      <c r="J81" s="322"/>
      <c r="K81" s="561">
        <v>1</v>
      </c>
      <c r="L81" s="562">
        <v>16</v>
      </c>
      <c r="M81" s="562" t="s">
        <v>33</v>
      </c>
      <c r="N81" s="443">
        <v>1</v>
      </c>
      <c r="O81" s="562">
        <v>16</v>
      </c>
      <c r="P81" s="444">
        <f t="shared" si="10"/>
        <v>1</v>
      </c>
      <c r="Q81" s="429" t="s">
        <v>38</v>
      </c>
      <c r="R81" s="323">
        <v>1</v>
      </c>
      <c r="S81" s="469"/>
      <c r="T81" s="459"/>
      <c r="U81" s="459"/>
      <c r="V81" s="459"/>
      <c r="W81" s="459"/>
      <c r="X81" s="470">
        <f t="shared" si="9"/>
        <v>0</v>
      </c>
      <c r="Y81" s="430"/>
      <c r="Z81" s="458">
        <f t="shared" si="11"/>
        <v>0</v>
      </c>
      <c r="AA81" s="459">
        <v>0</v>
      </c>
      <c r="AB81" s="459">
        <v>0</v>
      </c>
      <c r="AC81" s="459">
        <v>0</v>
      </c>
      <c r="AD81" s="459">
        <v>0</v>
      </c>
      <c r="AE81" s="460">
        <f t="shared" si="12"/>
        <v>0</v>
      </c>
      <c r="AF81" s="322"/>
      <c r="AG81" s="431" t="e">
        <f>VLOOKUP(A81,'Feature Summary'!$A$7:$U$4055,21,FALSE)</f>
        <v>#N/A</v>
      </c>
      <c r="AH81" s="324"/>
    </row>
    <row r="82" spans="1:34" ht="58.35" hidden="1">
      <c r="A82" s="330" t="s">
        <v>885</v>
      </c>
      <c r="B82" s="544" t="s">
        <v>886</v>
      </c>
      <c r="C82" s="545"/>
      <c r="D82" s="546" t="s">
        <v>848</v>
      </c>
      <c r="E82" s="547"/>
      <c r="F82" s="552" t="s">
        <v>887</v>
      </c>
      <c r="G82" s="243" t="e">
        <f>VLOOKUP(A82,'Feature Summary'!$A$7:$C$4055,3,FALSE)</f>
        <v>#N/A</v>
      </c>
      <c r="H82" s="558" t="s">
        <v>888</v>
      </c>
      <c r="I82" s="429" t="s">
        <v>41</v>
      </c>
      <c r="J82" s="322"/>
      <c r="K82" s="561">
        <v>1</v>
      </c>
      <c r="L82" s="565">
        <v>2</v>
      </c>
      <c r="M82" s="565" t="s">
        <v>33</v>
      </c>
      <c r="N82" s="443">
        <v>1</v>
      </c>
      <c r="O82" s="566">
        <v>2</v>
      </c>
      <c r="P82" s="444">
        <f t="shared" si="10"/>
        <v>1</v>
      </c>
      <c r="Q82" s="429" t="s">
        <v>38</v>
      </c>
      <c r="R82" s="323">
        <v>1</v>
      </c>
      <c r="S82" s="469">
        <v>1</v>
      </c>
      <c r="T82" s="459"/>
      <c r="U82" s="459"/>
      <c r="V82" s="459">
        <v>1</v>
      </c>
      <c r="W82" s="459"/>
      <c r="X82" s="470">
        <f t="shared" si="9"/>
        <v>0</v>
      </c>
      <c r="Y82" s="430" t="s">
        <v>889</v>
      </c>
      <c r="Z82" s="458">
        <f t="shared" si="11"/>
        <v>0</v>
      </c>
      <c r="AA82" s="459">
        <v>0</v>
      </c>
      <c r="AB82" s="459">
        <v>0</v>
      </c>
      <c r="AC82" s="459">
        <v>0</v>
      </c>
      <c r="AD82" s="459">
        <v>0</v>
      </c>
      <c r="AE82" s="460">
        <f t="shared" si="12"/>
        <v>0</v>
      </c>
      <c r="AF82" s="322"/>
      <c r="AG82" s="431" t="e">
        <f>VLOOKUP(A82,'Feature Summary'!$A$7:$U$4055,21,FALSE)</f>
        <v>#N/A</v>
      </c>
      <c r="AH82" s="324"/>
    </row>
    <row r="83" spans="1:34" ht="58.35" hidden="1">
      <c r="A83" s="330" t="s">
        <v>890</v>
      </c>
      <c r="B83" s="544" t="s">
        <v>891</v>
      </c>
      <c r="C83" s="545"/>
      <c r="D83" s="546" t="s">
        <v>848</v>
      </c>
      <c r="E83" s="547"/>
      <c r="F83" s="552" t="s">
        <v>892</v>
      </c>
      <c r="G83" s="243" t="e">
        <f>VLOOKUP(A83,'Feature Summary'!$A$7:$C$4055,3,FALSE)</f>
        <v>#N/A</v>
      </c>
      <c r="H83" s="552" t="s">
        <v>893</v>
      </c>
      <c r="I83" s="429" t="s">
        <v>41</v>
      </c>
      <c r="J83" s="322"/>
      <c r="K83" s="561">
        <v>1</v>
      </c>
      <c r="L83" s="565">
        <v>1</v>
      </c>
      <c r="M83" s="565" t="s">
        <v>33</v>
      </c>
      <c r="N83" s="443">
        <v>1</v>
      </c>
      <c r="O83" s="566">
        <v>1</v>
      </c>
      <c r="P83" s="444">
        <f t="shared" si="10"/>
        <v>1</v>
      </c>
      <c r="Q83" s="429" t="s">
        <v>38</v>
      </c>
      <c r="R83" s="323">
        <v>1</v>
      </c>
      <c r="S83" s="469"/>
      <c r="T83" s="459"/>
      <c r="U83" s="459"/>
      <c r="V83" s="459"/>
      <c r="W83" s="459"/>
      <c r="X83" s="470">
        <f t="shared" si="9"/>
        <v>0</v>
      </c>
      <c r="Y83" s="430"/>
      <c r="Z83" s="458">
        <f t="shared" si="11"/>
        <v>0</v>
      </c>
      <c r="AA83" s="459">
        <v>0</v>
      </c>
      <c r="AB83" s="459">
        <v>0</v>
      </c>
      <c r="AC83" s="459">
        <v>0</v>
      </c>
      <c r="AD83" s="459">
        <v>0</v>
      </c>
      <c r="AE83" s="460">
        <f t="shared" si="12"/>
        <v>0</v>
      </c>
      <c r="AF83" s="322"/>
      <c r="AG83" s="431" t="e">
        <f>VLOOKUP(A83,'Feature Summary'!$A$7:$U$4055,21,FALSE)</f>
        <v>#N/A</v>
      </c>
      <c r="AH83" s="324"/>
    </row>
    <row r="84" spans="1:34" ht="58.35" hidden="1">
      <c r="A84" s="330" t="s">
        <v>894</v>
      </c>
      <c r="B84" s="544" t="s">
        <v>895</v>
      </c>
      <c r="C84" s="545"/>
      <c r="D84" s="546" t="s">
        <v>848</v>
      </c>
      <c r="E84" s="547"/>
      <c r="F84" s="552" t="s">
        <v>896</v>
      </c>
      <c r="G84" s="243" t="e">
        <f>VLOOKUP(A84,'Feature Summary'!$A$7:$C$4055,3,FALSE)</f>
        <v>#N/A</v>
      </c>
      <c r="H84" s="552" t="s">
        <v>897</v>
      </c>
      <c r="I84" s="429" t="s">
        <v>41</v>
      </c>
      <c r="J84" s="322"/>
      <c r="K84" s="561">
        <v>1</v>
      </c>
      <c r="L84" s="565">
        <v>1</v>
      </c>
      <c r="M84" s="565" t="s">
        <v>33</v>
      </c>
      <c r="N84" s="443">
        <v>1</v>
      </c>
      <c r="O84" s="566">
        <v>1</v>
      </c>
      <c r="P84" s="444">
        <f t="shared" si="10"/>
        <v>1</v>
      </c>
      <c r="Q84" s="429" t="s">
        <v>38</v>
      </c>
      <c r="R84" s="323">
        <v>1</v>
      </c>
      <c r="S84" s="469"/>
      <c r="T84" s="459"/>
      <c r="U84" s="459"/>
      <c r="V84" s="459"/>
      <c r="W84" s="459"/>
      <c r="X84" s="470">
        <f t="shared" si="9"/>
        <v>0</v>
      </c>
      <c r="Y84" s="430"/>
      <c r="Z84" s="458">
        <f t="shared" si="11"/>
        <v>0</v>
      </c>
      <c r="AA84" s="459">
        <v>0</v>
      </c>
      <c r="AB84" s="459">
        <v>0</v>
      </c>
      <c r="AC84" s="459">
        <v>0</v>
      </c>
      <c r="AD84" s="459">
        <v>0</v>
      </c>
      <c r="AE84" s="460">
        <f t="shared" si="12"/>
        <v>0</v>
      </c>
      <c r="AF84" s="322"/>
      <c r="AG84" s="431" t="e">
        <f>VLOOKUP(A84,'Feature Summary'!$A$7:$U$4055,21,FALSE)</f>
        <v>#N/A</v>
      </c>
      <c r="AH84" s="324"/>
    </row>
    <row r="85" spans="1:34" ht="58.35" hidden="1">
      <c r="A85" s="330" t="s">
        <v>894</v>
      </c>
      <c r="B85" s="544" t="s">
        <v>895</v>
      </c>
      <c r="C85" s="545"/>
      <c r="D85" s="546" t="s">
        <v>848</v>
      </c>
      <c r="E85" s="547"/>
      <c r="F85" s="552" t="s">
        <v>898</v>
      </c>
      <c r="G85" s="243" t="e">
        <f>VLOOKUP(A85,'Feature Summary'!$A$7:$C$4055,3,FALSE)</f>
        <v>#N/A</v>
      </c>
      <c r="H85" s="552" t="s">
        <v>899</v>
      </c>
      <c r="I85" s="429" t="s">
        <v>41</v>
      </c>
      <c r="J85" s="322"/>
      <c r="K85" s="561">
        <v>1</v>
      </c>
      <c r="L85" s="565">
        <v>1</v>
      </c>
      <c r="M85" s="565" t="s">
        <v>33</v>
      </c>
      <c r="N85" s="443">
        <v>1</v>
      </c>
      <c r="O85" s="566">
        <v>1</v>
      </c>
      <c r="P85" s="444">
        <f t="shared" si="10"/>
        <v>1</v>
      </c>
      <c r="Q85" s="429" t="s">
        <v>38</v>
      </c>
      <c r="R85" s="323">
        <v>1</v>
      </c>
      <c r="S85" s="469"/>
      <c r="T85" s="459"/>
      <c r="U85" s="459"/>
      <c r="V85" s="459"/>
      <c r="W85" s="459"/>
      <c r="X85" s="470">
        <f t="shared" si="9"/>
        <v>0</v>
      </c>
      <c r="Y85" s="430"/>
      <c r="Z85" s="458">
        <f t="shared" si="11"/>
        <v>0</v>
      </c>
      <c r="AA85" s="459">
        <v>0</v>
      </c>
      <c r="AB85" s="459">
        <v>0</v>
      </c>
      <c r="AC85" s="459">
        <v>0</v>
      </c>
      <c r="AD85" s="459">
        <v>0</v>
      </c>
      <c r="AE85" s="460">
        <f t="shared" si="12"/>
        <v>0</v>
      </c>
      <c r="AF85" s="322"/>
      <c r="AG85" s="431" t="e">
        <f>VLOOKUP(A85,'Feature Summary'!$A$7:$U$4055,21,FALSE)</f>
        <v>#N/A</v>
      </c>
      <c r="AH85" s="324"/>
    </row>
    <row r="86" spans="1:34" hidden="1">
      <c r="A86" s="584" t="s">
        <v>471</v>
      </c>
      <c r="B86" s="584" t="s">
        <v>472</v>
      </c>
      <c r="C86" s="545"/>
      <c r="D86" s="546" t="s">
        <v>848</v>
      </c>
      <c r="E86" s="547"/>
      <c r="F86" s="552" t="s">
        <v>900</v>
      </c>
      <c r="G86" s="243" t="str">
        <f>VLOOKUP(A86,'Feature Summary'!$A$7:$C$4055,3,FALSE)</f>
        <v>P2</v>
      </c>
      <c r="H86" s="558" t="s">
        <v>901</v>
      </c>
      <c r="I86" s="429" t="s">
        <v>41</v>
      </c>
      <c r="J86" s="322"/>
      <c r="K86" s="561">
        <v>1</v>
      </c>
      <c r="L86" s="565">
        <v>2</v>
      </c>
      <c r="M86" s="565" t="s">
        <v>33</v>
      </c>
      <c r="N86" s="443">
        <v>1</v>
      </c>
      <c r="O86" s="566">
        <v>2</v>
      </c>
      <c r="P86" s="444">
        <f t="shared" si="10"/>
        <v>1</v>
      </c>
      <c r="Q86" s="429" t="s">
        <v>48</v>
      </c>
      <c r="R86" s="323">
        <v>2</v>
      </c>
      <c r="S86" s="469"/>
      <c r="T86" s="459"/>
      <c r="U86" s="459"/>
      <c r="V86" s="459"/>
      <c r="W86" s="459"/>
      <c r="X86" s="470">
        <f t="shared" si="9"/>
        <v>0</v>
      </c>
      <c r="Y86" s="430"/>
      <c r="Z86" s="458">
        <f t="shared" si="11"/>
        <v>0</v>
      </c>
      <c r="AA86" s="459">
        <v>0</v>
      </c>
      <c r="AB86" s="459">
        <v>0</v>
      </c>
      <c r="AC86" s="459">
        <v>0</v>
      </c>
      <c r="AD86" s="459">
        <v>0</v>
      </c>
      <c r="AE86" s="460">
        <f t="shared" si="12"/>
        <v>0</v>
      </c>
      <c r="AF86" s="322"/>
      <c r="AG86" s="431" t="str">
        <f>VLOOKUP(A86,'Feature Summary'!$A$7:$U$4055,21,FALSE)</f>
        <v>w4</v>
      </c>
      <c r="AH86" s="324"/>
    </row>
    <row r="87" spans="1:34" hidden="1">
      <c r="A87" s="584" t="s">
        <v>471</v>
      </c>
      <c r="B87" s="584" t="s">
        <v>472</v>
      </c>
      <c r="C87" s="545"/>
      <c r="D87" s="546" t="s">
        <v>848</v>
      </c>
      <c r="E87" s="547"/>
      <c r="F87" s="552" t="s">
        <v>902</v>
      </c>
      <c r="G87" s="243" t="str">
        <f>VLOOKUP(A87,'Feature Summary'!$A$7:$C$4055,3,FALSE)</f>
        <v>P2</v>
      </c>
      <c r="H87" s="558" t="s">
        <v>903</v>
      </c>
      <c r="I87" s="429" t="s">
        <v>41</v>
      </c>
      <c r="J87" s="322"/>
      <c r="K87" s="561">
        <v>1</v>
      </c>
      <c r="L87" s="565">
        <v>1</v>
      </c>
      <c r="M87" s="565" t="s">
        <v>33</v>
      </c>
      <c r="N87" s="443">
        <v>1</v>
      </c>
      <c r="O87" s="566">
        <v>1</v>
      </c>
      <c r="P87" s="444">
        <f t="shared" si="10"/>
        <v>1</v>
      </c>
      <c r="Q87" s="429" t="s">
        <v>48</v>
      </c>
      <c r="R87" s="323">
        <v>1</v>
      </c>
      <c r="S87" s="469"/>
      <c r="T87" s="459"/>
      <c r="U87" s="459"/>
      <c r="V87" s="459"/>
      <c r="W87" s="459"/>
      <c r="X87" s="470">
        <f t="shared" si="9"/>
        <v>0</v>
      </c>
      <c r="Y87" s="430"/>
      <c r="Z87" s="458">
        <f t="shared" si="11"/>
        <v>0</v>
      </c>
      <c r="AA87" s="459">
        <v>0</v>
      </c>
      <c r="AB87" s="459">
        <v>0</v>
      </c>
      <c r="AC87" s="459">
        <v>0</v>
      </c>
      <c r="AD87" s="459">
        <v>0</v>
      </c>
      <c r="AE87" s="460">
        <f t="shared" si="12"/>
        <v>0</v>
      </c>
      <c r="AF87" s="322"/>
      <c r="AG87" s="431" t="str">
        <f>VLOOKUP(A87,'Feature Summary'!$A$7:$U$4055,21,FALSE)</f>
        <v>w4</v>
      </c>
      <c r="AH87" s="324"/>
    </row>
    <row r="88" spans="1:34" ht="74.650000000000006" hidden="1">
      <c r="A88" s="598" t="s">
        <v>904</v>
      </c>
      <c r="B88" s="598" t="s">
        <v>905</v>
      </c>
      <c r="C88" s="545"/>
      <c r="D88" s="546" t="s">
        <v>257</v>
      </c>
      <c r="E88" s="547"/>
      <c r="F88" s="554" t="s">
        <v>906</v>
      </c>
      <c r="G88" s="243" t="e">
        <f>VLOOKUP(A88,'Feature Summary'!$A$7:$C$4055,3,FALSE)</f>
        <v>#N/A</v>
      </c>
      <c r="H88" s="559" t="s">
        <v>907</v>
      </c>
      <c r="I88" s="429" t="s">
        <v>41</v>
      </c>
      <c r="J88" s="322"/>
      <c r="K88" s="561">
        <v>1</v>
      </c>
      <c r="L88" s="567">
        <v>6</v>
      </c>
      <c r="M88" s="567" t="s">
        <v>33</v>
      </c>
      <c r="N88" s="443">
        <v>1</v>
      </c>
      <c r="O88" s="567">
        <v>6</v>
      </c>
      <c r="P88" s="444">
        <f t="shared" si="10"/>
        <v>1</v>
      </c>
      <c r="Q88" s="429" t="s">
        <v>48</v>
      </c>
      <c r="R88" s="323">
        <v>6</v>
      </c>
      <c r="S88" s="469"/>
      <c r="T88" s="459"/>
      <c r="U88" s="459"/>
      <c r="V88" s="459"/>
      <c r="W88" s="459"/>
      <c r="X88" s="470">
        <f t="shared" si="9"/>
        <v>0</v>
      </c>
      <c r="Y88" s="430"/>
      <c r="Z88" s="458">
        <f t="shared" si="11"/>
        <v>0</v>
      </c>
      <c r="AA88" s="459">
        <v>0</v>
      </c>
      <c r="AB88" s="459">
        <v>0</v>
      </c>
      <c r="AC88" s="459">
        <v>0</v>
      </c>
      <c r="AD88" s="459">
        <v>0</v>
      </c>
      <c r="AE88" s="460">
        <f t="shared" si="12"/>
        <v>0</v>
      </c>
      <c r="AF88" s="322"/>
      <c r="AG88" s="431" t="e">
        <f>VLOOKUP(A88,'Feature Summary'!$A$7:$U$4055,21,FALSE)</f>
        <v>#N/A</v>
      </c>
      <c r="AH88" s="324"/>
    </row>
    <row r="89" spans="1:34" ht="102" hidden="1">
      <c r="A89" s="330" t="s">
        <v>908</v>
      </c>
      <c r="B89" s="553" t="s">
        <v>909</v>
      </c>
      <c r="C89" s="545"/>
      <c r="D89" s="546" t="s">
        <v>257</v>
      </c>
      <c r="E89" s="547"/>
      <c r="F89" s="554" t="s">
        <v>910</v>
      </c>
      <c r="G89" s="243" t="e">
        <f>VLOOKUP(A89,'Feature Summary'!$A$7:$C$4055,3,FALSE)</f>
        <v>#N/A</v>
      </c>
      <c r="H89" s="560" t="s">
        <v>911</v>
      </c>
      <c r="I89" s="429" t="s">
        <v>35</v>
      </c>
      <c r="J89" s="322"/>
      <c r="K89" s="561">
        <v>1</v>
      </c>
      <c r="L89" s="567">
        <v>7</v>
      </c>
      <c r="M89" s="567" t="s">
        <v>33</v>
      </c>
      <c r="N89" s="443">
        <v>1</v>
      </c>
      <c r="O89" s="567">
        <v>7</v>
      </c>
      <c r="P89" s="444">
        <f t="shared" si="10"/>
        <v>1</v>
      </c>
      <c r="Q89" s="429" t="s">
        <v>48</v>
      </c>
      <c r="R89" s="323">
        <v>7</v>
      </c>
      <c r="S89" s="469">
        <v>7</v>
      </c>
      <c r="T89" s="459">
        <v>7</v>
      </c>
      <c r="U89" s="459"/>
      <c r="V89" s="459"/>
      <c r="W89" s="459"/>
      <c r="X89" s="470">
        <f t="shared" si="9"/>
        <v>1</v>
      </c>
      <c r="Y89" s="430"/>
      <c r="Z89" s="458">
        <f t="shared" si="11"/>
        <v>0</v>
      </c>
      <c r="AA89" s="459">
        <v>0</v>
      </c>
      <c r="AB89" s="459">
        <v>0</v>
      </c>
      <c r="AC89" s="459">
        <v>0</v>
      </c>
      <c r="AD89" s="459">
        <v>0</v>
      </c>
      <c r="AE89" s="460">
        <f t="shared" si="12"/>
        <v>0</v>
      </c>
      <c r="AF89" s="322"/>
      <c r="AG89" s="431" t="e">
        <f>VLOOKUP(A89,'Feature Summary'!$A$7:$U$4055,21,FALSE)</f>
        <v>#N/A</v>
      </c>
      <c r="AH89" s="324"/>
    </row>
    <row r="90" spans="1:34" ht="29.1" hidden="1">
      <c r="A90" s="330" t="s">
        <v>475</v>
      </c>
      <c r="B90" s="553" t="s">
        <v>476</v>
      </c>
      <c r="C90" s="545"/>
      <c r="D90" s="546" t="s">
        <v>257</v>
      </c>
      <c r="E90" s="547"/>
      <c r="F90" s="554" t="s">
        <v>912</v>
      </c>
      <c r="G90" s="243" t="str">
        <f>VLOOKUP(A90,'Feature Summary'!$A$7:$C$4055,3,FALSE)</f>
        <v>P2</v>
      </c>
      <c r="H90" s="560" t="s">
        <v>913</v>
      </c>
      <c r="I90" s="429" t="s">
        <v>41</v>
      </c>
      <c r="J90" s="322"/>
      <c r="K90" s="561">
        <v>1</v>
      </c>
      <c r="L90" s="567">
        <v>6</v>
      </c>
      <c r="M90" s="567" t="s">
        <v>33</v>
      </c>
      <c r="N90" s="443">
        <v>1</v>
      </c>
      <c r="O90" s="567">
        <v>6</v>
      </c>
      <c r="P90" s="444">
        <f t="shared" si="10"/>
        <v>1</v>
      </c>
      <c r="Q90" s="429" t="s">
        <v>48</v>
      </c>
      <c r="R90" s="323">
        <v>6</v>
      </c>
      <c r="S90" s="469">
        <v>6</v>
      </c>
      <c r="T90" s="459">
        <v>6</v>
      </c>
      <c r="U90" s="459"/>
      <c r="V90" s="459"/>
      <c r="W90" s="459"/>
      <c r="X90" s="470">
        <f t="shared" si="9"/>
        <v>1</v>
      </c>
      <c r="Y90" s="430"/>
      <c r="Z90" s="458">
        <f t="shared" si="11"/>
        <v>0</v>
      </c>
      <c r="AA90" s="459">
        <v>0</v>
      </c>
      <c r="AB90" s="459">
        <v>0</v>
      </c>
      <c r="AC90" s="459">
        <v>0</v>
      </c>
      <c r="AD90" s="459">
        <v>0</v>
      </c>
      <c r="AE90" s="460">
        <f t="shared" si="12"/>
        <v>0</v>
      </c>
      <c r="AF90" s="322"/>
      <c r="AG90" s="431" t="str">
        <f>VLOOKUP(A90,'Feature Summary'!$A$7:$U$4055,21,FALSE)</f>
        <v>w7</v>
      </c>
      <c r="AH90" s="324"/>
    </row>
    <row r="91" spans="1:34" ht="29.1" hidden="1">
      <c r="A91" s="330" t="s">
        <v>475</v>
      </c>
      <c r="B91" s="553" t="s">
        <v>476</v>
      </c>
      <c r="C91" s="545"/>
      <c r="D91" s="546" t="s">
        <v>257</v>
      </c>
      <c r="E91" s="547"/>
      <c r="F91" s="554" t="s">
        <v>914</v>
      </c>
      <c r="G91" s="243" t="str">
        <f>VLOOKUP(A91,'Feature Summary'!$A$7:$C$4055,3,FALSE)</f>
        <v>P2</v>
      </c>
      <c r="H91" s="560" t="s">
        <v>915</v>
      </c>
      <c r="I91" s="429" t="s">
        <v>41</v>
      </c>
      <c r="J91" s="322"/>
      <c r="K91" s="561">
        <v>1</v>
      </c>
      <c r="L91" s="567">
        <v>116</v>
      </c>
      <c r="M91" s="567" t="s">
        <v>33</v>
      </c>
      <c r="N91" s="443">
        <v>1</v>
      </c>
      <c r="O91" s="567">
        <v>116</v>
      </c>
      <c r="P91" s="444">
        <f t="shared" si="10"/>
        <v>1</v>
      </c>
      <c r="Q91" s="429" t="s">
        <v>48</v>
      </c>
      <c r="R91" s="323">
        <v>116</v>
      </c>
      <c r="S91" s="469">
        <v>116</v>
      </c>
      <c r="T91" s="459">
        <v>114</v>
      </c>
      <c r="U91" s="459"/>
      <c r="V91" s="459">
        <v>2</v>
      </c>
      <c r="W91" s="459"/>
      <c r="X91" s="470">
        <f t="shared" si="9"/>
        <v>0.98275862068965514</v>
      </c>
      <c r="Y91" s="430"/>
      <c r="Z91" s="458">
        <f t="shared" si="11"/>
        <v>0</v>
      </c>
      <c r="AA91" s="459">
        <v>0</v>
      </c>
      <c r="AB91" s="459">
        <v>0</v>
      </c>
      <c r="AC91" s="459">
        <v>0</v>
      </c>
      <c r="AD91" s="459">
        <v>0</v>
      </c>
      <c r="AE91" s="460">
        <f t="shared" si="12"/>
        <v>0</v>
      </c>
      <c r="AF91" s="322"/>
      <c r="AG91" s="431" t="str">
        <f>VLOOKUP(A91,'Feature Summary'!$A$7:$U$4055,21,FALSE)</f>
        <v>w7</v>
      </c>
      <c r="AH91" s="324"/>
    </row>
    <row r="92" spans="1:34" ht="29.1" hidden="1">
      <c r="A92" s="330" t="s">
        <v>475</v>
      </c>
      <c r="B92" s="553" t="s">
        <v>476</v>
      </c>
      <c r="C92" s="545"/>
      <c r="D92" s="546" t="s">
        <v>257</v>
      </c>
      <c r="E92" s="547"/>
      <c r="F92" s="554" t="s">
        <v>916</v>
      </c>
      <c r="G92" s="243" t="str">
        <f>VLOOKUP(A92,'Feature Summary'!$A$7:$C$4055,3,FALSE)</f>
        <v>P2</v>
      </c>
      <c r="H92" s="560" t="s">
        <v>917</v>
      </c>
      <c r="I92" s="429" t="s">
        <v>41</v>
      </c>
      <c r="J92" s="322"/>
      <c r="K92" s="561">
        <v>1</v>
      </c>
      <c r="L92" s="567">
        <v>12</v>
      </c>
      <c r="M92" s="567" t="s">
        <v>33</v>
      </c>
      <c r="N92" s="443">
        <v>1</v>
      </c>
      <c r="O92" s="567">
        <v>12</v>
      </c>
      <c r="P92" s="444">
        <f t="shared" si="10"/>
        <v>1</v>
      </c>
      <c r="Q92" s="429" t="s">
        <v>48</v>
      </c>
      <c r="R92" s="323">
        <v>12</v>
      </c>
      <c r="S92" s="469">
        <v>12</v>
      </c>
      <c r="T92" s="459">
        <v>12</v>
      </c>
      <c r="U92" s="459"/>
      <c r="V92" s="459"/>
      <c r="W92" s="459"/>
      <c r="X92" s="470">
        <f t="shared" si="9"/>
        <v>1</v>
      </c>
      <c r="Y92" s="430"/>
      <c r="Z92" s="458">
        <f t="shared" si="11"/>
        <v>0</v>
      </c>
      <c r="AA92" s="459">
        <v>0</v>
      </c>
      <c r="AB92" s="459">
        <v>0</v>
      </c>
      <c r="AC92" s="459">
        <v>0</v>
      </c>
      <c r="AD92" s="459">
        <v>0</v>
      </c>
      <c r="AE92" s="460">
        <f t="shared" si="12"/>
        <v>0</v>
      </c>
      <c r="AF92" s="322"/>
      <c r="AG92" s="431" t="str">
        <f>VLOOKUP(A92,'Feature Summary'!$A$7:$U$4055,21,FALSE)</f>
        <v>w7</v>
      </c>
      <c r="AH92" s="324"/>
    </row>
    <row r="93" spans="1:34" ht="29.1" hidden="1">
      <c r="A93" s="330" t="s">
        <v>475</v>
      </c>
      <c r="B93" s="553" t="s">
        <v>476</v>
      </c>
      <c r="C93" s="545"/>
      <c r="D93" s="546" t="s">
        <v>257</v>
      </c>
      <c r="E93" s="547"/>
      <c r="F93" s="554" t="s">
        <v>918</v>
      </c>
      <c r="G93" s="243" t="str">
        <f>VLOOKUP(A93,'Feature Summary'!$A$7:$C$4055,3,FALSE)</f>
        <v>P2</v>
      </c>
      <c r="H93" s="560" t="s">
        <v>919</v>
      </c>
      <c r="I93" s="429" t="s">
        <v>41</v>
      </c>
      <c r="J93" s="322"/>
      <c r="K93" s="561">
        <v>1</v>
      </c>
      <c r="L93" s="567">
        <v>12</v>
      </c>
      <c r="M93" s="567" t="s">
        <v>33</v>
      </c>
      <c r="N93" s="443">
        <v>1</v>
      </c>
      <c r="O93" s="567">
        <v>12</v>
      </c>
      <c r="P93" s="444">
        <f t="shared" si="10"/>
        <v>1</v>
      </c>
      <c r="Q93" s="429" t="s">
        <v>48</v>
      </c>
      <c r="R93" s="323">
        <v>12</v>
      </c>
      <c r="S93" s="469">
        <v>12</v>
      </c>
      <c r="T93" s="459">
        <v>12</v>
      </c>
      <c r="U93" s="459"/>
      <c r="V93" s="459"/>
      <c r="W93" s="459"/>
      <c r="X93" s="470">
        <f t="shared" si="9"/>
        <v>1</v>
      </c>
      <c r="Y93" s="430"/>
      <c r="Z93" s="458">
        <f t="shared" si="11"/>
        <v>0</v>
      </c>
      <c r="AA93" s="459">
        <v>0</v>
      </c>
      <c r="AB93" s="459">
        <v>0</v>
      </c>
      <c r="AC93" s="459">
        <v>0</v>
      </c>
      <c r="AD93" s="459">
        <v>0</v>
      </c>
      <c r="AE93" s="460">
        <f t="shared" si="12"/>
        <v>0</v>
      </c>
      <c r="AF93" s="322"/>
      <c r="AG93" s="431" t="str">
        <f>VLOOKUP(A93,'Feature Summary'!$A$7:$U$4055,21,FALSE)</f>
        <v>w7</v>
      </c>
      <c r="AH93" s="324"/>
    </row>
    <row r="94" spans="1:34" ht="29.1" hidden="1">
      <c r="A94" s="330" t="s">
        <v>475</v>
      </c>
      <c r="B94" s="553" t="s">
        <v>476</v>
      </c>
      <c r="C94" s="545"/>
      <c r="D94" s="546" t="s">
        <v>257</v>
      </c>
      <c r="E94" s="547"/>
      <c r="F94" s="554" t="s">
        <v>920</v>
      </c>
      <c r="G94" s="243" t="str">
        <f>VLOOKUP(A94,'Feature Summary'!$A$7:$C$4055,3,FALSE)</f>
        <v>P2</v>
      </c>
      <c r="H94" s="560" t="s">
        <v>921</v>
      </c>
      <c r="I94" s="429" t="s">
        <v>41</v>
      </c>
      <c r="J94" s="322"/>
      <c r="K94" s="561">
        <v>1</v>
      </c>
      <c r="L94" s="567">
        <v>12</v>
      </c>
      <c r="M94" s="567" t="s">
        <v>33</v>
      </c>
      <c r="N94" s="443">
        <v>1</v>
      </c>
      <c r="O94" s="567">
        <v>12</v>
      </c>
      <c r="P94" s="444">
        <f t="shared" si="10"/>
        <v>1</v>
      </c>
      <c r="Q94" s="429" t="s">
        <v>48</v>
      </c>
      <c r="R94" s="323">
        <v>12</v>
      </c>
      <c r="S94" s="469">
        <v>12</v>
      </c>
      <c r="T94" s="459">
        <v>12</v>
      </c>
      <c r="U94" s="459"/>
      <c r="V94" s="459"/>
      <c r="W94" s="459"/>
      <c r="X94" s="470">
        <f t="shared" si="9"/>
        <v>1</v>
      </c>
      <c r="Y94" s="430"/>
      <c r="Z94" s="458">
        <f t="shared" si="11"/>
        <v>0</v>
      </c>
      <c r="AA94" s="459">
        <v>0</v>
      </c>
      <c r="AB94" s="459">
        <v>0</v>
      </c>
      <c r="AC94" s="459">
        <v>0</v>
      </c>
      <c r="AD94" s="459">
        <v>0</v>
      </c>
      <c r="AE94" s="460">
        <f t="shared" si="12"/>
        <v>0</v>
      </c>
      <c r="AF94" s="322"/>
      <c r="AG94" s="431" t="str">
        <f>VLOOKUP(A94,'Feature Summary'!$A$7:$U$4055,21,FALSE)</f>
        <v>w7</v>
      </c>
      <c r="AH94" s="324"/>
    </row>
    <row r="95" spans="1:34" ht="29.1" hidden="1">
      <c r="A95" s="330" t="s">
        <v>475</v>
      </c>
      <c r="B95" s="553" t="s">
        <v>476</v>
      </c>
      <c r="C95" s="545"/>
      <c r="D95" s="546" t="s">
        <v>257</v>
      </c>
      <c r="E95" s="547"/>
      <c r="F95" s="554" t="s">
        <v>922</v>
      </c>
      <c r="G95" s="243" t="str">
        <f>VLOOKUP(A95,'Feature Summary'!$A$7:$C$4055,3,FALSE)</f>
        <v>P2</v>
      </c>
      <c r="H95" s="560" t="s">
        <v>923</v>
      </c>
      <c r="I95" s="429" t="s">
        <v>41</v>
      </c>
      <c r="J95" s="322"/>
      <c r="K95" s="561">
        <v>1</v>
      </c>
      <c r="L95" s="567">
        <v>16</v>
      </c>
      <c r="M95" s="567" t="s">
        <v>33</v>
      </c>
      <c r="N95" s="443">
        <v>1</v>
      </c>
      <c r="O95" s="567">
        <v>16</v>
      </c>
      <c r="P95" s="444">
        <f t="shared" si="10"/>
        <v>1</v>
      </c>
      <c r="Q95" s="429" t="s">
        <v>48</v>
      </c>
      <c r="R95" s="323">
        <v>16</v>
      </c>
      <c r="S95" s="469">
        <v>16</v>
      </c>
      <c r="T95" s="459">
        <v>16</v>
      </c>
      <c r="U95" s="459"/>
      <c r="V95" s="459"/>
      <c r="W95" s="459"/>
      <c r="X95" s="470">
        <f t="shared" si="9"/>
        <v>1</v>
      </c>
      <c r="Y95" s="430"/>
      <c r="Z95" s="458">
        <f t="shared" si="11"/>
        <v>0</v>
      </c>
      <c r="AA95" s="459">
        <v>0</v>
      </c>
      <c r="AB95" s="459">
        <v>0</v>
      </c>
      <c r="AC95" s="459">
        <v>0</v>
      </c>
      <c r="AD95" s="459">
        <v>0</v>
      </c>
      <c r="AE95" s="460">
        <f t="shared" si="12"/>
        <v>0</v>
      </c>
      <c r="AF95" s="322"/>
      <c r="AG95" s="431" t="str">
        <f>VLOOKUP(A95,'Feature Summary'!$A$7:$U$4055,21,FALSE)</f>
        <v>w7</v>
      </c>
      <c r="AH95" s="324"/>
    </row>
    <row r="96" spans="1:34" ht="29.1" hidden="1">
      <c r="A96" s="330" t="s">
        <v>475</v>
      </c>
      <c r="B96" s="553" t="s">
        <v>476</v>
      </c>
      <c r="C96" s="545"/>
      <c r="D96" s="546" t="s">
        <v>257</v>
      </c>
      <c r="E96" s="547"/>
      <c r="F96" s="554" t="s">
        <v>924</v>
      </c>
      <c r="G96" s="243" t="str">
        <f>VLOOKUP(A96,'Feature Summary'!$A$7:$C$4055,3,FALSE)</f>
        <v>P2</v>
      </c>
      <c r="H96" s="560" t="s">
        <v>925</v>
      </c>
      <c r="I96" s="429" t="s">
        <v>41</v>
      </c>
      <c r="J96" s="322"/>
      <c r="K96" s="561">
        <v>1</v>
      </c>
      <c r="L96" s="567">
        <v>16</v>
      </c>
      <c r="M96" s="567" t="s">
        <v>33</v>
      </c>
      <c r="N96" s="443">
        <v>1</v>
      </c>
      <c r="O96" s="567">
        <v>16</v>
      </c>
      <c r="P96" s="444">
        <f t="shared" si="10"/>
        <v>1</v>
      </c>
      <c r="Q96" s="429" t="s">
        <v>48</v>
      </c>
      <c r="R96" s="323">
        <v>16</v>
      </c>
      <c r="S96" s="469">
        <v>16</v>
      </c>
      <c r="T96" s="459">
        <v>16</v>
      </c>
      <c r="U96" s="459"/>
      <c r="V96" s="459"/>
      <c r="W96" s="459"/>
      <c r="X96" s="470">
        <f t="shared" si="9"/>
        <v>1</v>
      </c>
      <c r="Y96" s="430"/>
      <c r="Z96" s="458">
        <f t="shared" si="11"/>
        <v>0</v>
      </c>
      <c r="AA96" s="459">
        <v>0</v>
      </c>
      <c r="AB96" s="459">
        <v>0</v>
      </c>
      <c r="AC96" s="459">
        <v>0</v>
      </c>
      <c r="AD96" s="459">
        <v>0</v>
      </c>
      <c r="AE96" s="460">
        <f t="shared" si="12"/>
        <v>0</v>
      </c>
      <c r="AF96" s="322"/>
      <c r="AG96" s="431" t="str">
        <f>VLOOKUP(A96,'Feature Summary'!$A$7:$U$4055,21,FALSE)</f>
        <v>w7</v>
      </c>
      <c r="AH96" s="324"/>
    </row>
    <row r="97" spans="1:34" ht="29.1" hidden="1">
      <c r="A97" s="330" t="s">
        <v>475</v>
      </c>
      <c r="B97" s="553" t="s">
        <v>476</v>
      </c>
      <c r="C97" s="545"/>
      <c r="D97" s="546" t="s">
        <v>257</v>
      </c>
      <c r="E97" s="547"/>
      <c r="F97" s="554" t="s">
        <v>926</v>
      </c>
      <c r="G97" s="243" t="str">
        <f>VLOOKUP(A97,'Feature Summary'!$A$7:$C$4055,3,FALSE)</f>
        <v>P2</v>
      </c>
      <c r="H97" s="560" t="s">
        <v>927</v>
      </c>
      <c r="I97" s="429" t="s">
        <v>41</v>
      </c>
      <c r="J97" s="322"/>
      <c r="K97" s="561">
        <v>1</v>
      </c>
      <c r="L97" s="567">
        <v>16</v>
      </c>
      <c r="M97" s="567" t="s">
        <v>33</v>
      </c>
      <c r="N97" s="443">
        <v>1</v>
      </c>
      <c r="O97" s="567">
        <v>16</v>
      </c>
      <c r="P97" s="444">
        <f t="shared" si="10"/>
        <v>1</v>
      </c>
      <c r="Q97" s="429" t="s">
        <v>48</v>
      </c>
      <c r="R97" s="323">
        <v>16</v>
      </c>
      <c r="S97" s="469">
        <v>16</v>
      </c>
      <c r="T97" s="459">
        <v>16</v>
      </c>
      <c r="U97" s="459"/>
      <c r="V97" s="459"/>
      <c r="W97" s="459"/>
      <c r="X97" s="470">
        <f t="shared" si="9"/>
        <v>1</v>
      </c>
      <c r="Y97" s="430"/>
      <c r="Z97" s="458">
        <f t="shared" si="11"/>
        <v>0</v>
      </c>
      <c r="AA97" s="459">
        <v>0</v>
      </c>
      <c r="AB97" s="459">
        <v>0</v>
      </c>
      <c r="AC97" s="459">
        <v>0</v>
      </c>
      <c r="AD97" s="459">
        <v>0</v>
      </c>
      <c r="AE97" s="460">
        <f t="shared" si="12"/>
        <v>0</v>
      </c>
      <c r="AF97" s="322"/>
      <c r="AG97" s="431" t="str">
        <f>VLOOKUP(A97,'Feature Summary'!$A$7:$U$4055,21,FALSE)</f>
        <v>w7</v>
      </c>
      <c r="AH97" s="324"/>
    </row>
    <row r="98" spans="1:34" ht="29.1" hidden="1">
      <c r="A98" s="330" t="s">
        <v>475</v>
      </c>
      <c r="B98" s="553" t="s">
        <v>476</v>
      </c>
      <c r="C98" s="545"/>
      <c r="D98" s="546" t="s">
        <v>257</v>
      </c>
      <c r="E98" s="547"/>
      <c r="F98" s="554" t="s">
        <v>928</v>
      </c>
      <c r="G98" s="243" t="str">
        <f>VLOOKUP(A98,'Feature Summary'!$A$7:$C$4055,3,FALSE)</f>
        <v>P2</v>
      </c>
      <c r="H98" s="560" t="s">
        <v>929</v>
      </c>
      <c r="I98" s="429" t="s">
        <v>41</v>
      </c>
      <c r="J98" s="322"/>
      <c r="K98" s="561">
        <v>1</v>
      </c>
      <c r="L98" s="567">
        <v>16</v>
      </c>
      <c r="M98" s="567" t="s">
        <v>33</v>
      </c>
      <c r="N98" s="443">
        <v>1</v>
      </c>
      <c r="O98" s="567">
        <v>16</v>
      </c>
      <c r="P98" s="444">
        <f t="shared" si="10"/>
        <v>1</v>
      </c>
      <c r="Q98" s="429" t="s">
        <v>48</v>
      </c>
      <c r="R98" s="567">
        <v>16</v>
      </c>
      <c r="S98" s="469">
        <v>16</v>
      </c>
      <c r="T98" s="459">
        <v>16</v>
      </c>
      <c r="U98" s="459"/>
      <c r="V98" s="459"/>
      <c r="W98" s="459"/>
      <c r="X98" s="470">
        <f t="shared" si="9"/>
        <v>1</v>
      </c>
      <c r="Y98" s="430"/>
      <c r="Z98" s="458">
        <f t="shared" si="11"/>
        <v>0</v>
      </c>
      <c r="AA98" s="459">
        <v>0</v>
      </c>
      <c r="AB98" s="459">
        <v>0</v>
      </c>
      <c r="AC98" s="459">
        <v>0</v>
      </c>
      <c r="AD98" s="459">
        <v>0</v>
      </c>
      <c r="AE98" s="460">
        <f t="shared" si="12"/>
        <v>0</v>
      </c>
      <c r="AF98" s="322"/>
      <c r="AG98" s="431" t="str">
        <f>VLOOKUP(A98,'Feature Summary'!$A$7:$U$4055,21,FALSE)</f>
        <v>w7</v>
      </c>
      <c r="AH98" s="324"/>
    </row>
    <row r="99" spans="1:34" ht="29.1" hidden="1">
      <c r="A99" s="330" t="s">
        <v>475</v>
      </c>
      <c r="B99" s="553" t="s">
        <v>476</v>
      </c>
      <c r="C99" s="545"/>
      <c r="D99" s="546" t="s">
        <v>257</v>
      </c>
      <c r="E99" s="547"/>
      <c r="F99" s="554" t="s">
        <v>930</v>
      </c>
      <c r="G99" s="243" t="str">
        <f>VLOOKUP(A99,'Feature Summary'!$A$7:$C$4055,3,FALSE)</f>
        <v>P2</v>
      </c>
      <c r="H99" s="560" t="s">
        <v>931</v>
      </c>
      <c r="I99" s="429" t="s">
        <v>41</v>
      </c>
      <c r="J99" s="322"/>
      <c r="K99" s="561">
        <v>1</v>
      </c>
      <c r="L99" s="567">
        <v>16</v>
      </c>
      <c r="M99" s="567" t="s">
        <v>33</v>
      </c>
      <c r="N99" s="443">
        <v>1</v>
      </c>
      <c r="O99" s="567">
        <v>16</v>
      </c>
      <c r="P99" s="444">
        <f t="shared" si="10"/>
        <v>1</v>
      </c>
      <c r="Q99" s="429" t="s">
        <v>48</v>
      </c>
      <c r="R99" s="567">
        <v>16</v>
      </c>
      <c r="S99" s="469">
        <v>16</v>
      </c>
      <c r="T99" s="459">
        <v>16</v>
      </c>
      <c r="U99" s="459"/>
      <c r="V99" s="459"/>
      <c r="W99" s="459"/>
      <c r="X99" s="470">
        <f t="shared" si="9"/>
        <v>1</v>
      </c>
      <c r="Y99" s="430"/>
      <c r="Z99" s="458">
        <f t="shared" si="11"/>
        <v>0</v>
      </c>
      <c r="AA99" s="459">
        <v>0</v>
      </c>
      <c r="AB99" s="459">
        <v>0</v>
      </c>
      <c r="AC99" s="459">
        <v>0</v>
      </c>
      <c r="AD99" s="459">
        <v>0</v>
      </c>
      <c r="AE99" s="460">
        <f t="shared" si="12"/>
        <v>0</v>
      </c>
      <c r="AF99" s="322"/>
      <c r="AG99" s="431" t="str">
        <f>VLOOKUP(A99,'Feature Summary'!$A$7:$U$4055,21,FALSE)</f>
        <v>w7</v>
      </c>
      <c r="AH99" s="324"/>
    </row>
    <row r="100" spans="1:34" ht="29.1" hidden="1">
      <c r="A100" s="330" t="s">
        <v>475</v>
      </c>
      <c r="B100" s="553" t="s">
        <v>476</v>
      </c>
      <c r="C100" s="545"/>
      <c r="D100" s="546" t="s">
        <v>257</v>
      </c>
      <c r="E100" s="547"/>
      <c r="F100" s="554" t="s">
        <v>932</v>
      </c>
      <c r="G100" s="243" t="str">
        <f>VLOOKUP(A100,'Feature Summary'!$A$7:$C$4055,3,FALSE)</f>
        <v>P2</v>
      </c>
      <c r="H100" s="560" t="s">
        <v>933</v>
      </c>
      <c r="I100" s="429" t="s">
        <v>41</v>
      </c>
      <c r="J100" s="322"/>
      <c r="K100" s="561">
        <v>1</v>
      </c>
      <c r="L100" s="567">
        <v>2</v>
      </c>
      <c r="M100" s="567" t="s">
        <v>33</v>
      </c>
      <c r="N100" s="443">
        <v>1</v>
      </c>
      <c r="O100" s="567">
        <v>2</v>
      </c>
      <c r="P100" s="444">
        <f t="shared" si="10"/>
        <v>1</v>
      </c>
      <c r="Q100" s="429" t="s">
        <v>48</v>
      </c>
      <c r="R100" s="567">
        <v>2</v>
      </c>
      <c r="S100" s="469">
        <v>2</v>
      </c>
      <c r="T100" s="459">
        <v>2</v>
      </c>
      <c r="U100" s="459"/>
      <c r="V100" s="459"/>
      <c r="W100" s="459"/>
      <c r="X100" s="470">
        <f t="shared" si="9"/>
        <v>1</v>
      </c>
      <c r="Y100" s="430"/>
      <c r="Z100" s="458">
        <f t="shared" si="11"/>
        <v>0</v>
      </c>
      <c r="AA100" s="459">
        <v>0</v>
      </c>
      <c r="AB100" s="459">
        <v>0</v>
      </c>
      <c r="AC100" s="459">
        <v>0</v>
      </c>
      <c r="AD100" s="459">
        <v>0</v>
      </c>
      <c r="AE100" s="460">
        <f t="shared" si="12"/>
        <v>0</v>
      </c>
      <c r="AF100" s="322"/>
      <c r="AG100" s="431" t="str">
        <f>VLOOKUP(A100,'Feature Summary'!$A$7:$U$4055,21,FALSE)</f>
        <v>w7</v>
      </c>
      <c r="AH100" s="324"/>
    </row>
    <row r="101" spans="1:34" ht="29.1" hidden="1">
      <c r="A101" s="330" t="s">
        <v>475</v>
      </c>
      <c r="B101" s="553" t="s">
        <v>476</v>
      </c>
      <c r="C101" s="545"/>
      <c r="D101" s="546" t="s">
        <v>257</v>
      </c>
      <c r="E101" s="547"/>
      <c r="F101" s="554" t="s">
        <v>934</v>
      </c>
      <c r="G101" s="243" t="str">
        <f>VLOOKUP(A101,'Feature Summary'!$A$7:$C$4055,3,FALSE)</f>
        <v>P2</v>
      </c>
      <c r="H101" s="560" t="s">
        <v>935</v>
      </c>
      <c r="I101" s="429" t="s">
        <v>41</v>
      </c>
      <c r="J101" s="322"/>
      <c r="K101" s="561">
        <v>1</v>
      </c>
      <c r="L101" s="567">
        <v>8</v>
      </c>
      <c r="M101" s="567" t="s">
        <v>33</v>
      </c>
      <c r="N101" s="443">
        <v>1</v>
      </c>
      <c r="O101" s="567">
        <v>8</v>
      </c>
      <c r="P101" s="444">
        <f t="shared" si="10"/>
        <v>1</v>
      </c>
      <c r="Q101" s="429" t="s">
        <v>48</v>
      </c>
      <c r="R101" s="567">
        <v>8</v>
      </c>
      <c r="S101" s="469">
        <v>8</v>
      </c>
      <c r="T101" s="459">
        <v>8</v>
      </c>
      <c r="U101" s="459"/>
      <c r="V101" s="459"/>
      <c r="W101" s="459"/>
      <c r="X101" s="470">
        <f t="shared" si="9"/>
        <v>1</v>
      </c>
      <c r="Y101" s="430"/>
      <c r="Z101" s="458">
        <f t="shared" si="11"/>
        <v>0</v>
      </c>
      <c r="AA101" s="459">
        <v>0</v>
      </c>
      <c r="AB101" s="459">
        <v>0</v>
      </c>
      <c r="AC101" s="459">
        <v>0</v>
      </c>
      <c r="AD101" s="459">
        <v>0</v>
      </c>
      <c r="AE101" s="460">
        <f t="shared" si="12"/>
        <v>0</v>
      </c>
      <c r="AF101" s="322"/>
      <c r="AG101" s="431" t="str">
        <f>VLOOKUP(A101,'Feature Summary'!$A$7:$U$4055,21,FALSE)</f>
        <v>w7</v>
      </c>
      <c r="AH101" s="324"/>
    </row>
    <row r="102" spans="1:34" ht="29.1" hidden="1">
      <c r="A102" s="330" t="s">
        <v>475</v>
      </c>
      <c r="B102" s="553" t="s">
        <v>476</v>
      </c>
      <c r="C102" s="545"/>
      <c r="D102" s="546" t="s">
        <v>257</v>
      </c>
      <c r="E102" s="547"/>
      <c r="F102" s="554" t="s">
        <v>936</v>
      </c>
      <c r="G102" s="243" t="str">
        <f>VLOOKUP(A102,'Feature Summary'!$A$7:$C$4055,3,FALSE)</f>
        <v>P2</v>
      </c>
      <c r="H102" s="560" t="s">
        <v>937</v>
      </c>
      <c r="I102" s="429" t="s">
        <v>41</v>
      </c>
      <c r="J102" s="322"/>
      <c r="K102" s="561">
        <v>1</v>
      </c>
      <c r="L102" s="567">
        <v>28</v>
      </c>
      <c r="M102" s="567" t="s">
        <v>33</v>
      </c>
      <c r="N102" s="443">
        <v>1</v>
      </c>
      <c r="O102" s="567">
        <v>28</v>
      </c>
      <c r="P102" s="444">
        <f t="shared" si="10"/>
        <v>1</v>
      </c>
      <c r="Q102" s="429" t="s">
        <v>48</v>
      </c>
      <c r="R102" s="567">
        <v>28</v>
      </c>
      <c r="S102" s="469">
        <v>28</v>
      </c>
      <c r="T102" s="459">
        <v>28</v>
      </c>
      <c r="U102" s="459"/>
      <c r="V102" s="459"/>
      <c r="W102" s="459"/>
      <c r="X102" s="470">
        <f t="shared" si="9"/>
        <v>1</v>
      </c>
      <c r="Y102" s="430"/>
      <c r="Z102" s="458">
        <f t="shared" si="11"/>
        <v>0</v>
      </c>
      <c r="AA102" s="459">
        <v>0</v>
      </c>
      <c r="AB102" s="459">
        <v>0</v>
      </c>
      <c r="AC102" s="459">
        <v>0</v>
      </c>
      <c r="AD102" s="459">
        <v>0</v>
      </c>
      <c r="AE102" s="460">
        <f t="shared" si="12"/>
        <v>0</v>
      </c>
      <c r="AF102" s="322"/>
      <c r="AG102" s="431" t="str">
        <f>VLOOKUP(A102,'Feature Summary'!$A$7:$U$4055,21,FALSE)</f>
        <v>w7</v>
      </c>
      <c r="AH102" s="324"/>
    </row>
    <row r="103" spans="1:34" ht="29.1" hidden="1">
      <c r="A103" s="330" t="s">
        <v>475</v>
      </c>
      <c r="B103" s="553" t="s">
        <v>476</v>
      </c>
      <c r="C103" s="545"/>
      <c r="D103" s="546" t="s">
        <v>257</v>
      </c>
      <c r="E103" s="547"/>
      <c r="F103" s="554" t="s">
        <v>938</v>
      </c>
      <c r="G103" s="243" t="str">
        <f>VLOOKUP(A103,'Feature Summary'!$A$7:$C$4055,3,FALSE)</f>
        <v>P2</v>
      </c>
      <c r="H103" s="560" t="s">
        <v>939</v>
      </c>
      <c r="I103" s="429" t="s">
        <v>41</v>
      </c>
      <c r="J103" s="322"/>
      <c r="K103" s="561">
        <v>1</v>
      </c>
      <c r="L103" s="567">
        <v>28</v>
      </c>
      <c r="M103" s="567" t="s">
        <v>33</v>
      </c>
      <c r="N103" s="443">
        <v>1</v>
      </c>
      <c r="O103" s="567">
        <v>28</v>
      </c>
      <c r="P103" s="444">
        <f t="shared" si="10"/>
        <v>1</v>
      </c>
      <c r="Q103" s="429" t="s">
        <v>48</v>
      </c>
      <c r="R103" s="567">
        <v>28</v>
      </c>
      <c r="S103" s="469">
        <v>28</v>
      </c>
      <c r="T103" s="459">
        <v>28</v>
      </c>
      <c r="U103" s="459"/>
      <c r="V103" s="459"/>
      <c r="W103" s="459"/>
      <c r="X103" s="470">
        <f t="shared" si="9"/>
        <v>1</v>
      </c>
      <c r="Y103" s="430"/>
      <c r="Z103" s="458">
        <f t="shared" si="11"/>
        <v>0</v>
      </c>
      <c r="AA103" s="459">
        <v>0</v>
      </c>
      <c r="AB103" s="459">
        <v>0</v>
      </c>
      <c r="AC103" s="459">
        <v>0</v>
      </c>
      <c r="AD103" s="459">
        <v>0</v>
      </c>
      <c r="AE103" s="460">
        <f t="shared" si="12"/>
        <v>0</v>
      </c>
      <c r="AF103" s="322"/>
      <c r="AG103" s="431" t="str">
        <f>VLOOKUP(A103,'Feature Summary'!$A$7:$U$4055,21,FALSE)</f>
        <v>w7</v>
      </c>
      <c r="AH103" s="324"/>
    </row>
    <row r="104" spans="1:34" ht="29.1" hidden="1">
      <c r="A104" s="330" t="s">
        <v>475</v>
      </c>
      <c r="B104" s="553" t="s">
        <v>476</v>
      </c>
      <c r="C104" s="545"/>
      <c r="D104" s="546" t="s">
        <v>257</v>
      </c>
      <c r="E104" s="547"/>
      <c r="F104" s="554" t="s">
        <v>940</v>
      </c>
      <c r="G104" s="243" t="str">
        <f>VLOOKUP(A104,'Feature Summary'!$A$7:$C$4055,3,FALSE)</f>
        <v>P2</v>
      </c>
      <c r="H104" s="560" t="s">
        <v>941</v>
      </c>
      <c r="I104" s="429" t="s">
        <v>41</v>
      </c>
      <c r="J104" s="322"/>
      <c r="K104" s="561">
        <v>1</v>
      </c>
      <c r="L104" s="567">
        <v>2</v>
      </c>
      <c r="M104" s="567" t="s">
        <v>33</v>
      </c>
      <c r="N104" s="443">
        <v>1</v>
      </c>
      <c r="O104" s="567">
        <v>2</v>
      </c>
      <c r="P104" s="444">
        <f t="shared" si="10"/>
        <v>1</v>
      </c>
      <c r="Q104" s="429" t="s">
        <v>48</v>
      </c>
      <c r="R104" s="567">
        <v>2</v>
      </c>
      <c r="S104" s="469">
        <v>2</v>
      </c>
      <c r="T104" s="459">
        <v>2</v>
      </c>
      <c r="U104" s="459"/>
      <c r="V104" s="459"/>
      <c r="W104" s="459"/>
      <c r="X104" s="470">
        <f t="shared" si="9"/>
        <v>1</v>
      </c>
      <c r="Y104" s="430"/>
      <c r="Z104" s="458">
        <f t="shared" si="11"/>
        <v>0</v>
      </c>
      <c r="AA104" s="459">
        <v>0</v>
      </c>
      <c r="AB104" s="459">
        <v>0</v>
      </c>
      <c r="AC104" s="459">
        <v>0</v>
      </c>
      <c r="AD104" s="459">
        <v>0</v>
      </c>
      <c r="AE104" s="460">
        <f t="shared" si="12"/>
        <v>0</v>
      </c>
      <c r="AF104" s="322"/>
      <c r="AG104" s="431" t="str">
        <f>VLOOKUP(A104,'Feature Summary'!$A$7:$U$4055,21,FALSE)</f>
        <v>w7</v>
      </c>
      <c r="AH104" s="324"/>
    </row>
    <row r="105" spans="1:34" ht="29.1" hidden="1">
      <c r="A105" s="330" t="s">
        <v>475</v>
      </c>
      <c r="B105" s="584" t="s">
        <v>476</v>
      </c>
      <c r="C105" s="545"/>
      <c r="D105" s="546" t="s">
        <v>257</v>
      </c>
      <c r="E105" s="547"/>
      <c r="F105" s="554" t="s">
        <v>942</v>
      </c>
      <c r="G105" s="243" t="str">
        <f>VLOOKUP(A105,'Feature Summary'!$A$7:$C$4055,3,FALSE)</f>
        <v>P2</v>
      </c>
      <c r="H105" s="560" t="s">
        <v>943</v>
      </c>
      <c r="I105" s="429" t="s">
        <v>35</v>
      </c>
      <c r="J105" s="322"/>
      <c r="K105" s="561">
        <v>1</v>
      </c>
      <c r="L105" s="567">
        <v>72</v>
      </c>
      <c r="M105" s="567" t="s">
        <v>33</v>
      </c>
      <c r="N105" s="443">
        <v>1</v>
      </c>
      <c r="O105" s="567">
        <v>72</v>
      </c>
      <c r="P105" s="444">
        <f t="shared" ref="P105" si="21">IF((O105=0),0,(O105/L105))</f>
        <v>1</v>
      </c>
      <c r="Q105" s="429" t="s">
        <v>48</v>
      </c>
      <c r="R105" s="567">
        <v>72</v>
      </c>
      <c r="S105" s="469"/>
      <c r="T105" s="459"/>
      <c r="U105" s="459"/>
      <c r="V105" s="459"/>
      <c r="W105" s="459"/>
      <c r="X105" s="470">
        <f t="shared" ref="X105" si="22">IF((S105=0),0,((T105+U105)/S105*100%))</f>
        <v>0</v>
      </c>
      <c r="Y105" s="430"/>
      <c r="Z105" s="458">
        <f t="shared" ref="Z105" si="23">SUM(AA105:AD105)</f>
        <v>0</v>
      </c>
      <c r="AA105" s="459">
        <v>0</v>
      </c>
      <c r="AB105" s="459">
        <v>0</v>
      </c>
      <c r="AC105" s="459">
        <v>0</v>
      </c>
      <c r="AD105" s="459">
        <v>0</v>
      </c>
      <c r="AE105" s="460">
        <f t="shared" ref="AE105" si="24">IF((Z105=0),0,((AA105+AB105)/Z105*100%))</f>
        <v>0</v>
      </c>
      <c r="AF105" s="322"/>
      <c r="AG105" s="431" t="str">
        <f>VLOOKUP(A105,'Feature Summary'!$A$7:$U$4055,21,FALSE)</f>
        <v>w7</v>
      </c>
      <c r="AH105" s="324"/>
    </row>
    <row r="106" spans="1:34" ht="29.1" hidden="1">
      <c r="A106" s="330" t="s">
        <v>495</v>
      </c>
      <c r="B106" s="553" t="s">
        <v>496</v>
      </c>
      <c r="C106" s="545"/>
      <c r="D106" s="546" t="s">
        <v>257</v>
      </c>
      <c r="E106" s="547"/>
      <c r="F106" s="554" t="s">
        <v>944</v>
      </c>
      <c r="G106" s="243" t="str">
        <f>VLOOKUP(A106,'Feature Summary'!$A$7:$C$4055,3,FALSE)</f>
        <v>P2</v>
      </c>
      <c r="H106" s="560" t="s">
        <v>945</v>
      </c>
      <c r="I106" s="429" t="s">
        <v>35</v>
      </c>
      <c r="J106" s="322"/>
      <c r="K106" s="561">
        <v>1</v>
      </c>
      <c r="L106" s="567">
        <v>170</v>
      </c>
      <c r="M106" s="567" t="s">
        <v>33</v>
      </c>
      <c r="N106" s="443">
        <v>1</v>
      </c>
      <c r="O106" s="567">
        <v>170</v>
      </c>
      <c r="P106" s="444">
        <f t="shared" ref="P106" si="25">IF((O106=0),0,(O106/L106))</f>
        <v>1</v>
      </c>
      <c r="Q106" s="429" t="s">
        <v>48</v>
      </c>
      <c r="R106" s="567">
        <v>170</v>
      </c>
      <c r="S106" s="469">
        <v>170</v>
      </c>
      <c r="T106" s="459">
        <v>150</v>
      </c>
      <c r="U106" s="459"/>
      <c r="V106" s="459">
        <v>20</v>
      </c>
      <c r="W106" s="459"/>
      <c r="X106" s="470">
        <f t="shared" ref="X106" si="26">IF((S106=0),0,((T106+U106)/S106*100%))</f>
        <v>0.88235294117647056</v>
      </c>
      <c r="Y106" s="430" t="s">
        <v>946</v>
      </c>
      <c r="Z106" s="458">
        <f t="shared" ref="Z106" si="27">SUM(AA106:AD106)</f>
        <v>0</v>
      </c>
      <c r="AA106" s="459">
        <v>0</v>
      </c>
      <c r="AB106" s="459">
        <v>0</v>
      </c>
      <c r="AC106" s="459">
        <v>0</v>
      </c>
      <c r="AD106" s="459">
        <v>0</v>
      </c>
      <c r="AE106" s="460">
        <f t="shared" ref="AE106" si="28">IF((Z106=0),0,((AA106+AB106)/Z106*100%))</f>
        <v>0</v>
      </c>
      <c r="AF106" s="322"/>
      <c r="AG106" s="431" t="str">
        <f>VLOOKUP(A106,'Feature Summary'!$A$7:$U$4055,21,FALSE)</f>
        <v>w7</v>
      </c>
      <c r="AH106" s="324"/>
    </row>
    <row r="107" spans="1:34" ht="29.1" hidden="1">
      <c r="A107" s="330" t="s">
        <v>387</v>
      </c>
      <c r="B107" s="553" t="s">
        <v>388</v>
      </c>
      <c r="C107" s="545"/>
      <c r="D107" s="546" t="s">
        <v>257</v>
      </c>
      <c r="E107" s="547"/>
      <c r="F107" s="554" t="s">
        <v>947</v>
      </c>
      <c r="G107" s="243" t="str">
        <f>VLOOKUP(A107,'Feature Summary'!$A$7:$C$4055,3,FALSE)</f>
        <v>P2</v>
      </c>
      <c r="H107" s="560" t="s">
        <v>948</v>
      </c>
      <c r="I107" s="429" t="s">
        <v>41</v>
      </c>
      <c r="J107" s="322"/>
      <c r="K107" s="561">
        <v>1</v>
      </c>
      <c r="L107" s="567">
        <v>8</v>
      </c>
      <c r="M107" s="567" t="s">
        <v>33</v>
      </c>
      <c r="N107" s="443">
        <v>1</v>
      </c>
      <c r="O107" s="567">
        <v>8</v>
      </c>
      <c r="P107" s="444">
        <f t="shared" ref="P107:P158" si="29">IF((O107=0),0,(O107/L107))</f>
        <v>1</v>
      </c>
      <c r="Q107" s="429" t="s">
        <v>48</v>
      </c>
      <c r="R107" s="567">
        <v>8</v>
      </c>
      <c r="S107" s="469">
        <v>8</v>
      </c>
      <c r="T107" s="459">
        <v>8</v>
      </c>
      <c r="U107" s="459"/>
      <c r="V107" s="459"/>
      <c r="W107" s="459"/>
      <c r="X107" s="470">
        <f t="shared" ref="X107:X157" si="30">IF((S107=0),0,((T107+U107)/S107*100%))</f>
        <v>1</v>
      </c>
      <c r="Y107" s="430"/>
      <c r="Z107" s="458">
        <f t="shared" ref="Z107:Z158" si="31">SUM(AA107:AD107)</f>
        <v>0</v>
      </c>
      <c r="AA107" s="459">
        <v>0</v>
      </c>
      <c r="AB107" s="459">
        <v>0</v>
      </c>
      <c r="AC107" s="459">
        <v>0</v>
      </c>
      <c r="AD107" s="459">
        <v>0</v>
      </c>
      <c r="AE107" s="460">
        <f t="shared" ref="AE107:AE158" si="32">IF((Z107=0),0,((AA107+AB107)/Z107*100%))</f>
        <v>0</v>
      </c>
      <c r="AF107" s="322"/>
      <c r="AG107" s="431" t="str">
        <f>VLOOKUP(A107,'Feature Summary'!$A$7:$U$4055,21,FALSE)</f>
        <v>w5</v>
      </c>
      <c r="AH107" s="324"/>
    </row>
    <row r="108" spans="1:34" ht="29.1" hidden="1">
      <c r="A108" s="330" t="s">
        <v>387</v>
      </c>
      <c r="B108" s="553" t="s">
        <v>388</v>
      </c>
      <c r="C108" s="545"/>
      <c r="D108" s="546" t="s">
        <v>257</v>
      </c>
      <c r="E108" s="547"/>
      <c r="F108" s="554" t="s">
        <v>949</v>
      </c>
      <c r="G108" s="243" t="str">
        <f>VLOOKUP(A108,'Feature Summary'!$A$7:$C$4055,3,FALSE)</f>
        <v>P2</v>
      </c>
      <c r="H108" s="560" t="s">
        <v>950</v>
      </c>
      <c r="I108" s="429" t="s">
        <v>41</v>
      </c>
      <c r="J108" s="322"/>
      <c r="K108" s="561">
        <v>1</v>
      </c>
      <c r="L108" s="567">
        <v>3</v>
      </c>
      <c r="M108" s="567" t="s">
        <v>33</v>
      </c>
      <c r="N108" s="443">
        <v>1</v>
      </c>
      <c r="O108" s="567">
        <v>3</v>
      </c>
      <c r="P108" s="444">
        <f t="shared" si="29"/>
        <v>1</v>
      </c>
      <c r="Q108" s="429" t="s">
        <v>48</v>
      </c>
      <c r="R108" s="567">
        <v>3</v>
      </c>
      <c r="S108" s="469">
        <v>3</v>
      </c>
      <c r="T108" s="459">
        <v>3</v>
      </c>
      <c r="U108" s="459"/>
      <c r="V108" s="459"/>
      <c r="W108" s="459"/>
      <c r="X108" s="470">
        <f t="shared" si="30"/>
        <v>1</v>
      </c>
      <c r="Y108" s="430"/>
      <c r="Z108" s="458">
        <f t="shared" si="31"/>
        <v>0</v>
      </c>
      <c r="AA108" s="459">
        <v>0</v>
      </c>
      <c r="AB108" s="459">
        <v>0</v>
      </c>
      <c r="AC108" s="459">
        <v>0</v>
      </c>
      <c r="AD108" s="459">
        <v>0</v>
      </c>
      <c r="AE108" s="460">
        <f t="shared" si="32"/>
        <v>0</v>
      </c>
      <c r="AF108" s="322"/>
      <c r="AG108" s="431" t="str">
        <f>VLOOKUP(A108,'Feature Summary'!$A$7:$U$4055,21,FALSE)</f>
        <v>w5</v>
      </c>
      <c r="AH108" s="324"/>
    </row>
    <row r="109" spans="1:34" ht="29.1" hidden="1">
      <c r="A109" s="330" t="s">
        <v>465</v>
      </c>
      <c r="B109" s="553" t="s">
        <v>466</v>
      </c>
      <c r="C109" s="545"/>
      <c r="D109" s="546" t="s">
        <v>257</v>
      </c>
      <c r="E109" s="547"/>
      <c r="F109" s="554" t="s">
        <v>951</v>
      </c>
      <c r="G109" s="243" t="str">
        <f>VLOOKUP(A109,'Feature Summary'!$A$7:$C$4055,3,FALSE)</f>
        <v>P2</v>
      </c>
      <c r="H109" s="560" t="s">
        <v>952</v>
      </c>
      <c r="I109" s="429" t="s">
        <v>41</v>
      </c>
      <c r="J109" s="322"/>
      <c r="K109" s="561">
        <v>1</v>
      </c>
      <c r="L109" s="567">
        <v>1</v>
      </c>
      <c r="M109" s="567" t="s">
        <v>33</v>
      </c>
      <c r="N109" s="443">
        <v>1</v>
      </c>
      <c r="O109" s="567">
        <v>1</v>
      </c>
      <c r="P109" s="444">
        <f t="shared" si="29"/>
        <v>1</v>
      </c>
      <c r="Q109" s="429" t="s">
        <v>48</v>
      </c>
      <c r="R109" s="567">
        <v>1</v>
      </c>
      <c r="S109" s="469"/>
      <c r="T109" s="459"/>
      <c r="U109" s="459"/>
      <c r="V109" s="459"/>
      <c r="W109" s="459"/>
      <c r="X109" s="470">
        <f t="shared" si="30"/>
        <v>0</v>
      </c>
      <c r="Y109" s="430"/>
      <c r="Z109" s="458">
        <f t="shared" si="31"/>
        <v>0</v>
      </c>
      <c r="AA109" s="459">
        <v>0</v>
      </c>
      <c r="AB109" s="459">
        <v>0</v>
      </c>
      <c r="AC109" s="459">
        <v>0</v>
      </c>
      <c r="AD109" s="459">
        <v>0</v>
      </c>
      <c r="AE109" s="460">
        <f t="shared" si="32"/>
        <v>0</v>
      </c>
      <c r="AF109" s="322"/>
      <c r="AG109" s="431" t="str">
        <f>VLOOKUP(A109,'Feature Summary'!$A$7:$U$4055,21,FALSE)</f>
        <v>w5</v>
      </c>
      <c r="AH109" s="324"/>
    </row>
    <row r="110" spans="1:34" ht="29.1" hidden="1">
      <c r="A110" s="330" t="s">
        <v>465</v>
      </c>
      <c r="B110" s="553" t="s">
        <v>466</v>
      </c>
      <c r="C110" s="545"/>
      <c r="D110" s="546" t="s">
        <v>257</v>
      </c>
      <c r="E110" s="547"/>
      <c r="F110" s="554" t="s">
        <v>953</v>
      </c>
      <c r="G110" s="243" t="str">
        <f>VLOOKUP(A110,'Feature Summary'!$A$7:$C$4055,3,FALSE)</f>
        <v>P2</v>
      </c>
      <c r="H110" s="560" t="s">
        <v>954</v>
      </c>
      <c r="I110" s="429" t="s">
        <v>41</v>
      </c>
      <c r="J110" s="322"/>
      <c r="K110" s="561">
        <v>1</v>
      </c>
      <c r="L110" s="567">
        <v>1</v>
      </c>
      <c r="M110" s="567" t="s">
        <v>33</v>
      </c>
      <c r="N110" s="443">
        <v>1</v>
      </c>
      <c r="O110" s="567">
        <v>1</v>
      </c>
      <c r="P110" s="444">
        <f t="shared" si="29"/>
        <v>1</v>
      </c>
      <c r="Q110" s="429" t="s">
        <v>48</v>
      </c>
      <c r="R110" s="567">
        <v>1</v>
      </c>
      <c r="S110" s="469"/>
      <c r="T110" s="459"/>
      <c r="U110" s="459"/>
      <c r="V110" s="459"/>
      <c r="W110" s="459"/>
      <c r="X110" s="470">
        <f t="shared" si="30"/>
        <v>0</v>
      </c>
      <c r="Y110" s="430"/>
      <c r="Z110" s="458">
        <f t="shared" si="31"/>
        <v>0</v>
      </c>
      <c r="AA110" s="459">
        <v>0</v>
      </c>
      <c r="AB110" s="459">
        <v>0</v>
      </c>
      <c r="AC110" s="459">
        <v>0</v>
      </c>
      <c r="AD110" s="459">
        <v>0</v>
      </c>
      <c r="AE110" s="460">
        <f t="shared" si="32"/>
        <v>0</v>
      </c>
      <c r="AF110" s="322"/>
      <c r="AG110" s="431" t="str">
        <f>VLOOKUP(A110,'Feature Summary'!$A$7:$U$4055,21,FALSE)</f>
        <v>w5</v>
      </c>
      <c r="AH110" s="324"/>
    </row>
    <row r="111" spans="1:34" ht="102" hidden="1">
      <c r="A111" s="330" t="s">
        <v>955</v>
      </c>
      <c r="B111" s="553" t="s">
        <v>956</v>
      </c>
      <c r="C111" s="545"/>
      <c r="D111" s="546" t="s">
        <v>257</v>
      </c>
      <c r="E111" s="547"/>
      <c r="F111" s="554" t="s">
        <v>957</v>
      </c>
      <c r="G111" s="243" t="e">
        <f>VLOOKUP(A111,'Feature Summary'!$A$7:$C$4055,3,FALSE)</f>
        <v>#N/A</v>
      </c>
      <c r="H111" s="560" t="s">
        <v>958</v>
      </c>
      <c r="I111" s="429" t="s">
        <v>41</v>
      </c>
      <c r="J111" s="322"/>
      <c r="K111" s="561">
        <v>1</v>
      </c>
      <c r="L111" s="567">
        <v>4</v>
      </c>
      <c r="M111" s="567" t="s">
        <v>33</v>
      </c>
      <c r="N111" s="443">
        <v>1</v>
      </c>
      <c r="O111" s="567">
        <v>4</v>
      </c>
      <c r="P111" s="444">
        <f t="shared" si="29"/>
        <v>1</v>
      </c>
      <c r="Q111" s="429" t="s">
        <v>48</v>
      </c>
      <c r="R111" s="567">
        <v>4</v>
      </c>
      <c r="S111" s="469">
        <v>4</v>
      </c>
      <c r="T111" s="459">
        <v>4</v>
      </c>
      <c r="U111" s="459"/>
      <c r="V111" s="459"/>
      <c r="W111" s="459"/>
      <c r="X111" s="470">
        <f t="shared" si="30"/>
        <v>1</v>
      </c>
      <c r="Y111" s="430"/>
      <c r="Z111" s="458">
        <f t="shared" si="31"/>
        <v>0</v>
      </c>
      <c r="AA111" s="459">
        <v>0</v>
      </c>
      <c r="AB111" s="459">
        <v>0</v>
      </c>
      <c r="AC111" s="459">
        <v>0</v>
      </c>
      <c r="AD111" s="459">
        <v>0</v>
      </c>
      <c r="AE111" s="460">
        <f t="shared" si="32"/>
        <v>0</v>
      </c>
      <c r="AF111" s="322"/>
      <c r="AG111" s="431" t="e">
        <f>VLOOKUP(A111,'Feature Summary'!$A$7:$U$4055,21,FALSE)</f>
        <v>#N/A</v>
      </c>
      <c r="AH111" s="324"/>
    </row>
    <row r="112" spans="1:34" ht="102" hidden="1">
      <c r="A112" s="330" t="s">
        <v>955</v>
      </c>
      <c r="B112" s="553" t="s">
        <v>956</v>
      </c>
      <c r="C112" s="545"/>
      <c r="D112" s="546" t="s">
        <v>257</v>
      </c>
      <c r="E112" s="547"/>
      <c r="F112" s="554" t="s">
        <v>959</v>
      </c>
      <c r="G112" s="243" t="e">
        <f>VLOOKUP(A112,'Feature Summary'!$A$7:$C$4055,3,FALSE)</f>
        <v>#N/A</v>
      </c>
      <c r="H112" s="560" t="s">
        <v>960</v>
      </c>
      <c r="I112" s="429" t="s">
        <v>41</v>
      </c>
      <c r="J112" s="322"/>
      <c r="K112" s="561">
        <v>1</v>
      </c>
      <c r="L112" s="567">
        <v>5</v>
      </c>
      <c r="M112" s="567" t="s">
        <v>33</v>
      </c>
      <c r="N112" s="443">
        <v>1</v>
      </c>
      <c r="O112" s="567">
        <v>5</v>
      </c>
      <c r="P112" s="444">
        <f t="shared" si="29"/>
        <v>1</v>
      </c>
      <c r="Q112" s="429" t="s">
        <v>48</v>
      </c>
      <c r="R112" s="567">
        <v>5</v>
      </c>
      <c r="S112" s="469">
        <v>5</v>
      </c>
      <c r="T112" s="459">
        <v>5</v>
      </c>
      <c r="U112" s="459"/>
      <c r="V112" s="459"/>
      <c r="W112" s="459"/>
      <c r="X112" s="470">
        <f t="shared" si="30"/>
        <v>1</v>
      </c>
      <c r="Y112" s="430"/>
      <c r="Z112" s="458">
        <f t="shared" si="31"/>
        <v>0</v>
      </c>
      <c r="AA112" s="459">
        <v>0</v>
      </c>
      <c r="AB112" s="459">
        <v>0</v>
      </c>
      <c r="AC112" s="459">
        <v>0</v>
      </c>
      <c r="AD112" s="459">
        <v>0</v>
      </c>
      <c r="AE112" s="460">
        <f t="shared" si="32"/>
        <v>0</v>
      </c>
      <c r="AF112" s="322"/>
      <c r="AG112" s="431" t="e">
        <f>VLOOKUP(A112,'Feature Summary'!$A$7:$U$4055,21,FALSE)</f>
        <v>#N/A</v>
      </c>
      <c r="AH112" s="324"/>
    </row>
    <row r="113" spans="1:34" ht="102" hidden="1">
      <c r="A113" s="330" t="s">
        <v>955</v>
      </c>
      <c r="B113" s="553" t="s">
        <v>956</v>
      </c>
      <c r="C113" s="545"/>
      <c r="D113" s="546" t="s">
        <v>257</v>
      </c>
      <c r="E113" s="547"/>
      <c r="F113" s="554" t="s">
        <v>961</v>
      </c>
      <c r="G113" s="243" t="e">
        <f>VLOOKUP(A113,'Feature Summary'!$A$7:$C$4055,3,FALSE)</f>
        <v>#N/A</v>
      </c>
      <c r="H113" s="560" t="s">
        <v>962</v>
      </c>
      <c r="I113" s="429" t="s">
        <v>41</v>
      </c>
      <c r="J113" s="322"/>
      <c r="K113" s="561">
        <v>1</v>
      </c>
      <c r="L113" s="567">
        <v>4</v>
      </c>
      <c r="M113" s="567" t="s">
        <v>33</v>
      </c>
      <c r="N113" s="443">
        <v>1</v>
      </c>
      <c r="O113" s="567">
        <v>4</v>
      </c>
      <c r="P113" s="444">
        <f t="shared" si="29"/>
        <v>1</v>
      </c>
      <c r="Q113" s="429" t="s">
        <v>48</v>
      </c>
      <c r="R113" s="567">
        <v>4</v>
      </c>
      <c r="S113" s="469">
        <v>4</v>
      </c>
      <c r="T113" s="459">
        <v>4</v>
      </c>
      <c r="U113" s="459"/>
      <c r="V113" s="459"/>
      <c r="W113" s="459"/>
      <c r="X113" s="470">
        <f t="shared" si="30"/>
        <v>1</v>
      </c>
      <c r="Y113" s="430"/>
      <c r="Z113" s="458">
        <f t="shared" si="31"/>
        <v>0</v>
      </c>
      <c r="AA113" s="459">
        <v>0</v>
      </c>
      <c r="AB113" s="459">
        <v>0</v>
      </c>
      <c r="AC113" s="459">
        <v>0</v>
      </c>
      <c r="AD113" s="459">
        <v>0</v>
      </c>
      <c r="AE113" s="460">
        <f t="shared" si="32"/>
        <v>0</v>
      </c>
      <c r="AF113" s="322"/>
      <c r="AG113" s="431" t="e">
        <f>VLOOKUP(A113,'Feature Summary'!$A$7:$U$4055,21,FALSE)</f>
        <v>#N/A</v>
      </c>
      <c r="AH113" s="324"/>
    </row>
    <row r="114" spans="1:34" ht="102" hidden="1">
      <c r="A114" s="330" t="s">
        <v>955</v>
      </c>
      <c r="B114" s="553" t="s">
        <v>956</v>
      </c>
      <c r="C114" s="545"/>
      <c r="D114" s="546" t="s">
        <v>257</v>
      </c>
      <c r="E114" s="547"/>
      <c r="F114" s="554" t="s">
        <v>963</v>
      </c>
      <c r="G114" s="243" t="e">
        <f>VLOOKUP(A114,'Feature Summary'!$A$7:$C$4055,3,FALSE)</f>
        <v>#N/A</v>
      </c>
      <c r="H114" s="560" t="s">
        <v>964</v>
      </c>
      <c r="I114" s="429" t="s">
        <v>41</v>
      </c>
      <c r="J114" s="322"/>
      <c r="K114" s="561">
        <v>1</v>
      </c>
      <c r="L114" s="567">
        <v>4</v>
      </c>
      <c r="M114" s="567" t="s">
        <v>33</v>
      </c>
      <c r="N114" s="443">
        <v>1</v>
      </c>
      <c r="O114" s="567">
        <v>4</v>
      </c>
      <c r="P114" s="444">
        <f t="shared" si="29"/>
        <v>1</v>
      </c>
      <c r="Q114" s="429" t="s">
        <v>48</v>
      </c>
      <c r="R114" s="567">
        <v>4</v>
      </c>
      <c r="S114" s="469">
        <v>4</v>
      </c>
      <c r="T114" s="459">
        <v>4</v>
      </c>
      <c r="U114" s="459"/>
      <c r="V114" s="459"/>
      <c r="W114" s="459"/>
      <c r="X114" s="470">
        <f t="shared" si="30"/>
        <v>1</v>
      </c>
      <c r="Y114" s="430"/>
      <c r="Z114" s="458">
        <f t="shared" si="31"/>
        <v>0</v>
      </c>
      <c r="AA114" s="459">
        <v>0</v>
      </c>
      <c r="AB114" s="459">
        <v>0</v>
      </c>
      <c r="AC114" s="459">
        <v>0</v>
      </c>
      <c r="AD114" s="459">
        <v>0</v>
      </c>
      <c r="AE114" s="460">
        <f t="shared" si="32"/>
        <v>0</v>
      </c>
      <c r="AF114" s="322"/>
      <c r="AG114" s="431" t="e">
        <f>VLOOKUP(A114,'Feature Summary'!$A$7:$U$4055,21,FALSE)</f>
        <v>#N/A</v>
      </c>
      <c r="AH114" s="324"/>
    </row>
    <row r="115" spans="1:34" ht="102" hidden="1">
      <c r="A115" s="330" t="s">
        <v>955</v>
      </c>
      <c r="B115" s="553" t="s">
        <v>956</v>
      </c>
      <c r="C115" s="545"/>
      <c r="D115" s="546" t="s">
        <v>257</v>
      </c>
      <c r="E115" s="547"/>
      <c r="F115" s="554" t="s">
        <v>965</v>
      </c>
      <c r="G115" s="243" t="e">
        <f>VLOOKUP(A115,'Feature Summary'!$A$7:$C$4055,3,FALSE)</f>
        <v>#N/A</v>
      </c>
      <c r="H115" s="560" t="s">
        <v>966</v>
      </c>
      <c r="I115" s="429" t="s">
        <v>41</v>
      </c>
      <c r="J115" s="322"/>
      <c r="K115" s="561">
        <v>1</v>
      </c>
      <c r="L115" s="567">
        <v>4</v>
      </c>
      <c r="M115" s="567" t="s">
        <v>33</v>
      </c>
      <c r="N115" s="443">
        <v>1</v>
      </c>
      <c r="O115" s="567">
        <v>4</v>
      </c>
      <c r="P115" s="444">
        <f t="shared" si="29"/>
        <v>1</v>
      </c>
      <c r="Q115" s="429" t="s">
        <v>48</v>
      </c>
      <c r="R115" s="567">
        <v>4</v>
      </c>
      <c r="S115" s="469">
        <v>4</v>
      </c>
      <c r="T115" s="459">
        <v>4</v>
      </c>
      <c r="U115" s="459"/>
      <c r="V115" s="459"/>
      <c r="W115" s="459"/>
      <c r="X115" s="470">
        <f t="shared" si="30"/>
        <v>1</v>
      </c>
      <c r="Y115" s="430"/>
      <c r="Z115" s="458">
        <f t="shared" si="31"/>
        <v>0</v>
      </c>
      <c r="AA115" s="459">
        <v>0</v>
      </c>
      <c r="AB115" s="459">
        <v>0</v>
      </c>
      <c r="AC115" s="459">
        <v>0</v>
      </c>
      <c r="AD115" s="459">
        <v>0</v>
      </c>
      <c r="AE115" s="460">
        <f t="shared" si="32"/>
        <v>0</v>
      </c>
      <c r="AF115" s="322"/>
      <c r="AG115" s="431" t="e">
        <f>VLOOKUP(A115,'Feature Summary'!$A$7:$U$4055,21,FALSE)</f>
        <v>#N/A</v>
      </c>
      <c r="AH115" s="324"/>
    </row>
    <row r="116" spans="1:34" ht="102" hidden="1">
      <c r="A116" s="330" t="s">
        <v>955</v>
      </c>
      <c r="B116" s="553" t="s">
        <v>956</v>
      </c>
      <c r="C116" s="545"/>
      <c r="D116" s="546" t="s">
        <v>257</v>
      </c>
      <c r="E116" s="547"/>
      <c r="F116" s="554" t="s">
        <v>967</v>
      </c>
      <c r="G116" s="243" t="e">
        <f>VLOOKUP(A116,'Feature Summary'!$A$7:$C$4055,3,FALSE)</f>
        <v>#N/A</v>
      </c>
      <c r="H116" s="560" t="s">
        <v>968</v>
      </c>
      <c r="I116" s="429" t="s">
        <v>41</v>
      </c>
      <c r="J116" s="322"/>
      <c r="K116" s="561">
        <v>1</v>
      </c>
      <c r="L116" s="567">
        <v>4</v>
      </c>
      <c r="M116" s="567" t="s">
        <v>33</v>
      </c>
      <c r="N116" s="443">
        <v>1</v>
      </c>
      <c r="O116" s="567">
        <v>4</v>
      </c>
      <c r="P116" s="444">
        <f t="shared" si="29"/>
        <v>1</v>
      </c>
      <c r="Q116" s="429" t="s">
        <v>48</v>
      </c>
      <c r="R116" s="567">
        <v>4</v>
      </c>
      <c r="S116" s="469">
        <v>4</v>
      </c>
      <c r="T116" s="459">
        <v>4</v>
      </c>
      <c r="U116" s="459"/>
      <c r="V116" s="459"/>
      <c r="W116" s="459"/>
      <c r="X116" s="470">
        <f t="shared" si="30"/>
        <v>1</v>
      </c>
      <c r="Y116" s="430"/>
      <c r="Z116" s="458">
        <f t="shared" si="31"/>
        <v>0</v>
      </c>
      <c r="AA116" s="459">
        <v>0</v>
      </c>
      <c r="AB116" s="459">
        <v>0</v>
      </c>
      <c r="AC116" s="459">
        <v>0</v>
      </c>
      <c r="AD116" s="459">
        <v>0</v>
      </c>
      <c r="AE116" s="460">
        <f t="shared" si="32"/>
        <v>0</v>
      </c>
      <c r="AF116" s="322"/>
      <c r="AG116" s="431" t="e">
        <f>VLOOKUP(A116,'Feature Summary'!$A$7:$U$4055,21,FALSE)</f>
        <v>#N/A</v>
      </c>
      <c r="AH116" s="324"/>
    </row>
    <row r="117" spans="1:34" ht="102" hidden="1">
      <c r="A117" s="330" t="s">
        <v>969</v>
      </c>
      <c r="B117" s="553" t="s">
        <v>956</v>
      </c>
      <c r="C117" s="545"/>
      <c r="D117" s="546" t="s">
        <v>257</v>
      </c>
      <c r="E117" s="547"/>
      <c r="F117" s="554" t="s">
        <v>970</v>
      </c>
      <c r="G117" s="243" t="e">
        <f>VLOOKUP(A117,'Feature Summary'!$A$7:$C$4055,3,FALSE)</f>
        <v>#N/A</v>
      </c>
      <c r="H117" s="560" t="s">
        <v>971</v>
      </c>
      <c r="I117" s="429" t="s">
        <v>41</v>
      </c>
      <c r="J117" s="322"/>
      <c r="K117" s="561">
        <v>1</v>
      </c>
      <c r="L117" s="567">
        <v>4</v>
      </c>
      <c r="M117" s="567" t="s">
        <v>33</v>
      </c>
      <c r="N117" s="443">
        <v>1</v>
      </c>
      <c r="O117" s="567">
        <v>4</v>
      </c>
      <c r="P117" s="444">
        <f t="shared" si="29"/>
        <v>1</v>
      </c>
      <c r="Q117" s="429" t="s">
        <v>48</v>
      </c>
      <c r="R117" s="567">
        <v>4</v>
      </c>
      <c r="S117" s="469">
        <v>4</v>
      </c>
      <c r="T117" s="459">
        <v>4</v>
      </c>
      <c r="U117" s="459"/>
      <c r="V117" s="459"/>
      <c r="W117" s="459"/>
      <c r="X117" s="470">
        <f t="shared" si="30"/>
        <v>1</v>
      </c>
      <c r="Y117" s="430"/>
      <c r="Z117" s="458">
        <f t="shared" si="31"/>
        <v>0</v>
      </c>
      <c r="AA117" s="459">
        <v>0</v>
      </c>
      <c r="AB117" s="459">
        <v>0</v>
      </c>
      <c r="AC117" s="459">
        <v>0</v>
      </c>
      <c r="AD117" s="459">
        <v>0</v>
      </c>
      <c r="AE117" s="460">
        <f t="shared" si="32"/>
        <v>0</v>
      </c>
      <c r="AF117" s="322"/>
      <c r="AG117" s="431" t="e">
        <f>VLOOKUP(A117,'Feature Summary'!$A$7:$U$4055,21,FALSE)</f>
        <v>#N/A</v>
      </c>
      <c r="AH117" s="324"/>
    </row>
    <row r="118" spans="1:34" ht="102" hidden="1">
      <c r="A118" s="330" t="s">
        <v>955</v>
      </c>
      <c r="B118" s="553" t="s">
        <v>956</v>
      </c>
      <c r="C118" s="545"/>
      <c r="D118" s="546" t="s">
        <v>257</v>
      </c>
      <c r="E118" s="547"/>
      <c r="F118" s="554" t="s">
        <v>972</v>
      </c>
      <c r="G118" s="243" t="e">
        <f>VLOOKUP(A118,'Feature Summary'!$A$7:$C$4055,3,FALSE)</f>
        <v>#N/A</v>
      </c>
      <c r="H118" s="560" t="s">
        <v>973</v>
      </c>
      <c r="I118" s="429" t="s">
        <v>41</v>
      </c>
      <c r="J118" s="322"/>
      <c r="K118" s="561">
        <v>1</v>
      </c>
      <c r="L118" s="567">
        <v>4</v>
      </c>
      <c r="M118" s="567" t="s">
        <v>33</v>
      </c>
      <c r="N118" s="443">
        <v>1</v>
      </c>
      <c r="O118" s="567">
        <v>4</v>
      </c>
      <c r="P118" s="444">
        <f t="shared" si="29"/>
        <v>1</v>
      </c>
      <c r="Q118" s="429" t="s">
        <v>48</v>
      </c>
      <c r="R118" s="567">
        <v>4</v>
      </c>
      <c r="S118" s="469">
        <v>4</v>
      </c>
      <c r="T118" s="459">
        <v>4</v>
      </c>
      <c r="U118" s="459"/>
      <c r="V118" s="459"/>
      <c r="W118" s="459"/>
      <c r="X118" s="470">
        <f t="shared" si="30"/>
        <v>1</v>
      </c>
      <c r="Y118" s="430"/>
      <c r="Z118" s="458">
        <f t="shared" si="31"/>
        <v>0</v>
      </c>
      <c r="AA118" s="459">
        <v>0</v>
      </c>
      <c r="AB118" s="459">
        <v>0</v>
      </c>
      <c r="AC118" s="459">
        <v>0</v>
      </c>
      <c r="AD118" s="459">
        <v>0</v>
      </c>
      <c r="AE118" s="460">
        <f t="shared" si="32"/>
        <v>0</v>
      </c>
      <c r="AF118" s="322"/>
      <c r="AG118" s="431" t="e">
        <f>VLOOKUP(A118,'Feature Summary'!$A$7:$U$4055,21,FALSE)</f>
        <v>#N/A</v>
      </c>
      <c r="AH118" s="324"/>
    </row>
    <row r="119" spans="1:34" ht="102" hidden="1">
      <c r="A119" s="330" t="s">
        <v>955</v>
      </c>
      <c r="B119" s="553" t="s">
        <v>956</v>
      </c>
      <c r="C119" s="545"/>
      <c r="D119" s="546" t="s">
        <v>257</v>
      </c>
      <c r="E119" s="547"/>
      <c r="F119" s="554" t="s">
        <v>974</v>
      </c>
      <c r="G119" s="243" t="e">
        <f>VLOOKUP(A119,'Feature Summary'!$A$7:$C$4055,3,FALSE)</f>
        <v>#N/A</v>
      </c>
      <c r="H119" s="560" t="s">
        <v>975</v>
      </c>
      <c r="I119" s="429" t="s">
        <v>35</v>
      </c>
      <c r="J119" s="322"/>
      <c r="K119" s="561">
        <v>1</v>
      </c>
      <c r="L119" s="567">
        <v>4</v>
      </c>
      <c r="M119" s="567" t="s">
        <v>33</v>
      </c>
      <c r="N119" s="443">
        <v>1</v>
      </c>
      <c r="O119" s="567">
        <v>4</v>
      </c>
      <c r="P119" s="444">
        <f t="shared" si="29"/>
        <v>1</v>
      </c>
      <c r="Q119" s="429" t="s">
        <v>48</v>
      </c>
      <c r="R119" s="567">
        <v>4</v>
      </c>
      <c r="S119" s="469">
        <v>4</v>
      </c>
      <c r="T119" s="459">
        <v>4</v>
      </c>
      <c r="U119" s="459"/>
      <c r="V119" s="459"/>
      <c r="W119" s="459"/>
      <c r="X119" s="470">
        <f t="shared" si="30"/>
        <v>1</v>
      </c>
      <c r="Y119" s="430"/>
      <c r="Z119" s="458">
        <f t="shared" si="31"/>
        <v>0</v>
      </c>
      <c r="AA119" s="459">
        <v>0</v>
      </c>
      <c r="AB119" s="459">
        <v>0</v>
      </c>
      <c r="AC119" s="459">
        <v>0</v>
      </c>
      <c r="AD119" s="459">
        <v>0</v>
      </c>
      <c r="AE119" s="460">
        <f t="shared" si="32"/>
        <v>0</v>
      </c>
      <c r="AF119" s="322"/>
      <c r="AG119" s="431" t="e">
        <f>VLOOKUP(A119,'Feature Summary'!$A$7:$U$4055,21,FALSE)</f>
        <v>#N/A</v>
      </c>
      <c r="AH119" s="324"/>
    </row>
    <row r="120" spans="1:34" ht="120" hidden="1">
      <c r="A120" s="330" t="s">
        <v>976</v>
      </c>
      <c r="B120" s="553" t="s">
        <v>977</v>
      </c>
      <c r="C120" s="545"/>
      <c r="D120" s="546" t="s">
        <v>257</v>
      </c>
      <c r="E120" s="547"/>
      <c r="F120" s="554" t="s">
        <v>978</v>
      </c>
      <c r="G120" s="243" t="e">
        <f>VLOOKUP(A120,'Feature Summary'!$A$7:$C$4055,3,FALSE)</f>
        <v>#N/A</v>
      </c>
      <c r="H120" s="560" t="s">
        <v>979</v>
      </c>
      <c r="I120" s="429" t="s">
        <v>41</v>
      </c>
      <c r="J120" s="322"/>
      <c r="K120" s="561">
        <v>1</v>
      </c>
      <c r="L120" s="567">
        <v>4</v>
      </c>
      <c r="M120" s="567" t="s">
        <v>33</v>
      </c>
      <c r="N120" s="443">
        <v>1</v>
      </c>
      <c r="O120" s="567">
        <v>4</v>
      </c>
      <c r="P120" s="444">
        <f t="shared" si="29"/>
        <v>1</v>
      </c>
      <c r="Q120" s="429" t="s">
        <v>48</v>
      </c>
      <c r="R120" s="567">
        <v>4</v>
      </c>
      <c r="S120" s="469">
        <v>4</v>
      </c>
      <c r="T120" s="459">
        <v>4</v>
      </c>
      <c r="U120" s="459"/>
      <c r="V120" s="459"/>
      <c r="W120" s="459"/>
      <c r="X120" s="470">
        <f t="shared" si="30"/>
        <v>1</v>
      </c>
      <c r="Y120" s="430"/>
      <c r="Z120" s="458">
        <f t="shared" si="31"/>
        <v>0</v>
      </c>
      <c r="AA120" s="459">
        <v>0</v>
      </c>
      <c r="AB120" s="459">
        <v>0</v>
      </c>
      <c r="AC120" s="459">
        <v>0</v>
      </c>
      <c r="AD120" s="459">
        <v>0</v>
      </c>
      <c r="AE120" s="460">
        <f t="shared" si="32"/>
        <v>0</v>
      </c>
      <c r="AF120" s="322"/>
      <c r="AG120" s="431" t="e">
        <f>VLOOKUP(A120,'Feature Summary'!$A$7:$U$4055,21,FALSE)</f>
        <v>#N/A</v>
      </c>
      <c r="AH120" s="324"/>
    </row>
    <row r="121" spans="1:34" ht="102" hidden="1">
      <c r="A121" s="330" t="s">
        <v>980</v>
      </c>
      <c r="B121" s="553" t="s">
        <v>981</v>
      </c>
      <c r="C121" s="545"/>
      <c r="D121" s="546" t="s">
        <v>257</v>
      </c>
      <c r="E121" s="547"/>
      <c r="F121" s="554" t="s">
        <v>982</v>
      </c>
      <c r="G121" s="243" t="e">
        <f>VLOOKUP(A121,'Feature Summary'!$A$7:$C$4055,3,FALSE)</f>
        <v>#N/A</v>
      </c>
      <c r="H121" s="560" t="s">
        <v>983</v>
      </c>
      <c r="I121" s="429" t="s">
        <v>41</v>
      </c>
      <c r="J121" s="322"/>
      <c r="K121" s="561">
        <v>1</v>
      </c>
      <c r="L121" s="567">
        <v>4</v>
      </c>
      <c r="M121" s="567" t="s">
        <v>33</v>
      </c>
      <c r="N121" s="443">
        <v>1</v>
      </c>
      <c r="O121" s="567">
        <v>4</v>
      </c>
      <c r="P121" s="444">
        <f t="shared" si="29"/>
        <v>1</v>
      </c>
      <c r="Q121" s="429" t="s">
        <v>48</v>
      </c>
      <c r="R121" s="567">
        <v>4</v>
      </c>
      <c r="S121" s="469">
        <v>4</v>
      </c>
      <c r="T121" s="459">
        <v>4</v>
      </c>
      <c r="U121" s="459"/>
      <c r="V121" s="459"/>
      <c r="W121" s="459"/>
      <c r="X121" s="470">
        <f t="shared" si="30"/>
        <v>1</v>
      </c>
      <c r="Y121" s="430"/>
      <c r="Z121" s="458">
        <f t="shared" si="31"/>
        <v>0</v>
      </c>
      <c r="AA121" s="459">
        <v>0</v>
      </c>
      <c r="AB121" s="459">
        <v>0</v>
      </c>
      <c r="AC121" s="459">
        <v>0</v>
      </c>
      <c r="AD121" s="459">
        <v>0</v>
      </c>
      <c r="AE121" s="460">
        <f t="shared" si="32"/>
        <v>0</v>
      </c>
      <c r="AF121" s="322"/>
      <c r="AG121" s="431" t="e">
        <f>VLOOKUP(A121,'Feature Summary'!$A$7:$U$4055,21,FALSE)</f>
        <v>#N/A</v>
      </c>
      <c r="AH121" s="324"/>
    </row>
    <row r="122" spans="1:34" ht="102" hidden="1">
      <c r="A122" s="330" t="s">
        <v>980</v>
      </c>
      <c r="B122" s="553" t="s">
        <v>981</v>
      </c>
      <c r="C122" s="545"/>
      <c r="D122" s="546" t="s">
        <v>257</v>
      </c>
      <c r="E122" s="547"/>
      <c r="F122" s="554" t="s">
        <v>984</v>
      </c>
      <c r="G122" s="243" t="e">
        <f>VLOOKUP(A122,'Feature Summary'!$A$7:$C$4055,3,FALSE)</f>
        <v>#N/A</v>
      </c>
      <c r="H122" s="560" t="s">
        <v>985</v>
      </c>
      <c r="I122" s="429" t="s">
        <v>41</v>
      </c>
      <c r="J122" s="322"/>
      <c r="K122" s="561">
        <v>1</v>
      </c>
      <c r="L122" s="567">
        <v>4</v>
      </c>
      <c r="M122" s="567" t="s">
        <v>33</v>
      </c>
      <c r="N122" s="443">
        <v>1</v>
      </c>
      <c r="O122" s="567">
        <v>4</v>
      </c>
      <c r="P122" s="444">
        <f t="shared" si="29"/>
        <v>1</v>
      </c>
      <c r="Q122" s="429" t="s">
        <v>48</v>
      </c>
      <c r="R122" s="567">
        <v>4</v>
      </c>
      <c r="S122" s="469">
        <v>4</v>
      </c>
      <c r="T122" s="459">
        <v>4</v>
      </c>
      <c r="U122" s="459"/>
      <c r="V122" s="459"/>
      <c r="W122" s="459"/>
      <c r="X122" s="470">
        <f t="shared" si="30"/>
        <v>1</v>
      </c>
      <c r="Y122" s="430"/>
      <c r="Z122" s="458">
        <f t="shared" si="31"/>
        <v>0</v>
      </c>
      <c r="AA122" s="459">
        <v>0</v>
      </c>
      <c r="AB122" s="459">
        <v>0</v>
      </c>
      <c r="AC122" s="459">
        <v>0</v>
      </c>
      <c r="AD122" s="459">
        <v>0</v>
      </c>
      <c r="AE122" s="460">
        <f t="shared" si="32"/>
        <v>0</v>
      </c>
      <c r="AF122" s="322"/>
      <c r="AG122" s="431" t="e">
        <f>VLOOKUP(A122,'Feature Summary'!$A$7:$U$4055,21,FALSE)</f>
        <v>#N/A</v>
      </c>
      <c r="AH122" s="324"/>
    </row>
    <row r="123" spans="1:34" hidden="1">
      <c r="A123" s="328"/>
      <c r="B123" s="553"/>
      <c r="C123" s="545"/>
      <c r="D123" s="546" t="s">
        <v>257</v>
      </c>
      <c r="E123" s="547"/>
      <c r="F123" s="554" t="s">
        <v>986</v>
      </c>
      <c r="G123" s="243" t="s">
        <v>280</v>
      </c>
      <c r="H123" s="560" t="s">
        <v>987</v>
      </c>
      <c r="I123" s="429" t="s">
        <v>35</v>
      </c>
      <c r="J123" s="322"/>
      <c r="K123" s="561">
        <v>1</v>
      </c>
      <c r="L123" s="567">
        <v>2</v>
      </c>
      <c r="M123" s="567" t="s">
        <v>44</v>
      </c>
      <c r="N123" s="443">
        <v>1</v>
      </c>
      <c r="O123" s="567">
        <v>2</v>
      </c>
      <c r="P123" s="444">
        <f t="shared" si="29"/>
        <v>1</v>
      </c>
      <c r="Q123" s="429" t="s">
        <v>38</v>
      </c>
      <c r="R123" s="567">
        <v>2</v>
      </c>
      <c r="S123" s="469"/>
      <c r="T123" s="459"/>
      <c r="U123" s="459"/>
      <c r="V123" s="459"/>
      <c r="W123" s="459"/>
      <c r="X123" s="470"/>
      <c r="Y123" s="430"/>
      <c r="Z123" s="458"/>
      <c r="AA123" s="459"/>
      <c r="AB123" s="459"/>
      <c r="AC123" s="459"/>
      <c r="AD123" s="459"/>
      <c r="AE123" s="460"/>
      <c r="AF123" s="322"/>
      <c r="AG123" s="431"/>
      <c r="AH123" s="324"/>
    </row>
    <row r="124" spans="1:34" hidden="1">
      <c r="A124" s="584" t="s">
        <v>497</v>
      </c>
      <c r="B124" s="553" t="s">
        <v>498</v>
      </c>
      <c r="C124" s="545"/>
      <c r="D124" s="546" t="s">
        <v>257</v>
      </c>
      <c r="E124" s="547"/>
      <c r="F124" s="554" t="s">
        <v>988</v>
      </c>
      <c r="G124" s="243" t="str">
        <f>VLOOKUP(A124,'Feature Summary'!$A$7:$C$4055,3,FALSE)</f>
        <v>P2</v>
      </c>
      <c r="H124" s="559" t="s">
        <v>989</v>
      </c>
      <c r="I124" s="429" t="s">
        <v>41</v>
      </c>
      <c r="J124" s="322"/>
      <c r="K124" s="561">
        <v>1</v>
      </c>
      <c r="L124" s="567">
        <v>4</v>
      </c>
      <c r="M124" s="567" t="s">
        <v>33</v>
      </c>
      <c r="N124" s="443">
        <v>1</v>
      </c>
      <c r="O124" s="567">
        <v>4</v>
      </c>
      <c r="P124" s="444">
        <f t="shared" si="29"/>
        <v>1</v>
      </c>
      <c r="Q124" s="429" t="s">
        <v>48</v>
      </c>
      <c r="R124" s="567">
        <v>4</v>
      </c>
      <c r="S124" s="469"/>
      <c r="T124" s="459"/>
      <c r="U124" s="459"/>
      <c r="V124" s="459"/>
      <c r="W124" s="459"/>
      <c r="X124" s="470">
        <f t="shared" si="30"/>
        <v>0</v>
      </c>
      <c r="Y124" s="430"/>
      <c r="Z124" s="458">
        <f t="shared" si="31"/>
        <v>0</v>
      </c>
      <c r="AA124" s="459">
        <v>0</v>
      </c>
      <c r="AB124" s="459">
        <v>0</v>
      </c>
      <c r="AC124" s="459">
        <v>0</v>
      </c>
      <c r="AD124" s="459">
        <v>0</v>
      </c>
      <c r="AE124" s="460">
        <f t="shared" si="32"/>
        <v>0</v>
      </c>
      <c r="AF124" s="322"/>
      <c r="AG124" s="431" t="str">
        <f>VLOOKUP(A124,'Feature Summary'!$A$7:$U$4055,21,FALSE)</f>
        <v>w7</v>
      </c>
      <c r="AH124" s="324"/>
    </row>
    <row r="125" spans="1:34" hidden="1">
      <c r="A125" s="584" t="s">
        <v>497</v>
      </c>
      <c r="B125" s="553" t="s">
        <v>498</v>
      </c>
      <c r="C125" s="545"/>
      <c r="D125" s="546" t="s">
        <v>257</v>
      </c>
      <c r="E125" s="547"/>
      <c r="F125" s="554" t="s">
        <v>990</v>
      </c>
      <c r="G125" s="243" t="str">
        <f>VLOOKUP(A125,'Feature Summary'!$A$7:$C$4055,3,FALSE)</f>
        <v>P2</v>
      </c>
      <c r="H125" s="559" t="s">
        <v>991</v>
      </c>
      <c r="I125" s="429" t="s">
        <v>41</v>
      </c>
      <c r="J125" s="322"/>
      <c r="K125" s="561">
        <v>1</v>
      </c>
      <c r="L125" s="567">
        <v>15</v>
      </c>
      <c r="M125" s="567" t="s">
        <v>33</v>
      </c>
      <c r="N125" s="443">
        <v>1</v>
      </c>
      <c r="O125" s="567">
        <v>15</v>
      </c>
      <c r="P125" s="444">
        <f t="shared" si="29"/>
        <v>1</v>
      </c>
      <c r="Q125" s="429" t="s">
        <v>48</v>
      </c>
      <c r="R125" s="567">
        <v>15</v>
      </c>
      <c r="S125" s="469">
        <v>15</v>
      </c>
      <c r="T125" s="459">
        <v>2</v>
      </c>
      <c r="U125" s="459"/>
      <c r="V125" s="459">
        <v>13</v>
      </c>
      <c r="W125" s="459"/>
      <c r="X125" s="470">
        <f t="shared" si="30"/>
        <v>0.13333333333333333</v>
      </c>
      <c r="Y125" s="430"/>
      <c r="Z125" s="458">
        <f t="shared" si="31"/>
        <v>0</v>
      </c>
      <c r="AA125" s="459">
        <v>0</v>
      </c>
      <c r="AB125" s="459">
        <v>0</v>
      </c>
      <c r="AC125" s="459">
        <v>0</v>
      </c>
      <c r="AD125" s="459">
        <v>0</v>
      </c>
      <c r="AE125" s="460">
        <f t="shared" si="32"/>
        <v>0</v>
      </c>
      <c r="AF125" s="322"/>
      <c r="AG125" s="431" t="str">
        <f>VLOOKUP(A125,'Feature Summary'!$A$7:$U$4055,21,FALSE)</f>
        <v>w7</v>
      </c>
      <c r="AH125" s="324"/>
    </row>
    <row r="126" spans="1:34" hidden="1">
      <c r="A126" s="584" t="s">
        <v>497</v>
      </c>
      <c r="B126" s="553" t="s">
        <v>498</v>
      </c>
      <c r="C126" s="545"/>
      <c r="D126" s="546" t="s">
        <v>257</v>
      </c>
      <c r="E126" s="547"/>
      <c r="F126" s="554" t="s">
        <v>992</v>
      </c>
      <c r="G126" s="243" t="str">
        <f>VLOOKUP(A126,'Feature Summary'!$A$7:$C$4055,3,FALSE)</f>
        <v>P2</v>
      </c>
      <c r="H126" s="559" t="s">
        <v>993</v>
      </c>
      <c r="I126" s="429" t="s">
        <v>41</v>
      </c>
      <c r="J126" s="322"/>
      <c r="K126" s="561">
        <v>1</v>
      </c>
      <c r="L126" s="567">
        <v>15</v>
      </c>
      <c r="M126" s="567" t="s">
        <v>33</v>
      </c>
      <c r="N126" s="443">
        <v>1</v>
      </c>
      <c r="O126" s="567">
        <v>15</v>
      </c>
      <c r="P126" s="444">
        <f t="shared" si="29"/>
        <v>1</v>
      </c>
      <c r="Q126" s="429" t="s">
        <v>48</v>
      </c>
      <c r="R126" s="567">
        <v>15</v>
      </c>
      <c r="S126" s="469"/>
      <c r="T126" s="459"/>
      <c r="U126" s="459"/>
      <c r="V126" s="459"/>
      <c r="W126" s="459"/>
      <c r="X126" s="470">
        <f t="shared" si="30"/>
        <v>0</v>
      </c>
      <c r="Y126" s="430"/>
      <c r="Z126" s="458">
        <f t="shared" si="31"/>
        <v>0</v>
      </c>
      <c r="AA126" s="459">
        <v>0</v>
      </c>
      <c r="AB126" s="459">
        <v>0</v>
      </c>
      <c r="AC126" s="459">
        <v>0</v>
      </c>
      <c r="AD126" s="459">
        <v>0</v>
      </c>
      <c r="AE126" s="460">
        <f t="shared" si="32"/>
        <v>0</v>
      </c>
      <c r="AF126" s="322"/>
      <c r="AG126" s="431" t="str">
        <f>VLOOKUP(A126,'Feature Summary'!$A$7:$U$4055,21,FALSE)</f>
        <v>w7</v>
      </c>
      <c r="AH126" s="324"/>
    </row>
    <row r="127" spans="1:34" ht="29.1" hidden="1">
      <c r="A127" s="330" t="s">
        <v>495</v>
      </c>
      <c r="B127" s="553" t="s">
        <v>496</v>
      </c>
      <c r="C127" s="545"/>
      <c r="D127" s="546" t="s">
        <v>257</v>
      </c>
      <c r="E127" s="547"/>
      <c r="F127" s="554" t="s">
        <v>994</v>
      </c>
      <c r="G127" s="243" t="str">
        <f>VLOOKUP(A127,'Feature Summary'!$A$7:$C$4055,3,FALSE)</f>
        <v>P2</v>
      </c>
      <c r="H127" s="559" t="s">
        <v>995</v>
      </c>
      <c r="I127" s="429" t="s">
        <v>41</v>
      </c>
      <c r="J127" s="322"/>
      <c r="K127" s="561">
        <v>1</v>
      </c>
      <c r="L127" s="567">
        <v>15</v>
      </c>
      <c r="M127" s="567" t="s">
        <v>33</v>
      </c>
      <c r="N127" s="443">
        <v>1</v>
      </c>
      <c r="O127" s="567">
        <v>15</v>
      </c>
      <c r="P127" s="444">
        <f t="shared" si="29"/>
        <v>1</v>
      </c>
      <c r="Q127" s="429" t="s">
        <v>48</v>
      </c>
      <c r="R127" s="567">
        <v>15</v>
      </c>
      <c r="S127" s="469">
        <v>15</v>
      </c>
      <c r="T127" s="459">
        <v>11</v>
      </c>
      <c r="U127" s="459"/>
      <c r="V127" s="459">
        <v>4</v>
      </c>
      <c r="W127" s="459"/>
      <c r="X127" s="470">
        <f t="shared" si="30"/>
        <v>0.73333333333333328</v>
      </c>
      <c r="Y127" s="430"/>
      <c r="Z127" s="458">
        <f t="shared" si="31"/>
        <v>0</v>
      </c>
      <c r="AA127" s="459">
        <v>0</v>
      </c>
      <c r="AB127" s="459">
        <v>0</v>
      </c>
      <c r="AC127" s="459">
        <v>0</v>
      </c>
      <c r="AD127" s="459">
        <v>0</v>
      </c>
      <c r="AE127" s="460">
        <f t="shared" si="32"/>
        <v>0</v>
      </c>
      <c r="AF127" s="322"/>
      <c r="AG127" s="431" t="str">
        <f>VLOOKUP(A127,'Feature Summary'!$A$7:$U$4055,21,FALSE)</f>
        <v>w7</v>
      </c>
      <c r="AH127" s="324"/>
    </row>
    <row r="128" spans="1:34" ht="29.1" hidden="1">
      <c r="A128" s="330" t="s">
        <v>495</v>
      </c>
      <c r="B128" s="553" t="s">
        <v>496</v>
      </c>
      <c r="C128" s="545"/>
      <c r="D128" s="546" t="s">
        <v>257</v>
      </c>
      <c r="E128" s="547"/>
      <c r="F128" s="554" t="s">
        <v>996</v>
      </c>
      <c r="G128" s="243" t="str">
        <f>VLOOKUP(A128,'Feature Summary'!$A$7:$C$4055,3,FALSE)</f>
        <v>P2</v>
      </c>
      <c r="H128" s="559" t="s">
        <v>997</v>
      </c>
      <c r="I128" s="429" t="s">
        <v>35</v>
      </c>
      <c r="J128" s="322"/>
      <c r="K128" s="561">
        <v>1</v>
      </c>
      <c r="L128" s="567">
        <v>169</v>
      </c>
      <c r="M128" s="567" t="s">
        <v>33</v>
      </c>
      <c r="N128" s="443">
        <v>1</v>
      </c>
      <c r="O128" s="567">
        <v>169</v>
      </c>
      <c r="P128" s="444">
        <f t="shared" ref="P128" si="33">IF((O128=0),0,(O128/L128))</f>
        <v>1</v>
      </c>
      <c r="Q128" s="429" t="s">
        <v>48</v>
      </c>
      <c r="R128" s="567">
        <v>169</v>
      </c>
      <c r="S128" s="469">
        <v>169</v>
      </c>
      <c r="T128" s="459">
        <v>169</v>
      </c>
      <c r="U128" s="459"/>
      <c r="V128" s="459"/>
      <c r="W128" s="459"/>
      <c r="X128" s="470">
        <f t="shared" ref="X128" si="34">IF((S128=0),0,((T128+U128)/S128*100%))</f>
        <v>1</v>
      </c>
      <c r="Y128" s="430"/>
      <c r="Z128" s="458">
        <f t="shared" ref="Z128" si="35">SUM(AA128:AD128)</f>
        <v>0</v>
      </c>
      <c r="AA128" s="459">
        <v>0</v>
      </c>
      <c r="AB128" s="459">
        <v>0</v>
      </c>
      <c r="AC128" s="459">
        <v>0</v>
      </c>
      <c r="AD128" s="459">
        <v>0</v>
      </c>
      <c r="AE128" s="460">
        <f t="shared" ref="AE128" si="36">IF((Z128=0),0,((AA128+AB128)/Z128*100%))</f>
        <v>0</v>
      </c>
      <c r="AF128" s="322"/>
      <c r="AG128" s="431" t="str">
        <f>VLOOKUP(A128,'Feature Summary'!$A$7:$U$4055,21,FALSE)</f>
        <v>w7</v>
      </c>
      <c r="AH128" s="324"/>
    </row>
    <row r="129" spans="1:34" ht="29.1" hidden="1">
      <c r="A129" s="330" t="s">
        <v>495</v>
      </c>
      <c r="B129" s="553" t="s">
        <v>496</v>
      </c>
      <c r="C129" s="545"/>
      <c r="D129" s="546" t="s">
        <v>257</v>
      </c>
      <c r="E129" s="547"/>
      <c r="F129" s="554" t="s">
        <v>998</v>
      </c>
      <c r="G129" s="243" t="str">
        <f>VLOOKUP(A129,'Feature Summary'!$A$7:$C$4055,3,FALSE)</f>
        <v>P2</v>
      </c>
      <c r="H129" s="559" t="s">
        <v>999</v>
      </c>
      <c r="I129" s="429" t="s">
        <v>41</v>
      </c>
      <c r="J129" s="322"/>
      <c r="K129" s="561">
        <v>1</v>
      </c>
      <c r="L129" s="567">
        <f>136*2</f>
        <v>272</v>
      </c>
      <c r="M129" s="567" t="s">
        <v>33</v>
      </c>
      <c r="N129" s="443">
        <v>1</v>
      </c>
      <c r="O129" s="567">
        <f>2*136</f>
        <v>272</v>
      </c>
      <c r="P129" s="444">
        <f t="shared" si="29"/>
        <v>1</v>
      </c>
      <c r="Q129" s="429" t="s">
        <v>48</v>
      </c>
      <c r="R129" s="567">
        <f>2*136</f>
        <v>272</v>
      </c>
      <c r="S129" s="469">
        <v>272</v>
      </c>
      <c r="T129" s="459">
        <v>272</v>
      </c>
      <c r="U129" s="459"/>
      <c r="V129" s="459"/>
      <c r="W129" s="459"/>
      <c r="X129" s="470">
        <f t="shared" si="30"/>
        <v>1</v>
      </c>
      <c r="Y129" s="430"/>
      <c r="Z129" s="458">
        <f t="shared" si="31"/>
        <v>0</v>
      </c>
      <c r="AA129" s="459">
        <v>0</v>
      </c>
      <c r="AB129" s="459">
        <v>0</v>
      </c>
      <c r="AC129" s="459">
        <v>0</v>
      </c>
      <c r="AD129" s="459">
        <v>0</v>
      </c>
      <c r="AE129" s="460">
        <f t="shared" si="32"/>
        <v>0</v>
      </c>
      <c r="AF129" s="322"/>
      <c r="AG129" s="431" t="str">
        <f>VLOOKUP(A129,'Feature Summary'!$A$7:$U$4055,21,FALSE)</f>
        <v>w7</v>
      </c>
      <c r="AH129" s="324"/>
    </row>
    <row r="130" spans="1:34" ht="29.1" hidden="1">
      <c r="A130" s="330" t="s">
        <v>495</v>
      </c>
      <c r="B130" s="553" t="s">
        <v>496</v>
      </c>
      <c r="C130" s="545"/>
      <c r="D130" s="546" t="s">
        <v>257</v>
      </c>
      <c r="E130" s="547"/>
      <c r="F130" s="554" t="s">
        <v>1000</v>
      </c>
      <c r="G130" s="243" t="str">
        <f>VLOOKUP(A130,'Feature Summary'!$A$7:$C$4055,3,FALSE)</f>
        <v>P2</v>
      </c>
      <c r="H130" s="560" t="s">
        <v>1001</v>
      </c>
      <c r="I130" s="429" t="s">
        <v>41</v>
      </c>
      <c r="J130" s="322"/>
      <c r="K130" s="561">
        <v>1</v>
      </c>
      <c r="L130" s="567">
        <v>24</v>
      </c>
      <c r="M130" s="567" t="s">
        <v>33</v>
      </c>
      <c r="N130" s="443">
        <v>1</v>
      </c>
      <c r="O130" s="567">
        <v>24</v>
      </c>
      <c r="P130" s="444">
        <f t="shared" si="29"/>
        <v>1</v>
      </c>
      <c r="Q130" s="429" t="s">
        <v>48</v>
      </c>
      <c r="R130" s="567">
        <v>24</v>
      </c>
      <c r="S130" s="469">
        <v>24</v>
      </c>
      <c r="T130" s="459">
        <v>24</v>
      </c>
      <c r="U130" s="459"/>
      <c r="V130" s="459"/>
      <c r="W130" s="459"/>
      <c r="X130" s="470">
        <f t="shared" si="30"/>
        <v>1</v>
      </c>
      <c r="Y130" s="430"/>
      <c r="Z130" s="458">
        <f t="shared" si="31"/>
        <v>0</v>
      </c>
      <c r="AA130" s="459">
        <v>0</v>
      </c>
      <c r="AB130" s="459">
        <v>0</v>
      </c>
      <c r="AC130" s="459">
        <v>0</v>
      </c>
      <c r="AD130" s="459">
        <v>0</v>
      </c>
      <c r="AE130" s="460">
        <f t="shared" si="32"/>
        <v>0</v>
      </c>
      <c r="AF130" s="322"/>
      <c r="AG130" s="431" t="str">
        <f>VLOOKUP(A130,'Feature Summary'!$A$7:$U$4055,21,FALSE)</f>
        <v>w7</v>
      </c>
      <c r="AH130" s="324"/>
    </row>
    <row r="131" spans="1:34" ht="29.1" hidden="1">
      <c r="A131" s="330" t="s">
        <v>495</v>
      </c>
      <c r="B131" s="553" t="s">
        <v>496</v>
      </c>
      <c r="C131" s="545"/>
      <c r="D131" s="546" t="s">
        <v>257</v>
      </c>
      <c r="E131" s="547"/>
      <c r="F131" s="554" t="s">
        <v>1002</v>
      </c>
      <c r="G131" s="243" t="str">
        <f>VLOOKUP(A131,'Feature Summary'!$A$7:$C$4055,3,FALSE)</f>
        <v>P2</v>
      </c>
      <c r="H131" s="560" t="s">
        <v>1003</v>
      </c>
      <c r="I131" s="429" t="s">
        <v>41</v>
      </c>
      <c r="J131" s="322"/>
      <c r="K131" s="561">
        <v>1</v>
      </c>
      <c r="L131" s="567">
        <v>24</v>
      </c>
      <c r="M131" s="567" t="s">
        <v>33</v>
      </c>
      <c r="N131" s="443">
        <v>1</v>
      </c>
      <c r="O131" s="567">
        <v>24</v>
      </c>
      <c r="P131" s="444">
        <v>1</v>
      </c>
      <c r="Q131" s="429" t="s">
        <v>48</v>
      </c>
      <c r="R131" s="567">
        <v>12</v>
      </c>
      <c r="S131" s="469">
        <v>12</v>
      </c>
      <c r="T131" s="459">
        <v>12</v>
      </c>
      <c r="U131" s="459"/>
      <c r="V131" s="459"/>
      <c r="W131" s="459"/>
      <c r="X131" s="470">
        <f t="shared" si="30"/>
        <v>1</v>
      </c>
      <c r="Y131" s="430"/>
      <c r="Z131" s="458">
        <f t="shared" si="31"/>
        <v>0</v>
      </c>
      <c r="AA131" s="459">
        <v>0</v>
      </c>
      <c r="AB131" s="459">
        <v>0</v>
      </c>
      <c r="AC131" s="459">
        <v>0</v>
      </c>
      <c r="AD131" s="459">
        <v>0</v>
      </c>
      <c r="AE131" s="460">
        <f t="shared" si="32"/>
        <v>0</v>
      </c>
      <c r="AF131" s="322"/>
      <c r="AG131" s="431" t="str">
        <f>VLOOKUP(A131,'Feature Summary'!$A$7:$U$4055,21,FALSE)</f>
        <v>w7</v>
      </c>
      <c r="AH131" s="324"/>
    </row>
    <row r="132" spans="1:34" ht="29.1" hidden="1">
      <c r="A132" s="330" t="s">
        <v>495</v>
      </c>
      <c r="B132" s="553" t="s">
        <v>496</v>
      </c>
      <c r="C132" s="545"/>
      <c r="D132" s="546" t="s">
        <v>257</v>
      </c>
      <c r="E132" s="547"/>
      <c r="F132" s="554" t="s">
        <v>944</v>
      </c>
      <c r="G132" s="243" t="str">
        <f>VLOOKUP(A132,'Feature Summary'!$A$7:$C$4055,3,FALSE)</f>
        <v>P2</v>
      </c>
      <c r="H132" s="560" t="s">
        <v>1004</v>
      </c>
      <c r="I132" s="429" t="s">
        <v>41</v>
      </c>
      <c r="J132" s="322"/>
      <c r="K132" s="561">
        <v>1</v>
      </c>
      <c r="L132" s="567">
        <v>34</v>
      </c>
      <c r="M132" s="567" t="s">
        <v>33</v>
      </c>
      <c r="N132" s="443">
        <v>1</v>
      </c>
      <c r="O132" s="567">
        <v>34</v>
      </c>
      <c r="P132" s="444">
        <f t="shared" si="29"/>
        <v>1</v>
      </c>
      <c r="Q132" s="429" t="s">
        <v>48</v>
      </c>
      <c r="R132" s="567">
        <v>34</v>
      </c>
      <c r="S132" s="469">
        <v>34</v>
      </c>
      <c r="T132" s="459">
        <v>34</v>
      </c>
      <c r="U132" s="459"/>
      <c r="V132" s="459"/>
      <c r="W132" s="459"/>
      <c r="X132" s="470">
        <f t="shared" si="30"/>
        <v>1</v>
      </c>
      <c r="Y132" s="430"/>
      <c r="Z132" s="458">
        <f t="shared" si="31"/>
        <v>0</v>
      </c>
      <c r="AA132" s="459">
        <v>0</v>
      </c>
      <c r="AB132" s="459">
        <v>0</v>
      </c>
      <c r="AC132" s="459">
        <v>0</v>
      </c>
      <c r="AD132" s="459">
        <v>0</v>
      </c>
      <c r="AE132" s="460">
        <f t="shared" si="32"/>
        <v>0</v>
      </c>
      <c r="AF132" s="322"/>
      <c r="AG132" s="431" t="str">
        <f>VLOOKUP(A132,'Feature Summary'!$A$7:$U$4055,21,FALSE)</f>
        <v>w7</v>
      </c>
      <c r="AH132" s="324"/>
    </row>
    <row r="133" spans="1:34" ht="29.1" hidden="1">
      <c r="A133" s="330" t="s">
        <v>513</v>
      </c>
      <c r="B133" s="553" t="s">
        <v>514</v>
      </c>
      <c r="C133" s="545"/>
      <c r="D133" s="546" t="s">
        <v>257</v>
      </c>
      <c r="E133" s="547"/>
      <c r="F133" s="554" t="s">
        <v>1005</v>
      </c>
      <c r="G133" s="243" t="str">
        <f>VLOOKUP(A133,'Feature Summary'!$A$7:$C$4055,3,FALSE)</f>
        <v>P2</v>
      </c>
      <c r="H133" s="560" t="s">
        <v>1006</v>
      </c>
      <c r="I133" s="429" t="s">
        <v>41</v>
      </c>
      <c r="J133" s="322"/>
      <c r="K133" s="561">
        <v>1</v>
      </c>
      <c r="L133" s="567">
        <v>6</v>
      </c>
      <c r="M133" s="567" t="s">
        <v>33</v>
      </c>
      <c r="N133" s="443">
        <v>1</v>
      </c>
      <c r="O133" s="567">
        <v>6</v>
      </c>
      <c r="P133" s="444">
        <f t="shared" si="29"/>
        <v>1</v>
      </c>
      <c r="Q133" s="429" t="s">
        <v>48</v>
      </c>
      <c r="R133" s="567">
        <v>6</v>
      </c>
      <c r="S133" s="469"/>
      <c r="T133" s="459"/>
      <c r="U133" s="459"/>
      <c r="V133" s="459"/>
      <c r="W133" s="459"/>
      <c r="X133" s="470">
        <f t="shared" si="30"/>
        <v>0</v>
      </c>
      <c r="Y133" s="430"/>
      <c r="Z133" s="458">
        <f t="shared" si="31"/>
        <v>0</v>
      </c>
      <c r="AA133" s="459">
        <v>0</v>
      </c>
      <c r="AB133" s="459">
        <v>0</v>
      </c>
      <c r="AC133" s="459">
        <v>0</v>
      </c>
      <c r="AD133" s="459">
        <v>0</v>
      </c>
      <c r="AE133" s="460">
        <f t="shared" si="32"/>
        <v>0</v>
      </c>
      <c r="AF133" s="322"/>
      <c r="AG133" s="431" t="str">
        <f>VLOOKUP(A133,'Feature Summary'!$A$7:$U$4055,21,FALSE)</f>
        <v>w7</v>
      </c>
      <c r="AH133" s="324"/>
    </row>
    <row r="134" spans="1:34" ht="58.35" hidden="1">
      <c r="A134" s="330" t="s">
        <v>1007</v>
      </c>
      <c r="B134" s="553" t="s">
        <v>1008</v>
      </c>
      <c r="C134" s="545"/>
      <c r="D134" s="546" t="s">
        <v>257</v>
      </c>
      <c r="E134" s="547"/>
      <c r="F134" s="554" t="s">
        <v>1009</v>
      </c>
      <c r="G134" s="243" t="e">
        <f>VLOOKUP(A134,'Feature Summary'!$A$7:$C$4055,3,FALSE)</f>
        <v>#N/A</v>
      </c>
      <c r="H134" s="559" t="s">
        <v>1010</v>
      </c>
      <c r="I134" s="429" t="s">
        <v>41</v>
      </c>
      <c r="J134" s="322"/>
      <c r="K134" s="561">
        <v>1</v>
      </c>
      <c r="L134" s="567">
        <v>12</v>
      </c>
      <c r="M134" s="567" t="s">
        <v>33</v>
      </c>
      <c r="N134" s="443">
        <v>1</v>
      </c>
      <c r="O134" s="567">
        <v>12</v>
      </c>
      <c r="P134" s="444">
        <f t="shared" si="29"/>
        <v>1</v>
      </c>
      <c r="Q134" s="429" t="s">
        <v>48</v>
      </c>
      <c r="R134" s="567">
        <v>12</v>
      </c>
      <c r="S134" s="469">
        <v>12</v>
      </c>
      <c r="T134" s="459"/>
      <c r="U134" s="459"/>
      <c r="V134" s="459"/>
      <c r="W134" s="459">
        <v>12</v>
      </c>
      <c r="X134" s="470">
        <f t="shared" si="30"/>
        <v>0</v>
      </c>
      <c r="Y134" s="430"/>
      <c r="Z134" s="458">
        <f t="shared" si="31"/>
        <v>0</v>
      </c>
      <c r="AA134" s="459">
        <v>0</v>
      </c>
      <c r="AB134" s="459">
        <v>0</v>
      </c>
      <c r="AC134" s="459">
        <v>0</v>
      </c>
      <c r="AD134" s="459">
        <v>0</v>
      </c>
      <c r="AE134" s="460">
        <f t="shared" si="32"/>
        <v>0</v>
      </c>
      <c r="AF134" s="322"/>
      <c r="AG134" s="431" t="e">
        <f>VLOOKUP(A134,'Feature Summary'!$A$7:$U$4055,21,FALSE)</f>
        <v>#N/A</v>
      </c>
      <c r="AH134" s="324"/>
    </row>
    <row r="135" spans="1:34" ht="58.35" hidden="1">
      <c r="A135" s="330" t="s">
        <v>1011</v>
      </c>
      <c r="B135" s="553" t="s">
        <v>1012</v>
      </c>
      <c r="C135" s="545"/>
      <c r="D135" s="546" t="s">
        <v>257</v>
      </c>
      <c r="E135" s="547"/>
      <c r="F135" s="554" t="s">
        <v>1013</v>
      </c>
      <c r="G135" s="243" t="e">
        <f>VLOOKUP(A135,'Feature Summary'!$A$7:$C$4055,3,FALSE)</f>
        <v>#N/A</v>
      </c>
      <c r="H135" s="559" t="s">
        <v>1014</v>
      </c>
      <c r="I135" s="429" t="s">
        <v>35</v>
      </c>
      <c r="J135" s="322"/>
      <c r="K135" s="561">
        <v>1</v>
      </c>
      <c r="L135" s="567">
        <v>63</v>
      </c>
      <c r="M135" s="567" t="s">
        <v>33</v>
      </c>
      <c r="N135" s="443">
        <v>1</v>
      </c>
      <c r="O135" s="567">
        <v>63</v>
      </c>
      <c r="P135" s="444">
        <f t="shared" si="29"/>
        <v>1</v>
      </c>
      <c r="Q135" s="429" t="s">
        <v>48</v>
      </c>
      <c r="R135" s="567">
        <v>63</v>
      </c>
      <c r="S135" s="469">
        <v>63</v>
      </c>
      <c r="T135" s="459">
        <v>63</v>
      </c>
      <c r="U135" s="459">
        <v>0</v>
      </c>
      <c r="V135" s="459">
        <v>0</v>
      </c>
      <c r="W135" s="459">
        <v>0</v>
      </c>
      <c r="X135" s="470">
        <f t="shared" si="30"/>
        <v>1</v>
      </c>
      <c r="Y135" s="430"/>
      <c r="Z135" s="458">
        <f t="shared" si="31"/>
        <v>0</v>
      </c>
      <c r="AA135" s="459">
        <v>0</v>
      </c>
      <c r="AB135" s="459">
        <v>0</v>
      </c>
      <c r="AC135" s="459">
        <v>0</v>
      </c>
      <c r="AD135" s="459">
        <v>0</v>
      </c>
      <c r="AE135" s="460">
        <f t="shared" si="32"/>
        <v>0</v>
      </c>
      <c r="AF135" s="322"/>
      <c r="AG135" s="431" t="e">
        <f>VLOOKUP(A135,'Feature Summary'!$A$7:$U$4055,21,FALSE)</f>
        <v>#N/A</v>
      </c>
      <c r="AH135" s="324"/>
    </row>
    <row r="136" spans="1:34" ht="29.1" hidden="1">
      <c r="A136" s="330" t="s">
        <v>485</v>
      </c>
      <c r="B136" s="553" t="s">
        <v>486</v>
      </c>
      <c r="C136" s="545"/>
      <c r="D136" s="546" t="s">
        <v>257</v>
      </c>
      <c r="E136" s="547"/>
      <c r="F136" s="554" t="s">
        <v>1015</v>
      </c>
      <c r="G136" s="243" t="str">
        <f>VLOOKUP(A136,'Feature Summary'!$A$7:$C$4055,3,FALSE)</f>
        <v>P2</v>
      </c>
      <c r="H136" s="559" t="s">
        <v>1016</v>
      </c>
      <c r="I136" s="429" t="s">
        <v>41</v>
      </c>
      <c r="J136" s="322"/>
      <c r="K136" s="561">
        <v>1</v>
      </c>
      <c r="L136" s="567">
        <v>7</v>
      </c>
      <c r="M136" s="567" t="s">
        <v>33</v>
      </c>
      <c r="N136" s="443">
        <v>1</v>
      </c>
      <c r="O136" s="567">
        <v>7</v>
      </c>
      <c r="P136" s="444">
        <f t="shared" si="29"/>
        <v>1</v>
      </c>
      <c r="Q136" s="429" t="s">
        <v>48</v>
      </c>
      <c r="R136" s="567">
        <v>7</v>
      </c>
      <c r="S136" s="469">
        <v>7</v>
      </c>
      <c r="T136" s="459"/>
      <c r="U136" s="459"/>
      <c r="V136" s="459">
        <v>7</v>
      </c>
      <c r="W136" s="459"/>
      <c r="X136" s="470">
        <f t="shared" si="30"/>
        <v>0</v>
      </c>
      <c r="Y136" s="430"/>
      <c r="Z136" s="458">
        <f t="shared" si="31"/>
        <v>0</v>
      </c>
      <c r="AA136" s="459">
        <v>0</v>
      </c>
      <c r="AB136" s="459">
        <v>0</v>
      </c>
      <c r="AC136" s="459">
        <v>0</v>
      </c>
      <c r="AD136" s="459">
        <v>0</v>
      </c>
      <c r="AE136" s="460">
        <f t="shared" si="32"/>
        <v>0</v>
      </c>
      <c r="AF136" s="322"/>
      <c r="AG136" s="431" t="str">
        <f>VLOOKUP(A136,'Feature Summary'!$A$7:$U$4055,21,FALSE)</f>
        <v>w7</v>
      </c>
      <c r="AH136" s="324"/>
    </row>
    <row r="137" spans="1:34" ht="29.1" hidden="1">
      <c r="A137" s="330" t="s">
        <v>485</v>
      </c>
      <c r="B137" s="553" t="s">
        <v>486</v>
      </c>
      <c r="C137" s="545"/>
      <c r="D137" s="546" t="s">
        <v>257</v>
      </c>
      <c r="E137" s="547"/>
      <c r="F137" s="554" t="s">
        <v>1017</v>
      </c>
      <c r="G137" s="243" t="str">
        <f>VLOOKUP(A137,'Feature Summary'!$A$7:$C$4055,3,FALSE)</f>
        <v>P2</v>
      </c>
      <c r="H137" s="559" t="s">
        <v>1018</v>
      </c>
      <c r="I137" s="429" t="s">
        <v>41</v>
      </c>
      <c r="J137" s="322"/>
      <c r="K137" s="561">
        <v>1</v>
      </c>
      <c r="L137" s="567">
        <v>7</v>
      </c>
      <c r="M137" s="567" t="s">
        <v>33</v>
      </c>
      <c r="N137" s="443">
        <v>1</v>
      </c>
      <c r="O137" s="567">
        <v>7</v>
      </c>
      <c r="P137" s="444">
        <f t="shared" si="29"/>
        <v>1</v>
      </c>
      <c r="Q137" s="429" t="s">
        <v>48</v>
      </c>
      <c r="R137" s="567">
        <v>7</v>
      </c>
      <c r="S137" s="469">
        <v>7</v>
      </c>
      <c r="T137" s="459">
        <v>7</v>
      </c>
      <c r="U137" s="459"/>
      <c r="V137" s="459"/>
      <c r="W137" s="459"/>
      <c r="X137" s="470">
        <f t="shared" si="30"/>
        <v>1</v>
      </c>
      <c r="Y137" s="430"/>
      <c r="Z137" s="458">
        <f t="shared" si="31"/>
        <v>0</v>
      </c>
      <c r="AA137" s="459">
        <v>0</v>
      </c>
      <c r="AB137" s="459">
        <v>0</v>
      </c>
      <c r="AC137" s="459">
        <v>0</v>
      </c>
      <c r="AD137" s="459">
        <v>0</v>
      </c>
      <c r="AE137" s="460">
        <f t="shared" si="32"/>
        <v>0</v>
      </c>
      <c r="AF137" s="322"/>
      <c r="AG137" s="431" t="str">
        <f>VLOOKUP(A137,'Feature Summary'!$A$7:$U$4055,21,FALSE)</f>
        <v>w7</v>
      </c>
      <c r="AH137" s="324"/>
    </row>
    <row r="138" spans="1:34" ht="29.1" hidden="1">
      <c r="A138" s="330" t="s">
        <v>485</v>
      </c>
      <c r="B138" s="553" t="s">
        <v>486</v>
      </c>
      <c r="C138" s="555"/>
      <c r="D138" s="546" t="s">
        <v>257</v>
      </c>
      <c r="E138" s="547"/>
      <c r="F138" s="554" t="s">
        <v>1019</v>
      </c>
      <c r="G138" s="243" t="str">
        <f>VLOOKUP(A138,'Feature Summary'!$A$7:$C$4055,3,FALSE)</f>
        <v>P2</v>
      </c>
      <c r="H138" s="559" t="s">
        <v>1020</v>
      </c>
      <c r="I138" s="429" t="s">
        <v>41</v>
      </c>
      <c r="J138" s="322"/>
      <c r="K138" s="561">
        <v>1</v>
      </c>
      <c r="L138" s="567">
        <v>1</v>
      </c>
      <c r="M138" s="567" t="s">
        <v>33</v>
      </c>
      <c r="N138" s="443">
        <v>1</v>
      </c>
      <c r="O138" s="567">
        <v>1</v>
      </c>
      <c r="P138" s="444">
        <f t="shared" si="29"/>
        <v>1</v>
      </c>
      <c r="Q138" s="429" t="s">
        <v>48</v>
      </c>
      <c r="R138" s="567">
        <v>1</v>
      </c>
      <c r="S138" s="469">
        <v>1</v>
      </c>
      <c r="T138" s="459"/>
      <c r="U138" s="459"/>
      <c r="V138" s="459">
        <v>1</v>
      </c>
      <c r="W138" s="459"/>
      <c r="X138" s="470">
        <f t="shared" si="30"/>
        <v>0</v>
      </c>
      <c r="Y138" s="430"/>
      <c r="Z138" s="458">
        <f t="shared" si="31"/>
        <v>0</v>
      </c>
      <c r="AA138" s="459">
        <v>0</v>
      </c>
      <c r="AB138" s="459">
        <v>0</v>
      </c>
      <c r="AC138" s="459">
        <v>0</v>
      </c>
      <c r="AD138" s="459">
        <v>0</v>
      </c>
      <c r="AE138" s="460">
        <f t="shared" si="32"/>
        <v>0</v>
      </c>
      <c r="AF138" s="322"/>
      <c r="AG138" s="431" t="str">
        <f>VLOOKUP(A138,'Feature Summary'!$A$7:$U$4055,21,FALSE)</f>
        <v>w7</v>
      </c>
      <c r="AH138" s="324"/>
    </row>
    <row r="139" spans="1:34" ht="29.1" hidden="1">
      <c r="A139" s="330" t="s">
        <v>487</v>
      </c>
      <c r="B139" s="553" t="s">
        <v>488</v>
      </c>
      <c r="C139" s="545"/>
      <c r="D139" s="546" t="s">
        <v>257</v>
      </c>
      <c r="E139" s="547"/>
      <c r="F139" s="554" t="s">
        <v>1021</v>
      </c>
      <c r="G139" s="243" t="str">
        <f>VLOOKUP(A139,'Feature Summary'!$A$7:$C$4055,3,FALSE)</f>
        <v>P2</v>
      </c>
      <c r="H139" s="559" t="s">
        <v>1022</v>
      </c>
      <c r="I139" s="429" t="s">
        <v>41</v>
      </c>
      <c r="J139" s="322"/>
      <c r="K139" s="561">
        <v>1</v>
      </c>
      <c r="L139" s="567">
        <v>1</v>
      </c>
      <c r="M139" s="567" t="s">
        <v>33</v>
      </c>
      <c r="N139" s="443">
        <v>1</v>
      </c>
      <c r="O139" s="567">
        <v>1</v>
      </c>
      <c r="P139" s="444">
        <f t="shared" si="29"/>
        <v>1</v>
      </c>
      <c r="Q139" s="429" t="s">
        <v>48</v>
      </c>
      <c r="R139" s="567">
        <v>1</v>
      </c>
      <c r="S139" s="469">
        <v>1</v>
      </c>
      <c r="T139" s="459">
        <v>1</v>
      </c>
      <c r="U139" s="459"/>
      <c r="V139" s="459"/>
      <c r="W139" s="459"/>
      <c r="X139" s="470">
        <f t="shared" si="30"/>
        <v>1</v>
      </c>
      <c r="Y139" s="430"/>
      <c r="Z139" s="458">
        <f t="shared" si="31"/>
        <v>0</v>
      </c>
      <c r="AA139" s="459">
        <v>0</v>
      </c>
      <c r="AB139" s="459">
        <v>0</v>
      </c>
      <c r="AC139" s="459">
        <v>0</v>
      </c>
      <c r="AD139" s="459">
        <v>0</v>
      </c>
      <c r="AE139" s="460">
        <f t="shared" si="32"/>
        <v>0</v>
      </c>
      <c r="AF139" s="322"/>
      <c r="AG139" s="431" t="str">
        <f>VLOOKUP(A139,'Feature Summary'!$A$7:$U$4055,21,FALSE)</f>
        <v>w7</v>
      </c>
      <c r="AH139" s="324"/>
    </row>
    <row r="140" spans="1:34" ht="49.7" hidden="1">
      <c r="A140" s="598" t="s">
        <v>1023</v>
      </c>
      <c r="B140" s="553" t="s">
        <v>1024</v>
      </c>
      <c r="C140" s="545"/>
      <c r="D140" s="546" t="s">
        <v>257</v>
      </c>
      <c r="E140" s="547"/>
      <c r="F140" s="554" t="s">
        <v>1025</v>
      </c>
      <c r="G140" s="243" t="e">
        <f>VLOOKUP(A140,'Feature Summary'!$A$7:$C$4055,3,FALSE)</f>
        <v>#N/A</v>
      </c>
      <c r="H140" s="559" t="s">
        <v>1026</v>
      </c>
      <c r="I140" s="429" t="s">
        <v>41</v>
      </c>
      <c r="J140" s="322"/>
      <c r="K140" s="561">
        <v>1</v>
      </c>
      <c r="L140" s="567">
        <v>5</v>
      </c>
      <c r="M140" s="567" t="s">
        <v>33</v>
      </c>
      <c r="N140" s="443">
        <v>1</v>
      </c>
      <c r="O140" s="567">
        <v>5</v>
      </c>
      <c r="P140" s="444">
        <f t="shared" si="29"/>
        <v>1</v>
      </c>
      <c r="Q140" s="429" t="s">
        <v>48</v>
      </c>
      <c r="R140" s="567">
        <v>5</v>
      </c>
      <c r="S140" s="469">
        <v>5</v>
      </c>
      <c r="T140" s="459">
        <v>5</v>
      </c>
      <c r="U140" s="459"/>
      <c r="V140" s="459"/>
      <c r="W140" s="459"/>
      <c r="X140" s="470">
        <f t="shared" si="30"/>
        <v>1</v>
      </c>
      <c r="Y140" s="430"/>
      <c r="Z140" s="458">
        <f t="shared" si="31"/>
        <v>0</v>
      </c>
      <c r="AA140" s="459">
        <v>0</v>
      </c>
      <c r="AB140" s="459">
        <v>0</v>
      </c>
      <c r="AC140" s="459">
        <v>0</v>
      </c>
      <c r="AD140" s="459">
        <v>0</v>
      </c>
      <c r="AE140" s="460">
        <f t="shared" si="32"/>
        <v>0</v>
      </c>
      <c r="AF140" s="322"/>
      <c r="AG140" s="431" t="e">
        <f>VLOOKUP(A140,'Feature Summary'!$A$7:$U$4055,21,FALSE)</f>
        <v>#N/A</v>
      </c>
      <c r="AH140" s="324"/>
    </row>
    <row r="141" spans="1:34" ht="49.7" hidden="1">
      <c r="A141" s="598" t="s">
        <v>1023</v>
      </c>
      <c r="B141" s="553" t="s">
        <v>1024</v>
      </c>
      <c r="C141" s="545"/>
      <c r="D141" s="546" t="s">
        <v>257</v>
      </c>
      <c r="E141" s="547"/>
      <c r="F141" s="554" t="s">
        <v>1027</v>
      </c>
      <c r="G141" s="243" t="e">
        <f>VLOOKUP(A141,'Feature Summary'!$A$7:$C$4055,3,FALSE)</f>
        <v>#N/A</v>
      </c>
      <c r="H141" s="559" t="s">
        <v>1028</v>
      </c>
      <c r="I141" s="429" t="s">
        <v>41</v>
      </c>
      <c r="J141" s="322"/>
      <c r="K141" s="561">
        <v>1</v>
      </c>
      <c r="L141" s="567">
        <v>5</v>
      </c>
      <c r="M141" s="567" t="s">
        <v>33</v>
      </c>
      <c r="N141" s="443">
        <v>1</v>
      </c>
      <c r="O141" s="567">
        <v>5</v>
      </c>
      <c r="P141" s="444">
        <f t="shared" si="29"/>
        <v>1</v>
      </c>
      <c r="Q141" s="429" t="s">
        <v>48</v>
      </c>
      <c r="R141" s="567">
        <v>5</v>
      </c>
      <c r="S141" s="469">
        <v>5</v>
      </c>
      <c r="T141" s="459">
        <v>5</v>
      </c>
      <c r="U141" s="459"/>
      <c r="V141" s="459"/>
      <c r="W141" s="459"/>
      <c r="X141" s="470">
        <f t="shared" si="30"/>
        <v>1</v>
      </c>
      <c r="Y141" s="430"/>
      <c r="Z141" s="458">
        <f t="shared" si="31"/>
        <v>0</v>
      </c>
      <c r="AA141" s="459">
        <v>0</v>
      </c>
      <c r="AB141" s="459">
        <v>0</v>
      </c>
      <c r="AC141" s="459">
        <v>0</v>
      </c>
      <c r="AD141" s="459">
        <v>0</v>
      </c>
      <c r="AE141" s="460">
        <f t="shared" si="32"/>
        <v>0</v>
      </c>
      <c r="AF141" s="322"/>
      <c r="AG141" s="431" t="e">
        <f>VLOOKUP(A141,'Feature Summary'!$A$7:$U$4055,21,FALSE)</f>
        <v>#N/A</v>
      </c>
      <c r="AH141" s="324"/>
    </row>
    <row r="142" spans="1:34" ht="49.7" hidden="1">
      <c r="A142" s="598" t="s">
        <v>1023</v>
      </c>
      <c r="B142" s="553" t="s">
        <v>1024</v>
      </c>
      <c r="C142" s="545"/>
      <c r="D142" s="546" t="s">
        <v>257</v>
      </c>
      <c r="E142" s="547"/>
      <c r="F142" s="554" t="s">
        <v>1029</v>
      </c>
      <c r="G142" s="243" t="e">
        <f>VLOOKUP(A142,'Feature Summary'!$A$7:$C$4055,3,FALSE)</f>
        <v>#N/A</v>
      </c>
      <c r="H142" s="559" t="s">
        <v>1030</v>
      </c>
      <c r="I142" s="429" t="s">
        <v>35</v>
      </c>
      <c r="J142" s="322"/>
      <c r="K142" s="561">
        <v>1</v>
      </c>
      <c r="L142" s="567">
        <v>6</v>
      </c>
      <c r="M142" s="567" t="s">
        <v>33</v>
      </c>
      <c r="N142" s="443">
        <v>1</v>
      </c>
      <c r="O142" s="567">
        <v>6</v>
      </c>
      <c r="P142" s="444">
        <f t="shared" si="29"/>
        <v>1</v>
      </c>
      <c r="Q142" s="429" t="s">
        <v>48</v>
      </c>
      <c r="R142" s="567">
        <v>6</v>
      </c>
      <c r="S142" s="469">
        <v>6</v>
      </c>
      <c r="T142" s="459">
        <v>6</v>
      </c>
      <c r="U142" s="459"/>
      <c r="V142" s="459"/>
      <c r="W142" s="459"/>
      <c r="X142" s="470">
        <f t="shared" si="30"/>
        <v>1</v>
      </c>
      <c r="Y142" s="430"/>
      <c r="Z142" s="458">
        <f t="shared" si="31"/>
        <v>0</v>
      </c>
      <c r="AA142" s="459">
        <v>0</v>
      </c>
      <c r="AB142" s="459">
        <v>0</v>
      </c>
      <c r="AC142" s="459">
        <v>0</v>
      </c>
      <c r="AD142" s="459">
        <v>0</v>
      </c>
      <c r="AE142" s="460">
        <f t="shared" si="32"/>
        <v>0</v>
      </c>
      <c r="AF142" s="322"/>
      <c r="AG142" s="431" t="e">
        <f>VLOOKUP(A142,'Feature Summary'!$A$7:$U$4055,21,FALSE)</f>
        <v>#N/A</v>
      </c>
      <c r="AH142" s="324"/>
    </row>
    <row r="143" spans="1:34" ht="102" hidden="1">
      <c r="A143" s="556" t="s">
        <v>1031</v>
      </c>
      <c r="B143" s="553" t="s">
        <v>1032</v>
      </c>
      <c r="C143" s="545"/>
      <c r="D143" s="546" t="s">
        <v>257</v>
      </c>
      <c r="E143" s="547"/>
      <c r="F143" s="554" t="s">
        <v>1033</v>
      </c>
      <c r="G143" s="243" t="e">
        <f>VLOOKUP(A143,'Feature Summary'!$A$7:$C$4055,3,FALSE)</f>
        <v>#N/A</v>
      </c>
      <c r="H143" s="559" t="s">
        <v>1034</v>
      </c>
      <c r="I143" s="429" t="s">
        <v>41</v>
      </c>
      <c r="J143" s="322"/>
      <c r="K143" s="561">
        <v>1</v>
      </c>
      <c r="L143" s="567">
        <v>3</v>
      </c>
      <c r="M143" s="567" t="s">
        <v>33</v>
      </c>
      <c r="N143" s="443">
        <v>1</v>
      </c>
      <c r="O143" s="567">
        <v>3</v>
      </c>
      <c r="P143" s="444">
        <f t="shared" si="29"/>
        <v>1</v>
      </c>
      <c r="Q143" s="429" t="s">
        <v>48</v>
      </c>
      <c r="R143" s="567">
        <v>3</v>
      </c>
      <c r="S143" s="469">
        <v>3</v>
      </c>
      <c r="T143" s="459">
        <v>3</v>
      </c>
      <c r="U143" s="459"/>
      <c r="V143" s="459"/>
      <c r="W143" s="459"/>
      <c r="X143" s="470">
        <f t="shared" si="30"/>
        <v>1</v>
      </c>
      <c r="Y143" s="430"/>
      <c r="Z143" s="458">
        <f t="shared" si="31"/>
        <v>0</v>
      </c>
      <c r="AA143" s="459">
        <v>0</v>
      </c>
      <c r="AB143" s="459">
        <v>0</v>
      </c>
      <c r="AC143" s="459">
        <v>0</v>
      </c>
      <c r="AD143" s="459">
        <v>0</v>
      </c>
      <c r="AE143" s="460">
        <f t="shared" si="32"/>
        <v>0</v>
      </c>
      <c r="AF143" s="322"/>
      <c r="AG143" s="431" t="e">
        <f>VLOOKUP(A143,'Feature Summary'!$A$7:$U$4055,21,FALSE)</f>
        <v>#N/A</v>
      </c>
      <c r="AH143" s="324"/>
    </row>
    <row r="144" spans="1:34" ht="102" hidden="1">
      <c r="A144" s="556" t="s">
        <v>1031</v>
      </c>
      <c r="B144" s="553" t="s">
        <v>1032</v>
      </c>
      <c r="C144" s="545"/>
      <c r="D144" s="546" t="s">
        <v>257</v>
      </c>
      <c r="E144" s="547"/>
      <c r="F144" s="554" t="s">
        <v>1033</v>
      </c>
      <c r="G144" s="243" t="e">
        <f>VLOOKUP(A144,'Feature Summary'!$A$7:$C$4055,3,FALSE)</f>
        <v>#N/A</v>
      </c>
      <c r="H144" s="559" t="s">
        <v>1035</v>
      </c>
      <c r="I144" s="429" t="s">
        <v>41</v>
      </c>
      <c r="J144" s="322"/>
      <c r="K144" s="561">
        <v>1</v>
      </c>
      <c r="L144" s="567">
        <v>3</v>
      </c>
      <c r="M144" s="567" t="s">
        <v>33</v>
      </c>
      <c r="N144" s="443">
        <v>1</v>
      </c>
      <c r="O144" s="567">
        <v>3</v>
      </c>
      <c r="P144" s="444">
        <f t="shared" si="29"/>
        <v>1</v>
      </c>
      <c r="Q144" s="429" t="s">
        <v>48</v>
      </c>
      <c r="R144" s="567">
        <v>3</v>
      </c>
      <c r="S144" s="469">
        <v>3</v>
      </c>
      <c r="T144" s="459">
        <v>3</v>
      </c>
      <c r="U144" s="459"/>
      <c r="V144" s="459"/>
      <c r="W144" s="459"/>
      <c r="X144" s="470">
        <f t="shared" si="30"/>
        <v>1</v>
      </c>
      <c r="Y144" s="430"/>
      <c r="Z144" s="458">
        <f t="shared" si="31"/>
        <v>0</v>
      </c>
      <c r="AA144" s="459">
        <v>0</v>
      </c>
      <c r="AB144" s="459">
        <v>0</v>
      </c>
      <c r="AC144" s="459">
        <v>0</v>
      </c>
      <c r="AD144" s="459">
        <v>0</v>
      </c>
      <c r="AE144" s="460">
        <f t="shared" si="32"/>
        <v>0</v>
      </c>
      <c r="AF144" s="322"/>
      <c r="AG144" s="431" t="e">
        <f>VLOOKUP(A144,'Feature Summary'!$A$7:$U$4055,21,FALSE)</f>
        <v>#N/A</v>
      </c>
      <c r="AH144" s="324"/>
    </row>
    <row r="145" spans="1:34" ht="102" hidden="1">
      <c r="A145" s="556" t="s">
        <v>1031</v>
      </c>
      <c r="B145" s="553" t="s">
        <v>1032</v>
      </c>
      <c r="C145" s="545"/>
      <c r="D145" s="546" t="s">
        <v>257</v>
      </c>
      <c r="E145" s="547"/>
      <c r="F145" s="554" t="s">
        <v>1033</v>
      </c>
      <c r="G145" s="243" t="e">
        <f>VLOOKUP(A145,'Feature Summary'!$A$7:$C$4055,3,FALSE)</f>
        <v>#N/A</v>
      </c>
      <c r="H145" s="559" t="s">
        <v>1036</v>
      </c>
      <c r="I145" s="429" t="s">
        <v>41</v>
      </c>
      <c r="J145" s="322"/>
      <c r="K145" s="561">
        <v>1</v>
      </c>
      <c r="L145" s="567">
        <v>3</v>
      </c>
      <c r="M145" s="567" t="s">
        <v>33</v>
      </c>
      <c r="N145" s="443">
        <v>1</v>
      </c>
      <c r="O145" s="567">
        <v>3</v>
      </c>
      <c r="P145" s="444">
        <f t="shared" si="29"/>
        <v>1</v>
      </c>
      <c r="Q145" s="429" t="s">
        <v>48</v>
      </c>
      <c r="R145" s="567">
        <v>3</v>
      </c>
      <c r="S145" s="469">
        <v>3</v>
      </c>
      <c r="T145" s="459">
        <v>3</v>
      </c>
      <c r="U145" s="459"/>
      <c r="V145" s="459"/>
      <c r="W145" s="459"/>
      <c r="X145" s="470">
        <f t="shared" si="30"/>
        <v>1</v>
      </c>
      <c r="Y145" s="430"/>
      <c r="Z145" s="458">
        <f t="shared" si="31"/>
        <v>0</v>
      </c>
      <c r="AA145" s="459">
        <v>0</v>
      </c>
      <c r="AB145" s="459">
        <v>0</v>
      </c>
      <c r="AC145" s="459">
        <v>0</v>
      </c>
      <c r="AD145" s="459">
        <v>0</v>
      </c>
      <c r="AE145" s="460">
        <f t="shared" si="32"/>
        <v>0</v>
      </c>
      <c r="AF145" s="322"/>
      <c r="AG145" s="431" t="e">
        <f>VLOOKUP(A145,'Feature Summary'!$A$7:$U$4055,21,FALSE)</f>
        <v>#N/A</v>
      </c>
      <c r="AH145" s="324"/>
    </row>
    <row r="146" spans="1:34" ht="102" hidden="1">
      <c r="A146" s="556" t="s">
        <v>1031</v>
      </c>
      <c r="B146" s="553" t="s">
        <v>1032</v>
      </c>
      <c r="C146" s="545"/>
      <c r="D146" s="546" t="s">
        <v>257</v>
      </c>
      <c r="E146" s="547"/>
      <c r="F146" s="554" t="s">
        <v>1037</v>
      </c>
      <c r="G146" s="243" t="e">
        <f>VLOOKUP(A146,'Feature Summary'!$A$7:$C$4055,3,FALSE)</f>
        <v>#N/A</v>
      </c>
      <c r="H146" s="559" t="s">
        <v>1038</v>
      </c>
      <c r="I146" s="429" t="s">
        <v>41</v>
      </c>
      <c r="J146" s="322"/>
      <c r="K146" s="561">
        <v>1</v>
      </c>
      <c r="L146" s="567">
        <v>3</v>
      </c>
      <c r="M146" s="567" t="s">
        <v>33</v>
      </c>
      <c r="N146" s="443">
        <v>1</v>
      </c>
      <c r="O146" s="567">
        <v>3</v>
      </c>
      <c r="P146" s="444">
        <f t="shared" si="29"/>
        <v>1</v>
      </c>
      <c r="Q146" s="429" t="s">
        <v>48</v>
      </c>
      <c r="R146" s="567">
        <v>3</v>
      </c>
      <c r="S146" s="469">
        <v>3</v>
      </c>
      <c r="T146" s="459">
        <v>3</v>
      </c>
      <c r="U146" s="459"/>
      <c r="V146" s="459"/>
      <c r="W146" s="459"/>
      <c r="X146" s="470">
        <f t="shared" si="30"/>
        <v>1</v>
      </c>
      <c r="Y146" s="430"/>
      <c r="Z146" s="458">
        <f t="shared" si="31"/>
        <v>0</v>
      </c>
      <c r="AA146" s="459">
        <v>0</v>
      </c>
      <c r="AB146" s="459">
        <v>0</v>
      </c>
      <c r="AC146" s="459">
        <v>0</v>
      </c>
      <c r="AD146" s="459">
        <v>0</v>
      </c>
      <c r="AE146" s="460">
        <f t="shared" si="32"/>
        <v>0</v>
      </c>
      <c r="AF146" s="322"/>
      <c r="AG146" s="431" t="e">
        <f>VLOOKUP(A146,'Feature Summary'!$A$7:$U$4055,21,FALSE)</f>
        <v>#N/A</v>
      </c>
      <c r="AH146" s="324"/>
    </row>
    <row r="147" spans="1:34" ht="102" hidden="1">
      <c r="A147" s="556" t="s">
        <v>1031</v>
      </c>
      <c r="B147" s="553" t="s">
        <v>1032</v>
      </c>
      <c r="C147" s="545"/>
      <c r="D147" s="546" t="s">
        <v>257</v>
      </c>
      <c r="E147" s="547"/>
      <c r="F147" s="554" t="s">
        <v>1037</v>
      </c>
      <c r="G147" s="243" t="e">
        <f>VLOOKUP(A147,'Feature Summary'!$A$7:$C$4055,3,FALSE)</f>
        <v>#N/A</v>
      </c>
      <c r="H147" s="559" t="s">
        <v>1039</v>
      </c>
      <c r="I147" s="429" t="s">
        <v>41</v>
      </c>
      <c r="J147" s="322"/>
      <c r="K147" s="561">
        <v>1</v>
      </c>
      <c r="L147" s="567">
        <v>3</v>
      </c>
      <c r="M147" s="567" t="s">
        <v>33</v>
      </c>
      <c r="N147" s="443">
        <v>1</v>
      </c>
      <c r="O147" s="567">
        <v>3</v>
      </c>
      <c r="P147" s="444">
        <f t="shared" si="29"/>
        <v>1</v>
      </c>
      <c r="Q147" s="429" t="s">
        <v>48</v>
      </c>
      <c r="R147" s="567">
        <v>3</v>
      </c>
      <c r="S147" s="469">
        <v>3</v>
      </c>
      <c r="T147" s="459">
        <v>3</v>
      </c>
      <c r="U147" s="459"/>
      <c r="V147" s="459"/>
      <c r="W147" s="459"/>
      <c r="X147" s="470">
        <f t="shared" si="30"/>
        <v>1</v>
      </c>
      <c r="Y147" s="430"/>
      <c r="Z147" s="458">
        <f t="shared" si="31"/>
        <v>0</v>
      </c>
      <c r="AA147" s="459">
        <v>0</v>
      </c>
      <c r="AB147" s="459">
        <v>0</v>
      </c>
      <c r="AC147" s="459">
        <v>0</v>
      </c>
      <c r="AD147" s="459">
        <v>0</v>
      </c>
      <c r="AE147" s="460">
        <f t="shared" si="32"/>
        <v>0</v>
      </c>
      <c r="AF147" s="322"/>
      <c r="AG147" s="431" t="e">
        <f>VLOOKUP(A147,'Feature Summary'!$A$7:$U$4055,21,FALSE)</f>
        <v>#N/A</v>
      </c>
      <c r="AH147" s="324"/>
    </row>
    <row r="148" spans="1:34" ht="102" hidden="1">
      <c r="A148" s="556" t="s">
        <v>1031</v>
      </c>
      <c r="B148" s="553" t="s">
        <v>1032</v>
      </c>
      <c r="C148" s="545"/>
      <c r="D148" s="546" t="s">
        <v>257</v>
      </c>
      <c r="E148" s="547"/>
      <c r="F148" s="554" t="s">
        <v>1037</v>
      </c>
      <c r="G148" s="243" t="e">
        <f>VLOOKUP(A148,'Feature Summary'!$A$7:$C$4055,3,FALSE)</f>
        <v>#N/A</v>
      </c>
      <c r="H148" s="559" t="s">
        <v>1040</v>
      </c>
      <c r="I148" s="429" t="s">
        <v>41</v>
      </c>
      <c r="J148" s="322"/>
      <c r="K148" s="561">
        <v>1</v>
      </c>
      <c r="L148" s="567">
        <v>3</v>
      </c>
      <c r="M148" s="567" t="s">
        <v>33</v>
      </c>
      <c r="N148" s="443">
        <v>1</v>
      </c>
      <c r="O148" s="567">
        <v>3</v>
      </c>
      <c r="P148" s="444">
        <f t="shared" si="29"/>
        <v>1</v>
      </c>
      <c r="Q148" s="429" t="s">
        <v>48</v>
      </c>
      <c r="R148" s="567">
        <v>3</v>
      </c>
      <c r="S148" s="469">
        <v>3</v>
      </c>
      <c r="T148" s="459">
        <v>3</v>
      </c>
      <c r="U148" s="459"/>
      <c r="V148" s="459"/>
      <c r="W148" s="459"/>
      <c r="X148" s="470">
        <f t="shared" si="30"/>
        <v>1</v>
      </c>
      <c r="Y148" s="430"/>
      <c r="Z148" s="458">
        <f t="shared" si="31"/>
        <v>0</v>
      </c>
      <c r="AA148" s="459">
        <v>0</v>
      </c>
      <c r="AB148" s="459">
        <v>0</v>
      </c>
      <c r="AC148" s="459">
        <v>0</v>
      </c>
      <c r="AD148" s="459">
        <v>0</v>
      </c>
      <c r="AE148" s="460">
        <f t="shared" si="32"/>
        <v>0</v>
      </c>
      <c r="AF148" s="322"/>
      <c r="AG148" s="431" t="e">
        <f>VLOOKUP(A148,'Feature Summary'!$A$7:$U$4055,21,FALSE)</f>
        <v>#N/A</v>
      </c>
      <c r="AH148" s="324"/>
    </row>
    <row r="149" spans="1:34" ht="29.1" hidden="1">
      <c r="A149" s="330" t="s">
        <v>585</v>
      </c>
      <c r="B149" s="553" t="s">
        <v>1041</v>
      </c>
      <c r="C149" s="545"/>
      <c r="D149" s="546" t="s">
        <v>257</v>
      </c>
      <c r="E149" s="547"/>
      <c r="F149" s="554" t="s">
        <v>1042</v>
      </c>
      <c r="G149" s="243" t="str">
        <f>VLOOKUP(A149,'Feature Summary'!$A$7:$C$4055,3,FALSE)</f>
        <v>P2</v>
      </c>
      <c r="H149" s="559" t="s">
        <v>1043</v>
      </c>
      <c r="I149" s="429" t="s">
        <v>41</v>
      </c>
      <c r="J149" s="322"/>
      <c r="K149" s="561">
        <v>0</v>
      </c>
      <c r="L149" s="567">
        <v>1</v>
      </c>
      <c r="M149" s="567" t="s">
        <v>33</v>
      </c>
      <c r="N149" s="443">
        <v>1</v>
      </c>
      <c r="O149" s="567">
        <v>1</v>
      </c>
      <c r="P149" s="444">
        <f t="shared" si="29"/>
        <v>1</v>
      </c>
      <c r="Q149" s="429" t="s">
        <v>48</v>
      </c>
      <c r="R149" s="567">
        <v>1</v>
      </c>
      <c r="S149" s="469">
        <v>1</v>
      </c>
      <c r="T149" s="459">
        <v>1</v>
      </c>
      <c r="U149" s="459"/>
      <c r="V149" s="459"/>
      <c r="W149" s="459"/>
      <c r="X149" s="470">
        <f t="shared" si="30"/>
        <v>1</v>
      </c>
      <c r="Y149" s="430"/>
      <c r="Z149" s="458">
        <f t="shared" si="31"/>
        <v>0</v>
      </c>
      <c r="AA149" s="459">
        <v>0</v>
      </c>
      <c r="AB149" s="459">
        <v>0</v>
      </c>
      <c r="AC149" s="459">
        <v>0</v>
      </c>
      <c r="AD149" s="459">
        <v>0</v>
      </c>
      <c r="AE149" s="460">
        <f t="shared" si="32"/>
        <v>0</v>
      </c>
      <c r="AF149" s="322"/>
      <c r="AG149" s="431" t="str">
        <f>VLOOKUP(A149,'Feature Summary'!$A$7:$U$4055,21,FALSE)</f>
        <v>w7</v>
      </c>
      <c r="AH149" s="324"/>
    </row>
    <row r="150" spans="1:34" ht="29.1" hidden="1">
      <c r="A150" s="330" t="s">
        <v>585</v>
      </c>
      <c r="B150" s="553" t="s">
        <v>1041</v>
      </c>
      <c r="C150" s="545"/>
      <c r="D150" s="546" t="s">
        <v>257</v>
      </c>
      <c r="E150" s="547"/>
      <c r="F150" s="554" t="s">
        <v>1044</v>
      </c>
      <c r="G150" s="243" t="str">
        <f>VLOOKUP(A150,'Feature Summary'!$A$7:$C$4055,3,FALSE)</f>
        <v>P2</v>
      </c>
      <c r="H150" s="559" t="s">
        <v>1045</v>
      </c>
      <c r="I150" s="429" t="s">
        <v>41</v>
      </c>
      <c r="J150" s="322"/>
      <c r="K150" s="561">
        <v>0</v>
      </c>
      <c r="L150" s="567">
        <v>1</v>
      </c>
      <c r="M150" s="567" t="s">
        <v>33</v>
      </c>
      <c r="N150" s="443">
        <v>1</v>
      </c>
      <c r="O150" s="567">
        <v>1</v>
      </c>
      <c r="P150" s="444">
        <f t="shared" si="29"/>
        <v>1</v>
      </c>
      <c r="Q150" s="429" t="s">
        <v>48</v>
      </c>
      <c r="R150" s="567">
        <v>1</v>
      </c>
      <c r="S150" s="469"/>
      <c r="T150" s="459"/>
      <c r="U150" s="459"/>
      <c r="V150" s="459"/>
      <c r="W150" s="459"/>
      <c r="X150" s="470">
        <f t="shared" si="30"/>
        <v>0</v>
      </c>
      <c r="Y150" s="430"/>
      <c r="Z150" s="458">
        <f t="shared" si="31"/>
        <v>0</v>
      </c>
      <c r="AA150" s="459">
        <v>0</v>
      </c>
      <c r="AB150" s="459">
        <v>0</v>
      </c>
      <c r="AC150" s="459">
        <v>0</v>
      </c>
      <c r="AD150" s="459">
        <v>0</v>
      </c>
      <c r="AE150" s="460">
        <f t="shared" si="32"/>
        <v>0</v>
      </c>
      <c r="AF150" s="322"/>
      <c r="AG150" s="431" t="str">
        <f>VLOOKUP(A150,'Feature Summary'!$A$7:$U$4055,21,FALSE)</f>
        <v>w7</v>
      </c>
      <c r="AH150" s="324"/>
    </row>
    <row r="151" spans="1:34" ht="29.1" hidden="1">
      <c r="A151" s="330" t="s">
        <v>585</v>
      </c>
      <c r="B151" s="553" t="s">
        <v>1041</v>
      </c>
      <c r="C151" s="545"/>
      <c r="D151" s="546" t="s">
        <v>257</v>
      </c>
      <c r="E151" s="547"/>
      <c r="F151" s="554" t="s">
        <v>1046</v>
      </c>
      <c r="G151" s="243" t="str">
        <f>VLOOKUP(A151,'Feature Summary'!$A$7:$C$4055,3,FALSE)</f>
        <v>P2</v>
      </c>
      <c r="H151" s="559" t="s">
        <v>1047</v>
      </c>
      <c r="I151" s="429" t="s">
        <v>41</v>
      </c>
      <c r="J151" s="322"/>
      <c r="K151" s="561">
        <v>0</v>
      </c>
      <c r="L151" s="567">
        <v>1</v>
      </c>
      <c r="M151" s="567" t="s">
        <v>33</v>
      </c>
      <c r="N151" s="443">
        <v>1</v>
      </c>
      <c r="O151" s="567">
        <v>1</v>
      </c>
      <c r="P151" s="444">
        <f t="shared" si="29"/>
        <v>1</v>
      </c>
      <c r="Q151" s="429" t="s">
        <v>48</v>
      </c>
      <c r="R151" s="567">
        <v>1</v>
      </c>
      <c r="S151" s="469"/>
      <c r="T151" s="459"/>
      <c r="U151" s="459"/>
      <c r="V151" s="459"/>
      <c r="W151" s="459"/>
      <c r="X151" s="470">
        <f t="shared" si="30"/>
        <v>0</v>
      </c>
      <c r="Y151" s="430"/>
      <c r="Z151" s="458">
        <f t="shared" si="31"/>
        <v>0</v>
      </c>
      <c r="AA151" s="459">
        <v>0</v>
      </c>
      <c r="AB151" s="459">
        <v>0</v>
      </c>
      <c r="AC151" s="459">
        <v>0</v>
      </c>
      <c r="AD151" s="459">
        <v>0</v>
      </c>
      <c r="AE151" s="460">
        <f t="shared" si="32"/>
        <v>0</v>
      </c>
      <c r="AF151" s="322"/>
      <c r="AG151" s="431" t="str">
        <f>VLOOKUP(A151,'Feature Summary'!$A$7:$U$4055,21,FALSE)</f>
        <v>w7</v>
      </c>
      <c r="AH151" s="324"/>
    </row>
    <row r="152" spans="1:34" ht="29.1" hidden="1">
      <c r="A152" s="330" t="s">
        <v>523</v>
      </c>
      <c r="B152" s="584" t="s">
        <v>524</v>
      </c>
      <c r="C152" s="545"/>
      <c r="D152" s="546" t="s">
        <v>1048</v>
      </c>
      <c r="E152" s="547"/>
      <c r="F152" s="545" t="s">
        <v>1049</v>
      </c>
      <c r="G152" s="243" t="str">
        <f>VLOOKUP(A152,'Feature Summary'!$A$7:$C$4055,3,FALSE)</f>
        <v>P2</v>
      </c>
      <c r="H152" s="557" t="s">
        <v>1050</v>
      </c>
      <c r="I152" s="429" t="s">
        <v>41</v>
      </c>
      <c r="J152" s="322"/>
      <c r="K152" s="561">
        <v>1</v>
      </c>
      <c r="L152" s="568">
        <v>2</v>
      </c>
      <c r="M152" s="568" t="s">
        <v>33</v>
      </c>
      <c r="N152" s="443">
        <v>1</v>
      </c>
      <c r="O152" s="569">
        <v>2</v>
      </c>
      <c r="P152" s="444">
        <f t="shared" si="29"/>
        <v>1</v>
      </c>
      <c r="Q152" s="429" t="s">
        <v>38</v>
      </c>
      <c r="R152" s="323">
        <v>1</v>
      </c>
      <c r="S152" s="469">
        <v>1</v>
      </c>
      <c r="T152" s="459"/>
      <c r="U152" s="459"/>
      <c r="V152" s="459">
        <v>1</v>
      </c>
      <c r="W152" s="459"/>
      <c r="X152" s="470">
        <f t="shared" si="30"/>
        <v>0</v>
      </c>
      <c r="Y152" s="430"/>
      <c r="Z152" s="458">
        <f t="shared" si="31"/>
        <v>0</v>
      </c>
      <c r="AA152" s="459">
        <v>0</v>
      </c>
      <c r="AB152" s="459">
        <v>0</v>
      </c>
      <c r="AC152" s="459">
        <v>0</v>
      </c>
      <c r="AD152" s="459">
        <v>0</v>
      </c>
      <c r="AE152" s="460">
        <f t="shared" si="32"/>
        <v>0</v>
      </c>
      <c r="AF152" s="322"/>
      <c r="AG152" s="431" t="str">
        <f>VLOOKUP(A152,'Feature Summary'!$A$7:$U$4055,21,FALSE)</f>
        <v>w6</v>
      </c>
      <c r="AH152" s="324"/>
    </row>
    <row r="153" spans="1:34" ht="29.1" hidden="1">
      <c r="A153" s="330" t="s">
        <v>505</v>
      </c>
      <c r="B153" s="553" t="s">
        <v>506</v>
      </c>
      <c r="C153" s="545"/>
      <c r="D153" s="546" t="s">
        <v>1051</v>
      </c>
      <c r="E153" s="547"/>
      <c r="F153" s="545" t="s">
        <v>1052</v>
      </c>
      <c r="G153" s="243" t="str">
        <f>VLOOKUP(A153,'Feature Summary'!$A$7:$C$4055,3,FALSE)</f>
        <v>P2</v>
      </c>
      <c r="H153" s="557" t="s">
        <v>1053</v>
      </c>
      <c r="I153" s="429" t="s">
        <v>35</v>
      </c>
      <c r="J153" s="322"/>
      <c r="K153" s="561">
        <v>1</v>
      </c>
      <c r="L153" s="546">
        <v>6</v>
      </c>
      <c r="M153" s="546" t="s">
        <v>39</v>
      </c>
      <c r="N153" s="443">
        <v>1</v>
      </c>
      <c r="O153" s="570">
        <v>6</v>
      </c>
      <c r="P153" s="444">
        <f t="shared" si="29"/>
        <v>1</v>
      </c>
      <c r="Q153" s="429" t="s">
        <v>38</v>
      </c>
      <c r="R153" s="323">
        <v>0</v>
      </c>
      <c r="S153" s="469"/>
      <c r="T153" s="459"/>
      <c r="U153" s="459"/>
      <c r="V153" s="459"/>
      <c r="W153" s="459"/>
      <c r="X153" s="470">
        <f t="shared" si="30"/>
        <v>0</v>
      </c>
      <c r="Y153" s="430"/>
      <c r="Z153" s="458">
        <f t="shared" si="31"/>
        <v>0</v>
      </c>
      <c r="AA153" s="459">
        <v>0</v>
      </c>
      <c r="AB153" s="459">
        <v>0</v>
      </c>
      <c r="AC153" s="459">
        <v>0</v>
      </c>
      <c r="AD153" s="459">
        <v>0</v>
      </c>
      <c r="AE153" s="460">
        <f t="shared" si="32"/>
        <v>0</v>
      </c>
      <c r="AF153" s="322"/>
      <c r="AG153" s="431" t="str">
        <f>VLOOKUP(A153,'Feature Summary'!$A$7:$U$4055,21,FALSE)</f>
        <v>w8</v>
      </c>
      <c r="AH153" s="324"/>
    </row>
    <row r="154" spans="1:34" ht="29.1" hidden="1">
      <c r="A154" s="330" t="s">
        <v>505</v>
      </c>
      <c r="B154" s="553" t="s">
        <v>506</v>
      </c>
      <c r="C154" s="545"/>
      <c r="D154" s="546" t="s">
        <v>1051</v>
      </c>
      <c r="E154" s="547"/>
      <c r="F154" s="545" t="s">
        <v>1054</v>
      </c>
      <c r="G154" s="243" t="str">
        <f>VLOOKUP(A154,'Feature Summary'!$A$7:$C$4055,3,FALSE)</f>
        <v>P2</v>
      </c>
      <c r="H154" s="557" t="s">
        <v>1055</v>
      </c>
      <c r="I154" s="429" t="s">
        <v>41</v>
      </c>
      <c r="J154" s="322"/>
      <c r="K154" s="561">
        <v>1</v>
      </c>
      <c r="L154" s="546">
        <v>1</v>
      </c>
      <c r="M154" s="546" t="s">
        <v>39</v>
      </c>
      <c r="N154" s="443">
        <v>1</v>
      </c>
      <c r="O154" s="570">
        <v>1</v>
      </c>
      <c r="P154" s="444">
        <f t="shared" si="29"/>
        <v>1</v>
      </c>
      <c r="Q154" s="429" t="s">
        <v>38</v>
      </c>
      <c r="R154" s="323">
        <v>0</v>
      </c>
      <c r="S154" s="469"/>
      <c r="T154" s="459"/>
      <c r="U154" s="459"/>
      <c r="V154" s="459"/>
      <c r="W154" s="459"/>
      <c r="X154" s="470">
        <f t="shared" si="30"/>
        <v>0</v>
      </c>
      <c r="Y154" s="430"/>
      <c r="Z154" s="458">
        <f t="shared" si="31"/>
        <v>0</v>
      </c>
      <c r="AA154" s="459">
        <v>0</v>
      </c>
      <c r="AB154" s="459">
        <v>0</v>
      </c>
      <c r="AC154" s="459">
        <v>0</v>
      </c>
      <c r="AD154" s="459">
        <v>0</v>
      </c>
      <c r="AE154" s="460">
        <f t="shared" si="32"/>
        <v>0</v>
      </c>
      <c r="AF154" s="322"/>
      <c r="AG154" s="431" t="str">
        <f>VLOOKUP(A154,'Feature Summary'!$A$7:$U$4055,21,FALSE)</f>
        <v>w8</v>
      </c>
      <c r="AH154" s="324"/>
    </row>
    <row r="155" spans="1:34" ht="87.4" hidden="1">
      <c r="A155" s="330" t="s">
        <v>1056</v>
      </c>
      <c r="B155" s="553" t="s">
        <v>1057</v>
      </c>
      <c r="C155" s="545"/>
      <c r="D155" s="546" t="s">
        <v>1051</v>
      </c>
      <c r="E155" s="547"/>
      <c r="F155" s="545" t="s">
        <v>1058</v>
      </c>
      <c r="G155" s="243" t="e">
        <f>VLOOKUP(A155,'Feature Summary'!$A$7:$C$4055,3,FALSE)</f>
        <v>#N/A</v>
      </c>
      <c r="H155" s="557" t="s">
        <v>1059</v>
      </c>
      <c r="I155" s="429" t="s">
        <v>41</v>
      </c>
      <c r="J155" s="322"/>
      <c r="K155" s="561">
        <v>1</v>
      </c>
      <c r="L155" s="546">
        <v>5</v>
      </c>
      <c r="M155" s="546" t="s">
        <v>39</v>
      </c>
      <c r="N155" s="443">
        <v>1</v>
      </c>
      <c r="O155" s="570">
        <v>5</v>
      </c>
      <c r="P155" s="444">
        <f t="shared" si="29"/>
        <v>1</v>
      </c>
      <c r="Q155" s="429" t="s">
        <v>38</v>
      </c>
      <c r="R155" s="323">
        <v>0</v>
      </c>
      <c r="S155" s="469"/>
      <c r="T155" s="459"/>
      <c r="U155" s="459"/>
      <c r="V155" s="459"/>
      <c r="W155" s="459"/>
      <c r="X155" s="470">
        <f t="shared" si="30"/>
        <v>0</v>
      </c>
      <c r="Y155" s="430"/>
      <c r="Z155" s="458">
        <f t="shared" si="31"/>
        <v>0</v>
      </c>
      <c r="AA155" s="459">
        <v>0</v>
      </c>
      <c r="AB155" s="459">
        <v>0</v>
      </c>
      <c r="AC155" s="459">
        <v>0</v>
      </c>
      <c r="AD155" s="459">
        <v>0</v>
      </c>
      <c r="AE155" s="460">
        <f t="shared" si="32"/>
        <v>0</v>
      </c>
      <c r="AF155" s="322"/>
      <c r="AG155" s="431" t="e">
        <f>VLOOKUP(A155,'Feature Summary'!$A$7:$U$4055,21,FALSE)</f>
        <v>#N/A</v>
      </c>
      <c r="AH155" s="324"/>
    </row>
    <row r="156" spans="1:34" ht="87.4" hidden="1">
      <c r="A156" s="330" t="s">
        <v>1056</v>
      </c>
      <c r="B156" s="553" t="s">
        <v>1057</v>
      </c>
      <c r="C156" s="545"/>
      <c r="D156" s="546" t="s">
        <v>1051</v>
      </c>
      <c r="E156" s="547"/>
      <c r="F156" s="548" t="s">
        <v>1060</v>
      </c>
      <c r="G156" s="243" t="e">
        <f>VLOOKUP(A156,'Feature Summary'!$A$7:$C$4055,3,FALSE)</f>
        <v>#N/A</v>
      </c>
      <c r="H156" s="557" t="s">
        <v>1061</v>
      </c>
      <c r="I156" s="429" t="s">
        <v>41</v>
      </c>
      <c r="J156" s="322"/>
      <c r="K156" s="561">
        <v>1</v>
      </c>
      <c r="L156" s="546">
        <v>4</v>
      </c>
      <c r="M156" s="546" t="s">
        <v>39</v>
      </c>
      <c r="N156" s="443">
        <v>1</v>
      </c>
      <c r="O156" s="570">
        <v>4</v>
      </c>
      <c r="P156" s="444">
        <f t="shared" si="29"/>
        <v>1</v>
      </c>
      <c r="Q156" s="429" t="s">
        <v>38</v>
      </c>
      <c r="R156" s="323">
        <v>0</v>
      </c>
      <c r="S156" s="469"/>
      <c r="T156" s="459"/>
      <c r="U156" s="459"/>
      <c r="V156" s="459"/>
      <c r="W156" s="459"/>
      <c r="X156" s="470">
        <f t="shared" si="30"/>
        <v>0</v>
      </c>
      <c r="Y156" s="430"/>
      <c r="Z156" s="458">
        <f t="shared" si="31"/>
        <v>0</v>
      </c>
      <c r="AA156" s="459">
        <v>0</v>
      </c>
      <c r="AB156" s="459">
        <v>0</v>
      </c>
      <c r="AC156" s="459">
        <v>0</v>
      </c>
      <c r="AD156" s="459">
        <v>0</v>
      </c>
      <c r="AE156" s="460">
        <f t="shared" si="32"/>
        <v>0</v>
      </c>
      <c r="AF156" s="322"/>
      <c r="AG156" s="431" t="e">
        <f>VLOOKUP(A156,'Feature Summary'!$A$7:$U$4055,21,FALSE)</f>
        <v>#N/A</v>
      </c>
      <c r="AH156" s="324"/>
    </row>
    <row r="157" spans="1:34" ht="58.35" hidden="1">
      <c r="A157" s="330" t="s">
        <v>1062</v>
      </c>
      <c r="B157" s="553" t="s">
        <v>1063</v>
      </c>
      <c r="C157" s="545"/>
      <c r="D157" s="546" t="s">
        <v>1051</v>
      </c>
      <c r="E157" s="547"/>
      <c r="F157" s="545" t="s">
        <v>1064</v>
      </c>
      <c r="G157" s="243" t="e">
        <f>VLOOKUP(A157,'Feature Summary'!$A$7:$C$4055,3,FALSE)</f>
        <v>#N/A</v>
      </c>
      <c r="H157" s="557" t="s">
        <v>1065</v>
      </c>
      <c r="I157" s="429" t="s">
        <v>41</v>
      </c>
      <c r="J157" s="322"/>
      <c r="K157" s="561">
        <v>1</v>
      </c>
      <c r="L157" s="546">
        <v>18</v>
      </c>
      <c r="M157" s="546" t="s">
        <v>39</v>
      </c>
      <c r="N157" s="443">
        <v>1</v>
      </c>
      <c r="O157" s="570">
        <v>18</v>
      </c>
      <c r="P157" s="444">
        <f t="shared" si="29"/>
        <v>1</v>
      </c>
      <c r="Q157" s="429" t="s">
        <v>38</v>
      </c>
      <c r="R157" s="323">
        <v>0</v>
      </c>
      <c r="S157" s="469"/>
      <c r="T157" s="459"/>
      <c r="U157" s="459"/>
      <c r="V157" s="459"/>
      <c r="W157" s="459"/>
      <c r="X157" s="470">
        <f t="shared" si="30"/>
        <v>0</v>
      </c>
      <c r="Y157" s="430"/>
      <c r="Z157" s="458">
        <f t="shared" si="31"/>
        <v>0</v>
      </c>
      <c r="AA157" s="459">
        <v>0</v>
      </c>
      <c r="AB157" s="459">
        <v>0</v>
      </c>
      <c r="AC157" s="459">
        <v>0</v>
      </c>
      <c r="AD157" s="459">
        <v>0</v>
      </c>
      <c r="AE157" s="460">
        <f t="shared" si="32"/>
        <v>0</v>
      </c>
      <c r="AF157" s="322"/>
      <c r="AG157" s="431" t="e">
        <f>VLOOKUP(A157,'Feature Summary'!$A$7:$U$4055,21,FALSE)</f>
        <v>#N/A</v>
      </c>
      <c r="AH157" s="324"/>
    </row>
    <row r="158" spans="1:34" ht="87.4" hidden="1">
      <c r="A158" s="330" t="s">
        <v>1056</v>
      </c>
      <c r="B158" s="553" t="s">
        <v>1057</v>
      </c>
      <c r="C158" s="545"/>
      <c r="D158" s="546" t="s">
        <v>1051</v>
      </c>
      <c r="E158" s="547"/>
      <c r="F158" s="545" t="s">
        <v>1066</v>
      </c>
      <c r="G158" s="243" t="e">
        <f>VLOOKUP(A158,'Feature Summary'!$A$7:$C$4055,3,FALSE)</f>
        <v>#N/A</v>
      </c>
      <c r="H158" s="557" t="s">
        <v>1067</v>
      </c>
      <c r="I158" s="429" t="s">
        <v>41</v>
      </c>
      <c r="J158" s="322"/>
      <c r="K158" s="561">
        <v>1</v>
      </c>
      <c r="L158" s="546">
        <v>42</v>
      </c>
      <c r="M158" s="546" t="s">
        <v>39</v>
      </c>
      <c r="N158" s="443">
        <v>1</v>
      </c>
      <c r="O158" s="570">
        <v>42</v>
      </c>
      <c r="P158" s="444">
        <f t="shared" si="29"/>
        <v>1</v>
      </c>
      <c r="Q158" s="429" t="s">
        <v>38</v>
      </c>
      <c r="R158" s="323">
        <v>0</v>
      </c>
      <c r="S158" s="469"/>
      <c r="T158" s="459"/>
      <c r="U158" s="459"/>
      <c r="V158" s="459"/>
      <c r="W158" s="459"/>
      <c r="X158" s="470">
        <f t="shared" ref="X158:X169" si="37">IF((S158=0),0,((T158+U158)/S158*100%))</f>
        <v>0</v>
      </c>
      <c r="Y158" s="430"/>
      <c r="Z158" s="458">
        <f t="shared" si="31"/>
        <v>0</v>
      </c>
      <c r="AA158" s="459">
        <v>0</v>
      </c>
      <c r="AB158" s="459">
        <v>0</v>
      </c>
      <c r="AC158" s="459">
        <v>0</v>
      </c>
      <c r="AD158" s="459">
        <v>0</v>
      </c>
      <c r="AE158" s="460">
        <f t="shared" si="32"/>
        <v>0</v>
      </c>
      <c r="AF158" s="322"/>
      <c r="AG158" s="431" t="e">
        <f>VLOOKUP(A158,'Feature Summary'!$A$7:$U$4055,21,FALSE)</f>
        <v>#N/A</v>
      </c>
      <c r="AH158" s="324"/>
    </row>
    <row r="159" spans="1:34" ht="29.1" hidden="1">
      <c r="A159" s="330" t="s">
        <v>505</v>
      </c>
      <c r="B159" s="553" t="s">
        <v>506</v>
      </c>
      <c r="C159" s="545"/>
      <c r="D159" s="546" t="s">
        <v>1051</v>
      </c>
      <c r="E159" s="547"/>
      <c r="F159" s="545" t="s">
        <v>1068</v>
      </c>
      <c r="G159" s="243" t="str">
        <f>VLOOKUP(A159,'Feature Summary'!$A$7:$C$4055,3,FALSE)</f>
        <v>P2</v>
      </c>
      <c r="H159" s="557" t="s">
        <v>1069</v>
      </c>
      <c r="I159" s="429" t="s">
        <v>41</v>
      </c>
      <c r="J159" s="322"/>
      <c r="K159" s="561">
        <v>1</v>
      </c>
      <c r="L159" s="546">
        <v>28</v>
      </c>
      <c r="M159" s="546" t="s">
        <v>39</v>
      </c>
      <c r="N159" s="443">
        <v>1</v>
      </c>
      <c r="O159" s="570">
        <v>28</v>
      </c>
      <c r="P159" s="444">
        <f t="shared" ref="P159:P173" si="38">IF((O159=0),0,(O159/L159))</f>
        <v>1</v>
      </c>
      <c r="Q159" s="429" t="s">
        <v>38</v>
      </c>
      <c r="R159" s="323">
        <v>0</v>
      </c>
      <c r="S159" s="469"/>
      <c r="T159" s="459"/>
      <c r="U159" s="459"/>
      <c r="V159" s="459"/>
      <c r="W159" s="459"/>
      <c r="X159" s="470">
        <f t="shared" si="37"/>
        <v>0</v>
      </c>
      <c r="Y159" s="430"/>
      <c r="Z159" s="458">
        <f t="shared" ref="Z159:Z169" si="39">SUM(AA159:AD159)</f>
        <v>0</v>
      </c>
      <c r="AA159" s="459">
        <v>0</v>
      </c>
      <c r="AB159" s="459">
        <v>0</v>
      </c>
      <c r="AC159" s="459">
        <v>0</v>
      </c>
      <c r="AD159" s="459">
        <v>0</v>
      </c>
      <c r="AE159" s="460">
        <f t="shared" ref="AE159:AE169" si="40">IF((Z159=0),0,((AA159+AB159)/Z159*100%))</f>
        <v>0</v>
      </c>
      <c r="AF159" s="322"/>
      <c r="AG159" s="431" t="str">
        <f>VLOOKUP(A159,'Feature Summary'!$A$7:$U$4055,21,FALSE)</f>
        <v>w8</v>
      </c>
      <c r="AH159" s="324"/>
    </row>
    <row r="160" spans="1:34" s="172" customFormat="1" ht="43.7" hidden="1">
      <c r="A160" s="330" t="s">
        <v>521</v>
      </c>
      <c r="B160" s="553" t="s">
        <v>1070</v>
      </c>
      <c r="C160" s="545"/>
      <c r="D160" s="546" t="s">
        <v>1071</v>
      </c>
      <c r="E160" s="547"/>
      <c r="F160" s="548" t="s">
        <v>1072</v>
      </c>
      <c r="G160" s="243" t="str">
        <f>VLOOKUP(A160,'Feature Summary'!$A$7:$C$4055,3,FALSE)</f>
        <v>P2</v>
      </c>
      <c r="H160" s="545" t="s">
        <v>1073</v>
      </c>
      <c r="I160" s="429" t="s">
        <v>41</v>
      </c>
      <c r="J160" s="322"/>
      <c r="K160" s="561">
        <v>1</v>
      </c>
      <c r="L160" s="546">
        <v>2</v>
      </c>
      <c r="M160" s="546" t="s">
        <v>33</v>
      </c>
      <c r="N160" s="443">
        <v>1</v>
      </c>
      <c r="O160" s="570">
        <v>2</v>
      </c>
      <c r="P160" s="444">
        <f t="shared" si="38"/>
        <v>1</v>
      </c>
      <c r="Q160" s="429" t="s">
        <v>38</v>
      </c>
      <c r="R160" s="323">
        <v>0</v>
      </c>
      <c r="S160" s="469"/>
      <c r="T160" s="459"/>
      <c r="U160" s="459"/>
      <c r="V160" s="459"/>
      <c r="W160" s="459"/>
      <c r="X160" s="470">
        <f t="shared" si="37"/>
        <v>0</v>
      </c>
      <c r="Y160" s="430"/>
      <c r="Z160" s="458">
        <f t="shared" si="39"/>
        <v>0</v>
      </c>
      <c r="AA160" s="459">
        <v>0</v>
      </c>
      <c r="AB160" s="459">
        <v>0</v>
      </c>
      <c r="AC160" s="459">
        <v>0</v>
      </c>
      <c r="AD160" s="459">
        <v>0</v>
      </c>
      <c r="AE160" s="460">
        <f t="shared" si="40"/>
        <v>0</v>
      </c>
      <c r="AF160" s="322"/>
      <c r="AG160" s="431" t="str">
        <f>VLOOKUP(A160,'Feature Summary'!$A$7:$U$4055,21,FALSE)</f>
        <v>w6</v>
      </c>
      <c r="AH160" s="324"/>
    </row>
    <row r="161" spans="1:34" ht="43.7" hidden="1">
      <c r="A161" s="330" t="s">
        <v>519</v>
      </c>
      <c r="B161" s="553" t="s">
        <v>1074</v>
      </c>
      <c r="C161" s="545"/>
      <c r="D161" s="546" t="s">
        <v>1071</v>
      </c>
      <c r="E161" s="547"/>
      <c r="F161" s="548" t="s">
        <v>1075</v>
      </c>
      <c r="G161" s="243" t="str">
        <f>VLOOKUP(A161,'Feature Summary'!$A$7:$C$4055,3,FALSE)</f>
        <v>P2</v>
      </c>
      <c r="H161" s="545" t="s">
        <v>1076</v>
      </c>
      <c r="I161" s="429" t="s">
        <v>41</v>
      </c>
      <c r="J161" s="322"/>
      <c r="K161" s="561">
        <v>1</v>
      </c>
      <c r="L161" s="546">
        <v>1</v>
      </c>
      <c r="M161" s="546" t="s">
        <v>33</v>
      </c>
      <c r="N161" s="443">
        <v>1</v>
      </c>
      <c r="O161" s="570">
        <v>1</v>
      </c>
      <c r="P161" s="444">
        <f t="shared" si="38"/>
        <v>1</v>
      </c>
      <c r="Q161" s="429" t="s">
        <v>38</v>
      </c>
      <c r="R161" s="323">
        <v>0</v>
      </c>
      <c r="S161" s="469"/>
      <c r="T161" s="459"/>
      <c r="U161" s="459"/>
      <c r="V161" s="459"/>
      <c r="W161" s="459"/>
      <c r="X161" s="470">
        <f t="shared" si="37"/>
        <v>0</v>
      </c>
      <c r="Y161" s="430"/>
      <c r="Z161" s="458">
        <f t="shared" si="39"/>
        <v>0</v>
      </c>
      <c r="AA161" s="459">
        <v>0</v>
      </c>
      <c r="AB161" s="459">
        <v>0</v>
      </c>
      <c r="AC161" s="459">
        <v>0</v>
      </c>
      <c r="AD161" s="459">
        <v>0</v>
      </c>
      <c r="AE161" s="460">
        <f t="shared" si="40"/>
        <v>0</v>
      </c>
      <c r="AF161" s="322"/>
      <c r="AG161" s="431" t="str">
        <f>VLOOKUP(A161,'Feature Summary'!$A$7:$U$4055,21,FALSE)</f>
        <v>w6</v>
      </c>
      <c r="AH161" s="324"/>
    </row>
    <row r="162" spans="1:34" ht="43.7" hidden="1">
      <c r="A162" s="330" t="s">
        <v>521</v>
      </c>
      <c r="B162" s="553" t="s">
        <v>1070</v>
      </c>
      <c r="C162" s="545"/>
      <c r="D162" s="546" t="s">
        <v>1071</v>
      </c>
      <c r="E162" s="547"/>
      <c r="F162" s="548" t="s">
        <v>1077</v>
      </c>
      <c r="G162" s="243" t="str">
        <f>VLOOKUP(A162,'Feature Summary'!$A$7:$C$4055,3,FALSE)</f>
        <v>P2</v>
      </c>
      <c r="H162" s="557" t="s">
        <v>1078</v>
      </c>
      <c r="I162" s="429" t="s">
        <v>41</v>
      </c>
      <c r="J162" s="322"/>
      <c r="K162" s="561">
        <v>1</v>
      </c>
      <c r="L162" s="546">
        <v>3</v>
      </c>
      <c r="M162" s="546" t="s">
        <v>33</v>
      </c>
      <c r="N162" s="443">
        <v>1</v>
      </c>
      <c r="O162" s="570">
        <v>3</v>
      </c>
      <c r="P162" s="444">
        <f t="shared" si="38"/>
        <v>1</v>
      </c>
      <c r="Q162" s="429" t="s">
        <v>38</v>
      </c>
      <c r="R162" s="323">
        <v>0</v>
      </c>
      <c r="S162" s="469"/>
      <c r="T162" s="459"/>
      <c r="U162" s="459"/>
      <c r="V162" s="459"/>
      <c r="W162" s="459"/>
      <c r="X162" s="470">
        <f t="shared" si="37"/>
        <v>0</v>
      </c>
      <c r="Y162" s="430"/>
      <c r="Z162" s="458">
        <f t="shared" si="39"/>
        <v>0</v>
      </c>
      <c r="AA162" s="459">
        <v>0</v>
      </c>
      <c r="AB162" s="459">
        <v>0</v>
      </c>
      <c r="AC162" s="459">
        <v>0</v>
      </c>
      <c r="AD162" s="459">
        <v>0</v>
      </c>
      <c r="AE162" s="460">
        <f t="shared" si="40"/>
        <v>0</v>
      </c>
      <c r="AF162" s="322"/>
      <c r="AG162" s="431" t="str">
        <f>VLOOKUP(A162,'Feature Summary'!$A$7:$U$4055,21,FALSE)</f>
        <v>w6</v>
      </c>
      <c r="AH162" s="324"/>
    </row>
    <row r="163" spans="1:34" ht="58.35" hidden="1">
      <c r="A163" s="330" t="s">
        <v>1079</v>
      </c>
      <c r="B163" s="551" t="s">
        <v>1080</v>
      </c>
      <c r="C163" s="545"/>
      <c r="D163" s="546" t="s">
        <v>1081</v>
      </c>
      <c r="E163" s="547"/>
      <c r="F163" s="545" t="s">
        <v>1082</v>
      </c>
      <c r="G163" s="243" t="e">
        <f>VLOOKUP(A163,'Feature Summary'!$A$7:$C$4055,3,FALSE)</f>
        <v>#N/A</v>
      </c>
      <c r="H163" s="557" t="s">
        <v>1083</v>
      </c>
      <c r="I163" s="429" t="s">
        <v>41</v>
      </c>
      <c r="J163" s="322"/>
      <c r="K163" s="561">
        <v>1</v>
      </c>
      <c r="L163" s="571">
        <v>3</v>
      </c>
      <c r="M163" s="571" t="s">
        <v>33</v>
      </c>
      <c r="N163" s="443">
        <v>1</v>
      </c>
      <c r="O163" s="572">
        <v>3</v>
      </c>
      <c r="P163" s="444">
        <f t="shared" si="38"/>
        <v>1</v>
      </c>
      <c r="Q163" s="429" t="s">
        <v>38</v>
      </c>
      <c r="R163" s="323">
        <v>1</v>
      </c>
      <c r="S163" s="469">
        <v>1</v>
      </c>
      <c r="T163" s="459">
        <v>1</v>
      </c>
      <c r="U163" s="459"/>
      <c r="V163" s="459"/>
      <c r="W163" s="459"/>
      <c r="X163" s="470">
        <f t="shared" si="37"/>
        <v>1</v>
      </c>
      <c r="Y163" s="430"/>
      <c r="Z163" s="458">
        <f t="shared" si="39"/>
        <v>0</v>
      </c>
      <c r="AA163" s="459">
        <v>0</v>
      </c>
      <c r="AB163" s="459">
        <v>0</v>
      </c>
      <c r="AC163" s="459">
        <v>0</v>
      </c>
      <c r="AD163" s="459">
        <v>0</v>
      </c>
      <c r="AE163" s="460">
        <f t="shared" si="40"/>
        <v>0</v>
      </c>
      <c r="AF163" s="322"/>
      <c r="AG163" s="431" t="e">
        <f>VLOOKUP(A163,'Feature Summary'!$A$7:$U$4055,21,FALSE)</f>
        <v>#N/A</v>
      </c>
      <c r="AH163" s="324"/>
    </row>
    <row r="164" spans="1:34" hidden="1">
      <c r="A164" s="584" t="s">
        <v>531</v>
      </c>
      <c r="B164" s="584" t="s">
        <v>532</v>
      </c>
      <c r="C164" s="545"/>
      <c r="D164" s="546" t="s">
        <v>1081</v>
      </c>
      <c r="E164" s="547"/>
      <c r="F164" s="545" t="s">
        <v>1084</v>
      </c>
      <c r="G164" s="243" t="str">
        <f>VLOOKUP(A164,'Feature Summary'!$A$7:$C$4055,3,FALSE)</f>
        <v>P2</v>
      </c>
      <c r="H164" s="557" t="s">
        <v>1085</v>
      </c>
      <c r="I164" s="429" t="s">
        <v>41</v>
      </c>
      <c r="J164" s="322"/>
      <c r="K164" s="561">
        <v>1</v>
      </c>
      <c r="L164" s="571">
        <v>8</v>
      </c>
      <c r="M164" s="571" t="s">
        <v>33</v>
      </c>
      <c r="N164" s="443">
        <v>1</v>
      </c>
      <c r="O164" s="572">
        <v>8</v>
      </c>
      <c r="P164" s="444">
        <f t="shared" si="38"/>
        <v>1</v>
      </c>
      <c r="Q164" s="429" t="s">
        <v>38</v>
      </c>
      <c r="R164" s="323">
        <v>1</v>
      </c>
      <c r="S164" s="469">
        <v>1</v>
      </c>
      <c r="T164" s="459"/>
      <c r="U164" s="459"/>
      <c r="V164" s="459">
        <v>1</v>
      </c>
      <c r="W164" s="459" t="s">
        <v>1086</v>
      </c>
      <c r="X164" s="470">
        <f t="shared" si="37"/>
        <v>0</v>
      </c>
      <c r="Y164" s="430"/>
      <c r="Z164" s="458">
        <f t="shared" si="39"/>
        <v>0</v>
      </c>
      <c r="AA164" s="459">
        <v>0</v>
      </c>
      <c r="AB164" s="459">
        <v>0</v>
      </c>
      <c r="AC164" s="459">
        <v>0</v>
      </c>
      <c r="AD164" s="459">
        <v>0</v>
      </c>
      <c r="AE164" s="460">
        <f t="shared" si="40"/>
        <v>0</v>
      </c>
      <c r="AF164" s="322"/>
      <c r="AG164" s="431" t="str">
        <f>VLOOKUP(A164,'Feature Summary'!$A$7:$U$4055,21,FALSE)</f>
        <v>w7</v>
      </c>
      <c r="AH164" s="324"/>
    </row>
    <row r="165" spans="1:34" ht="58.35" hidden="1">
      <c r="A165" s="330" t="s">
        <v>1087</v>
      </c>
      <c r="B165" s="551" t="s">
        <v>1088</v>
      </c>
      <c r="C165" s="545"/>
      <c r="D165" s="546" t="s">
        <v>1081</v>
      </c>
      <c r="E165" s="547"/>
      <c r="F165" s="545" t="s">
        <v>1089</v>
      </c>
      <c r="G165" s="243" t="e">
        <f>VLOOKUP(A165,'Feature Summary'!$A$7:$C$4055,3,FALSE)</f>
        <v>#N/A</v>
      </c>
      <c r="H165" s="557" t="s">
        <v>1090</v>
      </c>
      <c r="I165" s="429" t="s">
        <v>41</v>
      </c>
      <c r="J165" s="322"/>
      <c r="K165" s="561">
        <v>1</v>
      </c>
      <c r="L165" s="571">
        <v>1</v>
      </c>
      <c r="M165" s="571" t="s">
        <v>33</v>
      </c>
      <c r="N165" s="443">
        <v>1</v>
      </c>
      <c r="O165" s="572">
        <v>1</v>
      </c>
      <c r="P165" s="444">
        <f t="shared" si="38"/>
        <v>1</v>
      </c>
      <c r="Q165" s="429" t="s">
        <v>38</v>
      </c>
      <c r="R165" s="323">
        <v>1</v>
      </c>
      <c r="S165" s="469">
        <v>1</v>
      </c>
      <c r="T165" s="459"/>
      <c r="U165" s="459"/>
      <c r="V165" s="459">
        <v>1</v>
      </c>
      <c r="W165" s="459" t="s">
        <v>1091</v>
      </c>
      <c r="X165" s="470">
        <f t="shared" si="37"/>
        <v>0</v>
      </c>
      <c r="Y165" s="430"/>
      <c r="Z165" s="458">
        <f t="shared" si="39"/>
        <v>0</v>
      </c>
      <c r="AA165" s="459">
        <v>0</v>
      </c>
      <c r="AB165" s="459">
        <v>0</v>
      </c>
      <c r="AC165" s="459">
        <v>0</v>
      </c>
      <c r="AD165" s="459">
        <v>0</v>
      </c>
      <c r="AE165" s="460">
        <f t="shared" si="40"/>
        <v>0</v>
      </c>
      <c r="AF165" s="322"/>
      <c r="AG165" s="431" t="e">
        <f>VLOOKUP(A165,'Feature Summary'!$A$7:$U$4055,21,FALSE)</f>
        <v>#N/A</v>
      </c>
      <c r="AH165" s="324"/>
    </row>
    <row r="166" spans="1:34" hidden="1">
      <c r="A166" s="584" t="s">
        <v>533</v>
      </c>
      <c r="B166" s="584" t="s">
        <v>534</v>
      </c>
      <c r="C166" s="545"/>
      <c r="D166" s="546" t="s">
        <v>1092</v>
      </c>
      <c r="E166" s="547"/>
      <c r="F166" s="545" t="s">
        <v>1093</v>
      </c>
      <c r="G166" s="243" t="str">
        <f>VLOOKUP(A166,'Feature Summary'!$A$7:$C$4055,3,FALSE)</f>
        <v>P2</v>
      </c>
      <c r="H166" s="557" t="s">
        <v>1094</v>
      </c>
      <c r="I166" s="429" t="s">
        <v>41</v>
      </c>
      <c r="J166" s="322"/>
      <c r="K166" s="561">
        <v>1</v>
      </c>
      <c r="L166" s="562">
        <v>4</v>
      </c>
      <c r="M166" s="562" t="s">
        <v>33</v>
      </c>
      <c r="N166" s="443">
        <v>1</v>
      </c>
      <c r="O166" s="562">
        <v>4</v>
      </c>
      <c r="P166" s="444">
        <f t="shared" si="38"/>
        <v>1</v>
      </c>
      <c r="Q166" s="429" t="s">
        <v>38</v>
      </c>
      <c r="R166" s="323">
        <v>1</v>
      </c>
      <c r="S166" s="469"/>
      <c r="T166" s="459"/>
      <c r="U166" s="459"/>
      <c r="V166" s="459"/>
      <c r="W166" s="459"/>
      <c r="X166" s="470">
        <f t="shared" si="37"/>
        <v>0</v>
      </c>
      <c r="Y166" s="430"/>
      <c r="Z166" s="458">
        <f t="shared" si="39"/>
        <v>0</v>
      </c>
      <c r="AA166" s="459">
        <v>0</v>
      </c>
      <c r="AB166" s="459">
        <v>0</v>
      </c>
      <c r="AC166" s="459">
        <v>0</v>
      </c>
      <c r="AD166" s="459">
        <v>0</v>
      </c>
      <c r="AE166" s="460">
        <f t="shared" si="40"/>
        <v>0</v>
      </c>
      <c r="AF166" s="322"/>
      <c r="AG166" s="431" t="str">
        <f>VLOOKUP(A166,'Feature Summary'!$A$7:$U$4055,21,FALSE)</f>
        <v>w2</v>
      </c>
      <c r="AH166" s="324"/>
    </row>
    <row r="167" spans="1:34" hidden="1">
      <c r="A167" s="584" t="s">
        <v>535</v>
      </c>
      <c r="B167" s="584" t="s">
        <v>536</v>
      </c>
      <c r="C167" s="545"/>
      <c r="D167" s="546" t="s">
        <v>1092</v>
      </c>
      <c r="E167" s="547"/>
      <c r="F167" s="545" t="s">
        <v>1095</v>
      </c>
      <c r="G167" s="243" t="str">
        <f>VLOOKUP(A167,'Feature Summary'!$A$7:$C$4055,3,FALSE)</f>
        <v>P2</v>
      </c>
      <c r="H167" s="557" t="s">
        <v>1096</v>
      </c>
      <c r="I167" s="429" t="s">
        <v>41</v>
      </c>
      <c r="J167" s="322"/>
      <c r="K167" s="561">
        <v>1</v>
      </c>
      <c r="L167" s="562">
        <v>2</v>
      </c>
      <c r="M167" s="562" t="s">
        <v>33</v>
      </c>
      <c r="N167" s="443">
        <v>1</v>
      </c>
      <c r="O167" s="562">
        <v>2</v>
      </c>
      <c r="P167" s="444">
        <f t="shared" si="38"/>
        <v>1</v>
      </c>
      <c r="Q167" s="429" t="s">
        <v>38</v>
      </c>
      <c r="R167" s="323">
        <v>1</v>
      </c>
      <c r="S167" s="469"/>
      <c r="T167" s="459"/>
      <c r="U167" s="459"/>
      <c r="V167" s="459"/>
      <c r="W167" s="459"/>
      <c r="X167" s="470">
        <f t="shared" si="37"/>
        <v>0</v>
      </c>
      <c r="Y167" s="430"/>
      <c r="Z167" s="458">
        <f t="shared" si="39"/>
        <v>0</v>
      </c>
      <c r="AA167" s="459">
        <v>0</v>
      </c>
      <c r="AB167" s="459">
        <v>0</v>
      </c>
      <c r="AC167" s="459">
        <v>0</v>
      </c>
      <c r="AD167" s="459">
        <v>0</v>
      </c>
      <c r="AE167" s="460">
        <f t="shared" si="40"/>
        <v>0</v>
      </c>
      <c r="AF167" s="322"/>
      <c r="AG167" s="431" t="str">
        <f>VLOOKUP(A167,'Feature Summary'!$A$7:$U$4055,21,FALSE)</f>
        <v>w2</v>
      </c>
      <c r="AH167" s="324"/>
    </row>
    <row r="168" spans="1:34" hidden="1">
      <c r="A168" s="584" t="s">
        <v>515</v>
      </c>
      <c r="B168" s="584" t="s">
        <v>516</v>
      </c>
      <c r="C168" s="555"/>
      <c r="D168" s="546" t="s">
        <v>1092</v>
      </c>
      <c r="E168" s="547"/>
      <c r="F168" s="545" t="s">
        <v>1097</v>
      </c>
      <c r="G168" s="243" t="str">
        <f>VLOOKUP(A168,'Feature Summary'!$A$7:$C$4055,3,FALSE)</f>
        <v>P2</v>
      </c>
      <c r="H168" s="557" t="s">
        <v>1098</v>
      </c>
      <c r="I168" s="429" t="s">
        <v>41</v>
      </c>
      <c r="J168" s="322"/>
      <c r="K168" s="561">
        <v>1</v>
      </c>
      <c r="L168" s="562">
        <v>1</v>
      </c>
      <c r="M168" s="562" t="s">
        <v>33</v>
      </c>
      <c r="N168" s="443">
        <v>1</v>
      </c>
      <c r="O168" s="562">
        <v>1</v>
      </c>
      <c r="P168" s="444">
        <f t="shared" si="38"/>
        <v>1</v>
      </c>
      <c r="Q168" s="429" t="s">
        <v>38</v>
      </c>
      <c r="R168" s="323">
        <v>1</v>
      </c>
      <c r="S168" s="469"/>
      <c r="T168" s="459"/>
      <c r="U168" s="459"/>
      <c r="V168" s="459"/>
      <c r="W168" s="459"/>
      <c r="X168" s="470">
        <f t="shared" si="37"/>
        <v>0</v>
      </c>
      <c r="Y168" s="430"/>
      <c r="Z168" s="458">
        <f t="shared" si="39"/>
        <v>0</v>
      </c>
      <c r="AA168" s="459">
        <v>0</v>
      </c>
      <c r="AB168" s="459">
        <v>0</v>
      </c>
      <c r="AC168" s="459">
        <v>0</v>
      </c>
      <c r="AD168" s="459">
        <v>0</v>
      </c>
      <c r="AE168" s="460">
        <f t="shared" si="40"/>
        <v>0</v>
      </c>
      <c r="AF168" s="322"/>
      <c r="AG168" s="431" t="str">
        <f>VLOOKUP(A168,'Feature Summary'!$A$7:$U$4055,21,FALSE)</f>
        <v>w6</v>
      </c>
      <c r="AH168" s="324"/>
    </row>
    <row r="169" spans="1:34" ht="87.4" hidden="1">
      <c r="A169" s="330" t="s">
        <v>1099</v>
      </c>
      <c r="B169" s="598" t="s">
        <v>1100</v>
      </c>
      <c r="C169" s="545"/>
      <c r="D169" s="546" t="s">
        <v>1092</v>
      </c>
      <c r="E169" s="547"/>
      <c r="F169" s="545" t="s">
        <v>1101</v>
      </c>
      <c r="G169" s="243" t="e">
        <f>VLOOKUP(A169,'Feature Summary'!$A$7:$C$4055,3,FALSE)</f>
        <v>#N/A</v>
      </c>
      <c r="H169" s="557" t="s">
        <v>1102</v>
      </c>
      <c r="I169" s="429" t="s">
        <v>41</v>
      </c>
      <c r="J169" s="322"/>
      <c r="K169" s="561">
        <v>1</v>
      </c>
      <c r="L169" s="562">
        <v>1</v>
      </c>
      <c r="M169" s="562" t="s">
        <v>33</v>
      </c>
      <c r="N169" s="443">
        <v>1</v>
      </c>
      <c r="O169" s="562">
        <v>1</v>
      </c>
      <c r="P169" s="444">
        <f t="shared" si="38"/>
        <v>1</v>
      </c>
      <c r="Q169" s="429" t="s">
        <v>38</v>
      </c>
      <c r="R169" s="323">
        <v>1</v>
      </c>
      <c r="S169" s="469"/>
      <c r="T169" s="459"/>
      <c r="U169" s="459"/>
      <c r="V169" s="459"/>
      <c r="W169" s="459"/>
      <c r="X169" s="470">
        <f t="shared" si="37"/>
        <v>0</v>
      </c>
      <c r="Y169" s="430"/>
      <c r="Z169" s="458">
        <f t="shared" si="39"/>
        <v>0</v>
      </c>
      <c r="AA169" s="459">
        <v>0</v>
      </c>
      <c r="AB169" s="459">
        <v>0</v>
      </c>
      <c r="AC169" s="459">
        <v>0</v>
      </c>
      <c r="AD169" s="459">
        <v>0</v>
      </c>
      <c r="AE169" s="460">
        <f t="shared" si="40"/>
        <v>0</v>
      </c>
      <c r="AF169" s="322"/>
      <c r="AG169" s="431" t="e">
        <f>VLOOKUP(A169,'Feature Summary'!$A$7:$U$4055,21,FALSE)</f>
        <v>#N/A</v>
      </c>
      <c r="AH169" s="324"/>
    </row>
    <row r="170" spans="1:34" ht="29.1" hidden="1">
      <c r="A170" s="330" t="s">
        <v>547</v>
      </c>
      <c r="B170" s="584" t="s">
        <v>548</v>
      </c>
      <c r="C170" s="545"/>
      <c r="D170" s="546" t="s">
        <v>1092</v>
      </c>
      <c r="E170" s="547"/>
      <c r="F170" s="545" t="s">
        <v>1103</v>
      </c>
      <c r="G170" s="243" t="str">
        <f>VLOOKUP(A170,'Feature Summary'!$A$7:$C$4055,3,FALSE)</f>
        <v>P2</v>
      </c>
      <c r="H170" s="557" t="s">
        <v>1104</v>
      </c>
      <c r="I170" s="429" t="s">
        <v>35</v>
      </c>
      <c r="J170" s="322"/>
      <c r="K170" s="561">
        <v>1</v>
      </c>
      <c r="L170" s="562">
        <v>1</v>
      </c>
      <c r="M170" s="562" t="s">
        <v>33</v>
      </c>
      <c r="N170" s="443">
        <v>1</v>
      </c>
      <c r="O170" s="562">
        <v>1</v>
      </c>
      <c r="P170" s="444">
        <f>IF((O170=0),0,(O170/L170))</f>
        <v>1</v>
      </c>
      <c r="Q170" s="429" t="s">
        <v>38</v>
      </c>
      <c r="R170" s="323">
        <v>0</v>
      </c>
      <c r="S170" s="469"/>
      <c r="T170" s="459"/>
      <c r="U170" s="459"/>
      <c r="V170" s="459"/>
      <c r="W170" s="459"/>
      <c r="X170" s="470">
        <f>IF((S170=0),0,((T170+U170)/S170*100%))</f>
        <v>0</v>
      </c>
      <c r="Y170" s="430"/>
      <c r="Z170" s="458">
        <f>SUM(AA170:AD170)</f>
        <v>0</v>
      </c>
      <c r="AA170" s="459">
        <v>0</v>
      </c>
      <c r="AB170" s="459">
        <v>0</v>
      </c>
      <c r="AC170" s="459">
        <v>0</v>
      </c>
      <c r="AD170" s="459">
        <v>0</v>
      </c>
      <c r="AE170" s="460">
        <f>IF((Z170=0),0,((AA170+AB170)/Z170*100%))</f>
        <v>0</v>
      </c>
      <c r="AF170" s="322"/>
      <c r="AG170" s="431" t="str">
        <f>VLOOKUP(A170,'Feature Summary'!$A$7:$U$4055,21,FALSE)</f>
        <v>w3</v>
      </c>
      <c r="AH170" s="324"/>
    </row>
    <row r="171" spans="1:34" ht="29.1" hidden="1">
      <c r="A171" s="330" t="s">
        <v>305</v>
      </c>
      <c r="B171" s="584" t="s">
        <v>306</v>
      </c>
      <c r="C171" s="545"/>
      <c r="D171" s="546" t="s">
        <v>1105</v>
      </c>
      <c r="E171" s="547"/>
      <c r="F171" s="545" t="s">
        <v>1106</v>
      </c>
      <c r="G171" s="243" t="str">
        <f>VLOOKUP(A171,'Feature Summary'!$A$7:$C$4055,3,FALSE)</f>
        <v>P2</v>
      </c>
      <c r="H171" s="557" t="s">
        <v>1107</v>
      </c>
      <c r="I171" s="429" t="s">
        <v>35</v>
      </c>
      <c r="J171" s="322"/>
      <c r="K171" s="561">
        <v>80</v>
      </c>
      <c r="L171" s="562">
        <v>2</v>
      </c>
      <c r="M171" s="562" t="s">
        <v>44</v>
      </c>
      <c r="N171" s="443">
        <v>1</v>
      </c>
      <c r="O171" s="562">
        <v>2</v>
      </c>
      <c r="P171" s="444">
        <f t="shared" si="38"/>
        <v>1</v>
      </c>
      <c r="Q171" s="429" t="s">
        <v>38</v>
      </c>
      <c r="R171" s="323">
        <v>2</v>
      </c>
      <c r="S171" s="469"/>
      <c r="T171" s="459"/>
      <c r="U171" s="459"/>
      <c r="V171" s="459"/>
      <c r="W171" s="459"/>
      <c r="X171" s="470"/>
      <c r="Y171" s="430"/>
      <c r="Z171" s="458"/>
      <c r="AA171" s="459">
        <v>0</v>
      </c>
      <c r="AB171" s="459">
        <v>0</v>
      </c>
      <c r="AC171" s="459">
        <v>0</v>
      </c>
      <c r="AD171" s="459">
        <v>0</v>
      </c>
      <c r="AE171" s="460"/>
      <c r="AF171" s="322"/>
      <c r="AG171" s="431"/>
      <c r="AH171" s="324"/>
    </row>
    <row r="172" spans="1:34" ht="87.4" hidden="1">
      <c r="A172" s="330" t="s">
        <v>1108</v>
      </c>
      <c r="B172" s="553" t="s">
        <v>1109</v>
      </c>
      <c r="C172" s="545"/>
      <c r="D172" s="546" t="s">
        <v>1105</v>
      </c>
      <c r="E172" s="547"/>
      <c r="F172" s="545" t="s">
        <v>1110</v>
      </c>
      <c r="G172" s="243" t="e">
        <f>VLOOKUP(A172,'Feature Summary'!$A$7:$C$4055,3,FALSE)</f>
        <v>#N/A</v>
      </c>
      <c r="H172" s="557" t="s">
        <v>1111</v>
      </c>
      <c r="I172" s="429" t="s">
        <v>35</v>
      </c>
      <c r="J172" s="322"/>
      <c r="K172" s="561">
        <v>40</v>
      </c>
      <c r="L172" s="562">
        <v>1</v>
      </c>
      <c r="M172" s="562" t="s">
        <v>44</v>
      </c>
      <c r="N172" s="443">
        <v>1</v>
      </c>
      <c r="O172" s="562">
        <v>1</v>
      </c>
      <c r="P172" s="444">
        <f t="shared" si="38"/>
        <v>1</v>
      </c>
      <c r="Q172" s="429" t="s">
        <v>38</v>
      </c>
      <c r="R172" s="323">
        <v>1</v>
      </c>
      <c r="S172" s="469"/>
      <c r="T172" s="459"/>
      <c r="U172" s="459"/>
      <c r="V172" s="459"/>
      <c r="W172" s="459"/>
      <c r="X172" s="470"/>
      <c r="Y172" s="430"/>
      <c r="Z172" s="458"/>
      <c r="AA172" s="459">
        <v>0</v>
      </c>
      <c r="AB172" s="459">
        <v>0</v>
      </c>
      <c r="AC172" s="459">
        <v>0</v>
      </c>
      <c r="AD172" s="459">
        <v>0</v>
      </c>
      <c r="AE172" s="460"/>
      <c r="AF172" s="322"/>
      <c r="AG172" s="431"/>
      <c r="AH172" s="324"/>
    </row>
    <row r="173" spans="1:34" ht="49.7" hidden="1">
      <c r="A173" s="598" t="s">
        <v>1112</v>
      </c>
      <c r="B173" s="598" t="s">
        <v>1113</v>
      </c>
      <c r="C173" s="545"/>
      <c r="D173" s="546" t="s">
        <v>1092</v>
      </c>
      <c r="E173" s="547"/>
      <c r="F173" s="545" t="s">
        <v>1114</v>
      </c>
      <c r="G173" s="243" t="e">
        <f>VLOOKUP(A173,'Feature Summary'!$A$7:$C$4055,3,FALSE)</f>
        <v>#N/A</v>
      </c>
      <c r="H173" s="557" t="s">
        <v>1115</v>
      </c>
      <c r="I173" s="429" t="s">
        <v>35</v>
      </c>
      <c r="J173" s="322"/>
      <c r="K173" s="561">
        <v>1</v>
      </c>
      <c r="L173" s="562">
        <v>1</v>
      </c>
      <c r="M173" s="562" t="s">
        <v>44</v>
      </c>
      <c r="N173" s="443">
        <v>1</v>
      </c>
      <c r="O173" s="562">
        <v>1</v>
      </c>
      <c r="P173" s="444">
        <f t="shared" si="38"/>
        <v>1</v>
      </c>
      <c r="Q173" s="429" t="s">
        <v>38</v>
      </c>
      <c r="R173" s="323">
        <v>1</v>
      </c>
      <c r="S173" s="469"/>
      <c r="T173" s="459"/>
      <c r="U173" s="459"/>
      <c r="V173" s="459"/>
      <c r="W173" s="459"/>
      <c r="X173" s="470"/>
      <c r="Y173" s="430"/>
      <c r="Z173" s="458"/>
      <c r="AA173" s="459"/>
      <c r="AB173" s="459"/>
      <c r="AC173" s="459"/>
      <c r="AD173" s="459"/>
      <c r="AE173" s="460"/>
      <c r="AF173" s="322"/>
      <c r="AG173" s="431"/>
      <c r="AH173" s="324"/>
    </row>
    <row r="174" spans="1:34" ht="99.4" hidden="1">
      <c r="A174" s="598" t="s">
        <v>1116</v>
      </c>
      <c r="B174" s="598" t="s">
        <v>1117</v>
      </c>
      <c r="C174" s="545"/>
      <c r="D174" s="546" t="s">
        <v>1118</v>
      </c>
      <c r="E174" s="547"/>
      <c r="F174" s="545" t="s">
        <v>1119</v>
      </c>
      <c r="G174" s="243" t="e">
        <f>VLOOKUP(A174,'Feature Summary'!$A$7:$C$4055,3,FALSE)</f>
        <v>#N/A</v>
      </c>
      <c r="H174" s="557" t="s">
        <v>1120</v>
      </c>
      <c r="I174" s="429" t="s">
        <v>41</v>
      </c>
      <c r="J174" s="322"/>
      <c r="K174" s="561">
        <v>5</v>
      </c>
      <c r="L174" s="562">
        <v>15</v>
      </c>
      <c r="M174" s="562" t="s">
        <v>33</v>
      </c>
      <c r="N174" s="443">
        <v>1</v>
      </c>
      <c r="O174" s="562">
        <v>15</v>
      </c>
      <c r="P174" s="444">
        <f>IF((O174=0),0,(O174/L174))</f>
        <v>1</v>
      </c>
      <c r="Q174" s="429" t="s">
        <v>47</v>
      </c>
      <c r="R174" s="323">
        <v>0</v>
      </c>
      <c r="S174" s="469"/>
      <c r="T174" s="459"/>
      <c r="U174" s="459"/>
      <c r="V174" s="459"/>
      <c r="W174" s="459"/>
      <c r="X174" s="470"/>
      <c r="Y174" s="430"/>
      <c r="Z174" s="458"/>
      <c r="AA174" s="459"/>
      <c r="AB174" s="459"/>
      <c r="AC174" s="459"/>
      <c r="AD174" s="459"/>
      <c r="AE174" s="460"/>
      <c r="AF174" s="322"/>
      <c r="AG174" s="431"/>
      <c r="AH174" s="324"/>
    </row>
    <row r="175" spans="1:34">
      <c r="A175" s="330"/>
      <c r="B175" s="553"/>
      <c r="C175" s="545"/>
      <c r="D175" s="546"/>
      <c r="E175" s="547"/>
      <c r="F175" s="545"/>
      <c r="G175" s="243"/>
      <c r="H175" s="557"/>
      <c r="I175" s="429"/>
      <c r="J175" s="322"/>
      <c r="K175" s="561"/>
      <c r="L175" s="562"/>
      <c r="M175" s="562"/>
      <c r="N175" s="443"/>
      <c r="O175" s="562"/>
      <c r="P175" s="444"/>
      <c r="Q175" s="429"/>
      <c r="R175" s="323"/>
      <c r="S175" s="469"/>
      <c r="T175" s="459"/>
      <c r="U175" s="459"/>
      <c r="V175" s="459"/>
      <c r="W175" s="459"/>
      <c r="X175" s="470"/>
      <c r="Y175" s="430"/>
      <c r="Z175" s="458"/>
      <c r="AA175" s="459"/>
      <c r="AB175" s="459"/>
      <c r="AC175" s="459"/>
      <c r="AD175" s="459"/>
      <c r="AE175" s="460"/>
      <c r="AF175" s="322"/>
      <c r="AG175" s="431"/>
      <c r="AH175" s="324"/>
    </row>
    <row r="176" spans="1:34">
      <c r="A176" s="362"/>
      <c r="B176" s="363"/>
      <c r="C176" s="363"/>
      <c r="D176" s="364"/>
      <c r="E176" s="363"/>
      <c r="F176" s="363"/>
      <c r="G176" s="364"/>
      <c r="H176" s="406"/>
      <c r="I176" s="543"/>
      <c r="J176" s="363"/>
      <c r="K176" s="363"/>
      <c r="L176" s="365"/>
      <c r="M176" s="366"/>
      <c r="N176" s="445"/>
      <c r="O176" s="446"/>
      <c r="P176" s="444"/>
      <c r="Q176" s="372"/>
      <c r="R176" s="373"/>
      <c r="S176" s="471"/>
      <c r="T176" s="472"/>
      <c r="U176" s="472"/>
      <c r="V176" s="472"/>
      <c r="W176" s="472"/>
      <c r="X176" s="470"/>
      <c r="Y176" s="374"/>
      <c r="Z176" s="461"/>
      <c r="AA176" s="462"/>
      <c r="AB176" s="462"/>
      <c r="AC176" s="462"/>
      <c r="AD176" s="462"/>
      <c r="AE176" s="463"/>
      <c r="AF176" s="378"/>
      <c r="AG176" s="378"/>
      <c r="AH176" s="382"/>
    </row>
    <row r="177" spans="1:34">
      <c r="A177" s="362"/>
      <c r="B177" s="363"/>
      <c r="C177" s="363"/>
      <c r="D177" s="364"/>
      <c r="E177" s="363"/>
      <c r="F177" s="363"/>
      <c r="G177" s="364"/>
      <c r="H177" s="406"/>
      <c r="I177" s="543"/>
      <c r="J177" s="363"/>
      <c r="K177" s="363"/>
      <c r="L177" s="365"/>
      <c r="M177" s="366"/>
      <c r="N177" s="445"/>
      <c r="O177" s="446"/>
      <c r="P177" s="444"/>
      <c r="Q177" s="372"/>
      <c r="R177" s="373"/>
      <c r="S177" s="471"/>
      <c r="T177" s="472"/>
      <c r="U177" s="472"/>
      <c r="V177" s="472"/>
      <c r="W177" s="472"/>
      <c r="X177" s="470"/>
      <c r="Y177" s="374"/>
      <c r="Z177" s="461"/>
      <c r="AA177" s="462"/>
      <c r="AB177" s="462"/>
      <c r="AC177" s="462"/>
      <c r="AD177" s="462"/>
      <c r="AE177" s="463"/>
      <c r="AF177" s="378"/>
      <c r="AG177" s="378"/>
      <c r="AH177" s="382"/>
    </row>
    <row r="178" spans="1:34" ht="15" thickBot="1">
      <c r="A178" s="367"/>
      <c r="B178" s="368"/>
      <c r="C178" s="368"/>
      <c r="D178" s="369"/>
      <c r="E178" s="368"/>
      <c r="F178" s="368"/>
      <c r="G178" s="369"/>
      <c r="H178" s="407"/>
      <c r="I178" s="543"/>
      <c r="J178" s="368"/>
      <c r="K178" s="368"/>
      <c r="L178" s="370"/>
      <c r="M178" s="371"/>
      <c r="N178" s="447"/>
      <c r="O178" s="448"/>
      <c r="P178" s="449"/>
      <c r="Q178" s="375"/>
      <c r="R178" s="376"/>
      <c r="S178" s="474"/>
      <c r="T178" s="475"/>
      <c r="U178" s="475"/>
      <c r="V178" s="475"/>
      <c r="W178" s="475"/>
      <c r="X178" s="476"/>
      <c r="Y178" s="377"/>
      <c r="Z178" s="464"/>
      <c r="AA178" s="465"/>
      <c r="AB178" s="465"/>
      <c r="AC178" s="465"/>
      <c r="AD178" s="465"/>
      <c r="AE178" s="466"/>
      <c r="AF178" s="379"/>
      <c r="AG178" s="379"/>
      <c r="AH178" s="383"/>
    </row>
    <row r="179" spans="1:34" ht="15" customHeight="1">
      <c r="A179" s="592" t="s">
        <v>1121</v>
      </c>
      <c r="B179" s="593"/>
      <c r="C179" s="593"/>
      <c r="D179" s="593"/>
      <c r="E179" s="593"/>
      <c r="F179" s="593"/>
      <c r="G179" s="593"/>
      <c r="H179" s="593"/>
      <c r="I179" s="593"/>
      <c r="J179" s="593"/>
      <c r="K179" s="593"/>
      <c r="L179" s="593"/>
      <c r="M179" s="593"/>
      <c r="N179" s="593"/>
      <c r="O179" s="593"/>
      <c r="P179" s="593"/>
      <c r="Q179" s="593"/>
      <c r="R179" s="593"/>
      <c r="S179" s="593"/>
      <c r="T179" s="593"/>
      <c r="U179" s="593"/>
      <c r="V179" s="593"/>
      <c r="W179" s="593"/>
      <c r="X179" s="593"/>
      <c r="Y179" s="593"/>
      <c r="Z179" s="593"/>
      <c r="AA179" s="593"/>
      <c r="AB179" s="593"/>
      <c r="AC179" s="593"/>
      <c r="AD179" s="593"/>
      <c r="AE179" s="593"/>
      <c r="AF179" s="593"/>
      <c r="AG179" s="593"/>
      <c r="AH179" s="594"/>
    </row>
    <row r="180" spans="1:34" ht="15.75" customHeight="1" thickBot="1">
      <c r="A180" s="595"/>
      <c r="B180" s="596"/>
      <c r="C180" s="596"/>
      <c r="D180" s="596"/>
      <c r="E180" s="596"/>
      <c r="F180" s="596"/>
      <c r="G180" s="596"/>
      <c r="H180" s="596"/>
      <c r="I180" s="596"/>
      <c r="J180" s="596"/>
      <c r="K180" s="596"/>
      <c r="L180" s="596"/>
      <c r="M180" s="596"/>
      <c r="N180" s="596"/>
      <c r="O180" s="596"/>
      <c r="P180" s="596"/>
      <c r="Q180" s="596"/>
      <c r="R180" s="596"/>
      <c r="S180" s="596"/>
      <c r="T180" s="596"/>
      <c r="U180" s="596"/>
      <c r="V180" s="596"/>
      <c r="W180" s="596"/>
      <c r="X180" s="596"/>
      <c r="Y180" s="596"/>
      <c r="Z180" s="596"/>
      <c r="AA180" s="596"/>
      <c r="AB180" s="596"/>
      <c r="AC180" s="596"/>
      <c r="AD180" s="596"/>
      <c r="AE180" s="596"/>
      <c r="AF180" s="596"/>
      <c r="AG180" s="596"/>
      <c r="AH180" s="597"/>
    </row>
    <row r="181" spans="1:34" ht="18.95" thickBot="1">
      <c r="A181" s="676" t="s">
        <v>630</v>
      </c>
      <c r="B181" s="677"/>
      <c r="C181" s="677"/>
      <c r="D181" s="677"/>
      <c r="E181" s="677"/>
      <c r="F181" s="677"/>
      <c r="G181" s="677"/>
      <c r="H181" s="677"/>
      <c r="I181" s="677"/>
      <c r="J181" s="678"/>
      <c r="K181" s="395">
        <f>SUM(K6:K178)</f>
        <v>303</v>
      </c>
      <c r="L181" s="395">
        <f>SUM(L6:L178)</f>
        <v>2994</v>
      </c>
      <c r="M181" s="396"/>
      <c r="N181" s="450">
        <f>SUMPRODUCT(K6:K178,N6:N178)/K181</f>
        <v>1</v>
      </c>
      <c r="O181" s="451">
        <f>SUM(O6:O178)</f>
        <v>2969</v>
      </c>
      <c r="P181" s="452">
        <f>SUMPRODUCT(K6:K178,P6:P178)/K181</f>
        <v>0.97359735973597361</v>
      </c>
      <c r="Q181" s="397"/>
      <c r="R181" s="398">
        <f t="shared" ref="R181:W181" si="41">SUM(R6:R178)</f>
        <v>2627</v>
      </c>
      <c r="S181" s="453">
        <f t="shared" si="41"/>
        <v>2438</v>
      </c>
      <c r="T181" s="453">
        <f t="shared" si="41"/>
        <v>2335</v>
      </c>
      <c r="U181" s="398">
        <f t="shared" si="41"/>
        <v>0</v>
      </c>
      <c r="V181" s="398">
        <f t="shared" si="41"/>
        <v>79</v>
      </c>
      <c r="W181" s="398">
        <f t="shared" si="41"/>
        <v>21</v>
      </c>
      <c r="X181" s="454">
        <f>IF((S181=0),0,((T181+U181)/S181*100%))</f>
        <v>0.95775225594749791</v>
      </c>
      <c r="Y181" s="399"/>
      <c r="Z181" s="455">
        <f>SUM(Z6:Z178)</f>
        <v>0</v>
      </c>
      <c r="AA181" s="456">
        <f>SUM(AA6:AA178)</f>
        <v>0</v>
      </c>
      <c r="AB181" s="456">
        <f>SUM(AB6:AB178)</f>
        <v>0</v>
      </c>
      <c r="AC181" s="456">
        <f>SUM(AC6:AC178)</f>
        <v>0</v>
      </c>
      <c r="AD181" s="456">
        <f>SUM(AD6:AD178)</f>
        <v>0</v>
      </c>
      <c r="AE181" s="457">
        <f>IF((Z181=0),0,((AA181+AB181)/Z181*100%))</f>
        <v>0</v>
      </c>
      <c r="AF181" s="400"/>
      <c r="AG181" s="400"/>
      <c r="AH181" s="401"/>
    </row>
    <row r="183" spans="1:34">
      <c r="L183" s="170" t="s">
        <v>1122</v>
      </c>
    </row>
    <row r="184" spans="1:34" ht="15"/>
    <row r="185" spans="1:34" ht="15"/>
    <row r="186" spans="1:34" ht="15"/>
    <row r="188" spans="1:34" ht="15"/>
    <row r="190" spans="1:34" ht="15"/>
    <row r="191" spans="1:34" ht="15"/>
    <row r="193" ht="15"/>
    <row r="194" ht="15"/>
    <row r="195" ht="15"/>
    <row r="196" ht="15"/>
    <row r="198" ht="15"/>
    <row r="199" ht="15"/>
    <row r="200" ht="15"/>
    <row r="201" ht="15"/>
    <row r="202" ht="15"/>
  </sheetData>
  <sheetProtection insertColumns="0" insertRows="0" deleteRows="0" sort="0"/>
  <autoFilter ref="A5:AH181" xr:uid="{00000000-0009-0000-0000-000002000000}">
    <filterColumn colId="15">
      <filters blank="1">
        <filter val="0%"/>
        <filter val="97.4%"/>
        <filter val="98%"/>
      </filters>
    </filterColumn>
  </autoFilter>
  <mergeCells count="8">
    <mergeCell ref="A1:AH1"/>
    <mergeCell ref="A3:AH3"/>
    <mergeCell ref="A2:J2"/>
    <mergeCell ref="A181:J18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M176:M178</xm:sqref>
        </x14:dataValidation>
        <x14:dataValidation type="list" allowBlank="1" showInputMessage="1" showErrorMessage="1" xr:uid="{F3EA239A-476E-4590-924A-7BA0D177C467}">
          <x14:formula1>
            <xm:f>'List Options'!$E$1:$E$6</xm:f>
          </x14:formula1>
          <xm:sqref>Q176:Q178</xm:sqref>
        </x14:dataValidation>
        <x14:dataValidation type="list" allowBlank="1" showInputMessage="1" showErrorMessage="1" xr:uid="{8B92A7F6-7ABF-446A-A0A1-23D59ABEAA7C}">
          <x14:formula1>
            <xm:f>'List Options'!$K$1:$K$6</xm:f>
          </x14:formula1>
          <xm:sqref>I6:I178</xm:sqref>
        </x14:dataValidation>
        <x14:dataValidation type="list" allowBlank="1" showInputMessage="1" showErrorMessage="1" xr:uid="{237AC15D-702E-46B4-89E7-DAB1EF5DAEB1}">
          <x14:formula1>
            <xm:f>'List Options'!$E$1:$E$7</xm:f>
          </x14:formula1>
          <xm:sqref>Q6:Q175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filterMode="1"/>
  <dimension ref="A1:W164"/>
  <sheetViews>
    <sheetView zoomScale="115" zoomScaleNormal="115" workbookViewId="0" xr3:uid="{F9CF3CF3-643B-5BE6-8B46-32C596A47465}">
      <pane xSplit="4" ySplit="6" topLeftCell="E34" activePane="bottomRight" state="frozen"/>
      <selection pane="bottomRight" activeCell="W93" sqref="W93"/>
      <selection pane="bottomLeft" activeCell="A3" sqref="A3"/>
      <selection pane="topRight" activeCell="D1" sqref="D1"/>
    </sheetView>
  </sheetViews>
  <sheetFormatPr defaultColWidth="8.5703125" defaultRowHeight="14.65"/>
  <cols>
    <col min="1" max="1" width="16.85546875" style="183" bestFit="1" customWidth="1"/>
    <col min="2" max="2" width="40.140625" style="191" customWidth="1"/>
    <col min="3" max="3" width="9.85546875" style="191" bestFit="1" customWidth="1"/>
    <col min="4" max="4" width="26.140625" style="183"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3" bestFit="1" customWidth="1"/>
    <col min="22" max="22" width="45.7109375" style="183" customWidth="1"/>
    <col min="23" max="23" width="51" style="183" customWidth="1"/>
    <col min="24" max="16384" width="8.5703125" style="183"/>
  </cols>
  <sheetData>
    <row r="1" spans="1:23" s="178" customFormat="1" ht="18.75">
      <c r="A1" s="709" t="s">
        <v>1123</v>
      </c>
      <c r="B1" s="742"/>
      <c r="C1" s="742"/>
      <c r="D1" s="742"/>
      <c r="E1" s="742"/>
      <c r="F1" s="742"/>
      <c r="G1" s="742"/>
      <c r="H1" s="742"/>
      <c r="I1" s="742"/>
      <c r="J1" s="742"/>
      <c r="K1" s="742"/>
      <c r="L1" s="742"/>
      <c r="M1" s="742"/>
      <c r="N1" s="742"/>
      <c r="O1" s="742"/>
      <c r="P1" s="742"/>
      <c r="Q1" s="742"/>
      <c r="R1" s="742"/>
      <c r="S1" s="742"/>
      <c r="T1" s="742"/>
      <c r="U1" s="743"/>
      <c r="V1" s="541"/>
    </row>
    <row r="2" spans="1:23" s="188" customFormat="1" ht="18.399999999999999">
      <c r="A2" s="703" t="s">
        <v>630</v>
      </c>
      <c r="B2" s="704"/>
      <c r="C2" s="704"/>
      <c r="D2" s="704"/>
      <c r="E2" s="704"/>
      <c r="F2" s="705"/>
      <c r="G2" s="402">
        <f>COUNTIF(G7:G159,"Yes")</f>
        <v>116</v>
      </c>
      <c r="H2" s="402">
        <f>COUNTIF(H7:H159,"Yes")</f>
        <v>116</v>
      </c>
      <c r="I2" s="738">
        <f>'Diags Raw Data'!K181</f>
        <v>303</v>
      </c>
      <c r="J2" s="748">
        <f>'Diags Raw Data'!L181</f>
        <v>2994</v>
      </c>
      <c r="K2" s="750">
        <f>'Diags Raw Data'!N181</f>
        <v>1</v>
      </c>
      <c r="L2" s="752">
        <f>'Diags Raw Data'!P181</f>
        <v>0.97359735973597361</v>
      </c>
      <c r="M2" s="754">
        <f>'Diags Raw Data'!R181</f>
        <v>2627</v>
      </c>
      <c r="N2" s="719">
        <f>SUM('Diags Raw Data'!T181+'Diags Raw Data'!U181)</f>
        <v>2335</v>
      </c>
      <c r="O2" s="744">
        <f>IF((M162=0),0,N162/M162)</f>
        <v>0.88884659307194513</v>
      </c>
      <c r="P2" s="746">
        <f>'Diags Raw Data'!Z181</f>
        <v>0</v>
      </c>
      <c r="Q2" s="736">
        <f>SUM('Diags Raw Data'!AA181+'Diags Raw Data'!AB181)</f>
        <v>0</v>
      </c>
      <c r="R2" s="732">
        <f>IF((J162=0),0,P162/J162)</f>
        <v>0</v>
      </c>
      <c r="S2" s="732">
        <f>IF((P162=0),0,Q162/P162)</f>
        <v>0</v>
      </c>
      <c r="T2" s="732">
        <f>R162*S162</f>
        <v>0</v>
      </c>
      <c r="U2" s="734"/>
      <c r="V2" s="721" t="s">
        <v>1124</v>
      </c>
      <c r="W2" s="187"/>
    </row>
    <row r="3" spans="1:23" ht="18.95" thickBot="1">
      <c r="A3" s="706"/>
      <c r="B3" s="707"/>
      <c r="C3" s="707"/>
      <c r="D3" s="707"/>
      <c r="E3" s="707"/>
      <c r="F3" s="708"/>
      <c r="G3" s="403">
        <f>COUNTIF(G7:G159,"Yes")/COUNTA(A7:A159)</f>
        <v>0.77333333333333332</v>
      </c>
      <c r="H3" s="403">
        <f>(COUNTIF(H7:H159,"Yes")/G162)</f>
        <v>1</v>
      </c>
      <c r="I3" s="739"/>
      <c r="J3" s="749"/>
      <c r="K3" s="751"/>
      <c r="L3" s="753"/>
      <c r="M3" s="755"/>
      <c r="N3" s="720"/>
      <c r="O3" s="745"/>
      <c r="P3" s="747"/>
      <c r="Q3" s="737"/>
      <c r="R3" s="733"/>
      <c r="S3" s="733"/>
      <c r="T3" s="733"/>
      <c r="U3" s="735"/>
      <c r="V3" s="722"/>
      <c r="W3" s="182"/>
    </row>
    <row r="4" spans="1:23" ht="18.95" thickBot="1">
      <c r="A4" s="723" t="s">
        <v>1125</v>
      </c>
      <c r="B4" s="724"/>
      <c r="C4" s="724"/>
      <c r="D4" s="724"/>
      <c r="E4" s="724"/>
      <c r="F4" s="724"/>
      <c r="G4" s="724"/>
      <c r="H4" s="724"/>
      <c r="I4" s="724"/>
      <c r="J4" s="724"/>
      <c r="K4" s="724"/>
      <c r="L4" s="724"/>
      <c r="M4" s="724"/>
      <c r="N4" s="724"/>
      <c r="O4" s="724"/>
      <c r="P4" s="724"/>
      <c r="Q4" s="724"/>
      <c r="R4" s="724"/>
      <c r="S4" s="724"/>
      <c r="T4" s="724"/>
      <c r="U4" s="725"/>
      <c r="V4" s="542"/>
    </row>
    <row r="5" spans="1:23" s="178" customFormat="1" ht="31.5" customHeight="1" thickBot="1">
      <c r="A5" s="694" t="s">
        <v>76</v>
      </c>
      <c r="B5" s="695"/>
      <c r="C5" s="695"/>
      <c r="D5" s="695"/>
      <c r="E5" s="695"/>
      <c r="F5" s="695"/>
      <c r="G5" s="695"/>
      <c r="H5" s="695"/>
      <c r="I5" s="695"/>
      <c r="J5" s="696"/>
      <c r="K5" s="692" t="s">
        <v>113</v>
      </c>
      <c r="L5" s="693"/>
      <c r="M5" s="697" t="s">
        <v>124</v>
      </c>
      <c r="N5" s="698"/>
      <c r="O5" s="699"/>
      <c r="P5" s="700" t="s">
        <v>144</v>
      </c>
      <c r="Q5" s="701"/>
      <c r="R5" s="701"/>
      <c r="S5" s="701"/>
      <c r="T5" s="701"/>
      <c r="U5" s="702"/>
      <c r="V5" s="177"/>
    </row>
    <row r="6" spans="1:23" s="180" customFormat="1" ht="15" thickBot="1">
      <c r="A6" s="346" t="s">
        <v>77</v>
      </c>
      <c r="B6" s="385" t="s">
        <v>81</v>
      </c>
      <c r="C6" s="385" t="s">
        <v>96</v>
      </c>
      <c r="D6" s="385" t="s">
        <v>212</v>
      </c>
      <c r="E6" s="385" t="s">
        <v>88</v>
      </c>
      <c r="F6" s="385" t="s">
        <v>1</v>
      </c>
      <c r="G6" s="386" t="s">
        <v>215</v>
      </c>
      <c r="H6" s="386" t="s">
        <v>218</v>
      </c>
      <c r="I6" s="387" t="s">
        <v>105</v>
      </c>
      <c r="J6" s="387" t="s">
        <v>221</v>
      </c>
      <c r="K6" s="359" t="s">
        <v>114</v>
      </c>
      <c r="L6" s="360" t="s">
        <v>121</v>
      </c>
      <c r="M6" s="339" t="s">
        <v>227</v>
      </c>
      <c r="N6" s="340" t="s">
        <v>229</v>
      </c>
      <c r="O6" s="338" t="s">
        <v>187</v>
      </c>
      <c r="P6" s="361" t="s">
        <v>232</v>
      </c>
      <c r="Q6" s="341" t="s">
        <v>229</v>
      </c>
      <c r="R6" s="342" t="s">
        <v>184</v>
      </c>
      <c r="S6" s="342" t="s">
        <v>140</v>
      </c>
      <c r="T6" s="343" t="s">
        <v>187</v>
      </c>
      <c r="U6" s="344" t="s">
        <v>157</v>
      </c>
      <c r="V6" s="179" t="s">
        <v>1126</v>
      </c>
      <c r="W6" s="180" t="s">
        <v>1127</v>
      </c>
    </row>
    <row r="7" spans="1:23" hidden="1">
      <c r="A7" s="584" t="s">
        <v>302</v>
      </c>
      <c r="B7" s="432" t="str">
        <f>VLOOKUP(A7,'Feature Raw Data'!$A$3:$B$4004,2,FALSE)</f>
        <v>DCN4.001 - Improved display interop</v>
      </c>
      <c r="C7" s="433" t="str">
        <f>VLOOKUP(A7,'Feature Raw Data'!$A$3:$C$4004,3,FALSE)</f>
        <v>P2</v>
      </c>
      <c r="D7" s="434" t="str" cm="1">
        <f t="array" ref="D7">_xlfn.TEXTJOIN("",TRUE,IF(ISNUMBER(SEARCH($A7,'Diags Raw Data'!$A$6:$A$3791)),CONCATENATE('Diags Raw Data'!$H$6:$H$3791,", "),""))</f>
        <v/>
      </c>
      <c r="E7" s="435" t="e">
        <f>VLOOKUP(A7,'Diags Raw Data'!$A$6:$D$3791,4,FALSE)</f>
        <v>#N/A</v>
      </c>
      <c r="F7" s="435" t="str">
        <f>VLOOKUP(A7,'Feature Raw Data'!$A$3:$E$4004,5,FALSE)</f>
        <v>New</v>
      </c>
      <c r="G7" s="435" t="str">
        <f t="shared" ref="G7:G105" si="0">IF(D7="","No","Yes")</f>
        <v>No</v>
      </c>
      <c r="H7" s="435" t="str">
        <f t="shared" ref="H7:H105" si="1">IF(D7="","No","Yes")</f>
        <v>No</v>
      </c>
      <c r="I7" s="433">
        <f>SUMIF('Diags Raw Data'!$A$6:$A$3791,"*"&amp;$A7&amp;"*",'Diags Raw Data'!$K$6:$K$3791)</f>
        <v>0</v>
      </c>
      <c r="J7" s="436">
        <f>SUMIF('Diags Raw Data'!$A$6:$A$3791,"*"&amp;$A7&amp;"*",'Diags Raw Data'!$L$6:$L$3791)</f>
        <v>0</v>
      </c>
      <c r="K7" s="477" cm="1">
        <f t="array" ref="K7">IF(D7="",0, SUMPRODUCT(--(ISNUMBER(SEARCH($A7,'Diags Raw Data'!$A$6:$A$3791))),'Diags Raw Data'!$L$6:$L$3791,'Diags Raw Data'!$N$6:$N$3791)/J7)</f>
        <v>0</v>
      </c>
      <c r="L7" s="478" cm="1">
        <f t="array" ref="L7">IF(D7="",0, SUMPRODUCT(--(ISNUMBER(SEARCH($A7,'Diags Raw Data'!$A$6:$A$3791))),'Diags Raw Data'!$L$6:$L$3791,'Diags Raw Data'!$P$6:$P$3791)/J7)</f>
        <v>0</v>
      </c>
      <c r="M7" s="479" cm="1">
        <f t="array" ref="M7">SUMPRODUCT(--(ISNUMBER(SEARCH($A7,'Diags Raw Data'!$A$6:$A$3791))),--('Diags Raw Data'!$Q$6:$Q$3791&lt;&gt;"N/A"),'Diags Raw Data'!$R$6:$R$3791)</f>
        <v>0</v>
      </c>
      <c r="N7" s="480" cm="1">
        <f t="array" ref="N7">SUMPRODUCT(--(ISNUMBER(SEARCH($A7,'Diags Raw Data'!$A$6:$A$3791))),--('Diags Raw Data'!$Q$6:$Q$3791&lt;&gt;"N/A"),'Diags Raw Data'!$T$6:$T$3791)+SUMPRODUCT(--(ISNUMBER(SEARCH($A7,'Diags Raw Data'!$A$6:$A$3791))),--('Diags Raw Data'!$Q$6:$Q$3791&lt;&gt;"N/A"),'Diags Raw Data'!$U$6:$U$3791)</f>
        <v>0</v>
      </c>
      <c r="O7" s="481">
        <f>IF((M7=0),0,N7/M7)</f>
        <v>0</v>
      </c>
      <c r="P7" s="482">
        <f>SUMIF('Diags Raw Data'!$A$6:$A$3791,"*"&amp;$A7&amp;"*",'Diags Raw Data'!$Z$6:$Z$3791)</f>
        <v>0</v>
      </c>
      <c r="Q7" s="483">
        <f>SUM(SUMIF('Diags Raw Data'!$A$6:$A$3791,"*"&amp;$A7&amp;"*",'Diags Raw Data'!$AA$6:$AA$3791),SUMIF('Diags Raw Data'!$A$6:$A$3791,"*"&amp;$A7&amp;"*",'Diags Raw Data'!$AB$6:$AB$3791))</f>
        <v>0</v>
      </c>
      <c r="R7" s="484">
        <f>IF((J7=0),0,P7/J7)</f>
        <v>0</v>
      </c>
      <c r="S7" s="484">
        <f>IF((P7=0),0,Q7/P7)</f>
        <v>0</v>
      </c>
      <c r="T7" s="485">
        <f>R7*S7</f>
        <v>0</v>
      </c>
      <c r="U7" s="437"/>
      <c r="V7" s="182" t="s">
        <v>1128</v>
      </c>
    </row>
    <row r="8" spans="1:23">
      <c r="A8" s="584" t="s">
        <v>305</v>
      </c>
      <c r="B8" s="438" t="str">
        <f>VLOOKUP(A8,'Feature Raw Data'!$A$3:$B$4004,2,FALSE)</f>
        <v>DCN4.002 - Ipx dldo pg</v>
      </c>
      <c r="C8" s="439" t="str">
        <f>VLOOKUP(A8,'Feature Raw Data'!$A$3:$C$4004,3,FALSE)</f>
        <v>P2</v>
      </c>
      <c r="D8" s="440" t="str" cm="1">
        <f t="array" ref="D8">_xlfn.TEXTJOIN("",TRUE,IF(ISNUMBER(SEARCH($A8,'Diags Raw Data'!$A$6:$A$3791)),CONCATENATE('Diags Raw Data'!$H$6:$H$3791,", "),""))</f>
        <v xml:space="preserve">DLPC001, </v>
      </c>
      <c r="E8" s="336" t="str">
        <f>VLOOKUP(A8,'Diags Raw Data'!$A$6:$D$3791,4,FALSE)</f>
        <v>DLPC</v>
      </c>
      <c r="F8" s="336" t="str">
        <f>VLOOKUP(A8,'Feature Raw Data'!$A$3:$E$4004,5,FALSE)</f>
        <v>Delta</v>
      </c>
      <c r="G8" s="336" t="str">
        <f t="shared" si="0"/>
        <v>Yes</v>
      </c>
      <c r="H8" s="336" t="str">
        <f t="shared" si="1"/>
        <v>Yes</v>
      </c>
      <c r="I8" s="439">
        <f>SUMIF('Diags Raw Data'!$A$6:$A$3791,"*"&amp;$A8&amp;"*",'Diags Raw Data'!$K$6:$K$3791)</f>
        <v>80</v>
      </c>
      <c r="J8" s="441">
        <f>SUMIF('Diags Raw Data'!$A$6:$A$3791,"*"&amp;$A8&amp;"*",'Diags Raw Data'!$L$6:$L$3791)</f>
        <v>2</v>
      </c>
      <c r="K8" s="486" cm="1">
        <f t="array" ref="K8">IF(D8="",0, SUMPRODUCT(--(ISNUMBER(SEARCH($A8,'Diags Raw Data'!$A$6:$A$3791))),'Diags Raw Data'!$L$6:$L$3791,'Diags Raw Data'!$N$6:$N$3791)/J8)</f>
        <v>1</v>
      </c>
      <c r="L8" s="487" cm="1">
        <f t="array" ref="L8">IF(D8="",0, SUMPRODUCT(--(ISNUMBER(SEARCH($A8,'Diags Raw Data'!$A$6:$A$3791))),'Diags Raw Data'!$L$6:$L$3791,'Diags Raw Data'!$P$6:$P$3791)/J8)</f>
        <v>1</v>
      </c>
      <c r="M8" s="488" cm="1">
        <f t="array" ref="M8">SUMPRODUCT(--(ISNUMBER(SEARCH($A8,'Diags Raw Data'!$A$6:$A$3791))),--('Diags Raw Data'!$Q$6:$Q$3791&lt;&gt;"N/A"),'Diags Raw Data'!$R$6:$R$3791)</f>
        <v>2</v>
      </c>
      <c r="N8" s="489" cm="1">
        <f t="array" ref="N8">SUMPRODUCT(--(ISNUMBER(SEARCH($A8,'Diags Raw Data'!$A$6:$A$3791))),--('Diags Raw Data'!$Q$6:$Q$3791&lt;&gt;"N/A"),'Diags Raw Data'!$T$6:$T$3791)+SUMPRODUCT(--(ISNUMBER(SEARCH($A8,'Diags Raw Data'!$A$6:$A$3791))),--('Diags Raw Data'!$Q$6:$Q$3791&lt;&gt;"N/A"),'Diags Raw Data'!$U$6:$U$3791)</f>
        <v>0</v>
      </c>
      <c r="O8" s="490">
        <f t="shared" ref="O8:O137" si="2">IF((M8=0),0,N8/M8)</f>
        <v>0</v>
      </c>
      <c r="P8" s="491">
        <f>SUMIF('Diags Raw Data'!$A$6:$A$3791,"*"&amp;$A8&amp;"*",'Diags Raw Data'!$Z$6:$Z$3791)</f>
        <v>0</v>
      </c>
      <c r="Q8" s="492">
        <f>SUM(SUMIF('Diags Raw Data'!$A$6:$A$3791,"*"&amp;$A8&amp;"*",'Diags Raw Data'!$AA$6:$AA$3791),SUMIF('Diags Raw Data'!$A$6:$A$3791,"*"&amp;$A8&amp;"*",'Diags Raw Data'!$AB$6:$AB$3791))</f>
        <v>0</v>
      </c>
      <c r="R8" s="493">
        <f t="shared" ref="R8:R136" si="3">IF((J8=0),0,P8/J8)</f>
        <v>0</v>
      </c>
      <c r="S8" s="493">
        <f t="shared" ref="S8:S136" si="4">IF((P8=0),0,Q8/P8)</f>
        <v>0</v>
      </c>
      <c r="T8" s="494">
        <f t="shared" ref="T8:T136" si="5">R8*S8</f>
        <v>0</v>
      </c>
      <c r="U8" s="442" t="s">
        <v>1129</v>
      </c>
      <c r="V8" s="182"/>
    </row>
    <row r="9" spans="1:23" ht="29.1">
      <c r="A9" s="584" t="s">
        <v>308</v>
      </c>
      <c r="B9" s="438" t="str">
        <f>VLOOKUP(A9,'Feature Raw Data'!$A$3:$B$4004,2,FALSE)</f>
        <v>DCN4.003 - Display mode performance</v>
      </c>
      <c r="C9" s="439" t="str">
        <f>VLOOKUP(A9,'Feature Raw Data'!$A$3:$C$4004,3,FALSE)</f>
        <v>P2</v>
      </c>
      <c r="D9" s="440" t="str" cm="1">
        <f t="array" ref="D9">_xlfn.TEXTJOIN("",TRUE,IF(ISNUMBER(SEARCH($A9,'Diags Raw Data'!$A$6:$A$3791)),CONCATENATE('Diags Raw Data'!$H$6:$H$3791,", "),""))</f>
        <v xml:space="preserve">disp.smoke.multi_stream, DPP001, </v>
      </c>
      <c r="E9" s="336" t="e">
        <f>VLOOKUP(A9,'Diags Raw Data'!$A$6:$D$3791,4,FALSE)</f>
        <v>#N/A</v>
      </c>
      <c r="F9" s="336" t="str">
        <f>VLOOKUP(A9,'Feature Raw Data'!$A$3:$E$4004,5,FALSE)</f>
        <v>New</v>
      </c>
      <c r="G9" s="336" t="str">
        <f t="shared" si="0"/>
        <v>Yes</v>
      </c>
      <c r="H9" s="336" t="str">
        <f t="shared" si="1"/>
        <v>Yes</v>
      </c>
      <c r="I9" s="439">
        <f>SUMIF('Diags Raw Data'!$A$6:$A$3791,"*"&amp;$A9&amp;"*",'Diags Raw Data'!$K$6:$K$3791)</f>
        <v>6</v>
      </c>
      <c r="J9" s="441">
        <f>SUMIF('Diags Raw Data'!$A$6:$A$3791,"*"&amp;$A9&amp;"*",'Diags Raw Data'!$L$6:$L$3791)</f>
        <v>16</v>
      </c>
      <c r="K9" s="486" cm="1">
        <f t="array" ref="K9">IF(D9="",0, SUMPRODUCT(--(ISNUMBER(SEARCH($A9,'Diags Raw Data'!$A$6:$A$3791))),'Diags Raw Data'!$L$6:$L$3791,'Diags Raw Data'!$N$6:$N$3791)/J9)</f>
        <v>1</v>
      </c>
      <c r="L9" s="487" cm="1">
        <f t="array" ref="L9">IF(D9="",0, SUMPRODUCT(--(ISNUMBER(SEARCH($A9,'Diags Raw Data'!$A$6:$A$3791))),'Diags Raw Data'!$L$6:$L$3791,'Diags Raw Data'!$P$6:$P$3791)/J9)</f>
        <v>1</v>
      </c>
      <c r="M9" s="488" cm="1">
        <f t="array" ref="M9">SUMPRODUCT(--(ISNUMBER(SEARCH($A9,'Diags Raw Data'!$A$6:$A$3791))),--('Diags Raw Data'!$Q$6:$Q$3791&lt;&gt;"N/A"),'Diags Raw Data'!$R$6:$R$3791)</f>
        <v>1</v>
      </c>
      <c r="N9" s="489" cm="1">
        <f t="array" ref="N9">SUMPRODUCT(--(ISNUMBER(SEARCH($A9,'Diags Raw Data'!$A$6:$A$3791))),--('Diags Raw Data'!$Q$6:$Q$3791&lt;&gt;"N/A"),'Diags Raw Data'!$T$6:$T$3791)+SUMPRODUCT(--(ISNUMBER(SEARCH($A9,'Diags Raw Data'!$A$6:$A$3791))),--('Diags Raw Data'!$Q$6:$Q$3791&lt;&gt;"N/A"),'Diags Raw Data'!$U$6:$U$3791)</f>
        <v>0</v>
      </c>
      <c r="O9" s="490">
        <f t="shared" si="2"/>
        <v>0</v>
      </c>
      <c r="P9" s="491">
        <f>SUMIF('Diags Raw Data'!$A$6:$A$3791,"*"&amp;$A9&amp;"*",'Diags Raw Data'!$Z$6:$Z$3791)</f>
        <v>0</v>
      </c>
      <c r="Q9" s="492">
        <f>SUM(SUMIF('Diags Raw Data'!$A$6:$A$3791,"*"&amp;$A9&amp;"*",'Diags Raw Data'!$AA$6:$AA$3791),SUMIF('Diags Raw Data'!$A$6:$A$3791,"*"&amp;$A9&amp;"*",'Diags Raw Data'!$AB$6:$AB$3791))</f>
        <v>0</v>
      </c>
      <c r="R9" s="493">
        <f t="shared" si="3"/>
        <v>0</v>
      </c>
      <c r="S9" s="493">
        <f t="shared" si="4"/>
        <v>0</v>
      </c>
      <c r="T9" s="494">
        <f t="shared" si="5"/>
        <v>0</v>
      </c>
      <c r="U9" s="442" t="s">
        <v>1130</v>
      </c>
      <c r="V9" s="182"/>
    </row>
    <row r="10" spans="1:23">
      <c r="A10" s="584" t="s">
        <v>311</v>
      </c>
      <c r="B10" s="438" t="str">
        <f>VLOOKUP(A10,'Feature Raw Data'!$A$3:$B$4004,2,FALSE)</f>
        <v>DCN4.004 - Support 16k8k@60</v>
      </c>
      <c r="C10" s="439" t="str">
        <f>VLOOKUP(A10,'Feature Raw Data'!$A$3:$C$4004,3,FALSE)</f>
        <v>P2</v>
      </c>
      <c r="D10" s="440" t="str" cm="1">
        <f t="array" ref="D10">_xlfn.TEXTJOIN("",TRUE,IF(ISNUMBER(SEARCH($A10,'Diags Raw Data'!$A$6:$A$3791)),CONCATENATE('Diags Raw Data'!$H$6:$H$3791,", "),""))</f>
        <v xml:space="preserve">disp.smoke.modeset, </v>
      </c>
      <c r="E10" s="336" t="e">
        <f>VLOOKUP(A10,'Diags Raw Data'!$A$6:$D$3791,4,FALSE)</f>
        <v>#N/A</v>
      </c>
      <c r="F10" s="336" t="str">
        <f>VLOOKUP(A10,'Feature Raw Data'!$A$3:$E$4004,5,FALSE)</f>
        <v>New</v>
      </c>
      <c r="G10" s="336" t="str">
        <f t="shared" si="0"/>
        <v>Yes</v>
      </c>
      <c r="H10" s="336" t="str">
        <f t="shared" si="1"/>
        <v>Yes</v>
      </c>
      <c r="I10" s="439">
        <f>SUMIF('Diags Raw Data'!$A$6:$A$3791,"*"&amp;$A10&amp;"*",'Diags Raw Data'!$K$6:$K$3791)</f>
        <v>3</v>
      </c>
      <c r="J10" s="441">
        <f>SUMIF('Diags Raw Data'!$A$6:$A$3791,"*"&amp;$A10&amp;"*",'Diags Raw Data'!$L$6:$L$3791)</f>
        <v>3</v>
      </c>
      <c r="K10" s="486" cm="1">
        <f t="array" ref="K10">IF(D10="",0, SUMPRODUCT(--(ISNUMBER(SEARCH($A10,'Diags Raw Data'!$A$6:$A$3791))),'Diags Raw Data'!$L$6:$L$3791,'Diags Raw Data'!$N$6:$N$3791)/J10)</f>
        <v>1</v>
      </c>
      <c r="L10" s="487" cm="1">
        <f t="array" ref="L10">IF(D10="",0, SUMPRODUCT(--(ISNUMBER(SEARCH($A10,'Diags Raw Data'!$A$6:$A$3791))),'Diags Raw Data'!$L$6:$L$3791,'Diags Raw Data'!$P$6:$P$3791)/J10)</f>
        <v>0</v>
      </c>
      <c r="M10" s="488" cm="1">
        <f t="array" ref="M10">SUMPRODUCT(--(ISNUMBER(SEARCH($A10,'Diags Raw Data'!$A$6:$A$3791))),--('Diags Raw Data'!$Q$6:$Q$3791&lt;&gt;"N/A"),'Diags Raw Data'!$R$6:$R$3791)</f>
        <v>0</v>
      </c>
      <c r="N10" s="489" cm="1">
        <f t="array" ref="N10">SUMPRODUCT(--(ISNUMBER(SEARCH($A10,'Diags Raw Data'!$A$6:$A$3791))),--('Diags Raw Data'!$Q$6:$Q$3791&lt;&gt;"N/A"),'Diags Raw Data'!$T$6:$T$3791)+SUMPRODUCT(--(ISNUMBER(SEARCH($A10,'Diags Raw Data'!$A$6:$A$3791))),--('Diags Raw Data'!$Q$6:$Q$3791&lt;&gt;"N/A"),'Diags Raw Data'!$U$6:$U$3791)</f>
        <v>0</v>
      </c>
      <c r="O10" s="490">
        <f t="shared" si="2"/>
        <v>0</v>
      </c>
      <c r="P10" s="491">
        <f>SUMIF('Diags Raw Data'!$A$6:$A$3791,"*"&amp;$A10&amp;"*",'Diags Raw Data'!$Z$6:$Z$3791)</f>
        <v>0</v>
      </c>
      <c r="Q10" s="492">
        <f>SUM(SUMIF('Diags Raw Data'!$A$6:$A$3791,"*"&amp;$A10&amp;"*",'Diags Raw Data'!$AA$6:$AA$3791),SUMIF('Diags Raw Data'!$A$6:$A$3791,"*"&amp;$A10&amp;"*",'Diags Raw Data'!$AB$6:$AB$3791))</f>
        <v>0</v>
      </c>
      <c r="R10" s="493">
        <f t="shared" si="3"/>
        <v>0</v>
      </c>
      <c r="S10" s="493">
        <f t="shared" si="4"/>
        <v>0</v>
      </c>
      <c r="T10" s="494">
        <f t="shared" si="5"/>
        <v>0</v>
      </c>
      <c r="U10" s="442" t="s">
        <v>1130</v>
      </c>
      <c r="V10" s="182"/>
    </row>
    <row r="11" spans="1:23">
      <c r="A11" s="584" t="s">
        <v>314</v>
      </c>
      <c r="B11" s="438" t="str">
        <f>VLOOKUP(A11,'Feature Raw Data'!$A$3:$B$4004,2,FALSE)</f>
        <v>DCN4.005 - Support 6k60</v>
      </c>
      <c r="C11" s="439" t="str">
        <f>VLOOKUP(A11,'Feature Raw Data'!$A$3:$C$4004,3,FALSE)</f>
        <v>P2</v>
      </c>
      <c r="D11" s="440" t="str" cm="1">
        <f t="array" ref="D11">_xlfn.TEXTJOIN("",TRUE,IF(ISNUMBER(SEARCH($A11,'Diags Raw Data'!$A$6:$A$3791)),CONCATENATE('Diags Raw Data'!$H$6:$H$3791,", "),""))</f>
        <v xml:space="preserve">disp.smoke.modeset, </v>
      </c>
      <c r="E11" s="336" t="e">
        <f>VLOOKUP(A11,'Diags Raw Data'!$A$6:$D$3791,4,FALSE)</f>
        <v>#N/A</v>
      </c>
      <c r="F11" s="336" t="str">
        <f>VLOOKUP(A11,'Feature Raw Data'!$A$3:$E$4004,5,FALSE)</f>
        <v>New</v>
      </c>
      <c r="G11" s="336" t="str">
        <f t="shared" si="0"/>
        <v>Yes</v>
      </c>
      <c r="H11" s="336" t="str">
        <f t="shared" si="1"/>
        <v>Yes</v>
      </c>
      <c r="I11" s="439">
        <f>SUMIF('Diags Raw Data'!$A$6:$A$3791,"*"&amp;$A11&amp;"*",'Diags Raw Data'!$K$6:$K$3791)</f>
        <v>3</v>
      </c>
      <c r="J11" s="441">
        <f>SUMIF('Diags Raw Data'!$A$6:$A$3791,"*"&amp;$A11&amp;"*",'Diags Raw Data'!$L$6:$L$3791)</f>
        <v>3</v>
      </c>
      <c r="K11" s="486" cm="1">
        <f t="array" ref="K11">IF(D11="",0, SUMPRODUCT(--(ISNUMBER(SEARCH($A11,'Diags Raw Data'!$A$6:$A$3791))),'Diags Raw Data'!$L$6:$L$3791,'Diags Raw Data'!$N$6:$N$3791)/J11)</f>
        <v>1</v>
      </c>
      <c r="L11" s="487" cm="1">
        <f t="array" ref="L11">IF(D11="",0, SUMPRODUCT(--(ISNUMBER(SEARCH($A11,'Diags Raw Data'!$A$6:$A$3791))),'Diags Raw Data'!$L$6:$L$3791,'Diags Raw Data'!$P$6:$P$3791)/J11)</f>
        <v>0</v>
      </c>
      <c r="M11" s="488" cm="1">
        <f t="array" ref="M11">SUMPRODUCT(--(ISNUMBER(SEARCH($A11,'Diags Raw Data'!$A$6:$A$3791))),--('Diags Raw Data'!$Q$6:$Q$3791&lt;&gt;"N/A"),'Diags Raw Data'!$R$6:$R$3791)</f>
        <v>0</v>
      </c>
      <c r="N11" s="489" cm="1">
        <f t="array" ref="N11">SUMPRODUCT(--(ISNUMBER(SEARCH($A11,'Diags Raw Data'!$A$6:$A$3791))),--('Diags Raw Data'!$Q$6:$Q$3791&lt;&gt;"N/A"),'Diags Raw Data'!$T$6:$T$3791)+SUMPRODUCT(--(ISNUMBER(SEARCH($A11,'Diags Raw Data'!$A$6:$A$3791))),--('Diags Raw Data'!$Q$6:$Q$3791&lt;&gt;"N/A"),'Diags Raw Data'!$U$6:$U$3791)</f>
        <v>0</v>
      </c>
      <c r="O11" s="490">
        <f t="shared" si="2"/>
        <v>0</v>
      </c>
      <c r="P11" s="491">
        <f>SUMIF('Diags Raw Data'!$A$6:$A$3791,"*"&amp;$A11&amp;"*",'Diags Raw Data'!$Z$6:$Z$3791)</f>
        <v>0</v>
      </c>
      <c r="Q11" s="492">
        <f>SUM(SUMIF('Diags Raw Data'!$A$6:$A$3791,"*"&amp;$A11&amp;"*",'Diags Raw Data'!$AA$6:$AA$3791),SUMIF('Diags Raw Data'!$A$6:$A$3791,"*"&amp;$A11&amp;"*",'Diags Raw Data'!$AB$6:$AB$3791))</f>
        <v>0</v>
      </c>
      <c r="R11" s="493">
        <f t="shared" si="3"/>
        <v>0</v>
      </c>
      <c r="S11" s="493">
        <f t="shared" si="4"/>
        <v>0</v>
      </c>
      <c r="T11" s="494">
        <f t="shared" si="5"/>
        <v>0</v>
      </c>
      <c r="U11" s="442" t="s">
        <v>1130</v>
      </c>
      <c r="V11" s="182"/>
    </row>
    <row r="12" spans="1:23" ht="15">
      <c r="A12" s="584" t="s">
        <v>317</v>
      </c>
      <c r="B12" s="438" t="str">
        <f>VLOOKUP(A12,'Feature Raw Data'!$A$3:$B$4004,2,FALSE)</f>
        <v>DCN4.006 - Max pixel rate single pipe</v>
      </c>
      <c r="C12" s="439" t="str">
        <f>VLOOKUP(A12,'Feature Raw Data'!$A$3:$C$4004,3,FALSE)</f>
        <v>P2</v>
      </c>
      <c r="D12" s="440" t="str" cm="1">
        <f t="array" ref="D12">_xlfn.TEXTJOIN("",TRUE,IF(ISNUMBER(SEARCH($A12,'Diags Raw Data'!$A$6:$A$3791)),CONCATENATE('Diags Raw Data'!$H$6:$H$3791,", "),""))</f>
        <v xml:space="preserve">disp.smoke.modeset, </v>
      </c>
      <c r="E12" s="336" t="e">
        <f>VLOOKUP(A12,'Diags Raw Data'!$A$6:$D$3791,4,FALSE)</f>
        <v>#N/A</v>
      </c>
      <c r="F12" s="336" t="str">
        <f>VLOOKUP(A12,'Feature Raw Data'!$A$3:$E$4004,5,FALSE)</f>
        <v>New</v>
      </c>
      <c r="G12" s="336" t="str">
        <f t="shared" si="0"/>
        <v>Yes</v>
      </c>
      <c r="H12" s="336" t="str">
        <f t="shared" si="1"/>
        <v>Yes</v>
      </c>
      <c r="I12" s="439">
        <f>SUMIF('Diags Raw Data'!$A$6:$A$3791,"*"&amp;$A12&amp;"*",'Diags Raw Data'!$K$6:$K$3791)</f>
        <v>3</v>
      </c>
      <c r="J12" s="441">
        <f>SUMIF('Diags Raw Data'!$A$6:$A$3791,"*"&amp;$A12&amp;"*",'Diags Raw Data'!$L$6:$L$3791)</f>
        <v>3</v>
      </c>
      <c r="K12" s="486" cm="1">
        <f t="array" ref="K12">IF(D12="",0, SUMPRODUCT(--(ISNUMBER(SEARCH($A12,'Diags Raw Data'!$A$6:$A$3791))),'Diags Raw Data'!$L$6:$L$3791,'Diags Raw Data'!$N$6:$N$3791)/J12)</f>
        <v>1</v>
      </c>
      <c r="L12" s="487" cm="1">
        <f t="array" ref="L12">IF(D12="",0, SUMPRODUCT(--(ISNUMBER(SEARCH($A12,'Diags Raw Data'!$A$6:$A$3791))),'Diags Raw Data'!$L$6:$L$3791,'Diags Raw Data'!$P$6:$P$3791)/J12)</f>
        <v>0</v>
      </c>
      <c r="M12" s="488" cm="1">
        <f t="array" ref="M12">SUMPRODUCT(--(ISNUMBER(SEARCH($A12,'Diags Raw Data'!$A$6:$A$3791))),--('Diags Raw Data'!$Q$6:$Q$3791&lt;&gt;"N/A"),'Diags Raw Data'!$R$6:$R$3791)</f>
        <v>0</v>
      </c>
      <c r="N12" s="489" cm="1">
        <f t="array" ref="N12">SUMPRODUCT(--(ISNUMBER(SEARCH($A12,'Diags Raw Data'!$A$6:$A$3791))),--('Diags Raw Data'!$Q$6:$Q$3791&lt;&gt;"N/A"),'Diags Raw Data'!$T$6:$T$3791)+SUMPRODUCT(--(ISNUMBER(SEARCH($A12,'Diags Raw Data'!$A$6:$A$3791))),--('Diags Raw Data'!$Q$6:$Q$3791&lt;&gt;"N/A"),'Diags Raw Data'!$U$6:$U$3791)</f>
        <v>0</v>
      </c>
      <c r="O12" s="490">
        <f t="shared" si="2"/>
        <v>0</v>
      </c>
      <c r="P12" s="491">
        <f>SUMIF('Diags Raw Data'!$A$6:$A$3791,"*"&amp;$A12&amp;"*",'Diags Raw Data'!$Z$6:$Z$3791)</f>
        <v>0</v>
      </c>
      <c r="Q12" s="492">
        <f>SUM(SUMIF('Diags Raw Data'!$A$6:$A$3791,"*"&amp;$A12&amp;"*",'Diags Raw Data'!$AA$6:$AA$3791),SUMIF('Diags Raw Data'!$A$6:$A$3791,"*"&amp;$A12&amp;"*",'Diags Raw Data'!$AB$6:$AB$3791))</f>
        <v>0</v>
      </c>
      <c r="R12" s="493">
        <f t="shared" si="3"/>
        <v>0</v>
      </c>
      <c r="S12" s="493">
        <f t="shared" si="4"/>
        <v>0</v>
      </c>
      <c r="T12" s="494">
        <f t="shared" si="5"/>
        <v>0</v>
      </c>
      <c r="U12" s="442" t="s">
        <v>1130</v>
      </c>
      <c r="V12" s="182"/>
    </row>
    <row r="13" spans="1:23">
      <c r="A13" s="584" t="s">
        <v>320</v>
      </c>
      <c r="B13" s="438" t="str">
        <f>VLOOKUP(A13,'Feature Raw Data'!$A$3:$B$4004,2,FALSE)</f>
        <v>DCN4.007 - Dma program 3dlut</v>
      </c>
      <c r="C13" s="439" t="str">
        <f>VLOOKUP(A13,'Feature Raw Data'!$A$3:$C$4004,3,FALSE)</f>
        <v>P2</v>
      </c>
      <c r="D13" s="440" t="str" cm="1">
        <f t="array" ref="D13">_xlfn.TEXTJOIN("",TRUE,IF(ISNUMBER(SEARCH($A13,'Diags Raw Data'!$A$6:$A$3791)),CONCATENATE('Diags Raw Data'!$H$6:$H$3791,", "),""))</f>
        <v xml:space="preserve">DCHB062, </v>
      </c>
      <c r="E13" s="336" t="str">
        <f>VLOOKUP(A13,'Diags Raw Data'!$A$6:$D$3791,4,FALSE)</f>
        <v>DCHB</v>
      </c>
      <c r="F13" s="336" t="str">
        <f>VLOOKUP(A13,'Feature Raw Data'!$A$3:$E$4004,5,FALSE)</f>
        <v>New</v>
      </c>
      <c r="G13" s="336" t="str">
        <f t="shared" si="0"/>
        <v>Yes</v>
      </c>
      <c r="H13" s="336" t="str">
        <f t="shared" si="1"/>
        <v>Yes</v>
      </c>
      <c r="I13" s="439">
        <f>SUMIF('Diags Raw Data'!$A$6:$A$3791,"*"&amp;$A13&amp;"*",'Diags Raw Data'!$K$6:$K$3791)</f>
        <v>1</v>
      </c>
      <c r="J13" s="441">
        <f>SUMIF('Diags Raw Data'!$A$6:$A$3791,"*"&amp;$A13&amp;"*",'Diags Raw Data'!$L$6:$L$3791)</f>
        <v>1</v>
      </c>
      <c r="K13" s="486" cm="1">
        <f t="array" ref="K13">IF(D13="",0, SUMPRODUCT(--(ISNUMBER(SEARCH($A13,'Diags Raw Data'!$A$6:$A$3791))),'Diags Raw Data'!$L$6:$L$3791,'Diags Raw Data'!$N$6:$N$3791)/J13)</f>
        <v>1</v>
      </c>
      <c r="L13" s="487" cm="1">
        <f t="array" ref="L13">IF(D13="",0, SUMPRODUCT(--(ISNUMBER(SEARCH($A13,'Diags Raw Data'!$A$6:$A$3791))),'Diags Raw Data'!$L$6:$L$3791,'Diags Raw Data'!$P$6:$P$3791)/J13)</f>
        <v>0</v>
      </c>
      <c r="M13" s="488" cm="1">
        <f t="array" ref="M13">SUMPRODUCT(--(ISNUMBER(SEARCH($A13,'Diags Raw Data'!$A$6:$A$3791))),--('Diags Raw Data'!$Q$6:$Q$3791&lt;&gt;"N/A"),'Diags Raw Data'!$R$6:$R$3791)</f>
        <v>0</v>
      </c>
      <c r="N13" s="489" cm="1">
        <f t="array" ref="N13">SUMPRODUCT(--(ISNUMBER(SEARCH($A13,'Diags Raw Data'!$A$6:$A$3791))),--('Diags Raw Data'!$Q$6:$Q$3791&lt;&gt;"N/A"),'Diags Raw Data'!$T$6:$T$3791)+SUMPRODUCT(--(ISNUMBER(SEARCH($A13,'Diags Raw Data'!$A$6:$A$3791))),--('Diags Raw Data'!$Q$6:$Q$3791&lt;&gt;"N/A"),'Diags Raw Data'!$U$6:$U$3791)</f>
        <v>0</v>
      </c>
      <c r="O13" s="490">
        <f>IF((M13=0),0,N13/M13)</f>
        <v>0</v>
      </c>
      <c r="P13" s="491">
        <f>SUMIF('Diags Raw Data'!$A$6:$A$3791,"*"&amp;$A13&amp;"*",'Diags Raw Data'!$Z$6:$Z$3791)</f>
        <v>0</v>
      </c>
      <c r="Q13" s="492">
        <f>SUM(SUMIF('Diags Raw Data'!$A$6:$A$3791,"*"&amp;$A13&amp;"*",'Diags Raw Data'!$AA$6:$AA$3791),SUMIF('Diags Raw Data'!$A$6:$A$3791,"*"&amp;$A13&amp;"*",'Diags Raw Data'!$AB$6:$AB$3791))</f>
        <v>0</v>
      </c>
      <c r="R13" s="493">
        <f t="shared" si="3"/>
        <v>0</v>
      </c>
      <c r="S13" s="493">
        <f t="shared" si="4"/>
        <v>0</v>
      </c>
      <c r="T13" s="494">
        <f t="shared" si="5"/>
        <v>0</v>
      </c>
      <c r="U13" s="442" t="s">
        <v>1131</v>
      </c>
      <c r="V13" s="182"/>
    </row>
    <row r="14" spans="1:23">
      <c r="A14" s="584" t="s">
        <v>323</v>
      </c>
      <c r="B14" s="438" t="str">
        <f>VLOOKUP(A14,'Feature Raw Data'!$A$3:$B$4004,2,FALSE)</f>
        <v>DCN4.008 - Distributed dcc</v>
      </c>
      <c r="C14" s="439" t="str">
        <f>VLOOKUP(A14,'Feature Raw Data'!$A$3:$C$4004,3,FALSE)</f>
        <v>P2</v>
      </c>
      <c r="D14" s="440" t="str" cm="1">
        <f t="array" ref="D14">_xlfn.TEXTJOIN("",TRUE,IF(ISNUMBER(SEARCH($A14,'Diags Raw Data'!$A$6:$A$3791)),CONCATENATE('Diags Raw Data'!$H$6:$H$3791,", "),""))</f>
        <v xml:space="preserve">DCHB064, </v>
      </c>
      <c r="E14" s="336" t="str">
        <f>VLOOKUP(A14,'Diags Raw Data'!$A$6:$D$3791,4,FALSE)</f>
        <v>DCHB</v>
      </c>
      <c r="F14" s="336" t="str">
        <f>VLOOKUP(A14,'Feature Raw Data'!$A$3:$E$4004,5,FALSE)</f>
        <v>New</v>
      </c>
      <c r="G14" s="336" t="str">
        <f t="shared" si="0"/>
        <v>Yes</v>
      </c>
      <c r="H14" s="336" t="str">
        <f t="shared" si="1"/>
        <v>Yes</v>
      </c>
      <c r="I14" s="439">
        <f>SUMIF('Diags Raw Data'!$A$6:$A$3791,"*"&amp;$A14&amp;"*",'Diags Raw Data'!$K$6:$K$3791)</f>
        <v>1</v>
      </c>
      <c r="J14" s="441">
        <f>SUMIF('Diags Raw Data'!$A$6:$A$3791,"*"&amp;$A14&amp;"*",'Diags Raw Data'!$L$6:$L$3791)</f>
        <v>1</v>
      </c>
      <c r="K14" s="486" cm="1">
        <f t="array" ref="K14">IF(D14="",0, SUMPRODUCT(--(ISNUMBER(SEARCH($A14,'Diags Raw Data'!$A$6:$A$3791))),'Diags Raw Data'!$L$6:$L$3791,'Diags Raw Data'!$N$6:$N$3791)/J14)</f>
        <v>1</v>
      </c>
      <c r="L14" s="487" cm="1">
        <f t="array" ref="L14">IF(D14="",0, SUMPRODUCT(--(ISNUMBER(SEARCH($A14,'Diags Raw Data'!$A$6:$A$3791))),'Diags Raw Data'!$L$6:$L$3791,'Diags Raw Data'!$P$6:$P$3791)/J14)</f>
        <v>0</v>
      </c>
      <c r="M14" s="488" cm="1">
        <f t="array" ref="M14">SUMPRODUCT(--(ISNUMBER(SEARCH($A14,'Diags Raw Data'!$A$6:$A$3791))),--('Diags Raw Data'!$Q$6:$Q$3791&lt;&gt;"N/A"),'Diags Raw Data'!$R$6:$R$3791)</f>
        <v>0</v>
      </c>
      <c r="N14" s="489" cm="1">
        <f t="array" ref="N14">SUMPRODUCT(--(ISNUMBER(SEARCH($A14,'Diags Raw Data'!$A$6:$A$3791))),--('Diags Raw Data'!$Q$6:$Q$3791&lt;&gt;"N/A"),'Diags Raw Data'!$T$6:$T$3791)+SUMPRODUCT(--(ISNUMBER(SEARCH($A14,'Diags Raw Data'!$A$6:$A$3791))),--('Diags Raw Data'!$Q$6:$Q$3791&lt;&gt;"N/A"),'Diags Raw Data'!$U$6:$U$3791)</f>
        <v>0</v>
      </c>
      <c r="O14" s="490">
        <f t="shared" si="2"/>
        <v>0</v>
      </c>
      <c r="P14" s="491">
        <f>SUMIF('Diags Raw Data'!$A$6:$A$3791,"*"&amp;$A14&amp;"*",'Diags Raw Data'!$Z$6:$Z$3791)</f>
        <v>0</v>
      </c>
      <c r="Q14" s="492">
        <f>SUM(SUMIF('Diags Raw Data'!$A$6:$A$3791,"*"&amp;$A14&amp;"*",'Diags Raw Data'!$AA$6:$AA$3791),SUMIF('Diags Raw Data'!$A$6:$A$3791,"*"&amp;$A14&amp;"*",'Diags Raw Data'!$AB$6:$AB$3791))</f>
        <v>0</v>
      </c>
      <c r="R14" s="493">
        <f t="shared" si="3"/>
        <v>0</v>
      </c>
      <c r="S14" s="493">
        <f t="shared" si="4"/>
        <v>0</v>
      </c>
      <c r="T14" s="494">
        <f t="shared" si="5"/>
        <v>0</v>
      </c>
      <c r="U14" s="442" t="s">
        <v>1131</v>
      </c>
      <c r="V14" s="182"/>
    </row>
    <row r="15" spans="1:23">
      <c r="A15" s="584" t="s">
        <v>326</v>
      </c>
      <c r="B15" s="438" t="str">
        <f>VLOOKUP(A15,'Feature Raw Data'!$A$3:$B$4004,2,FALSE)</f>
        <v>DCN4.009 - 64K surface pitch</v>
      </c>
      <c r="C15" s="439" t="str">
        <f>VLOOKUP(A15,'Feature Raw Data'!$A$3:$C$4004,3,FALSE)</f>
        <v>P2</v>
      </c>
      <c r="D15" s="440" t="str" cm="1">
        <f t="array" ref="D15">_xlfn.TEXTJOIN("",TRUE,IF(ISNUMBER(SEARCH($A15,'Diags Raw Data'!$A$6:$A$3791)),CONCATENATE('Diags Raw Data'!$H$6:$H$3791,", "),""))</f>
        <v xml:space="preserve">disp.smoke.modeset, </v>
      </c>
      <c r="E15" s="336" t="e">
        <f>VLOOKUP(A15,'Diags Raw Data'!$A$6:$D$3791,4,FALSE)</f>
        <v>#N/A</v>
      </c>
      <c r="F15" s="336" t="str">
        <f>VLOOKUP(A15,'Feature Raw Data'!$A$3:$E$4004,5,FALSE)</f>
        <v>New</v>
      </c>
      <c r="G15" s="336" t="str">
        <f t="shared" si="0"/>
        <v>Yes</v>
      </c>
      <c r="H15" s="336" t="str">
        <f t="shared" si="1"/>
        <v>Yes</v>
      </c>
      <c r="I15" s="439">
        <f>SUMIF('Diags Raw Data'!$A$6:$A$3791,"*"&amp;$A15&amp;"*",'Diags Raw Data'!$K$6:$K$3791)</f>
        <v>3</v>
      </c>
      <c r="J15" s="441">
        <f>SUMIF('Diags Raw Data'!$A$6:$A$3791,"*"&amp;$A15&amp;"*",'Diags Raw Data'!$L$6:$L$3791)</f>
        <v>3</v>
      </c>
      <c r="K15" s="486" cm="1">
        <f t="array" ref="K15">IF(D15="",0, SUMPRODUCT(--(ISNUMBER(SEARCH($A15,'Diags Raw Data'!$A$6:$A$3791))),'Diags Raw Data'!$L$6:$L$3791,'Diags Raw Data'!$N$6:$N$3791)/J15)</f>
        <v>1</v>
      </c>
      <c r="L15" s="487" cm="1">
        <f t="array" ref="L15">IF(D15="",0, SUMPRODUCT(--(ISNUMBER(SEARCH($A15,'Diags Raw Data'!$A$6:$A$3791))),'Diags Raw Data'!$L$6:$L$3791,'Diags Raw Data'!$P$6:$P$3791)/J15)</f>
        <v>0</v>
      </c>
      <c r="M15" s="488" cm="1">
        <f t="array" ref="M15">SUMPRODUCT(--(ISNUMBER(SEARCH($A15,'Diags Raw Data'!$A$6:$A$3791))),--('Diags Raw Data'!$Q$6:$Q$3791&lt;&gt;"N/A"),'Diags Raw Data'!$R$6:$R$3791)</f>
        <v>0</v>
      </c>
      <c r="N15" s="489" cm="1">
        <f t="array" ref="N15">SUMPRODUCT(--(ISNUMBER(SEARCH($A15,'Diags Raw Data'!$A$6:$A$3791))),--('Diags Raw Data'!$Q$6:$Q$3791&lt;&gt;"N/A"),'Diags Raw Data'!$T$6:$T$3791)+SUMPRODUCT(--(ISNUMBER(SEARCH($A15,'Diags Raw Data'!$A$6:$A$3791))),--('Diags Raw Data'!$Q$6:$Q$3791&lt;&gt;"N/A"),'Diags Raw Data'!$U$6:$U$3791)</f>
        <v>0</v>
      </c>
      <c r="O15" s="490">
        <f t="shared" si="2"/>
        <v>0</v>
      </c>
      <c r="P15" s="491">
        <f>SUMIF('Diags Raw Data'!$A$6:$A$3791,"*"&amp;$A15&amp;"*",'Diags Raw Data'!$Z$6:$Z$3791)</f>
        <v>0</v>
      </c>
      <c r="Q15" s="492">
        <f>SUM(SUMIF('Diags Raw Data'!$A$6:$A$3791,"*"&amp;$A15&amp;"*",'Diags Raw Data'!$AA$6:$AA$3791),SUMIF('Diags Raw Data'!$A$6:$A$3791,"*"&amp;$A15&amp;"*",'Diags Raw Data'!$AB$6:$AB$3791))</f>
        <v>0</v>
      </c>
      <c r="R15" s="493">
        <f t="shared" si="3"/>
        <v>0</v>
      </c>
      <c r="S15" s="493">
        <f t="shared" si="4"/>
        <v>0</v>
      </c>
      <c r="T15" s="494">
        <f t="shared" si="5"/>
        <v>0</v>
      </c>
      <c r="U15" s="442" t="s">
        <v>1132</v>
      </c>
      <c r="V15" s="182"/>
    </row>
    <row r="16" spans="1:23" hidden="1">
      <c r="A16" s="584" t="s">
        <v>329</v>
      </c>
      <c r="B16" s="438" t="str">
        <f>VLOOKUP(A16,'Feature Raw Data'!$A$3:$B$4004,2,FALSE)</f>
        <v>DCN4.010 - Remove hpd pad from dcn</v>
      </c>
      <c r="C16" s="439" t="str">
        <f>VLOOKUP(A16,'Feature Raw Data'!$A$3:$C$4004,3,FALSE)</f>
        <v>P2</v>
      </c>
      <c r="D16" s="440" t="str" cm="1">
        <f t="array" ref="D16">_xlfn.TEXTJOIN("",TRUE,IF(ISNUMBER(SEARCH($A16,'Diags Raw Data'!$A$6:$A$3791)),CONCATENATE('Diags Raw Data'!$H$6:$H$3791,", "),""))</f>
        <v/>
      </c>
      <c r="E16" s="336" t="e">
        <f>VLOOKUP(A16,'Diags Raw Data'!$A$6:$D$3791,4,FALSE)</f>
        <v>#N/A</v>
      </c>
      <c r="F16" s="336" t="str">
        <f>VLOOKUP(A16,'Feature Raw Data'!$A$3:$E$4004,5,FALSE)</f>
        <v>New</v>
      </c>
      <c r="G16" s="336" t="str">
        <f t="shared" si="0"/>
        <v>No</v>
      </c>
      <c r="H16" s="336" t="str">
        <f t="shared" si="1"/>
        <v>No</v>
      </c>
      <c r="I16" s="439">
        <f>SUMIF('Diags Raw Data'!$A$6:$A$3791,"*"&amp;$A16&amp;"*",'Diags Raw Data'!$K$6:$K$3791)</f>
        <v>0</v>
      </c>
      <c r="J16" s="441">
        <f>SUMIF('Diags Raw Data'!$A$6:$A$3791,"*"&amp;$A16&amp;"*",'Diags Raw Data'!$L$6:$L$3791)</f>
        <v>0</v>
      </c>
      <c r="K16" s="486" cm="1">
        <f t="array" ref="K16">IF(D16="",0, SUMPRODUCT(--(ISNUMBER(SEARCH($A16,'Diags Raw Data'!$A$6:$A$3791))),'Diags Raw Data'!$L$6:$L$3791,'Diags Raw Data'!$N$6:$N$3791)/J16)</f>
        <v>0</v>
      </c>
      <c r="L16" s="487" cm="1">
        <f t="array" ref="L16">IF(D16="",0, SUMPRODUCT(--(ISNUMBER(SEARCH($A16,'Diags Raw Data'!$A$6:$A$3791))),'Diags Raw Data'!$L$6:$L$3791,'Diags Raw Data'!$P$6:$P$3791)/J16)</f>
        <v>0</v>
      </c>
      <c r="M16" s="488" cm="1">
        <f t="array" ref="M16">SUMPRODUCT(--(ISNUMBER(SEARCH($A16,'Diags Raw Data'!$A$6:$A$3791))),--('Diags Raw Data'!$Q$6:$Q$3791&lt;&gt;"N/A"),'Diags Raw Data'!$R$6:$R$3791)</f>
        <v>0</v>
      </c>
      <c r="N16" s="489" cm="1">
        <f t="array" ref="N16">SUMPRODUCT(--(ISNUMBER(SEARCH($A16,'Diags Raw Data'!$A$6:$A$3791))),--('Diags Raw Data'!$Q$6:$Q$3791&lt;&gt;"N/A"),'Diags Raw Data'!$T$6:$T$3791)+SUMPRODUCT(--(ISNUMBER(SEARCH($A16,'Diags Raw Data'!$A$6:$A$3791))),--('Diags Raw Data'!$Q$6:$Q$3791&lt;&gt;"N/A"),'Diags Raw Data'!$U$6:$U$3791)</f>
        <v>0</v>
      </c>
      <c r="O16" s="490">
        <f t="shared" si="2"/>
        <v>0</v>
      </c>
      <c r="P16" s="491">
        <f>SUMIF('Diags Raw Data'!$A$6:$A$3791,"*"&amp;$A16&amp;"*",'Diags Raw Data'!$Z$6:$Z$3791)</f>
        <v>0</v>
      </c>
      <c r="Q16" s="492">
        <f>SUM(SUMIF('Diags Raw Data'!$A$6:$A$3791,"*"&amp;$A16&amp;"*",'Diags Raw Data'!$AA$6:$AA$3791),SUMIF('Diags Raw Data'!$A$6:$A$3791,"*"&amp;$A16&amp;"*",'Diags Raw Data'!$AB$6:$AB$3791))</f>
        <v>0</v>
      </c>
      <c r="R16" s="493">
        <f t="shared" si="3"/>
        <v>0</v>
      </c>
      <c r="S16" s="493">
        <f t="shared" si="4"/>
        <v>0</v>
      </c>
      <c r="T16" s="494">
        <f t="shared" si="5"/>
        <v>0</v>
      </c>
      <c r="U16" s="442"/>
      <c r="V16" s="182" t="s">
        <v>1128</v>
      </c>
    </row>
    <row r="17" spans="1:22" s="185" customFormat="1" hidden="1">
      <c r="A17" s="584" t="s">
        <v>332</v>
      </c>
      <c r="B17" s="438" t="str">
        <f>VLOOKUP(A17,'Feature Raw Data'!$A$3:$B$4004,2,FALSE)</f>
        <v>DCN4.011 - Power gate dchb dpp dsc</v>
      </c>
      <c r="C17" s="439" t="str">
        <f>VLOOKUP(A17,'Feature Raw Data'!$A$3:$C$4004,3,FALSE)</f>
        <v>P2</v>
      </c>
      <c r="D17" s="440" t="str" cm="1">
        <f t="array" ref="D17">_xlfn.TEXTJOIN("",TRUE,IF(ISNUMBER(SEARCH($A17,'Diags Raw Data'!$A$6:$A$3791)),CONCATENATE('Diags Raw Data'!$H$6:$H$3791,", "),""))</f>
        <v/>
      </c>
      <c r="E17" s="336" t="e">
        <f>VLOOKUP(A17,'Diags Raw Data'!$A$6:$D$3791,4,FALSE)</f>
        <v>#N/A</v>
      </c>
      <c r="F17" s="336" t="str">
        <f>VLOOKUP(A17,'Feature Raw Data'!$A$3:$E$4004,5,FALSE)</f>
        <v>Legacy</v>
      </c>
      <c r="G17" s="336" t="str">
        <f t="shared" si="0"/>
        <v>No</v>
      </c>
      <c r="H17" s="336" t="str">
        <f t="shared" si="1"/>
        <v>No</v>
      </c>
      <c r="I17" s="439">
        <f>SUMIF('Diags Raw Data'!$A$6:$A$3791,"*"&amp;$A17&amp;"*",'Diags Raw Data'!$K$6:$K$3791)</f>
        <v>0</v>
      </c>
      <c r="J17" s="441">
        <f>SUMIF('Diags Raw Data'!$A$6:$A$3791,"*"&amp;$A17&amp;"*",'Diags Raw Data'!$L$6:$L$3791)</f>
        <v>0</v>
      </c>
      <c r="K17" s="486" cm="1">
        <f t="array" ref="K17">IF(D17="",0, SUMPRODUCT(--(ISNUMBER(SEARCH($A17,'Diags Raw Data'!$A$6:$A$3791))),'Diags Raw Data'!$L$6:$L$3791,'Diags Raw Data'!$N$6:$N$3791)/J17)</f>
        <v>0</v>
      </c>
      <c r="L17" s="487" cm="1">
        <f t="array" ref="L17">IF(D17="",0, SUMPRODUCT(--(ISNUMBER(SEARCH($A17,'Diags Raw Data'!$A$6:$A$3791))),'Diags Raw Data'!$L$6:$L$3791,'Diags Raw Data'!$P$6:$P$3791)/J17)</f>
        <v>0</v>
      </c>
      <c r="M17" s="488" cm="1">
        <f t="array" ref="M17">SUMPRODUCT(--(ISNUMBER(SEARCH($A17,'Diags Raw Data'!$A$6:$A$3791))),--('Diags Raw Data'!$Q$6:$Q$3791&lt;&gt;"N/A"),'Diags Raw Data'!$R$6:$R$3791)</f>
        <v>0</v>
      </c>
      <c r="N17" s="489" cm="1">
        <f t="array" ref="N17">SUMPRODUCT(--(ISNUMBER(SEARCH($A17,'Diags Raw Data'!$A$6:$A$3791))),--('Diags Raw Data'!$Q$6:$Q$3791&lt;&gt;"N/A"),'Diags Raw Data'!$T$6:$T$3791)+SUMPRODUCT(--(ISNUMBER(SEARCH($A17,'Diags Raw Data'!$A$6:$A$3791))),--('Diags Raw Data'!$Q$6:$Q$3791&lt;&gt;"N/A"),'Diags Raw Data'!$U$6:$U$3791)</f>
        <v>0</v>
      </c>
      <c r="O17" s="490">
        <f t="shared" si="2"/>
        <v>0</v>
      </c>
      <c r="P17" s="491">
        <f>SUMIF('Diags Raw Data'!$A$6:$A$3791,"*"&amp;$A17&amp;"*",'Diags Raw Data'!$Z$6:$Z$3791)</f>
        <v>0</v>
      </c>
      <c r="Q17" s="492">
        <f>SUM(SUMIF('Diags Raw Data'!$A$6:$A$3791,"*"&amp;$A17&amp;"*",'Diags Raw Data'!$AA$6:$AA$3791),SUMIF('Diags Raw Data'!$A$6:$A$3791,"*"&amp;$A17&amp;"*",'Diags Raw Data'!$AB$6:$AB$3791))</f>
        <v>0</v>
      </c>
      <c r="R17" s="493">
        <f t="shared" si="3"/>
        <v>0</v>
      </c>
      <c r="S17" s="493">
        <f t="shared" si="4"/>
        <v>0</v>
      </c>
      <c r="T17" s="494">
        <f t="shared" si="5"/>
        <v>0</v>
      </c>
      <c r="U17" s="442" t="s">
        <v>1132</v>
      </c>
      <c r="V17" s="184"/>
    </row>
    <row r="18" spans="1:22" hidden="1">
      <c r="A18" s="584" t="s">
        <v>335</v>
      </c>
      <c r="B18" s="438" t="str">
        <f>VLOOKUP(A18,'Feature Raw Data'!$A$3:$B$4004,2,FALSE)</f>
        <v>DCN4.012 - Clock gate</v>
      </c>
      <c r="C18" s="439" t="str">
        <f>VLOOKUP(A18,'Feature Raw Data'!$A$3:$C$4004,3,FALSE)</f>
        <v>P2</v>
      </c>
      <c r="D18" s="440" t="str" cm="1">
        <f t="array" ref="D18">_xlfn.TEXTJOIN("",TRUE,IF(ISNUMBER(SEARCH($A18,'Diags Raw Data'!$A$6:$A$3791)),CONCATENATE('Diags Raw Data'!$H$6:$H$3791,", "),""))</f>
        <v/>
      </c>
      <c r="E18" s="336" t="e">
        <f>VLOOKUP(A18,'Diags Raw Data'!$A$6:$D$3791,4,FALSE)</f>
        <v>#N/A</v>
      </c>
      <c r="F18" s="336" t="str">
        <f>VLOOKUP(A18,'Feature Raw Data'!$A$3:$E$4004,5,FALSE)</f>
        <v>Legacy</v>
      </c>
      <c r="G18" s="336" t="str">
        <f t="shared" si="0"/>
        <v>No</v>
      </c>
      <c r="H18" s="336" t="str">
        <f t="shared" si="1"/>
        <v>No</v>
      </c>
      <c r="I18" s="439">
        <f>SUMIF('Diags Raw Data'!$A$6:$A$3791,"*"&amp;$A18&amp;"*",'Diags Raw Data'!$K$6:$K$3791)</f>
        <v>0</v>
      </c>
      <c r="J18" s="441">
        <f>SUMIF('Diags Raw Data'!$A$6:$A$3791,"*"&amp;$A18&amp;"*",'Diags Raw Data'!$L$6:$L$3791)</f>
        <v>0</v>
      </c>
      <c r="K18" s="486" cm="1">
        <f t="array" ref="K18">IF(D18="",0, SUMPRODUCT(--(ISNUMBER(SEARCH($A18,'Diags Raw Data'!$A$6:$A$3791))),'Diags Raw Data'!$L$6:$L$3791,'Diags Raw Data'!$N$6:$N$3791)/J18)</f>
        <v>0</v>
      </c>
      <c r="L18" s="487" cm="1">
        <f t="array" ref="L18">IF(D18="",0, SUMPRODUCT(--(ISNUMBER(SEARCH($A18,'Diags Raw Data'!$A$6:$A$3791))),'Diags Raw Data'!$L$6:$L$3791,'Diags Raw Data'!$P$6:$P$3791)/J18)</f>
        <v>0</v>
      </c>
      <c r="M18" s="488" cm="1">
        <f t="array" ref="M18">SUMPRODUCT(--(ISNUMBER(SEARCH($A18,'Diags Raw Data'!$A$6:$A$3791))),--('Diags Raw Data'!$Q$6:$Q$3791&lt;&gt;"N/A"),'Diags Raw Data'!$R$6:$R$3791)</f>
        <v>0</v>
      </c>
      <c r="N18" s="489" cm="1">
        <f t="array" ref="N18">SUMPRODUCT(--(ISNUMBER(SEARCH($A18,'Diags Raw Data'!$A$6:$A$3791))),--('Diags Raw Data'!$Q$6:$Q$3791&lt;&gt;"N/A"),'Diags Raw Data'!$T$6:$T$3791)+SUMPRODUCT(--(ISNUMBER(SEARCH($A18,'Diags Raw Data'!$A$6:$A$3791))),--('Diags Raw Data'!$Q$6:$Q$3791&lt;&gt;"N/A"),'Diags Raw Data'!$U$6:$U$3791)</f>
        <v>0</v>
      </c>
      <c r="O18" s="490">
        <f t="shared" si="2"/>
        <v>0</v>
      </c>
      <c r="P18" s="491">
        <f>SUMIF('Diags Raw Data'!$A$6:$A$3791,"*"&amp;$A18&amp;"*",'Diags Raw Data'!$Z$6:$Z$3791)</f>
        <v>0</v>
      </c>
      <c r="Q18" s="492">
        <f>SUM(SUMIF('Diags Raw Data'!$A$6:$A$3791,"*"&amp;$A18&amp;"*",'Diags Raw Data'!$AA$6:$AA$3791),SUMIF('Diags Raw Data'!$A$6:$A$3791,"*"&amp;$A18&amp;"*",'Diags Raw Data'!$AB$6:$AB$3791))</f>
        <v>0</v>
      </c>
      <c r="R18" s="493">
        <f t="shared" si="3"/>
        <v>0</v>
      </c>
      <c r="S18" s="493">
        <f t="shared" si="4"/>
        <v>0</v>
      </c>
      <c r="T18" s="494">
        <f t="shared" si="5"/>
        <v>0</v>
      </c>
      <c r="U18" s="442" t="s">
        <v>1132</v>
      </c>
      <c r="V18" s="182"/>
    </row>
    <row r="19" spans="1:22" hidden="1">
      <c r="A19" s="584" t="s">
        <v>337</v>
      </c>
      <c r="B19" s="438" t="str">
        <f>VLOOKUP(A19,'Feature Raw Data'!$A$3:$B$4004,2,FALSE)</f>
        <v>DCN4.013 - dcfclk deep sleep and dpm</v>
      </c>
      <c r="C19" s="439" t="str">
        <f>VLOOKUP(A19,'Feature Raw Data'!$A$3:$C$4004,3,FALSE)</f>
        <v>P2</v>
      </c>
      <c r="D19" s="440" t="str" cm="1">
        <f t="array" ref="D19">_xlfn.TEXTJOIN("",TRUE,IF(ISNUMBER(SEARCH($A19,'Diags Raw Data'!$A$6:$A$3791)),CONCATENATE('Diags Raw Data'!$H$6:$H$3791,", "),""))</f>
        <v/>
      </c>
      <c r="E19" s="336" t="e">
        <f>VLOOKUP(A19,'Diags Raw Data'!$A$6:$D$3791,4,FALSE)</f>
        <v>#N/A</v>
      </c>
      <c r="F19" s="336" t="str">
        <f>VLOOKUP(A19,'Feature Raw Data'!$A$3:$E$4004,5,FALSE)</f>
        <v>Legacy</v>
      </c>
      <c r="G19" s="336" t="str">
        <f t="shared" si="0"/>
        <v>No</v>
      </c>
      <c r="H19" s="336" t="str">
        <f t="shared" si="1"/>
        <v>No</v>
      </c>
      <c r="I19" s="439">
        <f>SUMIF('Diags Raw Data'!$A$6:$A$3791,"*"&amp;$A19&amp;"*",'Diags Raw Data'!$K$6:$K$3791)</f>
        <v>0</v>
      </c>
      <c r="J19" s="441">
        <f>SUMIF('Diags Raw Data'!$A$6:$A$3791,"*"&amp;$A19&amp;"*",'Diags Raw Data'!$L$6:$L$3791)</f>
        <v>0</v>
      </c>
      <c r="K19" s="486" cm="1">
        <f t="array" ref="K19">IF(D19="",0, SUMPRODUCT(--(ISNUMBER(SEARCH($A19,'Diags Raw Data'!$A$6:$A$3791))),'Diags Raw Data'!$L$6:$L$3791,'Diags Raw Data'!$N$6:$N$3791)/J19)</f>
        <v>0</v>
      </c>
      <c r="L19" s="487" cm="1">
        <f t="array" ref="L19">IF(D19="",0, SUMPRODUCT(--(ISNUMBER(SEARCH($A19,'Diags Raw Data'!$A$6:$A$3791))),'Diags Raw Data'!$L$6:$L$3791,'Diags Raw Data'!$P$6:$P$3791)/J19)</f>
        <v>0</v>
      </c>
      <c r="M19" s="488" cm="1">
        <f t="array" ref="M19">SUMPRODUCT(--(ISNUMBER(SEARCH($A19,'Diags Raw Data'!$A$6:$A$3791))),--('Diags Raw Data'!$Q$6:$Q$3791&lt;&gt;"N/A"),'Diags Raw Data'!$R$6:$R$3791)</f>
        <v>0</v>
      </c>
      <c r="N19" s="489" cm="1">
        <f t="array" ref="N19">SUMPRODUCT(--(ISNUMBER(SEARCH($A19,'Diags Raw Data'!$A$6:$A$3791))),--('Diags Raw Data'!$Q$6:$Q$3791&lt;&gt;"N/A"),'Diags Raw Data'!$T$6:$T$3791)+SUMPRODUCT(--(ISNUMBER(SEARCH($A19,'Diags Raw Data'!$A$6:$A$3791))),--('Diags Raw Data'!$Q$6:$Q$3791&lt;&gt;"N/A"),'Diags Raw Data'!$U$6:$U$3791)</f>
        <v>0</v>
      </c>
      <c r="O19" s="490">
        <f t="shared" si="2"/>
        <v>0</v>
      </c>
      <c r="P19" s="491">
        <f>SUMIF('Diags Raw Data'!$A$6:$A$3791,"*"&amp;$A19&amp;"*",'Diags Raw Data'!$Z$6:$Z$3791)</f>
        <v>0</v>
      </c>
      <c r="Q19" s="492">
        <f>SUM(SUMIF('Diags Raw Data'!$A$6:$A$3791,"*"&amp;$A19&amp;"*",'Diags Raw Data'!$AA$6:$AA$3791),SUMIF('Diags Raw Data'!$A$6:$A$3791,"*"&amp;$A19&amp;"*",'Diags Raw Data'!$AB$6:$AB$3791))</f>
        <v>0</v>
      </c>
      <c r="R19" s="493">
        <f t="shared" si="3"/>
        <v>0</v>
      </c>
      <c r="S19" s="493">
        <f t="shared" si="4"/>
        <v>0</v>
      </c>
      <c r="T19" s="494">
        <f t="shared" si="5"/>
        <v>0</v>
      </c>
      <c r="U19" s="442" t="s">
        <v>1131</v>
      </c>
      <c r="V19" s="182"/>
    </row>
    <row r="20" spans="1:22">
      <c r="A20" s="584" t="s">
        <v>339</v>
      </c>
      <c r="B20" s="438" t="str">
        <f>VLOOKUP(A20,'Feature Raw Data'!$A$3:$B$4004,2,FALSE)</f>
        <v>DCN4.014 - Sram low power mode</v>
      </c>
      <c r="C20" s="439" t="str">
        <f>VLOOKUP(A20,'Feature Raw Data'!$A$3:$C$4004,3,FALSE)</f>
        <v>P2</v>
      </c>
      <c r="D20" s="440" t="str" cm="1">
        <f t="array" ref="D20">_xlfn.TEXTJOIN("",TRUE,IF(ISNUMBER(SEARCH($A20,'Diags Raw Data'!$A$6:$A$3791)),CONCATENATE('Diags Raw Data'!$H$6:$H$3791,", "),""))</f>
        <v xml:space="preserve">MPC003, </v>
      </c>
      <c r="E20" s="336" t="e">
        <f>VLOOKUP(A20,'Diags Raw Data'!$A$6:$D$3791,4,FALSE)</f>
        <v>#N/A</v>
      </c>
      <c r="F20" s="336" t="str">
        <f>VLOOKUP(A20,'Feature Raw Data'!$A$3:$E$4004,5,FALSE)</f>
        <v>Legacy</v>
      </c>
      <c r="G20" s="336" t="str">
        <f t="shared" si="0"/>
        <v>Yes</v>
      </c>
      <c r="H20" s="336" t="str">
        <f t="shared" si="1"/>
        <v>Yes</v>
      </c>
      <c r="I20" s="439">
        <f>SUMIF('Diags Raw Data'!$A$6:$A$3791,"*"&amp;$A20&amp;"*",'Diags Raw Data'!$K$6:$K$3791)</f>
        <v>1</v>
      </c>
      <c r="J20" s="441">
        <f>SUMIF('Diags Raw Data'!$A$6:$A$3791,"*"&amp;$A20&amp;"*",'Diags Raw Data'!$L$6:$L$3791)</f>
        <v>6</v>
      </c>
      <c r="K20" s="486" cm="1">
        <f t="array" ref="K20">IF(D20="",0, SUMPRODUCT(--(ISNUMBER(SEARCH($A20,'Diags Raw Data'!$A$6:$A$3791))),'Diags Raw Data'!$L$6:$L$3791,'Diags Raw Data'!$N$6:$N$3791)/J20)</f>
        <v>1</v>
      </c>
      <c r="L20" s="487" cm="1">
        <f t="array" ref="L20">IF(D20="",0, SUMPRODUCT(--(ISNUMBER(SEARCH($A20,'Diags Raw Data'!$A$6:$A$3791))),'Diags Raw Data'!$L$6:$L$3791,'Diags Raw Data'!$P$6:$P$3791)/J20)</f>
        <v>1</v>
      </c>
      <c r="M20" s="488" cm="1">
        <f t="array" ref="M20">SUMPRODUCT(--(ISNUMBER(SEARCH($A20,'Diags Raw Data'!$A$6:$A$3791))),--('Diags Raw Data'!$Q$6:$Q$3791&lt;&gt;"N/A"),'Diags Raw Data'!$R$6:$R$3791)</f>
        <v>6</v>
      </c>
      <c r="N20" s="489" cm="1">
        <f t="array" ref="N20">SUMPRODUCT(--(ISNUMBER(SEARCH($A20,'Diags Raw Data'!$A$6:$A$3791))),--('Diags Raw Data'!$Q$6:$Q$3791&lt;&gt;"N/A"),'Diags Raw Data'!$T$6:$T$3791)+SUMPRODUCT(--(ISNUMBER(SEARCH($A20,'Diags Raw Data'!$A$6:$A$3791))),--('Diags Raw Data'!$Q$6:$Q$3791&lt;&gt;"N/A"),'Diags Raw Data'!$U$6:$U$3791)</f>
        <v>5</v>
      </c>
      <c r="O20" s="490">
        <f t="shared" si="2"/>
        <v>0.83333333333333337</v>
      </c>
      <c r="P20" s="491">
        <f>SUMIF('Diags Raw Data'!$A$6:$A$3791,"*"&amp;$A20&amp;"*",'Diags Raw Data'!$Z$6:$Z$3791)</f>
        <v>0</v>
      </c>
      <c r="Q20" s="492">
        <f>SUM(SUMIF('Diags Raw Data'!$A$6:$A$3791,"*"&amp;$A20&amp;"*",'Diags Raw Data'!$AA$6:$AA$3791),SUMIF('Diags Raw Data'!$A$6:$A$3791,"*"&amp;$A20&amp;"*",'Diags Raw Data'!$AB$6:$AB$3791))</f>
        <v>0</v>
      </c>
      <c r="R20" s="493">
        <f t="shared" si="3"/>
        <v>0</v>
      </c>
      <c r="S20" s="493">
        <f t="shared" si="4"/>
        <v>0</v>
      </c>
      <c r="T20" s="494">
        <f t="shared" si="5"/>
        <v>0</v>
      </c>
      <c r="U20" s="442" t="s">
        <v>1133</v>
      </c>
      <c r="V20" s="182"/>
    </row>
    <row r="21" spans="1:22" hidden="1">
      <c r="A21" s="584" t="s">
        <v>341</v>
      </c>
      <c r="B21" s="438" t="str">
        <f>VLOOKUP(A21,'Feature Raw Data'!$A$3:$B$4004,2,FALSE)</f>
        <v>DCN4.015 - Dcc</v>
      </c>
      <c r="C21" s="439" t="str">
        <f>VLOOKUP(A21,'Feature Raw Data'!$A$3:$C$4004,3,FALSE)</f>
        <v>P2</v>
      </c>
      <c r="D21" s="440" t="str" cm="1">
        <f t="array" ref="D21">_xlfn.TEXTJOIN("",TRUE,IF(ISNUMBER(SEARCH($A21,'Diags Raw Data'!$A$6:$A$3791)),CONCATENATE('Diags Raw Data'!$H$6:$H$3791,", "),""))</f>
        <v/>
      </c>
      <c r="E21" s="336" t="e">
        <f>VLOOKUP(A21,'Diags Raw Data'!$A$6:$D$3791,4,FALSE)</f>
        <v>#N/A</v>
      </c>
      <c r="F21" s="336" t="str">
        <f>VLOOKUP(A21,'Feature Raw Data'!$A$3:$E$4004,5,FALSE)</f>
        <v>Legacy</v>
      </c>
      <c r="G21" s="336" t="str">
        <f t="shared" si="0"/>
        <v>No</v>
      </c>
      <c r="H21" s="336" t="str">
        <f t="shared" si="1"/>
        <v>No</v>
      </c>
      <c r="I21" s="439">
        <f>SUMIF('Diags Raw Data'!$A$6:$A$3791,"*"&amp;$A21&amp;"*",'Diags Raw Data'!$K$6:$K$3791)</f>
        <v>0</v>
      </c>
      <c r="J21" s="441">
        <f>SUMIF('Diags Raw Data'!$A$6:$A$3791,"*"&amp;$A21&amp;"*",'Diags Raw Data'!$L$6:$L$3791)</f>
        <v>0</v>
      </c>
      <c r="K21" s="486" cm="1">
        <f t="array" ref="K21">IF(D21="",0, SUMPRODUCT(--(ISNUMBER(SEARCH($A21,'Diags Raw Data'!$A$6:$A$3791))),'Diags Raw Data'!$L$6:$L$3791,'Diags Raw Data'!$N$6:$N$3791)/J21)</f>
        <v>0</v>
      </c>
      <c r="L21" s="487" cm="1">
        <f t="array" ref="L21">IF(D21="",0, SUMPRODUCT(--(ISNUMBER(SEARCH($A21,'Diags Raw Data'!$A$6:$A$3791))),'Diags Raw Data'!$L$6:$L$3791,'Diags Raw Data'!$P$6:$P$3791)/J21)</f>
        <v>0</v>
      </c>
      <c r="M21" s="488" cm="1">
        <f t="array" ref="M21">SUMPRODUCT(--(ISNUMBER(SEARCH($A21,'Diags Raw Data'!$A$6:$A$3791))),--('Diags Raw Data'!$Q$6:$Q$3791&lt;&gt;"N/A"),'Diags Raw Data'!$R$6:$R$3791)</f>
        <v>0</v>
      </c>
      <c r="N21" s="489" cm="1">
        <f t="array" ref="N21">SUMPRODUCT(--(ISNUMBER(SEARCH($A21,'Diags Raw Data'!$A$6:$A$3791))),--('Diags Raw Data'!$Q$6:$Q$3791&lt;&gt;"N/A"),'Diags Raw Data'!$T$6:$T$3791)+SUMPRODUCT(--(ISNUMBER(SEARCH($A21,'Diags Raw Data'!$A$6:$A$3791))),--('Diags Raw Data'!$Q$6:$Q$3791&lt;&gt;"N/A"),'Diags Raw Data'!$U$6:$U$3791)</f>
        <v>0</v>
      </c>
      <c r="O21" s="490">
        <f t="shared" si="2"/>
        <v>0</v>
      </c>
      <c r="P21" s="491">
        <f>SUMIF('Diags Raw Data'!$A$6:$A$3791,"*"&amp;$A21&amp;"*",'Diags Raw Data'!$Z$6:$Z$3791)</f>
        <v>0</v>
      </c>
      <c r="Q21" s="492">
        <f>SUM(SUMIF('Diags Raw Data'!$A$6:$A$3791,"*"&amp;$A21&amp;"*",'Diags Raw Data'!$AA$6:$AA$3791),SUMIF('Diags Raw Data'!$A$6:$A$3791,"*"&amp;$A21&amp;"*",'Diags Raw Data'!$AB$6:$AB$3791))</f>
        <v>0</v>
      </c>
      <c r="R21" s="493">
        <f t="shared" si="3"/>
        <v>0</v>
      </c>
      <c r="S21" s="493">
        <f t="shared" si="4"/>
        <v>0</v>
      </c>
      <c r="T21" s="494">
        <f t="shared" si="5"/>
        <v>0</v>
      </c>
      <c r="U21" s="442" t="s">
        <v>1134</v>
      </c>
      <c r="V21" s="182"/>
    </row>
    <row r="22" spans="1:22" hidden="1">
      <c r="A22" s="584" t="s">
        <v>343</v>
      </c>
      <c r="B22" s="438" t="str">
        <f>VLOOKUP(A22,'Feature Raw Data'!$A$3:$B$4004,2,FALSE)</f>
        <v xml:space="preserve">DCN4.016 - DCC compression ratio </v>
      </c>
      <c r="C22" s="439" t="str">
        <f>VLOOKUP(A22,'Feature Raw Data'!$A$3:$C$4004,3,FALSE)</f>
        <v>P2</v>
      </c>
      <c r="D22" s="440" t="str" cm="1">
        <f t="array" ref="D22">_xlfn.TEXTJOIN("",TRUE,IF(ISNUMBER(SEARCH($A22,'Diags Raw Data'!$A$6:$A$3791)),CONCATENATE('Diags Raw Data'!$H$6:$H$3791,", "),""))</f>
        <v/>
      </c>
      <c r="E22" s="336" t="e">
        <f>VLOOKUP(A22,'Diags Raw Data'!$A$6:$D$3791,4,FALSE)</f>
        <v>#N/A</v>
      </c>
      <c r="F22" s="336" t="str">
        <f>VLOOKUP(A22,'Feature Raw Data'!$A$3:$E$4004,5,FALSE)</f>
        <v>Legacy</v>
      </c>
      <c r="G22" s="336" t="str">
        <f t="shared" si="0"/>
        <v>No</v>
      </c>
      <c r="H22" s="336" t="str">
        <f t="shared" si="1"/>
        <v>No</v>
      </c>
      <c r="I22" s="439">
        <f>SUMIF('Diags Raw Data'!$A$6:$A$3791,"*"&amp;$A22&amp;"*",'Diags Raw Data'!$K$6:$K$3791)</f>
        <v>0</v>
      </c>
      <c r="J22" s="441">
        <f>SUMIF('Diags Raw Data'!$A$6:$A$3791,"*"&amp;$A22&amp;"*",'Diags Raw Data'!$L$6:$L$3791)</f>
        <v>0</v>
      </c>
      <c r="K22" s="486" cm="1">
        <f t="array" ref="K22">IF(D22="",0, SUMPRODUCT(--(ISNUMBER(SEARCH($A22,'Diags Raw Data'!$A$6:$A$3791))),'Diags Raw Data'!$L$6:$L$3791,'Diags Raw Data'!$N$6:$N$3791)/J22)</f>
        <v>0</v>
      </c>
      <c r="L22" s="487" cm="1">
        <f t="array" ref="L22">IF(D22="",0, SUMPRODUCT(--(ISNUMBER(SEARCH($A22,'Diags Raw Data'!$A$6:$A$3791))),'Diags Raw Data'!$L$6:$L$3791,'Diags Raw Data'!$P$6:$P$3791)/J22)</f>
        <v>0</v>
      </c>
      <c r="M22" s="488" cm="1">
        <f t="array" ref="M22">SUMPRODUCT(--(ISNUMBER(SEARCH($A22,'Diags Raw Data'!$A$6:$A$3791))),--('Diags Raw Data'!$Q$6:$Q$3791&lt;&gt;"N/A"),'Diags Raw Data'!$R$6:$R$3791)</f>
        <v>0</v>
      </c>
      <c r="N22" s="489" cm="1">
        <f t="array" ref="N22">SUMPRODUCT(--(ISNUMBER(SEARCH($A22,'Diags Raw Data'!$A$6:$A$3791))),--('Diags Raw Data'!$Q$6:$Q$3791&lt;&gt;"N/A"),'Diags Raw Data'!$T$6:$T$3791)+SUMPRODUCT(--(ISNUMBER(SEARCH($A22,'Diags Raw Data'!$A$6:$A$3791))),--('Diags Raw Data'!$Q$6:$Q$3791&lt;&gt;"N/A"),'Diags Raw Data'!$U$6:$U$3791)</f>
        <v>0</v>
      </c>
      <c r="O22" s="490">
        <f t="shared" si="2"/>
        <v>0</v>
      </c>
      <c r="P22" s="491">
        <f>SUMIF('Diags Raw Data'!$A$6:$A$3791,"*"&amp;$A22&amp;"*",'Diags Raw Data'!$Z$6:$Z$3791)</f>
        <v>0</v>
      </c>
      <c r="Q22" s="492">
        <f>SUM(SUMIF('Diags Raw Data'!$A$6:$A$3791,"*"&amp;$A22&amp;"*",'Diags Raw Data'!$AA$6:$AA$3791),SUMIF('Diags Raw Data'!$A$6:$A$3791,"*"&amp;$A22&amp;"*",'Diags Raw Data'!$AB$6:$AB$3791))</f>
        <v>0</v>
      </c>
      <c r="R22" s="493">
        <f t="shared" si="3"/>
        <v>0</v>
      </c>
      <c r="S22" s="493">
        <f t="shared" si="4"/>
        <v>0</v>
      </c>
      <c r="T22" s="494">
        <f t="shared" si="5"/>
        <v>0</v>
      </c>
      <c r="U22" s="442" t="s">
        <v>1134</v>
      </c>
      <c r="V22" s="182" t="s">
        <v>1128</v>
      </c>
    </row>
    <row r="23" spans="1:22">
      <c r="A23" s="584" t="s">
        <v>345</v>
      </c>
      <c r="B23" s="438" t="str">
        <f>VLOOKUP(A23,'Feature Raw Data'!$A$3:$B$4004,2,FALSE)</f>
        <v>DCN4.017 - Abm</v>
      </c>
      <c r="C23" s="439" t="str">
        <f>VLOOKUP(A23,'Feature Raw Data'!$A$3:$C$4004,3,FALSE)</f>
        <v>P2</v>
      </c>
      <c r="D23" s="440" t="str" cm="1">
        <f t="array" ref="D23">_xlfn.TEXTJOIN("",TRUE,IF(ISNUMBER(SEARCH($A23,'Diags Raw Data'!$A$6:$A$3791)),CONCATENATE('Diags Raw Data'!$H$6:$H$3791,", "),""))</f>
        <v xml:space="preserve">ABM066, ABM067, </v>
      </c>
      <c r="E23" s="336" t="e">
        <f>VLOOKUP(A23,'Diags Raw Data'!$A$6:$D$3791,4,FALSE)</f>
        <v>#N/A</v>
      </c>
      <c r="F23" s="336" t="str">
        <f>VLOOKUP(A23,'Feature Raw Data'!$A$3:$E$4004,5,FALSE)</f>
        <v>Legacy</v>
      </c>
      <c r="G23" s="336" t="str">
        <f t="shared" si="0"/>
        <v>Yes</v>
      </c>
      <c r="H23" s="336" t="str">
        <f t="shared" si="1"/>
        <v>Yes</v>
      </c>
      <c r="I23" s="439">
        <f>SUMIF('Diags Raw Data'!$A$6:$A$3791,"*"&amp;$A23&amp;"*",'Diags Raw Data'!$K$6:$K$3791)</f>
        <v>2</v>
      </c>
      <c r="J23" s="441">
        <f>SUMIF('Diags Raw Data'!$A$6:$A$3791,"*"&amp;$A23&amp;"*",'Diags Raw Data'!$L$6:$L$3791)</f>
        <v>16</v>
      </c>
      <c r="K23" s="486" cm="1">
        <f t="array" ref="K23">IF(D23="",0, SUMPRODUCT(--(ISNUMBER(SEARCH($A23,'Diags Raw Data'!$A$6:$A$3791))),'Diags Raw Data'!$L$6:$L$3791,'Diags Raw Data'!$N$6:$N$3791)/J23)</f>
        <v>1</v>
      </c>
      <c r="L23" s="487" cm="1">
        <f t="array" ref="L23">IF(D23="",0, SUMPRODUCT(--(ISNUMBER(SEARCH($A23,'Diags Raw Data'!$A$6:$A$3791))),'Diags Raw Data'!$L$6:$L$3791,'Diags Raw Data'!$P$6:$P$3791)/J23)</f>
        <v>6.25E-2</v>
      </c>
      <c r="M23" s="488" cm="1">
        <f t="array" ref="M23">SUMPRODUCT(--(ISNUMBER(SEARCH($A23,'Diags Raw Data'!$A$6:$A$3791))),--('Diags Raw Data'!$Q$6:$Q$3791&lt;&gt;"N/A"),'Diags Raw Data'!$R$6:$R$3791)</f>
        <v>16</v>
      </c>
      <c r="N23" s="489" cm="1">
        <f t="array" ref="N23">SUMPRODUCT(--(ISNUMBER(SEARCH($A23,'Diags Raw Data'!$A$6:$A$3791))),--('Diags Raw Data'!$Q$6:$Q$3791&lt;&gt;"N/A"),'Diags Raw Data'!$T$6:$T$3791)+SUMPRODUCT(--(ISNUMBER(SEARCH($A23,'Diags Raw Data'!$A$6:$A$3791))),--('Diags Raw Data'!$Q$6:$Q$3791&lt;&gt;"N/A"),'Diags Raw Data'!$U$6:$U$3791)</f>
        <v>1</v>
      </c>
      <c r="O23" s="490">
        <f t="shared" si="2"/>
        <v>6.25E-2</v>
      </c>
      <c r="P23" s="491">
        <f>SUMIF('Diags Raw Data'!$A$6:$A$3791,"*"&amp;$A23&amp;"*",'Diags Raw Data'!$Z$6:$Z$3791)</f>
        <v>0</v>
      </c>
      <c r="Q23" s="492">
        <f>SUM(SUMIF('Diags Raw Data'!$A$6:$A$3791,"*"&amp;$A23&amp;"*",'Diags Raw Data'!$AA$6:$AA$3791),SUMIF('Diags Raw Data'!$A$6:$A$3791,"*"&amp;$A23&amp;"*",'Diags Raw Data'!$AB$6:$AB$3791))</f>
        <v>0</v>
      </c>
      <c r="R23" s="493">
        <f t="shared" si="3"/>
        <v>0</v>
      </c>
      <c r="S23" s="493">
        <f t="shared" si="4"/>
        <v>0</v>
      </c>
      <c r="T23" s="494">
        <f t="shared" si="5"/>
        <v>0</v>
      </c>
      <c r="U23" s="442" t="s">
        <v>1133</v>
      </c>
      <c r="V23" s="182"/>
    </row>
    <row r="24" spans="1:22" hidden="1">
      <c r="A24" s="584" t="s">
        <v>347</v>
      </c>
      <c r="B24" s="438" t="str">
        <f>VLOOKUP(A24,'Feature Raw Data'!$A$3:$B$4004,2,FALSE)</f>
        <v>DCN4.018 - Psr psr-su and crc for psr-su</v>
      </c>
      <c r="C24" s="439" t="str">
        <f>VLOOKUP(A24,'Feature Raw Data'!$A$3:$C$4004,3,FALSE)</f>
        <v>P2</v>
      </c>
      <c r="D24" s="440" t="str" cm="1">
        <f t="array" ref="D24">_xlfn.TEXTJOIN("",TRUE,IF(ISNUMBER(SEARCH($A24,'Diags Raw Data'!$A$6:$A$3791)),CONCATENATE('Diags Raw Data'!$H$6:$H$3791,", "),""))</f>
        <v/>
      </c>
      <c r="E24" s="336" t="e">
        <f>VLOOKUP(A24,'Diags Raw Data'!$A$6:$D$3791,4,FALSE)</f>
        <v>#N/A</v>
      </c>
      <c r="F24" s="336" t="str">
        <f>VLOOKUP(A24,'Feature Raw Data'!$A$3:$E$4004,5,FALSE)</f>
        <v>Legacy</v>
      </c>
      <c r="G24" s="336" t="str">
        <f t="shared" si="0"/>
        <v>No</v>
      </c>
      <c r="H24" s="336" t="str">
        <f t="shared" si="1"/>
        <v>No</v>
      </c>
      <c r="I24" s="439">
        <f>SUMIF('Diags Raw Data'!$A$6:$A$3791,"*"&amp;$A24&amp;"*",'Diags Raw Data'!$K$6:$K$3791)</f>
        <v>0</v>
      </c>
      <c r="J24" s="441">
        <f>SUMIF('Diags Raw Data'!$A$6:$A$3791,"*"&amp;$A24&amp;"*",'Diags Raw Data'!$L$6:$L$3791)</f>
        <v>0</v>
      </c>
      <c r="K24" s="486" cm="1">
        <f t="array" ref="K24">IF(D24="",0, SUMPRODUCT(--(ISNUMBER(SEARCH($A24,'Diags Raw Data'!$A$6:$A$3791))),'Diags Raw Data'!$L$6:$L$3791,'Diags Raw Data'!$N$6:$N$3791)/J24)</f>
        <v>0</v>
      </c>
      <c r="L24" s="487" cm="1">
        <f t="array" ref="L24">IF(D24="",0, SUMPRODUCT(--(ISNUMBER(SEARCH($A24,'Diags Raw Data'!$A$6:$A$3791))),'Diags Raw Data'!$L$6:$L$3791,'Diags Raw Data'!$P$6:$P$3791)/J24)</f>
        <v>0</v>
      </c>
      <c r="M24" s="488" cm="1">
        <f t="array" ref="M24">SUMPRODUCT(--(ISNUMBER(SEARCH($A24,'Diags Raw Data'!$A$6:$A$3791))),--('Diags Raw Data'!$Q$6:$Q$3791&lt;&gt;"N/A"),'Diags Raw Data'!$R$6:$R$3791)</f>
        <v>0</v>
      </c>
      <c r="N24" s="489" cm="1">
        <f t="array" ref="N24">SUMPRODUCT(--(ISNUMBER(SEARCH($A24,'Diags Raw Data'!$A$6:$A$3791))),--('Diags Raw Data'!$Q$6:$Q$3791&lt;&gt;"N/A"),'Diags Raw Data'!$T$6:$T$3791)+SUMPRODUCT(--(ISNUMBER(SEARCH($A24,'Diags Raw Data'!$A$6:$A$3791))),--('Diags Raw Data'!$Q$6:$Q$3791&lt;&gt;"N/A"),'Diags Raw Data'!$U$6:$U$3791)</f>
        <v>0</v>
      </c>
      <c r="O24" s="490">
        <f t="shared" si="2"/>
        <v>0</v>
      </c>
      <c r="P24" s="491">
        <f>SUMIF('Diags Raw Data'!$A$6:$A$3791,"*"&amp;$A24&amp;"*",'Diags Raw Data'!$Z$6:$Z$3791)</f>
        <v>0</v>
      </c>
      <c r="Q24" s="492">
        <f>SUM(SUMIF('Diags Raw Data'!$A$6:$A$3791,"*"&amp;$A24&amp;"*",'Diags Raw Data'!$AA$6:$AA$3791),SUMIF('Diags Raw Data'!$A$6:$A$3791,"*"&amp;$A24&amp;"*",'Diags Raw Data'!$AB$6:$AB$3791))</f>
        <v>0</v>
      </c>
      <c r="R24" s="493">
        <f t="shared" si="3"/>
        <v>0</v>
      </c>
      <c r="S24" s="493">
        <f t="shared" si="4"/>
        <v>0</v>
      </c>
      <c r="T24" s="494">
        <f t="shared" si="5"/>
        <v>0</v>
      </c>
      <c r="U24" s="442"/>
      <c r="V24" s="182" t="s">
        <v>1128</v>
      </c>
    </row>
    <row r="25" spans="1:22" hidden="1">
      <c r="A25" s="584" t="s">
        <v>349</v>
      </c>
      <c r="B25" s="438" t="str">
        <f>VLOOKUP(A25,'Feature Raw Data'!$A$3:$B$4004,2,FALSE)</f>
        <v>DCN4.019 - edp1.4 alpm</v>
      </c>
      <c r="C25" s="439" t="str">
        <f>VLOOKUP(A25,'Feature Raw Data'!$A$3:$C$4004,3,FALSE)</f>
        <v>P2</v>
      </c>
      <c r="D25" s="440" t="str" cm="1">
        <f t="array" ref="D25">_xlfn.TEXTJOIN("",TRUE,IF(ISNUMBER(SEARCH($A25,'Diags Raw Data'!$A$6:$A$3791)),CONCATENATE('Diags Raw Data'!$H$6:$H$3791,", "),""))</f>
        <v/>
      </c>
      <c r="E25" s="336" t="e">
        <f>VLOOKUP(A25,'Diags Raw Data'!$A$6:$D$3791,4,FALSE)</f>
        <v>#N/A</v>
      </c>
      <c r="F25" s="336" t="str">
        <f>VLOOKUP(A25,'Feature Raw Data'!$A$3:$E$4004,5,FALSE)</f>
        <v>Legacy</v>
      </c>
      <c r="G25" s="336" t="str">
        <f t="shared" si="0"/>
        <v>No</v>
      </c>
      <c r="H25" s="336" t="str">
        <f t="shared" si="1"/>
        <v>No</v>
      </c>
      <c r="I25" s="439">
        <f>SUMIF('Diags Raw Data'!$A$6:$A$3791,"*"&amp;$A25&amp;"*",'Diags Raw Data'!$K$6:$K$3791)</f>
        <v>0</v>
      </c>
      <c r="J25" s="441">
        <f>SUMIF('Diags Raw Data'!$A$6:$A$3791,"*"&amp;$A25&amp;"*",'Diags Raw Data'!$L$6:$L$3791)</f>
        <v>0</v>
      </c>
      <c r="K25" s="486" cm="1">
        <f t="array" ref="K25">IF(D25="",0, SUMPRODUCT(--(ISNUMBER(SEARCH($A25,'Diags Raw Data'!$A$6:$A$3791))),'Diags Raw Data'!$L$6:$L$3791,'Diags Raw Data'!$N$6:$N$3791)/J25)</f>
        <v>0</v>
      </c>
      <c r="L25" s="487" cm="1">
        <f t="array" ref="L25">IF(D25="",0, SUMPRODUCT(--(ISNUMBER(SEARCH($A25,'Diags Raw Data'!$A$6:$A$3791))),'Diags Raw Data'!$L$6:$L$3791,'Diags Raw Data'!$P$6:$P$3791)/J25)</f>
        <v>0</v>
      </c>
      <c r="M25" s="488" cm="1">
        <f t="array" ref="M25">SUMPRODUCT(--(ISNUMBER(SEARCH($A25,'Diags Raw Data'!$A$6:$A$3791))),--('Diags Raw Data'!$Q$6:$Q$3791&lt;&gt;"N/A"),'Diags Raw Data'!$R$6:$R$3791)</f>
        <v>0</v>
      </c>
      <c r="N25" s="489" cm="1">
        <f t="array" ref="N25">SUMPRODUCT(--(ISNUMBER(SEARCH($A25,'Diags Raw Data'!$A$6:$A$3791))),--('Diags Raw Data'!$Q$6:$Q$3791&lt;&gt;"N/A"),'Diags Raw Data'!$T$6:$T$3791)+SUMPRODUCT(--(ISNUMBER(SEARCH($A25,'Diags Raw Data'!$A$6:$A$3791))),--('Diags Raw Data'!$Q$6:$Q$3791&lt;&gt;"N/A"),'Diags Raw Data'!$U$6:$U$3791)</f>
        <v>0</v>
      </c>
      <c r="O25" s="490">
        <f t="shared" si="2"/>
        <v>0</v>
      </c>
      <c r="P25" s="491">
        <f>SUMIF('Diags Raw Data'!$A$6:$A$3791,"*"&amp;$A25&amp;"*",'Diags Raw Data'!$Z$6:$Z$3791)</f>
        <v>0</v>
      </c>
      <c r="Q25" s="492">
        <f>SUM(SUMIF('Diags Raw Data'!$A$6:$A$3791,"*"&amp;$A25&amp;"*",'Diags Raw Data'!$AA$6:$AA$3791),SUMIF('Diags Raw Data'!$A$6:$A$3791,"*"&amp;$A25&amp;"*",'Diags Raw Data'!$AB$6:$AB$3791))</f>
        <v>0</v>
      </c>
      <c r="R25" s="493">
        <f t="shared" si="3"/>
        <v>0</v>
      </c>
      <c r="S25" s="493">
        <f t="shared" si="4"/>
        <v>0</v>
      </c>
      <c r="T25" s="494">
        <f t="shared" si="5"/>
        <v>0</v>
      </c>
      <c r="U25" s="442"/>
      <c r="V25" s="182" t="s">
        <v>1128</v>
      </c>
    </row>
    <row r="26" spans="1:22">
      <c r="A26" s="584" t="s">
        <v>351</v>
      </c>
      <c r="B26" s="438" t="str">
        <f>VLOOKUP(A26,'Feature Raw Data'!$A$3:$B$4004,2,FALSE)</f>
        <v>DCN4.020 - pstate dram clock switch</v>
      </c>
      <c r="C26" s="439" t="str">
        <f>VLOOKUP(A26,'Feature Raw Data'!$A$3:$C$4004,3,FALSE)</f>
        <v>P2</v>
      </c>
      <c r="D26" s="440" t="str" cm="1">
        <f t="array" ref="D26">_xlfn.TEXTJOIN("",TRUE,IF(ISNUMBER(SEARCH($A26,'Diags Raw Data'!$A$6:$A$3791)),CONCATENATE('Diags Raw Data'!$H$6:$H$3791,", "),""))</f>
        <v xml:space="preserve">DISP014, </v>
      </c>
      <c r="E26" s="336" t="e">
        <f>VLOOKUP(A26,'Diags Raw Data'!$A$6:$D$3791,4,FALSE)</f>
        <v>#N/A</v>
      </c>
      <c r="F26" s="336" t="str">
        <f>VLOOKUP(A26,'Feature Raw Data'!$A$3:$E$4004,5,FALSE)</f>
        <v>Legacy</v>
      </c>
      <c r="G26" s="336" t="str">
        <f t="shared" si="0"/>
        <v>Yes</v>
      </c>
      <c r="H26" s="336" t="str">
        <f t="shared" si="1"/>
        <v>Yes</v>
      </c>
      <c r="I26" s="439">
        <f>SUMIF('Diags Raw Data'!$A$6:$A$3791,"*"&amp;$A26&amp;"*",'Diags Raw Data'!$K$6:$K$3791)</f>
        <v>1</v>
      </c>
      <c r="J26" s="441">
        <f>SUMIF('Diags Raw Data'!$A$6:$A$3791,"*"&amp;$A26&amp;"*",'Diags Raw Data'!$L$6:$L$3791)</f>
        <v>1</v>
      </c>
      <c r="K26" s="486" cm="1">
        <f t="array" ref="K26">IF(D26="",0, SUMPRODUCT(--(ISNUMBER(SEARCH($A26,'Diags Raw Data'!$A$6:$A$3791))),'Diags Raw Data'!$L$6:$L$3791,'Diags Raw Data'!$N$6:$N$3791)/J26)</f>
        <v>1</v>
      </c>
      <c r="L26" s="487" cm="1">
        <f t="array" ref="L26">IF(D26="",0, SUMPRODUCT(--(ISNUMBER(SEARCH($A26,'Diags Raw Data'!$A$6:$A$3791))),'Diags Raw Data'!$L$6:$L$3791,'Diags Raw Data'!$P$6:$P$3791)/J26)</f>
        <v>1</v>
      </c>
      <c r="M26" s="488" cm="1">
        <f t="array" ref="M26">SUMPRODUCT(--(ISNUMBER(SEARCH($A26,'Diags Raw Data'!$A$6:$A$3791))),--('Diags Raw Data'!$Q$6:$Q$3791&lt;&gt;"N/A"),'Diags Raw Data'!$R$6:$R$3791)</f>
        <v>1</v>
      </c>
      <c r="N26" s="489" cm="1">
        <f t="array" ref="N26">SUMPRODUCT(--(ISNUMBER(SEARCH($A26,'Diags Raw Data'!$A$6:$A$3791))),--('Diags Raw Data'!$Q$6:$Q$3791&lt;&gt;"N/A"),'Diags Raw Data'!$T$6:$T$3791)+SUMPRODUCT(--(ISNUMBER(SEARCH($A26,'Diags Raw Data'!$A$6:$A$3791))),--('Diags Raw Data'!$Q$6:$Q$3791&lt;&gt;"N/A"),'Diags Raw Data'!$U$6:$U$3791)</f>
        <v>0</v>
      </c>
      <c r="O26" s="490">
        <f t="shared" si="2"/>
        <v>0</v>
      </c>
      <c r="P26" s="491">
        <f>SUMIF('Diags Raw Data'!$A$6:$A$3791,"*"&amp;$A26&amp;"*",'Diags Raw Data'!$Z$6:$Z$3791)</f>
        <v>0</v>
      </c>
      <c r="Q26" s="492">
        <f>SUM(SUMIF('Diags Raw Data'!$A$6:$A$3791,"*"&amp;$A26&amp;"*",'Diags Raw Data'!$AA$6:$AA$3791),SUMIF('Diags Raw Data'!$A$6:$A$3791,"*"&amp;$A26&amp;"*",'Diags Raw Data'!$AB$6:$AB$3791))</f>
        <v>0</v>
      </c>
      <c r="R26" s="493">
        <f t="shared" si="3"/>
        <v>0</v>
      </c>
      <c r="S26" s="493">
        <f t="shared" si="4"/>
        <v>0</v>
      </c>
      <c r="T26" s="494">
        <f t="shared" si="5"/>
        <v>0</v>
      </c>
      <c r="U26" s="442" t="s">
        <v>1129</v>
      </c>
      <c r="V26" s="182"/>
    </row>
    <row r="27" spans="1:22" ht="90">
      <c r="A27" s="584" t="s">
        <v>353</v>
      </c>
      <c r="B27" s="438" t="str">
        <f>VLOOKUP(A27,'Feature Raw Data'!$A$3:$B$4004,2,FALSE)</f>
        <v>DCN4.021 - Dchubbub wm change support</v>
      </c>
      <c r="C27" s="439" t="str">
        <f>VLOOKUP(A27,'Feature Raw Data'!$A$3:$C$4004,3,FALSE)</f>
        <v>P2</v>
      </c>
      <c r="D27" s="440" t="s">
        <v>1135</v>
      </c>
      <c r="E27" s="336" t="e">
        <f>VLOOKUP(A27,'Diags Raw Data'!$A$6:$D$3791,4,FALSE)</f>
        <v>#N/A</v>
      </c>
      <c r="F27" s="336" t="str">
        <f>VLOOKUP(A27,'Feature Raw Data'!$A$3:$E$4004,5,FALSE)</f>
        <v>Legacy</v>
      </c>
      <c r="G27" s="336" t="str">
        <f t="shared" si="0"/>
        <v>Yes</v>
      </c>
      <c r="H27" s="336" t="str">
        <f t="shared" si="1"/>
        <v>Yes</v>
      </c>
      <c r="I27" s="439">
        <f>SUMIF('Diags Raw Data'!$A$6:$A$3791,"*"&amp;$A27&amp;"*",'Diags Raw Data'!$K$6:$K$3791)</f>
        <v>1</v>
      </c>
      <c r="J27" s="441">
        <f>SUMIF('Diags Raw Data'!$A$6:$A$3791,"*"&amp;$A27&amp;"*",'Diags Raw Data'!$L$6:$L$3791)</f>
        <v>36</v>
      </c>
      <c r="K27" s="486" cm="1">
        <f t="array" ref="K27">IF(D27="",0, SUMPRODUCT(--(ISNUMBER(SEARCH($A27,'Diags Raw Data'!$A$6:$A$3791))),'Diags Raw Data'!$L$6:$L$3791,'Diags Raw Data'!$N$6:$N$3791)/J27)</f>
        <v>1</v>
      </c>
      <c r="L27" s="487" cm="1">
        <f t="array" ref="L27">IF(D27="",0, SUMPRODUCT(--(ISNUMBER(SEARCH($A27,'Diags Raw Data'!$A$6:$A$3791))),'Diags Raw Data'!$L$6:$L$3791,'Diags Raw Data'!$P$6:$P$3791)/J27)</f>
        <v>1</v>
      </c>
      <c r="M27" s="488" cm="1">
        <f t="array" ref="M27">SUMPRODUCT(--(ISNUMBER(SEARCH($A27,'Diags Raw Data'!$A$6:$A$3791))),--('Diags Raw Data'!$Q$6:$Q$3791&lt;&gt;"N/A"),'Diags Raw Data'!$R$6:$R$3791)</f>
        <v>1</v>
      </c>
      <c r="N27" s="489" cm="1">
        <f t="array" ref="N27">SUMPRODUCT(--(ISNUMBER(SEARCH($A27,'Diags Raw Data'!$A$6:$A$3791))),--('Diags Raw Data'!$Q$6:$Q$3791&lt;&gt;"N/A"),'Diags Raw Data'!$T$6:$T$3791)+SUMPRODUCT(--(ISNUMBER(SEARCH($A27,'Diags Raw Data'!$A$6:$A$3791))),--('Diags Raw Data'!$Q$6:$Q$3791&lt;&gt;"N/A"),'Diags Raw Data'!$U$6:$U$3791)</f>
        <v>1</v>
      </c>
      <c r="O27" s="490">
        <f t="shared" si="2"/>
        <v>1</v>
      </c>
      <c r="P27" s="491">
        <f>SUMIF('Diags Raw Data'!$A$6:$A$3791,"*"&amp;$A27&amp;"*",'Diags Raw Data'!$Z$6:$Z$3791)</f>
        <v>0</v>
      </c>
      <c r="Q27" s="492">
        <f>SUM(SUMIF('Diags Raw Data'!$A$6:$A$3791,"*"&amp;$A27&amp;"*",'Diags Raw Data'!$AA$6:$AA$3791),SUMIF('Diags Raw Data'!$A$6:$A$3791,"*"&amp;$A27&amp;"*",'Diags Raw Data'!$AB$6:$AB$3791))</f>
        <v>0</v>
      </c>
      <c r="R27" s="493">
        <f t="shared" si="3"/>
        <v>0</v>
      </c>
      <c r="S27" s="493">
        <f t="shared" si="4"/>
        <v>0</v>
      </c>
      <c r="T27" s="494">
        <f t="shared" si="5"/>
        <v>0</v>
      </c>
      <c r="U27" s="442" t="s">
        <v>1129</v>
      </c>
      <c r="V27" s="182"/>
    </row>
    <row r="28" spans="1:22" ht="29.1">
      <c r="A28" s="584" t="s">
        <v>355</v>
      </c>
      <c r="B28" s="438" t="str">
        <f>VLOOKUP(A28,'Feature Raw Data'!$A$3:$B$4004,2,FALSE)</f>
        <v>DCN4.022 - Dram self-refresh and cstate and stutter</v>
      </c>
      <c r="C28" s="439" t="str">
        <f>VLOOKUP(A28,'Feature Raw Data'!$A$3:$C$4004,3,FALSE)</f>
        <v>P2</v>
      </c>
      <c r="D28" s="440" t="str" cm="1">
        <f t="array" ref="D28">_xlfn.TEXTJOIN("",TRUE,IF(ISNUMBER(SEARCH($A28,'Diags Raw Data'!$A$6:$A$3791)),CONCATENATE('Diags Raw Data'!$H$6:$H$3791,", "),""))</f>
        <v xml:space="preserve">disp.smoke.modeset, </v>
      </c>
      <c r="E28" s="336" t="e">
        <f>VLOOKUP(A28,'Diags Raw Data'!$A$6:$D$3791,4,FALSE)</f>
        <v>#N/A</v>
      </c>
      <c r="F28" s="336" t="str">
        <f>VLOOKUP(A28,'Feature Raw Data'!$A$3:$E$4004,5,FALSE)</f>
        <v>Legacy</v>
      </c>
      <c r="G28" s="336" t="str">
        <f t="shared" si="0"/>
        <v>Yes</v>
      </c>
      <c r="H28" s="336" t="str">
        <f t="shared" si="1"/>
        <v>Yes</v>
      </c>
      <c r="I28" s="439">
        <f>SUMIF('Diags Raw Data'!$A$6:$A$3791,"*"&amp;$A28&amp;"*",'Diags Raw Data'!$K$6:$K$3791)</f>
        <v>3</v>
      </c>
      <c r="J28" s="441">
        <f>SUMIF('Diags Raw Data'!$A$6:$A$3791,"*"&amp;$A28&amp;"*",'Diags Raw Data'!$L$6:$L$3791)</f>
        <v>3</v>
      </c>
      <c r="K28" s="486" cm="1">
        <f t="array" ref="K28">IF(D28="",0, SUMPRODUCT(--(ISNUMBER(SEARCH($A28,'Diags Raw Data'!$A$6:$A$3791))),'Diags Raw Data'!$L$6:$L$3791,'Diags Raw Data'!$N$6:$N$3791)/J28)</f>
        <v>1</v>
      </c>
      <c r="L28" s="487" cm="1">
        <f t="array" ref="L28">IF(D28="",0, SUMPRODUCT(--(ISNUMBER(SEARCH($A28,'Diags Raw Data'!$A$6:$A$3791))),'Diags Raw Data'!$L$6:$L$3791,'Diags Raw Data'!$P$6:$P$3791)/J28)</f>
        <v>0</v>
      </c>
      <c r="M28" s="488" cm="1">
        <f t="array" ref="M28">SUMPRODUCT(--(ISNUMBER(SEARCH($A28,'Diags Raw Data'!$A$6:$A$3791))),--('Diags Raw Data'!$Q$6:$Q$3791&lt;&gt;"N/A"),'Diags Raw Data'!$R$6:$R$3791)</f>
        <v>0</v>
      </c>
      <c r="N28" s="489" cm="1">
        <f t="array" ref="N28">SUMPRODUCT(--(ISNUMBER(SEARCH($A28,'Diags Raw Data'!$A$6:$A$3791))),--('Diags Raw Data'!$Q$6:$Q$3791&lt;&gt;"N/A"),'Diags Raw Data'!$T$6:$T$3791)+SUMPRODUCT(--(ISNUMBER(SEARCH($A28,'Diags Raw Data'!$A$6:$A$3791))),--('Diags Raw Data'!$Q$6:$Q$3791&lt;&gt;"N/A"),'Diags Raw Data'!$U$6:$U$3791)</f>
        <v>0</v>
      </c>
      <c r="O28" s="490">
        <f t="shared" si="2"/>
        <v>0</v>
      </c>
      <c r="P28" s="491">
        <f>SUMIF('Diags Raw Data'!$A$6:$A$3791,"*"&amp;$A28&amp;"*",'Diags Raw Data'!$Z$6:$Z$3791)</f>
        <v>0</v>
      </c>
      <c r="Q28" s="492">
        <f>SUM(SUMIF('Diags Raw Data'!$A$6:$A$3791,"*"&amp;$A28&amp;"*",'Diags Raw Data'!$AA$6:$AA$3791),SUMIF('Diags Raw Data'!$A$6:$A$3791,"*"&amp;$A28&amp;"*",'Diags Raw Data'!$AB$6:$AB$3791))</f>
        <v>0</v>
      </c>
      <c r="R28" s="493">
        <f t="shared" si="3"/>
        <v>0</v>
      </c>
      <c r="S28" s="493">
        <f t="shared" si="4"/>
        <v>0</v>
      </c>
      <c r="T28" s="494">
        <f t="shared" si="5"/>
        <v>0</v>
      </c>
      <c r="U28" s="442" t="s">
        <v>1129</v>
      </c>
      <c r="V28" s="182"/>
    </row>
    <row r="29" spans="1:22">
      <c r="A29" s="584" t="s">
        <v>357</v>
      </c>
      <c r="B29" s="438" t="str">
        <f>VLOOKUP(A29,'Feature Raw Data'!$A$3:$B$4004,2,FALSE)</f>
        <v>DCN4.023 - Stutter efficiency</v>
      </c>
      <c r="C29" s="439" t="str">
        <f>VLOOKUP(A29,'Feature Raw Data'!$A$3:$C$4004,3,FALSE)</f>
        <v>P2</v>
      </c>
      <c r="D29" s="440" t="str" cm="1">
        <f t="array" ref="D29">_xlfn.TEXTJOIN("",TRUE,IF(ISNUMBER(SEARCH($A29,'Diags Raw Data'!$A$6:$A$3791)),CONCATENATE('Diags Raw Data'!$H$6:$H$3791,", "),""))</f>
        <v xml:space="preserve">disp.smoke.modeset, </v>
      </c>
      <c r="E29" s="336" t="e">
        <f>VLOOKUP(A29,'Diags Raw Data'!$A$6:$D$3791,4,FALSE)</f>
        <v>#N/A</v>
      </c>
      <c r="F29" s="336" t="str">
        <f>VLOOKUP(A29,'Feature Raw Data'!$A$3:$E$4004,5,FALSE)</f>
        <v>Legacy</v>
      </c>
      <c r="G29" s="336" t="str">
        <f t="shared" si="0"/>
        <v>Yes</v>
      </c>
      <c r="H29" s="336" t="str">
        <f t="shared" si="1"/>
        <v>Yes</v>
      </c>
      <c r="I29" s="439">
        <f>SUMIF('Diags Raw Data'!$A$6:$A$3791,"*"&amp;$A29&amp;"*",'Diags Raw Data'!$K$6:$K$3791)</f>
        <v>3</v>
      </c>
      <c r="J29" s="441">
        <f>SUMIF('Diags Raw Data'!$A$6:$A$3791,"*"&amp;$A29&amp;"*",'Diags Raw Data'!$L$6:$L$3791)</f>
        <v>3</v>
      </c>
      <c r="K29" s="486" cm="1">
        <f t="array" ref="K29">IF(D29="",0, SUMPRODUCT(--(ISNUMBER(SEARCH($A29,'Diags Raw Data'!$A$6:$A$3791))),'Diags Raw Data'!$L$6:$L$3791,'Diags Raw Data'!$N$6:$N$3791)/J29)</f>
        <v>1</v>
      </c>
      <c r="L29" s="487" cm="1">
        <f t="array" ref="L29">IF(D29="",0, SUMPRODUCT(--(ISNUMBER(SEARCH($A29,'Diags Raw Data'!$A$6:$A$3791))),'Diags Raw Data'!$L$6:$L$3791,'Diags Raw Data'!$P$6:$P$3791)/J29)</f>
        <v>0</v>
      </c>
      <c r="M29" s="488" cm="1">
        <f t="array" ref="M29">SUMPRODUCT(--(ISNUMBER(SEARCH($A29,'Diags Raw Data'!$A$6:$A$3791))),--('Diags Raw Data'!$Q$6:$Q$3791&lt;&gt;"N/A"),'Diags Raw Data'!$R$6:$R$3791)</f>
        <v>0</v>
      </c>
      <c r="N29" s="489" cm="1">
        <f t="array" ref="N29">SUMPRODUCT(--(ISNUMBER(SEARCH($A29,'Diags Raw Data'!$A$6:$A$3791))),--('Diags Raw Data'!$Q$6:$Q$3791&lt;&gt;"N/A"),'Diags Raw Data'!$T$6:$T$3791)+SUMPRODUCT(--(ISNUMBER(SEARCH($A29,'Diags Raw Data'!$A$6:$A$3791))),--('Diags Raw Data'!$Q$6:$Q$3791&lt;&gt;"N/A"),'Diags Raw Data'!$U$6:$U$3791)</f>
        <v>0</v>
      </c>
      <c r="O29" s="490">
        <f t="shared" si="2"/>
        <v>0</v>
      </c>
      <c r="P29" s="491">
        <f>SUMIF('Diags Raw Data'!$A$6:$A$3791,"*"&amp;$A29&amp;"*",'Diags Raw Data'!$Z$6:$Z$3791)</f>
        <v>0</v>
      </c>
      <c r="Q29" s="492">
        <f>SUM(SUMIF('Diags Raw Data'!$A$6:$A$3791,"*"&amp;$A29&amp;"*",'Diags Raw Data'!$AA$6:$AA$3791),SUMIF('Diags Raw Data'!$A$6:$A$3791,"*"&amp;$A29&amp;"*",'Diags Raw Data'!$AB$6:$AB$3791))</f>
        <v>0</v>
      </c>
      <c r="R29" s="493">
        <f t="shared" si="3"/>
        <v>0</v>
      </c>
      <c r="S29" s="493">
        <f t="shared" si="4"/>
        <v>0</v>
      </c>
      <c r="T29" s="494">
        <f t="shared" si="5"/>
        <v>0</v>
      </c>
      <c r="U29" s="442" t="s">
        <v>1129</v>
      </c>
      <c r="V29" s="182"/>
    </row>
    <row r="30" spans="1:22">
      <c r="A30" s="584" t="s">
        <v>359</v>
      </c>
      <c r="B30" s="438" t="str">
        <f>VLOOKUP(A30,'Feature Raw Data'!$A$3:$B$4004,2,FALSE)</f>
        <v>DCN4.024 - QoS urgent latency</v>
      </c>
      <c r="C30" s="439" t="str">
        <f>VLOOKUP(A30,'Feature Raw Data'!$A$3:$C$4004,3,FALSE)</f>
        <v>P2</v>
      </c>
      <c r="D30" s="440" t="str" cm="1">
        <f t="array" ref="D30">_xlfn.TEXTJOIN("",TRUE,IF(ISNUMBER(SEARCH($A30,'Diags Raw Data'!$A$6:$A$3791)),CONCATENATE('Diags Raw Data'!$H$6:$H$3791,", "),""))</f>
        <v xml:space="preserve">DPP001, </v>
      </c>
      <c r="E30" s="336" t="e">
        <f>VLOOKUP(A30,'Diags Raw Data'!$A$6:$D$3791,4,FALSE)</f>
        <v>#N/A</v>
      </c>
      <c r="F30" s="336" t="str">
        <f>VLOOKUP(A30,'Feature Raw Data'!$A$3:$E$4004,5,FALSE)</f>
        <v>Legacy</v>
      </c>
      <c r="G30" s="336" t="str">
        <f t="shared" si="0"/>
        <v>Yes</v>
      </c>
      <c r="H30" s="336" t="str">
        <f t="shared" si="1"/>
        <v>Yes</v>
      </c>
      <c r="I30" s="439">
        <f>SUMIF('Diags Raw Data'!$A$6:$A$3791,"*"&amp;$A30&amp;"*",'Diags Raw Data'!$K$6:$K$3791)</f>
        <v>5</v>
      </c>
      <c r="J30" s="441">
        <f>SUMIF('Diags Raw Data'!$A$6:$A$3791,"*"&amp;$A30&amp;"*",'Diags Raw Data'!$L$6:$L$3791)</f>
        <v>15</v>
      </c>
      <c r="K30" s="486" cm="1">
        <f t="array" ref="K30">IF(D30="",0, SUMPRODUCT(--(ISNUMBER(SEARCH($A30,'Diags Raw Data'!$A$6:$A$3791))),'Diags Raw Data'!$L$6:$L$3791,'Diags Raw Data'!$N$6:$N$3791)/J30)</f>
        <v>1</v>
      </c>
      <c r="L30" s="487" cm="1">
        <f t="array" ref="L30">IF(D30="",0, SUMPRODUCT(--(ISNUMBER(SEARCH($A30,'Diags Raw Data'!$A$6:$A$3791))),'Diags Raw Data'!$L$6:$L$3791,'Diags Raw Data'!$P$6:$P$3791)/J30)</f>
        <v>1</v>
      </c>
      <c r="M30" s="488" cm="1">
        <f t="array" ref="M30">SUMPRODUCT(--(ISNUMBER(SEARCH($A30,'Diags Raw Data'!$A$6:$A$3791))),--('Diags Raw Data'!$Q$6:$Q$3791&lt;&gt;"N/A"),'Diags Raw Data'!$R$6:$R$3791)</f>
        <v>0</v>
      </c>
      <c r="N30" s="489" cm="1">
        <f t="array" ref="N30">SUMPRODUCT(--(ISNUMBER(SEARCH($A30,'Diags Raw Data'!$A$6:$A$3791))),--('Diags Raw Data'!$Q$6:$Q$3791&lt;&gt;"N/A"),'Diags Raw Data'!$T$6:$T$3791)+SUMPRODUCT(--(ISNUMBER(SEARCH($A30,'Diags Raw Data'!$A$6:$A$3791))),--('Diags Raw Data'!$Q$6:$Q$3791&lt;&gt;"N/A"),'Diags Raw Data'!$U$6:$U$3791)</f>
        <v>0</v>
      </c>
      <c r="O30" s="490">
        <f>IF((M30=0),0,N30/M30)</f>
        <v>0</v>
      </c>
      <c r="P30" s="491">
        <f>SUMIF('Diags Raw Data'!$A$6:$A$3791,"*"&amp;$A30&amp;"*",'Diags Raw Data'!$Z$6:$Z$3791)</f>
        <v>0</v>
      </c>
      <c r="Q30" s="492">
        <f>SUM(SUMIF('Diags Raw Data'!$A$6:$A$3791,"*"&amp;$A30&amp;"*",'Diags Raw Data'!$AA$6:$AA$3791),SUMIF('Diags Raw Data'!$A$6:$A$3791,"*"&amp;$A30&amp;"*",'Diags Raw Data'!$AB$6:$AB$3791))</f>
        <v>0</v>
      </c>
      <c r="R30" s="493">
        <f>IF((J30=0),0,P30/J30)</f>
        <v>0</v>
      </c>
      <c r="S30" s="493">
        <f>IF((P30=0),0,Q30/P30)</f>
        <v>0</v>
      </c>
      <c r="T30" s="494">
        <f>R30*S30</f>
        <v>0</v>
      </c>
      <c r="U30" s="442" t="s">
        <v>1129</v>
      </c>
      <c r="V30" s="182"/>
    </row>
    <row r="31" spans="1:22">
      <c r="A31" s="584" t="s">
        <v>361</v>
      </c>
      <c r="B31" s="438" t="str">
        <f>VLOOKUP(A31,'Feature Raw Data'!$A$3:$B$4004,2,FALSE)</f>
        <v>DCN4.025 - HW rotation and mirroring</v>
      </c>
      <c r="C31" s="439" t="str">
        <f>VLOOKUP(A31,'Feature Raw Data'!$A$3:$C$4004,3,FALSE)</f>
        <v>P2</v>
      </c>
      <c r="D31" s="440" t="str" cm="1">
        <f t="array" ref="D31">_xlfn.TEXTJOIN("",TRUE,IF(ISNUMBER(SEARCH($A31,'Diags Raw Data'!$A$6:$A$3791)),CONCATENATE('Diags Raw Data'!$H$6:$H$3791,", "),""))</f>
        <v xml:space="preserve">DCHB004, DCHB007, </v>
      </c>
      <c r="E31" s="336" t="e">
        <f>VLOOKUP(A31,'Diags Raw Data'!$A$6:$D$3791,4,FALSE)</f>
        <v>#N/A</v>
      </c>
      <c r="F31" s="336" t="str">
        <f>VLOOKUP(A31,'Feature Raw Data'!$A$3:$E$4004,5,FALSE)</f>
        <v>Legacy</v>
      </c>
      <c r="G31" s="336" t="str">
        <f t="shared" si="0"/>
        <v>Yes</v>
      </c>
      <c r="H31" s="336" t="str">
        <f t="shared" si="1"/>
        <v>Yes</v>
      </c>
      <c r="I31" s="439">
        <f>SUMIF('Diags Raw Data'!$A$6:$A$3791,"*"&amp;$A31&amp;"*",'Diags Raw Data'!$K$6:$K$3791)</f>
        <v>2</v>
      </c>
      <c r="J31" s="441">
        <f>SUMIF('Diags Raw Data'!$A$6:$A$3791,"*"&amp;$A31&amp;"*",'Diags Raw Data'!$L$6:$L$3791)</f>
        <v>47</v>
      </c>
      <c r="K31" s="486" cm="1">
        <f t="array" ref="K31">IF(D31="",0, SUMPRODUCT(--(ISNUMBER(SEARCH($A31,'Diags Raw Data'!$A$6:$A$3791))),'Diags Raw Data'!$L$6:$L$3791,'Diags Raw Data'!$N$6:$N$3791)/J31)</f>
        <v>1</v>
      </c>
      <c r="L31" s="487" cm="1">
        <f t="array" ref="L31">IF(D31="",0, SUMPRODUCT(--(ISNUMBER(SEARCH($A31,'Diags Raw Data'!$A$6:$A$3791))),'Diags Raw Data'!$L$6:$L$3791,'Diags Raw Data'!$P$6:$P$3791)/J31)</f>
        <v>1</v>
      </c>
      <c r="M31" s="488" cm="1">
        <f t="array" ref="M31">SUMPRODUCT(--(ISNUMBER(SEARCH($A31,'Diags Raw Data'!$A$6:$A$3791))),--('Diags Raw Data'!$Q$6:$Q$3791&lt;&gt;"N/A"),'Diags Raw Data'!$R$6:$R$3791)</f>
        <v>12</v>
      </c>
      <c r="N31" s="489" cm="1">
        <f t="array" ref="N31">SUMPRODUCT(--(ISNUMBER(SEARCH($A31,'Diags Raw Data'!$A$6:$A$3791))),--('Diags Raw Data'!$Q$6:$Q$3791&lt;&gt;"N/A"),'Diags Raw Data'!$T$6:$T$3791)+SUMPRODUCT(--(ISNUMBER(SEARCH($A31,'Diags Raw Data'!$A$6:$A$3791))),--('Diags Raw Data'!$Q$6:$Q$3791&lt;&gt;"N/A"),'Diags Raw Data'!$U$6:$U$3791)</f>
        <v>12</v>
      </c>
      <c r="O31" s="490">
        <f t="shared" si="2"/>
        <v>1</v>
      </c>
      <c r="P31" s="491">
        <f>SUMIF('Diags Raw Data'!$A$6:$A$3791,"*"&amp;$A31&amp;"*",'Diags Raw Data'!$Z$6:$Z$3791)</f>
        <v>0</v>
      </c>
      <c r="Q31" s="492">
        <f>SUM(SUMIF('Diags Raw Data'!$A$6:$A$3791,"*"&amp;$A31&amp;"*",'Diags Raw Data'!$AA$6:$AA$3791),SUMIF('Diags Raw Data'!$A$6:$A$3791,"*"&amp;$A31&amp;"*",'Diags Raw Data'!$AB$6:$AB$3791))</f>
        <v>0</v>
      </c>
      <c r="R31" s="493">
        <f t="shared" si="3"/>
        <v>0</v>
      </c>
      <c r="S31" s="493">
        <f t="shared" si="4"/>
        <v>0</v>
      </c>
      <c r="T31" s="494">
        <f t="shared" si="5"/>
        <v>0</v>
      </c>
      <c r="U31" s="442" t="s">
        <v>1136</v>
      </c>
      <c r="V31" s="182"/>
    </row>
    <row r="32" spans="1:22" ht="29.1">
      <c r="A32" s="584" t="s">
        <v>363</v>
      </c>
      <c r="B32" s="438" t="str">
        <f>VLOOKUP(A32,'Feature Raw Data'!$A$3:$B$4004,2,FALSE)</f>
        <v>DCN4.026 - Immediate Flip</v>
      </c>
      <c r="C32" s="439" t="str">
        <f>VLOOKUP(A32,'Feature Raw Data'!$A$3:$C$4004,3,FALSE)</f>
        <v>P2</v>
      </c>
      <c r="D32" s="440" t="str" cm="1">
        <f t="array" ref="D32">_xlfn.TEXTJOIN("",TRUE,IF(ISNUMBER(SEARCH($A32,'Diags Raw Data'!$A$6:$A$3791)),CONCATENATE('Diags Raw Data'!$H$6:$H$3791,", "),""))</f>
        <v xml:space="preserve">DCHB005, DCHB006, DCHB008, DCHB021, </v>
      </c>
      <c r="E32" s="336" t="e">
        <f>VLOOKUP(A32,'Diags Raw Data'!$A$6:$D$3791,4,FALSE)</f>
        <v>#N/A</v>
      </c>
      <c r="F32" s="336" t="str">
        <f>VLOOKUP(A32,'Feature Raw Data'!$A$3:$E$4004,5,FALSE)</f>
        <v>Legacy</v>
      </c>
      <c r="G32" s="336" t="str">
        <f t="shared" si="0"/>
        <v>Yes</v>
      </c>
      <c r="H32" s="336" t="str">
        <f t="shared" si="1"/>
        <v>Yes</v>
      </c>
      <c r="I32" s="439">
        <f>SUMIF('Diags Raw Data'!$A$6:$A$3791,"*"&amp;$A32&amp;"*",'Diags Raw Data'!$K$6:$K$3791)</f>
        <v>4</v>
      </c>
      <c r="J32" s="441">
        <f>SUMIF('Diags Raw Data'!$A$6:$A$3791,"*"&amp;$A32&amp;"*",'Diags Raw Data'!$L$6:$L$3791)</f>
        <v>49</v>
      </c>
      <c r="K32" s="486" cm="1">
        <f t="array" ref="K32">IF(D32="",0, SUMPRODUCT(--(ISNUMBER(SEARCH($A32,'Diags Raw Data'!$A$6:$A$3791))),'Diags Raw Data'!$L$6:$L$3791,'Diags Raw Data'!$N$6:$N$3791)/J32)</f>
        <v>1</v>
      </c>
      <c r="L32" s="487" cm="1">
        <f t="array" ref="L32">IF(D32="",0, SUMPRODUCT(--(ISNUMBER(SEARCH($A32,'Diags Raw Data'!$A$6:$A$3791))),'Diags Raw Data'!$L$6:$L$3791,'Diags Raw Data'!$P$6:$P$3791)/J32)</f>
        <v>1</v>
      </c>
      <c r="M32" s="488" cm="1">
        <f t="array" ref="M32">SUMPRODUCT(--(ISNUMBER(SEARCH($A32,'Diags Raw Data'!$A$6:$A$3791))),--('Diags Raw Data'!$Q$6:$Q$3791&lt;&gt;"N/A"),'Diags Raw Data'!$R$6:$R$3791)</f>
        <v>46</v>
      </c>
      <c r="N32" s="489" cm="1">
        <f t="array" ref="N32">SUMPRODUCT(--(ISNUMBER(SEARCH($A32,'Diags Raw Data'!$A$6:$A$3791))),--('Diags Raw Data'!$Q$6:$Q$3791&lt;&gt;"N/A"),'Diags Raw Data'!$T$6:$T$3791)+SUMPRODUCT(--(ISNUMBER(SEARCH($A32,'Diags Raw Data'!$A$6:$A$3791))),--('Diags Raw Data'!$Q$6:$Q$3791&lt;&gt;"N/A"),'Diags Raw Data'!$U$6:$U$3791)</f>
        <v>44</v>
      </c>
      <c r="O32" s="490">
        <f t="shared" si="2"/>
        <v>0.95652173913043481</v>
      </c>
      <c r="P32" s="491">
        <f>SUMIF('Diags Raw Data'!$A$6:$A$3791,"*"&amp;$A32&amp;"*",'Diags Raw Data'!$Z$6:$Z$3791)</f>
        <v>0</v>
      </c>
      <c r="Q32" s="492">
        <f>SUM(SUMIF('Diags Raw Data'!$A$6:$A$3791,"*"&amp;$A32&amp;"*",'Diags Raw Data'!$AA$6:$AA$3791),SUMIF('Diags Raw Data'!$A$6:$A$3791,"*"&amp;$A32&amp;"*",'Diags Raw Data'!$AB$6:$AB$3791))</f>
        <v>0</v>
      </c>
      <c r="R32" s="493">
        <f t="shared" si="3"/>
        <v>0</v>
      </c>
      <c r="S32" s="493">
        <f t="shared" si="4"/>
        <v>0</v>
      </c>
      <c r="T32" s="494">
        <f t="shared" si="5"/>
        <v>0</v>
      </c>
      <c r="U32" s="442" t="s">
        <v>1133</v>
      </c>
      <c r="V32" s="182"/>
    </row>
    <row r="33" spans="1:22" ht="29.1">
      <c r="A33" s="584" t="s">
        <v>365</v>
      </c>
      <c r="B33" s="438" t="str">
        <f>VLOOKUP(A33,'Feature Raw Data'!$A$3:$B$4004,2,FALSE)</f>
        <v>DCN4.027 - Vsync Flip</v>
      </c>
      <c r="C33" s="439" t="str">
        <f>VLOOKUP(A33,'Feature Raw Data'!$A$3:$C$4004,3,FALSE)</f>
        <v>P2</v>
      </c>
      <c r="D33" s="440" t="str" cm="1">
        <f t="array" ref="D33">_xlfn.TEXTJOIN("",TRUE,IF(ISNUMBER(SEARCH($A33,'Diags Raw Data'!$A$6:$A$3791)),CONCATENATE('Diags Raw Data'!$H$6:$H$3791,", "),""))</f>
        <v xml:space="preserve">DCHB005, DCHB006, DCHB008, DCHB021, </v>
      </c>
      <c r="E33" s="336" t="e">
        <f>VLOOKUP(A33,'Diags Raw Data'!$A$6:$D$3791,4,FALSE)</f>
        <v>#N/A</v>
      </c>
      <c r="F33" s="336" t="str">
        <f>VLOOKUP(A33,'Feature Raw Data'!$A$3:$E$4004,5,FALSE)</f>
        <v>Legacy</v>
      </c>
      <c r="G33" s="336" t="str">
        <f t="shared" si="0"/>
        <v>Yes</v>
      </c>
      <c r="H33" s="336" t="str">
        <f t="shared" si="1"/>
        <v>Yes</v>
      </c>
      <c r="I33" s="439">
        <f>SUMIF('Diags Raw Data'!$A$6:$A$3791,"*"&amp;$A33&amp;"*",'Diags Raw Data'!$K$6:$K$3791)</f>
        <v>4</v>
      </c>
      <c r="J33" s="441">
        <f>SUMIF('Diags Raw Data'!$A$6:$A$3791,"*"&amp;$A33&amp;"*",'Diags Raw Data'!$L$6:$L$3791)</f>
        <v>49</v>
      </c>
      <c r="K33" s="486" cm="1">
        <f t="array" ref="K33">IF(D33="",0, SUMPRODUCT(--(ISNUMBER(SEARCH($A33,'Diags Raw Data'!$A$6:$A$3791))),'Diags Raw Data'!$L$6:$L$3791,'Diags Raw Data'!$N$6:$N$3791)/J33)</f>
        <v>1</v>
      </c>
      <c r="L33" s="487" cm="1">
        <f t="array" ref="L33">IF(D33="",0, SUMPRODUCT(--(ISNUMBER(SEARCH($A33,'Diags Raw Data'!$A$6:$A$3791))),'Diags Raw Data'!$L$6:$L$3791,'Diags Raw Data'!$P$6:$P$3791)/J33)</f>
        <v>1</v>
      </c>
      <c r="M33" s="488" cm="1">
        <f t="array" ref="M33">SUMPRODUCT(--(ISNUMBER(SEARCH($A33,'Diags Raw Data'!$A$6:$A$3791))),--('Diags Raw Data'!$Q$6:$Q$3791&lt;&gt;"N/A"),'Diags Raw Data'!$R$6:$R$3791)</f>
        <v>46</v>
      </c>
      <c r="N33" s="489" cm="1">
        <f t="array" ref="N33">SUMPRODUCT(--(ISNUMBER(SEARCH($A33,'Diags Raw Data'!$A$6:$A$3791))),--('Diags Raw Data'!$Q$6:$Q$3791&lt;&gt;"N/A"),'Diags Raw Data'!$T$6:$T$3791)+SUMPRODUCT(--(ISNUMBER(SEARCH($A33,'Diags Raw Data'!$A$6:$A$3791))),--('Diags Raw Data'!$Q$6:$Q$3791&lt;&gt;"N/A"),'Diags Raw Data'!$U$6:$U$3791)</f>
        <v>44</v>
      </c>
      <c r="O33" s="490">
        <f t="shared" si="2"/>
        <v>0.95652173913043481</v>
      </c>
      <c r="P33" s="491">
        <f>SUMIF('Diags Raw Data'!$A$6:$A$3791,"*"&amp;$A33&amp;"*",'Diags Raw Data'!$Z$6:$Z$3791)</f>
        <v>0</v>
      </c>
      <c r="Q33" s="492">
        <f>SUM(SUMIF('Diags Raw Data'!$A$6:$A$3791,"*"&amp;$A33&amp;"*",'Diags Raw Data'!$AA$6:$AA$3791),SUMIF('Diags Raw Data'!$A$6:$A$3791,"*"&amp;$A33&amp;"*",'Diags Raw Data'!$AB$6:$AB$3791))</f>
        <v>0</v>
      </c>
      <c r="R33" s="493">
        <f t="shared" si="3"/>
        <v>0</v>
      </c>
      <c r="S33" s="493">
        <f t="shared" si="4"/>
        <v>0</v>
      </c>
      <c r="T33" s="494">
        <f t="shared" si="5"/>
        <v>0</v>
      </c>
      <c r="U33" s="442" t="s">
        <v>1133</v>
      </c>
      <c r="V33" s="182"/>
    </row>
    <row r="34" spans="1:22" ht="29.1">
      <c r="A34" s="584" t="s">
        <v>367</v>
      </c>
      <c r="B34" s="438" t="str">
        <f>VLOOKUP(A34,'Feature Raw Data'!$A$3:$B$4004,2,FALSE)</f>
        <v>DCN4.028 - GSL</v>
      </c>
      <c r="C34" s="439" t="str">
        <f>VLOOKUP(A34,'Feature Raw Data'!$A$3:$C$4004,3,FALSE)</f>
        <v>P2</v>
      </c>
      <c r="D34" s="440" t="str" cm="1">
        <f t="array" ref="D34">_xlfn.TEXTJOIN("",TRUE,IF(ISNUMBER(SEARCH($A34,'Diags Raw Data'!$A$6:$A$3791)),CONCATENATE('Diags Raw Data'!$H$6:$H$3791,", "),""))</f>
        <v xml:space="preserve">DCHB007, DCHB033, OTG017, </v>
      </c>
      <c r="E34" s="336" t="str">
        <f>VLOOKUP(A34,'Diags Raw Data'!$A$6:$D$3791,4,FALSE)</f>
        <v>DCHB</v>
      </c>
      <c r="F34" s="336" t="str">
        <f>VLOOKUP(A34,'Feature Raw Data'!$A$3:$E$4004,5,FALSE)</f>
        <v>Legacy</v>
      </c>
      <c r="G34" s="336" t="str">
        <f t="shared" si="0"/>
        <v>Yes</v>
      </c>
      <c r="H34" s="336" t="str">
        <f t="shared" si="1"/>
        <v>Yes</v>
      </c>
      <c r="I34" s="439">
        <f>SUMIF('Diags Raw Data'!$A$6:$A$3791,"*"&amp;$A34&amp;"*",'Diags Raw Data'!$K$6:$K$3791)</f>
        <v>3</v>
      </c>
      <c r="J34" s="441">
        <f>SUMIF('Diags Raw Data'!$A$6:$A$3791,"*"&amp;$A34&amp;"*",'Diags Raw Data'!$L$6:$L$3791)</f>
        <v>15</v>
      </c>
      <c r="K34" s="486" cm="1">
        <f t="array" ref="K34">IF(D34="",0, SUMPRODUCT(--(ISNUMBER(SEARCH($A34,'Diags Raw Data'!$A$6:$A$3791))),'Diags Raw Data'!$L$6:$L$3791,'Diags Raw Data'!$N$6:$N$3791)/J34)</f>
        <v>1</v>
      </c>
      <c r="L34" s="487" cm="1">
        <f t="array" ref="L34">IF(D34="",0, SUMPRODUCT(--(ISNUMBER(SEARCH($A34,'Diags Raw Data'!$A$6:$A$3791))),'Diags Raw Data'!$L$6:$L$3791,'Diags Raw Data'!$P$6:$P$3791)/J34)</f>
        <v>1</v>
      </c>
      <c r="M34" s="488" cm="1">
        <f t="array" ref="M34">SUMPRODUCT(--(ISNUMBER(SEARCH($A34,'Diags Raw Data'!$A$6:$A$3791))),--('Diags Raw Data'!$Q$6:$Q$3791&lt;&gt;"N/A"),'Diags Raw Data'!$R$6:$R$3791)</f>
        <v>13</v>
      </c>
      <c r="N34" s="489" cm="1">
        <f t="array" ref="N34">SUMPRODUCT(--(ISNUMBER(SEARCH($A34,'Diags Raw Data'!$A$6:$A$3791))),--('Diags Raw Data'!$Q$6:$Q$3791&lt;&gt;"N/A"),'Diags Raw Data'!$T$6:$T$3791)+SUMPRODUCT(--(ISNUMBER(SEARCH($A34,'Diags Raw Data'!$A$6:$A$3791))),--('Diags Raw Data'!$Q$6:$Q$3791&lt;&gt;"N/A"),'Diags Raw Data'!$U$6:$U$3791)</f>
        <v>11</v>
      </c>
      <c r="O34" s="490">
        <f t="shared" si="2"/>
        <v>0.84615384615384615</v>
      </c>
      <c r="P34" s="491">
        <f>SUMIF('Diags Raw Data'!$A$6:$A$3791,"*"&amp;$A34&amp;"*",'Diags Raw Data'!$Z$6:$Z$3791)</f>
        <v>0</v>
      </c>
      <c r="Q34" s="492">
        <f>SUM(SUMIF('Diags Raw Data'!$A$6:$A$3791,"*"&amp;$A34&amp;"*",'Diags Raw Data'!$AA$6:$AA$3791),SUMIF('Diags Raw Data'!$A$6:$A$3791,"*"&amp;$A34&amp;"*",'Diags Raw Data'!$AB$6:$AB$3791))</f>
        <v>0</v>
      </c>
      <c r="R34" s="493">
        <f t="shared" si="3"/>
        <v>0</v>
      </c>
      <c r="S34" s="493">
        <f t="shared" si="4"/>
        <v>0</v>
      </c>
      <c r="T34" s="494">
        <f t="shared" si="5"/>
        <v>0</v>
      </c>
      <c r="U34" s="442" t="s">
        <v>1134</v>
      </c>
      <c r="V34" s="182"/>
    </row>
    <row r="35" spans="1:22">
      <c r="A35" s="584" t="s">
        <v>369</v>
      </c>
      <c r="B35" s="438" t="str">
        <f>VLOOKUP(A35,'Feature Raw Data'!$A$3:$B$4004,2,FALSE)</f>
        <v>DCN4.029 - Linear and 2d-tiled surface</v>
      </c>
      <c r="C35" s="439" t="str">
        <f>VLOOKUP(A35,'Feature Raw Data'!$A$3:$C$4004,3,FALSE)</f>
        <v>P2</v>
      </c>
      <c r="D35" s="440" t="str" cm="1">
        <f t="array" ref="D35">_xlfn.TEXTJOIN("",TRUE,IF(ISNUMBER(SEARCH($A35,'Diags Raw Data'!$A$6:$A$3791)),CONCATENATE('Diags Raw Data'!$H$6:$H$3791,", "),""))</f>
        <v xml:space="preserve">DCHB014, </v>
      </c>
      <c r="E35" s="336" t="e">
        <f>VLOOKUP(A35,'Diags Raw Data'!$A$6:$D$3791,4,FALSE)</f>
        <v>#N/A</v>
      </c>
      <c r="F35" s="336" t="str">
        <f>VLOOKUP(A35,'Feature Raw Data'!$A$3:$E$4004,5,FALSE)</f>
        <v>Legacy</v>
      </c>
      <c r="G35" s="336" t="str">
        <f t="shared" si="0"/>
        <v>Yes</v>
      </c>
      <c r="H35" s="336" t="str">
        <f t="shared" si="1"/>
        <v>Yes</v>
      </c>
      <c r="I35" s="439">
        <f>SUMIF('Diags Raw Data'!$A$6:$A$3791,"*"&amp;$A35&amp;"*",'Diags Raw Data'!$K$6:$K$3791)</f>
        <v>1</v>
      </c>
      <c r="J35" s="441">
        <f>SUMIF('Diags Raw Data'!$A$6:$A$3791,"*"&amp;$A35&amp;"*",'Diags Raw Data'!$L$6:$L$3791)</f>
        <v>259</v>
      </c>
      <c r="K35" s="486" cm="1">
        <f t="array" ref="K35">IF(D35="",0, SUMPRODUCT(--(ISNUMBER(SEARCH($A35,'Diags Raw Data'!$A$6:$A$3791))),'Diags Raw Data'!$L$6:$L$3791,'Diags Raw Data'!$N$6:$N$3791)/J35)</f>
        <v>1</v>
      </c>
      <c r="L35" s="487" cm="1">
        <f t="array" ref="L35">IF(D35="",0, SUMPRODUCT(--(ISNUMBER(SEARCH($A35,'Diags Raw Data'!$A$6:$A$3791))),'Diags Raw Data'!$L$6:$L$3791,'Diags Raw Data'!$P$6:$P$3791)/J35)</f>
        <v>1</v>
      </c>
      <c r="M35" s="488" cm="1">
        <f t="array" ref="M35">SUMPRODUCT(--(ISNUMBER(SEARCH($A35,'Diags Raw Data'!$A$6:$A$3791))),--('Diags Raw Data'!$Q$6:$Q$3791&lt;&gt;"N/A"),'Diags Raw Data'!$R$6:$R$3791)</f>
        <v>259</v>
      </c>
      <c r="N35" s="489" cm="1">
        <f t="array" ref="N35">SUMPRODUCT(--(ISNUMBER(SEARCH($A35,'Diags Raw Data'!$A$6:$A$3791))),--('Diags Raw Data'!$Q$6:$Q$3791&lt;&gt;"N/A"),'Diags Raw Data'!$T$6:$T$3791)+SUMPRODUCT(--(ISNUMBER(SEARCH($A35,'Diags Raw Data'!$A$6:$A$3791))),--('Diags Raw Data'!$Q$6:$Q$3791&lt;&gt;"N/A"),'Diags Raw Data'!$U$6:$U$3791)</f>
        <v>259</v>
      </c>
      <c r="O35" s="490">
        <f t="shared" si="2"/>
        <v>1</v>
      </c>
      <c r="P35" s="491">
        <f>SUMIF('Diags Raw Data'!$A$6:$A$3791,"*"&amp;$A35&amp;"*",'Diags Raw Data'!$Z$6:$Z$3791)</f>
        <v>0</v>
      </c>
      <c r="Q35" s="492">
        <f>SUM(SUMIF('Diags Raw Data'!$A$6:$A$3791,"*"&amp;$A35&amp;"*",'Diags Raw Data'!$AA$6:$AA$3791),SUMIF('Diags Raw Data'!$A$6:$A$3791,"*"&amp;$A35&amp;"*",'Diags Raw Data'!$AB$6:$AB$3791))</f>
        <v>0</v>
      </c>
      <c r="R35" s="493">
        <f t="shared" si="3"/>
        <v>0</v>
      </c>
      <c r="S35" s="493">
        <f t="shared" si="4"/>
        <v>0</v>
      </c>
      <c r="T35" s="494">
        <f t="shared" si="5"/>
        <v>0</v>
      </c>
      <c r="U35" s="442" t="s">
        <v>1136</v>
      </c>
      <c r="V35" s="182"/>
    </row>
    <row r="36" spans="1:22">
      <c r="A36" s="584" t="s">
        <v>371</v>
      </c>
      <c r="B36" s="438" t="str">
        <f>VLOOKUP(A36,'Feature Raw Data'!$A$3:$B$4004,2,FALSE)</f>
        <v>DCN4.030 - GFX Tiling</v>
      </c>
      <c r="C36" s="439" t="str">
        <f>VLOOKUP(A36,'Feature Raw Data'!$A$3:$C$4004,3,FALSE)</f>
        <v>P2</v>
      </c>
      <c r="D36" s="440" t="str" cm="1">
        <f t="array" ref="D36">_xlfn.TEXTJOIN("",TRUE,IF(ISNUMBER(SEARCH($A36,'Diags Raw Data'!$A$6:$A$3791)),CONCATENATE('Diags Raw Data'!$H$6:$H$3791,", "),""))</f>
        <v xml:space="preserve">DCHB014, </v>
      </c>
      <c r="E36" s="336" t="e">
        <f>VLOOKUP(A36,'Diags Raw Data'!$A$6:$D$3791,4,FALSE)</f>
        <v>#N/A</v>
      </c>
      <c r="F36" s="336" t="str">
        <f>VLOOKUP(A36,'Feature Raw Data'!$A$3:$E$4004,5,FALSE)</f>
        <v>Delta</v>
      </c>
      <c r="G36" s="336" t="str">
        <f t="shared" ref="G36:G95" si="6">IF(D36="","No","Yes")</f>
        <v>Yes</v>
      </c>
      <c r="H36" s="336" t="str">
        <f t="shared" ref="H36:H95" si="7">IF(D36="","No","Yes")</f>
        <v>Yes</v>
      </c>
      <c r="I36" s="439">
        <f>SUMIF('Diags Raw Data'!$A$6:$A$3791,"*"&amp;$A36&amp;"*",'Diags Raw Data'!$K$6:$K$3791)</f>
        <v>1</v>
      </c>
      <c r="J36" s="441">
        <f>SUMIF('Diags Raw Data'!$A$6:$A$3791,"*"&amp;$A36&amp;"*",'Diags Raw Data'!$L$6:$L$3791)</f>
        <v>259</v>
      </c>
      <c r="K36" s="486" cm="1">
        <f t="array" ref="K36">IF(D36="",0, SUMPRODUCT(--(ISNUMBER(SEARCH($A36,'Diags Raw Data'!$A$6:$A$3791))),'Diags Raw Data'!$L$6:$L$3791,'Diags Raw Data'!$N$6:$N$3791)/J36)</f>
        <v>1</v>
      </c>
      <c r="L36" s="487" cm="1">
        <f t="array" ref="L36">IF(D36="",0, SUMPRODUCT(--(ISNUMBER(SEARCH($A36,'Diags Raw Data'!$A$6:$A$3791))),'Diags Raw Data'!$L$6:$L$3791,'Diags Raw Data'!$P$6:$P$3791)/J36)</f>
        <v>1</v>
      </c>
      <c r="M36" s="488" cm="1">
        <f t="array" ref="M36">SUMPRODUCT(--(ISNUMBER(SEARCH($A36,'Diags Raw Data'!$A$6:$A$3791))),--('Diags Raw Data'!$Q$6:$Q$3791&lt;&gt;"N/A"),'Diags Raw Data'!$R$6:$R$3791)</f>
        <v>259</v>
      </c>
      <c r="N36" s="489" cm="1">
        <f t="array" ref="N36">SUMPRODUCT(--(ISNUMBER(SEARCH($A36,'Diags Raw Data'!$A$6:$A$3791))),--('Diags Raw Data'!$Q$6:$Q$3791&lt;&gt;"N/A"),'Diags Raw Data'!$T$6:$T$3791)+SUMPRODUCT(--(ISNUMBER(SEARCH($A36,'Diags Raw Data'!$A$6:$A$3791))),--('Diags Raw Data'!$Q$6:$Q$3791&lt;&gt;"N/A"),'Diags Raw Data'!$U$6:$U$3791)</f>
        <v>259</v>
      </c>
      <c r="O36" s="490">
        <f t="shared" ref="O36:O95" si="8">IF((M36=0),0,N36/M36)</f>
        <v>1</v>
      </c>
      <c r="P36" s="491">
        <f>SUMIF('Diags Raw Data'!$A$6:$A$3791,"*"&amp;$A36&amp;"*",'Diags Raw Data'!$Z$6:$Z$3791)</f>
        <v>0</v>
      </c>
      <c r="Q36" s="492">
        <f>SUM(SUMIF('Diags Raw Data'!$A$6:$A$3791,"*"&amp;$A36&amp;"*",'Diags Raw Data'!$AA$6:$AA$3791),SUMIF('Diags Raw Data'!$A$6:$A$3791,"*"&amp;$A36&amp;"*",'Diags Raw Data'!$AB$6:$AB$3791))</f>
        <v>0</v>
      </c>
      <c r="R36" s="493">
        <f t="shared" ref="R36:R95" si="9">IF((J36=0),0,P36/J36)</f>
        <v>0</v>
      </c>
      <c r="S36" s="493">
        <f t="shared" ref="S36:S95" si="10">IF((P36=0),0,Q36/P36)</f>
        <v>0</v>
      </c>
      <c r="T36" s="494">
        <f t="shared" ref="T36:T95" si="11">R36*S36</f>
        <v>0</v>
      </c>
      <c r="U36" s="442" t="s">
        <v>1136</v>
      </c>
      <c r="V36" s="182"/>
    </row>
    <row r="37" spans="1:22">
      <c r="A37" s="584" t="s">
        <v>373</v>
      </c>
      <c r="B37" s="438" t="str">
        <f>VLOOKUP(A37,'Feature Raw Data'!$A$3:$B$4004,2,FALSE)</f>
        <v>DCN4.031 - TMZ</v>
      </c>
      <c r="C37" s="439" t="str">
        <f>VLOOKUP(A37,'Feature Raw Data'!$A$3:$C$4004,3,FALSE)</f>
        <v>P2</v>
      </c>
      <c r="D37" s="440" t="str" cm="1">
        <f t="array" ref="D37">_xlfn.TEXTJOIN("",TRUE,IF(ISNUMBER(SEARCH($A37,'Diags Raw Data'!$A$6:$A$3791)),CONCATENATE('Diags Raw Data'!$H$6:$H$3791,", "),""))</f>
        <v xml:space="preserve">DCHB030, </v>
      </c>
      <c r="E37" s="336" t="str">
        <f>VLOOKUP(A37,'Diags Raw Data'!$A$6:$D$3791,4,FALSE)</f>
        <v>DCHB</v>
      </c>
      <c r="F37" s="336" t="str">
        <f>VLOOKUP(A37,'Feature Raw Data'!$A$3:$E$4004,5,FALSE)</f>
        <v>Delta</v>
      </c>
      <c r="G37" s="336" t="str">
        <f t="shared" si="6"/>
        <v>Yes</v>
      </c>
      <c r="H37" s="336" t="str">
        <f t="shared" si="7"/>
        <v>Yes</v>
      </c>
      <c r="I37" s="439">
        <f>SUMIF('Diags Raw Data'!$A$6:$A$3791,"*"&amp;$A37&amp;"*",'Diags Raw Data'!$K$6:$K$3791)</f>
        <v>1</v>
      </c>
      <c r="J37" s="441">
        <f>SUMIF('Diags Raw Data'!$A$6:$A$3791,"*"&amp;$A37&amp;"*",'Diags Raw Data'!$L$6:$L$3791)</f>
        <v>5</v>
      </c>
      <c r="K37" s="486" cm="1">
        <f t="array" ref="K37">IF(D37="",0, SUMPRODUCT(--(ISNUMBER(SEARCH($A37,'Diags Raw Data'!$A$6:$A$3791))),'Diags Raw Data'!$L$6:$L$3791,'Diags Raw Data'!$N$6:$N$3791)/J37)</f>
        <v>1</v>
      </c>
      <c r="L37" s="487" cm="1">
        <f t="array" ref="L37">IF(D37="",0, SUMPRODUCT(--(ISNUMBER(SEARCH($A37,'Diags Raw Data'!$A$6:$A$3791))),'Diags Raw Data'!$L$6:$L$3791,'Diags Raw Data'!$P$6:$P$3791)/J37)</f>
        <v>1</v>
      </c>
      <c r="M37" s="488" cm="1">
        <f t="array" ref="M37">SUMPRODUCT(--(ISNUMBER(SEARCH($A37,'Diags Raw Data'!$A$6:$A$3791))),--('Diags Raw Data'!$Q$6:$Q$3791&lt;&gt;"N/A"),'Diags Raw Data'!$R$6:$R$3791)</f>
        <v>0</v>
      </c>
      <c r="N37" s="489" cm="1">
        <f t="array" ref="N37">SUMPRODUCT(--(ISNUMBER(SEARCH($A37,'Diags Raw Data'!$A$6:$A$3791))),--('Diags Raw Data'!$Q$6:$Q$3791&lt;&gt;"N/A"),'Diags Raw Data'!$T$6:$T$3791)+SUMPRODUCT(--(ISNUMBER(SEARCH($A37,'Diags Raw Data'!$A$6:$A$3791))),--('Diags Raw Data'!$Q$6:$Q$3791&lt;&gt;"N/A"),'Diags Raw Data'!$U$6:$U$3791)</f>
        <v>0</v>
      </c>
      <c r="O37" s="490">
        <f t="shared" si="8"/>
        <v>0</v>
      </c>
      <c r="P37" s="491">
        <f>SUMIF('Diags Raw Data'!$A$6:$A$3791,"*"&amp;$A37&amp;"*",'Diags Raw Data'!$Z$6:$Z$3791)</f>
        <v>0</v>
      </c>
      <c r="Q37" s="492">
        <f>SUM(SUMIF('Diags Raw Data'!$A$6:$A$3791,"*"&amp;$A37&amp;"*",'Diags Raw Data'!$AA$6:$AA$3791),SUMIF('Diags Raw Data'!$A$6:$A$3791,"*"&amp;$A37&amp;"*",'Diags Raw Data'!$AB$6:$AB$3791))</f>
        <v>0</v>
      </c>
      <c r="R37" s="493">
        <f t="shared" si="9"/>
        <v>0</v>
      </c>
      <c r="S37" s="493">
        <f t="shared" si="10"/>
        <v>0</v>
      </c>
      <c r="T37" s="494">
        <f t="shared" si="11"/>
        <v>0</v>
      </c>
      <c r="U37" s="442" t="s">
        <v>1134</v>
      </c>
      <c r="V37" s="182"/>
    </row>
    <row r="38" spans="1:22" ht="29.1">
      <c r="A38" s="584" t="s">
        <v>375</v>
      </c>
      <c r="B38" s="438" t="str">
        <f>VLOOKUP(A38,'Feature Raw Data'!$A$3:$B$4004,2,FALSE)</f>
        <v xml:space="preserve">DCN4.032 - Cab
</v>
      </c>
      <c r="C38" s="439" t="str">
        <f>VLOOKUP(A38,'Feature Raw Data'!$A$3:$C$4004,3,FALSE)</f>
        <v>P2</v>
      </c>
      <c r="D38" s="440" t="str" cm="1">
        <f t="array" ref="D38">_xlfn.TEXTJOIN("",TRUE,IF(ISNUMBER(SEARCH($A38,'Diags Raw Data'!$A$6:$A$3791)),CONCATENATE('Diags Raw Data'!$H$6:$H$3791,", "),""))</f>
        <v xml:space="preserve">DCHB017, DCHB023, </v>
      </c>
      <c r="E38" s="336" t="str">
        <f>VLOOKUP(A38,'Diags Raw Data'!$A$6:$D$3791,4,FALSE)</f>
        <v>DCHB</v>
      </c>
      <c r="F38" s="336" t="str">
        <f>VLOOKUP(A38,'Feature Raw Data'!$A$3:$E$4004,5,FALSE)</f>
        <v>Legacy</v>
      </c>
      <c r="G38" s="336" t="str">
        <f t="shared" si="6"/>
        <v>Yes</v>
      </c>
      <c r="H38" s="336" t="str">
        <f t="shared" si="7"/>
        <v>Yes</v>
      </c>
      <c r="I38" s="439">
        <f>SUMIF('Diags Raw Data'!$A$6:$A$3791,"*"&amp;$A38&amp;"*",'Diags Raw Data'!$K$6:$K$3791)</f>
        <v>10</v>
      </c>
      <c r="J38" s="441">
        <f>SUMIF('Diags Raw Data'!$A$6:$A$3791,"*"&amp;$A38&amp;"*",'Diags Raw Data'!$L$6:$L$3791)</f>
        <v>2</v>
      </c>
      <c r="K38" s="486" cm="1">
        <f t="array" ref="K38">IF(D38="",0, SUMPRODUCT(--(ISNUMBER(SEARCH($A38,'Diags Raw Data'!$A$6:$A$3791))),'Diags Raw Data'!$L$6:$L$3791,'Diags Raw Data'!$N$6:$N$3791)/J38)</f>
        <v>1</v>
      </c>
      <c r="L38" s="487" cm="1">
        <f t="array" ref="L38">IF(D38="",0, SUMPRODUCT(--(ISNUMBER(SEARCH($A38,'Diags Raw Data'!$A$6:$A$3791))),'Diags Raw Data'!$L$6:$L$3791,'Diags Raw Data'!$P$6:$P$3791)/J38)</f>
        <v>1</v>
      </c>
      <c r="M38" s="488" cm="1">
        <f t="array" ref="M38">SUMPRODUCT(--(ISNUMBER(SEARCH($A38,'Diags Raw Data'!$A$6:$A$3791))),--('Diags Raw Data'!$Q$6:$Q$3791&lt;&gt;"N/A"),'Diags Raw Data'!$R$6:$R$3791)</f>
        <v>2</v>
      </c>
      <c r="N38" s="489" cm="1">
        <f t="array" ref="N38">SUMPRODUCT(--(ISNUMBER(SEARCH($A38,'Diags Raw Data'!$A$6:$A$3791))),--('Diags Raw Data'!$Q$6:$Q$3791&lt;&gt;"N/A"),'Diags Raw Data'!$T$6:$T$3791)+SUMPRODUCT(--(ISNUMBER(SEARCH($A38,'Diags Raw Data'!$A$6:$A$3791))),--('Diags Raw Data'!$Q$6:$Q$3791&lt;&gt;"N/A"),'Diags Raw Data'!$U$6:$U$3791)</f>
        <v>1</v>
      </c>
      <c r="O38" s="490">
        <f t="shared" si="8"/>
        <v>0.5</v>
      </c>
      <c r="P38" s="491">
        <f>SUMIF('Diags Raw Data'!$A$6:$A$3791,"*"&amp;$A38&amp;"*",'Diags Raw Data'!$Z$6:$Z$3791)</f>
        <v>0</v>
      </c>
      <c r="Q38" s="492">
        <f>SUM(SUMIF('Diags Raw Data'!$A$6:$A$3791,"*"&amp;$A38&amp;"*",'Diags Raw Data'!$AA$6:$AA$3791),SUMIF('Diags Raw Data'!$A$6:$A$3791,"*"&amp;$A38&amp;"*",'Diags Raw Data'!$AB$6:$AB$3791))</f>
        <v>0</v>
      </c>
      <c r="R38" s="493">
        <f t="shared" si="9"/>
        <v>0</v>
      </c>
      <c r="S38" s="493">
        <f t="shared" si="10"/>
        <v>0</v>
      </c>
      <c r="T38" s="494">
        <f t="shared" si="11"/>
        <v>0</v>
      </c>
      <c r="U38" s="442" t="s">
        <v>1129</v>
      </c>
      <c r="V38" s="182"/>
    </row>
    <row r="39" spans="1:22" ht="29.1" hidden="1">
      <c r="A39" s="584" t="s">
        <v>377</v>
      </c>
      <c r="B39" s="438" t="str">
        <f>VLOOKUP(A39,'Feature Raw Data'!$A$3:$B$4004,2,FALSE)</f>
        <v xml:space="preserve">DCN4.033 - Cab tmz
</v>
      </c>
      <c r="C39" s="439" t="str">
        <f>VLOOKUP(A39,'Feature Raw Data'!$A$3:$C$4004,3,FALSE)</f>
        <v>P2</v>
      </c>
      <c r="D39" s="440" t="str" cm="1">
        <f t="array" ref="D39">_xlfn.TEXTJOIN("",TRUE,IF(ISNUMBER(SEARCH($A39,'Diags Raw Data'!$A$6:$A$3791)),CONCATENATE('Diags Raw Data'!$H$6:$H$3791,", "),""))</f>
        <v/>
      </c>
      <c r="E39" s="336" t="e">
        <f>VLOOKUP(A39,'Diags Raw Data'!$A$6:$D$3791,4,FALSE)</f>
        <v>#N/A</v>
      </c>
      <c r="F39" s="336" t="str">
        <f>VLOOKUP(A39,'Feature Raw Data'!$A$3:$E$4004,5,FALSE)</f>
        <v>Legacy</v>
      </c>
      <c r="G39" s="336" t="str">
        <f t="shared" si="6"/>
        <v>No</v>
      </c>
      <c r="H39" s="336" t="str">
        <f t="shared" si="7"/>
        <v>No</v>
      </c>
      <c r="I39" s="439">
        <f>SUMIF('Diags Raw Data'!$A$6:$A$3791,"*"&amp;$A39&amp;"*",'Diags Raw Data'!$K$6:$K$3791)</f>
        <v>0</v>
      </c>
      <c r="J39" s="441">
        <f>SUMIF('Diags Raw Data'!$A$6:$A$3791,"*"&amp;$A39&amp;"*",'Diags Raw Data'!$L$6:$L$3791)</f>
        <v>0</v>
      </c>
      <c r="K39" s="486" cm="1">
        <f t="array" ref="K39">IF(D39="",0, SUMPRODUCT(--(ISNUMBER(SEARCH($A39,'Diags Raw Data'!$A$6:$A$3791))),'Diags Raw Data'!$L$6:$L$3791,'Diags Raw Data'!$N$6:$N$3791)/J39)</f>
        <v>0</v>
      </c>
      <c r="L39" s="487" cm="1">
        <f t="array" ref="L39">IF(D39="",0, SUMPRODUCT(--(ISNUMBER(SEARCH($A39,'Diags Raw Data'!$A$6:$A$3791))),'Diags Raw Data'!$L$6:$L$3791,'Diags Raw Data'!$P$6:$P$3791)/J39)</f>
        <v>0</v>
      </c>
      <c r="M39" s="488" cm="1">
        <f t="array" ref="M39">SUMPRODUCT(--(ISNUMBER(SEARCH($A39,'Diags Raw Data'!$A$6:$A$3791))),--('Diags Raw Data'!$Q$6:$Q$3791&lt;&gt;"N/A"),'Diags Raw Data'!$R$6:$R$3791)</f>
        <v>0</v>
      </c>
      <c r="N39" s="489" cm="1">
        <f t="array" ref="N39">SUMPRODUCT(--(ISNUMBER(SEARCH($A39,'Diags Raw Data'!$A$6:$A$3791))),--('Diags Raw Data'!$Q$6:$Q$3791&lt;&gt;"N/A"),'Diags Raw Data'!$T$6:$T$3791)+SUMPRODUCT(--(ISNUMBER(SEARCH($A39,'Diags Raw Data'!$A$6:$A$3791))),--('Diags Raw Data'!$Q$6:$Q$3791&lt;&gt;"N/A"),'Diags Raw Data'!$U$6:$U$3791)</f>
        <v>0</v>
      </c>
      <c r="O39" s="490">
        <f t="shared" si="8"/>
        <v>0</v>
      </c>
      <c r="P39" s="491">
        <f>SUMIF('Diags Raw Data'!$A$6:$A$3791,"*"&amp;$A39&amp;"*",'Diags Raw Data'!$Z$6:$Z$3791)</f>
        <v>0</v>
      </c>
      <c r="Q39" s="492">
        <f>SUM(SUMIF('Diags Raw Data'!$A$6:$A$3791,"*"&amp;$A39&amp;"*",'Diags Raw Data'!$AA$6:$AA$3791),SUMIF('Diags Raw Data'!$A$6:$A$3791,"*"&amp;$A39&amp;"*",'Diags Raw Data'!$AB$6:$AB$3791))</f>
        <v>0</v>
      </c>
      <c r="R39" s="493">
        <f t="shared" si="9"/>
        <v>0</v>
      </c>
      <c r="S39" s="493">
        <f t="shared" si="10"/>
        <v>0</v>
      </c>
      <c r="T39" s="494">
        <f t="shared" si="11"/>
        <v>0</v>
      </c>
      <c r="U39" s="442" t="s">
        <v>1129</v>
      </c>
      <c r="V39" s="182"/>
    </row>
    <row r="40" spans="1:22" ht="29.1">
      <c r="A40" s="584" t="s">
        <v>379</v>
      </c>
      <c r="B40" s="438" t="str">
        <f>VLOOKUP(A40,'Feature Raw Data'!$A$3:$B$4004,2,FALSE)</f>
        <v xml:space="preserve">DCN4.034 - Uclk pstate change using mall
</v>
      </c>
      <c r="C40" s="439" t="str">
        <f>VLOOKUP(A40,'Feature Raw Data'!$A$3:$C$4004,3,FALSE)</f>
        <v>P2</v>
      </c>
      <c r="D40" s="440" t="str" cm="1">
        <f t="array" ref="D40">_xlfn.TEXTJOIN("",TRUE,IF(ISNUMBER(SEARCH($A40,'Diags Raw Data'!$A$6:$A$3791)),CONCATENATE('Diags Raw Data'!$H$6:$H$3791,", "),""))</f>
        <v xml:space="preserve">DCHB017, </v>
      </c>
      <c r="E40" s="336" t="e">
        <f>VLOOKUP(A40,'Diags Raw Data'!$A$6:$D$3791,4,FALSE)</f>
        <v>#N/A</v>
      </c>
      <c r="F40" s="336" t="str">
        <f>VLOOKUP(A40,'Feature Raw Data'!$A$3:$E$4004,5,FALSE)</f>
        <v>Delta</v>
      </c>
      <c r="G40" s="336" t="str">
        <f t="shared" si="6"/>
        <v>Yes</v>
      </c>
      <c r="H40" s="336" t="str">
        <f t="shared" si="7"/>
        <v>Yes</v>
      </c>
      <c r="I40" s="439">
        <f>SUMIF('Diags Raw Data'!$A$6:$A$3791,"*"&amp;$A40&amp;"*",'Diags Raw Data'!$K$6:$K$3791)</f>
        <v>5</v>
      </c>
      <c r="J40" s="441">
        <f>SUMIF('Diags Raw Data'!$A$6:$A$3791,"*"&amp;$A40&amp;"*",'Diags Raw Data'!$L$6:$L$3791)</f>
        <v>1</v>
      </c>
      <c r="K40" s="486" cm="1">
        <f t="array" ref="K40">IF(D40="",0, SUMPRODUCT(--(ISNUMBER(SEARCH($A40,'Diags Raw Data'!$A$6:$A$3791))),'Diags Raw Data'!$L$6:$L$3791,'Diags Raw Data'!$N$6:$N$3791)/J40)</f>
        <v>1</v>
      </c>
      <c r="L40" s="487" cm="1">
        <f t="array" ref="L40">IF(D40="",0, SUMPRODUCT(--(ISNUMBER(SEARCH($A40,'Diags Raw Data'!$A$6:$A$3791))),'Diags Raw Data'!$L$6:$L$3791,'Diags Raw Data'!$P$6:$P$3791)/J40)</f>
        <v>1</v>
      </c>
      <c r="M40" s="488" cm="1">
        <f t="array" ref="M40">SUMPRODUCT(--(ISNUMBER(SEARCH($A40,'Diags Raw Data'!$A$6:$A$3791))),--('Diags Raw Data'!$Q$6:$Q$3791&lt;&gt;"N/A"),'Diags Raw Data'!$R$6:$R$3791)</f>
        <v>1</v>
      </c>
      <c r="N40" s="489" cm="1">
        <f t="array" ref="N40">SUMPRODUCT(--(ISNUMBER(SEARCH($A40,'Diags Raw Data'!$A$6:$A$3791))),--('Diags Raw Data'!$Q$6:$Q$3791&lt;&gt;"N/A"),'Diags Raw Data'!$T$6:$T$3791)+SUMPRODUCT(--(ISNUMBER(SEARCH($A40,'Diags Raw Data'!$A$6:$A$3791))),--('Diags Raw Data'!$Q$6:$Q$3791&lt;&gt;"N/A"),'Diags Raw Data'!$U$6:$U$3791)</f>
        <v>0</v>
      </c>
      <c r="O40" s="490">
        <f t="shared" si="8"/>
        <v>0</v>
      </c>
      <c r="P40" s="491">
        <f>SUMIF('Diags Raw Data'!$A$6:$A$3791,"*"&amp;$A40&amp;"*",'Diags Raw Data'!$Z$6:$Z$3791)</f>
        <v>0</v>
      </c>
      <c r="Q40" s="492">
        <f>SUM(SUMIF('Diags Raw Data'!$A$6:$A$3791,"*"&amp;$A40&amp;"*",'Diags Raw Data'!$AA$6:$AA$3791),SUMIF('Diags Raw Data'!$A$6:$A$3791,"*"&amp;$A40&amp;"*",'Diags Raw Data'!$AB$6:$AB$3791))</f>
        <v>0</v>
      </c>
      <c r="R40" s="493">
        <f t="shared" si="9"/>
        <v>0</v>
      </c>
      <c r="S40" s="493">
        <f t="shared" si="10"/>
        <v>0</v>
      </c>
      <c r="T40" s="494">
        <f t="shared" si="11"/>
        <v>0</v>
      </c>
      <c r="U40" s="442" t="s">
        <v>1131</v>
      </c>
      <c r="V40" s="182"/>
    </row>
    <row r="41" spans="1:22">
      <c r="A41" s="584" t="s">
        <v>381</v>
      </c>
      <c r="B41" s="438" t="str">
        <f>VLOOKUP(A41,'Feature Raw Data'!$A$3:$B$4004,2,FALSE)</f>
        <v>DCN4.035 - Pstate change with drr</v>
      </c>
      <c r="C41" s="439" t="str">
        <f>VLOOKUP(A41,'Feature Raw Data'!$A$3:$C$4004,3,FALSE)</f>
        <v>P2</v>
      </c>
      <c r="D41" s="440" t="str" cm="1">
        <f t="array" ref="D41">_xlfn.TEXTJOIN("",TRUE,IF(ISNUMBER(SEARCH($A41,'Diags Raw Data'!$A$6:$A$3791)),CONCATENATE('Diags Raw Data'!$H$6:$H$3791,", "),""))</f>
        <v xml:space="preserve">OTG014, </v>
      </c>
      <c r="E41" s="336" t="e">
        <f>VLOOKUP(A41,'Diags Raw Data'!$A$6:$D$3791,4,FALSE)</f>
        <v>#N/A</v>
      </c>
      <c r="F41" s="336" t="str">
        <f>VLOOKUP(A41,'Feature Raw Data'!$A$3:$E$4004,5,FALSE)</f>
        <v>New</v>
      </c>
      <c r="G41" s="336" t="str">
        <f t="shared" si="6"/>
        <v>Yes</v>
      </c>
      <c r="H41" s="336" t="str">
        <f t="shared" si="7"/>
        <v>Yes</v>
      </c>
      <c r="I41" s="439">
        <f>SUMIF('Diags Raw Data'!$A$6:$A$3791,"*"&amp;$A41&amp;"*",'Diags Raw Data'!$K$6:$K$3791)</f>
        <v>1</v>
      </c>
      <c r="J41" s="441">
        <f>SUMIF('Diags Raw Data'!$A$6:$A$3791,"*"&amp;$A41&amp;"*",'Diags Raw Data'!$L$6:$L$3791)</f>
        <v>199</v>
      </c>
      <c r="K41" s="486" cm="1">
        <f t="array" ref="K41">IF(D41="",0, SUMPRODUCT(--(ISNUMBER(SEARCH($A41,'Diags Raw Data'!$A$6:$A$3791))),'Diags Raw Data'!$L$6:$L$3791,'Diags Raw Data'!$N$6:$N$3791)/J41)</f>
        <v>1</v>
      </c>
      <c r="L41" s="487" cm="1">
        <f t="array" ref="L41">IF(D41="",0, SUMPRODUCT(--(ISNUMBER(SEARCH($A41,'Diags Raw Data'!$A$6:$A$3791))),'Diags Raw Data'!$L$6:$L$3791,'Diags Raw Data'!$P$6:$P$3791)/J41)</f>
        <v>1</v>
      </c>
      <c r="M41" s="488" cm="1">
        <f t="array" ref="M41">SUMPRODUCT(--(ISNUMBER(SEARCH($A41,'Diags Raw Data'!$A$6:$A$3791))),--('Diags Raw Data'!$Q$6:$Q$3791&lt;&gt;"N/A"),'Diags Raw Data'!$R$6:$R$3791)</f>
        <v>199</v>
      </c>
      <c r="N41" s="489" cm="1">
        <f t="array" ref="N41">SUMPRODUCT(--(ISNUMBER(SEARCH($A41,'Diags Raw Data'!$A$6:$A$3791))),--('Diags Raw Data'!$Q$6:$Q$3791&lt;&gt;"N/A"),'Diags Raw Data'!$T$6:$T$3791)+SUMPRODUCT(--(ISNUMBER(SEARCH($A41,'Diags Raw Data'!$A$6:$A$3791))),--('Diags Raw Data'!$Q$6:$Q$3791&lt;&gt;"N/A"),'Diags Raw Data'!$U$6:$U$3791)</f>
        <v>199</v>
      </c>
      <c r="O41" s="490">
        <f t="shared" si="8"/>
        <v>1</v>
      </c>
      <c r="P41" s="491">
        <f>SUMIF('Diags Raw Data'!$A$6:$A$3791,"*"&amp;$A41&amp;"*",'Diags Raw Data'!$Z$6:$Z$3791)</f>
        <v>0</v>
      </c>
      <c r="Q41" s="492">
        <f>SUM(SUMIF('Diags Raw Data'!$A$6:$A$3791,"*"&amp;$A41&amp;"*",'Diags Raw Data'!$AA$6:$AA$3791),SUMIF('Diags Raw Data'!$A$6:$A$3791,"*"&amp;$A41&amp;"*",'Diags Raw Data'!$AB$6:$AB$3791))</f>
        <v>0</v>
      </c>
      <c r="R41" s="493">
        <f t="shared" si="9"/>
        <v>0</v>
      </c>
      <c r="S41" s="493">
        <f t="shared" si="10"/>
        <v>0</v>
      </c>
      <c r="T41" s="494">
        <f t="shared" si="11"/>
        <v>0</v>
      </c>
      <c r="U41" s="442" t="s">
        <v>1131</v>
      </c>
      <c r="V41" s="182"/>
    </row>
    <row r="42" spans="1:22">
      <c r="A42" s="584" t="s">
        <v>383</v>
      </c>
      <c r="B42" s="438" t="str">
        <f>VLOOKUP(A42,'Feature Raw Data'!$A$3:$B$4004,2,FALSE)</f>
        <v>DCN4.036 - Sub-viewport mall prefetch</v>
      </c>
      <c r="C42" s="439" t="str">
        <f>VLOOKUP(A42,'Feature Raw Data'!$A$3:$C$4004,3,FALSE)</f>
        <v>P2</v>
      </c>
      <c r="D42" s="440" t="str" cm="1">
        <f t="array" ref="D42">_xlfn.TEXTJOIN("",TRUE,IF(ISNUMBER(SEARCH($A42,'Diags Raw Data'!$A$6:$A$3791)),CONCATENATE('Diags Raw Data'!$H$6:$H$3791,", "),""))</f>
        <v xml:space="preserve">DCHB017, </v>
      </c>
      <c r="E42" s="336" t="e">
        <f>VLOOKUP(A42,'Diags Raw Data'!$A$6:$D$3791,4,FALSE)</f>
        <v>#N/A</v>
      </c>
      <c r="F42" s="336" t="str">
        <f>VLOOKUP(A42,'Feature Raw Data'!$A$3:$E$4004,5,FALSE)</f>
        <v>New</v>
      </c>
      <c r="G42" s="336" t="str">
        <f t="shared" si="6"/>
        <v>Yes</v>
      </c>
      <c r="H42" s="336" t="str">
        <f t="shared" si="7"/>
        <v>Yes</v>
      </c>
      <c r="I42" s="439">
        <f>SUMIF('Diags Raw Data'!$A$6:$A$3791,"*"&amp;$A42&amp;"*",'Diags Raw Data'!$K$6:$K$3791)</f>
        <v>5</v>
      </c>
      <c r="J42" s="441">
        <f>SUMIF('Diags Raw Data'!$A$6:$A$3791,"*"&amp;$A42&amp;"*",'Diags Raw Data'!$L$6:$L$3791)</f>
        <v>1</v>
      </c>
      <c r="K42" s="486" cm="1">
        <f t="array" ref="K42">IF(D42="",0, SUMPRODUCT(--(ISNUMBER(SEARCH($A42,'Diags Raw Data'!$A$6:$A$3791))),'Diags Raw Data'!$L$6:$L$3791,'Diags Raw Data'!$N$6:$N$3791)/J42)</f>
        <v>1</v>
      </c>
      <c r="L42" s="487" cm="1">
        <f t="array" ref="L42">IF(D42="",0, SUMPRODUCT(--(ISNUMBER(SEARCH($A42,'Diags Raw Data'!$A$6:$A$3791))),'Diags Raw Data'!$L$6:$L$3791,'Diags Raw Data'!$P$6:$P$3791)/J42)</f>
        <v>1</v>
      </c>
      <c r="M42" s="488" cm="1">
        <f t="array" ref="M42">SUMPRODUCT(--(ISNUMBER(SEARCH($A42,'Diags Raw Data'!$A$6:$A$3791))),--('Diags Raw Data'!$Q$6:$Q$3791&lt;&gt;"N/A"),'Diags Raw Data'!$R$6:$R$3791)</f>
        <v>1</v>
      </c>
      <c r="N42" s="489" cm="1">
        <f t="array" ref="N42">SUMPRODUCT(--(ISNUMBER(SEARCH($A42,'Diags Raw Data'!$A$6:$A$3791))),--('Diags Raw Data'!$Q$6:$Q$3791&lt;&gt;"N/A"),'Diags Raw Data'!$T$6:$T$3791)+SUMPRODUCT(--(ISNUMBER(SEARCH($A42,'Diags Raw Data'!$A$6:$A$3791))),--('Diags Raw Data'!$Q$6:$Q$3791&lt;&gt;"N/A"),'Diags Raw Data'!$U$6:$U$3791)</f>
        <v>0</v>
      </c>
      <c r="O42" s="490">
        <f t="shared" si="8"/>
        <v>0</v>
      </c>
      <c r="P42" s="491">
        <f>SUMIF('Diags Raw Data'!$A$6:$A$3791,"*"&amp;$A42&amp;"*",'Diags Raw Data'!$Z$6:$Z$3791)</f>
        <v>0</v>
      </c>
      <c r="Q42" s="492">
        <f>SUM(SUMIF('Diags Raw Data'!$A$6:$A$3791,"*"&amp;$A42&amp;"*",'Diags Raw Data'!$AA$6:$AA$3791),SUMIF('Diags Raw Data'!$A$6:$A$3791,"*"&amp;$A42&amp;"*",'Diags Raw Data'!$AB$6:$AB$3791))</f>
        <v>0</v>
      </c>
      <c r="R42" s="493">
        <f t="shared" si="9"/>
        <v>0</v>
      </c>
      <c r="S42" s="493">
        <f t="shared" si="10"/>
        <v>0</v>
      </c>
      <c r="T42" s="494">
        <f t="shared" si="11"/>
        <v>0</v>
      </c>
      <c r="U42" s="442" t="s">
        <v>1131</v>
      </c>
      <c r="V42" s="182"/>
    </row>
    <row r="43" spans="1:22" ht="29.1" hidden="1">
      <c r="A43" s="584" t="s">
        <v>385</v>
      </c>
      <c r="B43" s="438" t="str">
        <f>VLOOKUP(A43,'Feature Raw Data'!$A$3:$B$4004,2,FALSE)</f>
        <v>DCN4.037 - Sdp prefetch with ack and no data return</v>
      </c>
      <c r="C43" s="439" t="str">
        <f>VLOOKUP(A43,'Feature Raw Data'!$A$3:$C$4004,3,FALSE)</f>
        <v>P2</v>
      </c>
      <c r="D43" s="440" t="str" cm="1">
        <f t="array" ref="D43">_xlfn.TEXTJOIN("",TRUE,IF(ISNUMBER(SEARCH($A43,'Diags Raw Data'!$A$6:$A$3791)),CONCATENATE('Diags Raw Data'!$H$6:$H$3791,", "),""))</f>
        <v/>
      </c>
      <c r="E43" s="336" t="e">
        <f>VLOOKUP(A43,'Diags Raw Data'!$A$6:$D$3791,4,FALSE)</f>
        <v>#N/A</v>
      </c>
      <c r="F43" s="336" t="str">
        <f>VLOOKUP(A43,'Feature Raw Data'!$A$3:$E$4004,5,FALSE)</f>
        <v>New</v>
      </c>
      <c r="G43" s="336" t="str">
        <f t="shared" si="6"/>
        <v>No</v>
      </c>
      <c r="H43" s="336" t="str">
        <f t="shared" si="7"/>
        <v>No</v>
      </c>
      <c r="I43" s="439">
        <f>SUMIF('Diags Raw Data'!$A$6:$A$3791,"*"&amp;$A43&amp;"*",'Diags Raw Data'!$K$6:$K$3791)</f>
        <v>0</v>
      </c>
      <c r="J43" s="441">
        <f>SUMIF('Diags Raw Data'!$A$6:$A$3791,"*"&amp;$A43&amp;"*",'Diags Raw Data'!$L$6:$L$3791)</f>
        <v>0</v>
      </c>
      <c r="K43" s="486" cm="1">
        <f t="array" ref="K43">IF(D43="",0, SUMPRODUCT(--(ISNUMBER(SEARCH($A43,'Diags Raw Data'!$A$6:$A$3791))),'Diags Raw Data'!$L$6:$L$3791,'Diags Raw Data'!$N$6:$N$3791)/J43)</f>
        <v>0</v>
      </c>
      <c r="L43" s="487" cm="1">
        <f t="array" ref="L43">IF(D43="",0, SUMPRODUCT(--(ISNUMBER(SEARCH($A43,'Diags Raw Data'!$A$6:$A$3791))),'Diags Raw Data'!$L$6:$L$3791,'Diags Raw Data'!$P$6:$P$3791)/J43)</f>
        <v>0</v>
      </c>
      <c r="M43" s="488" cm="1">
        <f t="array" ref="M43">SUMPRODUCT(--(ISNUMBER(SEARCH($A43,'Diags Raw Data'!$A$6:$A$3791))),--('Diags Raw Data'!$Q$6:$Q$3791&lt;&gt;"N/A"),'Diags Raw Data'!$R$6:$R$3791)</f>
        <v>0</v>
      </c>
      <c r="N43" s="489" cm="1">
        <f t="array" ref="N43">SUMPRODUCT(--(ISNUMBER(SEARCH($A43,'Diags Raw Data'!$A$6:$A$3791))),--('Diags Raw Data'!$Q$6:$Q$3791&lt;&gt;"N/A"),'Diags Raw Data'!$T$6:$T$3791)+SUMPRODUCT(--(ISNUMBER(SEARCH($A43,'Diags Raw Data'!$A$6:$A$3791))),--('Diags Raw Data'!$Q$6:$Q$3791&lt;&gt;"N/A"),'Diags Raw Data'!$U$6:$U$3791)</f>
        <v>0</v>
      </c>
      <c r="O43" s="490">
        <f t="shared" si="8"/>
        <v>0</v>
      </c>
      <c r="P43" s="491">
        <f>SUMIF('Diags Raw Data'!$A$6:$A$3791,"*"&amp;$A43&amp;"*",'Diags Raw Data'!$Z$6:$Z$3791)</f>
        <v>0</v>
      </c>
      <c r="Q43" s="492">
        <f>SUM(SUMIF('Diags Raw Data'!$A$6:$A$3791,"*"&amp;$A43&amp;"*",'Diags Raw Data'!$AA$6:$AA$3791),SUMIF('Diags Raw Data'!$A$6:$A$3791,"*"&amp;$A43&amp;"*",'Diags Raw Data'!$AB$6:$AB$3791))</f>
        <v>0</v>
      </c>
      <c r="R43" s="493">
        <f t="shared" si="9"/>
        <v>0</v>
      </c>
      <c r="S43" s="493">
        <f t="shared" si="10"/>
        <v>0</v>
      </c>
      <c r="T43" s="494">
        <f t="shared" si="11"/>
        <v>0</v>
      </c>
      <c r="U43" s="442" t="s">
        <v>1131</v>
      </c>
      <c r="V43" s="182"/>
    </row>
    <row r="44" spans="1:22" ht="29.1">
      <c r="A44" s="584" t="s">
        <v>387</v>
      </c>
      <c r="B44" s="438" t="str">
        <f>VLOOKUP(A44,'Feature Raw Data'!$A$3:$B$4004,2,FALSE)</f>
        <v>DCN4.038 - Stereoscopic display</v>
      </c>
      <c r="C44" s="439" t="str">
        <f>VLOOKUP(A44,'Feature Raw Data'!$A$3:$C$4004,3,FALSE)</f>
        <v>P2</v>
      </c>
      <c r="D44" s="440" t="str" cm="1">
        <f t="array" ref="D44">_xlfn.TEXTJOIN("",TRUE,IF(ISNUMBER(SEARCH($A44,'Diags Raw Data'!$A$6:$A$3791)),CONCATENATE('Diags Raw Data'!$H$6:$H$3791,", "),""))</f>
        <v xml:space="preserve">OTG009, DIO220, DIO365, DIO366, </v>
      </c>
      <c r="E44" s="336" t="str">
        <f>VLOOKUP(A44,'Diags Raw Data'!$A$6:$D$3791,4,FALSE)</f>
        <v>OTG</v>
      </c>
      <c r="F44" s="336" t="str">
        <f>VLOOKUP(A44,'Feature Raw Data'!$A$3:$E$4004,5,FALSE)</f>
        <v>Legacy</v>
      </c>
      <c r="G44" s="336" t="str">
        <f t="shared" si="6"/>
        <v>Yes</v>
      </c>
      <c r="H44" s="336" t="str">
        <f t="shared" si="7"/>
        <v>Yes</v>
      </c>
      <c r="I44" s="439">
        <f>SUMIF('Diags Raw Data'!$A$6:$A$3791,"*"&amp;$A44&amp;"*",'Diags Raw Data'!$K$6:$K$3791)</f>
        <v>4</v>
      </c>
      <c r="J44" s="441">
        <f>SUMIF('Diags Raw Data'!$A$6:$A$3791,"*"&amp;$A44&amp;"*",'Diags Raw Data'!$L$6:$L$3791)</f>
        <v>233</v>
      </c>
      <c r="K44" s="486" cm="1">
        <f t="array" ref="K44">IF(D44="",0, SUMPRODUCT(--(ISNUMBER(SEARCH($A44,'Diags Raw Data'!$A$6:$A$3791))),'Diags Raw Data'!$L$6:$L$3791,'Diags Raw Data'!$N$6:$N$3791)/J44)</f>
        <v>1</v>
      </c>
      <c r="L44" s="487" cm="1">
        <f t="array" ref="L44">IF(D44="",0, SUMPRODUCT(--(ISNUMBER(SEARCH($A44,'Diags Raw Data'!$A$6:$A$3791))),'Diags Raw Data'!$L$6:$L$3791,'Diags Raw Data'!$P$6:$P$3791)/J44)</f>
        <v>1</v>
      </c>
      <c r="M44" s="488" cm="1">
        <f t="array" ref="M44">SUMPRODUCT(--(ISNUMBER(SEARCH($A44,'Diags Raw Data'!$A$6:$A$3791))),--('Diags Raw Data'!$Q$6:$Q$3791&lt;&gt;"N/A"),'Diags Raw Data'!$R$6:$R$3791)</f>
        <v>233</v>
      </c>
      <c r="N44" s="489" cm="1">
        <f t="array" ref="N44">SUMPRODUCT(--(ISNUMBER(SEARCH($A44,'Diags Raw Data'!$A$6:$A$3791))),--('Diags Raw Data'!$Q$6:$Q$3791&lt;&gt;"N/A"),'Diags Raw Data'!$T$6:$T$3791)+SUMPRODUCT(--(ISNUMBER(SEARCH($A44,'Diags Raw Data'!$A$6:$A$3791))),--('Diags Raw Data'!$Q$6:$Q$3791&lt;&gt;"N/A"),'Diags Raw Data'!$U$6:$U$3791)</f>
        <v>233</v>
      </c>
      <c r="O44" s="490">
        <f t="shared" si="8"/>
        <v>1</v>
      </c>
      <c r="P44" s="491">
        <f>SUMIF('Diags Raw Data'!$A$6:$A$3791,"*"&amp;$A44&amp;"*",'Diags Raw Data'!$Z$6:$Z$3791)</f>
        <v>0</v>
      </c>
      <c r="Q44" s="492">
        <f>SUM(SUMIF('Diags Raw Data'!$A$6:$A$3791,"*"&amp;$A44&amp;"*",'Diags Raw Data'!$AA$6:$AA$3791),SUMIF('Diags Raw Data'!$A$6:$A$3791,"*"&amp;$A44&amp;"*",'Diags Raw Data'!$AB$6:$AB$3791))</f>
        <v>0</v>
      </c>
      <c r="R44" s="493">
        <f t="shared" si="9"/>
        <v>0</v>
      </c>
      <c r="S44" s="493">
        <f t="shared" si="10"/>
        <v>0</v>
      </c>
      <c r="T44" s="494">
        <f t="shared" si="11"/>
        <v>0</v>
      </c>
      <c r="U44" s="442" t="s">
        <v>1137</v>
      </c>
      <c r="V44" s="182"/>
    </row>
    <row r="45" spans="1:22" ht="29.1">
      <c r="A45" s="584" t="s">
        <v>389</v>
      </c>
      <c r="B45" s="438" t="str">
        <f>VLOOKUP(A45,'Feature Raw Data'!$A$3:$B$4004,2,FALSE)</f>
        <v>DCN4.039 - VM support</v>
      </c>
      <c r="C45" s="439" t="str">
        <f>VLOOKUP(A45,'Feature Raw Data'!$A$3:$C$4004,3,FALSE)</f>
        <v>P2</v>
      </c>
      <c r="D45" s="440" t="str" cm="1">
        <f t="array" ref="D45">_xlfn.TEXTJOIN("",TRUE,IF(ISNUMBER(SEARCH($A45,'Diags Raw Data'!$A$6:$A$3791)),CONCATENATE('Diags Raw Data'!$H$6:$H$3791,", "),""))</f>
        <v xml:space="preserve">DCHB005, DCHB021, DCHB022, </v>
      </c>
      <c r="E45" s="336" t="e">
        <f>VLOOKUP(A45,'Diags Raw Data'!$A$6:$D$3791,4,FALSE)</f>
        <v>#N/A</v>
      </c>
      <c r="F45" s="336" t="str">
        <f>VLOOKUP(A45,'Feature Raw Data'!$A$3:$E$4004,5,FALSE)</f>
        <v>Delta</v>
      </c>
      <c r="G45" s="336" t="str">
        <f t="shared" si="6"/>
        <v>Yes</v>
      </c>
      <c r="H45" s="336" t="str">
        <f t="shared" si="7"/>
        <v>Yes</v>
      </c>
      <c r="I45" s="439">
        <f>SUMIF('Diags Raw Data'!$A$6:$A$3791,"*"&amp;$A45&amp;"*",'Diags Raw Data'!$K$6:$K$3791)</f>
        <v>3</v>
      </c>
      <c r="J45" s="441">
        <f>SUMIF('Diags Raw Data'!$A$6:$A$3791,"*"&amp;$A45&amp;"*",'Diags Raw Data'!$L$6:$L$3791)</f>
        <v>49</v>
      </c>
      <c r="K45" s="486" cm="1">
        <f t="array" ref="K45">IF(D45="",0, SUMPRODUCT(--(ISNUMBER(SEARCH($A45,'Diags Raw Data'!$A$6:$A$3791))),'Diags Raw Data'!$L$6:$L$3791,'Diags Raw Data'!$N$6:$N$3791)/J45)</f>
        <v>1</v>
      </c>
      <c r="L45" s="487" cm="1">
        <f t="array" ref="L45">IF(D45="",0, SUMPRODUCT(--(ISNUMBER(SEARCH($A45,'Diags Raw Data'!$A$6:$A$3791))),'Diags Raw Data'!$L$6:$L$3791,'Diags Raw Data'!$P$6:$P$3791)/J45)</f>
        <v>1</v>
      </c>
      <c r="M45" s="488" cm="1">
        <f t="array" ref="M45">SUMPRODUCT(--(ISNUMBER(SEARCH($A45,'Diags Raw Data'!$A$6:$A$3791))),--('Diags Raw Data'!$Q$6:$Q$3791&lt;&gt;"N/A"),'Diags Raw Data'!$R$6:$R$3791)</f>
        <v>49</v>
      </c>
      <c r="N45" s="489" cm="1">
        <f t="array" ref="N45">SUMPRODUCT(--(ISNUMBER(SEARCH($A45,'Diags Raw Data'!$A$6:$A$3791))),--('Diags Raw Data'!$Q$6:$Q$3791&lt;&gt;"N/A"),'Diags Raw Data'!$T$6:$T$3791)+SUMPRODUCT(--(ISNUMBER(SEARCH($A45,'Diags Raw Data'!$A$6:$A$3791))),--('Diags Raw Data'!$Q$6:$Q$3791&lt;&gt;"N/A"),'Diags Raw Data'!$U$6:$U$3791)</f>
        <v>29</v>
      </c>
      <c r="O45" s="490">
        <f t="shared" si="8"/>
        <v>0.59183673469387754</v>
      </c>
      <c r="P45" s="491">
        <f>SUMIF('Diags Raw Data'!$A$6:$A$3791,"*"&amp;$A45&amp;"*",'Diags Raw Data'!$Z$6:$Z$3791)</f>
        <v>0</v>
      </c>
      <c r="Q45" s="492">
        <f>SUM(SUMIF('Diags Raw Data'!$A$6:$A$3791,"*"&amp;$A45&amp;"*",'Diags Raw Data'!$AA$6:$AA$3791),SUMIF('Diags Raw Data'!$A$6:$A$3791,"*"&amp;$A45&amp;"*",'Diags Raw Data'!$AB$6:$AB$3791))</f>
        <v>0</v>
      </c>
      <c r="R45" s="493">
        <f t="shared" si="9"/>
        <v>0</v>
      </c>
      <c r="S45" s="493">
        <f t="shared" si="10"/>
        <v>0</v>
      </c>
      <c r="T45" s="494">
        <f t="shared" si="11"/>
        <v>0</v>
      </c>
      <c r="U45" s="442" t="s">
        <v>1130</v>
      </c>
      <c r="V45" s="182"/>
    </row>
    <row r="46" spans="1:22" ht="29.1">
      <c r="A46" s="584" t="s">
        <v>391</v>
      </c>
      <c r="B46" s="438" t="str">
        <f>VLOOKUP(A46,'Feature Raw Data'!$A$3:$B$4004,2,FALSE)</f>
        <v>DCN4.040 - Format Conversion</v>
      </c>
      <c r="C46" s="439" t="str">
        <f>VLOOKUP(A46,'Feature Raw Data'!$A$3:$C$4004,3,FALSE)</f>
        <v>P2</v>
      </c>
      <c r="D46" s="440" t="str" cm="1">
        <f t="array" ref="D46">_xlfn.TEXTJOIN("",TRUE,IF(ISNUMBER(SEARCH($A46,'Diags Raw Data'!$A$6:$A$3791)),CONCATENATE('Diags Raw Data'!$H$6:$H$3791,", "),""))</f>
        <v xml:space="preserve">DPP002, DPP024, DPP031, DPP042, </v>
      </c>
      <c r="E46" s="336" t="str">
        <f>VLOOKUP(A46,'Diags Raw Data'!$A$6:$D$3791,4,FALSE)</f>
        <v>DPP</v>
      </c>
      <c r="F46" s="336" t="str">
        <f>VLOOKUP(A46,'Feature Raw Data'!$A$3:$E$4004,5,FALSE)</f>
        <v>Legacy</v>
      </c>
      <c r="G46" s="336" t="str">
        <f t="shared" si="6"/>
        <v>Yes</v>
      </c>
      <c r="H46" s="336" t="str">
        <f t="shared" si="7"/>
        <v>Yes</v>
      </c>
      <c r="I46" s="439">
        <f>SUMIF('Diags Raw Data'!$A$6:$A$3791,"*"&amp;$A46&amp;"*",'Diags Raw Data'!$K$6:$K$3791)</f>
        <v>4</v>
      </c>
      <c r="J46" s="441">
        <f>SUMIF('Diags Raw Data'!$A$6:$A$3791,"*"&amp;$A46&amp;"*",'Diags Raw Data'!$L$6:$L$3791)</f>
        <v>13</v>
      </c>
      <c r="K46" s="486" cm="1">
        <f t="array" ref="K46">IF(D46="",0, SUMPRODUCT(--(ISNUMBER(SEARCH($A46,'Diags Raw Data'!$A$6:$A$3791))),'Diags Raw Data'!$L$6:$L$3791,'Diags Raw Data'!$N$6:$N$3791)/J46)</f>
        <v>1</v>
      </c>
      <c r="L46" s="487" cm="1">
        <f t="array" ref="L46">IF(D46="",0, SUMPRODUCT(--(ISNUMBER(SEARCH($A46,'Diags Raw Data'!$A$6:$A$3791))),'Diags Raw Data'!$L$6:$L$3791,'Diags Raw Data'!$P$6:$P$3791)/J46)</f>
        <v>1</v>
      </c>
      <c r="M46" s="488" cm="1">
        <f t="array" ref="M46">SUMPRODUCT(--(ISNUMBER(SEARCH($A46,'Diags Raw Data'!$A$6:$A$3791))),--('Diags Raw Data'!$Q$6:$Q$3791&lt;&gt;"N/A"),'Diags Raw Data'!$R$6:$R$3791)</f>
        <v>10</v>
      </c>
      <c r="N46" s="489" cm="1">
        <f t="array" ref="N46">SUMPRODUCT(--(ISNUMBER(SEARCH($A46,'Diags Raw Data'!$A$6:$A$3791))),--('Diags Raw Data'!$Q$6:$Q$3791&lt;&gt;"N/A"),'Diags Raw Data'!$T$6:$T$3791)+SUMPRODUCT(--(ISNUMBER(SEARCH($A46,'Diags Raw Data'!$A$6:$A$3791))),--('Diags Raw Data'!$Q$6:$Q$3791&lt;&gt;"N/A"),'Diags Raw Data'!$U$6:$U$3791)</f>
        <v>10</v>
      </c>
      <c r="O46" s="490">
        <f t="shared" si="8"/>
        <v>1</v>
      </c>
      <c r="P46" s="491">
        <f>SUMIF('Diags Raw Data'!$A$6:$A$3791,"*"&amp;$A46&amp;"*",'Diags Raw Data'!$Z$6:$Z$3791)</f>
        <v>0</v>
      </c>
      <c r="Q46" s="492">
        <f>SUM(SUMIF('Diags Raw Data'!$A$6:$A$3791,"*"&amp;$A46&amp;"*",'Diags Raw Data'!$AA$6:$AA$3791),SUMIF('Diags Raw Data'!$A$6:$A$3791,"*"&amp;$A46&amp;"*",'Diags Raw Data'!$AB$6:$AB$3791))</f>
        <v>0</v>
      </c>
      <c r="R46" s="493">
        <f t="shared" si="9"/>
        <v>0</v>
      </c>
      <c r="S46" s="493">
        <f t="shared" si="10"/>
        <v>0</v>
      </c>
      <c r="T46" s="494">
        <f t="shared" si="11"/>
        <v>0</v>
      </c>
      <c r="U46" s="442" t="s">
        <v>1136</v>
      </c>
      <c r="V46" s="182"/>
    </row>
    <row r="47" spans="1:22" ht="29.1">
      <c r="A47" s="584" t="s">
        <v>393</v>
      </c>
      <c r="B47" s="438" t="str">
        <f>VLOOKUP(A47,'Feature Raw Data'!$A$3:$B$4004,2,FALSE)</f>
        <v xml:space="preserve">DCN4.041 - Cursor </v>
      </c>
      <c r="C47" s="439" t="str">
        <f>VLOOKUP(A47,'Feature Raw Data'!$A$3:$C$4004,3,FALSE)</f>
        <v>P2</v>
      </c>
      <c r="D47" s="440" t="str" cm="1">
        <f t="array" ref="D47">_xlfn.TEXTJOIN("",TRUE,IF(ISNUMBER(SEARCH($A47,'Diags Raw Data'!$A$6:$A$3791)),CONCATENATE('Diags Raw Data'!$H$6:$H$3791,", "),""))</f>
        <v xml:space="preserve">DPP005, DPP045, </v>
      </c>
      <c r="E47" s="336" t="str">
        <f>VLOOKUP(A47,'Diags Raw Data'!$A$6:$D$3791,4,FALSE)</f>
        <v>DPP</v>
      </c>
      <c r="F47" s="336" t="str">
        <f>VLOOKUP(A47,'Feature Raw Data'!$A$3:$E$4004,5,FALSE)</f>
        <v>Legacy</v>
      </c>
      <c r="G47" s="336" t="str">
        <f t="shared" si="6"/>
        <v>Yes</v>
      </c>
      <c r="H47" s="336" t="str">
        <f t="shared" si="7"/>
        <v>Yes</v>
      </c>
      <c r="I47" s="439">
        <f>SUMIF('Diags Raw Data'!$A$6:$A$3791,"*"&amp;$A47&amp;"*",'Diags Raw Data'!$K$6:$K$3791)</f>
        <v>2</v>
      </c>
      <c r="J47" s="441">
        <f>SUMIF('Diags Raw Data'!$A$6:$A$3791,"*"&amp;$A47&amp;"*",'Diags Raw Data'!$L$6:$L$3791)</f>
        <v>7</v>
      </c>
      <c r="K47" s="486" cm="1">
        <f t="array" ref="K47">IF(D47="",0, SUMPRODUCT(--(ISNUMBER(SEARCH($A47,'Diags Raw Data'!$A$6:$A$3791))),'Diags Raw Data'!$L$6:$L$3791,'Diags Raw Data'!$N$6:$N$3791)/J47)</f>
        <v>1</v>
      </c>
      <c r="L47" s="487" cm="1">
        <f t="array" ref="L47">IF(D47="",0, SUMPRODUCT(--(ISNUMBER(SEARCH($A47,'Diags Raw Data'!$A$6:$A$3791))),'Diags Raw Data'!$L$6:$L$3791,'Diags Raw Data'!$P$6:$P$3791)/J47)</f>
        <v>1</v>
      </c>
      <c r="M47" s="488" cm="1">
        <f t="array" ref="M47">SUMPRODUCT(--(ISNUMBER(SEARCH($A47,'Diags Raw Data'!$A$6:$A$3791))),--('Diags Raw Data'!$Q$6:$Q$3791&lt;&gt;"N/A"),'Diags Raw Data'!$R$6:$R$3791)</f>
        <v>2</v>
      </c>
      <c r="N47" s="489" cm="1">
        <f t="array" ref="N47">SUMPRODUCT(--(ISNUMBER(SEARCH($A47,'Diags Raw Data'!$A$6:$A$3791))),--('Diags Raw Data'!$Q$6:$Q$3791&lt;&gt;"N/A"),'Diags Raw Data'!$T$6:$T$3791)+SUMPRODUCT(--(ISNUMBER(SEARCH($A47,'Diags Raw Data'!$A$6:$A$3791))),--('Diags Raw Data'!$Q$6:$Q$3791&lt;&gt;"N/A"),'Diags Raw Data'!$U$6:$U$3791)</f>
        <v>0</v>
      </c>
      <c r="O47" s="490">
        <f t="shared" si="8"/>
        <v>0</v>
      </c>
      <c r="P47" s="491">
        <f>SUMIF('Diags Raw Data'!$A$6:$A$3791,"*"&amp;$A47&amp;"*",'Diags Raw Data'!$Z$6:$Z$3791)</f>
        <v>0</v>
      </c>
      <c r="Q47" s="492">
        <f>SUM(SUMIF('Diags Raw Data'!$A$6:$A$3791,"*"&amp;$A47&amp;"*",'Diags Raw Data'!$AA$6:$AA$3791),SUMIF('Diags Raw Data'!$A$6:$A$3791,"*"&amp;$A47&amp;"*",'Diags Raw Data'!$AB$6:$AB$3791))</f>
        <v>0</v>
      </c>
      <c r="R47" s="493">
        <f t="shared" si="9"/>
        <v>0</v>
      </c>
      <c r="S47" s="493">
        <f t="shared" si="10"/>
        <v>0</v>
      </c>
      <c r="T47" s="494">
        <f t="shared" si="11"/>
        <v>0</v>
      </c>
      <c r="U47" s="442" t="s">
        <v>1133</v>
      </c>
      <c r="V47" s="182"/>
    </row>
    <row r="48" spans="1:22">
      <c r="A48" s="584" t="s">
        <v>395</v>
      </c>
      <c r="B48" s="438" t="str">
        <f>VLOOKUP(A48,'Feature Raw Data'!$A$3:$B$4004,2,FALSE)</f>
        <v>DCN4.042 - Win10 cursor support</v>
      </c>
      <c r="C48" s="439" t="str">
        <f>VLOOKUP(A48,'Feature Raw Data'!$A$3:$C$4004,3,FALSE)</f>
        <v>P2</v>
      </c>
      <c r="D48" s="440" t="str" cm="1">
        <f t="array" ref="D48">_xlfn.TEXTJOIN("",TRUE,IF(ISNUMBER(SEARCH($A48,'Diags Raw Data'!$A$6:$A$3791)),CONCATENATE('Diags Raw Data'!$H$6:$H$3791,", "),""))</f>
        <v xml:space="preserve">DPP055, </v>
      </c>
      <c r="E48" s="336" t="str">
        <f>VLOOKUP(A48,'Diags Raw Data'!$A$6:$D$3791,4,FALSE)</f>
        <v>DPP</v>
      </c>
      <c r="F48" s="336" t="str">
        <f>VLOOKUP(A48,'Feature Raw Data'!$A$3:$E$4004,5,FALSE)</f>
        <v>New</v>
      </c>
      <c r="G48" s="336" t="str">
        <f t="shared" si="6"/>
        <v>Yes</v>
      </c>
      <c r="H48" s="336" t="str">
        <f t="shared" si="7"/>
        <v>Yes</v>
      </c>
      <c r="I48" s="439">
        <f>SUMIF('Diags Raw Data'!$A$6:$A$3791,"*"&amp;$A48&amp;"*",'Diags Raw Data'!$K$6:$K$3791)</f>
        <v>1</v>
      </c>
      <c r="J48" s="441">
        <f>SUMIF('Diags Raw Data'!$A$6:$A$3791,"*"&amp;$A48&amp;"*",'Diags Raw Data'!$L$6:$L$3791)</f>
        <v>4</v>
      </c>
      <c r="K48" s="486" cm="1">
        <f t="array" ref="K48">IF(D48="",0, SUMPRODUCT(--(ISNUMBER(SEARCH($A48,'Diags Raw Data'!$A$6:$A$3791))),'Diags Raw Data'!$L$6:$L$3791,'Diags Raw Data'!$N$6:$N$3791)/J48)</f>
        <v>1</v>
      </c>
      <c r="L48" s="487" cm="1">
        <f t="array" ref="L48">IF(D48="",0, SUMPRODUCT(--(ISNUMBER(SEARCH($A48,'Diags Raw Data'!$A$6:$A$3791))),'Diags Raw Data'!$L$6:$L$3791,'Diags Raw Data'!$P$6:$P$3791)/J48)</f>
        <v>0</v>
      </c>
      <c r="M48" s="488" cm="1">
        <f t="array" ref="M48">SUMPRODUCT(--(ISNUMBER(SEARCH($A48,'Diags Raw Data'!$A$6:$A$3791))),--('Diags Raw Data'!$Q$6:$Q$3791&lt;&gt;"N/A"),'Diags Raw Data'!$R$6:$R$3791)</f>
        <v>0</v>
      </c>
      <c r="N48" s="489" cm="1">
        <f t="array" ref="N48">SUMPRODUCT(--(ISNUMBER(SEARCH($A48,'Diags Raw Data'!$A$6:$A$3791))),--('Diags Raw Data'!$Q$6:$Q$3791&lt;&gt;"N/A"),'Diags Raw Data'!$T$6:$T$3791)+SUMPRODUCT(--(ISNUMBER(SEARCH($A48,'Diags Raw Data'!$A$6:$A$3791))),--('Diags Raw Data'!$Q$6:$Q$3791&lt;&gt;"N/A"),'Diags Raw Data'!$U$6:$U$3791)</f>
        <v>0</v>
      </c>
      <c r="O48" s="490">
        <f t="shared" si="8"/>
        <v>0</v>
      </c>
      <c r="P48" s="491">
        <f>SUMIF('Diags Raw Data'!$A$6:$A$3791,"*"&amp;$A48&amp;"*",'Diags Raw Data'!$Z$6:$Z$3791)</f>
        <v>0</v>
      </c>
      <c r="Q48" s="492">
        <f>SUM(SUMIF('Diags Raw Data'!$A$6:$A$3791,"*"&amp;$A48&amp;"*",'Diags Raw Data'!$AA$6:$AA$3791),SUMIF('Diags Raw Data'!$A$6:$A$3791,"*"&amp;$A48&amp;"*",'Diags Raw Data'!$AB$6:$AB$3791))</f>
        <v>0</v>
      </c>
      <c r="R48" s="493">
        <f t="shared" si="9"/>
        <v>0</v>
      </c>
      <c r="S48" s="493">
        <f t="shared" si="10"/>
        <v>0</v>
      </c>
      <c r="T48" s="494">
        <f t="shared" si="11"/>
        <v>0</v>
      </c>
      <c r="U48" s="442" t="s">
        <v>1133</v>
      </c>
      <c r="V48" s="182"/>
    </row>
    <row r="49" spans="1:22">
      <c r="A49" s="584" t="s">
        <v>397</v>
      </c>
      <c r="B49" s="438" t="str">
        <f>VLOOKUP(A49,'Feature Raw Data'!$A$3:$B$4004,2,FALSE)</f>
        <v>DCN4.043 - De-alpha and bias</v>
      </c>
      <c r="C49" s="439" t="str">
        <f>VLOOKUP(A49,'Feature Raw Data'!$A$3:$C$4004,3,FALSE)</f>
        <v>P2</v>
      </c>
      <c r="D49" s="440" t="str" cm="1">
        <f t="array" ref="D49">_xlfn.TEXTJOIN("",TRUE,IF(ISNUMBER(SEARCH($A49,'Diags Raw Data'!$A$6:$A$3791)),CONCATENATE('Diags Raw Data'!$H$6:$H$3791,", "),""))</f>
        <v xml:space="preserve">DPP037, DPP052, </v>
      </c>
      <c r="E49" s="336" t="str">
        <f>VLOOKUP(A49,'Diags Raw Data'!$A$6:$D$3791,4,FALSE)</f>
        <v>DPP</v>
      </c>
      <c r="F49" s="336" t="str">
        <f>VLOOKUP(A49,'Feature Raw Data'!$A$3:$E$4004,5,FALSE)</f>
        <v>Legacy</v>
      </c>
      <c r="G49" s="336" t="str">
        <f t="shared" si="6"/>
        <v>Yes</v>
      </c>
      <c r="H49" s="336" t="str">
        <f t="shared" si="7"/>
        <v>Yes</v>
      </c>
      <c r="I49" s="439">
        <f>SUMIF('Diags Raw Data'!$A$6:$A$3791,"*"&amp;$A49&amp;"*",'Diags Raw Data'!$K$6:$K$3791)</f>
        <v>2</v>
      </c>
      <c r="J49" s="441">
        <f>SUMIF('Diags Raw Data'!$A$6:$A$3791,"*"&amp;$A49&amp;"*",'Diags Raw Data'!$L$6:$L$3791)</f>
        <v>3</v>
      </c>
      <c r="K49" s="486" cm="1">
        <f t="array" ref="K49">IF(D49="",0, SUMPRODUCT(--(ISNUMBER(SEARCH($A49,'Diags Raw Data'!$A$6:$A$3791))),'Diags Raw Data'!$L$6:$L$3791,'Diags Raw Data'!$N$6:$N$3791)/J49)</f>
        <v>1</v>
      </c>
      <c r="L49" s="487" cm="1">
        <f t="array" ref="L49">IF(D49="",0, SUMPRODUCT(--(ISNUMBER(SEARCH($A49,'Diags Raw Data'!$A$6:$A$3791))),'Diags Raw Data'!$L$6:$L$3791,'Diags Raw Data'!$P$6:$P$3791)/J49)</f>
        <v>1</v>
      </c>
      <c r="M49" s="488" cm="1">
        <f t="array" ref="M49">SUMPRODUCT(--(ISNUMBER(SEARCH($A49,'Diags Raw Data'!$A$6:$A$3791))),--('Diags Raw Data'!$Q$6:$Q$3791&lt;&gt;"N/A"),'Diags Raw Data'!$R$6:$R$3791)</f>
        <v>2</v>
      </c>
      <c r="N49" s="489" cm="1">
        <f t="array" ref="N49">SUMPRODUCT(--(ISNUMBER(SEARCH($A49,'Diags Raw Data'!$A$6:$A$3791))),--('Diags Raw Data'!$Q$6:$Q$3791&lt;&gt;"N/A"),'Diags Raw Data'!$T$6:$T$3791)+SUMPRODUCT(--(ISNUMBER(SEARCH($A49,'Diags Raw Data'!$A$6:$A$3791))),--('Diags Raw Data'!$Q$6:$Q$3791&lt;&gt;"N/A"),'Diags Raw Data'!$U$6:$U$3791)</f>
        <v>2</v>
      </c>
      <c r="O49" s="490">
        <f t="shared" si="8"/>
        <v>1</v>
      </c>
      <c r="P49" s="491">
        <f>SUMIF('Diags Raw Data'!$A$6:$A$3791,"*"&amp;$A49&amp;"*",'Diags Raw Data'!$Z$6:$Z$3791)</f>
        <v>0</v>
      </c>
      <c r="Q49" s="492">
        <f>SUM(SUMIF('Diags Raw Data'!$A$6:$A$3791,"*"&amp;$A49&amp;"*",'Diags Raw Data'!$AA$6:$AA$3791),SUMIF('Diags Raw Data'!$A$6:$A$3791,"*"&amp;$A49&amp;"*",'Diags Raw Data'!$AB$6:$AB$3791))</f>
        <v>0</v>
      </c>
      <c r="R49" s="493">
        <f t="shared" si="9"/>
        <v>0</v>
      </c>
      <c r="S49" s="493">
        <f t="shared" si="10"/>
        <v>0</v>
      </c>
      <c r="T49" s="494">
        <f t="shared" si="11"/>
        <v>0</v>
      </c>
      <c r="U49" s="442" t="s">
        <v>1133</v>
      </c>
      <c r="V49" s="182"/>
    </row>
    <row r="50" spans="1:22">
      <c r="A50" s="584" t="s">
        <v>399</v>
      </c>
      <c r="B50" s="438" t="str">
        <f>VLOOKUP(A50,'Feature Raw Data'!$A$3:$B$4004,2,FALSE)</f>
        <v>DCN4.044 - Input csc</v>
      </c>
      <c r="C50" s="439" t="str">
        <f>VLOOKUP(A50,'Feature Raw Data'!$A$3:$C$4004,3,FALSE)</f>
        <v>P2</v>
      </c>
      <c r="D50" s="440" t="str" cm="1">
        <f t="array" ref="D50">_xlfn.TEXTJOIN("",TRUE,IF(ISNUMBER(SEARCH($A50,'Diags Raw Data'!$A$6:$A$3791)),CONCATENATE('Diags Raw Data'!$H$6:$H$3791,", "),""))</f>
        <v xml:space="preserve">DPP047, DPP048, </v>
      </c>
      <c r="E50" s="336" t="str">
        <f>VLOOKUP(A50,'Diags Raw Data'!$A$6:$D$3791,4,FALSE)</f>
        <v>DPP</v>
      </c>
      <c r="F50" s="336" t="str">
        <f>VLOOKUP(A50,'Feature Raw Data'!$A$3:$E$4004,5,FALSE)</f>
        <v>Legacy</v>
      </c>
      <c r="G50" s="336" t="str">
        <f t="shared" si="6"/>
        <v>Yes</v>
      </c>
      <c r="H50" s="336" t="str">
        <f t="shared" si="7"/>
        <v>Yes</v>
      </c>
      <c r="I50" s="439">
        <f>SUMIF('Diags Raw Data'!$A$6:$A$3791,"*"&amp;$A50&amp;"*",'Diags Raw Data'!$K$6:$K$3791)</f>
        <v>2</v>
      </c>
      <c r="J50" s="441">
        <f>SUMIF('Diags Raw Data'!$A$6:$A$3791,"*"&amp;$A50&amp;"*",'Diags Raw Data'!$L$6:$L$3791)</f>
        <v>10</v>
      </c>
      <c r="K50" s="486" cm="1">
        <f t="array" ref="K50">IF(D50="",0, SUMPRODUCT(--(ISNUMBER(SEARCH($A50,'Diags Raw Data'!$A$6:$A$3791))),'Diags Raw Data'!$L$6:$L$3791,'Diags Raw Data'!$N$6:$N$3791)/J50)</f>
        <v>1</v>
      </c>
      <c r="L50" s="487" cm="1">
        <f t="array" ref="L50">IF(D50="",0, SUMPRODUCT(--(ISNUMBER(SEARCH($A50,'Diags Raw Data'!$A$6:$A$3791))),'Diags Raw Data'!$L$6:$L$3791,'Diags Raw Data'!$P$6:$P$3791)/J50)</f>
        <v>1</v>
      </c>
      <c r="M50" s="488" cm="1">
        <f t="array" ref="M50">SUMPRODUCT(--(ISNUMBER(SEARCH($A50,'Diags Raw Data'!$A$6:$A$3791))),--('Diags Raw Data'!$Q$6:$Q$3791&lt;&gt;"N/A"),'Diags Raw Data'!$R$6:$R$3791)</f>
        <v>2</v>
      </c>
      <c r="N50" s="489" cm="1">
        <f t="array" ref="N50">SUMPRODUCT(--(ISNUMBER(SEARCH($A50,'Diags Raw Data'!$A$6:$A$3791))),--('Diags Raw Data'!$Q$6:$Q$3791&lt;&gt;"N/A"),'Diags Raw Data'!$T$6:$T$3791)+SUMPRODUCT(--(ISNUMBER(SEARCH($A50,'Diags Raw Data'!$A$6:$A$3791))),--('Diags Raw Data'!$Q$6:$Q$3791&lt;&gt;"N/A"),'Diags Raw Data'!$U$6:$U$3791)</f>
        <v>2</v>
      </c>
      <c r="O50" s="490">
        <f t="shared" si="8"/>
        <v>1</v>
      </c>
      <c r="P50" s="491">
        <f>SUMIF('Diags Raw Data'!$A$6:$A$3791,"*"&amp;$A50&amp;"*",'Diags Raw Data'!$Z$6:$Z$3791)</f>
        <v>0</v>
      </c>
      <c r="Q50" s="492">
        <f>SUM(SUMIF('Diags Raw Data'!$A$6:$A$3791,"*"&amp;$A50&amp;"*",'Diags Raw Data'!$AA$6:$AA$3791),SUMIF('Diags Raw Data'!$A$6:$A$3791,"*"&amp;$A50&amp;"*",'Diags Raw Data'!$AB$6:$AB$3791))</f>
        <v>0</v>
      </c>
      <c r="R50" s="493">
        <f t="shared" si="9"/>
        <v>0</v>
      </c>
      <c r="S50" s="493">
        <f t="shared" si="10"/>
        <v>0</v>
      </c>
      <c r="T50" s="494">
        <f t="shared" si="11"/>
        <v>0</v>
      </c>
      <c r="U50" s="442" t="s">
        <v>1134</v>
      </c>
      <c r="V50" s="182"/>
    </row>
    <row r="51" spans="1:22" hidden="1">
      <c r="A51" s="584" t="s">
        <v>401</v>
      </c>
      <c r="B51" s="438" t="str">
        <f>VLOOKUP(A51,'Feature Raw Data'!$A$3:$B$4004,2,FALSE)</f>
        <v>DCN4.045 - Degamma</v>
      </c>
      <c r="C51" s="439" t="str">
        <f>VLOOKUP(A51,'Feature Raw Data'!$A$3:$C$4004,3,FALSE)</f>
        <v>P2</v>
      </c>
      <c r="D51" s="440" t="str" cm="1">
        <f t="array" ref="D51">_xlfn.TEXTJOIN("",TRUE,IF(ISNUMBER(SEARCH($A51,'Diags Raw Data'!$A$6:$A$3791)),CONCATENATE('Diags Raw Data'!$H$6:$H$3791,", "),""))</f>
        <v/>
      </c>
      <c r="E51" s="336" t="e">
        <f>VLOOKUP(A51,'Diags Raw Data'!$A$6:$D$3791,4,FALSE)</f>
        <v>#N/A</v>
      </c>
      <c r="F51" s="336" t="str">
        <f>VLOOKUP(A51,'Feature Raw Data'!$A$3:$E$4004,5,FALSE)</f>
        <v>Legacy</v>
      </c>
      <c r="G51" s="336" t="str">
        <f t="shared" si="6"/>
        <v>No</v>
      </c>
      <c r="H51" s="336" t="str">
        <f t="shared" si="7"/>
        <v>No</v>
      </c>
      <c r="I51" s="439">
        <f>SUMIF('Diags Raw Data'!$A$6:$A$3791,"*"&amp;$A51&amp;"*",'Diags Raw Data'!$K$6:$K$3791)</f>
        <v>0</v>
      </c>
      <c r="J51" s="441">
        <f>SUMIF('Diags Raw Data'!$A$6:$A$3791,"*"&amp;$A51&amp;"*",'Diags Raw Data'!$L$6:$L$3791)</f>
        <v>0</v>
      </c>
      <c r="K51" s="486" cm="1">
        <f t="array" ref="K51">IF(D51="",0, SUMPRODUCT(--(ISNUMBER(SEARCH($A51,'Diags Raw Data'!$A$6:$A$3791))),'Diags Raw Data'!$L$6:$L$3791,'Diags Raw Data'!$N$6:$N$3791)/J51)</f>
        <v>0</v>
      </c>
      <c r="L51" s="487" cm="1">
        <f t="array" ref="L51">IF(D51="",0, SUMPRODUCT(--(ISNUMBER(SEARCH($A51,'Diags Raw Data'!$A$6:$A$3791))),'Diags Raw Data'!$L$6:$L$3791,'Diags Raw Data'!$P$6:$P$3791)/J51)</f>
        <v>0</v>
      </c>
      <c r="M51" s="488" cm="1">
        <f t="array" ref="M51">SUMPRODUCT(--(ISNUMBER(SEARCH($A51,'Diags Raw Data'!$A$6:$A$3791))),--('Diags Raw Data'!$Q$6:$Q$3791&lt;&gt;"N/A"),'Diags Raw Data'!$R$6:$R$3791)</f>
        <v>0</v>
      </c>
      <c r="N51" s="489" cm="1">
        <f t="array" ref="N51">SUMPRODUCT(--(ISNUMBER(SEARCH($A51,'Diags Raw Data'!$A$6:$A$3791))),--('Diags Raw Data'!$Q$6:$Q$3791&lt;&gt;"N/A"),'Diags Raw Data'!$T$6:$T$3791)+SUMPRODUCT(--(ISNUMBER(SEARCH($A51,'Diags Raw Data'!$A$6:$A$3791))),--('Diags Raw Data'!$Q$6:$Q$3791&lt;&gt;"N/A"),'Diags Raw Data'!$U$6:$U$3791)</f>
        <v>0</v>
      </c>
      <c r="O51" s="490">
        <f t="shared" si="8"/>
        <v>0</v>
      </c>
      <c r="P51" s="491">
        <f>SUMIF('Diags Raw Data'!$A$6:$A$3791,"*"&amp;$A51&amp;"*",'Diags Raw Data'!$Z$6:$Z$3791)</f>
        <v>0</v>
      </c>
      <c r="Q51" s="492">
        <f>SUM(SUMIF('Diags Raw Data'!$A$6:$A$3791,"*"&amp;$A51&amp;"*",'Diags Raw Data'!$AA$6:$AA$3791),SUMIF('Diags Raw Data'!$A$6:$A$3791,"*"&amp;$A51&amp;"*",'Diags Raw Data'!$AB$6:$AB$3791))</f>
        <v>0</v>
      </c>
      <c r="R51" s="493">
        <f t="shared" si="9"/>
        <v>0</v>
      </c>
      <c r="S51" s="493">
        <f t="shared" si="10"/>
        <v>0</v>
      </c>
      <c r="T51" s="494">
        <f t="shared" si="11"/>
        <v>0</v>
      </c>
      <c r="U51" s="442" t="s">
        <v>1134</v>
      </c>
      <c r="V51" s="182"/>
    </row>
    <row r="52" spans="1:22" hidden="1">
      <c r="A52" s="584" t="s">
        <v>403</v>
      </c>
      <c r="B52" s="438" t="str">
        <f>VLOOKUP(A52,'Feature Raw Data'!$A$3:$B$4004,2,FALSE)</f>
        <v>DCN4.046 - Hdr multiplier coefficients</v>
      </c>
      <c r="C52" s="439" t="str">
        <f>VLOOKUP(A52,'Feature Raw Data'!$A$3:$C$4004,3,FALSE)</f>
        <v>P2</v>
      </c>
      <c r="D52" s="440" t="str" cm="1">
        <f t="array" ref="D52">_xlfn.TEXTJOIN("",TRUE,IF(ISNUMBER(SEARCH($A52,'Diags Raw Data'!$A$6:$A$3791)),CONCATENATE('Diags Raw Data'!$H$6:$H$3791,", "),""))</f>
        <v/>
      </c>
      <c r="E52" s="336" t="e">
        <f>VLOOKUP(A52,'Diags Raw Data'!$A$6:$D$3791,4,FALSE)</f>
        <v>#N/A</v>
      </c>
      <c r="F52" s="336" t="str">
        <f>VLOOKUP(A52,'Feature Raw Data'!$A$3:$E$4004,5,FALSE)</f>
        <v>Legacy</v>
      </c>
      <c r="G52" s="336" t="str">
        <f t="shared" si="6"/>
        <v>No</v>
      </c>
      <c r="H52" s="336" t="str">
        <f t="shared" si="7"/>
        <v>No</v>
      </c>
      <c r="I52" s="439">
        <f>SUMIF('Diags Raw Data'!$A$6:$A$3791,"*"&amp;$A52&amp;"*",'Diags Raw Data'!$K$6:$K$3791)</f>
        <v>0</v>
      </c>
      <c r="J52" s="441">
        <f>SUMIF('Diags Raw Data'!$A$6:$A$3791,"*"&amp;$A52&amp;"*",'Diags Raw Data'!$L$6:$L$3791)</f>
        <v>0</v>
      </c>
      <c r="K52" s="486" cm="1">
        <f t="array" ref="K52">IF(D52="",0, SUMPRODUCT(--(ISNUMBER(SEARCH($A52,'Diags Raw Data'!$A$6:$A$3791))),'Diags Raw Data'!$L$6:$L$3791,'Diags Raw Data'!$N$6:$N$3791)/J52)</f>
        <v>0</v>
      </c>
      <c r="L52" s="487" cm="1">
        <f t="array" ref="L52">IF(D52="",0, SUMPRODUCT(--(ISNUMBER(SEARCH($A52,'Diags Raw Data'!$A$6:$A$3791))),'Diags Raw Data'!$L$6:$L$3791,'Diags Raw Data'!$P$6:$P$3791)/J52)</f>
        <v>0</v>
      </c>
      <c r="M52" s="488" cm="1">
        <f t="array" ref="M52">SUMPRODUCT(--(ISNUMBER(SEARCH($A52,'Diags Raw Data'!$A$6:$A$3791))),--('Diags Raw Data'!$Q$6:$Q$3791&lt;&gt;"N/A"),'Diags Raw Data'!$R$6:$R$3791)</f>
        <v>0</v>
      </c>
      <c r="N52" s="489" cm="1">
        <f t="array" ref="N52">SUMPRODUCT(--(ISNUMBER(SEARCH($A52,'Diags Raw Data'!$A$6:$A$3791))),--('Diags Raw Data'!$Q$6:$Q$3791&lt;&gt;"N/A"),'Diags Raw Data'!$T$6:$T$3791)+SUMPRODUCT(--(ISNUMBER(SEARCH($A52,'Diags Raw Data'!$A$6:$A$3791))),--('Diags Raw Data'!$Q$6:$Q$3791&lt;&gt;"N/A"),'Diags Raw Data'!$U$6:$U$3791)</f>
        <v>0</v>
      </c>
      <c r="O52" s="490">
        <f t="shared" si="8"/>
        <v>0</v>
      </c>
      <c r="P52" s="491">
        <f>SUMIF('Diags Raw Data'!$A$6:$A$3791,"*"&amp;$A52&amp;"*",'Diags Raw Data'!$Z$6:$Z$3791)</f>
        <v>0</v>
      </c>
      <c r="Q52" s="492">
        <f>SUM(SUMIF('Diags Raw Data'!$A$6:$A$3791,"*"&amp;$A52&amp;"*",'Diags Raw Data'!$AA$6:$AA$3791),SUMIF('Diags Raw Data'!$A$6:$A$3791,"*"&amp;$A52&amp;"*",'Diags Raw Data'!$AB$6:$AB$3791))</f>
        <v>0</v>
      </c>
      <c r="R52" s="493">
        <f t="shared" si="9"/>
        <v>0</v>
      </c>
      <c r="S52" s="493">
        <f t="shared" si="10"/>
        <v>0</v>
      </c>
      <c r="T52" s="494">
        <f t="shared" si="11"/>
        <v>0</v>
      </c>
      <c r="U52" s="442" t="s">
        <v>1134</v>
      </c>
      <c r="V52" s="182"/>
    </row>
    <row r="53" spans="1:22">
      <c r="A53" s="584" t="s">
        <v>405</v>
      </c>
      <c r="B53" s="438" t="str">
        <f>VLOOKUP(A53,'Feature Raw Data'!$A$3:$B$4004,2,FALSE)</f>
        <v>DCN4.047 - Relocatable gamut remap</v>
      </c>
      <c r="C53" s="439" t="str">
        <f>VLOOKUP(A53,'Feature Raw Data'!$A$3:$C$4004,3,FALSE)</f>
        <v>P2</v>
      </c>
      <c r="D53" s="440" t="str" cm="1">
        <f t="array" ref="D53">_xlfn.TEXTJOIN("",TRUE,IF(ISNUMBER(SEARCH($A53,'Diags Raw Data'!$A$6:$A$3791)),CONCATENATE('Diags Raw Data'!$H$6:$H$3791,", "),""))</f>
        <v xml:space="preserve">MPC017, </v>
      </c>
      <c r="E53" s="336" t="str">
        <f>VLOOKUP(A53,'Diags Raw Data'!$A$6:$D$3791,4,FALSE)</f>
        <v>MPC</v>
      </c>
      <c r="F53" s="336" t="str">
        <f>VLOOKUP(A53,'Feature Raw Data'!$A$3:$E$4004,5,FALSE)</f>
        <v>New</v>
      </c>
      <c r="G53" s="336" t="str">
        <f t="shared" si="6"/>
        <v>Yes</v>
      </c>
      <c r="H53" s="336" t="str">
        <f t="shared" si="7"/>
        <v>Yes</v>
      </c>
      <c r="I53" s="439">
        <f>SUMIF('Diags Raw Data'!$A$6:$A$3791,"*"&amp;$A53&amp;"*",'Diags Raw Data'!$K$6:$K$3791)</f>
        <v>3</v>
      </c>
      <c r="J53" s="441">
        <f>SUMIF('Diags Raw Data'!$A$6:$A$3791,"*"&amp;$A53&amp;"*",'Diags Raw Data'!$L$6:$L$3791)</f>
        <v>7</v>
      </c>
      <c r="K53" s="486" cm="1">
        <f t="array" ref="K53">IF(D53="",0, SUMPRODUCT(--(ISNUMBER(SEARCH($A53,'Diags Raw Data'!$A$6:$A$3791))),'Diags Raw Data'!$L$6:$L$3791,'Diags Raw Data'!$N$6:$N$3791)/J53)</f>
        <v>1</v>
      </c>
      <c r="L53" s="487" cm="1">
        <f t="array" ref="L53">IF(D53="",0, SUMPRODUCT(--(ISNUMBER(SEARCH($A53,'Diags Raw Data'!$A$6:$A$3791))),'Diags Raw Data'!$L$6:$L$3791,'Diags Raw Data'!$P$6:$P$3791)/J53)</f>
        <v>1</v>
      </c>
      <c r="M53" s="488" cm="1">
        <f t="array" ref="M53">SUMPRODUCT(--(ISNUMBER(SEARCH($A53,'Diags Raw Data'!$A$6:$A$3791))),--('Diags Raw Data'!$Q$6:$Q$3791&lt;&gt;"N/A"),'Diags Raw Data'!$R$6:$R$3791)</f>
        <v>1</v>
      </c>
      <c r="N53" s="489" cm="1">
        <f t="array" ref="N53">SUMPRODUCT(--(ISNUMBER(SEARCH($A53,'Diags Raw Data'!$A$6:$A$3791))),--('Diags Raw Data'!$Q$6:$Q$3791&lt;&gt;"N/A"),'Diags Raw Data'!$T$6:$T$3791)+SUMPRODUCT(--(ISNUMBER(SEARCH($A53,'Diags Raw Data'!$A$6:$A$3791))),--('Diags Raw Data'!$Q$6:$Q$3791&lt;&gt;"N/A"),'Diags Raw Data'!$U$6:$U$3791)</f>
        <v>0</v>
      </c>
      <c r="O53" s="490">
        <f t="shared" si="8"/>
        <v>0</v>
      </c>
      <c r="P53" s="491">
        <f>SUMIF('Diags Raw Data'!$A$6:$A$3791,"*"&amp;$A53&amp;"*",'Diags Raw Data'!$Z$6:$Z$3791)</f>
        <v>0</v>
      </c>
      <c r="Q53" s="492">
        <f>SUM(SUMIF('Diags Raw Data'!$A$6:$A$3791,"*"&amp;$A53&amp;"*",'Diags Raw Data'!$AA$6:$AA$3791),SUMIF('Diags Raw Data'!$A$6:$A$3791,"*"&amp;$A53&amp;"*",'Diags Raw Data'!$AB$6:$AB$3791))</f>
        <v>0</v>
      </c>
      <c r="R53" s="493">
        <f t="shared" si="9"/>
        <v>0</v>
      </c>
      <c r="S53" s="493">
        <f t="shared" si="10"/>
        <v>0</v>
      </c>
      <c r="T53" s="494">
        <f t="shared" si="11"/>
        <v>0</v>
      </c>
      <c r="U53" s="442" t="s">
        <v>1137</v>
      </c>
      <c r="V53" s="182"/>
    </row>
    <row r="54" spans="1:22">
      <c r="A54" s="584" t="s">
        <v>407</v>
      </c>
      <c r="B54" s="438" t="str">
        <f>VLOOKUP(A54,'Feature Raw Data'!$A$3:$B$4004,2,FALSE)</f>
        <v>DCN4.048 - Prescale linearization</v>
      </c>
      <c r="C54" s="439" t="str">
        <f>VLOOKUP(A54,'Feature Raw Data'!$A$3:$C$4004,3,FALSE)</f>
        <v>P2</v>
      </c>
      <c r="D54" s="440" t="str" cm="1">
        <f t="array" ref="D54">_xlfn.TEXTJOIN("",TRUE,IF(ISNUMBER(SEARCH($A54,'Diags Raw Data'!$A$6:$A$3791)),CONCATENATE('Diags Raw Data'!$H$6:$H$3791,", "),""))</f>
        <v xml:space="preserve">DPP009, DPP034, </v>
      </c>
      <c r="E54" s="336" t="e">
        <f>VLOOKUP(A54,'Diags Raw Data'!$A$6:$D$3791,4,FALSE)</f>
        <v>#N/A</v>
      </c>
      <c r="F54" s="336" t="str">
        <f>VLOOKUP(A54,'Feature Raw Data'!$A$3:$E$4004,5,FALSE)</f>
        <v>Legacy</v>
      </c>
      <c r="G54" s="336" t="str">
        <f t="shared" si="6"/>
        <v>Yes</v>
      </c>
      <c r="H54" s="336" t="str">
        <f t="shared" si="7"/>
        <v>Yes</v>
      </c>
      <c r="I54" s="439">
        <f>SUMIF('Diags Raw Data'!$A$6:$A$3791,"*"&amp;$A54&amp;"*",'Diags Raw Data'!$K$6:$K$3791)</f>
        <v>2</v>
      </c>
      <c r="J54" s="441">
        <f>SUMIF('Diags Raw Data'!$A$6:$A$3791,"*"&amp;$A54&amp;"*",'Diags Raw Data'!$L$6:$L$3791)</f>
        <v>56</v>
      </c>
      <c r="K54" s="486" cm="1">
        <f t="array" ref="K54">IF(D54="",0, SUMPRODUCT(--(ISNUMBER(SEARCH($A54,'Diags Raw Data'!$A$6:$A$3791))),'Diags Raw Data'!$L$6:$L$3791,'Diags Raw Data'!$N$6:$N$3791)/J54)</f>
        <v>1</v>
      </c>
      <c r="L54" s="487" cm="1">
        <f t="array" ref="L54">IF(D54="",0, SUMPRODUCT(--(ISNUMBER(SEARCH($A54,'Diags Raw Data'!$A$6:$A$3791))),'Diags Raw Data'!$L$6:$L$3791,'Diags Raw Data'!$P$6:$P$3791)/J54)</f>
        <v>1</v>
      </c>
      <c r="M54" s="488" cm="1">
        <f t="array" ref="M54">SUMPRODUCT(--(ISNUMBER(SEARCH($A54,'Diags Raw Data'!$A$6:$A$3791))),--('Diags Raw Data'!$Q$6:$Q$3791&lt;&gt;"N/A"),'Diags Raw Data'!$R$6:$R$3791)</f>
        <v>44</v>
      </c>
      <c r="N54" s="489" cm="1">
        <f t="array" ref="N54">SUMPRODUCT(--(ISNUMBER(SEARCH($A54,'Diags Raw Data'!$A$6:$A$3791))),--('Diags Raw Data'!$Q$6:$Q$3791&lt;&gt;"N/A"),'Diags Raw Data'!$T$6:$T$3791)+SUMPRODUCT(--(ISNUMBER(SEARCH($A54,'Diags Raw Data'!$A$6:$A$3791))),--('Diags Raw Data'!$Q$6:$Q$3791&lt;&gt;"N/A"),'Diags Raw Data'!$U$6:$U$3791)</f>
        <v>43</v>
      </c>
      <c r="O54" s="490">
        <f t="shared" si="8"/>
        <v>0.97727272727272729</v>
      </c>
      <c r="P54" s="491">
        <f>SUMIF('Diags Raw Data'!$A$6:$A$3791,"*"&amp;$A54&amp;"*",'Diags Raw Data'!$Z$6:$Z$3791)</f>
        <v>0</v>
      </c>
      <c r="Q54" s="492">
        <f>SUM(SUMIF('Diags Raw Data'!$A$6:$A$3791,"*"&amp;$A54&amp;"*",'Diags Raw Data'!$AA$6:$AA$3791),SUMIF('Diags Raw Data'!$A$6:$A$3791,"*"&amp;$A54&amp;"*",'Diags Raw Data'!$AB$6:$AB$3791))</f>
        <v>0</v>
      </c>
      <c r="R54" s="493">
        <f t="shared" si="9"/>
        <v>0</v>
      </c>
      <c r="S54" s="493">
        <f t="shared" si="10"/>
        <v>0</v>
      </c>
      <c r="T54" s="494">
        <f t="shared" si="11"/>
        <v>0</v>
      </c>
      <c r="U54" s="442" t="s">
        <v>1136</v>
      </c>
      <c r="V54" s="182"/>
    </row>
    <row r="55" spans="1:22">
      <c r="A55" s="584" t="s">
        <v>409</v>
      </c>
      <c r="B55" s="438" t="str">
        <f>VLOOKUP(A55,'Feature Raw Data'!$A$3:$B$4004,2,FALSE)</f>
        <v>DCN4.049 - Downscale</v>
      </c>
      <c r="C55" s="439" t="str">
        <f>VLOOKUP(A55,'Feature Raw Data'!$A$3:$C$4004,3,FALSE)</f>
        <v>P2</v>
      </c>
      <c r="D55" s="440" t="str" cm="1">
        <f t="array" ref="D55">_xlfn.TEXTJOIN("",TRUE,IF(ISNUMBER(SEARCH($A55,'Diags Raw Data'!$A$6:$A$3791)),CONCATENATE('Diags Raw Data'!$H$6:$H$3791,", "),""))</f>
        <v xml:space="preserve">DPP009, DPP034, </v>
      </c>
      <c r="E55" s="336" t="e">
        <f>VLOOKUP(A55,'Diags Raw Data'!$A$6:$D$3791,4,FALSE)</f>
        <v>#N/A</v>
      </c>
      <c r="F55" s="336" t="str">
        <f>VLOOKUP(A55,'Feature Raw Data'!$A$3:$E$4004,5,FALSE)</f>
        <v>Legacy</v>
      </c>
      <c r="G55" s="336" t="str">
        <f t="shared" si="6"/>
        <v>Yes</v>
      </c>
      <c r="H55" s="336" t="str">
        <f t="shared" si="7"/>
        <v>Yes</v>
      </c>
      <c r="I55" s="439">
        <f>SUMIF('Diags Raw Data'!$A$6:$A$3791,"*"&amp;$A55&amp;"*",'Diags Raw Data'!$K$6:$K$3791)</f>
        <v>2</v>
      </c>
      <c r="J55" s="441">
        <f>SUMIF('Diags Raw Data'!$A$6:$A$3791,"*"&amp;$A55&amp;"*",'Diags Raw Data'!$L$6:$L$3791)</f>
        <v>56</v>
      </c>
      <c r="K55" s="486" cm="1">
        <f t="array" ref="K55">IF(D55="",0, SUMPRODUCT(--(ISNUMBER(SEARCH($A55,'Diags Raw Data'!$A$6:$A$3791))),'Diags Raw Data'!$L$6:$L$3791,'Diags Raw Data'!$N$6:$N$3791)/J55)</f>
        <v>1</v>
      </c>
      <c r="L55" s="487" cm="1">
        <f t="array" ref="L55">IF(D55="",0, SUMPRODUCT(--(ISNUMBER(SEARCH($A55,'Diags Raw Data'!$A$6:$A$3791))),'Diags Raw Data'!$L$6:$L$3791,'Diags Raw Data'!$P$6:$P$3791)/J55)</f>
        <v>1</v>
      </c>
      <c r="M55" s="488" cm="1">
        <f t="array" ref="M55">SUMPRODUCT(--(ISNUMBER(SEARCH($A55,'Diags Raw Data'!$A$6:$A$3791))),--('Diags Raw Data'!$Q$6:$Q$3791&lt;&gt;"N/A"),'Diags Raw Data'!$R$6:$R$3791)</f>
        <v>44</v>
      </c>
      <c r="N55" s="489" cm="1">
        <f t="array" ref="N55">SUMPRODUCT(--(ISNUMBER(SEARCH($A55,'Diags Raw Data'!$A$6:$A$3791))),--('Diags Raw Data'!$Q$6:$Q$3791&lt;&gt;"N/A"),'Diags Raw Data'!$T$6:$T$3791)+SUMPRODUCT(--(ISNUMBER(SEARCH($A55,'Diags Raw Data'!$A$6:$A$3791))),--('Diags Raw Data'!$Q$6:$Q$3791&lt;&gt;"N/A"),'Diags Raw Data'!$U$6:$U$3791)</f>
        <v>43</v>
      </c>
      <c r="O55" s="490">
        <f t="shared" si="8"/>
        <v>0.97727272727272729</v>
      </c>
      <c r="P55" s="491">
        <f>SUMIF('Diags Raw Data'!$A$6:$A$3791,"*"&amp;$A55&amp;"*",'Diags Raw Data'!$Z$6:$Z$3791)</f>
        <v>0</v>
      </c>
      <c r="Q55" s="492">
        <f>SUM(SUMIF('Diags Raw Data'!$A$6:$A$3791,"*"&amp;$A55&amp;"*",'Diags Raw Data'!$AA$6:$AA$3791),SUMIF('Diags Raw Data'!$A$6:$A$3791,"*"&amp;$A55&amp;"*",'Diags Raw Data'!$AB$6:$AB$3791))</f>
        <v>0</v>
      </c>
      <c r="R55" s="493">
        <f t="shared" si="9"/>
        <v>0</v>
      </c>
      <c r="S55" s="493">
        <f t="shared" si="10"/>
        <v>0</v>
      </c>
      <c r="T55" s="494">
        <f t="shared" si="11"/>
        <v>0</v>
      </c>
      <c r="U55" s="442" t="s">
        <v>1136</v>
      </c>
      <c r="V55" s="182"/>
    </row>
    <row r="56" spans="1:22">
      <c r="A56" s="584" t="s">
        <v>411</v>
      </c>
      <c r="B56" s="438" t="str">
        <f>VLOOKUP(A56,'Feature Raw Data'!$A$3:$B$4004,2,FALSE)</f>
        <v>DCN4.050 - Upscale</v>
      </c>
      <c r="C56" s="439" t="str">
        <f>VLOOKUP(A56,'Feature Raw Data'!$A$3:$C$4004,3,FALSE)</f>
        <v>P2</v>
      </c>
      <c r="D56" s="440" t="str" cm="1">
        <f t="array" ref="D56">_xlfn.TEXTJOIN("",TRUE,IF(ISNUMBER(SEARCH($A56,'Diags Raw Data'!$A$6:$A$3791)),CONCATENATE('Diags Raw Data'!$H$6:$H$3791,", "),""))</f>
        <v xml:space="preserve">DPP034, </v>
      </c>
      <c r="E56" s="336" t="e">
        <f>VLOOKUP(A56,'Diags Raw Data'!$A$6:$D$3791,4,FALSE)</f>
        <v>#N/A</v>
      </c>
      <c r="F56" s="336" t="str">
        <f>VLOOKUP(A56,'Feature Raw Data'!$A$3:$E$4004,5,FALSE)</f>
        <v>Legacy</v>
      </c>
      <c r="G56" s="336" t="str">
        <f t="shared" si="6"/>
        <v>Yes</v>
      </c>
      <c r="H56" s="336" t="str">
        <f t="shared" si="7"/>
        <v>Yes</v>
      </c>
      <c r="I56" s="439">
        <f>SUMIF('Diags Raw Data'!$A$6:$A$3791,"*"&amp;$A56&amp;"*",'Diags Raw Data'!$K$6:$K$3791)</f>
        <v>1</v>
      </c>
      <c r="J56" s="441">
        <f>SUMIF('Diags Raw Data'!$A$6:$A$3791,"*"&amp;$A56&amp;"*",'Diags Raw Data'!$L$6:$L$3791)</f>
        <v>13</v>
      </c>
      <c r="K56" s="486" cm="1">
        <f t="array" ref="K56">IF(D56="",0, SUMPRODUCT(--(ISNUMBER(SEARCH($A56,'Diags Raw Data'!$A$6:$A$3791))),'Diags Raw Data'!$L$6:$L$3791,'Diags Raw Data'!$N$6:$N$3791)/J56)</f>
        <v>1</v>
      </c>
      <c r="L56" s="487" cm="1">
        <f t="array" ref="L56">IF(D56="",0, SUMPRODUCT(--(ISNUMBER(SEARCH($A56,'Diags Raw Data'!$A$6:$A$3791))),'Diags Raw Data'!$L$6:$L$3791,'Diags Raw Data'!$P$6:$P$3791)/J56)</f>
        <v>1</v>
      </c>
      <c r="M56" s="488" cm="1">
        <f t="array" ref="M56">SUMPRODUCT(--(ISNUMBER(SEARCH($A56,'Diags Raw Data'!$A$6:$A$3791))),--('Diags Raw Data'!$Q$6:$Q$3791&lt;&gt;"N/A"),'Diags Raw Data'!$R$6:$R$3791)</f>
        <v>1</v>
      </c>
      <c r="N56" s="489" cm="1">
        <f t="array" ref="N56">SUMPRODUCT(--(ISNUMBER(SEARCH($A56,'Diags Raw Data'!$A$6:$A$3791))),--('Diags Raw Data'!$Q$6:$Q$3791&lt;&gt;"N/A"),'Diags Raw Data'!$T$6:$T$3791)+SUMPRODUCT(--(ISNUMBER(SEARCH($A56,'Diags Raw Data'!$A$6:$A$3791))),--('Diags Raw Data'!$Q$6:$Q$3791&lt;&gt;"N/A"),'Diags Raw Data'!$U$6:$U$3791)</f>
        <v>0</v>
      </c>
      <c r="O56" s="490">
        <f t="shared" si="8"/>
        <v>0</v>
      </c>
      <c r="P56" s="491">
        <f>SUMIF('Diags Raw Data'!$A$6:$A$3791,"*"&amp;$A56&amp;"*",'Diags Raw Data'!$Z$6:$Z$3791)</f>
        <v>0</v>
      </c>
      <c r="Q56" s="492">
        <f>SUM(SUMIF('Diags Raw Data'!$A$6:$A$3791,"*"&amp;$A56&amp;"*",'Diags Raw Data'!$AA$6:$AA$3791),SUMIF('Diags Raw Data'!$A$6:$A$3791,"*"&amp;$A56&amp;"*",'Diags Raw Data'!$AB$6:$AB$3791))</f>
        <v>0</v>
      </c>
      <c r="R56" s="493">
        <f t="shared" si="9"/>
        <v>0</v>
      </c>
      <c r="S56" s="493">
        <f t="shared" si="10"/>
        <v>0</v>
      </c>
      <c r="T56" s="494">
        <f t="shared" si="11"/>
        <v>0</v>
      </c>
      <c r="U56" s="442" t="s">
        <v>1134</v>
      </c>
      <c r="V56" s="182"/>
    </row>
    <row r="57" spans="1:22">
      <c r="A57" s="584" t="s">
        <v>413</v>
      </c>
      <c r="B57" s="438" t="str">
        <f>VLOOKUP(A57,'Feature Raw Data'!$A$3:$B$4004,2,FALSE)</f>
        <v>DCN4.051 - Alpha scale</v>
      </c>
      <c r="C57" s="439" t="str">
        <f>VLOOKUP(A57,'Feature Raw Data'!$A$3:$C$4004,3,FALSE)</f>
        <v>P2</v>
      </c>
      <c r="D57" s="440" t="str" cm="1">
        <f t="array" ref="D57">_xlfn.TEXTJOIN("",TRUE,IF(ISNUMBER(SEARCH($A57,'Diags Raw Data'!$A$6:$A$3791)),CONCATENATE('Diags Raw Data'!$H$6:$H$3791,", "),""))</f>
        <v xml:space="preserve">DPP034, </v>
      </c>
      <c r="E57" s="336" t="e">
        <f>VLOOKUP(A57,'Diags Raw Data'!$A$6:$D$3791,4,FALSE)</f>
        <v>#N/A</v>
      </c>
      <c r="F57" s="336" t="str">
        <f>VLOOKUP(A57,'Feature Raw Data'!$A$3:$E$4004,5,FALSE)</f>
        <v>Legacy</v>
      </c>
      <c r="G57" s="336" t="str">
        <f t="shared" si="6"/>
        <v>Yes</v>
      </c>
      <c r="H57" s="336" t="str">
        <f t="shared" si="7"/>
        <v>Yes</v>
      </c>
      <c r="I57" s="439">
        <f>SUMIF('Diags Raw Data'!$A$6:$A$3791,"*"&amp;$A57&amp;"*",'Diags Raw Data'!$K$6:$K$3791)</f>
        <v>1</v>
      </c>
      <c r="J57" s="441">
        <f>SUMIF('Diags Raw Data'!$A$6:$A$3791,"*"&amp;$A57&amp;"*",'Diags Raw Data'!$L$6:$L$3791)</f>
        <v>13</v>
      </c>
      <c r="K57" s="486" cm="1">
        <f t="array" ref="K57">IF(D57="",0, SUMPRODUCT(--(ISNUMBER(SEARCH($A57,'Diags Raw Data'!$A$6:$A$3791))),'Diags Raw Data'!$L$6:$L$3791,'Diags Raw Data'!$N$6:$N$3791)/J57)</f>
        <v>1</v>
      </c>
      <c r="L57" s="487" cm="1">
        <f t="array" ref="L57">IF(D57="",0, SUMPRODUCT(--(ISNUMBER(SEARCH($A57,'Diags Raw Data'!$A$6:$A$3791))),'Diags Raw Data'!$L$6:$L$3791,'Diags Raw Data'!$P$6:$P$3791)/J57)</f>
        <v>1</v>
      </c>
      <c r="M57" s="488" cm="1">
        <f t="array" ref="M57">SUMPRODUCT(--(ISNUMBER(SEARCH($A57,'Diags Raw Data'!$A$6:$A$3791))),--('Diags Raw Data'!$Q$6:$Q$3791&lt;&gt;"N/A"),'Diags Raw Data'!$R$6:$R$3791)</f>
        <v>1</v>
      </c>
      <c r="N57" s="489" cm="1">
        <f t="array" ref="N57">SUMPRODUCT(--(ISNUMBER(SEARCH($A57,'Diags Raw Data'!$A$6:$A$3791))),--('Diags Raw Data'!$Q$6:$Q$3791&lt;&gt;"N/A"),'Diags Raw Data'!$T$6:$T$3791)+SUMPRODUCT(--(ISNUMBER(SEARCH($A57,'Diags Raw Data'!$A$6:$A$3791))),--('Diags Raw Data'!$Q$6:$Q$3791&lt;&gt;"N/A"),'Diags Raw Data'!$U$6:$U$3791)</f>
        <v>0</v>
      </c>
      <c r="O57" s="490">
        <f t="shared" si="8"/>
        <v>0</v>
      </c>
      <c r="P57" s="491">
        <f>SUMIF('Diags Raw Data'!$A$6:$A$3791,"*"&amp;$A57&amp;"*",'Diags Raw Data'!$Z$6:$Z$3791)</f>
        <v>0</v>
      </c>
      <c r="Q57" s="492">
        <f>SUM(SUMIF('Diags Raw Data'!$A$6:$A$3791,"*"&amp;$A57&amp;"*",'Diags Raw Data'!$AA$6:$AA$3791),SUMIF('Diags Raw Data'!$A$6:$A$3791,"*"&amp;$A57&amp;"*",'Diags Raw Data'!$AB$6:$AB$3791))</f>
        <v>0</v>
      </c>
      <c r="R57" s="493">
        <f t="shared" si="9"/>
        <v>0</v>
      </c>
      <c r="S57" s="493">
        <f t="shared" si="10"/>
        <v>0</v>
      </c>
      <c r="T57" s="494">
        <f t="shared" si="11"/>
        <v>0</v>
      </c>
      <c r="U57" s="442" t="s">
        <v>1134</v>
      </c>
      <c r="V57" s="182"/>
    </row>
    <row r="58" spans="1:22">
      <c r="A58" s="584" t="s">
        <v>415</v>
      </c>
      <c r="B58" s="438" t="str">
        <f>VLOOKUP(A58,'Feature Raw Data'!$A$3:$B$4004,2,FALSE)</f>
        <v>DCN4.052 - Scale sharpening</v>
      </c>
      <c r="C58" s="439" t="str">
        <f>VLOOKUP(A58,'Feature Raw Data'!$A$3:$C$4004,3,FALSE)</f>
        <v>P2</v>
      </c>
      <c r="D58" s="440" t="str" cm="1">
        <f t="array" ref="D58">_xlfn.TEXTJOIN("",TRUE,IF(ISNUMBER(SEARCH($A58,'Diags Raw Data'!$A$6:$A$3791)),CONCATENATE('Diags Raw Data'!$H$6:$H$3791,", "),""))</f>
        <v xml:space="preserve">DPP009, </v>
      </c>
      <c r="E58" s="336" t="e">
        <f>VLOOKUP(A58,'Diags Raw Data'!$A$6:$D$3791,4,FALSE)</f>
        <v>#N/A</v>
      </c>
      <c r="F58" s="336" t="str">
        <f>VLOOKUP(A58,'Feature Raw Data'!$A$3:$E$4004,5,FALSE)</f>
        <v>Legacy</v>
      </c>
      <c r="G58" s="336" t="str">
        <f t="shared" si="6"/>
        <v>Yes</v>
      </c>
      <c r="H58" s="336" t="str">
        <f t="shared" si="7"/>
        <v>Yes</v>
      </c>
      <c r="I58" s="439">
        <f>SUMIF('Diags Raw Data'!$A$6:$A$3791,"*"&amp;$A58&amp;"*",'Diags Raw Data'!$K$6:$K$3791)</f>
        <v>1</v>
      </c>
      <c r="J58" s="441">
        <f>SUMIF('Diags Raw Data'!$A$6:$A$3791,"*"&amp;$A58&amp;"*",'Diags Raw Data'!$L$6:$L$3791)</f>
        <v>43</v>
      </c>
      <c r="K58" s="486" cm="1">
        <f t="array" ref="K58">IF(D58="",0, SUMPRODUCT(--(ISNUMBER(SEARCH($A58,'Diags Raw Data'!$A$6:$A$3791))),'Diags Raw Data'!$L$6:$L$3791,'Diags Raw Data'!$N$6:$N$3791)/J58)</f>
        <v>1</v>
      </c>
      <c r="L58" s="487" cm="1">
        <f t="array" ref="L58">IF(D58="",0, SUMPRODUCT(--(ISNUMBER(SEARCH($A58,'Diags Raw Data'!$A$6:$A$3791))),'Diags Raw Data'!$L$6:$L$3791,'Diags Raw Data'!$P$6:$P$3791)/J58)</f>
        <v>1</v>
      </c>
      <c r="M58" s="488" cm="1">
        <f t="array" ref="M58">SUMPRODUCT(--(ISNUMBER(SEARCH($A58,'Diags Raw Data'!$A$6:$A$3791))),--('Diags Raw Data'!$Q$6:$Q$3791&lt;&gt;"N/A"),'Diags Raw Data'!$R$6:$R$3791)</f>
        <v>43</v>
      </c>
      <c r="N58" s="489" cm="1">
        <f t="array" ref="N58">SUMPRODUCT(--(ISNUMBER(SEARCH($A58,'Diags Raw Data'!$A$6:$A$3791))),--('Diags Raw Data'!$Q$6:$Q$3791&lt;&gt;"N/A"),'Diags Raw Data'!$T$6:$T$3791)+SUMPRODUCT(--(ISNUMBER(SEARCH($A58,'Diags Raw Data'!$A$6:$A$3791))),--('Diags Raw Data'!$Q$6:$Q$3791&lt;&gt;"N/A"),'Diags Raw Data'!$U$6:$U$3791)</f>
        <v>43</v>
      </c>
      <c r="O58" s="490">
        <f t="shared" si="8"/>
        <v>1</v>
      </c>
      <c r="P58" s="491">
        <f>SUMIF('Diags Raw Data'!$A$6:$A$3791,"*"&amp;$A58&amp;"*",'Diags Raw Data'!$Z$6:$Z$3791)</f>
        <v>0</v>
      </c>
      <c r="Q58" s="492">
        <f>SUM(SUMIF('Diags Raw Data'!$A$6:$A$3791,"*"&amp;$A58&amp;"*",'Diags Raw Data'!$AA$6:$AA$3791),SUMIF('Diags Raw Data'!$A$6:$A$3791,"*"&amp;$A58&amp;"*",'Diags Raw Data'!$AB$6:$AB$3791))</f>
        <v>0</v>
      </c>
      <c r="R58" s="493">
        <f t="shared" si="9"/>
        <v>0</v>
      </c>
      <c r="S58" s="493">
        <f t="shared" si="10"/>
        <v>0</v>
      </c>
      <c r="T58" s="494">
        <f t="shared" si="11"/>
        <v>0</v>
      </c>
      <c r="U58" s="442" t="s">
        <v>1134</v>
      </c>
      <c r="V58" s="182"/>
    </row>
    <row r="59" spans="1:22" ht="29.1">
      <c r="A59" s="584" t="s">
        <v>417</v>
      </c>
      <c r="B59" s="438" t="str">
        <f>VLOOKUP(A59,'Feature Raw Data'!$A$3:$B$4004,2,FALSE)</f>
        <v>DCN4.053 - Edge adaptive scaler and sharpening</v>
      </c>
      <c r="C59" s="439" t="str">
        <f>VLOOKUP(A59,'Feature Raw Data'!$A$3:$C$4004,3,FALSE)</f>
        <v>P2</v>
      </c>
      <c r="D59" s="440" t="str" cm="1">
        <f t="array" ref="D59">_xlfn.TEXTJOIN("",TRUE,IF(ISNUMBER(SEARCH($A59,'Diags Raw Data'!$A$6:$A$3791)),CONCATENATE('Diags Raw Data'!$H$6:$H$3791,", "),""))</f>
        <v xml:space="preserve">DPP009, </v>
      </c>
      <c r="E59" s="336" t="e">
        <f>VLOOKUP(A59,'Diags Raw Data'!$A$6:$D$3791,4,FALSE)</f>
        <v>#N/A</v>
      </c>
      <c r="F59" s="336" t="str">
        <f>VLOOKUP(A59,'Feature Raw Data'!$A$3:$E$4004,5,FALSE)</f>
        <v>New</v>
      </c>
      <c r="G59" s="336" t="str">
        <f t="shared" si="6"/>
        <v>Yes</v>
      </c>
      <c r="H59" s="336" t="str">
        <f t="shared" si="7"/>
        <v>Yes</v>
      </c>
      <c r="I59" s="439">
        <f>SUMIF('Diags Raw Data'!$A$6:$A$3791,"*"&amp;$A59&amp;"*",'Diags Raw Data'!$K$6:$K$3791)</f>
        <v>1</v>
      </c>
      <c r="J59" s="441">
        <f>SUMIF('Diags Raw Data'!$A$6:$A$3791,"*"&amp;$A59&amp;"*",'Diags Raw Data'!$L$6:$L$3791)</f>
        <v>43</v>
      </c>
      <c r="K59" s="486" cm="1">
        <f t="array" ref="K59">IF(D59="",0, SUMPRODUCT(--(ISNUMBER(SEARCH($A59,'Diags Raw Data'!$A$6:$A$3791))),'Diags Raw Data'!$L$6:$L$3791,'Diags Raw Data'!$N$6:$N$3791)/J59)</f>
        <v>1</v>
      </c>
      <c r="L59" s="487" cm="1">
        <f t="array" ref="L59">IF(D59="",0, SUMPRODUCT(--(ISNUMBER(SEARCH($A59,'Diags Raw Data'!$A$6:$A$3791))),'Diags Raw Data'!$L$6:$L$3791,'Diags Raw Data'!$P$6:$P$3791)/J59)</f>
        <v>1</v>
      </c>
      <c r="M59" s="488" cm="1">
        <f t="array" ref="M59">SUMPRODUCT(--(ISNUMBER(SEARCH($A59,'Diags Raw Data'!$A$6:$A$3791))),--('Diags Raw Data'!$Q$6:$Q$3791&lt;&gt;"N/A"),'Diags Raw Data'!$R$6:$R$3791)</f>
        <v>43</v>
      </c>
      <c r="N59" s="489" cm="1">
        <f t="array" ref="N59">SUMPRODUCT(--(ISNUMBER(SEARCH($A59,'Diags Raw Data'!$A$6:$A$3791))),--('Diags Raw Data'!$Q$6:$Q$3791&lt;&gt;"N/A"),'Diags Raw Data'!$T$6:$T$3791)+SUMPRODUCT(--(ISNUMBER(SEARCH($A59,'Diags Raw Data'!$A$6:$A$3791))),--('Diags Raw Data'!$Q$6:$Q$3791&lt;&gt;"N/A"),'Diags Raw Data'!$U$6:$U$3791)</f>
        <v>43</v>
      </c>
      <c r="O59" s="490">
        <f t="shared" si="8"/>
        <v>1</v>
      </c>
      <c r="P59" s="491">
        <f>SUMIF('Diags Raw Data'!$A$6:$A$3791,"*"&amp;$A59&amp;"*",'Diags Raw Data'!$Z$6:$Z$3791)</f>
        <v>0</v>
      </c>
      <c r="Q59" s="492">
        <f>SUM(SUMIF('Diags Raw Data'!$A$6:$A$3791,"*"&amp;$A59&amp;"*",'Diags Raw Data'!$AA$6:$AA$3791),SUMIF('Diags Raw Data'!$A$6:$A$3791,"*"&amp;$A59&amp;"*",'Diags Raw Data'!$AB$6:$AB$3791))</f>
        <v>0</v>
      </c>
      <c r="R59" s="493">
        <f t="shared" si="9"/>
        <v>0</v>
      </c>
      <c r="S59" s="493">
        <f t="shared" si="10"/>
        <v>0</v>
      </c>
      <c r="T59" s="494">
        <f t="shared" si="11"/>
        <v>0</v>
      </c>
      <c r="U59" s="442" t="s">
        <v>1137</v>
      </c>
      <c r="V59" s="182"/>
    </row>
    <row r="60" spans="1:22" hidden="1">
      <c r="A60" s="584" t="s">
        <v>419</v>
      </c>
      <c r="B60" s="438" t="str">
        <f>VLOOKUP(A60,'Feature Raw Data'!$A$3:$B$4004,2,FALSE)</f>
        <v>DCN4.054 - Auto scale</v>
      </c>
      <c r="C60" s="439" t="str">
        <f>VLOOKUP(A60,'Feature Raw Data'!$A$3:$C$4004,3,FALSE)</f>
        <v>P2</v>
      </c>
      <c r="D60" s="440" t="str" cm="1">
        <f t="array" ref="D60">_xlfn.TEXTJOIN("",TRUE,IF(ISNUMBER(SEARCH($A60,'Diags Raw Data'!$A$6:$A$3791)),CONCATENATE('Diags Raw Data'!$H$6:$H$3791,", "),""))</f>
        <v/>
      </c>
      <c r="E60" s="336" t="e">
        <f>VLOOKUP(A60,'Diags Raw Data'!$A$6:$D$3791,4,FALSE)</f>
        <v>#N/A</v>
      </c>
      <c r="F60" s="336" t="str">
        <f>VLOOKUP(A60,'Feature Raw Data'!$A$3:$E$4004,5,FALSE)</f>
        <v>Legacy</v>
      </c>
      <c r="G60" s="336" t="str">
        <f t="shared" si="6"/>
        <v>No</v>
      </c>
      <c r="H60" s="336" t="str">
        <f t="shared" si="7"/>
        <v>No</v>
      </c>
      <c r="I60" s="439">
        <f>SUMIF('Diags Raw Data'!$A$6:$A$3791,"*"&amp;$A60&amp;"*",'Diags Raw Data'!$K$6:$K$3791)</f>
        <v>0</v>
      </c>
      <c r="J60" s="441">
        <f>SUMIF('Diags Raw Data'!$A$6:$A$3791,"*"&amp;$A60&amp;"*",'Diags Raw Data'!$L$6:$L$3791)</f>
        <v>0</v>
      </c>
      <c r="K60" s="486" cm="1">
        <f t="array" ref="K60">IF(D60="",0, SUMPRODUCT(--(ISNUMBER(SEARCH($A60,'Diags Raw Data'!$A$6:$A$3791))),'Diags Raw Data'!$L$6:$L$3791,'Diags Raw Data'!$N$6:$N$3791)/J60)</f>
        <v>0</v>
      </c>
      <c r="L60" s="487" cm="1">
        <f t="array" ref="L60">IF(D60="",0, SUMPRODUCT(--(ISNUMBER(SEARCH($A60,'Diags Raw Data'!$A$6:$A$3791))),'Diags Raw Data'!$L$6:$L$3791,'Diags Raw Data'!$P$6:$P$3791)/J60)</f>
        <v>0</v>
      </c>
      <c r="M60" s="488" cm="1">
        <f t="array" ref="M60">SUMPRODUCT(--(ISNUMBER(SEARCH($A60,'Diags Raw Data'!$A$6:$A$3791))),--('Diags Raw Data'!$Q$6:$Q$3791&lt;&gt;"N/A"),'Diags Raw Data'!$R$6:$R$3791)</f>
        <v>0</v>
      </c>
      <c r="N60" s="489" cm="1">
        <f t="array" ref="N60">SUMPRODUCT(--(ISNUMBER(SEARCH($A60,'Diags Raw Data'!$A$6:$A$3791))),--('Diags Raw Data'!$Q$6:$Q$3791&lt;&gt;"N/A"),'Diags Raw Data'!$T$6:$T$3791)+SUMPRODUCT(--(ISNUMBER(SEARCH($A60,'Diags Raw Data'!$A$6:$A$3791))),--('Diags Raw Data'!$Q$6:$Q$3791&lt;&gt;"N/A"),'Diags Raw Data'!$U$6:$U$3791)</f>
        <v>0</v>
      </c>
      <c r="O60" s="490">
        <f t="shared" si="8"/>
        <v>0</v>
      </c>
      <c r="P60" s="491">
        <f>SUMIF('Diags Raw Data'!$A$6:$A$3791,"*"&amp;$A60&amp;"*",'Diags Raw Data'!$Z$6:$Z$3791)</f>
        <v>0</v>
      </c>
      <c r="Q60" s="492">
        <f>SUM(SUMIF('Diags Raw Data'!$A$6:$A$3791,"*"&amp;$A60&amp;"*",'Diags Raw Data'!$AA$6:$AA$3791),SUMIF('Diags Raw Data'!$A$6:$A$3791,"*"&amp;$A60&amp;"*",'Diags Raw Data'!$AB$6:$AB$3791))</f>
        <v>0</v>
      </c>
      <c r="R60" s="493">
        <f t="shared" si="9"/>
        <v>0</v>
      </c>
      <c r="S60" s="493">
        <f t="shared" si="10"/>
        <v>0</v>
      </c>
      <c r="T60" s="494">
        <f t="shared" si="11"/>
        <v>0</v>
      </c>
      <c r="U60" s="442" t="s">
        <v>1136</v>
      </c>
      <c r="V60" s="182"/>
    </row>
    <row r="61" spans="1:22">
      <c r="A61" s="584" t="s">
        <v>421</v>
      </c>
      <c r="B61" s="438" t="str">
        <f>VLOOKUP(A61,'Feature Raw Data'!$A$3:$B$4004,2,FALSE)</f>
        <v>DCN4.055 - Scale underscan and overscan</v>
      </c>
      <c r="C61" s="439" t="str">
        <f>VLOOKUP(A61,'Feature Raw Data'!$A$3:$C$4004,3,FALSE)</f>
        <v>P2</v>
      </c>
      <c r="D61" s="440" t="str" cm="1">
        <f t="array" ref="D61">_xlfn.TEXTJOIN("",TRUE,IF(ISNUMBER(SEARCH($A61,'Diags Raw Data'!$A$6:$A$3791)),CONCATENATE('Diags Raw Data'!$H$6:$H$3791,", "),""))</f>
        <v xml:space="preserve">DPP009, DPP034, </v>
      </c>
      <c r="E61" s="336" t="e">
        <f>VLOOKUP(A61,'Diags Raw Data'!$A$6:$D$3791,4,FALSE)</f>
        <v>#N/A</v>
      </c>
      <c r="F61" s="336" t="str">
        <f>VLOOKUP(A61,'Feature Raw Data'!$A$3:$E$4004,5,FALSE)</f>
        <v>Legacy</v>
      </c>
      <c r="G61" s="336" t="str">
        <f t="shared" si="6"/>
        <v>Yes</v>
      </c>
      <c r="H61" s="336" t="str">
        <f t="shared" si="7"/>
        <v>Yes</v>
      </c>
      <c r="I61" s="439">
        <f>SUMIF('Diags Raw Data'!$A$6:$A$3791,"*"&amp;$A61&amp;"*",'Diags Raw Data'!$K$6:$K$3791)</f>
        <v>2</v>
      </c>
      <c r="J61" s="441">
        <f>SUMIF('Diags Raw Data'!$A$6:$A$3791,"*"&amp;$A61&amp;"*",'Diags Raw Data'!$L$6:$L$3791)</f>
        <v>56</v>
      </c>
      <c r="K61" s="486" cm="1">
        <f t="array" ref="K61">IF(D61="",0, SUMPRODUCT(--(ISNUMBER(SEARCH($A61,'Diags Raw Data'!$A$6:$A$3791))),'Diags Raw Data'!$L$6:$L$3791,'Diags Raw Data'!$N$6:$N$3791)/J61)</f>
        <v>1</v>
      </c>
      <c r="L61" s="487" cm="1">
        <f t="array" ref="L61">IF(D61="",0, SUMPRODUCT(--(ISNUMBER(SEARCH($A61,'Diags Raw Data'!$A$6:$A$3791))),'Diags Raw Data'!$L$6:$L$3791,'Diags Raw Data'!$P$6:$P$3791)/J61)</f>
        <v>1</v>
      </c>
      <c r="M61" s="488" cm="1">
        <f t="array" ref="M61">SUMPRODUCT(--(ISNUMBER(SEARCH($A61,'Diags Raw Data'!$A$6:$A$3791))),--('Diags Raw Data'!$Q$6:$Q$3791&lt;&gt;"N/A"),'Diags Raw Data'!$R$6:$R$3791)</f>
        <v>44</v>
      </c>
      <c r="N61" s="489" cm="1">
        <f t="array" ref="N61">SUMPRODUCT(--(ISNUMBER(SEARCH($A61,'Diags Raw Data'!$A$6:$A$3791))),--('Diags Raw Data'!$Q$6:$Q$3791&lt;&gt;"N/A"),'Diags Raw Data'!$T$6:$T$3791)+SUMPRODUCT(--(ISNUMBER(SEARCH($A61,'Diags Raw Data'!$A$6:$A$3791))),--('Diags Raw Data'!$Q$6:$Q$3791&lt;&gt;"N/A"),'Diags Raw Data'!$U$6:$U$3791)</f>
        <v>43</v>
      </c>
      <c r="O61" s="490">
        <f t="shared" si="8"/>
        <v>0.97727272727272729</v>
      </c>
      <c r="P61" s="491">
        <f>SUMIF('Diags Raw Data'!$A$6:$A$3791,"*"&amp;$A61&amp;"*",'Diags Raw Data'!$Z$6:$Z$3791)</f>
        <v>0</v>
      </c>
      <c r="Q61" s="492">
        <f>SUM(SUMIF('Diags Raw Data'!$A$6:$A$3791,"*"&amp;$A61&amp;"*",'Diags Raw Data'!$AA$6:$AA$3791),SUMIF('Diags Raw Data'!$A$6:$A$3791,"*"&amp;$A61&amp;"*",'Diags Raw Data'!$AB$6:$AB$3791))</f>
        <v>0</v>
      </c>
      <c r="R61" s="493">
        <f t="shared" si="9"/>
        <v>0</v>
      </c>
      <c r="S61" s="493">
        <f t="shared" si="10"/>
        <v>0</v>
      </c>
      <c r="T61" s="494">
        <f t="shared" si="11"/>
        <v>0</v>
      </c>
      <c r="U61" s="442" t="s">
        <v>1137</v>
      </c>
      <c r="V61" s="182"/>
    </row>
    <row r="62" spans="1:22">
      <c r="A62" s="584" t="s">
        <v>423</v>
      </c>
      <c r="B62" s="438" t="str">
        <f>VLOOKUP(A62,'Feature Raw Data'!$A$3:$B$4004,2,FALSE)</f>
        <v>DCN4.056 - Stereo scale</v>
      </c>
      <c r="C62" s="439" t="str">
        <f>VLOOKUP(A62,'Feature Raw Data'!$A$3:$C$4004,3,FALSE)</f>
        <v>P2</v>
      </c>
      <c r="D62" s="440" t="str" cm="1">
        <f t="array" ref="D62">_xlfn.TEXTJOIN("",TRUE,IF(ISNUMBER(SEARCH($A62,'Diags Raw Data'!$A$6:$A$3791)),CONCATENATE('Diags Raw Data'!$H$6:$H$3791,", "),""))</f>
        <v xml:space="preserve">DPP036, </v>
      </c>
      <c r="E62" s="336" t="str">
        <f>VLOOKUP(A62,'Diags Raw Data'!$A$6:$D$3791,4,FALSE)</f>
        <v>DPP</v>
      </c>
      <c r="F62" s="336" t="str">
        <f>VLOOKUP(A62,'Feature Raw Data'!$A$3:$E$4004,5,FALSE)</f>
        <v>Legacy</v>
      </c>
      <c r="G62" s="336" t="str">
        <f t="shared" si="6"/>
        <v>Yes</v>
      </c>
      <c r="H62" s="336" t="str">
        <f t="shared" si="7"/>
        <v>Yes</v>
      </c>
      <c r="I62" s="439">
        <f>SUMIF('Diags Raw Data'!$A$6:$A$3791,"*"&amp;$A62&amp;"*",'Diags Raw Data'!$K$6:$K$3791)</f>
        <v>1</v>
      </c>
      <c r="J62" s="441">
        <f>SUMIF('Diags Raw Data'!$A$6:$A$3791,"*"&amp;$A62&amp;"*",'Diags Raw Data'!$L$6:$L$3791)</f>
        <v>2</v>
      </c>
      <c r="K62" s="486" cm="1">
        <f t="array" ref="K62">IF(D62="",0, SUMPRODUCT(--(ISNUMBER(SEARCH($A62,'Diags Raw Data'!$A$6:$A$3791))),'Diags Raw Data'!$L$6:$L$3791,'Diags Raw Data'!$N$6:$N$3791)/J62)</f>
        <v>1</v>
      </c>
      <c r="L62" s="487" cm="1">
        <f t="array" ref="L62">IF(D62="",0, SUMPRODUCT(--(ISNUMBER(SEARCH($A62,'Diags Raw Data'!$A$6:$A$3791))),'Diags Raw Data'!$L$6:$L$3791,'Diags Raw Data'!$P$6:$P$3791)/J62)</f>
        <v>1</v>
      </c>
      <c r="M62" s="488" cm="1">
        <f t="array" ref="M62">SUMPRODUCT(--(ISNUMBER(SEARCH($A62,'Diags Raw Data'!$A$6:$A$3791))),--('Diags Raw Data'!$Q$6:$Q$3791&lt;&gt;"N/A"),'Diags Raw Data'!$R$6:$R$3791)</f>
        <v>1</v>
      </c>
      <c r="N62" s="489" cm="1">
        <f t="array" ref="N62">SUMPRODUCT(--(ISNUMBER(SEARCH($A62,'Diags Raw Data'!$A$6:$A$3791))),--('Diags Raw Data'!$Q$6:$Q$3791&lt;&gt;"N/A"),'Diags Raw Data'!$T$6:$T$3791)+SUMPRODUCT(--(ISNUMBER(SEARCH($A62,'Diags Raw Data'!$A$6:$A$3791))),--('Diags Raw Data'!$Q$6:$Q$3791&lt;&gt;"N/A"),'Diags Raw Data'!$U$6:$U$3791)</f>
        <v>0</v>
      </c>
      <c r="O62" s="490">
        <f t="shared" si="8"/>
        <v>0</v>
      </c>
      <c r="P62" s="491">
        <f>SUMIF('Diags Raw Data'!$A$6:$A$3791,"*"&amp;$A62&amp;"*",'Diags Raw Data'!$Z$6:$Z$3791)</f>
        <v>0</v>
      </c>
      <c r="Q62" s="492">
        <f>SUM(SUMIF('Diags Raw Data'!$A$6:$A$3791,"*"&amp;$A62&amp;"*",'Diags Raw Data'!$AA$6:$AA$3791),SUMIF('Diags Raw Data'!$A$6:$A$3791,"*"&amp;$A62&amp;"*",'Diags Raw Data'!$AB$6:$AB$3791))</f>
        <v>0</v>
      </c>
      <c r="R62" s="493">
        <f t="shared" si="9"/>
        <v>0</v>
      </c>
      <c r="S62" s="493">
        <f t="shared" si="10"/>
        <v>0</v>
      </c>
      <c r="T62" s="494">
        <f t="shared" si="11"/>
        <v>0</v>
      </c>
      <c r="U62" s="442" t="s">
        <v>1136</v>
      </c>
      <c r="V62" s="182"/>
    </row>
    <row r="63" spans="1:22">
      <c r="A63" s="584" t="s">
        <v>425</v>
      </c>
      <c r="B63" s="438" t="str">
        <f>VLOOKUP(A63,'Feature Raw Data'!$A$3:$B$4004,2,FALSE)</f>
        <v>DCN4.057 - Scale boundary</v>
      </c>
      <c r="C63" s="439" t="str">
        <f>VLOOKUP(A63,'Feature Raw Data'!$A$3:$C$4004,3,FALSE)</f>
        <v>P2</v>
      </c>
      <c r="D63" s="440" t="str" cm="1">
        <f t="array" ref="D63">_xlfn.TEXTJOIN("",TRUE,IF(ISNUMBER(SEARCH($A63,'Diags Raw Data'!$A$6:$A$3791)),CONCATENATE('Diags Raw Data'!$H$6:$H$3791,", "),""))</f>
        <v xml:space="preserve">DPP009, DPP034, </v>
      </c>
      <c r="E63" s="336" t="e">
        <f>VLOOKUP(A63,'Diags Raw Data'!$A$6:$D$3791,4,FALSE)</f>
        <v>#N/A</v>
      </c>
      <c r="F63" s="336" t="str">
        <f>VLOOKUP(A63,'Feature Raw Data'!$A$3:$E$4004,5,FALSE)</f>
        <v>Legacy</v>
      </c>
      <c r="G63" s="336" t="str">
        <f t="shared" si="6"/>
        <v>Yes</v>
      </c>
      <c r="H63" s="336" t="str">
        <f t="shared" si="7"/>
        <v>Yes</v>
      </c>
      <c r="I63" s="439">
        <f>SUMIF('Diags Raw Data'!$A$6:$A$3791,"*"&amp;$A63&amp;"*",'Diags Raw Data'!$K$6:$K$3791)</f>
        <v>2</v>
      </c>
      <c r="J63" s="441">
        <f>SUMIF('Diags Raw Data'!$A$6:$A$3791,"*"&amp;$A63&amp;"*",'Diags Raw Data'!$L$6:$L$3791)</f>
        <v>56</v>
      </c>
      <c r="K63" s="486" cm="1">
        <f t="array" ref="K63">IF(D63="",0, SUMPRODUCT(--(ISNUMBER(SEARCH($A63,'Diags Raw Data'!$A$6:$A$3791))),'Diags Raw Data'!$L$6:$L$3791,'Diags Raw Data'!$N$6:$N$3791)/J63)</f>
        <v>1</v>
      </c>
      <c r="L63" s="487" cm="1">
        <f t="array" ref="L63">IF(D63="",0, SUMPRODUCT(--(ISNUMBER(SEARCH($A63,'Diags Raw Data'!$A$6:$A$3791))),'Diags Raw Data'!$L$6:$L$3791,'Diags Raw Data'!$P$6:$P$3791)/J63)</f>
        <v>1</v>
      </c>
      <c r="M63" s="488" cm="1">
        <f t="array" ref="M63">SUMPRODUCT(--(ISNUMBER(SEARCH($A63,'Diags Raw Data'!$A$6:$A$3791))),--('Diags Raw Data'!$Q$6:$Q$3791&lt;&gt;"N/A"),'Diags Raw Data'!$R$6:$R$3791)</f>
        <v>44</v>
      </c>
      <c r="N63" s="489" cm="1">
        <f t="array" ref="N63">SUMPRODUCT(--(ISNUMBER(SEARCH($A63,'Diags Raw Data'!$A$6:$A$3791))),--('Diags Raw Data'!$Q$6:$Q$3791&lt;&gt;"N/A"),'Diags Raw Data'!$T$6:$T$3791)+SUMPRODUCT(--(ISNUMBER(SEARCH($A63,'Diags Raw Data'!$A$6:$A$3791))),--('Diags Raw Data'!$Q$6:$Q$3791&lt;&gt;"N/A"),'Diags Raw Data'!$U$6:$U$3791)</f>
        <v>43</v>
      </c>
      <c r="O63" s="490">
        <f t="shared" si="8"/>
        <v>0.97727272727272729</v>
      </c>
      <c r="P63" s="491">
        <f>SUMIF('Diags Raw Data'!$A$6:$A$3791,"*"&amp;$A63&amp;"*",'Diags Raw Data'!$Z$6:$Z$3791)</f>
        <v>0</v>
      </c>
      <c r="Q63" s="492">
        <f>SUM(SUMIF('Diags Raw Data'!$A$6:$A$3791,"*"&amp;$A63&amp;"*",'Diags Raw Data'!$AA$6:$AA$3791),SUMIF('Diags Raw Data'!$A$6:$A$3791,"*"&amp;$A63&amp;"*",'Diags Raw Data'!$AB$6:$AB$3791))</f>
        <v>0</v>
      </c>
      <c r="R63" s="493">
        <f t="shared" si="9"/>
        <v>0</v>
      </c>
      <c r="S63" s="493">
        <f t="shared" si="10"/>
        <v>0</v>
      </c>
      <c r="T63" s="494">
        <f t="shared" si="11"/>
        <v>0</v>
      </c>
      <c r="U63" s="442" t="s">
        <v>1136</v>
      </c>
      <c r="V63" s="182"/>
    </row>
    <row r="64" spans="1:22">
      <c r="A64" s="584" t="s">
        <v>427</v>
      </c>
      <c r="B64" s="438" t="str">
        <f>VLOOKUP(A64,'Feature Raw Data'!$A$3:$B$4004,2,FALSE)</f>
        <v>DCN4.058 - LB dynamic allocation and partition</v>
      </c>
      <c r="C64" s="439" t="str">
        <f>VLOOKUP(A64,'Feature Raw Data'!$A$3:$C$4004,3,FALSE)</f>
        <v>P2</v>
      </c>
      <c r="D64" s="440" t="str" cm="1">
        <f t="array" ref="D64">_xlfn.TEXTJOIN("",TRUE,IF(ISNUMBER(SEARCH($A64,'Diags Raw Data'!$A$6:$A$3791)),CONCATENATE('Diags Raw Data'!$H$6:$H$3791,", "),""))</f>
        <v xml:space="preserve">DPP010, </v>
      </c>
      <c r="E64" s="336" t="e">
        <f>VLOOKUP(A64,'Diags Raw Data'!$A$6:$D$3791,4,FALSE)</f>
        <v>#N/A</v>
      </c>
      <c r="F64" s="336" t="str">
        <f>VLOOKUP(A64,'Feature Raw Data'!$A$3:$E$4004,5,FALSE)</f>
        <v>Legacy</v>
      </c>
      <c r="G64" s="336" t="str">
        <f t="shared" si="6"/>
        <v>Yes</v>
      </c>
      <c r="H64" s="336" t="str">
        <f t="shared" si="7"/>
        <v>Yes</v>
      </c>
      <c r="I64" s="439">
        <f>SUMIF('Diags Raw Data'!$A$6:$A$3791,"*"&amp;$A64&amp;"*",'Diags Raw Data'!$K$6:$K$3791)</f>
        <v>1</v>
      </c>
      <c r="J64" s="441">
        <f>SUMIF('Diags Raw Data'!$A$6:$A$3791,"*"&amp;$A64&amp;"*",'Diags Raw Data'!$L$6:$L$3791)</f>
        <v>35</v>
      </c>
      <c r="K64" s="486" cm="1">
        <f t="array" ref="K64">IF(D64="",0, SUMPRODUCT(--(ISNUMBER(SEARCH($A64,'Diags Raw Data'!$A$6:$A$3791))),'Diags Raw Data'!$L$6:$L$3791,'Diags Raw Data'!$N$6:$N$3791)/J64)</f>
        <v>1</v>
      </c>
      <c r="L64" s="487" cm="1">
        <f t="array" ref="L64">IF(D64="",0, SUMPRODUCT(--(ISNUMBER(SEARCH($A64,'Diags Raw Data'!$A$6:$A$3791))),'Diags Raw Data'!$L$6:$L$3791,'Diags Raw Data'!$P$6:$P$3791)/J64)</f>
        <v>1</v>
      </c>
      <c r="M64" s="488" cm="1">
        <f t="array" ref="M64">SUMPRODUCT(--(ISNUMBER(SEARCH($A64,'Diags Raw Data'!$A$6:$A$3791))),--('Diags Raw Data'!$Q$6:$Q$3791&lt;&gt;"N/A"),'Diags Raw Data'!$R$6:$R$3791)</f>
        <v>35</v>
      </c>
      <c r="N64" s="489" cm="1">
        <f t="array" ref="N64">SUMPRODUCT(--(ISNUMBER(SEARCH($A64,'Diags Raw Data'!$A$6:$A$3791))),--('Diags Raw Data'!$Q$6:$Q$3791&lt;&gt;"N/A"),'Diags Raw Data'!$T$6:$T$3791)+SUMPRODUCT(--(ISNUMBER(SEARCH($A64,'Diags Raw Data'!$A$6:$A$3791))),--('Diags Raw Data'!$Q$6:$Q$3791&lt;&gt;"N/A"),'Diags Raw Data'!$U$6:$U$3791)</f>
        <v>34</v>
      </c>
      <c r="O64" s="490">
        <f t="shared" si="8"/>
        <v>0.97142857142857142</v>
      </c>
      <c r="P64" s="491">
        <f>SUMIF('Diags Raw Data'!$A$6:$A$3791,"*"&amp;$A64&amp;"*",'Diags Raw Data'!$Z$6:$Z$3791)</f>
        <v>0</v>
      </c>
      <c r="Q64" s="492">
        <f>SUM(SUMIF('Diags Raw Data'!$A$6:$A$3791,"*"&amp;$A64&amp;"*",'Diags Raw Data'!$AA$6:$AA$3791),SUMIF('Diags Raw Data'!$A$6:$A$3791,"*"&amp;$A64&amp;"*",'Diags Raw Data'!$AB$6:$AB$3791))</f>
        <v>0</v>
      </c>
      <c r="R64" s="493">
        <f t="shared" si="9"/>
        <v>0</v>
      </c>
      <c r="S64" s="493">
        <f t="shared" si="10"/>
        <v>0</v>
      </c>
      <c r="T64" s="494">
        <f t="shared" si="11"/>
        <v>0</v>
      </c>
      <c r="U64" s="442" t="s">
        <v>1136</v>
      </c>
      <c r="V64" s="182"/>
    </row>
    <row r="65" spans="1:22" hidden="1">
      <c r="A65" s="584" t="s">
        <v>429</v>
      </c>
      <c r="B65" s="438" t="str">
        <f>VLOOKUP(A65,'Feature Raw Data'!$A$3:$B$4004,2,FALSE)</f>
        <v>DCN4.059 - Blender bypass</v>
      </c>
      <c r="C65" s="439" t="str">
        <f>VLOOKUP(A65,'Feature Raw Data'!$A$3:$C$4004,3,FALSE)</f>
        <v>P2</v>
      </c>
      <c r="D65" s="440" t="str" cm="1">
        <f t="array" ref="D65">_xlfn.TEXTJOIN("",TRUE,IF(ISNUMBER(SEARCH($A65,'Diags Raw Data'!$A$6:$A$3791)),CONCATENATE('Diags Raw Data'!$H$6:$H$3791,", "),""))</f>
        <v/>
      </c>
      <c r="E65" s="336" t="e">
        <f>VLOOKUP(A65,'Diags Raw Data'!$A$6:$D$3791,4,FALSE)</f>
        <v>#N/A</v>
      </c>
      <c r="F65" s="336" t="str">
        <f>VLOOKUP(A65,'Feature Raw Data'!$A$3:$E$4004,5,FALSE)</f>
        <v>Legacy</v>
      </c>
      <c r="G65" s="336" t="str">
        <f t="shared" si="6"/>
        <v>No</v>
      </c>
      <c r="H65" s="336" t="str">
        <f t="shared" si="7"/>
        <v>No</v>
      </c>
      <c r="I65" s="439">
        <f>SUMIF('Diags Raw Data'!$A$6:$A$3791,"*"&amp;$A65&amp;"*",'Diags Raw Data'!$K$6:$K$3791)</f>
        <v>0</v>
      </c>
      <c r="J65" s="441">
        <f>SUMIF('Diags Raw Data'!$A$6:$A$3791,"*"&amp;$A65&amp;"*",'Diags Raw Data'!$L$6:$L$3791)</f>
        <v>0</v>
      </c>
      <c r="K65" s="486" cm="1">
        <f t="array" ref="K65">IF(D65="",0, SUMPRODUCT(--(ISNUMBER(SEARCH($A65,'Diags Raw Data'!$A$6:$A$3791))),'Diags Raw Data'!$L$6:$L$3791,'Diags Raw Data'!$N$6:$N$3791)/J65)</f>
        <v>0</v>
      </c>
      <c r="L65" s="487" cm="1">
        <f t="array" ref="L65">IF(D65="",0, SUMPRODUCT(--(ISNUMBER(SEARCH($A65,'Diags Raw Data'!$A$6:$A$3791))),'Diags Raw Data'!$L$6:$L$3791,'Diags Raw Data'!$P$6:$P$3791)/J65)</f>
        <v>0</v>
      </c>
      <c r="M65" s="488" cm="1">
        <f t="array" ref="M65">SUMPRODUCT(--(ISNUMBER(SEARCH($A65,'Diags Raw Data'!$A$6:$A$3791))),--('Diags Raw Data'!$Q$6:$Q$3791&lt;&gt;"N/A"),'Diags Raw Data'!$R$6:$R$3791)</f>
        <v>0</v>
      </c>
      <c r="N65" s="489" cm="1">
        <f t="array" ref="N65">SUMPRODUCT(--(ISNUMBER(SEARCH($A65,'Diags Raw Data'!$A$6:$A$3791))),--('Diags Raw Data'!$Q$6:$Q$3791&lt;&gt;"N/A"),'Diags Raw Data'!$T$6:$T$3791)+SUMPRODUCT(--(ISNUMBER(SEARCH($A65,'Diags Raw Data'!$A$6:$A$3791))),--('Diags Raw Data'!$Q$6:$Q$3791&lt;&gt;"N/A"),'Diags Raw Data'!$U$6:$U$3791)</f>
        <v>0</v>
      </c>
      <c r="O65" s="490">
        <f t="shared" si="8"/>
        <v>0</v>
      </c>
      <c r="P65" s="491">
        <f>SUMIF('Diags Raw Data'!$A$6:$A$3791,"*"&amp;$A65&amp;"*",'Diags Raw Data'!$Z$6:$Z$3791)</f>
        <v>0</v>
      </c>
      <c r="Q65" s="492">
        <f>SUM(SUMIF('Diags Raw Data'!$A$6:$A$3791,"*"&amp;$A65&amp;"*",'Diags Raw Data'!$AA$6:$AA$3791),SUMIF('Diags Raw Data'!$A$6:$A$3791,"*"&amp;$A65&amp;"*",'Diags Raw Data'!$AB$6:$AB$3791))</f>
        <v>0</v>
      </c>
      <c r="R65" s="493">
        <f t="shared" si="9"/>
        <v>0</v>
      </c>
      <c r="S65" s="493">
        <f t="shared" si="10"/>
        <v>0</v>
      </c>
      <c r="T65" s="494">
        <f t="shared" si="11"/>
        <v>0</v>
      </c>
      <c r="U65" s="442" t="s">
        <v>1132</v>
      </c>
      <c r="V65" s="182"/>
    </row>
    <row r="66" spans="1:22">
      <c r="A66" s="584" t="s">
        <v>431</v>
      </c>
      <c r="B66" s="438" t="str">
        <f>VLOOKUP(A66,'Feature Raw Data'!$A$3:$B$4004,2,FALSE)</f>
        <v>DCN4.060 - Multi-plane composing with alpha</v>
      </c>
      <c r="C66" s="439" t="str">
        <f>VLOOKUP(A66,'Feature Raw Data'!$A$3:$C$4004,3,FALSE)</f>
        <v>P2</v>
      </c>
      <c r="D66" s="440" t="str" cm="1">
        <f t="array" ref="D66">_xlfn.TEXTJOIN("",TRUE,IF(ISNUMBER(SEARCH($A66,'Diags Raw Data'!$A$6:$A$3791)),CONCATENATE('Diags Raw Data'!$H$6:$H$3791,", "),""))</f>
        <v xml:space="preserve">MPC003, MPC007, </v>
      </c>
      <c r="E66" s="336" t="str">
        <f>VLOOKUP(A66,'Diags Raw Data'!$A$6:$D$3791,4,FALSE)</f>
        <v>MPC</v>
      </c>
      <c r="F66" s="336" t="str">
        <f>VLOOKUP(A66,'Feature Raw Data'!$A$3:$E$4004,5,FALSE)</f>
        <v>Legacy</v>
      </c>
      <c r="G66" s="336" t="str">
        <f t="shared" si="6"/>
        <v>Yes</v>
      </c>
      <c r="H66" s="336" t="str">
        <f t="shared" si="7"/>
        <v>Yes</v>
      </c>
      <c r="I66" s="439">
        <f>SUMIF('Diags Raw Data'!$A$6:$A$3791,"*"&amp;$A66&amp;"*",'Diags Raw Data'!$K$6:$K$3791)</f>
        <v>2</v>
      </c>
      <c r="J66" s="441">
        <f>SUMIF('Diags Raw Data'!$A$6:$A$3791,"*"&amp;$A66&amp;"*",'Diags Raw Data'!$L$6:$L$3791)</f>
        <v>10</v>
      </c>
      <c r="K66" s="486" cm="1">
        <f t="array" ref="K66">IF(D66="",0, SUMPRODUCT(--(ISNUMBER(SEARCH($A66,'Diags Raw Data'!$A$6:$A$3791))),'Diags Raw Data'!$L$6:$L$3791,'Diags Raw Data'!$N$6:$N$3791)/J66)</f>
        <v>1</v>
      </c>
      <c r="L66" s="487" cm="1">
        <f t="array" ref="L66">IF(D66="",0, SUMPRODUCT(--(ISNUMBER(SEARCH($A66,'Diags Raw Data'!$A$6:$A$3791))),'Diags Raw Data'!$L$6:$L$3791,'Diags Raw Data'!$P$6:$P$3791)/J66)</f>
        <v>1</v>
      </c>
      <c r="M66" s="488" cm="1">
        <f t="array" ref="M66">SUMPRODUCT(--(ISNUMBER(SEARCH($A66,'Diags Raw Data'!$A$6:$A$3791))),--('Diags Raw Data'!$Q$6:$Q$3791&lt;&gt;"N/A"),'Diags Raw Data'!$R$6:$R$3791)</f>
        <v>7</v>
      </c>
      <c r="N66" s="489" cm="1">
        <f t="array" ref="N66">SUMPRODUCT(--(ISNUMBER(SEARCH($A66,'Diags Raw Data'!$A$6:$A$3791))),--('Diags Raw Data'!$Q$6:$Q$3791&lt;&gt;"N/A"),'Diags Raw Data'!$T$6:$T$3791)+SUMPRODUCT(--(ISNUMBER(SEARCH($A66,'Diags Raw Data'!$A$6:$A$3791))),--('Diags Raw Data'!$Q$6:$Q$3791&lt;&gt;"N/A"),'Diags Raw Data'!$U$6:$U$3791)</f>
        <v>6</v>
      </c>
      <c r="O66" s="490">
        <f t="shared" si="8"/>
        <v>0.8571428571428571</v>
      </c>
      <c r="P66" s="491">
        <f>SUMIF('Diags Raw Data'!$A$6:$A$3791,"*"&amp;$A66&amp;"*",'Diags Raw Data'!$Z$6:$Z$3791)</f>
        <v>0</v>
      </c>
      <c r="Q66" s="492">
        <f>SUM(SUMIF('Diags Raw Data'!$A$6:$A$3791,"*"&amp;$A66&amp;"*",'Diags Raw Data'!$AA$6:$AA$3791),SUMIF('Diags Raw Data'!$A$6:$A$3791,"*"&amp;$A66&amp;"*",'Diags Raw Data'!$AB$6:$AB$3791))</f>
        <v>0</v>
      </c>
      <c r="R66" s="493">
        <f t="shared" si="9"/>
        <v>0</v>
      </c>
      <c r="S66" s="493">
        <f t="shared" si="10"/>
        <v>0</v>
      </c>
      <c r="T66" s="494">
        <f t="shared" si="11"/>
        <v>0</v>
      </c>
      <c r="U66" s="442" t="s">
        <v>1132</v>
      </c>
      <c r="V66" s="182"/>
    </row>
    <row r="67" spans="1:22">
      <c r="A67" s="584" t="s">
        <v>433</v>
      </c>
      <c r="B67" s="438" t="str">
        <f>VLOOKUP(A67,'Feature Raw Data'!$A$3:$B$4004,2,FALSE)</f>
        <v>DCN4.061 - Output Gamma</v>
      </c>
      <c r="C67" s="439" t="str">
        <f>VLOOKUP(A67,'Feature Raw Data'!$A$3:$C$4004,3,FALSE)</f>
        <v>P2</v>
      </c>
      <c r="D67" s="440" t="str" cm="1">
        <f t="array" ref="D67">_xlfn.TEXTJOIN("",TRUE,IF(ISNUMBER(SEARCH($A67,'Diags Raw Data'!$A$6:$A$3791)),CONCATENATE('Diags Raw Data'!$H$6:$H$3791,", "),""))</f>
        <v xml:space="preserve">MPC015, </v>
      </c>
      <c r="E67" s="336" t="e">
        <f>VLOOKUP(A67,'Diags Raw Data'!$A$6:$D$3791,4,FALSE)</f>
        <v>#N/A</v>
      </c>
      <c r="F67" s="336" t="str">
        <f>VLOOKUP(A67,'Feature Raw Data'!$A$3:$E$4004,5,FALSE)</f>
        <v>Legacy</v>
      </c>
      <c r="G67" s="336" t="str">
        <f t="shared" si="6"/>
        <v>Yes</v>
      </c>
      <c r="H67" s="336" t="str">
        <f t="shared" si="7"/>
        <v>Yes</v>
      </c>
      <c r="I67" s="439">
        <f>SUMIF('Diags Raw Data'!$A$6:$A$3791,"*"&amp;$A67&amp;"*",'Diags Raw Data'!$K$6:$K$3791)</f>
        <v>1</v>
      </c>
      <c r="J67" s="441">
        <f>SUMIF('Diags Raw Data'!$A$6:$A$3791,"*"&amp;$A67&amp;"*",'Diags Raw Data'!$L$6:$L$3791)</f>
        <v>16</v>
      </c>
      <c r="K67" s="486" cm="1">
        <f t="array" ref="K67">IF(D67="",0, SUMPRODUCT(--(ISNUMBER(SEARCH($A67,'Diags Raw Data'!$A$6:$A$3791))),'Diags Raw Data'!$L$6:$L$3791,'Diags Raw Data'!$N$6:$N$3791)/J67)</f>
        <v>1</v>
      </c>
      <c r="L67" s="487" cm="1">
        <f t="array" ref="L67">IF(D67="",0, SUMPRODUCT(--(ISNUMBER(SEARCH($A67,'Diags Raw Data'!$A$6:$A$3791))),'Diags Raw Data'!$L$6:$L$3791,'Diags Raw Data'!$P$6:$P$3791)/J67)</f>
        <v>1</v>
      </c>
      <c r="M67" s="488" cm="1">
        <f t="array" ref="M67">SUMPRODUCT(--(ISNUMBER(SEARCH($A67,'Diags Raw Data'!$A$6:$A$3791))),--('Diags Raw Data'!$Q$6:$Q$3791&lt;&gt;"N/A"),'Diags Raw Data'!$R$6:$R$3791)</f>
        <v>16</v>
      </c>
      <c r="N67" s="489" cm="1">
        <f t="array" ref="N67">SUMPRODUCT(--(ISNUMBER(SEARCH($A67,'Diags Raw Data'!$A$6:$A$3791))),--('Diags Raw Data'!$Q$6:$Q$3791&lt;&gt;"N/A"),'Diags Raw Data'!$T$6:$T$3791)+SUMPRODUCT(--(ISNUMBER(SEARCH($A67,'Diags Raw Data'!$A$6:$A$3791))),--('Diags Raw Data'!$Q$6:$Q$3791&lt;&gt;"N/A"),'Diags Raw Data'!$U$6:$U$3791)</f>
        <v>15</v>
      </c>
      <c r="O67" s="490">
        <f t="shared" si="8"/>
        <v>0.9375</v>
      </c>
      <c r="P67" s="491">
        <f>SUMIF('Diags Raw Data'!$A$6:$A$3791,"*"&amp;$A67&amp;"*",'Diags Raw Data'!$Z$6:$Z$3791)</f>
        <v>0</v>
      </c>
      <c r="Q67" s="492">
        <f>SUM(SUMIF('Diags Raw Data'!$A$6:$A$3791,"*"&amp;$A67&amp;"*",'Diags Raw Data'!$AA$6:$AA$3791),SUMIF('Diags Raw Data'!$A$6:$A$3791,"*"&amp;$A67&amp;"*",'Diags Raw Data'!$AB$6:$AB$3791))</f>
        <v>0</v>
      </c>
      <c r="R67" s="493">
        <f t="shared" si="9"/>
        <v>0</v>
      </c>
      <c r="S67" s="493">
        <f t="shared" si="10"/>
        <v>0</v>
      </c>
      <c r="T67" s="494">
        <f t="shared" si="11"/>
        <v>0</v>
      </c>
      <c r="U67" s="442" t="s">
        <v>1133</v>
      </c>
      <c r="V67" s="182"/>
    </row>
    <row r="68" spans="1:22">
      <c r="A68" s="584" t="s">
        <v>435</v>
      </c>
      <c r="B68" s="438" t="str">
        <f>VLOOKUP(A68,'Feature Raw Data'!$A$3:$B$4004,2,FALSE)</f>
        <v>DCN4.062 - Output csc</v>
      </c>
      <c r="C68" s="439" t="str">
        <f>VLOOKUP(A68,'Feature Raw Data'!$A$3:$C$4004,3,FALSE)</f>
        <v>P2</v>
      </c>
      <c r="D68" s="440" t="str" cm="1">
        <f t="array" ref="D68">_xlfn.TEXTJOIN("",TRUE,IF(ISNUMBER(SEARCH($A68,'Diags Raw Data'!$A$6:$A$3791)),CONCATENATE('Diags Raw Data'!$H$6:$H$3791,", "),""))</f>
        <v xml:space="preserve">DPP049, DPP050, </v>
      </c>
      <c r="E68" s="336" t="e">
        <f>VLOOKUP(A68,'Diags Raw Data'!$A$6:$D$3791,4,FALSE)</f>
        <v>#N/A</v>
      </c>
      <c r="F68" s="336" t="str">
        <f>VLOOKUP(A68,'Feature Raw Data'!$A$3:$E$4004,5,FALSE)</f>
        <v>Legacy</v>
      </c>
      <c r="G68" s="336" t="str">
        <f t="shared" si="6"/>
        <v>Yes</v>
      </c>
      <c r="H68" s="336" t="str">
        <f t="shared" si="7"/>
        <v>Yes</v>
      </c>
      <c r="I68" s="439">
        <f>SUMIF('Diags Raw Data'!$A$6:$A$3791,"*"&amp;$A68&amp;"*",'Diags Raw Data'!$K$6:$K$3791)</f>
        <v>2</v>
      </c>
      <c r="J68" s="441">
        <f>SUMIF('Diags Raw Data'!$A$6:$A$3791,"*"&amp;$A68&amp;"*",'Diags Raw Data'!$L$6:$L$3791)</f>
        <v>10</v>
      </c>
      <c r="K68" s="486" cm="1">
        <f t="array" ref="K68">IF(D68="",0, SUMPRODUCT(--(ISNUMBER(SEARCH($A68,'Diags Raw Data'!$A$6:$A$3791))),'Diags Raw Data'!$L$6:$L$3791,'Diags Raw Data'!$N$6:$N$3791)/J68)</f>
        <v>1</v>
      </c>
      <c r="L68" s="487" cm="1">
        <f t="array" ref="L68">IF(D68="",0, SUMPRODUCT(--(ISNUMBER(SEARCH($A68,'Diags Raw Data'!$A$6:$A$3791))),'Diags Raw Data'!$L$6:$L$3791,'Diags Raw Data'!$P$6:$P$3791)/J68)</f>
        <v>1</v>
      </c>
      <c r="M68" s="488" cm="1">
        <f t="array" ref="M68">SUMPRODUCT(--(ISNUMBER(SEARCH($A68,'Diags Raw Data'!$A$6:$A$3791))),--('Diags Raw Data'!$Q$6:$Q$3791&lt;&gt;"N/A"),'Diags Raw Data'!$R$6:$R$3791)</f>
        <v>2</v>
      </c>
      <c r="N68" s="489" cm="1">
        <f t="array" ref="N68">SUMPRODUCT(--(ISNUMBER(SEARCH($A68,'Diags Raw Data'!$A$6:$A$3791))),--('Diags Raw Data'!$Q$6:$Q$3791&lt;&gt;"N/A"),'Diags Raw Data'!$T$6:$T$3791)+SUMPRODUCT(--(ISNUMBER(SEARCH($A68,'Diags Raw Data'!$A$6:$A$3791))),--('Diags Raw Data'!$Q$6:$Q$3791&lt;&gt;"N/A"),'Diags Raw Data'!$U$6:$U$3791)</f>
        <v>2</v>
      </c>
      <c r="O68" s="490">
        <f t="shared" si="8"/>
        <v>1</v>
      </c>
      <c r="P68" s="491">
        <f>SUMIF('Diags Raw Data'!$A$6:$A$3791,"*"&amp;$A68&amp;"*",'Diags Raw Data'!$Z$6:$Z$3791)</f>
        <v>0</v>
      </c>
      <c r="Q68" s="492">
        <f>SUM(SUMIF('Diags Raw Data'!$A$6:$A$3791,"*"&amp;$A68&amp;"*",'Diags Raw Data'!$AA$6:$AA$3791),SUMIF('Diags Raw Data'!$A$6:$A$3791,"*"&amp;$A68&amp;"*",'Diags Raw Data'!$AB$6:$AB$3791))</f>
        <v>0</v>
      </c>
      <c r="R68" s="493">
        <f t="shared" si="9"/>
        <v>0</v>
      </c>
      <c r="S68" s="493">
        <f t="shared" si="10"/>
        <v>0</v>
      </c>
      <c r="T68" s="494">
        <f t="shared" si="11"/>
        <v>0</v>
      </c>
      <c r="U68" s="442" t="s">
        <v>1133</v>
      </c>
      <c r="V68" s="182"/>
    </row>
    <row r="69" spans="1:22">
      <c r="A69" s="584" t="s">
        <v>437</v>
      </c>
      <c r="B69" s="438" t="str">
        <f>VLOOKUP(A69,'Feature Raw Data'!$A$3:$B$4004,2,FALSE)</f>
        <v>DCN4.063 - Denorm and round and clamp</v>
      </c>
      <c r="C69" s="439" t="str">
        <f>VLOOKUP(A69,'Feature Raw Data'!$A$3:$C$4004,3,FALSE)</f>
        <v>P2</v>
      </c>
      <c r="D69" s="440" t="str" cm="1">
        <f t="array" ref="D69">_xlfn.TEXTJOIN("",TRUE,IF(ISNUMBER(SEARCH($A69,'Diags Raw Data'!$A$6:$A$3791)),CONCATENATE('Diags Raw Data'!$H$6:$H$3791,", "),""))</f>
        <v xml:space="preserve">MPC010, </v>
      </c>
      <c r="E69" s="336" t="str">
        <f>VLOOKUP(A69,'Diags Raw Data'!$A$6:$D$3791,4,FALSE)</f>
        <v>MPC</v>
      </c>
      <c r="F69" s="336" t="str">
        <f>VLOOKUP(A69,'Feature Raw Data'!$A$3:$E$4004,5,FALSE)</f>
        <v>Legacy</v>
      </c>
      <c r="G69" s="336" t="str">
        <f t="shared" si="6"/>
        <v>Yes</v>
      </c>
      <c r="H69" s="336" t="str">
        <f t="shared" si="7"/>
        <v>Yes</v>
      </c>
      <c r="I69" s="439">
        <f>SUMIF('Diags Raw Data'!$A$6:$A$3791,"*"&amp;$A69&amp;"*",'Diags Raw Data'!$K$6:$K$3791)</f>
        <v>1</v>
      </c>
      <c r="J69" s="441">
        <f>SUMIF('Diags Raw Data'!$A$6:$A$3791,"*"&amp;$A69&amp;"*",'Diags Raw Data'!$L$6:$L$3791)</f>
        <v>2</v>
      </c>
      <c r="K69" s="486" cm="1">
        <f t="array" ref="K69">IF(D69="",0, SUMPRODUCT(--(ISNUMBER(SEARCH($A69,'Diags Raw Data'!$A$6:$A$3791))),'Diags Raw Data'!$L$6:$L$3791,'Diags Raw Data'!$N$6:$N$3791)/J69)</f>
        <v>1</v>
      </c>
      <c r="L69" s="487" cm="1">
        <f t="array" ref="L69">IF(D69="",0, SUMPRODUCT(--(ISNUMBER(SEARCH($A69,'Diags Raw Data'!$A$6:$A$3791))),'Diags Raw Data'!$L$6:$L$3791,'Diags Raw Data'!$P$6:$P$3791)/J69)</f>
        <v>1</v>
      </c>
      <c r="M69" s="488" cm="1">
        <f t="array" ref="M69">SUMPRODUCT(--(ISNUMBER(SEARCH($A69,'Diags Raw Data'!$A$6:$A$3791))),--('Diags Raw Data'!$Q$6:$Q$3791&lt;&gt;"N/A"),'Diags Raw Data'!$R$6:$R$3791)</f>
        <v>1</v>
      </c>
      <c r="N69" s="489" cm="1">
        <f t="array" ref="N69">SUMPRODUCT(--(ISNUMBER(SEARCH($A69,'Diags Raw Data'!$A$6:$A$3791))),--('Diags Raw Data'!$Q$6:$Q$3791&lt;&gt;"N/A"),'Diags Raw Data'!$T$6:$T$3791)+SUMPRODUCT(--(ISNUMBER(SEARCH($A69,'Diags Raw Data'!$A$6:$A$3791))),--('Diags Raw Data'!$Q$6:$Q$3791&lt;&gt;"N/A"),'Diags Raw Data'!$U$6:$U$3791)</f>
        <v>1</v>
      </c>
      <c r="O69" s="490">
        <f t="shared" si="8"/>
        <v>1</v>
      </c>
      <c r="P69" s="491">
        <f>SUMIF('Diags Raw Data'!$A$6:$A$3791,"*"&amp;$A69&amp;"*",'Diags Raw Data'!$Z$6:$Z$3791)</f>
        <v>0</v>
      </c>
      <c r="Q69" s="492">
        <f>SUM(SUMIF('Diags Raw Data'!$A$6:$A$3791,"*"&amp;$A69&amp;"*",'Diags Raw Data'!$AA$6:$AA$3791),SUMIF('Diags Raw Data'!$A$6:$A$3791,"*"&amp;$A69&amp;"*",'Diags Raw Data'!$AB$6:$AB$3791))</f>
        <v>0</v>
      </c>
      <c r="R69" s="493">
        <f t="shared" si="9"/>
        <v>0</v>
      </c>
      <c r="S69" s="493">
        <f t="shared" si="10"/>
        <v>0</v>
      </c>
      <c r="T69" s="494">
        <f t="shared" si="11"/>
        <v>0</v>
      </c>
      <c r="U69" s="442" t="s">
        <v>1133</v>
      </c>
      <c r="V69" s="182"/>
    </row>
    <row r="70" spans="1:22">
      <c r="A70" s="584" t="s">
        <v>439</v>
      </c>
      <c r="B70" s="438" t="str">
        <f>VLOOKUP(A70,'Feature Raw Data'!$A$3:$B$4004,2,FALSE)</f>
        <v>DCN4.064 - Video blanking generation</v>
      </c>
      <c r="C70" s="439" t="str">
        <f>VLOOKUP(A70,'Feature Raw Data'!$A$3:$C$4004,3,FALSE)</f>
        <v>P2</v>
      </c>
      <c r="D70" s="440" t="str" cm="1">
        <f t="array" ref="D70">_xlfn.TEXTJOIN("",TRUE,IF(ISNUMBER(SEARCH($A70,'Diags Raw Data'!$A$6:$A$3791)),CONCATENATE('Diags Raw Data'!$H$6:$H$3791,", "),""))</f>
        <v xml:space="preserve">OTG027, </v>
      </c>
      <c r="E70" s="336" t="e">
        <f>VLOOKUP(A70,'Diags Raw Data'!$A$6:$D$3791,4,FALSE)</f>
        <v>#N/A</v>
      </c>
      <c r="F70" s="336" t="str">
        <f>VLOOKUP(A70,'Feature Raw Data'!$A$3:$E$4004,5,FALSE)</f>
        <v>Legacy</v>
      </c>
      <c r="G70" s="336" t="str">
        <f t="shared" si="6"/>
        <v>Yes</v>
      </c>
      <c r="H70" s="336" t="str">
        <f t="shared" si="7"/>
        <v>Yes</v>
      </c>
      <c r="I70" s="439">
        <f>SUMIF('Diags Raw Data'!$A$6:$A$3791,"*"&amp;$A70&amp;"*",'Diags Raw Data'!$K$6:$K$3791)</f>
        <v>1</v>
      </c>
      <c r="J70" s="441">
        <f>SUMIF('Diags Raw Data'!$A$6:$A$3791,"*"&amp;$A70&amp;"*",'Diags Raw Data'!$L$6:$L$3791)</f>
        <v>16</v>
      </c>
      <c r="K70" s="486" cm="1">
        <f t="array" ref="K70">IF(D70="",0, SUMPRODUCT(--(ISNUMBER(SEARCH($A70,'Diags Raw Data'!$A$6:$A$3791))),'Diags Raw Data'!$L$6:$L$3791,'Diags Raw Data'!$N$6:$N$3791)/J70)</f>
        <v>1</v>
      </c>
      <c r="L70" s="487" cm="1">
        <f t="array" ref="L70">IF(D70="",0, SUMPRODUCT(--(ISNUMBER(SEARCH($A70,'Diags Raw Data'!$A$6:$A$3791))),'Diags Raw Data'!$L$6:$L$3791,'Diags Raw Data'!$P$6:$P$3791)/J70)</f>
        <v>1</v>
      </c>
      <c r="M70" s="488" cm="1">
        <f t="array" ref="M70">SUMPRODUCT(--(ISNUMBER(SEARCH($A70,'Diags Raw Data'!$A$6:$A$3791))),--('Diags Raw Data'!$Q$6:$Q$3791&lt;&gt;"N/A"),'Diags Raw Data'!$R$6:$R$3791)</f>
        <v>1</v>
      </c>
      <c r="N70" s="489" cm="1">
        <f t="array" ref="N70">SUMPRODUCT(--(ISNUMBER(SEARCH($A70,'Diags Raw Data'!$A$6:$A$3791))),--('Diags Raw Data'!$Q$6:$Q$3791&lt;&gt;"N/A"),'Diags Raw Data'!$T$6:$T$3791)+SUMPRODUCT(--(ISNUMBER(SEARCH($A70,'Diags Raw Data'!$A$6:$A$3791))),--('Diags Raw Data'!$Q$6:$Q$3791&lt;&gt;"N/A"),'Diags Raw Data'!$U$6:$U$3791)</f>
        <v>1</v>
      </c>
      <c r="O70" s="490">
        <f t="shared" si="8"/>
        <v>1</v>
      </c>
      <c r="P70" s="491">
        <f>SUMIF('Diags Raw Data'!$A$6:$A$3791,"*"&amp;$A70&amp;"*",'Diags Raw Data'!$Z$6:$Z$3791)</f>
        <v>0</v>
      </c>
      <c r="Q70" s="492">
        <f>SUM(SUMIF('Diags Raw Data'!$A$6:$A$3791,"*"&amp;$A70&amp;"*",'Diags Raw Data'!$AA$6:$AA$3791),SUMIF('Diags Raw Data'!$A$6:$A$3791,"*"&amp;$A70&amp;"*",'Diags Raw Data'!$AB$6:$AB$3791))</f>
        <v>0</v>
      </c>
      <c r="R70" s="493">
        <f t="shared" si="9"/>
        <v>0</v>
      </c>
      <c r="S70" s="493">
        <f t="shared" si="10"/>
        <v>0</v>
      </c>
      <c r="T70" s="494">
        <f t="shared" si="11"/>
        <v>0</v>
      </c>
      <c r="U70" s="442" t="s">
        <v>1136</v>
      </c>
      <c r="V70" s="182"/>
    </row>
    <row r="71" spans="1:22">
      <c r="A71" s="584" t="s">
        <v>441</v>
      </c>
      <c r="B71" s="438" t="str">
        <f>VLOOKUP(A71,'Feature Raw Data'!$A$3:$B$4004,2,FALSE)</f>
        <v>DCN4.065 - Fmt truncate and round</v>
      </c>
      <c r="C71" s="439" t="str">
        <f>VLOOKUP(A71,'Feature Raw Data'!$A$3:$C$4004,3,FALSE)</f>
        <v>P2</v>
      </c>
      <c r="D71" s="440" t="str" cm="1">
        <f t="array" ref="D71">_xlfn.TEXTJOIN("",TRUE,IF(ISNUMBER(SEARCH($A71,'Diags Raw Data'!$A$6:$A$3791)),CONCATENATE('Diags Raw Data'!$H$6:$H$3791,", "),""))</f>
        <v xml:space="preserve">FMT001, </v>
      </c>
      <c r="E71" s="336" t="str">
        <f>VLOOKUP(A71,'Diags Raw Data'!$A$6:$D$3791,4,FALSE)</f>
        <v>FMT</v>
      </c>
      <c r="F71" s="336" t="str">
        <f>VLOOKUP(A71,'Feature Raw Data'!$A$3:$E$4004,5,FALSE)</f>
        <v>Legacy</v>
      </c>
      <c r="G71" s="336" t="str">
        <f t="shared" si="6"/>
        <v>Yes</v>
      </c>
      <c r="H71" s="336" t="str">
        <f t="shared" si="7"/>
        <v>Yes</v>
      </c>
      <c r="I71" s="439">
        <f>SUMIF('Diags Raw Data'!$A$6:$A$3791,"*"&amp;$A71&amp;"*",'Diags Raw Data'!$K$6:$K$3791)</f>
        <v>1</v>
      </c>
      <c r="J71" s="441">
        <f>SUMIF('Diags Raw Data'!$A$6:$A$3791,"*"&amp;$A71&amp;"*",'Diags Raw Data'!$L$6:$L$3791)</f>
        <v>8</v>
      </c>
      <c r="K71" s="486" cm="1">
        <f t="array" ref="K71">IF(D71="",0, SUMPRODUCT(--(ISNUMBER(SEARCH($A71,'Diags Raw Data'!$A$6:$A$3791))),'Diags Raw Data'!$L$6:$L$3791,'Diags Raw Data'!$N$6:$N$3791)/J71)</f>
        <v>1</v>
      </c>
      <c r="L71" s="487" cm="1">
        <f t="array" ref="L71">IF(D71="",0, SUMPRODUCT(--(ISNUMBER(SEARCH($A71,'Diags Raw Data'!$A$6:$A$3791))),'Diags Raw Data'!$L$6:$L$3791,'Diags Raw Data'!$P$6:$P$3791)/J71)</f>
        <v>1</v>
      </c>
      <c r="M71" s="488" cm="1">
        <f t="array" ref="M71">SUMPRODUCT(--(ISNUMBER(SEARCH($A71,'Diags Raw Data'!$A$6:$A$3791))),--('Diags Raw Data'!$Q$6:$Q$3791&lt;&gt;"N/A"),'Diags Raw Data'!$R$6:$R$3791)</f>
        <v>1</v>
      </c>
      <c r="N71" s="489" cm="1">
        <f t="array" ref="N71">SUMPRODUCT(--(ISNUMBER(SEARCH($A71,'Diags Raw Data'!$A$6:$A$3791))),--('Diags Raw Data'!$Q$6:$Q$3791&lt;&gt;"N/A"),'Diags Raw Data'!$T$6:$T$3791)+SUMPRODUCT(--(ISNUMBER(SEARCH($A71,'Diags Raw Data'!$A$6:$A$3791))),--('Diags Raw Data'!$Q$6:$Q$3791&lt;&gt;"N/A"),'Diags Raw Data'!$U$6:$U$3791)</f>
        <v>1</v>
      </c>
      <c r="O71" s="490">
        <f t="shared" si="8"/>
        <v>1</v>
      </c>
      <c r="P71" s="491">
        <f>SUMIF('Diags Raw Data'!$A$6:$A$3791,"*"&amp;$A71&amp;"*",'Diags Raw Data'!$Z$6:$Z$3791)</f>
        <v>0</v>
      </c>
      <c r="Q71" s="492">
        <f>SUM(SUMIF('Diags Raw Data'!$A$6:$A$3791,"*"&amp;$A71&amp;"*",'Diags Raw Data'!$AA$6:$AA$3791),SUMIF('Diags Raw Data'!$A$6:$A$3791,"*"&amp;$A71&amp;"*",'Diags Raw Data'!$AB$6:$AB$3791))</f>
        <v>0</v>
      </c>
      <c r="R71" s="493">
        <f t="shared" si="9"/>
        <v>0</v>
      </c>
      <c r="S71" s="493">
        <f t="shared" si="10"/>
        <v>0</v>
      </c>
      <c r="T71" s="494">
        <f t="shared" si="11"/>
        <v>0</v>
      </c>
      <c r="U71" s="442" t="s">
        <v>1136</v>
      </c>
      <c r="V71" s="182"/>
    </row>
    <row r="72" spans="1:22">
      <c r="A72" s="584" t="s">
        <v>443</v>
      </c>
      <c r="B72" s="438" t="str">
        <f>VLOOKUP(A72,'Feature Raw Data'!$A$3:$B$4004,2,FALSE)</f>
        <v>DCN4.066 - Fmt clamp</v>
      </c>
      <c r="C72" s="439" t="str">
        <f>VLOOKUP(A72,'Feature Raw Data'!$A$3:$C$4004,3,FALSE)</f>
        <v>P2</v>
      </c>
      <c r="D72" s="440" t="str" cm="1">
        <f t="array" ref="D72">_xlfn.TEXTJOIN("",TRUE,IF(ISNUMBER(SEARCH($A72,'Diags Raw Data'!$A$6:$A$3791)),CONCATENATE('Diags Raw Data'!$H$6:$H$3791,", "),""))</f>
        <v xml:space="preserve">FMT007, </v>
      </c>
      <c r="E72" s="336" t="str">
        <f>VLOOKUP(A72,'Diags Raw Data'!$A$6:$D$3791,4,FALSE)</f>
        <v>FMT</v>
      </c>
      <c r="F72" s="336" t="str">
        <f>VLOOKUP(A72,'Feature Raw Data'!$A$3:$E$4004,5,FALSE)</f>
        <v>Legacy</v>
      </c>
      <c r="G72" s="336" t="str">
        <f t="shared" si="6"/>
        <v>Yes</v>
      </c>
      <c r="H72" s="336" t="str">
        <f t="shared" si="7"/>
        <v>Yes</v>
      </c>
      <c r="I72" s="439">
        <f>SUMIF('Diags Raw Data'!$A$6:$A$3791,"*"&amp;$A72&amp;"*",'Diags Raw Data'!$K$6:$K$3791)</f>
        <v>1</v>
      </c>
      <c r="J72" s="441">
        <f>SUMIF('Diags Raw Data'!$A$6:$A$3791,"*"&amp;$A72&amp;"*",'Diags Raw Data'!$L$6:$L$3791)</f>
        <v>5</v>
      </c>
      <c r="K72" s="486" cm="1">
        <f t="array" ref="K72">IF(D72="",0, SUMPRODUCT(--(ISNUMBER(SEARCH($A72,'Diags Raw Data'!$A$6:$A$3791))),'Diags Raw Data'!$L$6:$L$3791,'Diags Raw Data'!$N$6:$N$3791)/J72)</f>
        <v>1</v>
      </c>
      <c r="L72" s="487" cm="1">
        <f t="array" ref="L72">IF(D72="",0, SUMPRODUCT(--(ISNUMBER(SEARCH($A72,'Diags Raw Data'!$A$6:$A$3791))),'Diags Raw Data'!$L$6:$L$3791,'Diags Raw Data'!$P$6:$P$3791)/J72)</f>
        <v>1</v>
      </c>
      <c r="M72" s="488" cm="1">
        <f t="array" ref="M72">SUMPRODUCT(--(ISNUMBER(SEARCH($A72,'Diags Raw Data'!$A$6:$A$3791))),--('Diags Raw Data'!$Q$6:$Q$3791&lt;&gt;"N/A"),'Diags Raw Data'!$R$6:$R$3791)</f>
        <v>1</v>
      </c>
      <c r="N72" s="489" cm="1">
        <f t="array" ref="N72">SUMPRODUCT(--(ISNUMBER(SEARCH($A72,'Diags Raw Data'!$A$6:$A$3791))),--('Diags Raw Data'!$Q$6:$Q$3791&lt;&gt;"N/A"),'Diags Raw Data'!$T$6:$T$3791)+SUMPRODUCT(--(ISNUMBER(SEARCH($A72,'Diags Raw Data'!$A$6:$A$3791))),--('Diags Raw Data'!$Q$6:$Q$3791&lt;&gt;"N/A"),'Diags Raw Data'!$U$6:$U$3791)</f>
        <v>1</v>
      </c>
      <c r="O72" s="490">
        <f t="shared" si="8"/>
        <v>1</v>
      </c>
      <c r="P72" s="491">
        <f>SUMIF('Diags Raw Data'!$A$6:$A$3791,"*"&amp;$A72&amp;"*",'Diags Raw Data'!$Z$6:$Z$3791)</f>
        <v>0</v>
      </c>
      <c r="Q72" s="492">
        <f>SUM(SUMIF('Diags Raw Data'!$A$6:$A$3791,"*"&amp;$A72&amp;"*",'Diags Raw Data'!$AA$6:$AA$3791),SUMIF('Diags Raw Data'!$A$6:$A$3791,"*"&amp;$A72&amp;"*",'Diags Raw Data'!$AB$6:$AB$3791))</f>
        <v>0</v>
      </c>
      <c r="R72" s="493">
        <f t="shared" si="9"/>
        <v>0</v>
      </c>
      <c r="S72" s="493">
        <f t="shared" si="10"/>
        <v>0</v>
      </c>
      <c r="T72" s="494">
        <f t="shared" si="11"/>
        <v>0</v>
      </c>
      <c r="U72" s="442" t="s">
        <v>1136</v>
      </c>
      <c r="V72" s="182"/>
    </row>
    <row r="73" spans="1:22" ht="29.1">
      <c r="A73" s="584" t="s">
        <v>445</v>
      </c>
      <c r="B73" s="438" t="str">
        <f>VLOOKUP(A73,'Feature Raw Data'!$A$3:$B$4004,2,FALSE)</f>
        <v>DCN4.067 - Fmt subsample</v>
      </c>
      <c r="C73" s="439" t="str">
        <f>VLOOKUP(A73,'Feature Raw Data'!$A$3:$C$4004,3,FALSE)</f>
        <v>P2</v>
      </c>
      <c r="D73" s="440" t="str" cm="1">
        <f t="array" ref="D73">_xlfn.TEXTJOIN("",TRUE,IF(ISNUMBER(SEARCH($A73,'Diags Raw Data'!$A$6:$A$3791)),CONCATENATE('Diags Raw Data'!$H$6:$H$3791,", "),""))</f>
        <v xml:space="preserve">MPC015, FMT009, FMT010, FMT011, FMT014, FMT015, </v>
      </c>
      <c r="E73" s="336" t="str">
        <f>VLOOKUP(A73,'Diags Raw Data'!$A$6:$D$3791,4,FALSE)</f>
        <v>FMT</v>
      </c>
      <c r="F73" s="336" t="str">
        <f>VLOOKUP(A73,'Feature Raw Data'!$A$3:$E$4004,5,FALSE)</f>
        <v>Legacy</v>
      </c>
      <c r="G73" s="336" t="str">
        <f t="shared" si="6"/>
        <v>Yes</v>
      </c>
      <c r="H73" s="336" t="str">
        <f t="shared" si="7"/>
        <v>Yes</v>
      </c>
      <c r="I73" s="439">
        <f>SUMIF('Diags Raw Data'!$A$6:$A$3791,"*"&amp;$A73&amp;"*",'Diags Raw Data'!$K$6:$K$3791)</f>
        <v>6</v>
      </c>
      <c r="J73" s="441">
        <f>SUMIF('Diags Raw Data'!$A$6:$A$3791,"*"&amp;$A73&amp;"*",'Diags Raw Data'!$L$6:$L$3791)</f>
        <v>41</v>
      </c>
      <c r="K73" s="486" cm="1">
        <f t="array" ref="K73">IF(D73="",0, SUMPRODUCT(--(ISNUMBER(SEARCH($A73,'Diags Raw Data'!$A$6:$A$3791))),'Diags Raw Data'!$L$6:$L$3791,'Diags Raw Data'!$N$6:$N$3791)/J73)</f>
        <v>1</v>
      </c>
      <c r="L73" s="487" cm="1">
        <f t="array" ref="L73">IF(D73="",0, SUMPRODUCT(--(ISNUMBER(SEARCH($A73,'Diags Raw Data'!$A$6:$A$3791))),'Diags Raw Data'!$L$6:$L$3791,'Diags Raw Data'!$P$6:$P$3791)/J73)</f>
        <v>1</v>
      </c>
      <c r="M73" s="488" cm="1">
        <f t="array" ref="M73">SUMPRODUCT(--(ISNUMBER(SEARCH($A73,'Diags Raw Data'!$A$6:$A$3791))),--('Diags Raw Data'!$Q$6:$Q$3791&lt;&gt;"N/A"),'Diags Raw Data'!$R$6:$R$3791)</f>
        <v>21</v>
      </c>
      <c r="N73" s="489" cm="1">
        <f t="array" ref="N73">SUMPRODUCT(--(ISNUMBER(SEARCH($A73,'Diags Raw Data'!$A$6:$A$3791))),--('Diags Raw Data'!$Q$6:$Q$3791&lt;&gt;"N/A"),'Diags Raw Data'!$T$6:$T$3791)+SUMPRODUCT(--(ISNUMBER(SEARCH($A73,'Diags Raw Data'!$A$6:$A$3791))),--('Diags Raw Data'!$Q$6:$Q$3791&lt;&gt;"N/A"),'Diags Raw Data'!$U$6:$U$3791)</f>
        <v>19</v>
      </c>
      <c r="O73" s="490">
        <f t="shared" si="8"/>
        <v>0.90476190476190477</v>
      </c>
      <c r="P73" s="491">
        <f>SUMIF('Diags Raw Data'!$A$6:$A$3791,"*"&amp;$A73&amp;"*",'Diags Raw Data'!$Z$6:$Z$3791)</f>
        <v>0</v>
      </c>
      <c r="Q73" s="492">
        <f>SUM(SUMIF('Diags Raw Data'!$A$6:$A$3791,"*"&amp;$A73&amp;"*",'Diags Raw Data'!$AA$6:$AA$3791),SUMIF('Diags Raw Data'!$A$6:$A$3791,"*"&amp;$A73&amp;"*",'Diags Raw Data'!$AB$6:$AB$3791))</f>
        <v>0</v>
      </c>
      <c r="R73" s="493">
        <f t="shared" si="9"/>
        <v>0</v>
      </c>
      <c r="S73" s="493">
        <f t="shared" si="10"/>
        <v>0</v>
      </c>
      <c r="T73" s="494">
        <f t="shared" si="11"/>
        <v>0</v>
      </c>
      <c r="U73" s="442" t="s">
        <v>1136</v>
      </c>
      <c r="V73" s="182"/>
    </row>
    <row r="74" spans="1:22">
      <c r="A74" s="584" t="s">
        <v>447</v>
      </c>
      <c r="B74" s="438" t="str">
        <f>VLOOKUP(A74,'Feature Raw Data'!$A$3:$B$4004,2,FALSE)</f>
        <v>DCN4.068 - Fmt dynamic and zero expansion</v>
      </c>
      <c r="C74" s="439" t="str">
        <f>VLOOKUP(A74,'Feature Raw Data'!$A$3:$C$4004,3,FALSE)</f>
        <v>P2</v>
      </c>
      <c r="D74" s="440" t="str" cm="1">
        <f t="array" ref="D74">_xlfn.TEXTJOIN("",TRUE,IF(ISNUMBER(SEARCH($A74,'Diags Raw Data'!$A$6:$A$3791)),CONCATENATE('Diags Raw Data'!$H$6:$H$3791,", "),""))</f>
        <v/>
      </c>
      <c r="E74" s="336" t="e">
        <f>VLOOKUP(A74,'Diags Raw Data'!$A$6:$D$3791,4,FALSE)</f>
        <v>#N/A</v>
      </c>
      <c r="F74" s="336" t="str">
        <f>VLOOKUP(A74,'Feature Raw Data'!$A$3:$E$4004,5,FALSE)</f>
        <v>Legacy</v>
      </c>
      <c r="G74" s="336" t="str">
        <f t="shared" si="6"/>
        <v>No</v>
      </c>
      <c r="H74" s="336" t="str">
        <f t="shared" si="7"/>
        <v>No</v>
      </c>
      <c r="I74" s="439">
        <f>SUMIF('Diags Raw Data'!$A$6:$A$3791,"*"&amp;$A74&amp;"*",'Diags Raw Data'!$K$6:$K$3791)</f>
        <v>0</v>
      </c>
      <c r="J74" s="441">
        <f>SUMIF('Diags Raw Data'!$A$6:$A$3791,"*"&amp;$A74&amp;"*",'Diags Raw Data'!$L$6:$L$3791)</f>
        <v>0</v>
      </c>
      <c r="K74" s="486" cm="1">
        <f t="array" ref="K74">IF(D74="",0, SUMPRODUCT(--(ISNUMBER(SEARCH($A74,'Diags Raw Data'!$A$6:$A$3791))),'Diags Raw Data'!$L$6:$L$3791,'Diags Raw Data'!$N$6:$N$3791)/J74)</f>
        <v>0</v>
      </c>
      <c r="L74" s="487" cm="1">
        <f t="array" ref="L74">IF(D74="",0, SUMPRODUCT(--(ISNUMBER(SEARCH($A74,'Diags Raw Data'!$A$6:$A$3791))),'Diags Raw Data'!$L$6:$L$3791,'Diags Raw Data'!$P$6:$P$3791)/J74)</f>
        <v>0</v>
      </c>
      <c r="M74" s="488" cm="1">
        <f t="array" ref="M74">SUMPRODUCT(--(ISNUMBER(SEARCH($A74,'Diags Raw Data'!$A$6:$A$3791))),--('Diags Raw Data'!$Q$6:$Q$3791&lt;&gt;"N/A"),'Diags Raw Data'!$R$6:$R$3791)</f>
        <v>0</v>
      </c>
      <c r="N74" s="489" cm="1">
        <f t="array" ref="N74">SUMPRODUCT(--(ISNUMBER(SEARCH($A74,'Diags Raw Data'!$A$6:$A$3791))),--('Diags Raw Data'!$Q$6:$Q$3791&lt;&gt;"N/A"),'Diags Raw Data'!$T$6:$T$3791)+SUMPRODUCT(--(ISNUMBER(SEARCH($A74,'Diags Raw Data'!$A$6:$A$3791))),--('Diags Raw Data'!$Q$6:$Q$3791&lt;&gt;"N/A"),'Diags Raw Data'!$U$6:$U$3791)</f>
        <v>0</v>
      </c>
      <c r="O74" s="490">
        <f t="shared" si="8"/>
        <v>0</v>
      </c>
      <c r="P74" s="491">
        <f>SUMIF('Diags Raw Data'!$A$6:$A$3791,"*"&amp;$A74&amp;"*",'Diags Raw Data'!$Z$6:$Z$3791)</f>
        <v>0</v>
      </c>
      <c r="Q74" s="492">
        <f>SUM(SUMIF('Diags Raw Data'!$A$6:$A$3791,"*"&amp;$A74&amp;"*",'Diags Raw Data'!$AA$6:$AA$3791),SUMIF('Diags Raw Data'!$A$6:$A$3791,"*"&amp;$A74&amp;"*",'Diags Raw Data'!$AB$6:$AB$3791))</f>
        <v>0</v>
      </c>
      <c r="R74" s="493">
        <f t="shared" si="9"/>
        <v>0</v>
      </c>
      <c r="S74" s="493">
        <f t="shared" si="10"/>
        <v>0</v>
      </c>
      <c r="T74" s="494">
        <f t="shared" si="11"/>
        <v>0</v>
      </c>
      <c r="U74" s="442" t="s">
        <v>1136</v>
      </c>
      <c r="V74" s="182"/>
    </row>
    <row r="75" spans="1:22">
      <c r="A75" s="584" t="s">
        <v>449</v>
      </c>
      <c r="B75" s="438" t="str">
        <f>VLOOKUP(A75,'Feature Raw Data'!$A$3:$B$4004,2,FALSE)</f>
        <v>DCN4.069 - Fmt repetition</v>
      </c>
      <c r="C75" s="439" t="str">
        <f>VLOOKUP(A75,'Feature Raw Data'!$A$3:$C$4004,3,FALSE)</f>
        <v>P2</v>
      </c>
      <c r="D75" s="440" t="str" cm="1">
        <f t="array" ref="D75">_xlfn.TEXTJOIN("",TRUE,IF(ISNUMBER(SEARCH($A75,'Diags Raw Data'!$A$6:$A$3791)),CONCATENATE('Diags Raw Data'!$H$6:$H$3791,", "),""))</f>
        <v/>
      </c>
      <c r="E75" s="336" t="e">
        <f>VLOOKUP(A75,'Diags Raw Data'!$A$6:$D$3791,4,FALSE)</f>
        <v>#N/A</v>
      </c>
      <c r="F75" s="336" t="str">
        <f>VLOOKUP(A75,'Feature Raw Data'!$A$3:$E$4004,5,FALSE)</f>
        <v>Legacy</v>
      </c>
      <c r="G75" s="336" t="str">
        <f t="shared" si="6"/>
        <v>No</v>
      </c>
      <c r="H75" s="336" t="str">
        <f t="shared" si="7"/>
        <v>No</v>
      </c>
      <c r="I75" s="439">
        <f>SUMIF('Diags Raw Data'!$A$6:$A$3791,"*"&amp;$A75&amp;"*",'Diags Raw Data'!$K$6:$K$3791)</f>
        <v>0</v>
      </c>
      <c r="J75" s="441">
        <f>SUMIF('Diags Raw Data'!$A$6:$A$3791,"*"&amp;$A75&amp;"*",'Diags Raw Data'!$L$6:$L$3791)</f>
        <v>0</v>
      </c>
      <c r="K75" s="486" cm="1">
        <f t="array" ref="K75">IF(D75="",0, SUMPRODUCT(--(ISNUMBER(SEARCH($A75,'Diags Raw Data'!$A$6:$A$3791))),'Diags Raw Data'!$L$6:$L$3791,'Diags Raw Data'!$N$6:$N$3791)/J75)</f>
        <v>0</v>
      </c>
      <c r="L75" s="487" cm="1">
        <f t="array" ref="L75">IF(D75="",0, SUMPRODUCT(--(ISNUMBER(SEARCH($A75,'Diags Raw Data'!$A$6:$A$3791))),'Diags Raw Data'!$L$6:$L$3791,'Diags Raw Data'!$P$6:$P$3791)/J75)</f>
        <v>0</v>
      </c>
      <c r="M75" s="488" cm="1">
        <f t="array" ref="M75">SUMPRODUCT(--(ISNUMBER(SEARCH($A75,'Diags Raw Data'!$A$6:$A$3791))),--('Diags Raw Data'!$Q$6:$Q$3791&lt;&gt;"N/A"),'Diags Raw Data'!$R$6:$R$3791)</f>
        <v>0</v>
      </c>
      <c r="N75" s="489" cm="1">
        <f t="array" ref="N75">SUMPRODUCT(--(ISNUMBER(SEARCH($A75,'Diags Raw Data'!$A$6:$A$3791))),--('Diags Raw Data'!$Q$6:$Q$3791&lt;&gt;"N/A"),'Diags Raw Data'!$T$6:$T$3791)+SUMPRODUCT(--(ISNUMBER(SEARCH($A75,'Diags Raw Data'!$A$6:$A$3791))),--('Diags Raw Data'!$Q$6:$Q$3791&lt;&gt;"N/A"),'Diags Raw Data'!$U$6:$U$3791)</f>
        <v>0</v>
      </c>
      <c r="O75" s="490">
        <f t="shared" si="8"/>
        <v>0</v>
      </c>
      <c r="P75" s="491">
        <f>SUMIF('Diags Raw Data'!$A$6:$A$3791,"*"&amp;$A75&amp;"*",'Diags Raw Data'!$Z$6:$Z$3791)</f>
        <v>0</v>
      </c>
      <c r="Q75" s="492">
        <f>SUM(SUMIF('Diags Raw Data'!$A$6:$A$3791,"*"&amp;$A75&amp;"*",'Diags Raw Data'!$AA$6:$AA$3791),SUMIF('Diags Raw Data'!$A$6:$A$3791,"*"&amp;$A75&amp;"*",'Diags Raw Data'!$AB$6:$AB$3791))</f>
        <v>0</v>
      </c>
      <c r="R75" s="493">
        <f t="shared" si="9"/>
        <v>0</v>
      </c>
      <c r="S75" s="493">
        <f t="shared" si="10"/>
        <v>0</v>
      </c>
      <c r="T75" s="494">
        <f t="shared" si="11"/>
        <v>0</v>
      </c>
      <c r="U75" s="442" t="s">
        <v>1136</v>
      </c>
      <c r="V75" s="182"/>
    </row>
    <row r="76" spans="1:22" ht="29.1">
      <c r="A76" s="584" t="s">
        <v>451</v>
      </c>
      <c r="B76" s="438" t="str">
        <f>VLOOKUP(A76,'Feature Raw Data'!$A$3:$B$4004,2,FALSE)</f>
        <v>DCN4.070 - Fmt dither</v>
      </c>
      <c r="C76" s="439" t="str">
        <f>VLOOKUP(A76,'Feature Raw Data'!$A$3:$C$4004,3,FALSE)</f>
        <v>P2</v>
      </c>
      <c r="D76" s="440" t="str" cm="1">
        <f t="array" ref="D76">_xlfn.TEXTJOIN("",TRUE,IF(ISNUMBER(SEARCH($A76,'Diags Raw Data'!$A$6:$A$3791)),CONCATENATE('Diags Raw Data'!$H$6:$H$3791,", "),""))</f>
        <v xml:space="preserve">FMT002, FMT003, FMT004, FMT005, FMT006, </v>
      </c>
      <c r="E76" s="336" t="str">
        <f>VLOOKUP(A76,'Diags Raw Data'!$A$6:$D$3791,4,FALSE)</f>
        <v>FMT</v>
      </c>
      <c r="F76" s="336" t="str">
        <f>VLOOKUP(A76,'Feature Raw Data'!$A$3:$E$4004,5,FALSE)</f>
        <v>Legacy</v>
      </c>
      <c r="G76" s="336" t="str">
        <f t="shared" si="6"/>
        <v>Yes</v>
      </c>
      <c r="H76" s="336" t="str">
        <f t="shared" si="7"/>
        <v>Yes</v>
      </c>
      <c r="I76" s="439">
        <f>SUMIF('Diags Raw Data'!$A$6:$A$3791,"*"&amp;$A76&amp;"*",'Diags Raw Data'!$K$6:$K$3791)</f>
        <v>5</v>
      </c>
      <c r="J76" s="441">
        <f>SUMIF('Diags Raw Data'!$A$6:$A$3791,"*"&amp;$A76&amp;"*",'Diags Raw Data'!$L$6:$L$3791)</f>
        <v>80</v>
      </c>
      <c r="K76" s="486" cm="1">
        <f t="array" ref="K76">IF(D76="",0, SUMPRODUCT(--(ISNUMBER(SEARCH($A76,'Diags Raw Data'!$A$6:$A$3791))),'Diags Raw Data'!$L$6:$L$3791,'Diags Raw Data'!$N$6:$N$3791)/J76)</f>
        <v>1</v>
      </c>
      <c r="L76" s="487" cm="1">
        <f t="array" ref="L76">IF(D76="",0, SUMPRODUCT(--(ISNUMBER(SEARCH($A76,'Diags Raw Data'!$A$6:$A$3791))),'Diags Raw Data'!$L$6:$L$3791,'Diags Raw Data'!$P$6:$P$3791)/J76)</f>
        <v>1</v>
      </c>
      <c r="M76" s="488" cm="1">
        <f t="array" ref="M76">SUMPRODUCT(--(ISNUMBER(SEARCH($A76,'Diags Raw Data'!$A$6:$A$3791))),--('Diags Raw Data'!$Q$6:$Q$3791&lt;&gt;"N/A"),'Diags Raw Data'!$R$6:$R$3791)</f>
        <v>71</v>
      </c>
      <c r="N76" s="489" cm="1">
        <f t="array" ref="N76">SUMPRODUCT(--(ISNUMBER(SEARCH($A76,'Diags Raw Data'!$A$6:$A$3791))),--('Diags Raw Data'!$Q$6:$Q$3791&lt;&gt;"N/A"),'Diags Raw Data'!$T$6:$T$3791)+SUMPRODUCT(--(ISNUMBER(SEARCH($A76,'Diags Raw Data'!$A$6:$A$3791))),--('Diags Raw Data'!$Q$6:$Q$3791&lt;&gt;"N/A"),'Diags Raw Data'!$U$6:$U$3791)</f>
        <v>71</v>
      </c>
      <c r="O76" s="490">
        <f t="shared" si="8"/>
        <v>1</v>
      </c>
      <c r="P76" s="491">
        <f>SUMIF('Diags Raw Data'!$A$6:$A$3791,"*"&amp;$A76&amp;"*",'Diags Raw Data'!$Z$6:$Z$3791)</f>
        <v>0</v>
      </c>
      <c r="Q76" s="492">
        <f>SUM(SUMIF('Diags Raw Data'!$A$6:$A$3791,"*"&amp;$A76&amp;"*",'Diags Raw Data'!$AA$6:$AA$3791),SUMIF('Diags Raw Data'!$A$6:$A$3791,"*"&amp;$A76&amp;"*",'Diags Raw Data'!$AB$6:$AB$3791))</f>
        <v>0</v>
      </c>
      <c r="R76" s="493">
        <f t="shared" si="9"/>
        <v>0</v>
      </c>
      <c r="S76" s="493">
        <f t="shared" si="10"/>
        <v>0</v>
      </c>
      <c r="T76" s="494">
        <f t="shared" si="11"/>
        <v>0</v>
      </c>
      <c r="U76" s="442" t="s">
        <v>1136</v>
      </c>
      <c r="V76" s="182"/>
    </row>
    <row r="77" spans="1:22">
      <c r="A77" s="584" t="s">
        <v>453</v>
      </c>
      <c r="B77" s="438" t="str">
        <f>VLOOKUP(A77,'Feature Raw Data'!$A$3:$B$4004,2,FALSE)</f>
        <v>DCN4.071 - DSC for DP</v>
      </c>
      <c r="C77" s="439" t="str">
        <f>VLOOKUP(A77,'Feature Raw Data'!$A$3:$C$4004,3,FALSE)</f>
        <v>P2</v>
      </c>
      <c r="D77" s="440" t="str" cm="1">
        <f t="array" ref="D77">_xlfn.TEXTJOIN("",TRUE,IF(ISNUMBER(SEARCH($A77,'Diags Raw Data'!$A$6:$A$3791)),CONCATENATE('Diags Raw Data'!$H$6:$H$3791,", "),""))</f>
        <v xml:space="preserve">DSC004, </v>
      </c>
      <c r="E77" s="336" t="e">
        <f>VLOOKUP(A77,'Diags Raw Data'!$A$6:$D$3791,4,FALSE)</f>
        <v>#N/A</v>
      </c>
      <c r="F77" s="336" t="str">
        <f>VLOOKUP(A77,'Feature Raw Data'!$A$3:$E$4004,5,FALSE)</f>
        <v>Legacy</v>
      </c>
      <c r="G77" s="336" t="str">
        <f t="shared" si="6"/>
        <v>Yes</v>
      </c>
      <c r="H77" s="336" t="str">
        <f t="shared" si="7"/>
        <v>Yes</v>
      </c>
      <c r="I77" s="439">
        <f>SUMIF('Diags Raw Data'!$A$6:$A$3791,"*"&amp;$A77&amp;"*",'Diags Raw Data'!$K$6:$K$3791)</f>
        <v>1</v>
      </c>
      <c r="J77" s="441">
        <f>SUMIF('Diags Raw Data'!$A$6:$A$3791,"*"&amp;$A77&amp;"*",'Diags Raw Data'!$L$6:$L$3791)</f>
        <v>18</v>
      </c>
      <c r="K77" s="486" cm="1">
        <f t="array" ref="K77">IF(D77="",0, SUMPRODUCT(--(ISNUMBER(SEARCH($A77,'Diags Raw Data'!$A$6:$A$3791))),'Diags Raw Data'!$L$6:$L$3791,'Diags Raw Data'!$N$6:$N$3791)/J77)</f>
        <v>1</v>
      </c>
      <c r="L77" s="487" cm="1">
        <f t="array" ref="L77">IF(D77="",0, SUMPRODUCT(--(ISNUMBER(SEARCH($A77,'Diags Raw Data'!$A$6:$A$3791))),'Diags Raw Data'!$L$6:$L$3791,'Diags Raw Data'!$P$6:$P$3791)/J77)</f>
        <v>1</v>
      </c>
      <c r="M77" s="488" cm="1">
        <f t="array" ref="M77">SUMPRODUCT(--(ISNUMBER(SEARCH($A77,'Diags Raw Data'!$A$6:$A$3791))),--('Diags Raw Data'!$Q$6:$Q$3791&lt;&gt;"N/A"),'Diags Raw Data'!$R$6:$R$3791)</f>
        <v>1</v>
      </c>
      <c r="N77" s="489" cm="1">
        <f t="array" ref="N77">SUMPRODUCT(--(ISNUMBER(SEARCH($A77,'Diags Raw Data'!$A$6:$A$3791))),--('Diags Raw Data'!$Q$6:$Q$3791&lt;&gt;"N/A"),'Diags Raw Data'!$T$6:$T$3791)+SUMPRODUCT(--(ISNUMBER(SEARCH($A77,'Diags Raw Data'!$A$6:$A$3791))),--('Diags Raw Data'!$Q$6:$Q$3791&lt;&gt;"N/A"),'Diags Raw Data'!$U$6:$U$3791)</f>
        <v>1</v>
      </c>
      <c r="O77" s="490">
        <f t="shared" si="8"/>
        <v>1</v>
      </c>
      <c r="P77" s="491">
        <f>SUMIF('Diags Raw Data'!$A$6:$A$3791,"*"&amp;$A77&amp;"*",'Diags Raw Data'!$Z$6:$Z$3791)</f>
        <v>0</v>
      </c>
      <c r="Q77" s="492">
        <f>SUM(SUMIF('Diags Raw Data'!$A$6:$A$3791,"*"&amp;$A77&amp;"*",'Diags Raw Data'!$AA$6:$AA$3791),SUMIF('Diags Raw Data'!$A$6:$A$3791,"*"&amp;$A77&amp;"*",'Diags Raw Data'!$AB$6:$AB$3791))</f>
        <v>0</v>
      </c>
      <c r="R77" s="493">
        <f t="shared" si="9"/>
        <v>0</v>
      </c>
      <c r="S77" s="493">
        <f t="shared" si="10"/>
        <v>0</v>
      </c>
      <c r="T77" s="494">
        <f t="shared" si="11"/>
        <v>0</v>
      </c>
      <c r="U77" s="442" t="s">
        <v>1134</v>
      </c>
      <c r="V77" s="182"/>
    </row>
    <row r="78" spans="1:22">
      <c r="A78" s="584" t="s">
        <v>455</v>
      </c>
      <c r="B78" s="438" t="str">
        <f>VLOOKUP(A78,'Feature Raw Data'!$A$3:$B$4004,2,FALSE)</f>
        <v>DCN4.072 - DSC area optimization</v>
      </c>
      <c r="C78" s="439" t="str">
        <f>VLOOKUP(A78,'Feature Raw Data'!$A$3:$C$4004,3,FALSE)</f>
        <v>P2</v>
      </c>
      <c r="D78" s="440" t="str" cm="1">
        <f t="array" ref="D78">_xlfn.TEXTJOIN("",TRUE,IF(ISNUMBER(SEARCH($A78,'Diags Raw Data'!$A$6:$A$3791)),CONCATENATE('Diags Raw Data'!$H$6:$H$3791,", "),""))</f>
        <v xml:space="preserve">DSC004, </v>
      </c>
      <c r="E78" s="336" t="e">
        <f>VLOOKUP(A78,'Diags Raw Data'!$A$6:$D$3791,4,FALSE)</f>
        <v>#N/A</v>
      </c>
      <c r="F78" s="336" t="str">
        <f>VLOOKUP(A78,'Feature Raw Data'!$A$3:$E$4004,5,FALSE)</f>
        <v>New</v>
      </c>
      <c r="G78" s="336" t="str">
        <f t="shared" si="6"/>
        <v>Yes</v>
      </c>
      <c r="H78" s="336" t="str">
        <f t="shared" si="7"/>
        <v>Yes</v>
      </c>
      <c r="I78" s="439">
        <f>SUMIF('Diags Raw Data'!$A$6:$A$3791,"*"&amp;$A78&amp;"*",'Diags Raw Data'!$K$6:$K$3791)</f>
        <v>1</v>
      </c>
      <c r="J78" s="441">
        <f>SUMIF('Diags Raw Data'!$A$6:$A$3791,"*"&amp;$A78&amp;"*",'Diags Raw Data'!$L$6:$L$3791)</f>
        <v>18</v>
      </c>
      <c r="K78" s="486" cm="1">
        <f t="array" ref="K78">IF(D78="",0, SUMPRODUCT(--(ISNUMBER(SEARCH($A78,'Diags Raw Data'!$A$6:$A$3791))),'Diags Raw Data'!$L$6:$L$3791,'Diags Raw Data'!$N$6:$N$3791)/J78)</f>
        <v>1</v>
      </c>
      <c r="L78" s="487" cm="1">
        <f t="array" ref="L78">IF(D78="",0, SUMPRODUCT(--(ISNUMBER(SEARCH($A78,'Diags Raw Data'!$A$6:$A$3791))),'Diags Raw Data'!$L$6:$L$3791,'Diags Raw Data'!$P$6:$P$3791)/J78)</f>
        <v>1</v>
      </c>
      <c r="M78" s="488" cm="1">
        <f t="array" ref="M78">SUMPRODUCT(--(ISNUMBER(SEARCH($A78,'Diags Raw Data'!$A$6:$A$3791))),--('Diags Raw Data'!$Q$6:$Q$3791&lt;&gt;"N/A"),'Diags Raw Data'!$R$6:$R$3791)</f>
        <v>1</v>
      </c>
      <c r="N78" s="489" cm="1">
        <f t="array" ref="N78">SUMPRODUCT(--(ISNUMBER(SEARCH($A78,'Diags Raw Data'!$A$6:$A$3791))),--('Diags Raw Data'!$Q$6:$Q$3791&lt;&gt;"N/A"),'Diags Raw Data'!$T$6:$T$3791)+SUMPRODUCT(--(ISNUMBER(SEARCH($A78,'Diags Raw Data'!$A$6:$A$3791))),--('Diags Raw Data'!$Q$6:$Q$3791&lt;&gt;"N/A"),'Diags Raw Data'!$U$6:$U$3791)</f>
        <v>1</v>
      </c>
      <c r="O78" s="490">
        <f t="shared" si="8"/>
        <v>1</v>
      </c>
      <c r="P78" s="491">
        <f>SUMIF('Diags Raw Data'!$A$6:$A$3791,"*"&amp;$A78&amp;"*",'Diags Raw Data'!$Z$6:$Z$3791)</f>
        <v>0</v>
      </c>
      <c r="Q78" s="492">
        <f>SUM(SUMIF('Diags Raw Data'!$A$6:$A$3791,"*"&amp;$A78&amp;"*",'Diags Raw Data'!$AA$6:$AA$3791),SUMIF('Diags Raw Data'!$A$6:$A$3791,"*"&amp;$A78&amp;"*",'Diags Raw Data'!$AB$6:$AB$3791))</f>
        <v>0</v>
      </c>
      <c r="R78" s="493">
        <f t="shared" si="9"/>
        <v>0</v>
      </c>
      <c r="S78" s="493">
        <f t="shared" si="10"/>
        <v>0</v>
      </c>
      <c r="T78" s="494">
        <f t="shared" si="11"/>
        <v>0</v>
      </c>
      <c r="U78" s="442" t="s">
        <v>1134</v>
      </c>
      <c r="V78" s="182"/>
    </row>
    <row r="79" spans="1:22">
      <c r="A79" s="584" t="s">
        <v>457</v>
      </c>
      <c r="B79" s="438" t="str">
        <f>VLOOKUP(A79,'Feature Raw Data'!$A$3:$B$4004,2,FALSE)</f>
        <v>DCN4.073 - DP FEC support</v>
      </c>
      <c r="C79" s="439" t="str">
        <f>VLOOKUP(A79,'Feature Raw Data'!$A$3:$C$4004,3,FALSE)</f>
        <v>P2</v>
      </c>
      <c r="D79" s="440" t="str" cm="1">
        <f t="array" ref="D79">_xlfn.TEXTJOIN("",TRUE,IF(ISNUMBER(SEARCH($A79,'Diags Raw Data'!$A$6:$A$3791)),CONCATENATE('Diags Raw Data'!$H$6:$H$3791,", "),""))</f>
        <v xml:space="preserve">DSC004, </v>
      </c>
      <c r="E79" s="336" t="e">
        <f>VLOOKUP(A79,'Diags Raw Data'!$A$6:$D$3791,4,FALSE)</f>
        <v>#N/A</v>
      </c>
      <c r="F79" s="336" t="str">
        <f>VLOOKUP(A79,'Feature Raw Data'!$A$3:$E$4004,5,FALSE)</f>
        <v>Legacy</v>
      </c>
      <c r="G79" s="336" t="str">
        <f t="shared" si="6"/>
        <v>Yes</v>
      </c>
      <c r="H79" s="336" t="str">
        <f t="shared" si="7"/>
        <v>Yes</v>
      </c>
      <c r="I79" s="439">
        <f>SUMIF('Diags Raw Data'!$A$6:$A$3791,"*"&amp;$A79&amp;"*",'Diags Raw Data'!$K$6:$K$3791)</f>
        <v>1</v>
      </c>
      <c r="J79" s="441">
        <f>SUMIF('Diags Raw Data'!$A$6:$A$3791,"*"&amp;$A79&amp;"*",'Diags Raw Data'!$L$6:$L$3791)</f>
        <v>18</v>
      </c>
      <c r="K79" s="486" cm="1">
        <f t="array" ref="K79">IF(D79="",0, SUMPRODUCT(--(ISNUMBER(SEARCH($A79,'Diags Raw Data'!$A$6:$A$3791))),'Diags Raw Data'!$L$6:$L$3791,'Diags Raw Data'!$N$6:$N$3791)/J79)</f>
        <v>1</v>
      </c>
      <c r="L79" s="487" cm="1">
        <f t="array" ref="L79">IF(D79="",0, SUMPRODUCT(--(ISNUMBER(SEARCH($A79,'Diags Raw Data'!$A$6:$A$3791))),'Diags Raw Data'!$L$6:$L$3791,'Diags Raw Data'!$P$6:$P$3791)/J79)</f>
        <v>1</v>
      </c>
      <c r="M79" s="488" cm="1">
        <f t="array" ref="M79">SUMPRODUCT(--(ISNUMBER(SEARCH($A79,'Diags Raw Data'!$A$6:$A$3791))),--('Diags Raw Data'!$Q$6:$Q$3791&lt;&gt;"N/A"),'Diags Raw Data'!$R$6:$R$3791)</f>
        <v>1</v>
      </c>
      <c r="N79" s="489" cm="1">
        <f t="array" ref="N79">SUMPRODUCT(--(ISNUMBER(SEARCH($A79,'Diags Raw Data'!$A$6:$A$3791))),--('Diags Raw Data'!$Q$6:$Q$3791&lt;&gt;"N/A"),'Diags Raw Data'!$T$6:$T$3791)+SUMPRODUCT(--(ISNUMBER(SEARCH($A79,'Diags Raw Data'!$A$6:$A$3791))),--('Diags Raw Data'!$Q$6:$Q$3791&lt;&gt;"N/A"),'Diags Raw Data'!$U$6:$U$3791)</f>
        <v>1</v>
      </c>
      <c r="O79" s="490">
        <f t="shared" si="8"/>
        <v>1</v>
      </c>
      <c r="P79" s="491">
        <f>SUMIF('Diags Raw Data'!$A$6:$A$3791,"*"&amp;$A79&amp;"*",'Diags Raw Data'!$Z$6:$Z$3791)</f>
        <v>0</v>
      </c>
      <c r="Q79" s="492">
        <f>SUM(SUMIF('Diags Raw Data'!$A$6:$A$3791,"*"&amp;$A79&amp;"*",'Diags Raw Data'!$AA$6:$AA$3791),SUMIF('Diags Raw Data'!$A$6:$A$3791,"*"&amp;$A79&amp;"*",'Diags Raw Data'!$AB$6:$AB$3791))</f>
        <v>0</v>
      </c>
      <c r="R79" s="493">
        <f t="shared" si="9"/>
        <v>0</v>
      </c>
      <c r="S79" s="493">
        <f t="shared" si="10"/>
        <v>0</v>
      </c>
      <c r="T79" s="494">
        <f t="shared" si="11"/>
        <v>0</v>
      </c>
      <c r="U79" s="442" t="s">
        <v>1134</v>
      </c>
      <c r="V79" s="182"/>
    </row>
    <row r="80" spans="1:22" ht="29.1">
      <c r="A80" s="584" t="s">
        <v>459</v>
      </c>
      <c r="B80" s="438" t="str">
        <f>VLOOKUP(A80,'Feature Raw Data'!$A$3:$B$4004,2,FALSE)</f>
        <v xml:space="preserve">DCN4.074 - ODM Combine </v>
      </c>
      <c r="C80" s="439" t="str">
        <f>VLOOKUP(A80,'Feature Raw Data'!$A$3:$C$4004,3,FALSE)</f>
        <v>P2</v>
      </c>
      <c r="D80" s="440" t="str" cm="1">
        <f t="array" ref="D80">_xlfn.TEXTJOIN("",TRUE,IF(ISNUMBER(SEARCH($A80,'Diags Raw Data'!$A$6:$A$3791)),CONCATENATE('Diags Raw Data'!$H$6:$H$3791,", "),""))</f>
        <v xml:space="preserve">ODM001, ODM003, ODM005, ODM004, OTG029, </v>
      </c>
      <c r="E80" s="336" t="str">
        <f>VLOOKUP(A80,'Diags Raw Data'!$A$6:$D$3791,4,FALSE)</f>
        <v>ODM</v>
      </c>
      <c r="F80" s="336" t="str">
        <f>VLOOKUP(A80,'Feature Raw Data'!$A$3:$E$4004,5,FALSE)</f>
        <v>Legacy</v>
      </c>
      <c r="G80" s="336" t="str">
        <f t="shared" si="6"/>
        <v>Yes</v>
      </c>
      <c r="H80" s="336" t="str">
        <f t="shared" si="7"/>
        <v>Yes</v>
      </c>
      <c r="I80" s="439">
        <f>SUMIF('Diags Raw Data'!$A$6:$A$3791,"*"&amp;$A80&amp;"*",'Diags Raw Data'!$K$6:$K$3791)</f>
        <v>6</v>
      </c>
      <c r="J80" s="441">
        <f>SUMIF('Diags Raw Data'!$A$6:$A$3791,"*"&amp;$A80&amp;"*",'Diags Raw Data'!$L$6:$L$3791)</f>
        <v>68</v>
      </c>
      <c r="K80" s="486" cm="1">
        <f t="array" ref="K80">IF(D80="",0, SUMPRODUCT(--(ISNUMBER(SEARCH($A80,'Diags Raw Data'!$A$6:$A$3791))),'Diags Raw Data'!$L$6:$L$3791,'Diags Raw Data'!$N$6:$N$3791)/J80)</f>
        <v>1</v>
      </c>
      <c r="L80" s="487" cm="1">
        <f t="array" ref="L80">IF(D80="",0, SUMPRODUCT(--(ISNUMBER(SEARCH($A80,'Diags Raw Data'!$A$6:$A$3791))),'Diags Raw Data'!$L$6:$L$3791,'Diags Raw Data'!$P$6:$P$3791)/J80)</f>
        <v>1</v>
      </c>
      <c r="M80" s="488" cm="1">
        <f t="array" ref="M80">SUMPRODUCT(--(ISNUMBER(SEARCH($A80,'Diags Raw Data'!$A$6:$A$3791))),--('Diags Raw Data'!$Q$6:$Q$3791&lt;&gt;"N/A"),'Diags Raw Data'!$R$6:$R$3791)</f>
        <v>53</v>
      </c>
      <c r="N80" s="489" cm="1">
        <f t="array" ref="N80">SUMPRODUCT(--(ISNUMBER(SEARCH($A80,'Diags Raw Data'!$A$6:$A$3791))),--('Diags Raw Data'!$Q$6:$Q$3791&lt;&gt;"N/A"),'Diags Raw Data'!$T$6:$T$3791)+SUMPRODUCT(--(ISNUMBER(SEARCH($A80,'Diags Raw Data'!$A$6:$A$3791))),--('Diags Raw Data'!$Q$6:$Q$3791&lt;&gt;"N/A"),'Diags Raw Data'!$U$6:$U$3791)</f>
        <v>38</v>
      </c>
      <c r="O80" s="490">
        <f t="shared" si="8"/>
        <v>0.71698113207547165</v>
      </c>
      <c r="P80" s="491">
        <f>SUMIF('Diags Raw Data'!$A$6:$A$3791,"*"&amp;$A80&amp;"*",'Diags Raw Data'!$Z$6:$Z$3791)</f>
        <v>0</v>
      </c>
      <c r="Q80" s="492">
        <f>SUM(SUMIF('Diags Raw Data'!$A$6:$A$3791,"*"&amp;$A80&amp;"*",'Diags Raw Data'!$AA$6:$AA$3791),SUMIF('Diags Raw Data'!$A$6:$A$3791,"*"&amp;$A80&amp;"*",'Diags Raw Data'!$AB$6:$AB$3791))</f>
        <v>0</v>
      </c>
      <c r="R80" s="493">
        <f t="shared" si="9"/>
        <v>0</v>
      </c>
      <c r="S80" s="493">
        <f t="shared" si="10"/>
        <v>0</v>
      </c>
      <c r="T80" s="494">
        <f t="shared" si="11"/>
        <v>0</v>
      </c>
      <c r="U80" s="442" t="s">
        <v>1137</v>
      </c>
      <c r="V80" s="182"/>
    </row>
    <row r="81" spans="1:22" ht="29.1">
      <c r="A81" s="584" t="s">
        <v>461</v>
      </c>
      <c r="B81" s="438" t="str">
        <f>VLOOKUP(A81,'Feature Raw Data'!$A$3:$B$4004,2,FALSE)</f>
        <v>DCN4.075 - ODM Combine improvement</v>
      </c>
      <c r="C81" s="439" t="str">
        <f>VLOOKUP(A81,'Feature Raw Data'!$A$3:$C$4004,3,FALSE)</f>
        <v>P2</v>
      </c>
      <c r="D81" s="440" t="str" cm="1">
        <f t="array" ref="D81">_xlfn.TEXTJOIN("",TRUE,IF(ISNUMBER(SEARCH($A81,'Diags Raw Data'!$A$6:$A$3791)),CONCATENATE('Diags Raw Data'!$H$6:$H$3791,", "),""))</f>
        <v xml:space="preserve">ODM001, ODM003, ODM005, ODM013, OTG029, </v>
      </c>
      <c r="E81" s="336" t="str">
        <f>VLOOKUP(A81,'Diags Raw Data'!$A$6:$D$3791,4,FALSE)</f>
        <v>ODM</v>
      </c>
      <c r="F81" s="336" t="str">
        <f>VLOOKUP(A81,'Feature Raw Data'!$A$3:$E$4004,5,FALSE)</f>
        <v>New</v>
      </c>
      <c r="G81" s="336" t="str">
        <f t="shared" si="6"/>
        <v>Yes</v>
      </c>
      <c r="H81" s="336" t="str">
        <f t="shared" si="7"/>
        <v>Yes</v>
      </c>
      <c r="I81" s="439">
        <f>SUMIF('Diags Raw Data'!$A$6:$A$3791,"*"&amp;$A81&amp;"*",'Diags Raw Data'!$K$6:$K$3791)</f>
        <v>6</v>
      </c>
      <c r="J81" s="441">
        <f>SUMIF('Diags Raw Data'!$A$6:$A$3791,"*"&amp;$A81&amp;"*",'Diags Raw Data'!$L$6:$L$3791)</f>
        <v>67</v>
      </c>
      <c r="K81" s="486" cm="1">
        <f t="array" ref="K81">IF(D81="",0, SUMPRODUCT(--(ISNUMBER(SEARCH($A81,'Diags Raw Data'!$A$6:$A$3791))),'Diags Raw Data'!$L$6:$L$3791,'Diags Raw Data'!$N$6:$N$3791)/J81)</f>
        <v>1</v>
      </c>
      <c r="L81" s="487" cm="1">
        <f t="array" ref="L81">IF(D81="",0, SUMPRODUCT(--(ISNUMBER(SEARCH($A81,'Diags Raw Data'!$A$6:$A$3791))),'Diags Raw Data'!$L$6:$L$3791,'Diags Raw Data'!$P$6:$P$3791)/J81)</f>
        <v>1</v>
      </c>
      <c r="M81" s="488" cm="1">
        <f t="array" ref="M81">SUMPRODUCT(--(ISNUMBER(SEARCH($A81,'Diags Raw Data'!$A$6:$A$3791))),--('Diags Raw Data'!$Q$6:$Q$3791&lt;&gt;"N/A"),'Diags Raw Data'!$R$6:$R$3791)</f>
        <v>52</v>
      </c>
      <c r="N81" s="489" cm="1">
        <f t="array" ref="N81">SUMPRODUCT(--(ISNUMBER(SEARCH($A81,'Diags Raw Data'!$A$6:$A$3791))),--('Diags Raw Data'!$Q$6:$Q$3791&lt;&gt;"N/A"),'Diags Raw Data'!$T$6:$T$3791)+SUMPRODUCT(--(ISNUMBER(SEARCH($A81,'Diags Raw Data'!$A$6:$A$3791))),--('Diags Raw Data'!$Q$6:$Q$3791&lt;&gt;"N/A"),'Diags Raw Data'!$U$6:$U$3791)</f>
        <v>38</v>
      </c>
      <c r="O81" s="490">
        <f t="shared" si="8"/>
        <v>0.73076923076923073</v>
      </c>
      <c r="P81" s="491">
        <f>SUMIF('Diags Raw Data'!$A$6:$A$3791,"*"&amp;$A81&amp;"*",'Diags Raw Data'!$Z$6:$Z$3791)</f>
        <v>0</v>
      </c>
      <c r="Q81" s="492">
        <f>SUM(SUMIF('Diags Raw Data'!$A$6:$A$3791,"*"&amp;$A81&amp;"*",'Diags Raw Data'!$AA$6:$AA$3791),SUMIF('Diags Raw Data'!$A$6:$A$3791,"*"&amp;$A81&amp;"*",'Diags Raw Data'!$AB$6:$AB$3791))</f>
        <v>0</v>
      </c>
      <c r="R81" s="493">
        <f t="shared" si="9"/>
        <v>0</v>
      </c>
      <c r="S81" s="493">
        <f t="shared" si="10"/>
        <v>0</v>
      </c>
      <c r="T81" s="494">
        <f t="shared" si="11"/>
        <v>0</v>
      </c>
      <c r="U81" s="442" t="s">
        <v>1130</v>
      </c>
      <c r="V81" s="182"/>
    </row>
    <row r="82" spans="1:22" ht="29.1">
      <c r="A82" s="584" t="s">
        <v>463</v>
      </c>
      <c r="B82" s="438" t="str">
        <f>VLOOKUP(A82,'Feature Raw Data'!$A$3:$B$4004,2,FALSE)</f>
        <v xml:space="preserve">DCN4.076 - Dynamic odm
</v>
      </c>
      <c r="C82" s="439" t="str">
        <f>VLOOKUP(A82,'Feature Raw Data'!$A$3:$C$4004,3,FALSE)</f>
        <v>P2</v>
      </c>
      <c r="D82" s="440" t="str" cm="1">
        <f t="array" ref="D82">_xlfn.TEXTJOIN("",TRUE,IF(ISNUMBER(SEARCH($A82,'Diags Raw Data'!$A$6:$A$3791)),CONCATENATE('Diags Raw Data'!$H$6:$H$3791,", "),""))</f>
        <v xml:space="preserve">ODM007, </v>
      </c>
      <c r="E82" s="336" t="str">
        <f>VLOOKUP(A82,'Diags Raw Data'!$A$6:$D$3791,4,FALSE)</f>
        <v>ODM</v>
      </c>
      <c r="F82" s="336" t="str">
        <f>VLOOKUP(A82,'Feature Raw Data'!$A$3:$E$4004,5,FALSE)</f>
        <v>Legacy</v>
      </c>
      <c r="G82" s="336" t="str">
        <f t="shared" si="6"/>
        <v>Yes</v>
      </c>
      <c r="H82" s="336" t="str">
        <f t="shared" si="7"/>
        <v>Yes</v>
      </c>
      <c r="I82" s="439">
        <f>SUMIF('Diags Raw Data'!$A$6:$A$3791,"*"&amp;$A82&amp;"*",'Diags Raw Data'!$K$6:$K$3791)</f>
        <v>2</v>
      </c>
      <c r="J82" s="441">
        <f>SUMIF('Diags Raw Data'!$A$6:$A$3791,"*"&amp;$A82&amp;"*",'Diags Raw Data'!$L$6:$L$3791)</f>
        <v>20</v>
      </c>
      <c r="K82" s="486" cm="1">
        <f t="array" ref="K82">IF(D82="",0, SUMPRODUCT(--(ISNUMBER(SEARCH($A82,'Diags Raw Data'!$A$6:$A$3791))),'Diags Raw Data'!$L$6:$L$3791,'Diags Raw Data'!$N$6:$N$3791)/J82)</f>
        <v>1</v>
      </c>
      <c r="L82" s="487" cm="1">
        <f t="array" ref="L82">IF(D82="",0, SUMPRODUCT(--(ISNUMBER(SEARCH($A82,'Diags Raw Data'!$A$6:$A$3791))),'Diags Raw Data'!$L$6:$L$3791,'Diags Raw Data'!$P$6:$P$3791)/J82)</f>
        <v>1</v>
      </c>
      <c r="M82" s="488" cm="1">
        <f t="array" ref="M82">SUMPRODUCT(--(ISNUMBER(SEARCH($A82,'Diags Raw Data'!$A$6:$A$3791))),--('Diags Raw Data'!$Q$6:$Q$3791&lt;&gt;"N/A"),'Diags Raw Data'!$R$6:$R$3791)</f>
        <v>20</v>
      </c>
      <c r="N82" s="489" cm="1">
        <f t="array" ref="N82">SUMPRODUCT(--(ISNUMBER(SEARCH($A82,'Diags Raw Data'!$A$6:$A$3791))),--('Diags Raw Data'!$Q$6:$Q$3791&lt;&gt;"N/A"),'Diags Raw Data'!$T$6:$T$3791)+SUMPRODUCT(--(ISNUMBER(SEARCH($A82,'Diags Raw Data'!$A$6:$A$3791))),--('Diags Raw Data'!$Q$6:$Q$3791&lt;&gt;"N/A"),'Diags Raw Data'!$U$6:$U$3791)</f>
        <v>0</v>
      </c>
      <c r="O82" s="490">
        <f t="shared" si="8"/>
        <v>0</v>
      </c>
      <c r="P82" s="491">
        <f>SUMIF('Diags Raw Data'!$A$6:$A$3791,"*"&amp;$A82&amp;"*",'Diags Raw Data'!$Z$6:$Z$3791)</f>
        <v>0</v>
      </c>
      <c r="Q82" s="492">
        <f>SUM(SUMIF('Diags Raw Data'!$A$6:$A$3791,"*"&amp;$A82&amp;"*",'Diags Raw Data'!$AA$6:$AA$3791),SUMIF('Diags Raw Data'!$A$6:$A$3791,"*"&amp;$A82&amp;"*",'Diags Raw Data'!$AB$6:$AB$3791))</f>
        <v>0</v>
      </c>
      <c r="R82" s="493">
        <f t="shared" si="9"/>
        <v>0</v>
      </c>
      <c r="S82" s="493">
        <f t="shared" si="10"/>
        <v>0</v>
      </c>
      <c r="T82" s="494">
        <f t="shared" si="11"/>
        <v>0</v>
      </c>
      <c r="U82" s="442" t="s">
        <v>1130</v>
      </c>
      <c r="V82" s="182"/>
    </row>
    <row r="83" spans="1:22">
      <c r="A83" s="584" t="s">
        <v>465</v>
      </c>
      <c r="B83" s="438" t="str">
        <f>VLOOKUP(A83,'Feature Raw Data'!$A$3:$B$4004,2,FALSE)</f>
        <v>DCN4.077 - Ranged timing</v>
      </c>
      <c r="C83" s="439" t="str">
        <f>VLOOKUP(A83,'Feature Raw Data'!$A$3:$C$4004,3,FALSE)</f>
        <v>P2</v>
      </c>
      <c r="D83" s="440" t="str" cm="1">
        <f t="array" ref="D83">_xlfn.TEXTJOIN("",TRUE,IF(ISNUMBER(SEARCH($A83,'Diags Raw Data'!$A$6:$A$3791)),CONCATENATE('Diags Raw Data'!$H$6:$H$3791,", "),""))</f>
        <v xml:space="preserve">DIO367, DIO368, </v>
      </c>
      <c r="E83" s="336" t="str">
        <f>VLOOKUP(A83,'Diags Raw Data'!$A$6:$D$3791,4,FALSE)</f>
        <v>DIO</v>
      </c>
      <c r="F83" s="336" t="str">
        <f>VLOOKUP(A83,'Feature Raw Data'!$A$3:$E$4004,5,FALSE)</f>
        <v>Legacy</v>
      </c>
      <c r="G83" s="336" t="str">
        <f t="shared" si="6"/>
        <v>Yes</v>
      </c>
      <c r="H83" s="336" t="str">
        <f t="shared" si="7"/>
        <v>Yes</v>
      </c>
      <c r="I83" s="439">
        <f>SUMIF('Diags Raw Data'!$A$6:$A$3791,"*"&amp;$A83&amp;"*",'Diags Raw Data'!$K$6:$K$3791)</f>
        <v>2</v>
      </c>
      <c r="J83" s="441">
        <f>SUMIF('Diags Raw Data'!$A$6:$A$3791,"*"&amp;$A83&amp;"*",'Diags Raw Data'!$L$6:$L$3791)</f>
        <v>2</v>
      </c>
      <c r="K83" s="486" cm="1">
        <f t="array" ref="K83">IF(D83="",0, SUMPRODUCT(--(ISNUMBER(SEARCH($A83,'Diags Raw Data'!$A$6:$A$3791))),'Diags Raw Data'!$L$6:$L$3791,'Diags Raw Data'!$N$6:$N$3791)/J83)</f>
        <v>1</v>
      </c>
      <c r="L83" s="487" cm="1">
        <f t="array" ref="L83">IF(D83="",0, SUMPRODUCT(--(ISNUMBER(SEARCH($A83,'Diags Raw Data'!$A$6:$A$3791))),'Diags Raw Data'!$L$6:$L$3791,'Diags Raw Data'!$P$6:$P$3791)/J83)</f>
        <v>1</v>
      </c>
      <c r="M83" s="488" cm="1">
        <f t="array" ref="M83">SUMPRODUCT(--(ISNUMBER(SEARCH($A83,'Diags Raw Data'!$A$6:$A$3791))),--('Diags Raw Data'!$Q$6:$Q$3791&lt;&gt;"N/A"),'Diags Raw Data'!$R$6:$R$3791)</f>
        <v>2</v>
      </c>
      <c r="N83" s="489" cm="1">
        <f t="array" ref="N83">SUMPRODUCT(--(ISNUMBER(SEARCH($A83,'Diags Raw Data'!$A$6:$A$3791))),--('Diags Raw Data'!$Q$6:$Q$3791&lt;&gt;"N/A"),'Diags Raw Data'!$T$6:$T$3791)+SUMPRODUCT(--(ISNUMBER(SEARCH($A83,'Diags Raw Data'!$A$6:$A$3791))),--('Diags Raw Data'!$Q$6:$Q$3791&lt;&gt;"N/A"),'Diags Raw Data'!$U$6:$U$3791)</f>
        <v>0</v>
      </c>
      <c r="O83" s="490">
        <f t="shared" si="8"/>
        <v>0</v>
      </c>
      <c r="P83" s="491">
        <f>SUMIF('Diags Raw Data'!$A$6:$A$3791,"*"&amp;$A83&amp;"*",'Diags Raw Data'!$Z$6:$Z$3791)</f>
        <v>0</v>
      </c>
      <c r="Q83" s="492">
        <f>SUM(SUMIF('Diags Raw Data'!$A$6:$A$3791,"*"&amp;$A83&amp;"*",'Diags Raw Data'!$AA$6:$AA$3791),SUMIF('Diags Raw Data'!$A$6:$A$3791,"*"&amp;$A83&amp;"*",'Diags Raw Data'!$AB$6:$AB$3791))</f>
        <v>0</v>
      </c>
      <c r="R83" s="493">
        <f t="shared" si="9"/>
        <v>0</v>
      </c>
      <c r="S83" s="493">
        <f t="shared" si="10"/>
        <v>0</v>
      </c>
      <c r="T83" s="494">
        <f t="shared" si="11"/>
        <v>0</v>
      </c>
      <c r="U83" s="442" t="s">
        <v>1137</v>
      </c>
      <c r="V83" s="182"/>
    </row>
    <row r="84" spans="1:22">
      <c r="A84" s="584" t="s">
        <v>467</v>
      </c>
      <c r="B84" s="438" t="str">
        <f>VLOOKUP(A84,'Feature Raw Data'!$A$3:$B$4004,2,FALSE)</f>
        <v xml:space="preserve">DCN4.078 - Underflow Detection and Recovery </v>
      </c>
      <c r="C84" s="439" t="str">
        <f>VLOOKUP(A84,'Feature Raw Data'!$A$3:$C$4004,3,FALSE)</f>
        <v>P2</v>
      </c>
      <c r="D84" s="440" t="str" cm="1">
        <f t="array" ref="D84">_xlfn.TEXTJOIN("",TRUE,IF(ISNUMBER(SEARCH($A84,'Diags Raw Data'!$A$6:$A$3791)),CONCATENATE('Diags Raw Data'!$H$6:$H$3791,", "),""))</f>
        <v xml:space="preserve">OTG025, </v>
      </c>
      <c r="E84" s="336" t="str">
        <f>VLOOKUP(A84,'Diags Raw Data'!$A$6:$D$3791,4,FALSE)</f>
        <v>OTG</v>
      </c>
      <c r="F84" s="336" t="str">
        <f>VLOOKUP(A84,'Feature Raw Data'!$A$3:$E$4004,5,FALSE)</f>
        <v>Legacy</v>
      </c>
      <c r="G84" s="336" t="str">
        <f t="shared" si="6"/>
        <v>Yes</v>
      </c>
      <c r="H84" s="336" t="str">
        <f t="shared" si="7"/>
        <v>Yes</v>
      </c>
      <c r="I84" s="439">
        <f>SUMIF('Diags Raw Data'!$A$6:$A$3791,"*"&amp;$A84&amp;"*",'Diags Raw Data'!$K$6:$K$3791)</f>
        <v>1</v>
      </c>
      <c r="J84" s="441">
        <f>SUMIF('Diags Raw Data'!$A$6:$A$3791,"*"&amp;$A84&amp;"*",'Diags Raw Data'!$L$6:$L$3791)</f>
        <v>2</v>
      </c>
      <c r="K84" s="486" cm="1">
        <f t="array" ref="K84">IF(D84="",0, SUMPRODUCT(--(ISNUMBER(SEARCH($A84,'Diags Raw Data'!$A$6:$A$3791))),'Diags Raw Data'!$L$6:$L$3791,'Diags Raw Data'!$N$6:$N$3791)/J84)</f>
        <v>1</v>
      </c>
      <c r="L84" s="487" cm="1">
        <f t="array" ref="L84">IF(D84="",0, SUMPRODUCT(--(ISNUMBER(SEARCH($A84,'Diags Raw Data'!$A$6:$A$3791))),'Diags Raw Data'!$L$6:$L$3791,'Diags Raw Data'!$P$6:$P$3791)/J84)</f>
        <v>1</v>
      </c>
      <c r="M84" s="488" cm="1">
        <f t="array" ref="M84">SUMPRODUCT(--(ISNUMBER(SEARCH($A84,'Diags Raw Data'!$A$6:$A$3791))),--('Diags Raw Data'!$Q$6:$Q$3791&lt;&gt;"N/A"),'Diags Raw Data'!$R$6:$R$3791)</f>
        <v>1</v>
      </c>
      <c r="N84" s="489" cm="1">
        <f t="array" ref="N84">SUMPRODUCT(--(ISNUMBER(SEARCH($A84,'Diags Raw Data'!$A$6:$A$3791))),--('Diags Raw Data'!$Q$6:$Q$3791&lt;&gt;"N/A"),'Diags Raw Data'!$T$6:$T$3791)+SUMPRODUCT(--(ISNUMBER(SEARCH($A84,'Diags Raw Data'!$A$6:$A$3791))),--('Diags Raw Data'!$Q$6:$Q$3791&lt;&gt;"N/A"),'Diags Raw Data'!$U$6:$U$3791)</f>
        <v>0</v>
      </c>
      <c r="O84" s="490">
        <f t="shared" si="8"/>
        <v>0</v>
      </c>
      <c r="P84" s="491">
        <f>SUMIF('Diags Raw Data'!$A$6:$A$3791,"*"&amp;$A84&amp;"*",'Diags Raw Data'!$Z$6:$Z$3791)</f>
        <v>0</v>
      </c>
      <c r="Q84" s="492">
        <f>SUM(SUMIF('Diags Raw Data'!$A$6:$A$3791,"*"&amp;$A84&amp;"*",'Diags Raw Data'!$AA$6:$AA$3791),SUMIF('Diags Raw Data'!$A$6:$A$3791,"*"&amp;$A84&amp;"*",'Diags Raw Data'!$AB$6:$AB$3791))</f>
        <v>0</v>
      </c>
      <c r="R84" s="493">
        <f t="shared" si="9"/>
        <v>0</v>
      </c>
      <c r="S84" s="493">
        <f t="shared" si="10"/>
        <v>0</v>
      </c>
      <c r="T84" s="494">
        <f t="shared" si="11"/>
        <v>0</v>
      </c>
      <c r="U84" s="442" t="s">
        <v>1137</v>
      </c>
      <c r="V84" s="182"/>
    </row>
    <row r="85" spans="1:22">
      <c r="A85" s="584" t="s">
        <v>469</v>
      </c>
      <c r="B85" s="438" t="str">
        <f>VLOOKUP(A85,'Feature Raw Data'!$A$3:$B$4004,2,FALSE)</f>
        <v>DCN4.079 - Horizontal pixel repetition</v>
      </c>
      <c r="C85" s="439" t="str">
        <f>VLOOKUP(A85,'Feature Raw Data'!$A$3:$C$4004,3,FALSE)</f>
        <v>P2</v>
      </c>
      <c r="D85" s="440" t="str" cm="1">
        <f t="array" ref="D85">_xlfn.TEXTJOIN("",TRUE,IF(ISNUMBER(SEARCH($A85,'Diags Raw Data'!$A$6:$A$3791)),CONCATENATE('Diags Raw Data'!$H$6:$H$3791,", "),""))</f>
        <v/>
      </c>
      <c r="E85" s="336" t="e">
        <f>VLOOKUP(A85,'Diags Raw Data'!$A$6:$D$3791,4,FALSE)</f>
        <v>#N/A</v>
      </c>
      <c r="F85" s="336" t="str">
        <f>VLOOKUP(A85,'Feature Raw Data'!$A$3:$E$4004,5,FALSE)</f>
        <v>Legacy</v>
      </c>
      <c r="G85" s="336" t="str">
        <f t="shared" si="6"/>
        <v>No</v>
      </c>
      <c r="H85" s="336" t="str">
        <f t="shared" si="7"/>
        <v>No</v>
      </c>
      <c r="I85" s="439">
        <f>SUMIF('Diags Raw Data'!$A$6:$A$3791,"*"&amp;$A85&amp;"*",'Diags Raw Data'!$K$6:$K$3791)</f>
        <v>0</v>
      </c>
      <c r="J85" s="441">
        <f>SUMIF('Diags Raw Data'!$A$6:$A$3791,"*"&amp;$A85&amp;"*",'Diags Raw Data'!$L$6:$L$3791)</f>
        <v>0</v>
      </c>
      <c r="K85" s="486" cm="1">
        <f t="array" ref="K85">IF(D85="",0, SUMPRODUCT(--(ISNUMBER(SEARCH($A85,'Diags Raw Data'!$A$6:$A$3791))),'Diags Raw Data'!$L$6:$L$3791,'Diags Raw Data'!$N$6:$N$3791)/J85)</f>
        <v>0</v>
      </c>
      <c r="L85" s="487" cm="1">
        <f t="array" ref="L85">IF(D85="",0, SUMPRODUCT(--(ISNUMBER(SEARCH($A85,'Diags Raw Data'!$A$6:$A$3791))),'Diags Raw Data'!$L$6:$L$3791,'Diags Raw Data'!$P$6:$P$3791)/J85)</f>
        <v>0</v>
      </c>
      <c r="M85" s="488" cm="1">
        <f t="array" ref="M85">SUMPRODUCT(--(ISNUMBER(SEARCH($A85,'Diags Raw Data'!$A$6:$A$3791))),--('Diags Raw Data'!$Q$6:$Q$3791&lt;&gt;"N/A"),'Diags Raw Data'!$R$6:$R$3791)</f>
        <v>0</v>
      </c>
      <c r="N85" s="489" cm="1">
        <f t="array" ref="N85">SUMPRODUCT(--(ISNUMBER(SEARCH($A85,'Diags Raw Data'!$A$6:$A$3791))),--('Diags Raw Data'!$Q$6:$Q$3791&lt;&gt;"N/A"),'Diags Raw Data'!$T$6:$T$3791)+SUMPRODUCT(--(ISNUMBER(SEARCH($A85,'Diags Raw Data'!$A$6:$A$3791))),--('Diags Raw Data'!$Q$6:$Q$3791&lt;&gt;"N/A"),'Diags Raw Data'!$U$6:$U$3791)</f>
        <v>0</v>
      </c>
      <c r="O85" s="490">
        <f t="shared" si="8"/>
        <v>0</v>
      </c>
      <c r="P85" s="491">
        <f>SUMIF('Diags Raw Data'!$A$6:$A$3791,"*"&amp;$A85&amp;"*",'Diags Raw Data'!$Z$6:$Z$3791)</f>
        <v>0</v>
      </c>
      <c r="Q85" s="492">
        <f>SUM(SUMIF('Diags Raw Data'!$A$6:$A$3791,"*"&amp;$A85&amp;"*",'Diags Raw Data'!$AA$6:$AA$3791),SUMIF('Diags Raw Data'!$A$6:$A$3791,"*"&amp;$A85&amp;"*",'Diags Raw Data'!$AB$6:$AB$3791))</f>
        <v>0</v>
      </c>
      <c r="R85" s="493">
        <f t="shared" si="9"/>
        <v>0</v>
      </c>
      <c r="S85" s="493">
        <f t="shared" si="10"/>
        <v>0</v>
      </c>
      <c r="T85" s="494">
        <f t="shared" si="11"/>
        <v>0</v>
      </c>
      <c r="U85" s="442" t="s">
        <v>1134</v>
      </c>
      <c r="V85" s="182"/>
    </row>
    <row r="86" spans="1:22" ht="29.1">
      <c r="A86" s="584" t="s">
        <v>471</v>
      </c>
      <c r="B86" s="438" t="str">
        <f>VLOOKUP(A86,'Feature Raw Data'!$A$3:$B$4004,2,FALSE)</f>
        <v>DCN4.080 - Vstartup Vupdate and Vready Interrupt</v>
      </c>
      <c r="C86" s="439" t="str">
        <f>VLOOKUP(A86,'Feature Raw Data'!$A$3:$C$4004,3,FALSE)</f>
        <v>P2</v>
      </c>
      <c r="D86" s="440" t="str" cm="1">
        <f t="array" ref="D86">_xlfn.TEXTJOIN("",TRUE,IF(ISNUMBER(SEARCH($A86,'Diags Raw Data'!$A$6:$A$3791)),CONCATENATE('Diags Raw Data'!$H$6:$H$3791,", "),""))</f>
        <v xml:space="preserve">OTG800, OTG801, OTG809, OTG810, </v>
      </c>
      <c r="E86" s="336" t="str">
        <f>VLOOKUP(A86,'Diags Raw Data'!$A$6:$D$3791,4,FALSE)</f>
        <v>OTG</v>
      </c>
      <c r="F86" s="336" t="str">
        <f>VLOOKUP(A86,'Feature Raw Data'!$A$3:$E$4004,5,FALSE)</f>
        <v>Legacy</v>
      </c>
      <c r="G86" s="336" t="str">
        <f t="shared" si="6"/>
        <v>Yes</v>
      </c>
      <c r="H86" s="336" t="str">
        <f t="shared" si="7"/>
        <v>Yes</v>
      </c>
      <c r="I86" s="439">
        <f>SUMIF('Diags Raw Data'!$A$6:$A$3791,"*"&amp;$A86&amp;"*",'Diags Raw Data'!$K$6:$K$3791)</f>
        <v>4</v>
      </c>
      <c r="J86" s="441">
        <f>SUMIF('Diags Raw Data'!$A$6:$A$3791,"*"&amp;$A86&amp;"*",'Diags Raw Data'!$L$6:$L$3791)</f>
        <v>6</v>
      </c>
      <c r="K86" s="486" cm="1">
        <f t="array" ref="K86">IF(D86="",0, SUMPRODUCT(--(ISNUMBER(SEARCH($A86,'Diags Raw Data'!$A$6:$A$3791))),'Diags Raw Data'!$L$6:$L$3791,'Diags Raw Data'!$N$6:$N$3791)/J86)</f>
        <v>1</v>
      </c>
      <c r="L86" s="487" cm="1">
        <f t="array" ref="L86">IF(D86="",0, SUMPRODUCT(--(ISNUMBER(SEARCH($A86,'Diags Raw Data'!$A$6:$A$3791))),'Diags Raw Data'!$L$6:$L$3791,'Diags Raw Data'!$P$6:$P$3791)/J86)</f>
        <v>1</v>
      </c>
      <c r="M86" s="488" cm="1">
        <f t="array" ref="M86">SUMPRODUCT(--(ISNUMBER(SEARCH($A86,'Diags Raw Data'!$A$6:$A$3791))),--('Diags Raw Data'!$Q$6:$Q$3791&lt;&gt;"N/A"),'Diags Raw Data'!$R$6:$R$3791)</f>
        <v>5</v>
      </c>
      <c r="N86" s="489" cm="1">
        <f t="array" ref="N86">SUMPRODUCT(--(ISNUMBER(SEARCH($A86,'Diags Raw Data'!$A$6:$A$3791))),--('Diags Raw Data'!$Q$6:$Q$3791&lt;&gt;"N/A"),'Diags Raw Data'!$T$6:$T$3791)+SUMPRODUCT(--(ISNUMBER(SEARCH($A86,'Diags Raw Data'!$A$6:$A$3791))),--('Diags Raw Data'!$Q$6:$Q$3791&lt;&gt;"N/A"),'Diags Raw Data'!$U$6:$U$3791)</f>
        <v>0</v>
      </c>
      <c r="O86" s="490">
        <f t="shared" si="8"/>
        <v>0</v>
      </c>
      <c r="P86" s="491">
        <f>SUMIF('Diags Raw Data'!$A$6:$A$3791,"*"&amp;$A86&amp;"*",'Diags Raw Data'!$Z$6:$Z$3791)</f>
        <v>0</v>
      </c>
      <c r="Q86" s="492">
        <f>SUM(SUMIF('Diags Raw Data'!$A$6:$A$3791,"*"&amp;$A86&amp;"*",'Diags Raw Data'!$AA$6:$AA$3791),SUMIF('Diags Raw Data'!$A$6:$A$3791,"*"&amp;$A86&amp;"*",'Diags Raw Data'!$AB$6:$AB$3791))</f>
        <v>0</v>
      </c>
      <c r="R86" s="493">
        <f t="shared" si="9"/>
        <v>0</v>
      </c>
      <c r="S86" s="493">
        <f t="shared" si="10"/>
        <v>0</v>
      </c>
      <c r="T86" s="494">
        <f t="shared" si="11"/>
        <v>0</v>
      </c>
      <c r="U86" s="442" t="s">
        <v>1134</v>
      </c>
      <c r="V86" s="182"/>
    </row>
    <row r="87" spans="1:22">
      <c r="A87" s="584" t="s">
        <v>473</v>
      </c>
      <c r="B87" s="438" t="str">
        <f>VLOOKUP(A87,'Feature Raw Data'!$A$3:$B$4004,2,FALSE)</f>
        <v>DCN4.081 - DRR</v>
      </c>
      <c r="C87" s="439" t="str">
        <f>VLOOKUP(A87,'Feature Raw Data'!$A$3:$C$4004,3,FALSE)</f>
        <v>P2</v>
      </c>
      <c r="D87" s="440" t="str" cm="1">
        <f t="array" ref="D87">_xlfn.TEXTJOIN("",TRUE,IF(ISNUMBER(SEARCH($A87,'Diags Raw Data'!$A$6:$A$3791)),CONCATENATE('Diags Raw Data'!$H$6:$H$3791,", "),""))</f>
        <v xml:space="preserve">OTG014, </v>
      </c>
      <c r="E87" s="336" t="e">
        <f>VLOOKUP(A87,'Diags Raw Data'!$A$6:$D$3791,4,FALSE)</f>
        <v>#N/A</v>
      </c>
      <c r="F87" s="336" t="str">
        <f>VLOOKUP(A87,'Feature Raw Data'!$A$3:$E$4004,5,FALSE)</f>
        <v>Legacy</v>
      </c>
      <c r="G87" s="336" t="str">
        <f t="shared" si="6"/>
        <v>Yes</v>
      </c>
      <c r="H87" s="336" t="str">
        <f t="shared" si="7"/>
        <v>Yes</v>
      </c>
      <c r="I87" s="439">
        <f>SUMIF('Diags Raw Data'!$A$6:$A$3791,"*"&amp;$A87&amp;"*",'Diags Raw Data'!$K$6:$K$3791)</f>
        <v>1</v>
      </c>
      <c r="J87" s="441">
        <f>SUMIF('Diags Raw Data'!$A$6:$A$3791,"*"&amp;$A87&amp;"*",'Diags Raw Data'!$L$6:$L$3791)</f>
        <v>199</v>
      </c>
      <c r="K87" s="486" cm="1">
        <f t="array" ref="K87">IF(D87="",0, SUMPRODUCT(--(ISNUMBER(SEARCH($A87,'Diags Raw Data'!$A$6:$A$3791))),'Diags Raw Data'!$L$6:$L$3791,'Diags Raw Data'!$N$6:$N$3791)/J87)</f>
        <v>1</v>
      </c>
      <c r="L87" s="487" cm="1">
        <f t="array" ref="L87">IF(D87="",0, SUMPRODUCT(--(ISNUMBER(SEARCH($A87,'Diags Raw Data'!$A$6:$A$3791))),'Diags Raw Data'!$L$6:$L$3791,'Diags Raw Data'!$P$6:$P$3791)/J87)</f>
        <v>1</v>
      </c>
      <c r="M87" s="488" cm="1">
        <f t="array" ref="M87">SUMPRODUCT(--(ISNUMBER(SEARCH($A87,'Diags Raw Data'!$A$6:$A$3791))),--('Diags Raw Data'!$Q$6:$Q$3791&lt;&gt;"N/A"),'Diags Raw Data'!$R$6:$R$3791)</f>
        <v>199</v>
      </c>
      <c r="N87" s="489" cm="1">
        <f t="array" ref="N87">SUMPRODUCT(--(ISNUMBER(SEARCH($A87,'Diags Raw Data'!$A$6:$A$3791))),--('Diags Raw Data'!$Q$6:$Q$3791&lt;&gt;"N/A"),'Diags Raw Data'!$T$6:$T$3791)+SUMPRODUCT(--(ISNUMBER(SEARCH($A87,'Diags Raw Data'!$A$6:$A$3791))),--('Diags Raw Data'!$Q$6:$Q$3791&lt;&gt;"N/A"),'Diags Raw Data'!$U$6:$U$3791)</f>
        <v>199</v>
      </c>
      <c r="O87" s="490">
        <f t="shared" si="8"/>
        <v>1</v>
      </c>
      <c r="P87" s="491">
        <f>SUMIF('Diags Raw Data'!$A$6:$A$3791,"*"&amp;$A87&amp;"*",'Diags Raw Data'!$Z$6:$Z$3791)</f>
        <v>0</v>
      </c>
      <c r="Q87" s="492">
        <f>SUM(SUMIF('Diags Raw Data'!$A$6:$A$3791,"*"&amp;$A87&amp;"*",'Diags Raw Data'!$AA$6:$AA$3791),SUMIF('Diags Raw Data'!$A$6:$A$3791,"*"&amp;$A87&amp;"*",'Diags Raw Data'!$AB$6:$AB$3791))</f>
        <v>0</v>
      </c>
      <c r="R87" s="493">
        <f t="shared" si="9"/>
        <v>0</v>
      </c>
      <c r="S87" s="493">
        <f t="shared" si="10"/>
        <v>0</v>
      </c>
      <c r="T87" s="494">
        <f t="shared" si="11"/>
        <v>0</v>
      </c>
      <c r="U87" s="442" t="s">
        <v>1137</v>
      </c>
      <c r="V87" s="182"/>
    </row>
    <row r="88" spans="1:22" ht="102">
      <c r="A88" s="584" t="s">
        <v>475</v>
      </c>
      <c r="B88" s="438" t="str">
        <f>VLOOKUP(A88,'Feature Raw Data'!$A$3:$B$4004,2,FALSE)</f>
        <v>DCN4.082 - HDMI 1.4 and 2.0</v>
      </c>
      <c r="C88" s="439" t="str">
        <f>VLOOKUP(A88,'Feature Raw Data'!$A$3:$C$4004,3,FALSE)</f>
        <v>P2</v>
      </c>
      <c r="D88" s="440" t="str" cm="1">
        <f t="array" ref="D88">_xlfn.TEXTJOIN("",TRUE,IF(ISNUMBER(SEARCH($A88,'Diags Raw Data'!$A$6:$A$3791)),CONCATENATE('Diags Raw Data'!$H$6:$H$3791,", "),""))</f>
        <v xml:space="preserve">DIO220, DIO221, DIO217, DIO224, DIO225, DIO227, DIO228, DIO229, DIO230, DIO231, DIO232, DIO233, DIO234, DIO236, DIO237, DIO238, DIO253, </v>
      </c>
      <c r="E88" s="336" t="str">
        <f>VLOOKUP(A88,'Diags Raw Data'!$A$6:$D$3791,4,FALSE)</f>
        <v>DIO</v>
      </c>
      <c r="F88" s="336" t="str">
        <f>VLOOKUP(A88,'Feature Raw Data'!$A$3:$E$4004,5,FALSE)</f>
        <v>Legacy</v>
      </c>
      <c r="G88" s="336" t="str">
        <f t="shared" si="6"/>
        <v>Yes</v>
      </c>
      <c r="H88" s="336" t="str">
        <f t="shared" si="7"/>
        <v>Yes</v>
      </c>
      <c r="I88" s="439">
        <f>SUMIF('Diags Raw Data'!$A$6:$A$3791,"*"&amp;$A88&amp;"*",'Diags Raw Data'!$K$6:$K$3791)</f>
        <v>17</v>
      </c>
      <c r="J88" s="441">
        <f>SUMIF('Diags Raw Data'!$A$6:$A$3791,"*"&amp;$A88&amp;"*",'Diags Raw Data'!$L$6:$L$3791)</f>
        <v>385</v>
      </c>
      <c r="K88" s="486" cm="1">
        <f t="array" ref="K88">IF(D88="",0, SUMPRODUCT(--(ISNUMBER(SEARCH($A88,'Diags Raw Data'!$A$6:$A$3791))),'Diags Raw Data'!$L$6:$L$3791,'Diags Raw Data'!$N$6:$N$3791)/J88)</f>
        <v>1</v>
      </c>
      <c r="L88" s="487" cm="1">
        <f t="array" ref="L88">IF(D88="",0, SUMPRODUCT(--(ISNUMBER(SEARCH($A88,'Diags Raw Data'!$A$6:$A$3791))),'Diags Raw Data'!$L$6:$L$3791,'Diags Raw Data'!$P$6:$P$3791)/J88)</f>
        <v>1</v>
      </c>
      <c r="M88" s="488" cm="1">
        <f t="array" ref="M88">SUMPRODUCT(--(ISNUMBER(SEARCH($A88,'Diags Raw Data'!$A$6:$A$3791))),--('Diags Raw Data'!$Q$6:$Q$3791&lt;&gt;"N/A"),'Diags Raw Data'!$R$6:$R$3791)</f>
        <v>385</v>
      </c>
      <c r="N88" s="489" cm="1">
        <f t="array" ref="N88">SUMPRODUCT(--(ISNUMBER(SEARCH($A88,'Diags Raw Data'!$A$6:$A$3791))),--('Diags Raw Data'!$Q$6:$Q$3791&lt;&gt;"N/A"),'Diags Raw Data'!$T$6:$T$3791)+SUMPRODUCT(--(ISNUMBER(SEARCH($A88,'Diags Raw Data'!$A$6:$A$3791))),--('Diags Raw Data'!$Q$6:$Q$3791&lt;&gt;"N/A"),'Diags Raw Data'!$U$6:$U$3791)</f>
        <v>311</v>
      </c>
      <c r="O88" s="490">
        <f t="shared" si="8"/>
        <v>0.80779220779220784</v>
      </c>
      <c r="P88" s="491">
        <f>SUMIF('Diags Raw Data'!$A$6:$A$3791,"*"&amp;$A88&amp;"*",'Diags Raw Data'!$Z$6:$Z$3791)</f>
        <v>0</v>
      </c>
      <c r="Q88" s="492">
        <f>SUM(SUMIF('Diags Raw Data'!$A$6:$A$3791,"*"&amp;$A88&amp;"*",'Diags Raw Data'!$AA$6:$AA$3791),SUMIF('Diags Raw Data'!$A$6:$A$3791,"*"&amp;$A88&amp;"*",'Diags Raw Data'!$AB$6:$AB$3791))</f>
        <v>0</v>
      </c>
      <c r="R88" s="493">
        <f t="shared" si="9"/>
        <v>0</v>
      </c>
      <c r="S88" s="493">
        <f t="shared" si="10"/>
        <v>0</v>
      </c>
      <c r="T88" s="494">
        <f t="shared" si="11"/>
        <v>0</v>
      </c>
      <c r="U88" s="442" t="s">
        <v>1129</v>
      </c>
      <c r="V88" s="182"/>
    </row>
    <row r="89" spans="1:22">
      <c r="A89" s="584" t="s">
        <v>477</v>
      </c>
      <c r="B89" s="438" t="str">
        <f>VLOOKUP(A89,'Feature Raw Data'!$A$3:$B$4004,2,FALSE)</f>
        <v>DCN4.083 - Hdmi2.1 frl dsc vrr fva and qms</v>
      </c>
      <c r="C89" s="439" t="str">
        <f>VLOOKUP(A89,'Feature Raw Data'!$A$3:$C$4004,3,FALSE)</f>
        <v>P2</v>
      </c>
      <c r="D89" s="440" t="str" cm="1">
        <f t="array" ref="D89">_xlfn.TEXTJOIN("",TRUE,IF(ISNUMBER(SEARCH($A89,'Diags Raw Data'!$A$6:$A$3791)),CONCATENATE('Diags Raw Data'!$H$6:$H$3791,", "),""))</f>
        <v xml:space="preserve">DSC004, DIO620, </v>
      </c>
      <c r="E89" s="336" t="e">
        <f>VLOOKUP(A89,'Diags Raw Data'!$A$6:$D$3791,4,FALSE)</f>
        <v>#N/A</v>
      </c>
      <c r="F89" s="336" t="str">
        <f>VLOOKUP(A89,'Feature Raw Data'!$A$3:$E$4004,5,FALSE)</f>
        <v>Legacy</v>
      </c>
      <c r="G89" s="336" t="str">
        <f t="shared" si="6"/>
        <v>Yes</v>
      </c>
      <c r="H89" s="336" t="str">
        <f t="shared" si="7"/>
        <v>Yes</v>
      </c>
      <c r="I89" s="439">
        <f>SUMIF('Diags Raw Data'!$A$6:$A$3791,"*"&amp;$A89&amp;"*",'Diags Raw Data'!$K$6:$K$3791)</f>
        <v>2</v>
      </c>
      <c r="J89" s="441">
        <f>SUMIF('Diags Raw Data'!$A$6:$A$3791,"*"&amp;$A89&amp;"*",'Diags Raw Data'!$L$6:$L$3791)</f>
        <v>81</v>
      </c>
      <c r="K89" s="486" cm="1">
        <f t="array" ref="K89">IF(D89="",0, SUMPRODUCT(--(ISNUMBER(SEARCH($A89,'Diags Raw Data'!$A$6:$A$3791))),'Diags Raw Data'!$L$6:$L$3791,'Diags Raw Data'!$N$6:$N$3791)/J89)</f>
        <v>1</v>
      </c>
      <c r="L89" s="487" cm="1">
        <f t="array" ref="L89">IF(D89="",0, SUMPRODUCT(--(ISNUMBER(SEARCH($A89,'Diags Raw Data'!$A$6:$A$3791))),'Diags Raw Data'!$L$6:$L$3791,'Diags Raw Data'!$P$6:$P$3791)/J89)</f>
        <v>1</v>
      </c>
      <c r="M89" s="488" cm="1">
        <f t="array" ref="M89">SUMPRODUCT(--(ISNUMBER(SEARCH($A89,'Diags Raw Data'!$A$6:$A$3791))),--('Diags Raw Data'!$Q$6:$Q$3791&lt;&gt;"N/A"),'Diags Raw Data'!$R$6:$R$3791)</f>
        <v>64</v>
      </c>
      <c r="N89" s="489" cm="1">
        <f t="array" ref="N89">SUMPRODUCT(--(ISNUMBER(SEARCH($A89,'Diags Raw Data'!$A$6:$A$3791))),--('Diags Raw Data'!$Q$6:$Q$3791&lt;&gt;"N/A"),'Diags Raw Data'!$T$6:$T$3791)+SUMPRODUCT(--(ISNUMBER(SEARCH($A89,'Diags Raw Data'!$A$6:$A$3791))),--('Diags Raw Data'!$Q$6:$Q$3791&lt;&gt;"N/A"),'Diags Raw Data'!$U$6:$U$3791)</f>
        <v>64</v>
      </c>
      <c r="O89" s="490">
        <f t="shared" si="8"/>
        <v>1</v>
      </c>
      <c r="P89" s="491">
        <f>SUMIF('Diags Raw Data'!$A$6:$A$3791,"*"&amp;$A89&amp;"*",'Diags Raw Data'!$Z$6:$Z$3791)</f>
        <v>0</v>
      </c>
      <c r="Q89" s="492">
        <f>SUM(SUMIF('Diags Raw Data'!$A$6:$A$3791,"*"&amp;$A89&amp;"*",'Diags Raw Data'!$AA$6:$AA$3791),SUMIF('Diags Raw Data'!$A$6:$A$3791,"*"&amp;$A89&amp;"*",'Diags Raw Data'!$AB$6:$AB$3791))</f>
        <v>0</v>
      </c>
      <c r="R89" s="493">
        <f t="shared" si="9"/>
        <v>0</v>
      </c>
      <c r="S89" s="493">
        <f t="shared" si="10"/>
        <v>0</v>
      </c>
      <c r="T89" s="494">
        <f t="shared" si="11"/>
        <v>0</v>
      </c>
      <c r="U89" s="442" t="s">
        <v>1129</v>
      </c>
      <c r="V89" s="182"/>
    </row>
    <row r="90" spans="1:22" hidden="1">
      <c r="A90" s="584" t="s">
        <v>479</v>
      </c>
      <c r="B90" s="438" t="str">
        <f>VLOOKUP(A90,'Feature Raw Data'!$A$3:$B$4004,2,FALSE)</f>
        <v>DCN4.084 - Hdmi dolby vision</v>
      </c>
      <c r="C90" s="439" t="str">
        <f>VLOOKUP(A90,'Feature Raw Data'!$A$3:$C$4004,3,FALSE)</f>
        <v>P2</v>
      </c>
      <c r="D90" s="440" t="str" cm="1">
        <f t="array" ref="D90">_xlfn.TEXTJOIN("",TRUE,IF(ISNUMBER(SEARCH($A90,'Diags Raw Data'!$A$6:$A$3791)),CONCATENATE('Diags Raw Data'!$H$6:$H$3791,", "),""))</f>
        <v/>
      </c>
      <c r="E90" s="336" t="e">
        <f>VLOOKUP(A90,'Diags Raw Data'!$A$6:$D$3791,4,FALSE)</f>
        <v>#N/A</v>
      </c>
      <c r="F90" s="336" t="str">
        <f>VLOOKUP(A90,'Feature Raw Data'!$A$3:$E$4004,5,FALSE)</f>
        <v>Legacy</v>
      </c>
      <c r="G90" s="336" t="str">
        <f t="shared" si="6"/>
        <v>No</v>
      </c>
      <c r="H90" s="336" t="str">
        <f t="shared" si="7"/>
        <v>No</v>
      </c>
      <c r="I90" s="439">
        <f>SUMIF('Diags Raw Data'!$A$6:$A$3791,"*"&amp;$A90&amp;"*",'Diags Raw Data'!$K$6:$K$3791)</f>
        <v>0</v>
      </c>
      <c r="J90" s="441">
        <f>SUMIF('Diags Raw Data'!$A$6:$A$3791,"*"&amp;$A90&amp;"*",'Diags Raw Data'!$L$6:$L$3791)</f>
        <v>0</v>
      </c>
      <c r="K90" s="486" cm="1">
        <f t="array" ref="K90">IF(D90="",0, SUMPRODUCT(--(ISNUMBER(SEARCH($A90,'Diags Raw Data'!$A$6:$A$3791))),'Diags Raw Data'!$L$6:$L$3791,'Diags Raw Data'!$N$6:$N$3791)/J90)</f>
        <v>0</v>
      </c>
      <c r="L90" s="487" cm="1">
        <f t="array" ref="L90">IF(D90="",0, SUMPRODUCT(--(ISNUMBER(SEARCH($A90,'Diags Raw Data'!$A$6:$A$3791))),'Diags Raw Data'!$L$6:$L$3791,'Diags Raw Data'!$P$6:$P$3791)/J90)</f>
        <v>0</v>
      </c>
      <c r="M90" s="488" cm="1">
        <f t="array" ref="M90">SUMPRODUCT(--(ISNUMBER(SEARCH($A90,'Diags Raw Data'!$A$6:$A$3791))),--('Diags Raw Data'!$Q$6:$Q$3791&lt;&gt;"N/A"),'Diags Raw Data'!$R$6:$R$3791)</f>
        <v>0</v>
      </c>
      <c r="N90" s="489" cm="1">
        <f t="array" ref="N90">SUMPRODUCT(--(ISNUMBER(SEARCH($A90,'Diags Raw Data'!$A$6:$A$3791))),--('Diags Raw Data'!$Q$6:$Q$3791&lt;&gt;"N/A"),'Diags Raw Data'!$T$6:$T$3791)+SUMPRODUCT(--(ISNUMBER(SEARCH($A90,'Diags Raw Data'!$A$6:$A$3791))),--('Diags Raw Data'!$Q$6:$Q$3791&lt;&gt;"N/A"),'Diags Raw Data'!$U$6:$U$3791)</f>
        <v>0</v>
      </c>
      <c r="O90" s="490">
        <f t="shared" si="8"/>
        <v>0</v>
      </c>
      <c r="P90" s="491">
        <f>SUMIF('Diags Raw Data'!$A$6:$A$3791,"*"&amp;$A90&amp;"*",'Diags Raw Data'!$Z$6:$Z$3791)</f>
        <v>0</v>
      </c>
      <c r="Q90" s="492">
        <f>SUM(SUMIF('Diags Raw Data'!$A$6:$A$3791,"*"&amp;$A90&amp;"*",'Diags Raw Data'!$AA$6:$AA$3791),SUMIF('Diags Raw Data'!$A$6:$A$3791,"*"&amp;$A90&amp;"*",'Diags Raw Data'!$AB$6:$AB$3791))</f>
        <v>0</v>
      </c>
      <c r="R90" s="493">
        <f t="shared" si="9"/>
        <v>0</v>
      </c>
      <c r="S90" s="493">
        <f t="shared" si="10"/>
        <v>0</v>
      </c>
      <c r="T90" s="494">
        <f t="shared" si="11"/>
        <v>0</v>
      </c>
      <c r="U90" s="442"/>
      <c r="V90" s="182" t="s">
        <v>1128</v>
      </c>
    </row>
    <row r="91" spans="1:22">
      <c r="A91" s="584" t="s">
        <v>485</v>
      </c>
      <c r="B91" s="438" t="str">
        <f>VLOOKUP(A91,'Feature Raw Data'!$A$3:$B$4004,2,FALSE)</f>
        <v>DCN4.087 - Hdmi2.1 audio</v>
      </c>
      <c r="C91" s="439" t="str">
        <f>VLOOKUP(A91,'Feature Raw Data'!$A$3:$C$4004,3,FALSE)</f>
        <v>P2</v>
      </c>
      <c r="D91" s="440" t="str" cm="1">
        <f t="array" ref="D91">_xlfn.TEXTJOIN("",TRUE,IF(ISNUMBER(SEARCH($A91,'Diags Raw Data'!$A$6:$A$3791)),CONCATENATE('Diags Raw Data'!$H$6:$H$3791,", "),""))</f>
        <v xml:space="preserve">DIO602, DIO603, DIO604, </v>
      </c>
      <c r="E91" s="336" t="str">
        <f>VLOOKUP(A91,'Diags Raw Data'!$A$6:$D$3791,4,FALSE)</f>
        <v>DIO</v>
      </c>
      <c r="F91" s="336" t="str">
        <f>VLOOKUP(A91,'Feature Raw Data'!$A$3:$E$4004,5,FALSE)</f>
        <v>Legacy</v>
      </c>
      <c r="G91" s="336" t="str">
        <f t="shared" si="6"/>
        <v>Yes</v>
      </c>
      <c r="H91" s="336" t="str">
        <f t="shared" si="7"/>
        <v>Yes</v>
      </c>
      <c r="I91" s="439">
        <f>SUMIF('Diags Raw Data'!$A$6:$A$3791,"*"&amp;$A91&amp;"*",'Diags Raw Data'!$K$6:$K$3791)</f>
        <v>3</v>
      </c>
      <c r="J91" s="441">
        <f>SUMIF('Diags Raw Data'!$A$6:$A$3791,"*"&amp;$A91&amp;"*",'Diags Raw Data'!$L$6:$L$3791)</f>
        <v>15</v>
      </c>
      <c r="K91" s="486" cm="1">
        <f t="array" ref="K91">IF(D91="",0, SUMPRODUCT(--(ISNUMBER(SEARCH($A91,'Diags Raw Data'!$A$6:$A$3791))),'Diags Raw Data'!$L$6:$L$3791,'Diags Raw Data'!$N$6:$N$3791)/J91)</f>
        <v>1</v>
      </c>
      <c r="L91" s="487" cm="1">
        <f t="array" ref="L91">IF(D91="",0, SUMPRODUCT(--(ISNUMBER(SEARCH($A91,'Diags Raw Data'!$A$6:$A$3791))),'Diags Raw Data'!$L$6:$L$3791,'Diags Raw Data'!$P$6:$P$3791)/J91)</f>
        <v>1</v>
      </c>
      <c r="M91" s="488" cm="1">
        <f t="array" ref="M91">SUMPRODUCT(--(ISNUMBER(SEARCH($A91,'Diags Raw Data'!$A$6:$A$3791))),--('Diags Raw Data'!$Q$6:$Q$3791&lt;&gt;"N/A"),'Diags Raw Data'!$R$6:$R$3791)</f>
        <v>15</v>
      </c>
      <c r="N91" s="489" cm="1">
        <f t="array" ref="N91">SUMPRODUCT(--(ISNUMBER(SEARCH($A91,'Diags Raw Data'!$A$6:$A$3791))),--('Diags Raw Data'!$Q$6:$Q$3791&lt;&gt;"N/A"),'Diags Raw Data'!$T$6:$T$3791)+SUMPRODUCT(--(ISNUMBER(SEARCH($A91,'Diags Raw Data'!$A$6:$A$3791))),--('Diags Raw Data'!$Q$6:$Q$3791&lt;&gt;"N/A"),'Diags Raw Data'!$U$6:$U$3791)</f>
        <v>7</v>
      </c>
      <c r="O91" s="490">
        <f t="shared" si="8"/>
        <v>0.46666666666666667</v>
      </c>
      <c r="P91" s="491">
        <f>SUMIF('Diags Raw Data'!$A$6:$A$3791,"*"&amp;$A91&amp;"*",'Diags Raw Data'!$Z$6:$Z$3791)</f>
        <v>0</v>
      </c>
      <c r="Q91" s="492">
        <f>SUM(SUMIF('Diags Raw Data'!$A$6:$A$3791,"*"&amp;$A91&amp;"*",'Diags Raw Data'!$AA$6:$AA$3791),SUMIF('Diags Raw Data'!$A$6:$A$3791,"*"&amp;$A91&amp;"*",'Diags Raw Data'!$AB$6:$AB$3791))</f>
        <v>0</v>
      </c>
      <c r="R91" s="493">
        <f t="shared" si="9"/>
        <v>0</v>
      </c>
      <c r="S91" s="493">
        <f t="shared" si="10"/>
        <v>0</v>
      </c>
      <c r="T91" s="494">
        <f t="shared" si="11"/>
        <v>0</v>
      </c>
      <c r="U91" s="442" t="s">
        <v>1129</v>
      </c>
      <c r="V91" s="182"/>
    </row>
    <row r="92" spans="1:22">
      <c r="A92" s="584" t="s">
        <v>487</v>
      </c>
      <c r="B92" s="438" t="str">
        <f>VLOOKUP(A92,'Feature Raw Data'!$A$3:$B$4004,2,FALSE)</f>
        <v>DCN4.088 - Hdmi2.1 stereoscopic</v>
      </c>
      <c r="C92" s="439" t="str">
        <f>VLOOKUP(A92,'Feature Raw Data'!$A$3:$C$4004,3,FALSE)</f>
        <v>P2</v>
      </c>
      <c r="D92" s="440" t="str" cm="1">
        <f t="array" ref="D92">_xlfn.TEXTJOIN("",TRUE,IF(ISNUMBER(SEARCH($A92,'Diags Raw Data'!$A$6:$A$3791)),CONCATENATE('Diags Raw Data'!$H$6:$H$3791,", "),""))</f>
        <v xml:space="preserve">DIO605, </v>
      </c>
      <c r="E92" s="336" t="str">
        <f>VLOOKUP(A92,'Diags Raw Data'!$A$6:$D$3791,4,FALSE)</f>
        <v>DIO</v>
      </c>
      <c r="F92" s="336" t="str">
        <f>VLOOKUP(A92,'Feature Raw Data'!$A$3:$E$4004,5,FALSE)</f>
        <v>Legacy</v>
      </c>
      <c r="G92" s="336" t="str">
        <f t="shared" si="6"/>
        <v>Yes</v>
      </c>
      <c r="H92" s="336" t="str">
        <f t="shared" si="7"/>
        <v>Yes</v>
      </c>
      <c r="I92" s="439">
        <f>SUMIF('Diags Raw Data'!$A$6:$A$3791,"*"&amp;$A92&amp;"*",'Diags Raw Data'!$K$6:$K$3791)</f>
        <v>1</v>
      </c>
      <c r="J92" s="441">
        <f>SUMIF('Diags Raw Data'!$A$6:$A$3791,"*"&amp;$A92&amp;"*",'Diags Raw Data'!$L$6:$L$3791)</f>
        <v>1</v>
      </c>
      <c r="K92" s="486" cm="1">
        <f t="array" ref="K92">IF(D92="",0, SUMPRODUCT(--(ISNUMBER(SEARCH($A92,'Diags Raw Data'!$A$6:$A$3791))),'Diags Raw Data'!$L$6:$L$3791,'Diags Raw Data'!$N$6:$N$3791)/J92)</f>
        <v>1</v>
      </c>
      <c r="L92" s="487" cm="1">
        <f t="array" ref="L92">IF(D92="",0, SUMPRODUCT(--(ISNUMBER(SEARCH($A92,'Diags Raw Data'!$A$6:$A$3791))),'Diags Raw Data'!$L$6:$L$3791,'Diags Raw Data'!$P$6:$P$3791)/J92)</f>
        <v>1</v>
      </c>
      <c r="M92" s="488" cm="1">
        <f t="array" ref="M92">SUMPRODUCT(--(ISNUMBER(SEARCH($A92,'Diags Raw Data'!$A$6:$A$3791))),--('Diags Raw Data'!$Q$6:$Q$3791&lt;&gt;"N/A"),'Diags Raw Data'!$R$6:$R$3791)</f>
        <v>1</v>
      </c>
      <c r="N92" s="489" cm="1">
        <f t="array" ref="N92">SUMPRODUCT(--(ISNUMBER(SEARCH($A92,'Diags Raw Data'!$A$6:$A$3791))),--('Diags Raw Data'!$Q$6:$Q$3791&lt;&gt;"N/A"),'Diags Raw Data'!$T$6:$T$3791)+SUMPRODUCT(--(ISNUMBER(SEARCH($A92,'Diags Raw Data'!$A$6:$A$3791))),--('Diags Raw Data'!$Q$6:$Q$3791&lt;&gt;"N/A"),'Diags Raw Data'!$U$6:$U$3791)</f>
        <v>1</v>
      </c>
      <c r="O92" s="490">
        <f t="shared" si="8"/>
        <v>1</v>
      </c>
      <c r="P92" s="491">
        <f>SUMIF('Diags Raw Data'!$A$6:$A$3791,"*"&amp;$A92&amp;"*",'Diags Raw Data'!$Z$6:$Z$3791)</f>
        <v>0</v>
      </c>
      <c r="Q92" s="492">
        <f>SUM(SUMIF('Diags Raw Data'!$A$6:$A$3791,"*"&amp;$A92&amp;"*",'Diags Raw Data'!$AA$6:$AA$3791),SUMIF('Diags Raw Data'!$A$6:$A$3791,"*"&amp;$A92&amp;"*",'Diags Raw Data'!$AB$6:$AB$3791))</f>
        <v>0</v>
      </c>
      <c r="R92" s="493">
        <f t="shared" si="9"/>
        <v>0</v>
      </c>
      <c r="S92" s="493">
        <f t="shared" si="10"/>
        <v>0</v>
      </c>
      <c r="T92" s="494">
        <f t="shared" si="11"/>
        <v>0</v>
      </c>
      <c r="U92" s="442" t="s">
        <v>1129</v>
      </c>
      <c r="V92" s="182"/>
    </row>
    <row r="93" spans="1:22" ht="60" customHeight="1">
      <c r="A93" s="584" t="s">
        <v>493</v>
      </c>
      <c r="B93" s="438" t="str">
        <f>VLOOKUP(A93,'Feature Raw Data'!$A$3:$B$4004,2,FALSE)</f>
        <v>DCN4.091 - Hdmi2.1 timing support</v>
      </c>
      <c r="C93" s="439" t="str">
        <f>VLOOKUP(A93,'Feature Raw Data'!$A$3:$C$4004,3,FALSE)</f>
        <v>P2</v>
      </c>
      <c r="D93" s="440" t="str" cm="1">
        <f t="array" ref="D93">_xlfn.TEXTJOIN("",TRUE,IF(ISNUMBER(SEARCH($A93,'Diags Raw Data'!$A$6:$A$3791)),CONCATENATE('Diags Raw Data'!$H$6:$H$3791,", "),""))</f>
        <v xml:space="preserve">DIO620, </v>
      </c>
      <c r="E93" s="336" t="e">
        <f>VLOOKUP(A93,'Diags Raw Data'!$A$6:$D$3791,4,FALSE)</f>
        <v>#N/A</v>
      </c>
      <c r="F93" s="336" t="str">
        <f>VLOOKUP(A93,'Feature Raw Data'!$A$3:$E$4004,5,FALSE)</f>
        <v>Legacy</v>
      </c>
      <c r="G93" s="336" t="str">
        <f t="shared" si="6"/>
        <v>Yes</v>
      </c>
      <c r="H93" s="336" t="str">
        <f t="shared" si="7"/>
        <v>Yes</v>
      </c>
      <c r="I93" s="439">
        <f>SUMIF('Diags Raw Data'!$A$6:$A$3791,"*"&amp;$A93&amp;"*",'Diags Raw Data'!$K$6:$K$3791)</f>
        <v>1</v>
      </c>
      <c r="J93" s="441">
        <f>SUMIF('Diags Raw Data'!$A$6:$A$3791,"*"&amp;$A93&amp;"*",'Diags Raw Data'!$L$6:$L$3791)</f>
        <v>63</v>
      </c>
      <c r="K93" s="486" cm="1">
        <f t="array" ref="K93">IF(D93="",0, SUMPRODUCT(--(ISNUMBER(SEARCH($A93,'Diags Raw Data'!$A$6:$A$3791))),'Diags Raw Data'!$L$6:$L$3791,'Diags Raw Data'!$N$6:$N$3791)/J93)</f>
        <v>1</v>
      </c>
      <c r="L93" s="487" cm="1">
        <f t="array" ref="L93">IF(D93="",0, SUMPRODUCT(--(ISNUMBER(SEARCH($A93,'Diags Raw Data'!$A$6:$A$3791))),'Diags Raw Data'!$L$6:$L$3791,'Diags Raw Data'!$P$6:$P$3791)/J93)</f>
        <v>1</v>
      </c>
      <c r="M93" s="488" t="s">
        <v>1138</v>
      </c>
      <c r="N93" s="489" cm="1">
        <f t="array" ref="N93">SUMPRODUCT(--(ISNUMBER(SEARCH($A93,'Diags Raw Data'!$A$6:$A$3791))),--('Diags Raw Data'!$Q$6:$Q$3791&lt;&gt;"N/A"),'Diags Raw Data'!$T$6:$T$3791)+SUMPRODUCT(--(ISNUMBER(SEARCH($A93,'Diags Raw Data'!$A$6:$A$3791))),--('Diags Raw Data'!$Q$6:$Q$3791&lt;&gt;"N/A"),'Diags Raw Data'!$U$6:$U$3791)</f>
        <v>63</v>
      </c>
      <c r="O93" s="490" t="e">
        <f>IF((M93=0),0,N93/M93)</f>
        <v>#VALUE!</v>
      </c>
      <c r="P93" s="491">
        <f>SUMIF('Diags Raw Data'!$A$6:$A$3791,"*"&amp;$A93&amp;"*",'Diags Raw Data'!$Z$6:$Z$3791)</f>
        <v>0</v>
      </c>
      <c r="Q93" s="492">
        <f>SUM(SUMIF('Diags Raw Data'!$A$6:$A$3791,"*"&amp;$A93&amp;"*",'Diags Raw Data'!$AA$6:$AA$3791),SUMIF('Diags Raw Data'!$A$6:$A$3791,"*"&amp;$A93&amp;"*",'Diags Raw Data'!$AB$6:$AB$3791))</f>
        <v>0</v>
      </c>
      <c r="R93" s="493">
        <f t="shared" si="9"/>
        <v>0</v>
      </c>
      <c r="S93" s="493">
        <f t="shared" si="10"/>
        <v>0</v>
      </c>
      <c r="T93" s="494">
        <f t="shared" si="11"/>
        <v>0</v>
      </c>
      <c r="U93" s="442" t="s">
        <v>1129</v>
      </c>
      <c r="V93" s="182"/>
    </row>
    <row r="94" spans="1:22" ht="54.75" customHeight="1">
      <c r="A94" s="584" t="s">
        <v>495</v>
      </c>
      <c r="B94" s="438" t="str">
        <f>VLOOKUP(A94,'Feature Raw Data'!$A$3:$B$4004,2,FALSE)</f>
        <v>DCN4.092 - Dp1.4</v>
      </c>
      <c r="C94" s="439" t="str">
        <f>VLOOKUP(A94,'Feature Raw Data'!$A$3:$C$4004,3,FALSE)</f>
        <v>P2</v>
      </c>
      <c r="D94" s="440" t="str" cm="1">
        <f t="array" ref="D94">_xlfn.TEXTJOIN("",TRUE,IF(ISNUMBER(SEARCH($A94,'Diags Raw Data'!$A$6:$A$3791)),CONCATENATE('Diags Raw Data'!$H$6:$H$3791,", "),""))</f>
        <v xml:space="preserve">DIO352, DIO369, DIO370, DIO371, DIO372, DIO373, DIO374, DIO375, DIO376, DIO377, DIO378, DIO379, DIO380, DIO381, DIO335, DIO337, DIO383, DIO384, DIO385, DIO389, </v>
      </c>
      <c r="E94" s="336" t="str">
        <f>VLOOKUP(A94,'Diags Raw Data'!$A$6:$D$3791,4,FALSE)</f>
        <v>DIO</v>
      </c>
      <c r="F94" s="336" t="str">
        <f>VLOOKUP(A94,'Feature Raw Data'!$A$3:$E$4004,5,FALSE)</f>
        <v>Legacy</v>
      </c>
      <c r="G94" s="336" t="str">
        <f t="shared" si="6"/>
        <v>Yes</v>
      </c>
      <c r="H94" s="336" t="str">
        <f t="shared" si="7"/>
        <v>Yes</v>
      </c>
      <c r="I94" s="439">
        <f>SUMIF('Diags Raw Data'!$A$6:$A$3791,"*"&amp;$A94&amp;"*",'Diags Raw Data'!$K$6:$K$3791)</f>
        <v>20</v>
      </c>
      <c r="J94" s="441">
        <f>SUMIF('Diags Raw Data'!$A$6:$A$3791,"*"&amp;$A94&amp;"*",'Diags Raw Data'!$L$6:$L$3791)</f>
        <v>769</v>
      </c>
      <c r="K94" s="486" cm="1">
        <f t="array" ref="K94">IF(D94="",0, SUMPRODUCT(--(ISNUMBER(SEARCH($A94,'Diags Raw Data'!$A$6:$A$3791))),'Diags Raw Data'!$L$6:$L$3791,'Diags Raw Data'!$N$6:$N$3791)/J94)</f>
        <v>1</v>
      </c>
      <c r="L94" s="487" cm="1">
        <f t="array" ref="L94">IF(D94="",0, SUMPRODUCT(--(ISNUMBER(SEARCH($A94,'Diags Raw Data'!$A$6:$A$3791))),'Diags Raw Data'!$L$6:$L$3791,'Diags Raw Data'!$P$6:$P$3791)/J94)</f>
        <v>1</v>
      </c>
      <c r="M94" s="488" t="s">
        <v>1139</v>
      </c>
      <c r="N94" s="489" cm="1">
        <f t="array" ref="N94">SUMPRODUCT(--(ISNUMBER(SEARCH($A94,'Diags Raw Data'!$A$6:$A$3791))),--('Diags Raw Data'!$Q$6:$Q$3791&lt;&gt;"N/A"),'Diags Raw Data'!$T$6:$T$3791)+SUMPRODUCT(--(ISNUMBER(SEARCH($A94,'Diags Raw Data'!$A$6:$A$3791))),--('Diags Raw Data'!$Q$6:$Q$3791&lt;&gt;"N/A"),'Diags Raw Data'!$U$6:$U$3791)</f>
        <v>721</v>
      </c>
      <c r="O94" s="490" t="e">
        <f>IF((M94=0),0,N94/M94)</f>
        <v>#VALUE!</v>
      </c>
      <c r="P94" s="491">
        <f>SUMIF('Diags Raw Data'!$A$6:$A$3791,"*"&amp;$A94&amp;"*",'Diags Raw Data'!$Z$6:$Z$3791)</f>
        <v>0</v>
      </c>
      <c r="Q94" s="492">
        <f>SUM(SUMIF('Diags Raw Data'!$A$6:$A$3791,"*"&amp;$A94&amp;"*",'Diags Raw Data'!$AA$6:$AA$3791),SUMIF('Diags Raw Data'!$A$6:$A$3791,"*"&amp;$A94&amp;"*",'Diags Raw Data'!$AB$6:$AB$3791))</f>
        <v>0</v>
      </c>
      <c r="R94" s="493">
        <f t="shared" si="9"/>
        <v>0</v>
      </c>
      <c r="S94" s="493">
        <f t="shared" si="10"/>
        <v>0</v>
      </c>
      <c r="T94" s="494">
        <f t="shared" si="11"/>
        <v>0</v>
      </c>
      <c r="U94" s="442" t="s">
        <v>1129</v>
      </c>
      <c r="V94" s="182"/>
    </row>
    <row r="95" spans="1:22">
      <c r="A95" s="584" t="s">
        <v>497</v>
      </c>
      <c r="B95" s="438" t="str">
        <f>VLOOKUP(A95,'Feature Raw Data'!$A$3:$B$4004,2,FALSE)</f>
        <v>DCN4.093 - Dp1.4 mst</v>
      </c>
      <c r="C95" s="439" t="str">
        <f>VLOOKUP(A95,'Feature Raw Data'!$A$3:$C$4004,3,FALSE)</f>
        <v>P2</v>
      </c>
      <c r="D95" s="440" t="str" cm="1">
        <f t="array" ref="D95">_xlfn.TEXTJOIN("",TRUE,IF(ISNUMBER(SEARCH($A95,'Diags Raw Data'!$A$6:$A$3791)),CONCATENATE('Diags Raw Data'!$H$6:$H$3791,", "),""))</f>
        <v xml:space="preserve">DIO322, DIO324, DIO325, </v>
      </c>
      <c r="E95" s="336" t="str">
        <f>VLOOKUP(A95,'Diags Raw Data'!$A$6:$D$3791,4,FALSE)</f>
        <v>DIO</v>
      </c>
      <c r="F95" s="336" t="str">
        <f>VLOOKUP(A95,'Feature Raw Data'!$A$3:$E$4004,5,FALSE)</f>
        <v>Legacy</v>
      </c>
      <c r="G95" s="336" t="str">
        <f t="shared" si="6"/>
        <v>Yes</v>
      </c>
      <c r="H95" s="336" t="str">
        <f t="shared" si="7"/>
        <v>Yes</v>
      </c>
      <c r="I95" s="439">
        <f>SUMIF('Diags Raw Data'!$A$6:$A$3791,"*"&amp;$A95&amp;"*",'Diags Raw Data'!$K$6:$K$3791)</f>
        <v>3</v>
      </c>
      <c r="J95" s="441">
        <f>SUMIF('Diags Raw Data'!$A$6:$A$3791,"*"&amp;$A95&amp;"*",'Diags Raw Data'!$L$6:$L$3791)</f>
        <v>34</v>
      </c>
      <c r="K95" s="486" cm="1">
        <f t="array" ref="K95">IF(D95="",0, SUMPRODUCT(--(ISNUMBER(SEARCH($A95,'Diags Raw Data'!$A$6:$A$3791))),'Diags Raw Data'!$L$6:$L$3791,'Diags Raw Data'!$N$6:$N$3791)/J95)</f>
        <v>1</v>
      </c>
      <c r="L95" s="487" cm="1">
        <f t="array" ref="L95">IF(D95="",0, SUMPRODUCT(--(ISNUMBER(SEARCH($A95,'Diags Raw Data'!$A$6:$A$3791))),'Diags Raw Data'!$L$6:$L$3791,'Diags Raw Data'!$P$6:$P$3791)/J95)</f>
        <v>1</v>
      </c>
      <c r="M95" s="488" cm="1">
        <f t="array" ref="M95">SUMPRODUCT(--(ISNUMBER(SEARCH($A95,'Diags Raw Data'!$A$6:$A$3791))),--('Diags Raw Data'!$Q$6:$Q$3791&lt;&gt;"N/A"),'Diags Raw Data'!$R$6:$R$3791)</f>
        <v>34</v>
      </c>
      <c r="N95" s="489" cm="1">
        <f t="array" ref="N95">SUMPRODUCT(--(ISNUMBER(SEARCH($A95,'Diags Raw Data'!$A$6:$A$3791))),--('Diags Raw Data'!$Q$6:$Q$3791&lt;&gt;"N/A"),'Diags Raw Data'!$T$6:$T$3791)+SUMPRODUCT(--(ISNUMBER(SEARCH($A95,'Diags Raw Data'!$A$6:$A$3791))),--('Diags Raw Data'!$Q$6:$Q$3791&lt;&gt;"N/A"),'Diags Raw Data'!$U$6:$U$3791)</f>
        <v>2</v>
      </c>
      <c r="O95" s="490">
        <f t="shared" si="8"/>
        <v>5.8823529411764705E-2</v>
      </c>
      <c r="P95" s="491">
        <f>SUMIF('Diags Raw Data'!$A$6:$A$3791,"*"&amp;$A95&amp;"*",'Diags Raw Data'!$Z$6:$Z$3791)</f>
        <v>0</v>
      </c>
      <c r="Q95" s="492">
        <f>SUM(SUMIF('Diags Raw Data'!$A$6:$A$3791,"*"&amp;$A95&amp;"*",'Diags Raw Data'!$AA$6:$AA$3791),SUMIF('Diags Raw Data'!$A$6:$A$3791,"*"&amp;$A95&amp;"*",'Diags Raw Data'!$AB$6:$AB$3791))</f>
        <v>0</v>
      </c>
      <c r="R95" s="493">
        <f t="shared" si="9"/>
        <v>0</v>
      </c>
      <c r="S95" s="493">
        <f t="shared" si="10"/>
        <v>0</v>
      </c>
      <c r="T95" s="494">
        <f t="shared" si="11"/>
        <v>0</v>
      </c>
      <c r="U95" s="442" t="s">
        <v>1129</v>
      </c>
      <c r="V95" s="182"/>
    </row>
    <row r="96" spans="1:22">
      <c r="A96" s="584" t="s">
        <v>499</v>
      </c>
      <c r="B96" s="438" t="str">
        <f>VLOOKUP(A96,'Feature Raw Data'!$A$3:$B$4004,2,FALSE)</f>
        <v>DCN4.094 - Dp dynamic metadata</v>
      </c>
      <c r="C96" s="439" t="str">
        <f>VLOOKUP(A96,'Feature Raw Data'!$A$3:$C$4004,3,FALSE)</f>
        <v>P2</v>
      </c>
      <c r="D96" s="440" t="str" cm="1">
        <f t="array" ref="D96">_xlfn.TEXTJOIN("",TRUE,IF(ISNUMBER(SEARCH($A96,'Diags Raw Data'!$A$6:$A$3791)),CONCATENATE('Diags Raw Data'!$H$6:$H$3791,", "),""))</f>
        <v/>
      </c>
      <c r="E96" s="336" t="e">
        <f>VLOOKUP(A96,'Diags Raw Data'!$A$6:$D$3791,4,FALSE)</f>
        <v>#N/A</v>
      </c>
      <c r="F96" s="336" t="str">
        <f>VLOOKUP(A96,'Feature Raw Data'!$A$3:$E$4004,5,FALSE)</f>
        <v>Legacy</v>
      </c>
      <c r="G96" s="336" t="str">
        <f t="shared" ref="G96:G102" si="12">IF(D96="","No","Yes")</f>
        <v>No</v>
      </c>
      <c r="H96" s="336" t="str">
        <f t="shared" ref="H96:H102" si="13">IF(D96="","No","Yes")</f>
        <v>No</v>
      </c>
      <c r="I96" s="439">
        <f>SUMIF('Diags Raw Data'!$A$6:$A$3791,"*"&amp;$A96&amp;"*",'Diags Raw Data'!$K$6:$K$3791)</f>
        <v>0</v>
      </c>
      <c r="J96" s="441">
        <f>SUMIF('Diags Raw Data'!$A$6:$A$3791,"*"&amp;$A96&amp;"*",'Diags Raw Data'!$L$6:$L$3791)</f>
        <v>0</v>
      </c>
      <c r="K96" s="486" cm="1">
        <f t="array" ref="K96">IF(D96="",0, SUMPRODUCT(--(ISNUMBER(SEARCH($A96,'Diags Raw Data'!$A$6:$A$3791))),'Diags Raw Data'!$L$6:$L$3791,'Diags Raw Data'!$N$6:$N$3791)/J96)</f>
        <v>0</v>
      </c>
      <c r="L96" s="487" cm="1">
        <f t="array" ref="L96">IF(D96="",0, SUMPRODUCT(--(ISNUMBER(SEARCH($A96,'Diags Raw Data'!$A$6:$A$3791))),'Diags Raw Data'!$L$6:$L$3791,'Diags Raw Data'!$P$6:$P$3791)/J96)</f>
        <v>0</v>
      </c>
      <c r="M96" s="488" cm="1">
        <f t="array" ref="M96">SUMPRODUCT(--(ISNUMBER(SEARCH($A96,'Diags Raw Data'!$A$6:$A$3791))),--('Diags Raw Data'!$Q$6:$Q$3791&lt;&gt;"N/A"),'Diags Raw Data'!$R$6:$R$3791)</f>
        <v>0</v>
      </c>
      <c r="N96" s="489" cm="1">
        <f t="array" ref="N96">SUMPRODUCT(--(ISNUMBER(SEARCH($A96,'Diags Raw Data'!$A$6:$A$3791))),--('Diags Raw Data'!$Q$6:$Q$3791&lt;&gt;"N/A"),'Diags Raw Data'!$T$6:$T$3791)+SUMPRODUCT(--(ISNUMBER(SEARCH($A96,'Diags Raw Data'!$A$6:$A$3791))),--('Diags Raw Data'!$Q$6:$Q$3791&lt;&gt;"N/A"),'Diags Raw Data'!$U$6:$U$3791)</f>
        <v>0</v>
      </c>
      <c r="O96" s="490">
        <f t="shared" ref="O96:O102" si="14">IF((M96=0),0,N96/M96)</f>
        <v>0</v>
      </c>
      <c r="P96" s="491">
        <f>SUMIF('Diags Raw Data'!$A$6:$A$3791,"*"&amp;$A96&amp;"*",'Diags Raw Data'!$Z$6:$Z$3791)</f>
        <v>0</v>
      </c>
      <c r="Q96" s="492">
        <f>SUM(SUMIF('Diags Raw Data'!$A$6:$A$3791,"*"&amp;$A96&amp;"*",'Diags Raw Data'!$AA$6:$AA$3791),SUMIF('Diags Raw Data'!$A$6:$A$3791,"*"&amp;$A96&amp;"*",'Diags Raw Data'!$AB$6:$AB$3791))</f>
        <v>0</v>
      </c>
      <c r="R96" s="493">
        <f t="shared" ref="R96:R102" si="15">IF((J96=0),0,P96/J96)</f>
        <v>0</v>
      </c>
      <c r="S96" s="493">
        <f t="shared" ref="S96:S102" si="16">IF((P96=0),0,Q96/P96)</f>
        <v>0</v>
      </c>
      <c r="T96" s="494">
        <f t="shared" ref="T96:T102" si="17">R96*S96</f>
        <v>0</v>
      </c>
      <c r="U96" s="442" t="s">
        <v>1129</v>
      </c>
      <c r="V96" s="182"/>
    </row>
    <row r="97" spans="1:22">
      <c r="A97" s="584" t="s">
        <v>501</v>
      </c>
      <c r="B97" s="438" t="str">
        <f>VLOOKUP(A97,'Feature Raw Data'!$A$3:$B$4004,2,FALSE)</f>
        <v>DCN4.095 - Aux and i2c</v>
      </c>
      <c r="C97" s="439" t="str">
        <f>VLOOKUP(A97,'Feature Raw Data'!$A$3:$C$4004,3,FALSE)</f>
        <v>P2</v>
      </c>
      <c r="D97" s="440" t="str" cm="1">
        <f t="array" ref="D97">_xlfn.TEXTJOIN("",TRUE,IF(ISNUMBER(SEARCH($A97,'Diags Raw Data'!$A$6:$A$3791)),CONCATENATE('Diags Raw Data'!$H$6:$H$3791,", "),""))</f>
        <v xml:space="preserve">DIO003, </v>
      </c>
      <c r="E97" s="336" t="e">
        <f>VLOOKUP(A97,'Diags Raw Data'!$A$6:$D$3791,4,FALSE)</f>
        <v>#N/A</v>
      </c>
      <c r="F97" s="336" t="str">
        <f>VLOOKUP(A97,'Feature Raw Data'!$A$3:$E$4004,5,FALSE)</f>
        <v>Legacy</v>
      </c>
      <c r="G97" s="336" t="str">
        <f t="shared" si="12"/>
        <v>Yes</v>
      </c>
      <c r="H97" s="336" t="str">
        <f t="shared" si="13"/>
        <v>Yes</v>
      </c>
      <c r="I97" s="439">
        <f>SUMIF('Diags Raw Data'!$A$6:$A$3791,"*"&amp;$A97&amp;"*",'Diags Raw Data'!$K$6:$K$3791)</f>
        <v>1</v>
      </c>
      <c r="J97" s="441">
        <f>SUMIF('Diags Raw Data'!$A$6:$A$3791,"*"&amp;$A97&amp;"*",'Diags Raw Data'!$L$6:$L$3791)</f>
        <v>6</v>
      </c>
      <c r="K97" s="486" cm="1">
        <f t="array" ref="K97">IF(D97="",0, SUMPRODUCT(--(ISNUMBER(SEARCH($A97,'Diags Raw Data'!$A$6:$A$3791))),'Diags Raw Data'!$L$6:$L$3791,'Diags Raw Data'!$N$6:$N$3791)/J97)</f>
        <v>1</v>
      </c>
      <c r="L97" s="487" cm="1">
        <f t="array" ref="L97">IF(D97="",0, SUMPRODUCT(--(ISNUMBER(SEARCH($A97,'Diags Raw Data'!$A$6:$A$3791))),'Diags Raw Data'!$L$6:$L$3791,'Diags Raw Data'!$P$6:$P$3791)/J97)</f>
        <v>1</v>
      </c>
      <c r="M97" s="488" cm="1">
        <f t="array" ref="M97">SUMPRODUCT(--(ISNUMBER(SEARCH($A97,'Diags Raw Data'!$A$6:$A$3791))),--('Diags Raw Data'!$Q$6:$Q$3791&lt;&gt;"N/A"),'Diags Raw Data'!$R$6:$R$3791)</f>
        <v>6</v>
      </c>
      <c r="N97" s="489" cm="1">
        <f t="array" ref="N97">SUMPRODUCT(--(ISNUMBER(SEARCH($A97,'Diags Raw Data'!$A$6:$A$3791))),--('Diags Raw Data'!$Q$6:$Q$3791&lt;&gt;"N/A"),'Diags Raw Data'!$T$6:$T$3791)+SUMPRODUCT(--(ISNUMBER(SEARCH($A97,'Diags Raw Data'!$A$6:$A$3791))),--('Diags Raw Data'!$Q$6:$Q$3791&lt;&gt;"N/A"),'Diags Raw Data'!$U$6:$U$3791)</f>
        <v>0</v>
      </c>
      <c r="O97" s="490">
        <f t="shared" si="14"/>
        <v>0</v>
      </c>
      <c r="P97" s="491">
        <f>SUMIF('Diags Raw Data'!$A$6:$A$3791,"*"&amp;$A97&amp;"*",'Diags Raw Data'!$Z$6:$Z$3791)</f>
        <v>0</v>
      </c>
      <c r="Q97" s="492">
        <f>SUM(SUMIF('Diags Raw Data'!$A$6:$A$3791,"*"&amp;$A97&amp;"*",'Diags Raw Data'!$AA$6:$AA$3791),SUMIF('Diags Raw Data'!$A$6:$A$3791,"*"&amp;$A97&amp;"*",'Diags Raw Data'!$AB$6:$AB$3791))</f>
        <v>0</v>
      </c>
      <c r="R97" s="493">
        <f t="shared" si="15"/>
        <v>0</v>
      </c>
      <c r="S97" s="493">
        <f t="shared" si="16"/>
        <v>0</v>
      </c>
      <c r="T97" s="494">
        <f t="shared" si="17"/>
        <v>0</v>
      </c>
      <c r="U97" s="442" t="s">
        <v>1129</v>
      </c>
      <c r="V97" s="182"/>
    </row>
    <row r="98" spans="1:22">
      <c r="A98" s="584" t="s">
        <v>503</v>
      </c>
      <c r="B98" s="438" t="str">
        <f>VLOOKUP(A98,'Feature Raw Data'!$A$3:$B$4004,2,FALSE)</f>
        <v>DCN4.096 - Hpd</v>
      </c>
      <c r="C98" s="439" t="str">
        <f>VLOOKUP(A98,'Feature Raw Data'!$A$3:$C$4004,3,FALSE)</f>
        <v>P2</v>
      </c>
      <c r="D98" s="440" t="str" cm="1">
        <f t="array" ref="D98">_xlfn.TEXTJOIN("",TRUE,IF(ISNUMBER(SEARCH($A98,'Diags Raw Data'!$A$6:$A$3791)),CONCATENATE('Diags Raw Data'!$H$6:$H$3791,", "),""))</f>
        <v xml:space="preserve">DIO003, </v>
      </c>
      <c r="E98" s="336" t="e">
        <f>VLOOKUP(A98,'Diags Raw Data'!$A$6:$D$3791,4,FALSE)</f>
        <v>#N/A</v>
      </c>
      <c r="F98" s="336" t="str">
        <f>VLOOKUP(A98,'Feature Raw Data'!$A$3:$E$4004,5,FALSE)</f>
        <v>Legacy</v>
      </c>
      <c r="G98" s="336" t="str">
        <f t="shared" si="12"/>
        <v>Yes</v>
      </c>
      <c r="H98" s="336" t="str">
        <f t="shared" si="13"/>
        <v>Yes</v>
      </c>
      <c r="I98" s="439">
        <f>SUMIF('Diags Raw Data'!$A$6:$A$3791,"*"&amp;$A98&amp;"*",'Diags Raw Data'!$K$6:$K$3791)</f>
        <v>1</v>
      </c>
      <c r="J98" s="441">
        <f>SUMIF('Diags Raw Data'!$A$6:$A$3791,"*"&amp;$A98&amp;"*",'Diags Raw Data'!$L$6:$L$3791)</f>
        <v>6</v>
      </c>
      <c r="K98" s="486" cm="1">
        <f t="array" ref="K98">IF(D98="",0, SUMPRODUCT(--(ISNUMBER(SEARCH($A98,'Diags Raw Data'!$A$6:$A$3791))),'Diags Raw Data'!$L$6:$L$3791,'Diags Raw Data'!$N$6:$N$3791)/J98)</f>
        <v>1</v>
      </c>
      <c r="L98" s="487" cm="1">
        <f t="array" ref="L98">IF(D98="",0, SUMPRODUCT(--(ISNUMBER(SEARCH($A98,'Diags Raw Data'!$A$6:$A$3791))),'Diags Raw Data'!$L$6:$L$3791,'Diags Raw Data'!$P$6:$P$3791)/J98)</f>
        <v>1</v>
      </c>
      <c r="M98" s="488" cm="1">
        <f t="array" ref="M98">SUMPRODUCT(--(ISNUMBER(SEARCH($A98,'Diags Raw Data'!$A$6:$A$3791))),--('Diags Raw Data'!$Q$6:$Q$3791&lt;&gt;"N/A"),'Diags Raw Data'!$R$6:$R$3791)</f>
        <v>6</v>
      </c>
      <c r="N98" s="489" cm="1">
        <f t="array" ref="N98">SUMPRODUCT(--(ISNUMBER(SEARCH($A98,'Diags Raw Data'!$A$6:$A$3791))),--('Diags Raw Data'!$Q$6:$Q$3791&lt;&gt;"N/A"),'Diags Raw Data'!$T$6:$T$3791)+SUMPRODUCT(--(ISNUMBER(SEARCH($A98,'Diags Raw Data'!$A$6:$A$3791))),--('Diags Raw Data'!$Q$6:$Q$3791&lt;&gt;"N/A"),'Diags Raw Data'!$U$6:$U$3791)</f>
        <v>0</v>
      </c>
      <c r="O98" s="490">
        <f t="shared" si="14"/>
        <v>0</v>
      </c>
      <c r="P98" s="491">
        <f>SUMIF('Diags Raw Data'!$A$6:$A$3791,"*"&amp;$A98&amp;"*",'Diags Raw Data'!$Z$6:$Z$3791)</f>
        <v>0</v>
      </c>
      <c r="Q98" s="492">
        <f>SUM(SUMIF('Diags Raw Data'!$A$6:$A$3791,"*"&amp;$A98&amp;"*",'Diags Raw Data'!$AA$6:$AA$3791),SUMIF('Diags Raw Data'!$A$6:$A$3791,"*"&amp;$A98&amp;"*",'Diags Raw Data'!$AB$6:$AB$3791))</f>
        <v>0</v>
      </c>
      <c r="R98" s="493">
        <f t="shared" si="15"/>
        <v>0</v>
      </c>
      <c r="S98" s="493">
        <f t="shared" si="16"/>
        <v>0</v>
      </c>
      <c r="T98" s="494">
        <f t="shared" si="17"/>
        <v>0</v>
      </c>
      <c r="U98" s="442" t="s">
        <v>1129</v>
      </c>
      <c r="V98" s="182"/>
    </row>
    <row r="99" spans="1:22" ht="29.1">
      <c r="A99" s="584" t="s">
        <v>505</v>
      </c>
      <c r="B99" s="438" t="str">
        <f>VLOOKUP(A99,'Feature Raw Data'!$A$3:$B$4004,2,FALSE)</f>
        <v>DCN4.097 - Hdcp</v>
      </c>
      <c r="C99" s="439" t="str">
        <f>VLOOKUP(A99,'Feature Raw Data'!$A$3:$C$4004,3,FALSE)</f>
        <v>P2</v>
      </c>
      <c r="D99" s="440" t="str" cm="1">
        <f t="array" ref="D99">_xlfn.TEXTJOIN("",TRUE,IF(ISNUMBER(SEARCH($A99,'Diags Raw Data'!$A$6:$A$3791)),CONCATENATE('Diags Raw Data'!$H$6:$H$3791,", "),""))</f>
        <v xml:space="preserve">EB001, EB117, EB200, EB213, EB300, EB302, EB303, </v>
      </c>
      <c r="E99" s="336" t="str">
        <f>VLOOKUP(A99,'Diags Raw Data'!$A$6:$D$3791,4,FALSE)</f>
        <v>EB</v>
      </c>
      <c r="F99" s="336" t="str">
        <f>VLOOKUP(A99,'Feature Raw Data'!$A$3:$E$4004,5,FALSE)</f>
        <v>Delta</v>
      </c>
      <c r="G99" s="336" t="str">
        <f t="shared" si="12"/>
        <v>Yes</v>
      </c>
      <c r="H99" s="336" t="str">
        <f t="shared" si="13"/>
        <v>Yes</v>
      </c>
      <c r="I99" s="439">
        <f>SUMIF('Diags Raw Data'!$A$6:$A$3791,"*"&amp;$A99&amp;"*",'Diags Raw Data'!$K$6:$K$3791)</f>
        <v>7</v>
      </c>
      <c r="J99" s="441">
        <f>SUMIF('Diags Raw Data'!$A$6:$A$3791,"*"&amp;$A99&amp;"*",'Diags Raw Data'!$L$6:$L$3791)</f>
        <v>104</v>
      </c>
      <c r="K99" s="486" cm="1">
        <f t="array" ref="K99">IF(D99="",0, SUMPRODUCT(--(ISNUMBER(SEARCH($A99,'Diags Raw Data'!$A$6:$A$3791))),'Diags Raw Data'!$L$6:$L$3791,'Diags Raw Data'!$N$6:$N$3791)/J99)</f>
        <v>1</v>
      </c>
      <c r="L99" s="487" cm="1">
        <f t="array" ref="L99">IF(D99="",0, SUMPRODUCT(--(ISNUMBER(SEARCH($A99,'Diags Raw Data'!$A$6:$A$3791))),'Diags Raw Data'!$L$6:$L$3791,'Diags Raw Data'!$P$6:$P$3791)/J99)</f>
        <v>1</v>
      </c>
      <c r="M99" s="488" cm="1">
        <f t="array" ref="M99">SUMPRODUCT(--(ISNUMBER(SEARCH($A99,'Diags Raw Data'!$A$6:$A$3791))),--('Diags Raw Data'!$Q$6:$Q$3791&lt;&gt;"N/A"),'Diags Raw Data'!$R$6:$R$3791)</f>
        <v>0</v>
      </c>
      <c r="N99" s="489" cm="1">
        <f t="array" ref="N99">SUMPRODUCT(--(ISNUMBER(SEARCH($A99,'Diags Raw Data'!$A$6:$A$3791))),--('Diags Raw Data'!$Q$6:$Q$3791&lt;&gt;"N/A"),'Diags Raw Data'!$T$6:$T$3791)+SUMPRODUCT(--(ISNUMBER(SEARCH($A99,'Diags Raw Data'!$A$6:$A$3791))),--('Diags Raw Data'!$Q$6:$Q$3791&lt;&gt;"N/A"),'Diags Raw Data'!$U$6:$U$3791)</f>
        <v>0</v>
      </c>
      <c r="O99" s="490">
        <f t="shared" si="14"/>
        <v>0</v>
      </c>
      <c r="P99" s="491">
        <f>SUMIF('Diags Raw Data'!$A$6:$A$3791,"*"&amp;$A99&amp;"*",'Diags Raw Data'!$Z$6:$Z$3791)</f>
        <v>0</v>
      </c>
      <c r="Q99" s="492">
        <f>SUM(SUMIF('Diags Raw Data'!$A$6:$A$3791,"*"&amp;$A99&amp;"*",'Diags Raw Data'!$AA$6:$AA$3791),SUMIF('Diags Raw Data'!$A$6:$A$3791,"*"&amp;$A99&amp;"*",'Diags Raw Data'!$AB$6:$AB$3791))</f>
        <v>0</v>
      </c>
      <c r="R99" s="493">
        <f t="shared" si="15"/>
        <v>0</v>
      </c>
      <c r="S99" s="493">
        <f t="shared" si="16"/>
        <v>0</v>
      </c>
      <c r="T99" s="494">
        <f t="shared" si="17"/>
        <v>0</v>
      </c>
      <c r="U99" s="442" t="s">
        <v>1131</v>
      </c>
      <c r="V99" s="182"/>
    </row>
    <row r="100" spans="1:22">
      <c r="A100" s="584" t="s">
        <v>507</v>
      </c>
      <c r="B100" s="438" t="str">
        <f>VLOOKUP(A100,'Feature Raw Data'!$A$3:$B$4004,2,FALSE)</f>
        <v>DCN4.098 - Encryption required control in otg</v>
      </c>
      <c r="C100" s="439" t="str">
        <f>VLOOKUP(A100,'Feature Raw Data'!$A$3:$C$4004,3,FALSE)</f>
        <v>P2</v>
      </c>
      <c r="D100" s="440" t="str" cm="1">
        <f t="array" ref="D100">_xlfn.TEXTJOIN("",TRUE,IF(ISNUMBER(SEARCH($A100,'Diags Raw Data'!$A$6:$A$3791)),CONCATENATE('Diags Raw Data'!$H$6:$H$3791,", "),""))</f>
        <v xml:space="preserve">EB200, EB213, EB300, EB302, </v>
      </c>
      <c r="E100" s="336" t="e">
        <f>VLOOKUP(A100,'Diags Raw Data'!$A$6:$D$3791,4,FALSE)</f>
        <v>#N/A</v>
      </c>
      <c r="F100" s="336" t="str">
        <f>VLOOKUP(A100,'Feature Raw Data'!$A$3:$E$4004,5,FALSE)</f>
        <v>New</v>
      </c>
      <c r="G100" s="336" t="str">
        <f t="shared" si="12"/>
        <v>Yes</v>
      </c>
      <c r="H100" s="336" t="str">
        <f t="shared" si="13"/>
        <v>Yes</v>
      </c>
      <c r="I100" s="439">
        <f>SUMIF('Diags Raw Data'!$A$6:$A$3791,"*"&amp;$A100&amp;"*",'Diags Raw Data'!$K$6:$K$3791)</f>
        <v>4</v>
      </c>
      <c r="J100" s="441">
        <f>SUMIF('Diags Raw Data'!$A$6:$A$3791,"*"&amp;$A100&amp;"*",'Diags Raw Data'!$L$6:$L$3791)</f>
        <v>69</v>
      </c>
      <c r="K100" s="486" cm="1">
        <f t="array" ref="K100">IF(D100="",0, SUMPRODUCT(--(ISNUMBER(SEARCH($A100,'Diags Raw Data'!$A$6:$A$3791))),'Diags Raw Data'!$L$6:$L$3791,'Diags Raw Data'!$N$6:$N$3791)/J100)</f>
        <v>1</v>
      </c>
      <c r="L100" s="487" cm="1">
        <f t="array" ref="L100">IF(D100="",0, SUMPRODUCT(--(ISNUMBER(SEARCH($A100,'Diags Raw Data'!$A$6:$A$3791))),'Diags Raw Data'!$L$6:$L$3791,'Diags Raw Data'!$P$6:$P$3791)/J100)</f>
        <v>1</v>
      </c>
      <c r="M100" s="488" cm="1">
        <f t="array" ref="M100">SUMPRODUCT(--(ISNUMBER(SEARCH($A100,'Diags Raw Data'!$A$6:$A$3791))),--('Diags Raw Data'!$Q$6:$Q$3791&lt;&gt;"N/A"),'Diags Raw Data'!$R$6:$R$3791)</f>
        <v>0</v>
      </c>
      <c r="N100" s="489" cm="1">
        <f t="array" ref="N100">SUMPRODUCT(--(ISNUMBER(SEARCH($A100,'Diags Raw Data'!$A$6:$A$3791))),--('Diags Raw Data'!$Q$6:$Q$3791&lt;&gt;"N/A"),'Diags Raw Data'!$T$6:$T$3791)+SUMPRODUCT(--(ISNUMBER(SEARCH($A100,'Diags Raw Data'!$A$6:$A$3791))),--('Diags Raw Data'!$Q$6:$Q$3791&lt;&gt;"N/A"),'Diags Raw Data'!$U$6:$U$3791)</f>
        <v>0</v>
      </c>
      <c r="O100" s="490">
        <f t="shared" si="14"/>
        <v>0</v>
      </c>
      <c r="P100" s="491">
        <f>SUMIF('Diags Raw Data'!$A$6:$A$3791,"*"&amp;$A100&amp;"*",'Diags Raw Data'!$Z$6:$Z$3791)</f>
        <v>0</v>
      </c>
      <c r="Q100" s="492">
        <f>SUM(SUMIF('Diags Raw Data'!$A$6:$A$3791,"*"&amp;$A100&amp;"*",'Diags Raw Data'!$AA$6:$AA$3791),SUMIF('Diags Raw Data'!$A$6:$A$3791,"*"&amp;$A100&amp;"*",'Diags Raw Data'!$AB$6:$AB$3791))</f>
        <v>0</v>
      </c>
      <c r="R100" s="493">
        <f t="shared" si="15"/>
        <v>0</v>
      </c>
      <c r="S100" s="493">
        <f t="shared" si="16"/>
        <v>0</v>
      </c>
      <c r="T100" s="494">
        <f t="shared" si="17"/>
        <v>0</v>
      </c>
      <c r="U100" s="442" t="s">
        <v>1131</v>
      </c>
      <c r="V100" s="182"/>
    </row>
    <row r="101" spans="1:22" hidden="1">
      <c r="A101" s="584" t="s">
        <v>509</v>
      </c>
      <c r="B101" s="438" t="str">
        <f>VLOOKUP(A101,'Feature Raw Data'!$A$3:$B$4004,2,FALSE)</f>
        <v>DCN4.099 - Global time code</v>
      </c>
      <c r="C101" s="439" t="str">
        <f>VLOOKUP(A101,'Feature Raw Data'!$A$3:$C$4004,3,FALSE)</f>
        <v>P2</v>
      </c>
      <c r="D101" s="440" t="str" cm="1">
        <f t="array" ref="D101">_xlfn.TEXTJOIN("",TRUE,IF(ISNUMBER(SEARCH($A101,'Diags Raw Data'!$A$6:$A$3791)),CONCATENATE('Diags Raw Data'!$H$6:$H$3791,", "),""))</f>
        <v/>
      </c>
      <c r="E101" s="336" t="e">
        <f>VLOOKUP(A101,'Diags Raw Data'!$A$6:$D$3791,4,FALSE)</f>
        <v>#N/A</v>
      </c>
      <c r="F101" s="336" t="str">
        <f>VLOOKUP(A101,'Feature Raw Data'!$A$3:$E$4004,5,FALSE)</f>
        <v>Legacy</v>
      </c>
      <c r="G101" s="336" t="str">
        <f t="shared" si="12"/>
        <v>No</v>
      </c>
      <c r="H101" s="336" t="str">
        <f t="shared" si="13"/>
        <v>No</v>
      </c>
      <c r="I101" s="439">
        <f>SUMIF('Diags Raw Data'!$A$6:$A$3791,"*"&amp;$A101&amp;"*",'Diags Raw Data'!$K$6:$K$3791)</f>
        <v>0</v>
      </c>
      <c r="J101" s="441">
        <f>SUMIF('Diags Raw Data'!$A$6:$A$3791,"*"&amp;$A101&amp;"*",'Diags Raw Data'!$L$6:$L$3791)</f>
        <v>0</v>
      </c>
      <c r="K101" s="486" cm="1">
        <f t="array" ref="K101">IF(D101="",0, SUMPRODUCT(--(ISNUMBER(SEARCH($A101,'Diags Raw Data'!$A$6:$A$3791))),'Diags Raw Data'!$L$6:$L$3791,'Diags Raw Data'!$N$6:$N$3791)/J101)</f>
        <v>0</v>
      </c>
      <c r="L101" s="487" cm="1">
        <f t="array" ref="L101">IF(D101="",0, SUMPRODUCT(--(ISNUMBER(SEARCH($A101,'Diags Raw Data'!$A$6:$A$3791))),'Diags Raw Data'!$L$6:$L$3791,'Diags Raw Data'!$P$6:$P$3791)/J101)</f>
        <v>0</v>
      </c>
      <c r="M101" s="488" cm="1">
        <f t="array" ref="M101">SUMPRODUCT(--(ISNUMBER(SEARCH($A101,'Diags Raw Data'!$A$6:$A$3791))),--('Diags Raw Data'!$Q$6:$Q$3791&lt;&gt;"N/A"),'Diags Raw Data'!$R$6:$R$3791)</f>
        <v>0</v>
      </c>
      <c r="N101" s="489" cm="1">
        <f t="array" ref="N101">SUMPRODUCT(--(ISNUMBER(SEARCH($A101,'Diags Raw Data'!$A$6:$A$3791))),--('Diags Raw Data'!$Q$6:$Q$3791&lt;&gt;"N/A"),'Diags Raw Data'!$T$6:$T$3791)+SUMPRODUCT(--(ISNUMBER(SEARCH($A101,'Diags Raw Data'!$A$6:$A$3791))),--('Diags Raw Data'!$Q$6:$Q$3791&lt;&gt;"N/A"),'Diags Raw Data'!$U$6:$U$3791)</f>
        <v>0</v>
      </c>
      <c r="O101" s="490">
        <f t="shared" si="14"/>
        <v>0</v>
      </c>
      <c r="P101" s="491">
        <f>SUMIF('Diags Raw Data'!$A$6:$A$3791,"*"&amp;$A101&amp;"*",'Diags Raw Data'!$Z$6:$Z$3791)</f>
        <v>0</v>
      </c>
      <c r="Q101" s="492">
        <f>SUM(SUMIF('Diags Raw Data'!$A$6:$A$3791,"*"&amp;$A101&amp;"*",'Diags Raw Data'!$AA$6:$AA$3791),SUMIF('Diags Raw Data'!$A$6:$A$3791,"*"&amp;$A101&amp;"*",'Diags Raw Data'!$AB$6:$AB$3791))</f>
        <v>0</v>
      </c>
      <c r="R101" s="493">
        <f t="shared" si="15"/>
        <v>0</v>
      </c>
      <c r="S101" s="493">
        <f t="shared" si="16"/>
        <v>0</v>
      </c>
      <c r="T101" s="494">
        <f t="shared" si="17"/>
        <v>0</v>
      </c>
      <c r="U101" s="442"/>
      <c r="V101" s="182" t="s">
        <v>1128</v>
      </c>
    </row>
    <row r="102" spans="1:22">
      <c r="A102" s="584" t="s">
        <v>513</v>
      </c>
      <c r="B102" s="438" t="str">
        <f>VLOOKUP(A102,'Feature Raw Data'!$A$3:$B$4004,2,FALSE)</f>
        <v>DCN4.101 - Hardware silient stream support</v>
      </c>
      <c r="C102" s="439" t="str">
        <f>VLOOKUP(A102,'Feature Raw Data'!$A$3:$C$4004,3,FALSE)</f>
        <v>P2</v>
      </c>
      <c r="D102" s="440" t="str" cm="1">
        <f t="array" ref="D102">_xlfn.TEXTJOIN("",TRUE,IF(ISNUMBER(SEARCH($A102,'Diags Raw Data'!$A$6:$A$3791)),CONCATENATE('Diags Raw Data'!$H$6:$H$3791,", "),""))</f>
        <v xml:space="preserve">DIO386, </v>
      </c>
      <c r="E102" s="336" t="str">
        <f>VLOOKUP(A102,'Diags Raw Data'!$A$6:$D$3791,4,FALSE)</f>
        <v>DIO</v>
      </c>
      <c r="F102" s="336" t="str">
        <f>VLOOKUP(A102,'Feature Raw Data'!$A$3:$E$4004,5,FALSE)</f>
        <v>Legacy</v>
      </c>
      <c r="G102" s="336" t="str">
        <f t="shared" si="12"/>
        <v>Yes</v>
      </c>
      <c r="H102" s="336" t="str">
        <f t="shared" si="13"/>
        <v>Yes</v>
      </c>
      <c r="I102" s="439">
        <f>SUMIF('Diags Raw Data'!$A$6:$A$3791,"*"&amp;$A102&amp;"*",'Diags Raw Data'!$K$6:$K$3791)</f>
        <v>1</v>
      </c>
      <c r="J102" s="441">
        <f>SUMIF('Diags Raw Data'!$A$6:$A$3791,"*"&amp;$A102&amp;"*",'Diags Raw Data'!$L$6:$L$3791)</f>
        <v>6</v>
      </c>
      <c r="K102" s="486" cm="1">
        <f t="array" ref="K102">IF(D102="",0, SUMPRODUCT(--(ISNUMBER(SEARCH($A102,'Diags Raw Data'!$A$6:$A$3791))),'Diags Raw Data'!$L$6:$L$3791,'Diags Raw Data'!$N$6:$N$3791)/J102)</f>
        <v>1</v>
      </c>
      <c r="L102" s="487" cm="1">
        <f t="array" ref="L102">IF(D102="",0, SUMPRODUCT(--(ISNUMBER(SEARCH($A102,'Diags Raw Data'!$A$6:$A$3791))),'Diags Raw Data'!$L$6:$L$3791,'Diags Raw Data'!$P$6:$P$3791)/J102)</f>
        <v>1</v>
      </c>
      <c r="M102" s="488" cm="1">
        <f t="array" ref="M102">SUMPRODUCT(--(ISNUMBER(SEARCH($A102,'Diags Raw Data'!$A$6:$A$3791))),--('Diags Raw Data'!$Q$6:$Q$3791&lt;&gt;"N/A"),'Diags Raw Data'!$R$6:$R$3791)</f>
        <v>6</v>
      </c>
      <c r="N102" s="489" cm="1">
        <f t="array" ref="N102">SUMPRODUCT(--(ISNUMBER(SEARCH($A102,'Diags Raw Data'!$A$6:$A$3791))),--('Diags Raw Data'!$Q$6:$Q$3791&lt;&gt;"N/A"),'Diags Raw Data'!$T$6:$T$3791)+SUMPRODUCT(--(ISNUMBER(SEARCH($A102,'Diags Raw Data'!$A$6:$A$3791))),--('Diags Raw Data'!$Q$6:$Q$3791&lt;&gt;"N/A"),'Diags Raw Data'!$U$6:$U$3791)</f>
        <v>0</v>
      </c>
      <c r="O102" s="490">
        <f t="shared" si="14"/>
        <v>0</v>
      </c>
      <c r="P102" s="491">
        <f>SUMIF('Diags Raw Data'!$A$6:$A$3791,"*"&amp;$A102&amp;"*",'Diags Raw Data'!$Z$6:$Z$3791)</f>
        <v>0</v>
      </c>
      <c r="Q102" s="492">
        <f>SUM(SUMIF('Diags Raw Data'!$A$6:$A$3791,"*"&amp;$A102&amp;"*",'Diags Raw Data'!$AA$6:$AA$3791),SUMIF('Diags Raw Data'!$A$6:$A$3791,"*"&amp;$A102&amp;"*",'Diags Raw Data'!$AB$6:$AB$3791))</f>
        <v>0</v>
      </c>
      <c r="R102" s="493">
        <f t="shared" si="15"/>
        <v>0</v>
      </c>
      <c r="S102" s="493">
        <f t="shared" si="16"/>
        <v>0</v>
      </c>
      <c r="T102" s="494">
        <f t="shared" si="17"/>
        <v>0</v>
      </c>
      <c r="U102" s="442" t="s">
        <v>1129</v>
      </c>
      <c r="V102" s="182"/>
    </row>
    <row r="103" spans="1:22">
      <c r="A103" s="584" t="s">
        <v>515</v>
      </c>
      <c r="B103" s="438" t="str">
        <f>VLOOKUP(A103,'Feature Raw Data'!$A$3:$B$4004,2,FALSE)</f>
        <v>DCN4.102 - Latency hiding</v>
      </c>
      <c r="C103" s="439" t="str">
        <f>VLOOKUP(A103,'Feature Raw Data'!$A$3:$C$4004,3,FALSE)</f>
        <v>P2</v>
      </c>
      <c r="D103" s="440" t="str" cm="1">
        <f t="array" ref="D103">_xlfn.TEXTJOIN("",TRUE,IF(ISNUMBER(SEARCH($A103,'Diags Raw Data'!$A$6:$A$3791)),CONCATENATE('Diags Raw Data'!$H$6:$H$3791,", "),""))</f>
        <v xml:space="preserve">DISP005, </v>
      </c>
      <c r="E103" s="336" t="str">
        <f>VLOOKUP(A103,'Diags Raw Data'!$A$6:$D$3791,4,FALSE)</f>
        <v>DISP</v>
      </c>
      <c r="F103" s="336" t="str">
        <f>VLOOKUP(A103,'Feature Raw Data'!$A$3:$E$4004,5,FALSE)</f>
        <v>Legacy</v>
      </c>
      <c r="G103" s="336" t="str">
        <f t="shared" si="0"/>
        <v>Yes</v>
      </c>
      <c r="H103" s="336" t="str">
        <f t="shared" si="1"/>
        <v>Yes</v>
      </c>
      <c r="I103" s="439">
        <f>SUMIF('Diags Raw Data'!$A$6:$A$3791,"*"&amp;$A103&amp;"*",'Diags Raw Data'!$K$6:$K$3791)</f>
        <v>1</v>
      </c>
      <c r="J103" s="441">
        <f>SUMIF('Diags Raw Data'!$A$6:$A$3791,"*"&amp;$A103&amp;"*",'Diags Raw Data'!$L$6:$L$3791)</f>
        <v>1</v>
      </c>
      <c r="K103" s="486" cm="1">
        <f t="array" ref="K103">IF(D103="",0, SUMPRODUCT(--(ISNUMBER(SEARCH($A103,'Diags Raw Data'!$A$6:$A$3791))),'Diags Raw Data'!$L$6:$L$3791,'Diags Raw Data'!$N$6:$N$3791)/J103)</f>
        <v>1</v>
      </c>
      <c r="L103" s="487" cm="1">
        <f t="array" ref="L103">IF(D103="",0, SUMPRODUCT(--(ISNUMBER(SEARCH($A103,'Diags Raw Data'!$A$6:$A$3791))),'Diags Raw Data'!$L$6:$L$3791,'Diags Raw Data'!$P$6:$P$3791)/J103)</f>
        <v>1</v>
      </c>
      <c r="M103" s="488" cm="1">
        <f t="array" ref="M103">SUMPRODUCT(--(ISNUMBER(SEARCH($A103,'Diags Raw Data'!$A$6:$A$3791))),--('Diags Raw Data'!$Q$6:$Q$3791&lt;&gt;"N/A"),'Diags Raw Data'!$R$6:$R$3791)</f>
        <v>1</v>
      </c>
      <c r="N103" s="489" cm="1">
        <f t="array" ref="N103">SUMPRODUCT(--(ISNUMBER(SEARCH($A103,'Diags Raw Data'!$A$6:$A$3791))),--('Diags Raw Data'!$Q$6:$Q$3791&lt;&gt;"N/A"),'Diags Raw Data'!$T$6:$T$3791)+SUMPRODUCT(--(ISNUMBER(SEARCH($A103,'Diags Raw Data'!$A$6:$A$3791))),--('Diags Raw Data'!$Q$6:$Q$3791&lt;&gt;"N/A"),'Diags Raw Data'!$U$6:$U$3791)</f>
        <v>0</v>
      </c>
      <c r="O103" s="490">
        <f t="shared" si="2"/>
        <v>0</v>
      </c>
      <c r="P103" s="491">
        <f>SUMIF('Diags Raw Data'!$A$6:$A$3791,"*"&amp;$A103&amp;"*",'Diags Raw Data'!$Z$6:$Z$3791)</f>
        <v>0</v>
      </c>
      <c r="Q103" s="492">
        <f>SUM(SUMIF('Diags Raw Data'!$A$6:$A$3791,"*"&amp;$A103&amp;"*",'Diags Raw Data'!$AA$6:$AA$3791),SUMIF('Diags Raw Data'!$A$6:$A$3791,"*"&amp;$A103&amp;"*",'Diags Raw Data'!$AB$6:$AB$3791))</f>
        <v>0</v>
      </c>
      <c r="R103" s="493">
        <f t="shared" si="3"/>
        <v>0</v>
      </c>
      <c r="S103" s="493">
        <f t="shared" si="4"/>
        <v>0</v>
      </c>
      <c r="T103" s="494">
        <f t="shared" si="5"/>
        <v>0</v>
      </c>
      <c r="U103" s="442" t="s">
        <v>1130</v>
      </c>
      <c r="V103" s="182"/>
    </row>
    <row r="104" spans="1:22">
      <c r="A104" s="584" t="s">
        <v>517</v>
      </c>
      <c r="B104" s="438" t="str">
        <f>VLOOKUP(A104,'Feature Raw Data'!$A$3:$B$4004,2,FALSE)</f>
        <v>DCN4.103 - DP HDMI HDCP for audio</v>
      </c>
      <c r="C104" s="439" t="str">
        <f>VLOOKUP(A104,'Feature Raw Data'!$A$3:$C$4004,3,FALSE)</f>
        <v>P2</v>
      </c>
      <c r="D104" s="440" t="str" cm="1">
        <f t="array" ref="D104">_xlfn.TEXTJOIN("",TRUE,IF(ISNUMBER(SEARCH($A104,'Diags Raw Data'!$A$6:$A$3791)),CONCATENATE('Diags Raw Data'!$H$6:$H$3791,", "),""))</f>
        <v xml:space="preserve">EB200, EB213, EB302, </v>
      </c>
      <c r="E104" s="336" t="e">
        <f>VLOOKUP(A104,'Diags Raw Data'!$A$6:$D$3791,4,FALSE)</f>
        <v>#N/A</v>
      </c>
      <c r="F104" s="336" t="str">
        <f>VLOOKUP(A104,'Feature Raw Data'!$A$3:$E$4004,5,FALSE)</f>
        <v>Legacy</v>
      </c>
      <c r="G104" s="336" t="str">
        <f t="shared" si="0"/>
        <v>Yes</v>
      </c>
      <c r="H104" s="336" t="str">
        <f t="shared" si="1"/>
        <v>Yes</v>
      </c>
      <c r="I104" s="439">
        <f>SUMIF('Diags Raw Data'!$A$6:$A$3791,"*"&amp;$A104&amp;"*",'Diags Raw Data'!$K$6:$K$3791)</f>
        <v>3</v>
      </c>
      <c r="J104" s="441">
        <f>SUMIF('Diags Raw Data'!$A$6:$A$3791,"*"&amp;$A104&amp;"*",'Diags Raw Data'!$L$6:$L$3791)</f>
        <v>51</v>
      </c>
      <c r="K104" s="486" cm="1">
        <f t="array" ref="K104">IF(D104="",0, SUMPRODUCT(--(ISNUMBER(SEARCH($A104,'Diags Raw Data'!$A$6:$A$3791))),'Diags Raw Data'!$L$6:$L$3791,'Diags Raw Data'!$N$6:$N$3791)/J104)</f>
        <v>1</v>
      </c>
      <c r="L104" s="487" cm="1">
        <f t="array" ref="L104">IF(D104="",0, SUMPRODUCT(--(ISNUMBER(SEARCH($A104,'Diags Raw Data'!$A$6:$A$3791))),'Diags Raw Data'!$L$6:$L$3791,'Diags Raw Data'!$P$6:$P$3791)/J104)</f>
        <v>1</v>
      </c>
      <c r="M104" s="488" cm="1">
        <f t="array" ref="M104">SUMPRODUCT(--(ISNUMBER(SEARCH($A104,'Diags Raw Data'!$A$6:$A$3791))),--('Diags Raw Data'!$Q$6:$Q$3791&lt;&gt;"N/A"),'Diags Raw Data'!$R$6:$R$3791)</f>
        <v>0</v>
      </c>
      <c r="N104" s="489" cm="1">
        <f t="array" ref="N104">SUMPRODUCT(--(ISNUMBER(SEARCH($A104,'Diags Raw Data'!$A$6:$A$3791))),--('Diags Raw Data'!$Q$6:$Q$3791&lt;&gt;"N/A"),'Diags Raw Data'!$T$6:$T$3791)+SUMPRODUCT(--(ISNUMBER(SEARCH($A104,'Diags Raw Data'!$A$6:$A$3791))),--('Diags Raw Data'!$Q$6:$Q$3791&lt;&gt;"N/A"),'Diags Raw Data'!$U$6:$U$3791)</f>
        <v>0</v>
      </c>
      <c r="O104" s="490">
        <f t="shared" si="2"/>
        <v>0</v>
      </c>
      <c r="P104" s="491">
        <f>SUMIF('Diags Raw Data'!$A$6:$A$3791,"*"&amp;$A104&amp;"*",'Diags Raw Data'!$Z$6:$Z$3791)</f>
        <v>0</v>
      </c>
      <c r="Q104" s="492">
        <f>SUM(SUMIF('Diags Raw Data'!$A$6:$A$3791,"*"&amp;$A104&amp;"*",'Diags Raw Data'!$AA$6:$AA$3791),SUMIF('Diags Raw Data'!$A$6:$A$3791,"*"&amp;$A104&amp;"*",'Diags Raw Data'!$AB$6:$AB$3791))</f>
        <v>0</v>
      </c>
      <c r="R104" s="493">
        <f t="shared" si="3"/>
        <v>0</v>
      </c>
      <c r="S104" s="493">
        <f t="shared" si="4"/>
        <v>0</v>
      </c>
      <c r="T104" s="494">
        <f t="shared" si="5"/>
        <v>0</v>
      </c>
      <c r="U104" s="442" t="s">
        <v>1131</v>
      </c>
      <c r="V104" s="182"/>
    </row>
    <row r="105" spans="1:22" s="186" customFormat="1">
      <c r="A105" s="584" t="s">
        <v>519</v>
      </c>
      <c r="B105" s="438" t="str">
        <f>VLOOKUP(A105,'Feature Raw Data'!$A$3:$B$4004,2,FALSE)</f>
        <v>DCN4.104 - Audio controller cg and deep sleep</v>
      </c>
      <c r="C105" s="439" t="str">
        <f>VLOOKUP(A105,'Feature Raw Data'!$A$3:$C$4004,3,FALSE)</f>
        <v>P2</v>
      </c>
      <c r="D105" s="440" t="str" cm="1">
        <f t="array" ref="D105">_xlfn.TEXTJOIN("",TRUE,IF(ISNUMBER(SEARCH($A105,'Diags Raw Data'!$A$6:$A$3791)),CONCATENATE('Diags Raw Data'!$H$6:$H$3791,", "),""))</f>
        <v xml:space="preserve">CE012, </v>
      </c>
      <c r="E105" s="336" t="str">
        <f>VLOOKUP(A105,'Diags Raw Data'!$A$6:$D$3791,4,FALSE)</f>
        <v>CE</v>
      </c>
      <c r="F105" s="336" t="str">
        <f>VLOOKUP(A105,'Feature Raw Data'!$A$3:$E$4004,5,FALSE)</f>
        <v>Legacy</v>
      </c>
      <c r="G105" s="336" t="str">
        <f t="shared" si="0"/>
        <v>Yes</v>
      </c>
      <c r="H105" s="336" t="str">
        <f t="shared" si="1"/>
        <v>Yes</v>
      </c>
      <c r="I105" s="439">
        <f>SUMIF('Diags Raw Data'!$A$6:$A$3791,"*"&amp;$A105&amp;"*",'Diags Raw Data'!$K$6:$K$3791)</f>
        <v>1</v>
      </c>
      <c r="J105" s="441">
        <f>SUMIF('Diags Raw Data'!$A$6:$A$3791,"*"&amp;$A105&amp;"*",'Diags Raw Data'!$L$6:$L$3791)</f>
        <v>1</v>
      </c>
      <c r="K105" s="486" cm="1">
        <f t="array" ref="K105">IF(D105="",0, SUMPRODUCT(--(ISNUMBER(SEARCH($A105,'Diags Raw Data'!$A$6:$A$3791))),'Diags Raw Data'!$L$6:$L$3791,'Diags Raw Data'!$N$6:$N$3791)/J105)</f>
        <v>1</v>
      </c>
      <c r="L105" s="487" cm="1">
        <f t="array" ref="L105">IF(D105="",0, SUMPRODUCT(--(ISNUMBER(SEARCH($A105,'Diags Raw Data'!$A$6:$A$3791))),'Diags Raw Data'!$L$6:$L$3791,'Diags Raw Data'!$P$6:$P$3791)/J105)</f>
        <v>1</v>
      </c>
      <c r="M105" s="488" cm="1">
        <f t="array" ref="M105">SUMPRODUCT(--(ISNUMBER(SEARCH($A105,'Diags Raw Data'!$A$6:$A$3791))),--('Diags Raw Data'!$Q$6:$Q$3791&lt;&gt;"N/A"),'Diags Raw Data'!$R$6:$R$3791)</f>
        <v>0</v>
      </c>
      <c r="N105" s="489" cm="1">
        <f t="array" ref="N105">SUMPRODUCT(--(ISNUMBER(SEARCH($A105,'Diags Raw Data'!$A$6:$A$3791))),--('Diags Raw Data'!$Q$6:$Q$3791&lt;&gt;"N/A"),'Diags Raw Data'!$T$6:$T$3791)+SUMPRODUCT(--(ISNUMBER(SEARCH($A105,'Diags Raw Data'!$A$6:$A$3791))),--('Diags Raw Data'!$Q$6:$Q$3791&lt;&gt;"N/A"),'Diags Raw Data'!$U$6:$U$3791)</f>
        <v>0</v>
      </c>
      <c r="O105" s="490">
        <f t="shared" si="2"/>
        <v>0</v>
      </c>
      <c r="P105" s="491">
        <f>SUMIF('Diags Raw Data'!$A$6:$A$3791,"*"&amp;$A105&amp;"*",'Diags Raw Data'!$Z$6:$Z$3791)</f>
        <v>0</v>
      </c>
      <c r="Q105" s="492">
        <f>SUM(SUMIF('Diags Raw Data'!$A$6:$A$3791,"*"&amp;$A105&amp;"*",'Diags Raw Data'!$AA$6:$AA$3791),SUMIF('Diags Raw Data'!$A$6:$A$3791,"*"&amp;$A105&amp;"*",'Diags Raw Data'!$AB$6:$AB$3791))</f>
        <v>0</v>
      </c>
      <c r="R105" s="493">
        <f t="shared" si="3"/>
        <v>0</v>
      </c>
      <c r="S105" s="493">
        <f t="shared" si="4"/>
        <v>0</v>
      </c>
      <c r="T105" s="494">
        <f t="shared" si="5"/>
        <v>0</v>
      </c>
      <c r="U105" s="442" t="s">
        <v>1130</v>
      </c>
      <c r="V105" s="182"/>
    </row>
    <row r="106" spans="1:22" ht="29.1">
      <c r="A106" s="584" t="s">
        <v>521</v>
      </c>
      <c r="B106" s="438" t="str">
        <f>VLOOKUP(A106,'Feature Raw Data'!$A$3:$B$4004,2,FALSE)</f>
        <v>DCN4.105 - External event and unsolicited response</v>
      </c>
      <c r="C106" s="439" t="str">
        <f>VLOOKUP(A106,'Feature Raw Data'!$A$3:$C$4004,3,FALSE)</f>
        <v>P2</v>
      </c>
      <c r="D106" s="440" t="str" cm="1">
        <f t="array" ref="D106">_xlfn.TEXTJOIN("",TRUE,IF(ISNUMBER(SEARCH($A106,'Diags Raw Data'!$A$6:$A$3791)),CONCATENATE('Diags Raw Data'!$H$6:$H$3791,", "),""))</f>
        <v xml:space="preserve">CE005, CE013, </v>
      </c>
      <c r="E106" s="336" t="str">
        <f>VLOOKUP(A106,'Diags Raw Data'!$A$6:$D$3791,4,FALSE)</f>
        <v>CE</v>
      </c>
      <c r="F106" s="336" t="str">
        <f>VLOOKUP(A106,'Feature Raw Data'!$A$3:$E$4004,5,FALSE)</f>
        <v>Legacy</v>
      </c>
      <c r="G106" s="336" t="str">
        <f t="shared" ref="G106:G136" si="18">IF(D106="","No","Yes")</f>
        <v>Yes</v>
      </c>
      <c r="H106" s="336" t="str">
        <f t="shared" ref="H106:H136" si="19">IF(D106="","No","Yes")</f>
        <v>Yes</v>
      </c>
      <c r="I106" s="439">
        <f>SUMIF('Diags Raw Data'!$A$6:$A$3791,"*"&amp;$A106&amp;"*",'Diags Raw Data'!$K$6:$K$3791)</f>
        <v>2</v>
      </c>
      <c r="J106" s="441">
        <f>SUMIF('Diags Raw Data'!$A$6:$A$3791,"*"&amp;$A106&amp;"*",'Diags Raw Data'!$L$6:$L$3791)</f>
        <v>5</v>
      </c>
      <c r="K106" s="486" cm="1">
        <f t="array" ref="K106">IF(D106="",0, SUMPRODUCT(--(ISNUMBER(SEARCH($A106,'Diags Raw Data'!$A$6:$A$3791))),'Diags Raw Data'!$L$6:$L$3791,'Diags Raw Data'!$N$6:$N$3791)/J106)</f>
        <v>1</v>
      </c>
      <c r="L106" s="487" cm="1">
        <f t="array" ref="L106">IF(D106="",0, SUMPRODUCT(--(ISNUMBER(SEARCH($A106,'Diags Raw Data'!$A$6:$A$3791))),'Diags Raw Data'!$L$6:$L$3791,'Diags Raw Data'!$P$6:$P$3791)/J106)</f>
        <v>1</v>
      </c>
      <c r="M106" s="488" cm="1">
        <f t="array" ref="M106">SUMPRODUCT(--(ISNUMBER(SEARCH($A106,'Diags Raw Data'!$A$6:$A$3791))),--('Diags Raw Data'!$Q$6:$Q$3791&lt;&gt;"N/A"),'Diags Raw Data'!$R$6:$R$3791)</f>
        <v>0</v>
      </c>
      <c r="N106" s="489" cm="1">
        <f t="array" ref="N106">SUMPRODUCT(--(ISNUMBER(SEARCH($A106,'Diags Raw Data'!$A$6:$A$3791))),--('Diags Raw Data'!$Q$6:$Q$3791&lt;&gt;"N/A"),'Diags Raw Data'!$T$6:$T$3791)+SUMPRODUCT(--(ISNUMBER(SEARCH($A106,'Diags Raw Data'!$A$6:$A$3791))),--('Diags Raw Data'!$Q$6:$Q$3791&lt;&gt;"N/A"),'Diags Raw Data'!$U$6:$U$3791)</f>
        <v>0</v>
      </c>
      <c r="O106" s="490">
        <f t="shared" si="2"/>
        <v>0</v>
      </c>
      <c r="P106" s="491">
        <f>SUMIF('Diags Raw Data'!$A$6:$A$3791,"*"&amp;$A106&amp;"*",'Diags Raw Data'!$Z$6:$Z$3791)</f>
        <v>0</v>
      </c>
      <c r="Q106" s="492">
        <f>SUM(SUMIF('Diags Raw Data'!$A$6:$A$3791,"*"&amp;$A106&amp;"*",'Diags Raw Data'!$AA$6:$AA$3791),SUMIF('Diags Raw Data'!$A$6:$A$3791,"*"&amp;$A106&amp;"*",'Diags Raw Data'!$AB$6:$AB$3791))</f>
        <v>0</v>
      </c>
      <c r="R106" s="493">
        <f t="shared" si="3"/>
        <v>0</v>
      </c>
      <c r="S106" s="493">
        <f t="shared" si="4"/>
        <v>0</v>
      </c>
      <c r="T106" s="494">
        <f t="shared" si="5"/>
        <v>0</v>
      </c>
      <c r="U106" s="442" t="s">
        <v>1130</v>
      </c>
      <c r="V106" s="182"/>
    </row>
    <row r="107" spans="1:22">
      <c r="A107" s="584" t="s">
        <v>523</v>
      </c>
      <c r="B107" s="438" t="str">
        <f>VLOOKUP(A107,'Feature Raw Data'!$A$3:$B$4004,2,FALSE)</f>
        <v>DCN4.106 - Dwb support 1080p60 444 32bpp</v>
      </c>
      <c r="C107" s="439" t="str">
        <f>VLOOKUP(A107,'Feature Raw Data'!$A$3:$C$4004,3,FALSE)</f>
        <v>P2</v>
      </c>
      <c r="D107" s="440" t="str" cm="1">
        <f t="array" ref="D107">_xlfn.TEXTJOIN("",TRUE,IF(ISNUMBER(SEARCH($A107,'Diags Raw Data'!$A$6:$A$3791)),CONCATENATE('Diags Raw Data'!$H$6:$H$3791,", "),""))</f>
        <v xml:space="preserve">DWB002, </v>
      </c>
      <c r="E107" s="336" t="str">
        <f>VLOOKUP(A107,'Diags Raw Data'!$A$6:$D$3791,4,FALSE)</f>
        <v>DWB</v>
      </c>
      <c r="F107" s="336" t="str">
        <f>VLOOKUP(A107,'Feature Raw Data'!$A$3:$E$4004,5,FALSE)</f>
        <v>Legacy</v>
      </c>
      <c r="G107" s="336" t="str">
        <f t="shared" si="18"/>
        <v>Yes</v>
      </c>
      <c r="H107" s="336" t="str">
        <f t="shared" si="19"/>
        <v>Yes</v>
      </c>
      <c r="I107" s="439">
        <f>SUMIF('Diags Raw Data'!$A$6:$A$3791,"*"&amp;$A107&amp;"*",'Diags Raw Data'!$K$6:$K$3791)</f>
        <v>1</v>
      </c>
      <c r="J107" s="441">
        <f>SUMIF('Diags Raw Data'!$A$6:$A$3791,"*"&amp;$A107&amp;"*",'Diags Raw Data'!$L$6:$L$3791)</f>
        <v>2</v>
      </c>
      <c r="K107" s="486" cm="1">
        <f t="array" ref="K107">IF(D107="",0, SUMPRODUCT(--(ISNUMBER(SEARCH($A107,'Diags Raw Data'!$A$6:$A$3791))),'Diags Raw Data'!$L$6:$L$3791,'Diags Raw Data'!$N$6:$N$3791)/J107)</f>
        <v>1</v>
      </c>
      <c r="L107" s="487" cm="1">
        <f t="array" ref="L107">IF(D107="",0, SUMPRODUCT(--(ISNUMBER(SEARCH($A107,'Diags Raw Data'!$A$6:$A$3791))),'Diags Raw Data'!$L$6:$L$3791,'Diags Raw Data'!$P$6:$P$3791)/J107)</f>
        <v>1</v>
      </c>
      <c r="M107" s="488" cm="1">
        <f t="array" ref="M107">SUMPRODUCT(--(ISNUMBER(SEARCH($A107,'Diags Raw Data'!$A$6:$A$3791))),--('Diags Raw Data'!$Q$6:$Q$3791&lt;&gt;"N/A"),'Diags Raw Data'!$R$6:$R$3791)</f>
        <v>1</v>
      </c>
      <c r="N107" s="489" cm="1">
        <f t="array" ref="N107">SUMPRODUCT(--(ISNUMBER(SEARCH($A107,'Diags Raw Data'!$A$6:$A$3791))),--('Diags Raw Data'!$Q$6:$Q$3791&lt;&gt;"N/A"),'Diags Raw Data'!$T$6:$T$3791)+SUMPRODUCT(--(ISNUMBER(SEARCH($A107,'Diags Raw Data'!$A$6:$A$3791))),--('Diags Raw Data'!$Q$6:$Q$3791&lt;&gt;"N/A"),'Diags Raw Data'!$U$6:$U$3791)</f>
        <v>0</v>
      </c>
      <c r="O107" s="490">
        <f t="shared" si="2"/>
        <v>0</v>
      </c>
      <c r="P107" s="491">
        <f>SUMIF('Diags Raw Data'!$A$6:$A$3791,"*"&amp;$A107&amp;"*",'Diags Raw Data'!$Z$6:$Z$3791)</f>
        <v>0</v>
      </c>
      <c r="Q107" s="492">
        <f>SUM(SUMIF('Diags Raw Data'!$A$6:$A$3791,"*"&amp;$A107&amp;"*",'Diags Raw Data'!$AA$6:$AA$3791),SUMIF('Diags Raw Data'!$A$6:$A$3791,"*"&amp;$A107&amp;"*",'Diags Raw Data'!$AB$6:$AB$3791))</f>
        <v>0</v>
      </c>
      <c r="R107" s="493">
        <f t="shared" si="3"/>
        <v>0</v>
      </c>
      <c r="S107" s="493">
        <f t="shared" si="4"/>
        <v>0</v>
      </c>
      <c r="T107" s="494">
        <f t="shared" si="5"/>
        <v>0</v>
      </c>
      <c r="U107" s="442" t="s">
        <v>1130</v>
      </c>
      <c r="V107" s="182"/>
    </row>
    <row r="108" spans="1:22">
      <c r="A108" s="584" t="s">
        <v>525</v>
      </c>
      <c r="B108" s="438" t="str">
        <f>VLOOKUP(A108,'Feature Raw Data'!$A$3:$B$4004,2,FALSE)</f>
        <v>DCN4.107 - RSMU-RBBM-DC Interface Support</v>
      </c>
      <c r="C108" s="439" t="str">
        <f>VLOOKUP(A108,'Feature Raw Data'!$A$3:$C$4004,3,FALSE)</f>
        <v>P2</v>
      </c>
      <c r="D108" s="440" t="str" cm="1">
        <f t="array" ref="D108">_xlfn.TEXTJOIN("",TRUE,IF(ISNUMBER(SEARCH($A108,'Diags Raw Data'!$A$6:$A$3791)),CONCATENATE('Diags Raw Data'!$H$6:$H$3791,", "),""))</f>
        <v xml:space="preserve">DMU001, DMU003, </v>
      </c>
      <c r="E108" s="336" t="e">
        <f>VLOOKUP(A108,'Diags Raw Data'!$A$6:$D$3791,4,FALSE)</f>
        <v>#N/A</v>
      </c>
      <c r="F108" s="336" t="str">
        <f>VLOOKUP(A108,'Feature Raw Data'!$A$3:$E$4004,5,FALSE)</f>
        <v>Legacy</v>
      </c>
      <c r="G108" s="336" t="str">
        <f t="shared" si="18"/>
        <v>Yes</v>
      </c>
      <c r="H108" s="336" t="str">
        <f t="shared" si="19"/>
        <v>Yes</v>
      </c>
      <c r="I108" s="439">
        <f>SUMIF('Diags Raw Data'!$A$6:$A$3791,"*"&amp;$A108&amp;"*",'Diags Raw Data'!$K$6:$K$3791)</f>
        <v>2</v>
      </c>
      <c r="J108" s="441">
        <f>SUMIF('Diags Raw Data'!$A$6:$A$3791,"*"&amp;$A108&amp;"*",'Diags Raw Data'!$L$6:$L$3791)</f>
        <v>4</v>
      </c>
      <c r="K108" s="486" cm="1">
        <f t="array" ref="K108">IF(D108="",0, SUMPRODUCT(--(ISNUMBER(SEARCH($A108,'Diags Raw Data'!$A$6:$A$3791))),'Diags Raw Data'!$L$6:$L$3791,'Diags Raw Data'!$N$6:$N$3791)/J108)</f>
        <v>1</v>
      </c>
      <c r="L108" s="487" cm="1">
        <f t="array" ref="L108">IF(D108="",0, SUMPRODUCT(--(ISNUMBER(SEARCH($A108,'Diags Raw Data'!$A$6:$A$3791))),'Diags Raw Data'!$L$6:$L$3791,'Diags Raw Data'!$P$6:$P$3791)/J108)</f>
        <v>1</v>
      </c>
      <c r="M108" s="488" cm="1">
        <f t="array" ref="M108">SUMPRODUCT(--(ISNUMBER(SEARCH($A108,'Diags Raw Data'!$A$6:$A$3791))),--('Diags Raw Data'!$Q$6:$Q$3791&lt;&gt;"N/A"),'Diags Raw Data'!$R$6:$R$3791)</f>
        <v>2</v>
      </c>
      <c r="N108" s="489" cm="1">
        <f t="array" ref="N108">SUMPRODUCT(--(ISNUMBER(SEARCH($A108,'Diags Raw Data'!$A$6:$A$3791))),--('Diags Raw Data'!$Q$6:$Q$3791&lt;&gt;"N/A"),'Diags Raw Data'!$T$6:$T$3791)+SUMPRODUCT(--(ISNUMBER(SEARCH($A108,'Diags Raw Data'!$A$6:$A$3791))),--('Diags Raw Data'!$Q$6:$Q$3791&lt;&gt;"N/A"),'Diags Raw Data'!$U$6:$U$3791)</f>
        <v>1</v>
      </c>
      <c r="O108" s="490">
        <f t="shared" si="2"/>
        <v>0.5</v>
      </c>
      <c r="P108" s="491">
        <f>SUMIF('Diags Raw Data'!$A$6:$A$3791,"*"&amp;$A108&amp;"*",'Diags Raw Data'!$Z$6:$Z$3791)</f>
        <v>0</v>
      </c>
      <c r="Q108" s="492">
        <f>SUM(SUMIF('Diags Raw Data'!$A$6:$A$3791,"*"&amp;$A108&amp;"*",'Diags Raw Data'!$AA$6:$AA$3791),SUMIF('Diags Raw Data'!$A$6:$A$3791,"*"&amp;$A108&amp;"*",'Diags Raw Data'!$AB$6:$AB$3791))</f>
        <v>0</v>
      </c>
      <c r="R108" s="493">
        <f t="shared" si="3"/>
        <v>0</v>
      </c>
      <c r="S108" s="493">
        <f t="shared" si="4"/>
        <v>0</v>
      </c>
      <c r="T108" s="494">
        <f t="shared" si="5"/>
        <v>0</v>
      </c>
      <c r="U108" s="442" t="s">
        <v>1130</v>
      </c>
      <c r="V108" s="182"/>
    </row>
    <row r="109" spans="1:22">
      <c r="A109" s="584" t="s">
        <v>527</v>
      </c>
      <c r="B109" s="438" t="str">
        <f>VLOOKUP(A109,'Feature Raw Data'!$A$3:$B$4004,2,FALSE)</f>
        <v>DCN4.108 - Dmcu secure fw loading</v>
      </c>
      <c r="C109" s="439" t="str">
        <f>VLOOKUP(A109,'Feature Raw Data'!$A$3:$C$4004,3,FALSE)</f>
        <v>P2</v>
      </c>
      <c r="D109" s="440" t="str" cm="1">
        <f t="array" ref="D109">_xlfn.TEXTJOIN("",TRUE,IF(ISNUMBER(SEARCH($A109,'Diags Raw Data'!$A$6:$A$3791)),CONCATENATE('Diags Raw Data'!$H$6:$H$3791,", "),""))</f>
        <v xml:space="preserve">DCHB004, </v>
      </c>
      <c r="E109" s="336" t="e">
        <f>VLOOKUP(A109,'Diags Raw Data'!$A$6:$D$3791,4,FALSE)</f>
        <v>#N/A</v>
      </c>
      <c r="F109" s="336" t="str">
        <f>VLOOKUP(A109,'Feature Raw Data'!$A$3:$E$4004,5,FALSE)</f>
        <v>Legacy</v>
      </c>
      <c r="G109" s="336" t="str">
        <f t="shared" si="18"/>
        <v>Yes</v>
      </c>
      <c r="H109" s="336" t="str">
        <f t="shared" si="19"/>
        <v>Yes</v>
      </c>
      <c r="I109" s="439">
        <f>SUMIF('Diags Raw Data'!$A$6:$A$3791,"*"&amp;$A109&amp;"*",'Diags Raw Data'!$K$6:$K$3791)</f>
        <v>1</v>
      </c>
      <c r="J109" s="441">
        <f>SUMIF('Diags Raw Data'!$A$6:$A$3791,"*"&amp;$A109&amp;"*",'Diags Raw Data'!$L$6:$L$3791)</f>
        <v>36</v>
      </c>
      <c r="K109" s="486" cm="1">
        <f t="array" ref="K109">IF(D109="",0, SUMPRODUCT(--(ISNUMBER(SEARCH($A109,'Diags Raw Data'!$A$6:$A$3791))),'Diags Raw Data'!$L$6:$L$3791,'Diags Raw Data'!$N$6:$N$3791)/J109)</f>
        <v>1</v>
      </c>
      <c r="L109" s="487" cm="1">
        <f t="array" ref="L109">IF(D109="",0, SUMPRODUCT(--(ISNUMBER(SEARCH($A109,'Diags Raw Data'!$A$6:$A$3791))),'Diags Raw Data'!$L$6:$L$3791,'Diags Raw Data'!$P$6:$P$3791)/J109)</f>
        <v>1</v>
      </c>
      <c r="M109" s="488" cm="1">
        <f t="array" ref="M109">SUMPRODUCT(--(ISNUMBER(SEARCH($A109,'Diags Raw Data'!$A$6:$A$3791))),--('Diags Raw Data'!$Q$6:$Q$3791&lt;&gt;"N/A"),'Diags Raw Data'!$R$6:$R$3791)</f>
        <v>1</v>
      </c>
      <c r="N109" s="489" cm="1">
        <f t="array" ref="N109">SUMPRODUCT(--(ISNUMBER(SEARCH($A109,'Diags Raw Data'!$A$6:$A$3791))),--('Diags Raw Data'!$Q$6:$Q$3791&lt;&gt;"N/A"),'Diags Raw Data'!$T$6:$T$3791)+SUMPRODUCT(--(ISNUMBER(SEARCH($A109,'Diags Raw Data'!$A$6:$A$3791))),--('Diags Raw Data'!$Q$6:$Q$3791&lt;&gt;"N/A"),'Diags Raw Data'!$U$6:$U$3791)</f>
        <v>1</v>
      </c>
      <c r="O109" s="490">
        <f t="shared" si="2"/>
        <v>1</v>
      </c>
      <c r="P109" s="491">
        <f>SUMIF('Diags Raw Data'!$A$6:$A$3791,"*"&amp;$A109&amp;"*",'Diags Raw Data'!$Z$6:$Z$3791)</f>
        <v>0</v>
      </c>
      <c r="Q109" s="492">
        <f>SUM(SUMIF('Diags Raw Data'!$A$6:$A$3791,"*"&amp;$A109&amp;"*",'Diags Raw Data'!$AA$6:$AA$3791),SUMIF('Diags Raw Data'!$A$6:$A$3791,"*"&amp;$A109&amp;"*",'Diags Raw Data'!$AB$6:$AB$3791))</f>
        <v>0</v>
      </c>
      <c r="R109" s="493">
        <f t="shared" si="3"/>
        <v>0</v>
      </c>
      <c r="S109" s="493">
        <f t="shared" si="4"/>
        <v>0</v>
      </c>
      <c r="T109" s="494">
        <f t="shared" si="5"/>
        <v>0</v>
      </c>
      <c r="U109" s="442" t="s">
        <v>1129</v>
      </c>
      <c r="V109" s="182"/>
    </row>
    <row r="110" spans="1:22">
      <c r="A110" s="584" t="s">
        <v>529</v>
      </c>
      <c r="B110" s="438" t="str">
        <f>VLOOKUP(A110,'Feature Raw Data'!$A$3:$B$4004,2,FALSE)</f>
        <v>DCN4.109 - Interrupts Handler client support</v>
      </c>
      <c r="C110" s="439" t="str">
        <f>VLOOKUP(A110,'Feature Raw Data'!$A$3:$C$4004,3,FALSE)</f>
        <v>P2</v>
      </c>
      <c r="D110" s="440" t="str" cm="1">
        <f t="array" ref="D110">_xlfn.TEXTJOIN("",TRUE,IF(ISNUMBER(SEARCH($A110,'Diags Raw Data'!$A$6:$A$3791)),CONCATENATE('Diags Raw Data'!$H$6:$H$3791,", "),""))</f>
        <v xml:space="preserve">OTG800, OTG804, OTG805, </v>
      </c>
      <c r="E110" s="336" t="e">
        <f>VLOOKUP(A110,'Diags Raw Data'!$A$6:$D$3791,4,FALSE)</f>
        <v>#N/A</v>
      </c>
      <c r="F110" s="336" t="str">
        <f>VLOOKUP(A110,'Feature Raw Data'!$A$3:$E$4004,5,FALSE)</f>
        <v>Legacy</v>
      </c>
      <c r="G110" s="336" t="str">
        <f t="shared" si="18"/>
        <v>Yes</v>
      </c>
      <c r="H110" s="336" t="str">
        <f t="shared" si="19"/>
        <v>Yes</v>
      </c>
      <c r="I110" s="439">
        <f>SUMIF('Diags Raw Data'!$A$6:$A$3791,"*"&amp;$A110&amp;"*",'Diags Raw Data'!$K$6:$K$3791)</f>
        <v>3</v>
      </c>
      <c r="J110" s="441">
        <f>SUMIF('Diags Raw Data'!$A$6:$A$3791,"*"&amp;$A110&amp;"*",'Diags Raw Data'!$L$6:$L$3791)</f>
        <v>4</v>
      </c>
      <c r="K110" s="486" cm="1">
        <f t="array" ref="K110">IF(D110="",0, SUMPRODUCT(--(ISNUMBER(SEARCH($A110,'Diags Raw Data'!$A$6:$A$3791))),'Diags Raw Data'!$L$6:$L$3791,'Diags Raw Data'!$N$6:$N$3791)/J110)</f>
        <v>1</v>
      </c>
      <c r="L110" s="487" cm="1">
        <f t="array" ref="L110">IF(D110="",0, SUMPRODUCT(--(ISNUMBER(SEARCH($A110,'Diags Raw Data'!$A$6:$A$3791))),'Diags Raw Data'!$L$6:$L$3791,'Diags Raw Data'!$P$6:$P$3791)/J110)</f>
        <v>1</v>
      </c>
      <c r="M110" s="488" cm="1">
        <f t="array" ref="M110">SUMPRODUCT(--(ISNUMBER(SEARCH($A110,'Diags Raw Data'!$A$6:$A$3791))),--('Diags Raw Data'!$Q$6:$Q$3791&lt;&gt;"N/A"),'Diags Raw Data'!$R$6:$R$3791)</f>
        <v>3</v>
      </c>
      <c r="N110" s="489" cm="1">
        <f t="array" ref="N110">SUMPRODUCT(--(ISNUMBER(SEARCH($A110,'Diags Raw Data'!$A$6:$A$3791))),--('Diags Raw Data'!$Q$6:$Q$3791&lt;&gt;"N/A"),'Diags Raw Data'!$T$6:$T$3791)+SUMPRODUCT(--(ISNUMBER(SEARCH($A110,'Diags Raw Data'!$A$6:$A$3791))),--('Diags Raw Data'!$Q$6:$Q$3791&lt;&gt;"N/A"),'Diags Raw Data'!$U$6:$U$3791)</f>
        <v>0</v>
      </c>
      <c r="O110" s="490">
        <f t="shared" si="2"/>
        <v>0</v>
      </c>
      <c r="P110" s="491">
        <f>SUMIF('Diags Raw Data'!$A$6:$A$3791,"*"&amp;$A110&amp;"*",'Diags Raw Data'!$Z$6:$Z$3791)</f>
        <v>0</v>
      </c>
      <c r="Q110" s="492">
        <f>SUM(SUMIF('Diags Raw Data'!$A$6:$A$3791,"*"&amp;$A110&amp;"*",'Diags Raw Data'!$AA$6:$AA$3791),SUMIF('Diags Raw Data'!$A$6:$A$3791,"*"&amp;$A110&amp;"*",'Diags Raw Data'!$AB$6:$AB$3791))</f>
        <v>0</v>
      </c>
      <c r="R110" s="493">
        <f t="shared" si="3"/>
        <v>0</v>
      </c>
      <c r="S110" s="493">
        <f t="shared" si="4"/>
        <v>0</v>
      </c>
      <c r="T110" s="494">
        <f t="shared" si="5"/>
        <v>0</v>
      </c>
      <c r="U110" s="442" t="s">
        <v>1134</v>
      </c>
      <c r="V110" s="182"/>
    </row>
    <row r="111" spans="1:22">
      <c r="A111" s="584" t="s">
        <v>531</v>
      </c>
      <c r="B111" s="438" t="str">
        <f>VLOOKUP(A111,'Feature Raw Data'!$A$3:$B$4004,2,FALSE)</f>
        <v>DCN4.110 - Fine grain security gasket</v>
      </c>
      <c r="C111" s="439" t="str">
        <f>VLOOKUP(A111,'Feature Raw Data'!$A$3:$C$4004,3,FALSE)</f>
        <v>P2</v>
      </c>
      <c r="D111" s="440" t="str" cm="1">
        <f t="array" ref="D111">_xlfn.TEXTJOIN("",TRUE,IF(ISNUMBER(SEARCH($A111,'Diags Raw Data'!$A$6:$A$3791)),CONCATENATE('Diags Raw Data'!$H$6:$H$3791,", "),""))</f>
        <v xml:space="preserve">DMU002, </v>
      </c>
      <c r="E111" s="336" t="str">
        <f>VLOOKUP(A111,'Diags Raw Data'!$A$6:$D$3791,4,FALSE)</f>
        <v>DMU</v>
      </c>
      <c r="F111" s="336" t="str">
        <f>VLOOKUP(A111,'Feature Raw Data'!$A$3:$E$4004,5,FALSE)</f>
        <v>Legacy</v>
      </c>
      <c r="G111" s="336" t="str">
        <f t="shared" si="18"/>
        <v>Yes</v>
      </c>
      <c r="H111" s="336" t="str">
        <f t="shared" si="19"/>
        <v>Yes</v>
      </c>
      <c r="I111" s="439">
        <f>SUMIF('Diags Raw Data'!$A$6:$A$3791,"*"&amp;$A111&amp;"*",'Diags Raw Data'!$K$6:$K$3791)</f>
        <v>1</v>
      </c>
      <c r="J111" s="441">
        <f>SUMIF('Diags Raw Data'!$A$6:$A$3791,"*"&amp;$A111&amp;"*",'Diags Raw Data'!$L$6:$L$3791)</f>
        <v>8</v>
      </c>
      <c r="K111" s="486" cm="1">
        <f t="array" ref="K111">IF(D111="",0, SUMPRODUCT(--(ISNUMBER(SEARCH($A111,'Diags Raw Data'!$A$6:$A$3791))),'Diags Raw Data'!$L$6:$L$3791,'Diags Raw Data'!$N$6:$N$3791)/J111)</f>
        <v>1</v>
      </c>
      <c r="L111" s="487" cm="1">
        <f t="array" ref="L111">IF(D111="",0, SUMPRODUCT(--(ISNUMBER(SEARCH($A111,'Diags Raw Data'!$A$6:$A$3791))),'Diags Raw Data'!$L$6:$L$3791,'Diags Raw Data'!$P$6:$P$3791)/J111)</f>
        <v>1</v>
      </c>
      <c r="M111" s="488" cm="1">
        <f t="array" ref="M111">SUMPRODUCT(--(ISNUMBER(SEARCH($A111,'Diags Raw Data'!$A$6:$A$3791))),--('Diags Raw Data'!$Q$6:$Q$3791&lt;&gt;"N/A"),'Diags Raw Data'!$R$6:$R$3791)</f>
        <v>1</v>
      </c>
      <c r="N111" s="489" cm="1">
        <f t="array" ref="N111">SUMPRODUCT(--(ISNUMBER(SEARCH($A111,'Diags Raw Data'!$A$6:$A$3791))),--('Diags Raw Data'!$Q$6:$Q$3791&lt;&gt;"N/A"),'Diags Raw Data'!$T$6:$T$3791)+SUMPRODUCT(--(ISNUMBER(SEARCH($A111,'Diags Raw Data'!$A$6:$A$3791))),--('Diags Raw Data'!$Q$6:$Q$3791&lt;&gt;"N/A"),'Diags Raw Data'!$U$6:$U$3791)</f>
        <v>0</v>
      </c>
      <c r="O111" s="490">
        <f t="shared" si="2"/>
        <v>0</v>
      </c>
      <c r="P111" s="491">
        <f>SUMIF('Diags Raw Data'!$A$6:$A$3791,"*"&amp;$A111&amp;"*",'Diags Raw Data'!$Z$6:$Z$3791)</f>
        <v>0</v>
      </c>
      <c r="Q111" s="492">
        <f>SUM(SUMIF('Diags Raw Data'!$A$6:$A$3791,"*"&amp;$A111&amp;"*",'Diags Raw Data'!$AA$6:$AA$3791),SUMIF('Diags Raw Data'!$A$6:$A$3791,"*"&amp;$A111&amp;"*",'Diags Raw Data'!$AB$6:$AB$3791))</f>
        <v>0</v>
      </c>
      <c r="R111" s="493">
        <f t="shared" si="3"/>
        <v>0</v>
      </c>
      <c r="S111" s="493">
        <f t="shared" si="4"/>
        <v>0</v>
      </c>
      <c r="T111" s="494">
        <f t="shared" si="5"/>
        <v>0</v>
      </c>
      <c r="U111" s="442" t="s">
        <v>1129</v>
      </c>
      <c r="V111" s="182"/>
    </row>
    <row r="112" spans="1:22">
      <c r="A112" s="584" t="s">
        <v>533</v>
      </c>
      <c r="B112" s="438" t="str">
        <f>VLOOKUP(A112,'Feature Raw Data'!$A$3:$B$4004,2,FALSE)</f>
        <v>DCN4.111 - Db register update</v>
      </c>
      <c r="C112" s="439" t="str">
        <f>VLOOKUP(A112,'Feature Raw Data'!$A$3:$C$4004,3,FALSE)</f>
        <v>P2</v>
      </c>
      <c r="D112" s="440" t="str" cm="1">
        <f t="array" ref="D112">_xlfn.TEXTJOIN("",TRUE,IF(ISNUMBER(SEARCH($A112,'Diags Raw Data'!$A$6:$A$3791)),CONCATENATE('Diags Raw Data'!$H$6:$H$3791,", "),""))</f>
        <v xml:space="preserve">DISP002, </v>
      </c>
      <c r="E112" s="336" t="str">
        <f>VLOOKUP(A112,'Diags Raw Data'!$A$6:$D$3791,4,FALSE)</f>
        <v>DISP</v>
      </c>
      <c r="F112" s="336" t="str">
        <f>VLOOKUP(A112,'Feature Raw Data'!$A$3:$E$4004,5,FALSE)</f>
        <v>Legacy</v>
      </c>
      <c r="G112" s="336" t="str">
        <f t="shared" si="18"/>
        <v>Yes</v>
      </c>
      <c r="H112" s="336" t="str">
        <f t="shared" si="19"/>
        <v>Yes</v>
      </c>
      <c r="I112" s="439">
        <f>SUMIF('Diags Raw Data'!$A$6:$A$3791,"*"&amp;$A112&amp;"*",'Diags Raw Data'!$K$6:$K$3791)</f>
        <v>1</v>
      </c>
      <c r="J112" s="441">
        <f>SUMIF('Diags Raw Data'!$A$6:$A$3791,"*"&amp;$A112&amp;"*",'Diags Raw Data'!$L$6:$L$3791)</f>
        <v>4</v>
      </c>
      <c r="K112" s="486" cm="1">
        <f t="array" ref="K112">IF(D112="",0, SUMPRODUCT(--(ISNUMBER(SEARCH($A112,'Diags Raw Data'!$A$6:$A$3791))),'Diags Raw Data'!$L$6:$L$3791,'Diags Raw Data'!$N$6:$N$3791)/J112)</f>
        <v>1</v>
      </c>
      <c r="L112" s="487" cm="1">
        <f t="array" ref="L112">IF(D112="",0, SUMPRODUCT(--(ISNUMBER(SEARCH($A112,'Diags Raw Data'!$A$6:$A$3791))),'Diags Raw Data'!$L$6:$L$3791,'Diags Raw Data'!$P$6:$P$3791)/J112)</f>
        <v>1</v>
      </c>
      <c r="M112" s="488" cm="1">
        <f t="array" ref="M112">SUMPRODUCT(--(ISNUMBER(SEARCH($A112,'Diags Raw Data'!$A$6:$A$3791))),--('Diags Raw Data'!$Q$6:$Q$3791&lt;&gt;"N/A"),'Diags Raw Data'!$R$6:$R$3791)</f>
        <v>1</v>
      </c>
      <c r="N112" s="489" cm="1">
        <f t="array" ref="N112">SUMPRODUCT(--(ISNUMBER(SEARCH($A112,'Diags Raw Data'!$A$6:$A$3791))),--('Diags Raw Data'!$Q$6:$Q$3791&lt;&gt;"N/A"),'Diags Raw Data'!$T$6:$T$3791)+SUMPRODUCT(--(ISNUMBER(SEARCH($A112,'Diags Raw Data'!$A$6:$A$3791))),--('Diags Raw Data'!$Q$6:$Q$3791&lt;&gt;"N/A"),'Diags Raw Data'!$U$6:$U$3791)</f>
        <v>0</v>
      </c>
      <c r="O112" s="490">
        <f t="shared" si="2"/>
        <v>0</v>
      </c>
      <c r="P112" s="491">
        <f>SUMIF('Diags Raw Data'!$A$6:$A$3791,"*"&amp;$A112&amp;"*",'Diags Raw Data'!$Z$6:$Z$3791)</f>
        <v>0</v>
      </c>
      <c r="Q112" s="492">
        <f>SUM(SUMIF('Diags Raw Data'!$A$6:$A$3791,"*"&amp;$A112&amp;"*",'Diags Raw Data'!$AA$6:$AA$3791),SUMIF('Diags Raw Data'!$A$6:$A$3791,"*"&amp;$A112&amp;"*",'Diags Raw Data'!$AB$6:$AB$3791))</f>
        <v>0</v>
      </c>
      <c r="R112" s="493">
        <f t="shared" si="3"/>
        <v>0</v>
      </c>
      <c r="S112" s="493">
        <f t="shared" si="4"/>
        <v>0</v>
      </c>
      <c r="T112" s="494">
        <f t="shared" si="5"/>
        <v>0</v>
      </c>
      <c r="U112" s="442" t="s">
        <v>1136</v>
      </c>
      <c r="V112" s="182"/>
    </row>
    <row r="113" spans="1:22">
      <c r="A113" s="584" t="s">
        <v>535</v>
      </c>
      <c r="B113" s="438" t="str">
        <f>VLOOKUP(A113,'Feature Raw Data'!$A$3:$B$4004,2,FALSE)</f>
        <v>DCN4.112 - Triple buffered register update</v>
      </c>
      <c r="C113" s="439" t="str">
        <f>VLOOKUP(A113,'Feature Raw Data'!$A$3:$C$4004,3,FALSE)</f>
        <v>P2</v>
      </c>
      <c r="D113" s="440" t="str" cm="1">
        <f t="array" ref="D113">_xlfn.TEXTJOIN("",TRUE,IF(ISNUMBER(SEARCH($A113,'Diags Raw Data'!$A$6:$A$3791)),CONCATENATE('Diags Raw Data'!$H$6:$H$3791,", "),""))</f>
        <v xml:space="preserve">DISP007, </v>
      </c>
      <c r="E113" s="336" t="str">
        <f>VLOOKUP(A113,'Diags Raw Data'!$A$6:$D$3791,4,FALSE)</f>
        <v>DISP</v>
      </c>
      <c r="F113" s="336" t="str">
        <f>VLOOKUP(A113,'Feature Raw Data'!$A$3:$E$4004,5,FALSE)</f>
        <v>Legacy</v>
      </c>
      <c r="G113" s="336" t="str">
        <f t="shared" si="18"/>
        <v>Yes</v>
      </c>
      <c r="H113" s="336" t="str">
        <f t="shared" si="19"/>
        <v>Yes</v>
      </c>
      <c r="I113" s="439">
        <f>SUMIF('Diags Raw Data'!$A$6:$A$3791,"*"&amp;$A113&amp;"*",'Diags Raw Data'!$K$6:$K$3791)</f>
        <v>1</v>
      </c>
      <c r="J113" s="441">
        <f>SUMIF('Diags Raw Data'!$A$6:$A$3791,"*"&amp;$A113&amp;"*",'Diags Raw Data'!$L$6:$L$3791)</f>
        <v>2</v>
      </c>
      <c r="K113" s="486" cm="1">
        <f t="array" ref="K113">IF(D113="",0, SUMPRODUCT(--(ISNUMBER(SEARCH($A113,'Diags Raw Data'!$A$6:$A$3791))),'Diags Raw Data'!$L$6:$L$3791,'Diags Raw Data'!$N$6:$N$3791)/J113)</f>
        <v>1</v>
      </c>
      <c r="L113" s="487" cm="1">
        <f t="array" ref="L113">IF(D113="",0, SUMPRODUCT(--(ISNUMBER(SEARCH($A113,'Diags Raw Data'!$A$6:$A$3791))),'Diags Raw Data'!$L$6:$L$3791,'Diags Raw Data'!$P$6:$P$3791)/J113)</f>
        <v>1</v>
      </c>
      <c r="M113" s="488" cm="1">
        <f t="array" ref="M113">SUMPRODUCT(--(ISNUMBER(SEARCH($A113,'Diags Raw Data'!$A$6:$A$3791))),--('Diags Raw Data'!$Q$6:$Q$3791&lt;&gt;"N/A"),'Diags Raw Data'!$R$6:$R$3791)</f>
        <v>1</v>
      </c>
      <c r="N113" s="489" cm="1">
        <f t="array" ref="N113">SUMPRODUCT(--(ISNUMBER(SEARCH($A113,'Diags Raw Data'!$A$6:$A$3791))),--('Diags Raw Data'!$Q$6:$Q$3791&lt;&gt;"N/A"),'Diags Raw Data'!$T$6:$T$3791)+SUMPRODUCT(--(ISNUMBER(SEARCH($A113,'Diags Raw Data'!$A$6:$A$3791))),--('Diags Raw Data'!$Q$6:$Q$3791&lt;&gt;"N/A"),'Diags Raw Data'!$U$6:$U$3791)</f>
        <v>0</v>
      </c>
      <c r="O113" s="490">
        <f t="shared" si="2"/>
        <v>0</v>
      </c>
      <c r="P113" s="491">
        <f>SUMIF('Diags Raw Data'!$A$6:$A$3791,"*"&amp;$A113&amp;"*",'Diags Raw Data'!$Z$6:$Z$3791)</f>
        <v>0</v>
      </c>
      <c r="Q113" s="492">
        <f>SUM(SUMIF('Diags Raw Data'!$A$6:$A$3791,"*"&amp;$A113&amp;"*",'Diags Raw Data'!$AA$6:$AA$3791),SUMIF('Diags Raw Data'!$A$6:$A$3791,"*"&amp;$A113&amp;"*",'Diags Raw Data'!$AB$6:$AB$3791))</f>
        <v>0</v>
      </c>
      <c r="R113" s="493">
        <f t="shared" si="3"/>
        <v>0</v>
      </c>
      <c r="S113" s="493">
        <f t="shared" si="4"/>
        <v>0</v>
      </c>
      <c r="T113" s="494">
        <f t="shared" si="5"/>
        <v>0</v>
      </c>
      <c r="U113" s="442" t="s">
        <v>1136</v>
      </c>
      <c r="V113" s="182"/>
    </row>
    <row r="114" spans="1:22" hidden="1">
      <c r="A114" s="584" t="s">
        <v>537</v>
      </c>
      <c r="B114" s="438" t="str">
        <f>VLOOKUP(A114,'Feature Raw Data'!$A$3:$B$4004,2,FALSE)</f>
        <v>DCN4.113 - Digital bypass</v>
      </c>
      <c r="C114" s="439" t="str">
        <f>VLOOKUP(A114,'Feature Raw Data'!$A$3:$C$4004,3,FALSE)</f>
        <v>P2</v>
      </c>
      <c r="D114" s="440" t="str" cm="1">
        <f t="array" ref="D114">_xlfn.TEXTJOIN("",TRUE,IF(ISNUMBER(SEARCH($A114,'Diags Raw Data'!$A$6:$A$3791)),CONCATENATE('Diags Raw Data'!$H$6:$H$3791,", "),""))</f>
        <v/>
      </c>
      <c r="E114" s="336" t="e">
        <f>VLOOKUP(A114,'Diags Raw Data'!$A$6:$D$3791,4,FALSE)</f>
        <v>#N/A</v>
      </c>
      <c r="F114" s="336" t="str">
        <f>VLOOKUP(A114,'Feature Raw Data'!$A$3:$E$4004,5,FALSE)</f>
        <v>Legacy</v>
      </c>
      <c r="G114" s="336" t="str">
        <f t="shared" si="18"/>
        <v>No</v>
      </c>
      <c r="H114" s="336" t="str">
        <f t="shared" si="19"/>
        <v>No</v>
      </c>
      <c r="I114" s="439">
        <f>SUMIF('Diags Raw Data'!$A$6:$A$3791,"*"&amp;$A114&amp;"*",'Diags Raw Data'!$K$6:$K$3791)</f>
        <v>0</v>
      </c>
      <c r="J114" s="441">
        <f>SUMIF('Diags Raw Data'!$A$6:$A$3791,"*"&amp;$A114&amp;"*",'Diags Raw Data'!$L$6:$L$3791)</f>
        <v>0</v>
      </c>
      <c r="K114" s="486" cm="1">
        <f t="array" ref="K114">IF(D114="",0, SUMPRODUCT(--(ISNUMBER(SEARCH($A114,'Diags Raw Data'!$A$6:$A$3791))),'Diags Raw Data'!$L$6:$L$3791,'Diags Raw Data'!$N$6:$N$3791)/J114)</f>
        <v>0</v>
      </c>
      <c r="L114" s="487" cm="1">
        <f t="array" ref="L114">IF(D114="",0, SUMPRODUCT(--(ISNUMBER(SEARCH($A114,'Diags Raw Data'!$A$6:$A$3791))),'Diags Raw Data'!$L$6:$L$3791,'Diags Raw Data'!$P$6:$P$3791)/J114)</f>
        <v>0</v>
      </c>
      <c r="M114" s="488" cm="1">
        <f t="array" ref="M114">SUMPRODUCT(--(ISNUMBER(SEARCH($A114,'Diags Raw Data'!$A$6:$A$3791))),--('Diags Raw Data'!$Q$6:$Q$3791&lt;&gt;"N/A"),'Diags Raw Data'!$R$6:$R$3791)</f>
        <v>0</v>
      </c>
      <c r="N114" s="489" cm="1">
        <f t="array" ref="N114">SUMPRODUCT(--(ISNUMBER(SEARCH($A114,'Diags Raw Data'!$A$6:$A$3791))),--('Diags Raw Data'!$Q$6:$Q$3791&lt;&gt;"N/A"),'Diags Raw Data'!$T$6:$T$3791)+SUMPRODUCT(--(ISNUMBER(SEARCH($A114,'Diags Raw Data'!$A$6:$A$3791))),--('Diags Raw Data'!$Q$6:$Q$3791&lt;&gt;"N/A"),'Diags Raw Data'!$U$6:$U$3791)</f>
        <v>0</v>
      </c>
      <c r="O114" s="490">
        <f t="shared" si="2"/>
        <v>0</v>
      </c>
      <c r="P114" s="491">
        <f>SUMIF('Diags Raw Data'!$A$6:$A$3791,"*"&amp;$A114&amp;"*",'Diags Raw Data'!$Z$6:$Z$3791)</f>
        <v>0</v>
      </c>
      <c r="Q114" s="492">
        <f>SUM(SUMIF('Diags Raw Data'!$A$6:$A$3791,"*"&amp;$A114&amp;"*",'Diags Raw Data'!$AA$6:$AA$3791),SUMIF('Diags Raw Data'!$A$6:$A$3791,"*"&amp;$A114&amp;"*",'Diags Raw Data'!$AB$6:$AB$3791))</f>
        <v>0</v>
      </c>
      <c r="R114" s="493">
        <f t="shared" si="3"/>
        <v>0</v>
      </c>
      <c r="S114" s="493">
        <f t="shared" si="4"/>
        <v>0</v>
      </c>
      <c r="T114" s="494">
        <f t="shared" si="5"/>
        <v>0</v>
      </c>
      <c r="U114" s="442" t="s">
        <v>1132</v>
      </c>
      <c r="V114" s="182"/>
    </row>
    <row r="115" spans="1:22" hidden="1">
      <c r="A115" s="584" t="s">
        <v>539</v>
      </c>
      <c r="B115" s="438" t="str">
        <f>VLOOKUP(A115,'Feature Raw Data'!$A$3:$B$4004,2,FALSE)</f>
        <v>DCN4.114 - Basic pixel unpacking</v>
      </c>
      <c r="C115" s="439" t="str">
        <f>VLOOKUP(A115,'Feature Raw Data'!$A$3:$C$4004,3,FALSE)</f>
        <v>P2</v>
      </c>
      <c r="D115" s="440" t="str" cm="1">
        <f t="array" ref="D115">_xlfn.TEXTJOIN("",TRUE,IF(ISNUMBER(SEARCH($A115,'Diags Raw Data'!$A$6:$A$3791)),CONCATENATE('Diags Raw Data'!$H$6:$H$3791,", "),""))</f>
        <v/>
      </c>
      <c r="E115" s="336" t="e">
        <f>VLOOKUP(A115,'Diags Raw Data'!$A$6:$D$3791,4,FALSE)</f>
        <v>#N/A</v>
      </c>
      <c r="F115" s="336" t="str">
        <f>VLOOKUP(A115,'Feature Raw Data'!$A$3:$E$4004,5,FALSE)</f>
        <v>Legacy</v>
      </c>
      <c r="G115" s="336" t="str">
        <f t="shared" si="18"/>
        <v>No</v>
      </c>
      <c r="H115" s="336" t="str">
        <f t="shared" si="19"/>
        <v>No</v>
      </c>
      <c r="I115" s="439">
        <f>SUMIF('Diags Raw Data'!$A$6:$A$3791,"*"&amp;$A115&amp;"*",'Diags Raw Data'!$K$6:$K$3791)</f>
        <v>0</v>
      </c>
      <c r="J115" s="441">
        <f>SUMIF('Diags Raw Data'!$A$6:$A$3791,"*"&amp;$A115&amp;"*",'Diags Raw Data'!$L$6:$L$3791)</f>
        <v>0</v>
      </c>
      <c r="K115" s="486" cm="1">
        <f t="array" ref="K115">IF(D115="",0, SUMPRODUCT(--(ISNUMBER(SEARCH($A115,'Diags Raw Data'!$A$6:$A$3791))),'Diags Raw Data'!$L$6:$L$3791,'Diags Raw Data'!$N$6:$N$3791)/J115)</f>
        <v>0</v>
      </c>
      <c r="L115" s="487" cm="1">
        <f t="array" ref="L115">IF(D115="",0, SUMPRODUCT(--(ISNUMBER(SEARCH($A115,'Diags Raw Data'!$A$6:$A$3791))),'Diags Raw Data'!$L$6:$L$3791,'Diags Raw Data'!$P$6:$P$3791)/J115)</f>
        <v>0</v>
      </c>
      <c r="M115" s="488" cm="1">
        <f t="array" ref="M115">SUMPRODUCT(--(ISNUMBER(SEARCH($A115,'Diags Raw Data'!$A$6:$A$3791))),--('Diags Raw Data'!$Q$6:$Q$3791&lt;&gt;"N/A"),'Diags Raw Data'!$R$6:$R$3791)</f>
        <v>0</v>
      </c>
      <c r="N115" s="489" cm="1">
        <f t="array" ref="N115">SUMPRODUCT(--(ISNUMBER(SEARCH($A115,'Diags Raw Data'!$A$6:$A$3791))),--('Diags Raw Data'!$Q$6:$Q$3791&lt;&gt;"N/A"),'Diags Raw Data'!$T$6:$T$3791)+SUMPRODUCT(--(ISNUMBER(SEARCH($A115,'Diags Raw Data'!$A$6:$A$3791))),--('Diags Raw Data'!$Q$6:$Q$3791&lt;&gt;"N/A"),'Diags Raw Data'!$U$6:$U$3791)</f>
        <v>0</v>
      </c>
      <c r="O115" s="490">
        <f t="shared" si="2"/>
        <v>0</v>
      </c>
      <c r="P115" s="491">
        <f>SUMIF('Diags Raw Data'!$A$6:$A$3791,"*"&amp;$A115&amp;"*",'Diags Raw Data'!$Z$6:$Z$3791)</f>
        <v>0</v>
      </c>
      <c r="Q115" s="492">
        <f>SUM(SUMIF('Diags Raw Data'!$A$6:$A$3791,"*"&amp;$A115&amp;"*",'Diags Raw Data'!$AA$6:$AA$3791),SUMIF('Diags Raw Data'!$A$6:$A$3791,"*"&amp;$A115&amp;"*",'Diags Raw Data'!$AB$6:$AB$3791))</f>
        <v>0</v>
      </c>
      <c r="R115" s="493">
        <f t="shared" si="3"/>
        <v>0</v>
      </c>
      <c r="S115" s="493">
        <f t="shared" si="4"/>
        <v>0</v>
      </c>
      <c r="T115" s="494">
        <f t="shared" si="5"/>
        <v>0</v>
      </c>
      <c r="U115" s="442" t="s">
        <v>1132</v>
      </c>
      <c r="V115" s="182"/>
    </row>
    <row r="116" spans="1:22" hidden="1">
      <c r="A116" s="584" t="s">
        <v>543</v>
      </c>
      <c r="B116" s="438" t="str">
        <f>VLOOKUP(A116,'Feature Raw Data'!$A$3:$B$4004,2,FALSE)</f>
        <v>DCN4.116 - Rgbe alpha pixel format</v>
      </c>
      <c r="C116" s="439" t="str">
        <f>VLOOKUP(A116,'Feature Raw Data'!$A$3:$C$4004,3,FALSE)</f>
        <v>P2</v>
      </c>
      <c r="D116" s="440" t="str" cm="1">
        <f t="array" ref="D116">_xlfn.TEXTJOIN("",TRUE,IF(ISNUMBER(SEARCH($A116,'Diags Raw Data'!$A$6:$A$3791)),CONCATENATE('Diags Raw Data'!$H$6:$H$3791,", "),""))</f>
        <v/>
      </c>
      <c r="E116" s="336" t="e">
        <f>VLOOKUP(A116,'Diags Raw Data'!$A$6:$D$3791,4,FALSE)</f>
        <v>#N/A</v>
      </c>
      <c r="F116" s="336" t="str">
        <f>VLOOKUP(A116,'Feature Raw Data'!$A$3:$E$4004,5,FALSE)</f>
        <v>Legacy</v>
      </c>
      <c r="G116" s="336" t="str">
        <f t="shared" si="18"/>
        <v>No</v>
      </c>
      <c r="H116" s="336" t="str">
        <f t="shared" si="19"/>
        <v>No</v>
      </c>
      <c r="I116" s="439">
        <f>SUMIF('Diags Raw Data'!$A$6:$A$3791,"*"&amp;$A116&amp;"*",'Diags Raw Data'!$K$6:$K$3791)</f>
        <v>0</v>
      </c>
      <c r="J116" s="441">
        <f>SUMIF('Diags Raw Data'!$A$6:$A$3791,"*"&amp;$A116&amp;"*",'Diags Raw Data'!$L$6:$L$3791)</f>
        <v>0</v>
      </c>
      <c r="K116" s="486" cm="1">
        <f t="array" ref="K116">IF(D116="",0, SUMPRODUCT(--(ISNUMBER(SEARCH($A116,'Diags Raw Data'!$A$6:$A$3791))),'Diags Raw Data'!$L$6:$L$3791,'Diags Raw Data'!$N$6:$N$3791)/J116)</f>
        <v>0</v>
      </c>
      <c r="L116" s="487" cm="1">
        <f t="array" ref="L116">IF(D116="",0, SUMPRODUCT(--(ISNUMBER(SEARCH($A116,'Diags Raw Data'!$A$6:$A$3791))),'Diags Raw Data'!$L$6:$L$3791,'Diags Raw Data'!$P$6:$P$3791)/J116)</f>
        <v>0</v>
      </c>
      <c r="M116" s="488" cm="1">
        <f t="array" ref="M116">SUMPRODUCT(--(ISNUMBER(SEARCH($A116,'Diags Raw Data'!$A$6:$A$3791))),--('Diags Raw Data'!$Q$6:$Q$3791&lt;&gt;"N/A"),'Diags Raw Data'!$R$6:$R$3791)</f>
        <v>0</v>
      </c>
      <c r="N116" s="489" cm="1">
        <f t="array" ref="N116">SUMPRODUCT(--(ISNUMBER(SEARCH($A116,'Diags Raw Data'!$A$6:$A$3791))),--('Diags Raw Data'!$Q$6:$Q$3791&lt;&gt;"N/A"),'Diags Raw Data'!$T$6:$T$3791)+SUMPRODUCT(--(ISNUMBER(SEARCH($A116,'Diags Raw Data'!$A$6:$A$3791))),--('Diags Raw Data'!$Q$6:$Q$3791&lt;&gt;"N/A"),'Diags Raw Data'!$U$6:$U$3791)</f>
        <v>0</v>
      </c>
      <c r="O116" s="490">
        <f t="shared" si="2"/>
        <v>0</v>
      </c>
      <c r="P116" s="491">
        <f>SUMIF('Diags Raw Data'!$A$6:$A$3791,"*"&amp;$A116&amp;"*",'Diags Raw Data'!$Z$6:$Z$3791)</f>
        <v>0</v>
      </c>
      <c r="Q116" s="492">
        <f>SUM(SUMIF('Diags Raw Data'!$A$6:$A$3791,"*"&amp;$A116&amp;"*",'Diags Raw Data'!$AA$6:$AA$3791),SUMIF('Diags Raw Data'!$A$6:$A$3791,"*"&amp;$A116&amp;"*",'Diags Raw Data'!$AB$6:$AB$3791))</f>
        <v>0</v>
      </c>
      <c r="R116" s="493">
        <f t="shared" si="3"/>
        <v>0</v>
      </c>
      <c r="S116" s="493">
        <f t="shared" si="4"/>
        <v>0</v>
      </c>
      <c r="T116" s="494">
        <f t="shared" si="5"/>
        <v>0</v>
      </c>
      <c r="U116" s="442" t="s">
        <v>1136</v>
      </c>
      <c r="V116" s="182"/>
    </row>
    <row r="117" spans="1:22">
      <c r="A117" s="584" t="s">
        <v>545</v>
      </c>
      <c r="B117" s="438" t="str">
        <f>VLOOKUP(A117,'Feature Raw Data'!$A$3:$B$4004,2,FALSE)</f>
        <v>DCN4.117 - Large DET VM row buffer</v>
      </c>
      <c r="C117" s="439" t="str">
        <f>VLOOKUP(A117,'Feature Raw Data'!$A$3:$C$4004,3,FALSE)</f>
        <v>P2</v>
      </c>
      <c r="D117" s="440" t="str" cm="1">
        <f t="array" ref="D117">_xlfn.TEXTJOIN("",TRUE,IF(ISNUMBER(SEARCH($A117,'Diags Raw Data'!$A$6:$A$3791)),CONCATENATE('Diags Raw Data'!$H$6:$H$3791,", "),""))</f>
        <v xml:space="preserve">DCHB005, </v>
      </c>
      <c r="E117" s="336" t="e">
        <f>VLOOKUP(A117,'Diags Raw Data'!$A$6:$D$3791,4,FALSE)</f>
        <v>#N/A</v>
      </c>
      <c r="F117" s="336" t="str">
        <f>VLOOKUP(A117,'Feature Raw Data'!$A$3:$E$4004,5,FALSE)</f>
        <v>Legacy</v>
      </c>
      <c r="G117" s="336" t="str">
        <f>IF(D117="","No","Yes")</f>
        <v>Yes</v>
      </c>
      <c r="H117" s="336" t="str">
        <f t="shared" si="19"/>
        <v>Yes</v>
      </c>
      <c r="I117" s="439">
        <f>SUMIF('Diags Raw Data'!$A$6:$A$3791,"*"&amp;$A117&amp;"*",'Diags Raw Data'!$K$6:$K$3791)</f>
        <v>1</v>
      </c>
      <c r="J117" s="441">
        <f>SUMIF('Diags Raw Data'!$A$6:$A$3791,"*"&amp;$A117&amp;"*",'Diags Raw Data'!$L$6:$L$3791)</f>
        <v>14</v>
      </c>
      <c r="K117" s="486" cm="1">
        <f t="array" ref="K117">IF(D117="",0, SUMPRODUCT(--(ISNUMBER(SEARCH($A117,'Diags Raw Data'!$A$6:$A$3791))),'Diags Raw Data'!$L$6:$L$3791,'Diags Raw Data'!$N$6:$N$3791)/J117)</f>
        <v>1</v>
      </c>
      <c r="L117" s="487" cm="1">
        <f t="array" ref="L117">IF(D117="",0, SUMPRODUCT(--(ISNUMBER(SEARCH($A117,'Diags Raw Data'!$A$6:$A$3791))),'Diags Raw Data'!$L$6:$L$3791,'Diags Raw Data'!$P$6:$P$3791)/J117)</f>
        <v>1</v>
      </c>
      <c r="M117" s="488" cm="1">
        <f t="array" ref="M117">SUMPRODUCT(--(ISNUMBER(SEARCH($A117,'Diags Raw Data'!$A$6:$A$3791))),--('Diags Raw Data'!$Q$6:$Q$3791&lt;&gt;"N/A"),'Diags Raw Data'!$R$6:$R$3791)</f>
        <v>14</v>
      </c>
      <c r="N117" s="489" cm="1">
        <f t="array" ref="N117">SUMPRODUCT(--(ISNUMBER(SEARCH($A117,'Diags Raw Data'!$A$6:$A$3791))),--('Diags Raw Data'!$Q$6:$Q$3791&lt;&gt;"N/A"),'Diags Raw Data'!$T$6:$T$3791)+SUMPRODUCT(--(ISNUMBER(SEARCH($A117,'Diags Raw Data'!$A$6:$A$3791))),--('Diags Raw Data'!$Q$6:$Q$3791&lt;&gt;"N/A"),'Diags Raw Data'!$U$6:$U$3791)</f>
        <v>14</v>
      </c>
      <c r="O117" s="490">
        <f t="shared" si="2"/>
        <v>1</v>
      </c>
      <c r="P117" s="491">
        <f>SUMIF('Diags Raw Data'!$A$6:$A$3791,"*"&amp;$A117&amp;"*",'Diags Raw Data'!$Z$6:$Z$3791)</f>
        <v>0</v>
      </c>
      <c r="Q117" s="492">
        <f>SUM(SUMIF('Diags Raw Data'!$A$6:$A$3791,"*"&amp;$A117&amp;"*",'Diags Raw Data'!$AA$6:$AA$3791),SUMIF('Diags Raw Data'!$A$6:$A$3791,"*"&amp;$A117&amp;"*",'Diags Raw Data'!$AB$6:$AB$3791))</f>
        <v>0</v>
      </c>
      <c r="R117" s="493">
        <f t="shared" si="3"/>
        <v>0</v>
      </c>
      <c r="S117" s="493">
        <f t="shared" si="4"/>
        <v>0</v>
      </c>
      <c r="T117" s="494">
        <f t="shared" si="5"/>
        <v>0</v>
      </c>
      <c r="U117" s="442" t="s">
        <v>1136</v>
      </c>
      <c r="V117" s="182"/>
    </row>
    <row r="118" spans="1:22">
      <c r="A118" s="584" t="s">
        <v>547</v>
      </c>
      <c r="B118" s="438" t="str">
        <f>VLOOKUP(A118,'Feature Raw Data'!$A$3:$B$4004,2,FALSE)</f>
        <v>DCN4.118 - New display phy power down seq</v>
      </c>
      <c r="C118" s="439" t="str">
        <f>VLOOKUP(A118,'Feature Raw Data'!$A$3:$C$4004,3,FALSE)</f>
        <v>P2</v>
      </c>
      <c r="D118" s="440" t="str" cm="1">
        <f t="array" ref="D118">_xlfn.TEXTJOIN("",TRUE,IF(ISNUMBER(SEARCH($A118,'Diags Raw Data'!$A$6:$A$3791)),CONCATENATE('Diags Raw Data'!$H$6:$H$3791,", "),""))</f>
        <v xml:space="preserve">DISP016, </v>
      </c>
      <c r="E118" s="336" t="str">
        <f>VLOOKUP(A118,'Diags Raw Data'!$A$6:$D$3791,4,FALSE)</f>
        <v>DISP</v>
      </c>
      <c r="F118" s="336" t="str">
        <f>VLOOKUP(A118,'Feature Raw Data'!$A$3:$E$4004,5,FALSE)</f>
        <v>Legacy</v>
      </c>
      <c r="G118" s="336" t="str">
        <f t="shared" si="18"/>
        <v>Yes</v>
      </c>
      <c r="H118" s="336" t="str">
        <f t="shared" si="19"/>
        <v>Yes</v>
      </c>
      <c r="I118" s="439">
        <f>SUMIF('Diags Raw Data'!$A$6:$A$3791,"*"&amp;$A118&amp;"*",'Diags Raw Data'!$K$6:$K$3791)</f>
        <v>1</v>
      </c>
      <c r="J118" s="441">
        <f>SUMIF('Diags Raw Data'!$A$6:$A$3791,"*"&amp;$A118&amp;"*",'Diags Raw Data'!$L$6:$L$3791)</f>
        <v>1</v>
      </c>
      <c r="K118" s="486" cm="1">
        <f t="array" ref="K118">IF(D118="",0, SUMPRODUCT(--(ISNUMBER(SEARCH($A118,'Diags Raw Data'!$A$6:$A$3791))),'Diags Raw Data'!$L$6:$L$3791,'Diags Raw Data'!$N$6:$N$3791)/J118)</f>
        <v>1</v>
      </c>
      <c r="L118" s="487" cm="1">
        <f t="array" ref="L118">IF(D118="",0, SUMPRODUCT(--(ISNUMBER(SEARCH($A118,'Diags Raw Data'!$A$6:$A$3791))),'Diags Raw Data'!$L$6:$L$3791,'Diags Raw Data'!$P$6:$P$3791)/J118)</f>
        <v>1</v>
      </c>
      <c r="M118" s="488" cm="1">
        <f t="array" ref="M118">SUMPRODUCT(--(ISNUMBER(SEARCH($A118,'Diags Raw Data'!$A$6:$A$3791))),--('Diags Raw Data'!$Q$6:$Q$3791&lt;&gt;"N/A"),'Diags Raw Data'!$R$6:$R$3791)</f>
        <v>0</v>
      </c>
      <c r="N118" s="489" cm="1">
        <f t="array" ref="N118">SUMPRODUCT(--(ISNUMBER(SEARCH($A118,'Diags Raw Data'!$A$6:$A$3791))),--('Diags Raw Data'!$Q$6:$Q$3791&lt;&gt;"N/A"),'Diags Raw Data'!$T$6:$T$3791)+SUMPRODUCT(--(ISNUMBER(SEARCH($A118,'Diags Raw Data'!$A$6:$A$3791))),--('Diags Raw Data'!$Q$6:$Q$3791&lt;&gt;"N/A"),'Diags Raw Data'!$U$6:$U$3791)</f>
        <v>0</v>
      </c>
      <c r="O118" s="490">
        <f t="shared" si="2"/>
        <v>0</v>
      </c>
      <c r="P118" s="491">
        <f>SUMIF('Diags Raw Data'!$A$6:$A$3791,"*"&amp;$A118&amp;"*",'Diags Raw Data'!$Z$6:$Z$3791)</f>
        <v>0</v>
      </c>
      <c r="Q118" s="492">
        <f>SUM(SUMIF('Diags Raw Data'!$A$6:$A$3791,"*"&amp;$A118&amp;"*",'Diags Raw Data'!$AA$6:$AA$3791),SUMIF('Diags Raw Data'!$A$6:$A$3791,"*"&amp;$A118&amp;"*",'Diags Raw Data'!$AB$6:$AB$3791))</f>
        <v>0</v>
      </c>
      <c r="R118" s="493">
        <f t="shared" si="3"/>
        <v>0</v>
      </c>
      <c r="S118" s="493">
        <f t="shared" si="4"/>
        <v>0</v>
      </c>
      <c r="T118" s="494">
        <f t="shared" si="5"/>
        <v>0</v>
      </c>
      <c r="U118" s="442" t="s">
        <v>1133</v>
      </c>
      <c r="V118" s="182"/>
    </row>
    <row r="119" spans="1:22" ht="29.1">
      <c r="A119" s="584" t="s">
        <v>549</v>
      </c>
      <c r="B119" s="438" t="str">
        <f>VLOOKUP(A119,'Feature Raw Data'!$A$3:$B$4004,2,FALSE)</f>
        <v>DCN4.119 - DFS bypass switching for DISPCLK and DPPCLK</v>
      </c>
      <c r="C119" s="439" t="str">
        <f>VLOOKUP(A119,'Feature Raw Data'!$A$3:$C$4004,3,FALSE)</f>
        <v>P2</v>
      </c>
      <c r="D119" s="440" t="str" cm="1">
        <f t="array" ref="D119">_xlfn.TEXTJOIN("",TRUE,IF(ISNUMBER(SEARCH($A119,'Diags Raw Data'!$A$6:$A$3791)),CONCATENATE('Diags Raw Data'!$H$6:$H$3791,", "),""))</f>
        <v xml:space="preserve">DPP009, </v>
      </c>
      <c r="E119" s="336" t="e">
        <f>VLOOKUP(A119,'Diags Raw Data'!$A$6:$D$3791,4,FALSE)</f>
        <v>#N/A</v>
      </c>
      <c r="F119" s="336" t="str">
        <f>VLOOKUP(A119,'Feature Raw Data'!$A$3:$E$4004,5,FALSE)</f>
        <v>Legacy</v>
      </c>
      <c r="G119" s="336" t="str">
        <f t="shared" si="18"/>
        <v>Yes</v>
      </c>
      <c r="H119" s="336" t="str">
        <f t="shared" si="19"/>
        <v>Yes</v>
      </c>
      <c r="I119" s="439">
        <f>SUMIF('Diags Raw Data'!$A$6:$A$3791,"*"&amp;$A119&amp;"*",'Diags Raw Data'!$K$6:$K$3791)</f>
        <v>1</v>
      </c>
      <c r="J119" s="441">
        <f>SUMIF('Diags Raw Data'!$A$6:$A$3791,"*"&amp;$A119&amp;"*",'Diags Raw Data'!$L$6:$L$3791)</f>
        <v>43</v>
      </c>
      <c r="K119" s="486" cm="1">
        <f t="array" ref="K119">IF(D119="",0, SUMPRODUCT(--(ISNUMBER(SEARCH($A119,'Diags Raw Data'!$A$6:$A$3791))),'Diags Raw Data'!$L$6:$L$3791,'Diags Raw Data'!$N$6:$N$3791)/J119)</f>
        <v>1</v>
      </c>
      <c r="L119" s="487" cm="1">
        <f t="array" ref="L119">IF(D119="",0, SUMPRODUCT(--(ISNUMBER(SEARCH($A119,'Diags Raw Data'!$A$6:$A$3791))),'Diags Raw Data'!$L$6:$L$3791,'Diags Raw Data'!$P$6:$P$3791)/J119)</f>
        <v>1</v>
      </c>
      <c r="M119" s="488" cm="1">
        <f t="array" ref="M119">SUMPRODUCT(--(ISNUMBER(SEARCH($A119,'Diags Raw Data'!$A$6:$A$3791))),--('Diags Raw Data'!$Q$6:$Q$3791&lt;&gt;"N/A"),'Diags Raw Data'!$R$6:$R$3791)</f>
        <v>43</v>
      </c>
      <c r="N119" s="489" cm="1">
        <f t="array" ref="N119">SUMPRODUCT(--(ISNUMBER(SEARCH($A119,'Diags Raw Data'!$A$6:$A$3791))),--('Diags Raw Data'!$Q$6:$Q$3791&lt;&gt;"N/A"),'Diags Raw Data'!$T$6:$T$3791)+SUMPRODUCT(--(ISNUMBER(SEARCH($A119,'Diags Raw Data'!$A$6:$A$3791))),--('Diags Raw Data'!$Q$6:$Q$3791&lt;&gt;"N/A"),'Diags Raw Data'!$U$6:$U$3791)</f>
        <v>43</v>
      </c>
      <c r="O119" s="490">
        <f t="shared" si="2"/>
        <v>1</v>
      </c>
      <c r="P119" s="491">
        <f>SUMIF('Diags Raw Data'!$A$6:$A$3791,"*"&amp;$A119&amp;"*",'Diags Raw Data'!$Z$6:$Z$3791)</f>
        <v>0</v>
      </c>
      <c r="Q119" s="492">
        <f>SUM(SUMIF('Diags Raw Data'!$A$6:$A$3791,"*"&amp;$A119&amp;"*",'Diags Raw Data'!$AA$6:$AA$3791),SUMIF('Diags Raw Data'!$A$6:$A$3791,"*"&amp;$A119&amp;"*",'Diags Raw Data'!$AB$6:$AB$3791))</f>
        <v>0</v>
      </c>
      <c r="R119" s="493">
        <f t="shared" si="3"/>
        <v>0</v>
      </c>
      <c r="S119" s="493">
        <f t="shared" si="4"/>
        <v>0</v>
      </c>
      <c r="T119" s="494">
        <f t="shared" si="5"/>
        <v>0</v>
      </c>
      <c r="U119" s="442" t="s">
        <v>1134</v>
      </c>
      <c r="V119" s="182"/>
    </row>
    <row r="120" spans="1:22">
      <c r="A120" s="584" t="s">
        <v>551</v>
      </c>
      <c r="B120" s="438" t="str">
        <f>VLOOKUP(A120,'Feature Raw Data'!$A$3:$B$4004,2,FALSE)</f>
        <v>DCN4.120 - Hbr3 Vmin 0.65v</v>
      </c>
      <c r="C120" s="439" t="str">
        <f>VLOOKUP(A120,'Feature Raw Data'!$A$3:$C$4004,3,FALSE)</f>
        <v>P2</v>
      </c>
      <c r="D120" s="440" t="str" cm="1">
        <f t="array" ref="D120">_xlfn.TEXTJOIN("",TRUE,IF(ISNUMBER(SEARCH($A120,'Diags Raw Data'!$A$6:$A$3791)),CONCATENATE('Diags Raw Data'!$H$6:$H$3791,", "),""))</f>
        <v xml:space="preserve">DIO378, DIO379, DIO380, </v>
      </c>
      <c r="E120" s="336" t="e">
        <f>VLOOKUP(A120,'Diags Raw Data'!$A$6:$D$3791,4,FALSE)</f>
        <v>#N/A</v>
      </c>
      <c r="F120" s="336" t="str">
        <f>VLOOKUP(A120,'Feature Raw Data'!$A$3:$E$4004,5,FALSE)</f>
        <v>Legacy</v>
      </c>
      <c r="G120" s="336" t="str">
        <f t="shared" si="18"/>
        <v>Yes</v>
      </c>
      <c r="H120" s="336" t="str">
        <f t="shared" si="19"/>
        <v>Yes</v>
      </c>
      <c r="I120" s="439">
        <f>SUMIF('Diags Raw Data'!$A$6:$A$3791,"*"&amp;$A120&amp;"*",'Diags Raw Data'!$K$6:$K$3791)</f>
        <v>3</v>
      </c>
      <c r="J120" s="441">
        <f>SUMIF('Diags Raw Data'!$A$6:$A$3791,"*"&amp;$A120&amp;"*",'Diags Raw Data'!$L$6:$L$3791)</f>
        <v>12</v>
      </c>
      <c r="K120" s="486" cm="1">
        <f t="array" ref="K120">IF(D120="",0, SUMPRODUCT(--(ISNUMBER(SEARCH($A120,'Diags Raw Data'!$A$6:$A$3791))),'Diags Raw Data'!$L$6:$L$3791,'Diags Raw Data'!$N$6:$N$3791)/J120)</f>
        <v>1</v>
      </c>
      <c r="L120" s="487" cm="1">
        <f t="array" ref="L120">IF(D120="",0, SUMPRODUCT(--(ISNUMBER(SEARCH($A120,'Diags Raw Data'!$A$6:$A$3791))),'Diags Raw Data'!$L$6:$L$3791,'Diags Raw Data'!$P$6:$P$3791)/J120)</f>
        <v>1</v>
      </c>
      <c r="M120" s="488" cm="1">
        <f t="array" ref="M120">SUMPRODUCT(--(ISNUMBER(SEARCH($A120,'Diags Raw Data'!$A$6:$A$3791))),--('Diags Raw Data'!$Q$6:$Q$3791&lt;&gt;"N/A"),'Diags Raw Data'!$R$6:$R$3791)</f>
        <v>12</v>
      </c>
      <c r="N120" s="489" cm="1">
        <f t="array" ref="N120">SUMPRODUCT(--(ISNUMBER(SEARCH($A120,'Diags Raw Data'!$A$6:$A$3791))),--('Diags Raw Data'!$Q$6:$Q$3791&lt;&gt;"N/A"),'Diags Raw Data'!$T$6:$T$3791)+SUMPRODUCT(--(ISNUMBER(SEARCH($A120,'Diags Raw Data'!$A$6:$A$3791))),--('Diags Raw Data'!$Q$6:$Q$3791&lt;&gt;"N/A"),'Diags Raw Data'!$U$6:$U$3791)</f>
        <v>12</v>
      </c>
      <c r="O120" s="490">
        <f t="shared" si="2"/>
        <v>1</v>
      </c>
      <c r="P120" s="491">
        <f>SUMIF('Diags Raw Data'!$A$6:$A$3791,"*"&amp;$A120&amp;"*",'Diags Raw Data'!$Z$6:$Z$3791)</f>
        <v>0</v>
      </c>
      <c r="Q120" s="492">
        <f>SUM(SUMIF('Diags Raw Data'!$A$6:$A$3791,"*"&amp;$A120&amp;"*",'Diags Raw Data'!$AA$6:$AA$3791),SUMIF('Diags Raw Data'!$A$6:$A$3791,"*"&amp;$A120&amp;"*",'Diags Raw Data'!$AB$6:$AB$3791))</f>
        <v>0</v>
      </c>
      <c r="R120" s="493">
        <f t="shared" si="3"/>
        <v>0</v>
      </c>
      <c r="S120" s="493">
        <f t="shared" si="4"/>
        <v>0</v>
      </c>
      <c r="T120" s="494">
        <f t="shared" si="5"/>
        <v>0</v>
      </c>
      <c r="U120" s="442" t="s">
        <v>1129</v>
      </c>
      <c r="V120" s="182"/>
    </row>
    <row r="121" spans="1:22" ht="29.1">
      <c r="A121" s="584" t="s">
        <v>553</v>
      </c>
      <c r="B121" s="438" t="str">
        <f>VLOOKUP(A121,'Feature Raw Data'!$A$3:$B$4004,2,FALSE)</f>
        <v>DCN4.121 - Register access and timeout Support</v>
      </c>
      <c r="C121" s="439" t="str">
        <f>VLOOKUP(A121,'Feature Raw Data'!$A$3:$C$4004,3,FALSE)</f>
        <v>P2</v>
      </c>
      <c r="D121" s="440" t="str" cm="1">
        <f t="array" ref="D121">_xlfn.TEXTJOIN("",TRUE,IF(ISNUMBER(SEARCH($A121,'Diags Raw Data'!$A$6:$A$3791)),CONCATENATE('Diags Raw Data'!$H$6:$H$3791,", "),""))</f>
        <v xml:space="preserve">DMU003, </v>
      </c>
      <c r="E121" s="336" t="e">
        <f>VLOOKUP(A121,'Diags Raw Data'!$A$6:$D$3791,4,FALSE)</f>
        <v>#N/A</v>
      </c>
      <c r="F121" s="336" t="str">
        <f>VLOOKUP(A121,'Feature Raw Data'!$A$3:$E$4004,5,FALSE)</f>
        <v>Legacy</v>
      </c>
      <c r="G121" s="336" t="str">
        <f t="shared" si="18"/>
        <v>Yes</v>
      </c>
      <c r="H121" s="336" t="str">
        <f t="shared" si="19"/>
        <v>Yes</v>
      </c>
      <c r="I121" s="439">
        <f>SUMIF('Diags Raw Data'!$A$6:$A$3791,"*"&amp;$A121&amp;"*",'Diags Raw Data'!$K$6:$K$3791)</f>
        <v>1</v>
      </c>
      <c r="J121" s="441">
        <f>SUMIF('Diags Raw Data'!$A$6:$A$3791,"*"&amp;$A121&amp;"*",'Diags Raw Data'!$L$6:$L$3791)</f>
        <v>1</v>
      </c>
      <c r="K121" s="486" cm="1">
        <f t="array" ref="K121">IF(D121="",0, SUMPRODUCT(--(ISNUMBER(SEARCH($A121,'Diags Raw Data'!$A$6:$A$3791))),'Diags Raw Data'!$L$6:$L$3791,'Diags Raw Data'!$N$6:$N$3791)/J121)</f>
        <v>1</v>
      </c>
      <c r="L121" s="487" cm="1">
        <f t="array" ref="L121">IF(D121="",0, SUMPRODUCT(--(ISNUMBER(SEARCH($A121,'Diags Raw Data'!$A$6:$A$3791))),'Diags Raw Data'!$L$6:$L$3791,'Diags Raw Data'!$P$6:$P$3791)/J121)</f>
        <v>1</v>
      </c>
      <c r="M121" s="488" cm="1">
        <f t="array" ref="M121">SUMPRODUCT(--(ISNUMBER(SEARCH($A121,'Diags Raw Data'!$A$6:$A$3791))),--('Diags Raw Data'!$Q$6:$Q$3791&lt;&gt;"N/A"),'Diags Raw Data'!$R$6:$R$3791)</f>
        <v>1</v>
      </c>
      <c r="N121" s="489" cm="1">
        <f t="array" ref="N121">SUMPRODUCT(--(ISNUMBER(SEARCH($A121,'Diags Raw Data'!$A$6:$A$3791))),--('Diags Raw Data'!$Q$6:$Q$3791&lt;&gt;"N/A"),'Diags Raw Data'!$T$6:$T$3791)+SUMPRODUCT(--(ISNUMBER(SEARCH($A121,'Diags Raw Data'!$A$6:$A$3791))),--('Diags Raw Data'!$Q$6:$Q$3791&lt;&gt;"N/A"),'Diags Raw Data'!$U$6:$U$3791)</f>
        <v>0</v>
      </c>
      <c r="O121" s="490">
        <f t="shared" si="2"/>
        <v>0</v>
      </c>
      <c r="P121" s="491">
        <f>SUMIF('Diags Raw Data'!$A$6:$A$3791,"*"&amp;$A121&amp;"*",'Diags Raw Data'!$Z$6:$Z$3791)</f>
        <v>0</v>
      </c>
      <c r="Q121" s="492">
        <f>SUM(SUMIF('Diags Raw Data'!$A$6:$A$3791,"*"&amp;$A121&amp;"*",'Diags Raw Data'!$AA$6:$AA$3791),SUMIF('Diags Raw Data'!$A$6:$A$3791,"*"&amp;$A121&amp;"*",'Diags Raw Data'!$AB$6:$AB$3791))</f>
        <v>0</v>
      </c>
      <c r="R121" s="493">
        <f t="shared" si="3"/>
        <v>0</v>
      </c>
      <c r="S121" s="493">
        <f t="shared" si="4"/>
        <v>0</v>
      </c>
      <c r="T121" s="494">
        <f t="shared" si="5"/>
        <v>0</v>
      </c>
      <c r="U121" s="442" t="s">
        <v>1133</v>
      </c>
      <c r="V121" s="182"/>
    </row>
    <row r="122" spans="1:22">
      <c r="A122" s="584" t="s">
        <v>555</v>
      </c>
      <c r="B122" s="438" t="str">
        <f>VLOOKUP(A122,'Feature Raw Data'!$A$3:$B$4004,2,FALSE)</f>
        <v>DCN4.122 - Unallocated space access</v>
      </c>
      <c r="C122" s="439" t="str">
        <f>VLOOKUP(A122,'Feature Raw Data'!$A$3:$C$4004,3,FALSE)</f>
        <v>P2</v>
      </c>
      <c r="D122" s="440" t="str" cm="1">
        <f t="array" ref="D122">_xlfn.TEXTJOIN("",TRUE,IF(ISNUMBER(SEARCH($A122,'Diags Raw Data'!$A$6:$A$3791)),CONCATENATE('Diags Raw Data'!$H$6:$H$3791,", "),""))</f>
        <v xml:space="preserve">DMU001, </v>
      </c>
      <c r="E122" s="336" t="e">
        <f>VLOOKUP(A122,'Diags Raw Data'!$A$6:$D$3791,4,FALSE)</f>
        <v>#N/A</v>
      </c>
      <c r="F122" s="336" t="str">
        <f>VLOOKUP(A122,'Feature Raw Data'!$A$3:$E$4004,5,FALSE)</f>
        <v>Legacy</v>
      </c>
      <c r="G122" s="336" t="str">
        <f t="shared" si="18"/>
        <v>Yes</v>
      </c>
      <c r="H122" s="336" t="str">
        <f t="shared" si="19"/>
        <v>Yes</v>
      </c>
      <c r="I122" s="439">
        <f>SUMIF('Diags Raw Data'!$A$6:$A$3791,"*"&amp;$A122&amp;"*",'Diags Raw Data'!$K$6:$K$3791)</f>
        <v>1</v>
      </c>
      <c r="J122" s="441">
        <f>SUMIF('Diags Raw Data'!$A$6:$A$3791,"*"&amp;$A122&amp;"*",'Diags Raw Data'!$L$6:$L$3791)</f>
        <v>3</v>
      </c>
      <c r="K122" s="486" cm="1">
        <f t="array" ref="K122">IF(D122="",0, SUMPRODUCT(--(ISNUMBER(SEARCH($A122,'Diags Raw Data'!$A$6:$A$3791))),'Diags Raw Data'!$L$6:$L$3791,'Diags Raw Data'!$N$6:$N$3791)/J122)</f>
        <v>1</v>
      </c>
      <c r="L122" s="487" cm="1">
        <f t="array" ref="L122">IF(D122="",0, SUMPRODUCT(--(ISNUMBER(SEARCH($A122,'Diags Raw Data'!$A$6:$A$3791))),'Diags Raw Data'!$L$6:$L$3791,'Diags Raw Data'!$P$6:$P$3791)/J122)</f>
        <v>1</v>
      </c>
      <c r="M122" s="488" cm="1">
        <f t="array" ref="M122">SUMPRODUCT(--(ISNUMBER(SEARCH($A122,'Diags Raw Data'!$A$6:$A$3791))),--('Diags Raw Data'!$Q$6:$Q$3791&lt;&gt;"N/A"),'Diags Raw Data'!$R$6:$R$3791)</f>
        <v>1</v>
      </c>
      <c r="N122" s="489" cm="1">
        <f t="array" ref="N122">SUMPRODUCT(--(ISNUMBER(SEARCH($A122,'Diags Raw Data'!$A$6:$A$3791))),--('Diags Raw Data'!$Q$6:$Q$3791&lt;&gt;"N/A"),'Diags Raw Data'!$T$6:$T$3791)+SUMPRODUCT(--(ISNUMBER(SEARCH($A122,'Diags Raw Data'!$A$6:$A$3791))),--('Diags Raw Data'!$Q$6:$Q$3791&lt;&gt;"N/A"),'Diags Raw Data'!$U$6:$U$3791)</f>
        <v>1</v>
      </c>
      <c r="O122" s="490">
        <f t="shared" si="2"/>
        <v>1</v>
      </c>
      <c r="P122" s="491">
        <f>SUMIF('Diags Raw Data'!$A$6:$A$3791,"*"&amp;$A122&amp;"*",'Diags Raw Data'!$Z$6:$Z$3791)</f>
        <v>0</v>
      </c>
      <c r="Q122" s="492">
        <f>SUM(SUMIF('Diags Raw Data'!$A$6:$A$3791,"*"&amp;$A122&amp;"*",'Diags Raw Data'!$AA$6:$AA$3791),SUMIF('Diags Raw Data'!$A$6:$A$3791,"*"&amp;$A122&amp;"*",'Diags Raw Data'!$AB$6:$AB$3791))</f>
        <v>0</v>
      </c>
      <c r="R122" s="493">
        <f t="shared" si="3"/>
        <v>0</v>
      </c>
      <c r="S122" s="493">
        <f t="shared" si="4"/>
        <v>0</v>
      </c>
      <c r="T122" s="494">
        <f t="shared" si="5"/>
        <v>0</v>
      </c>
      <c r="U122" s="442" t="s">
        <v>1133</v>
      </c>
      <c r="V122" s="182"/>
    </row>
    <row r="123" spans="1:22">
      <c r="A123" s="584" t="s">
        <v>557</v>
      </c>
      <c r="B123" s="438" t="str">
        <f>VLOOKUP(A123,'Feature Raw Data'!$A$3:$B$4004,2,FALSE)</f>
        <v>DCN4.123 - MPCC Gamut Remap</v>
      </c>
      <c r="C123" s="439" t="str">
        <f>VLOOKUP(A123,'Feature Raw Data'!$A$3:$C$4004,3,FALSE)</f>
        <v>P2</v>
      </c>
      <c r="D123" s="440" t="str" cm="1">
        <f t="array" ref="D123">_xlfn.TEXTJOIN("",TRUE,IF(ISNUMBER(SEARCH($A123,'Diags Raw Data'!$A$6:$A$3791)),CONCATENATE('Diags Raw Data'!$H$6:$H$3791,", "),""))</f>
        <v xml:space="preserve">MPC012, MPC013, </v>
      </c>
      <c r="E123" s="336" t="str">
        <f>VLOOKUP(A123,'Diags Raw Data'!$A$6:$D$3791,4,FALSE)</f>
        <v>MPC</v>
      </c>
      <c r="F123" s="336" t="str">
        <f>VLOOKUP(A123,'Feature Raw Data'!$A$3:$E$4004,5,FALSE)</f>
        <v>Legacy</v>
      </c>
      <c r="G123" s="336" t="str">
        <f t="shared" si="18"/>
        <v>Yes</v>
      </c>
      <c r="H123" s="336" t="str">
        <f t="shared" si="19"/>
        <v>Yes</v>
      </c>
      <c r="I123" s="439">
        <f>SUMIF('Diags Raw Data'!$A$6:$A$3791,"*"&amp;$A123&amp;"*",'Diags Raw Data'!$K$6:$K$3791)</f>
        <v>2</v>
      </c>
      <c r="J123" s="441">
        <f>SUMIF('Diags Raw Data'!$A$6:$A$3791,"*"&amp;$A123&amp;"*",'Diags Raw Data'!$L$6:$L$3791)</f>
        <v>2</v>
      </c>
      <c r="K123" s="486" cm="1">
        <f t="array" ref="K123">IF(D123="",0, SUMPRODUCT(--(ISNUMBER(SEARCH($A123,'Diags Raw Data'!$A$6:$A$3791))),'Diags Raw Data'!$L$6:$L$3791,'Diags Raw Data'!$N$6:$N$3791)/J123)</f>
        <v>1</v>
      </c>
      <c r="L123" s="487" cm="1">
        <f t="array" ref="L123">IF(D123="",0, SUMPRODUCT(--(ISNUMBER(SEARCH($A123,'Diags Raw Data'!$A$6:$A$3791))),'Diags Raw Data'!$L$6:$L$3791,'Diags Raw Data'!$P$6:$P$3791)/J123)</f>
        <v>0.5</v>
      </c>
      <c r="M123" s="488" cm="1">
        <f t="array" ref="M123">SUMPRODUCT(--(ISNUMBER(SEARCH($A123,'Diags Raw Data'!$A$6:$A$3791))),--('Diags Raw Data'!$Q$6:$Q$3791&lt;&gt;"N/A"),'Diags Raw Data'!$R$6:$R$3791)</f>
        <v>2</v>
      </c>
      <c r="N123" s="489" cm="1">
        <f t="array" ref="N123">SUMPRODUCT(--(ISNUMBER(SEARCH($A123,'Diags Raw Data'!$A$6:$A$3791))),--('Diags Raw Data'!$Q$6:$Q$3791&lt;&gt;"N/A"),'Diags Raw Data'!$T$6:$T$3791)+SUMPRODUCT(--(ISNUMBER(SEARCH($A123,'Diags Raw Data'!$A$6:$A$3791))),--('Diags Raw Data'!$Q$6:$Q$3791&lt;&gt;"N/A"),'Diags Raw Data'!$U$6:$U$3791)</f>
        <v>1</v>
      </c>
      <c r="O123" s="490">
        <f t="shared" si="2"/>
        <v>0.5</v>
      </c>
      <c r="P123" s="491">
        <f>SUMIF('Diags Raw Data'!$A$6:$A$3791,"*"&amp;$A123&amp;"*",'Diags Raw Data'!$Z$6:$Z$3791)</f>
        <v>0</v>
      </c>
      <c r="Q123" s="492">
        <f>SUM(SUMIF('Diags Raw Data'!$A$6:$A$3791,"*"&amp;$A123&amp;"*",'Diags Raw Data'!$AA$6:$AA$3791),SUMIF('Diags Raw Data'!$A$6:$A$3791,"*"&amp;$A123&amp;"*",'Diags Raw Data'!$AB$6:$AB$3791))</f>
        <v>0</v>
      </c>
      <c r="R123" s="493">
        <f t="shared" si="3"/>
        <v>0</v>
      </c>
      <c r="S123" s="493">
        <f t="shared" si="4"/>
        <v>0</v>
      </c>
      <c r="T123" s="494">
        <f t="shared" si="5"/>
        <v>0</v>
      </c>
      <c r="U123" s="442" t="s">
        <v>1137</v>
      </c>
      <c r="V123" s="182"/>
    </row>
    <row r="124" spans="1:22">
      <c r="A124" s="584" t="s">
        <v>559</v>
      </c>
      <c r="B124" s="438" t="str">
        <f>VLOOKUP(A124,'Feature Raw Data'!$A$3:$B$4004,2,FALSE)</f>
        <v>DCN4.124 - Pre-dealpha</v>
      </c>
      <c r="C124" s="439" t="str">
        <f>VLOOKUP(A124,'Feature Raw Data'!$A$3:$C$4004,3,FALSE)</f>
        <v>P2</v>
      </c>
      <c r="D124" s="440" t="str" cm="1">
        <f t="array" ref="D124">_xlfn.TEXTJOIN("",TRUE,IF(ISNUMBER(SEARCH($A124,'Diags Raw Data'!$A$6:$A$3791)),CONCATENATE('Diags Raw Data'!$H$6:$H$3791,", "),""))</f>
        <v xml:space="preserve">DPP046, </v>
      </c>
      <c r="E124" s="336" t="str">
        <f>VLOOKUP(A124,'Diags Raw Data'!$A$6:$D$3791,4,FALSE)</f>
        <v>DPP</v>
      </c>
      <c r="F124" s="336" t="str">
        <f>VLOOKUP(A124,'Feature Raw Data'!$A$3:$E$4004,5,FALSE)</f>
        <v>Legacy</v>
      </c>
      <c r="G124" s="336" t="str">
        <f t="shared" si="18"/>
        <v>Yes</v>
      </c>
      <c r="H124" s="336" t="str">
        <f t="shared" si="19"/>
        <v>Yes</v>
      </c>
      <c r="I124" s="439">
        <f>SUMIF('Diags Raw Data'!$A$6:$A$3791,"*"&amp;$A124&amp;"*",'Diags Raw Data'!$K$6:$K$3791)</f>
        <v>1</v>
      </c>
      <c r="J124" s="441">
        <f>SUMIF('Diags Raw Data'!$A$6:$A$3791,"*"&amp;$A124&amp;"*",'Diags Raw Data'!$L$6:$L$3791)</f>
        <v>1</v>
      </c>
      <c r="K124" s="486" cm="1">
        <f t="array" ref="K124">IF(D124="",0, SUMPRODUCT(--(ISNUMBER(SEARCH($A124,'Diags Raw Data'!$A$6:$A$3791))),'Diags Raw Data'!$L$6:$L$3791,'Diags Raw Data'!$N$6:$N$3791)/J124)</f>
        <v>1</v>
      </c>
      <c r="L124" s="487" cm="1">
        <f t="array" ref="L124">IF(D124="",0, SUMPRODUCT(--(ISNUMBER(SEARCH($A124,'Diags Raw Data'!$A$6:$A$3791))),'Diags Raw Data'!$L$6:$L$3791,'Diags Raw Data'!$P$6:$P$3791)/J124)</f>
        <v>1</v>
      </c>
      <c r="M124" s="488" cm="1">
        <f t="array" ref="M124">SUMPRODUCT(--(ISNUMBER(SEARCH($A124,'Diags Raw Data'!$A$6:$A$3791))),--('Diags Raw Data'!$Q$6:$Q$3791&lt;&gt;"N/A"),'Diags Raw Data'!$R$6:$R$3791)</f>
        <v>1</v>
      </c>
      <c r="N124" s="489" cm="1">
        <f t="array" ref="N124">SUMPRODUCT(--(ISNUMBER(SEARCH($A124,'Diags Raw Data'!$A$6:$A$3791))),--('Diags Raw Data'!$Q$6:$Q$3791&lt;&gt;"N/A"),'Diags Raw Data'!$T$6:$T$3791)+SUMPRODUCT(--(ISNUMBER(SEARCH($A124,'Diags Raw Data'!$A$6:$A$3791))),--('Diags Raw Data'!$Q$6:$Q$3791&lt;&gt;"N/A"),'Diags Raw Data'!$U$6:$U$3791)</f>
        <v>1</v>
      </c>
      <c r="O124" s="490">
        <f t="shared" si="2"/>
        <v>1</v>
      </c>
      <c r="P124" s="491">
        <f>SUMIF('Diags Raw Data'!$A$6:$A$3791,"*"&amp;$A124&amp;"*",'Diags Raw Data'!$Z$6:$Z$3791)</f>
        <v>0</v>
      </c>
      <c r="Q124" s="492">
        <f>SUM(SUMIF('Diags Raw Data'!$A$6:$A$3791,"*"&amp;$A124&amp;"*",'Diags Raw Data'!$AA$6:$AA$3791),SUMIF('Diags Raw Data'!$A$6:$A$3791,"*"&amp;$A124&amp;"*",'Diags Raw Data'!$AB$6:$AB$3791))</f>
        <v>0</v>
      </c>
      <c r="R124" s="493">
        <f t="shared" si="3"/>
        <v>0</v>
      </c>
      <c r="S124" s="493">
        <f t="shared" si="4"/>
        <v>0</v>
      </c>
      <c r="T124" s="494">
        <f t="shared" si="5"/>
        <v>0</v>
      </c>
      <c r="U124" s="442" t="s">
        <v>1133</v>
      </c>
      <c r="V124" s="182"/>
    </row>
    <row r="125" spans="1:22">
      <c r="A125" s="584" t="s">
        <v>561</v>
      </c>
      <c r="B125" s="438" t="str">
        <f>VLOOKUP(A125,'Feature Raw Data'!$A$3:$B$4004,2,FALSE)</f>
        <v>DCN4.125 - Post-scaler csc</v>
      </c>
      <c r="C125" s="439" t="str">
        <f>VLOOKUP(A125,'Feature Raw Data'!$A$3:$C$4004,3,FALSE)</f>
        <v>P2</v>
      </c>
      <c r="D125" s="440" t="str" cm="1">
        <f t="array" ref="D125">_xlfn.TEXTJOIN("",TRUE,IF(ISNUMBER(SEARCH($A125,'Diags Raw Data'!$A$6:$A$3791)),CONCATENATE('Diags Raw Data'!$H$6:$H$3791,", "),""))</f>
        <v xml:space="preserve">DPP049, DPP050, </v>
      </c>
      <c r="E125" s="336" t="e">
        <f>VLOOKUP(A125,'Diags Raw Data'!$A$6:$D$3791,4,FALSE)</f>
        <v>#N/A</v>
      </c>
      <c r="F125" s="336" t="str">
        <f>VLOOKUP(A125,'Feature Raw Data'!$A$3:$E$4004,5,FALSE)</f>
        <v>Legacy</v>
      </c>
      <c r="G125" s="336" t="str">
        <f t="shared" si="18"/>
        <v>Yes</v>
      </c>
      <c r="H125" s="336" t="str">
        <f t="shared" si="19"/>
        <v>Yes</v>
      </c>
      <c r="I125" s="439">
        <f>SUMIF('Diags Raw Data'!$A$6:$A$3791,"*"&amp;$A125&amp;"*",'Diags Raw Data'!$K$6:$K$3791)</f>
        <v>2</v>
      </c>
      <c r="J125" s="441">
        <f>SUMIF('Diags Raw Data'!$A$6:$A$3791,"*"&amp;$A125&amp;"*",'Diags Raw Data'!$L$6:$L$3791)</f>
        <v>10</v>
      </c>
      <c r="K125" s="486" cm="1">
        <f t="array" ref="K125">IF(D125="",0, SUMPRODUCT(--(ISNUMBER(SEARCH($A125,'Diags Raw Data'!$A$6:$A$3791))),'Diags Raw Data'!$L$6:$L$3791,'Diags Raw Data'!$N$6:$N$3791)/J125)</f>
        <v>1</v>
      </c>
      <c r="L125" s="487" cm="1">
        <f t="array" ref="L125">IF(D125="",0, SUMPRODUCT(--(ISNUMBER(SEARCH($A125,'Diags Raw Data'!$A$6:$A$3791))),'Diags Raw Data'!$L$6:$L$3791,'Diags Raw Data'!$P$6:$P$3791)/J125)</f>
        <v>1</v>
      </c>
      <c r="M125" s="488" cm="1">
        <f t="array" ref="M125">SUMPRODUCT(--(ISNUMBER(SEARCH($A125,'Diags Raw Data'!$A$6:$A$3791))),--('Diags Raw Data'!$Q$6:$Q$3791&lt;&gt;"N/A"),'Diags Raw Data'!$R$6:$R$3791)</f>
        <v>2</v>
      </c>
      <c r="N125" s="489" cm="1">
        <f t="array" ref="N125">SUMPRODUCT(--(ISNUMBER(SEARCH($A125,'Diags Raw Data'!$A$6:$A$3791))),--('Diags Raw Data'!$Q$6:$Q$3791&lt;&gt;"N/A"),'Diags Raw Data'!$T$6:$T$3791)+SUMPRODUCT(--(ISNUMBER(SEARCH($A125,'Diags Raw Data'!$A$6:$A$3791))),--('Diags Raw Data'!$Q$6:$Q$3791&lt;&gt;"N/A"),'Diags Raw Data'!$U$6:$U$3791)</f>
        <v>2</v>
      </c>
      <c r="O125" s="490">
        <f t="shared" si="2"/>
        <v>1</v>
      </c>
      <c r="P125" s="491">
        <f>SUMIF('Diags Raw Data'!$A$6:$A$3791,"*"&amp;$A125&amp;"*",'Diags Raw Data'!$Z$6:$Z$3791)</f>
        <v>0</v>
      </c>
      <c r="Q125" s="492">
        <f>SUM(SUMIF('Diags Raw Data'!$A$6:$A$3791,"*"&amp;$A125&amp;"*",'Diags Raw Data'!$AA$6:$AA$3791),SUMIF('Diags Raw Data'!$A$6:$A$3791,"*"&amp;$A125&amp;"*",'Diags Raw Data'!$AB$6:$AB$3791))</f>
        <v>0</v>
      </c>
      <c r="R125" s="493">
        <f t="shared" si="3"/>
        <v>0</v>
      </c>
      <c r="S125" s="493">
        <f t="shared" si="4"/>
        <v>0</v>
      </c>
      <c r="T125" s="494">
        <f t="shared" si="5"/>
        <v>0</v>
      </c>
      <c r="U125" s="442" t="s">
        <v>1133</v>
      </c>
      <c r="V125" s="182"/>
    </row>
    <row r="126" spans="1:22">
      <c r="A126" s="584" t="s">
        <v>563</v>
      </c>
      <c r="B126" s="438" t="str">
        <f>VLOOKUP(A126,'Feature Raw Data'!$A$3:$B$4004,2,FALSE)</f>
        <v>DCN4.126 - Pre-realpha</v>
      </c>
      <c r="C126" s="439" t="str">
        <f>VLOOKUP(A126,'Feature Raw Data'!$A$3:$C$4004,3,FALSE)</f>
        <v>P2</v>
      </c>
      <c r="D126" s="440" t="str" cm="1">
        <f t="array" ref="D126">_xlfn.TEXTJOIN("",TRUE,IF(ISNUMBER(SEARCH($A126,'Diags Raw Data'!$A$6:$A$3791)),CONCATENATE('Diags Raw Data'!$H$6:$H$3791,", "),""))</f>
        <v xml:space="preserve">DPP052, </v>
      </c>
      <c r="E126" s="336" t="e">
        <f>VLOOKUP(A126,'Diags Raw Data'!$A$6:$D$3791,4,FALSE)</f>
        <v>#N/A</v>
      </c>
      <c r="F126" s="336" t="str">
        <f>VLOOKUP(A126,'Feature Raw Data'!$A$3:$E$4004,5,FALSE)</f>
        <v>Legacy</v>
      </c>
      <c r="G126" s="336" t="str">
        <f t="shared" si="18"/>
        <v>Yes</v>
      </c>
      <c r="H126" s="336" t="str">
        <f t="shared" si="19"/>
        <v>Yes</v>
      </c>
      <c r="I126" s="439">
        <f>SUMIF('Diags Raw Data'!$A$6:$A$3791,"*"&amp;$A126&amp;"*",'Diags Raw Data'!$K$6:$K$3791)</f>
        <v>1</v>
      </c>
      <c r="J126" s="441">
        <f>SUMIF('Diags Raw Data'!$A$6:$A$3791,"*"&amp;$A126&amp;"*",'Diags Raw Data'!$L$6:$L$3791)</f>
        <v>2</v>
      </c>
      <c r="K126" s="486" cm="1">
        <f t="array" ref="K126">IF(D126="",0, SUMPRODUCT(--(ISNUMBER(SEARCH($A126,'Diags Raw Data'!$A$6:$A$3791))),'Diags Raw Data'!$L$6:$L$3791,'Diags Raw Data'!$N$6:$N$3791)/J126)</f>
        <v>1</v>
      </c>
      <c r="L126" s="487" cm="1">
        <f t="array" ref="L126">IF(D126="",0, SUMPRODUCT(--(ISNUMBER(SEARCH($A126,'Diags Raw Data'!$A$6:$A$3791))),'Diags Raw Data'!$L$6:$L$3791,'Diags Raw Data'!$P$6:$P$3791)/J126)</f>
        <v>1</v>
      </c>
      <c r="M126" s="488" cm="1">
        <f t="array" ref="M126">SUMPRODUCT(--(ISNUMBER(SEARCH($A126,'Diags Raw Data'!$A$6:$A$3791))),--('Diags Raw Data'!$Q$6:$Q$3791&lt;&gt;"N/A"),'Diags Raw Data'!$R$6:$R$3791)</f>
        <v>1</v>
      </c>
      <c r="N126" s="489" cm="1">
        <f t="array" ref="N126">SUMPRODUCT(--(ISNUMBER(SEARCH($A126,'Diags Raw Data'!$A$6:$A$3791))),--('Diags Raw Data'!$Q$6:$Q$3791&lt;&gt;"N/A"),'Diags Raw Data'!$T$6:$T$3791)+SUMPRODUCT(--(ISNUMBER(SEARCH($A126,'Diags Raw Data'!$A$6:$A$3791))),--('Diags Raw Data'!$Q$6:$Q$3791&lt;&gt;"N/A"),'Diags Raw Data'!$U$6:$U$3791)</f>
        <v>1</v>
      </c>
      <c r="O126" s="490">
        <f t="shared" si="2"/>
        <v>1</v>
      </c>
      <c r="P126" s="491">
        <f>SUMIF('Diags Raw Data'!$A$6:$A$3791,"*"&amp;$A126&amp;"*",'Diags Raw Data'!$Z$6:$Z$3791)</f>
        <v>0</v>
      </c>
      <c r="Q126" s="492">
        <f>SUM(SUMIF('Diags Raw Data'!$A$6:$A$3791,"*"&amp;$A126&amp;"*",'Diags Raw Data'!$AA$6:$AA$3791),SUMIF('Diags Raw Data'!$A$6:$A$3791,"*"&amp;$A126&amp;"*",'Diags Raw Data'!$AB$6:$AB$3791))</f>
        <v>0</v>
      </c>
      <c r="R126" s="493">
        <f t="shared" si="3"/>
        <v>0</v>
      </c>
      <c r="S126" s="493">
        <f t="shared" si="4"/>
        <v>0</v>
      </c>
      <c r="T126" s="494">
        <f t="shared" si="5"/>
        <v>0</v>
      </c>
      <c r="U126" s="442" t="s">
        <v>1137</v>
      </c>
      <c r="V126" s="182"/>
    </row>
    <row r="127" spans="1:22">
      <c r="A127" s="584" t="s">
        <v>565</v>
      </c>
      <c r="B127" s="438" t="str">
        <f>VLOOKUP(A127,'Feature Raw Data'!$A$3:$B$4004,2,FALSE)</f>
        <v>DCN4.127 - Gamma correction</v>
      </c>
      <c r="C127" s="439" t="str">
        <f>VLOOKUP(A127,'Feature Raw Data'!$A$3:$C$4004,3,FALSE)</f>
        <v>P2</v>
      </c>
      <c r="D127" s="440" t="str" cm="1">
        <f t="array" ref="D127">_xlfn.TEXTJOIN("",TRUE,IF(ISNUMBER(SEARCH($A127,'Diags Raw Data'!$A$6:$A$3791)),CONCATENATE('Diags Raw Data'!$H$6:$H$3791,", "),""))</f>
        <v xml:space="preserve">DPP053, </v>
      </c>
      <c r="E127" s="336" t="str">
        <f>VLOOKUP(A127,'Diags Raw Data'!$A$6:$D$3791,4,FALSE)</f>
        <v>DPP</v>
      </c>
      <c r="F127" s="336" t="str">
        <f>VLOOKUP(A127,'Feature Raw Data'!$A$3:$E$4004,5,FALSE)</f>
        <v>Legacy</v>
      </c>
      <c r="G127" s="336" t="str">
        <f t="shared" si="18"/>
        <v>Yes</v>
      </c>
      <c r="H127" s="336" t="str">
        <f t="shared" si="19"/>
        <v>Yes</v>
      </c>
      <c r="I127" s="439">
        <f>SUMIF('Diags Raw Data'!$A$6:$A$3791,"*"&amp;$A127&amp;"*",'Diags Raw Data'!$K$6:$K$3791)</f>
        <v>1</v>
      </c>
      <c r="J127" s="441">
        <f>SUMIF('Diags Raw Data'!$A$6:$A$3791,"*"&amp;$A127&amp;"*",'Diags Raw Data'!$L$6:$L$3791)</f>
        <v>16</v>
      </c>
      <c r="K127" s="486" cm="1">
        <f t="array" ref="K127">IF(D127="",0, SUMPRODUCT(--(ISNUMBER(SEARCH($A127,'Diags Raw Data'!$A$6:$A$3791))),'Diags Raw Data'!$L$6:$L$3791,'Diags Raw Data'!$N$6:$N$3791)/J127)</f>
        <v>1</v>
      </c>
      <c r="L127" s="487" cm="1">
        <f t="array" ref="L127">IF(D127="",0, SUMPRODUCT(--(ISNUMBER(SEARCH($A127,'Diags Raw Data'!$A$6:$A$3791))),'Diags Raw Data'!$L$6:$L$3791,'Diags Raw Data'!$P$6:$P$3791)/J127)</f>
        <v>1</v>
      </c>
      <c r="M127" s="488" cm="1">
        <f t="array" ref="M127">SUMPRODUCT(--(ISNUMBER(SEARCH($A127,'Diags Raw Data'!$A$6:$A$3791))),--('Diags Raw Data'!$Q$6:$Q$3791&lt;&gt;"N/A"),'Diags Raw Data'!$R$6:$R$3791)</f>
        <v>1</v>
      </c>
      <c r="N127" s="489" cm="1">
        <f t="array" ref="N127">SUMPRODUCT(--(ISNUMBER(SEARCH($A127,'Diags Raw Data'!$A$6:$A$3791))),--('Diags Raw Data'!$Q$6:$Q$3791&lt;&gt;"N/A"),'Diags Raw Data'!$T$6:$T$3791)+SUMPRODUCT(--(ISNUMBER(SEARCH($A127,'Diags Raw Data'!$A$6:$A$3791))),--('Diags Raw Data'!$Q$6:$Q$3791&lt;&gt;"N/A"),'Diags Raw Data'!$U$6:$U$3791)</f>
        <v>1</v>
      </c>
      <c r="O127" s="490">
        <f t="shared" si="2"/>
        <v>1</v>
      </c>
      <c r="P127" s="491">
        <f>SUMIF('Diags Raw Data'!$A$6:$A$3791,"*"&amp;$A127&amp;"*",'Diags Raw Data'!$Z$6:$Z$3791)</f>
        <v>0</v>
      </c>
      <c r="Q127" s="492">
        <f>SUM(SUMIF('Diags Raw Data'!$A$6:$A$3791,"*"&amp;$A127&amp;"*",'Diags Raw Data'!$AA$6:$AA$3791),SUMIF('Diags Raw Data'!$A$6:$A$3791,"*"&amp;$A127&amp;"*",'Diags Raw Data'!$AB$6:$AB$3791))</f>
        <v>0</v>
      </c>
      <c r="R127" s="493">
        <f t="shared" si="3"/>
        <v>0</v>
      </c>
      <c r="S127" s="493">
        <f t="shared" si="4"/>
        <v>0</v>
      </c>
      <c r="T127" s="494">
        <f t="shared" si="5"/>
        <v>0</v>
      </c>
      <c r="U127" s="442" t="s">
        <v>1131</v>
      </c>
      <c r="V127" s="182"/>
    </row>
    <row r="128" spans="1:22">
      <c r="A128" s="584" t="s">
        <v>567</v>
      </c>
      <c r="B128" s="438" t="str">
        <f>VLOOKUP(A128,'Feature Raw Data'!$A$3:$B$4004,2,FALSE)</f>
        <v>DCN4.128 - Larger viewport size</v>
      </c>
      <c r="C128" s="439" t="str">
        <f>VLOOKUP(A128,'Feature Raw Data'!$A$3:$C$4004,3,FALSE)</f>
        <v>P2</v>
      </c>
      <c r="D128" s="440" t="str" cm="1">
        <f t="array" ref="D128">_xlfn.TEXTJOIN("",TRUE,IF(ISNUMBER(SEARCH($A128,'Diags Raw Data'!$A$6:$A$3791)),CONCATENATE('Diags Raw Data'!$H$6:$H$3791,", "),""))</f>
        <v xml:space="preserve">DCHB007, </v>
      </c>
      <c r="E128" s="336" t="e">
        <f>VLOOKUP(A128,'Diags Raw Data'!$A$6:$D$3791,4,FALSE)</f>
        <v>#N/A</v>
      </c>
      <c r="F128" s="336" t="str">
        <f>VLOOKUP(A128,'Feature Raw Data'!$A$3:$E$4004,5,FALSE)</f>
        <v>Legacy</v>
      </c>
      <c r="G128" s="336" t="str">
        <f t="shared" si="18"/>
        <v>Yes</v>
      </c>
      <c r="H128" s="336" t="str">
        <f t="shared" si="19"/>
        <v>Yes</v>
      </c>
      <c r="I128" s="439">
        <f>SUMIF('Diags Raw Data'!$A$6:$A$3791,"*"&amp;$A128&amp;"*",'Diags Raw Data'!$K$6:$K$3791)</f>
        <v>1</v>
      </c>
      <c r="J128" s="441">
        <f>SUMIF('Diags Raw Data'!$A$6:$A$3791,"*"&amp;$A128&amp;"*",'Diags Raw Data'!$L$6:$L$3791)</f>
        <v>11</v>
      </c>
      <c r="K128" s="486" cm="1">
        <f t="array" ref="K128">IF(D128="",0, SUMPRODUCT(--(ISNUMBER(SEARCH($A128,'Diags Raw Data'!$A$6:$A$3791))),'Diags Raw Data'!$L$6:$L$3791,'Diags Raw Data'!$N$6:$N$3791)/J128)</f>
        <v>1</v>
      </c>
      <c r="L128" s="487" cm="1">
        <f t="array" ref="L128">IF(D128="",0, SUMPRODUCT(--(ISNUMBER(SEARCH($A128,'Diags Raw Data'!$A$6:$A$3791))),'Diags Raw Data'!$L$6:$L$3791,'Diags Raw Data'!$P$6:$P$3791)/J128)</f>
        <v>1</v>
      </c>
      <c r="M128" s="488" cm="1">
        <f t="array" ref="M128">SUMPRODUCT(--(ISNUMBER(SEARCH($A128,'Diags Raw Data'!$A$6:$A$3791))),--('Diags Raw Data'!$Q$6:$Q$3791&lt;&gt;"N/A"),'Diags Raw Data'!$R$6:$R$3791)</f>
        <v>11</v>
      </c>
      <c r="N128" s="489" cm="1">
        <f t="array" ref="N128">SUMPRODUCT(--(ISNUMBER(SEARCH($A128,'Diags Raw Data'!$A$6:$A$3791))),--('Diags Raw Data'!$Q$6:$Q$3791&lt;&gt;"N/A"),'Diags Raw Data'!$T$6:$T$3791)+SUMPRODUCT(--(ISNUMBER(SEARCH($A128,'Diags Raw Data'!$A$6:$A$3791))),--('Diags Raw Data'!$Q$6:$Q$3791&lt;&gt;"N/A"),'Diags Raw Data'!$U$6:$U$3791)</f>
        <v>11</v>
      </c>
      <c r="O128" s="490">
        <f t="shared" si="2"/>
        <v>1</v>
      </c>
      <c r="P128" s="491">
        <f>SUMIF('Diags Raw Data'!$A$6:$A$3791,"*"&amp;$A128&amp;"*",'Diags Raw Data'!$Z$6:$Z$3791)</f>
        <v>0</v>
      </c>
      <c r="Q128" s="492">
        <f>SUM(SUMIF('Diags Raw Data'!$A$6:$A$3791,"*"&amp;$A128&amp;"*",'Diags Raw Data'!$AA$6:$AA$3791),SUMIF('Diags Raw Data'!$A$6:$A$3791,"*"&amp;$A128&amp;"*",'Diags Raw Data'!$AB$6:$AB$3791))</f>
        <v>0</v>
      </c>
      <c r="R128" s="493">
        <f t="shared" si="3"/>
        <v>0</v>
      </c>
      <c r="S128" s="493">
        <f t="shared" si="4"/>
        <v>0</v>
      </c>
      <c r="T128" s="494">
        <f t="shared" si="5"/>
        <v>0</v>
      </c>
      <c r="U128" s="442" t="s">
        <v>1136</v>
      </c>
      <c r="V128" s="182"/>
    </row>
    <row r="129" spans="1:22" hidden="1">
      <c r="A129" s="584" t="s">
        <v>569</v>
      </c>
      <c r="B129" s="438" t="str">
        <f>VLOOKUP(A129,'Feature Raw Data'!$A$3:$B$4004,2,FALSE)</f>
        <v>DCN4.129 - Dcc</v>
      </c>
      <c r="C129" s="439" t="str">
        <f>VLOOKUP(A129,'Feature Raw Data'!$A$3:$C$4004,3,FALSE)</f>
        <v>P2</v>
      </c>
      <c r="D129" s="440" t="str" cm="1">
        <f t="array" ref="D129">_xlfn.TEXTJOIN("",TRUE,IF(ISNUMBER(SEARCH($A129,'Diags Raw Data'!$A$6:$A$3791)),CONCATENATE('Diags Raw Data'!$H$6:$H$3791,", "),""))</f>
        <v/>
      </c>
      <c r="E129" s="336" t="e">
        <f>VLOOKUP(A129,'Diags Raw Data'!$A$6:$D$3791,4,FALSE)</f>
        <v>#N/A</v>
      </c>
      <c r="F129" s="336" t="str">
        <f>VLOOKUP(A129,'Feature Raw Data'!$A$3:$E$4004,5,FALSE)</f>
        <v>Legacy</v>
      </c>
      <c r="G129" s="336" t="str">
        <f t="shared" si="18"/>
        <v>No</v>
      </c>
      <c r="H129" s="336" t="str">
        <f t="shared" si="19"/>
        <v>No</v>
      </c>
      <c r="I129" s="439">
        <f>SUMIF('Diags Raw Data'!$A$6:$A$3791,"*"&amp;$A129&amp;"*",'Diags Raw Data'!$K$6:$K$3791)</f>
        <v>0</v>
      </c>
      <c r="J129" s="441">
        <f>SUMIF('Diags Raw Data'!$A$6:$A$3791,"*"&amp;$A129&amp;"*",'Diags Raw Data'!$L$6:$L$3791)</f>
        <v>0</v>
      </c>
      <c r="K129" s="486" cm="1">
        <f t="array" ref="K129">IF(D129="",0, SUMPRODUCT(--(ISNUMBER(SEARCH($A129,'Diags Raw Data'!$A$6:$A$3791))),'Diags Raw Data'!$L$6:$L$3791,'Diags Raw Data'!$N$6:$N$3791)/J129)</f>
        <v>0</v>
      </c>
      <c r="L129" s="487" cm="1">
        <f t="array" ref="L129">IF(D129="",0, SUMPRODUCT(--(ISNUMBER(SEARCH($A129,'Diags Raw Data'!$A$6:$A$3791))),'Diags Raw Data'!$L$6:$L$3791,'Diags Raw Data'!$P$6:$P$3791)/J129)</f>
        <v>0</v>
      </c>
      <c r="M129" s="488" cm="1">
        <f t="array" ref="M129">SUMPRODUCT(--(ISNUMBER(SEARCH($A129,'Diags Raw Data'!$A$6:$A$3791))),--('Diags Raw Data'!$Q$6:$Q$3791&lt;&gt;"N/A"),'Diags Raw Data'!$R$6:$R$3791)</f>
        <v>0</v>
      </c>
      <c r="N129" s="489" cm="1">
        <f t="array" ref="N129">SUMPRODUCT(--(ISNUMBER(SEARCH($A129,'Diags Raw Data'!$A$6:$A$3791))),--('Diags Raw Data'!$Q$6:$Q$3791&lt;&gt;"N/A"),'Diags Raw Data'!$T$6:$T$3791)+SUMPRODUCT(--(ISNUMBER(SEARCH($A129,'Diags Raw Data'!$A$6:$A$3791))),--('Diags Raw Data'!$Q$6:$Q$3791&lt;&gt;"N/A"),'Diags Raw Data'!$U$6:$U$3791)</f>
        <v>0</v>
      </c>
      <c r="O129" s="490">
        <f t="shared" si="2"/>
        <v>0</v>
      </c>
      <c r="P129" s="491">
        <f>SUMIF('Diags Raw Data'!$A$6:$A$3791,"*"&amp;$A129&amp;"*",'Diags Raw Data'!$Z$6:$Z$3791)</f>
        <v>0</v>
      </c>
      <c r="Q129" s="492">
        <f>SUM(SUMIF('Diags Raw Data'!$A$6:$A$3791,"*"&amp;$A129&amp;"*",'Diags Raw Data'!$AA$6:$AA$3791),SUMIF('Diags Raw Data'!$A$6:$A$3791,"*"&amp;$A129&amp;"*",'Diags Raw Data'!$AB$6:$AB$3791))</f>
        <v>0</v>
      </c>
      <c r="R129" s="493">
        <f t="shared" si="3"/>
        <v>0</v>
      </c>
      <c r="S129" s="493">
        <f t="shared" si="4"/>
        <v>0</v>
      </c>
      <c r="T129" s="494">
        <f t="shared" si="5"/>
        <v>0</v>
      </c>
      <c r="U129" s="442" t="s">
        <v>1133</v>
      </c>
      <c r="V129" s="182"/>
    </row>
    <row r="130" spans="1:22" hidden="1">
      <c r="A130" s="584" t="s">
        <v>571</v>
      </c>
      <c r="B130" s="438" t="str">
        <f>VLOOKUP(A130,'Feature Raw Data'!$A$3:$B$4004,2,FALSE)</f>
        <v>DCN4.130 - Mpc 3dlut</v>
      </c>
      <c r="C130" s="439" t="str">
        <f>VLOOKUP(A130,'Feature Raw Data'!$A$3:$C$4004,3,FALSE)</f>
        <v>P2</v>
      </c>
      <c r="D130" s="440" t="str" cm="1">
        <f t="array" ref="D130">_xlfn.TEXTJOIN("",TRUE,IF(ISNUMBER(SEARCH($A130,'Diags Raw Data'!$A$6:$A$3791)),CONCATENATE('Diags Raw Data'!$H$6:$H$3791,", "),""))</f>
        <v/>
      </c>
      <c r="E130" s="336" t="e">
        <f>VLOOKUP(A130,'Diags Raw Data'!$A$6:$D$3791,4,FALSE)</f>
        <v>#N/A</v>
      </c>
      <c r="F130" s="336" t="str">
        <f>VLOOKUP(A130,'Feature Raw Data'!$A$3:$E$4004,5,FALSE)</f>
        <v>Delta</v>
      </c>
      <c r="G130" s="336" t="str">
        <f t="shared" si="18"/>
        <v>No</v>
      </c>
      <c r="H130" s="336" t="str">
        <f t="shared" si="19"/>
        <v>No</v>
      </c>
      <c r="I130" s="439">
        <f>SUMIF('Diags Raw Data'!$A$6:$A$3791,"*"&amp;$A130&amp;"*",'Diags Raw Data'!$K$6:$K$3791)</f>
        <v>0</v>
      </c>
      <c r="J130" s="441">
        <f>SUMIF('Diags Raw Data'!$A$6:$A$3791,"*"&amp;$A130&amp;"*",'Diags Raw Data'!$L$6:$L$3791)</f>
        <v>0</v>
      </c>
      <c r="K130" s="486" cm="1">
        <f t="array" ref="K130">IF(D130="",0, SUMPRODUCT(--(ISNUMBER(SEARCH($A130,'Diags Raw Data'!$A$6:$A$3791))),'Diags Raw Data'!$L$6:$L$3791,'Diags Raw Data'!$N$6:$N$3791)/J130)</f>
        <v>0</v>
      </c>
      <c r="L130" s="487" cm="1">
        <f t="array" ref="L130">IF(D130="",0, SUMPRODUCT(--(ISNUMBER(SEARCH($A130,'Diags Raw Data'!$A$6:$A$3791))),'Diags Raw Data'!$L$6:$L$3791,'Diags Raw Data'!$P$6:$P$3791)/J130)</f>
        <v>0</v>
      </c>
      <c r="M130" s="488" cm="1">
        <f t="array" ref="M130">SUMPRODUCT(--(ISNUMBER(SEARCH($A130,'Diags Raw Data'!$A$6:$A$3791))),--('Diags Raw Data'!$Q$6:$Q$3791&lt;&gt;"N/A"),'Diags Raw Data'!$R$6:$R$3791)</f>
        <v>0</v>
      </c>
      <c r="N130" s="489" cm="1">
        <f t="array" ref="N130">SUMPRODUCT(--(ISNUMBER(SEARCH($A130,'Diags Raw Data'!$A$6:$A$3791))),--('Diags Raw Data'!$Q$6:$Q$3791&lt;&gt;"N/A"),'Diags Raw Data'!$T$6:$T$3791)+SUMPRODUCT(--(ISNUMBER(SEARCH($A130,'Diags Raw Data'!$A$6:$A$3791))),--('Diags Raw Data'!$Q$6:$Q$3791&lt;&gt;"N/A"),'Diags Raw Data'!$U$6:$U$3791)</f>
        <v>0</v>
      </c>
      <c r="O130" s="490">
        <f t="shared" si="2"/>
        <v>0</v>
      </c>
      <c r="P130" s="491">
        <f>SUMIF('Diags Raw Data'!$A$6:$A$3791,"*"&amp;$A130&amp;"*",'Diags Raw Data'!$Z$6:$Z$3791)</f>
        <v>0</v>
      </c>
      <c r="Q130" s="492">
        <f>SUM(SUMIF('Diags Raw Data'!$A$6:$A$3791,"*"&amp;$A130&amp;"*",'Diags Raw Data'!$AA$6:$AA$3791),SUMIF('Diags Raw Data'!$A$6:$A$3791,"*"&amp;$A130&amp;"*",'Diags Raw Data'!$AB$6:$AB$3791))</f>
        <v>0</v>
      </c>
      <c r="R130" s="493">
        <f t="shared" si="3"/>
        <v>0</v>
      </c>
      <c r="S130" s="493">
        <f t="shared" si="4"/>
        <v>0</v>
      </c>
      <c r="T130" s="494">
        <f t="shared" si="5"/>
        <v>0</v>
      </c>
      <c r="U130" s="442" t="s">
        <v>1134</v>
      </c>
      <c r="V130" s="182"/>
    </row>
    <row r="131" spans="1:22">
      <c r="A131" s="584" t="s">
        <v>573</v>
      </c>
      <c r="B131" s="438" t="str">
        <f>VLOOKUP(A131,'Feature Raw Data'!$A$3:$B$4004,2,FALSE)</f>
        <v>DCN4.131 - 2 dscl configurable filter kernels</v>
      </c>
      <c r="C131" s="439" t="str">
        <f>VLOOKUP(A131,'Feature Raw Data'!$A$3:$C$4004,3,FALSE)</f>
        <v>P2</v>
      </c>
      <c r="D131" s="440" t="str" cm="1">
        <f t="array" ref="D131">_xlfn.TEXTJOIN("",TRUE,IF(ISNUMBER(SEARCH($A131,'Diags Raw Data'!$A$6:$A$3791)),CONCATENATE('Diags Raw Data'!$H$6:$H$3791,", "),""))</f>
        <v xml:space="preserve">DPP008, </v>
      </c>
      <c r="E131" s="336" t="str">
        <f>VLOOKUP(A131,'Diags Raw Data'!$A$6:$D$3791,4,FALSE)</f>
        <v>DPP</v>
      </c>
      <c r="F131" s="336" t="str">
        <f>VLOOKUP(A131,'Feature Raw Data'!$A$3:$E$4004,5,FALSE)</f>
        <v>Legacy</v>
      </c>
      <c r="G131" s="336" t="str">
        <f t="shared" si="18"/>
        <v>Yes</v>
      </c>
      <c r="H131" s="336" t="str">
        <f t="shared" si="19"/>
        <v>Yes</v>
      </c>
      <c r="I131" s="439">
        <f>SUMIF('Diags Raw Data'!$A$6:$A$3791,"*"&amp;$A131&amp;"*",'Diags Raw Data'!$K$6:$K$3791)</f>
        <v>1</v>
      </c>
      <c r="J131" s="441">
        <f>SUMIF('Diags Raw Data'!$A$6:$A$3791,"*"&amp;$A131&amp;"*",'Diags Raw Data'!$L$6:$L$3791)</f>
        <v>2</v>
      </c>
      <c r="K131" s="486" cm="1">
        <f t="array" ref="K131">IF(D131="",0, SUMPRODUCT(--(ISNUMBER(SEARCH($A131,'Diags Raw Data'!$A$6:$A$3791))),'Diags Raw Data'!$L$6:$L$3791,'Diags Raw Data'!$N$6:$N$3791)/J131)</f>
        <v>1</v>
      </c>
      <c r="L131" s="487" cm="1">
        <f t="array" ref="L131">IF(D131="",0, SUMPRODUCT(--(ISNUMBER(SEARCH($A131,'Diags Raw Data'!$A$6:$A$3791))),'Diags Raw Data'!$L$6:$L$3791,'Diags Raw Data'!$P$6:$P$3791)/J131)</f>
        <v>1</v>
      </c>
      <c r="M131" s="488" cm="1">
        <f t="array" ref="M131">SUMPRODUCT(--(ISNUMBER(SEARCH($A131,'Diags Raw Data'!$A$6:$A$3791))),--('Diags Raw Data'!$Q$6:$Q$3791&lt;&gt;"N/A"),'Diags Raw Data'!$R$6:$R$3791)</f>
        <v>1</v>
      </c>
      <c r="N131" s="489" cm="1">
        <f t="array" ref="N131">SUMPRODUCT(--(ISNUMBER(SEARCH($A131,'Diags Raw Data'!$A$6:$A$3791))),--('Diags Raw Data'!$Q$6:$Q$3791&lt;&gt;"N/A"),'Diags Raw Data'!$T$6:$T$3791)+SUMPRODUCT(--(ISNUMBER(SEARCH($A131,'Diags Raw Data'!$A$6:$A$3791))),--('Diags Raw Data'!$Q$6:$Q$3791&lt;&gt;"N/A"),'Diags Raw Data'!$U$6:$U$3791)</f>
        <v>1</v>
      </c>
      <c r="O131" s="490">
        <f t="shared" si="2"/>
        <v>1</v>
      </c>
      <c r="P131" s="491">
        <f>SUMIF('Diags Raw Data'!$A$6:$A$3791,"*"&amp;$A131&amp;"*",'Diags Raw Data'!$Z$6:$Z$3791)</f>
        <v>0</v>
      </c>
      <c r="Q131" s="492">
        <f>SUM(SUMIF('Diags Raw Data'!$A$6:$A$3791,"*"&amp;$A131&amp;"*",'Diags Raw Data'!$AA$6:$AA$3791),SUMIF('Diags Raw Data'!$A$6:$A$3791,"*"&amp;$A131&amp;"*",'Diags Raw Data'!$AB$6:$AB$3791))</f>
        <v>0</v>
      </c>
      <c r="R131" s="493">
        <f t="shared" si="3"/>
        <v>0</v>
      </c>
      <c r="S131" s="493">
        <f t="shared" si="4"/>
        <v>0</v>
      </c>
      <c r="T131" s="494">
        <f t="shared" si="5"/>
        <v>0</v>
      </c>
      <c r="U131" s="442" t="s">
        <v>1136</v>
      </c>
      <c r="V131" s="182"/>
    </row>
    <row r="132" spans="1:22" ht="17.25" customHeight="1">
      <c r="A132" s="584" t="s">
        <v>575</v>
      </c>
      <c r="B132" s="438" t="str">
        <f>VLOOKUP(A132,'Feature Raw Data'!$A$3:$B$4004,2,FALSE)</f>
        <v>DCN4.132 - Increased dscl line buffer size</v>
      </c>
      <c r="C132" s="439" t="str">
        <f>VLOOKUP(A132,'Feature Raw Data'!$A$3:$C$4004,3,FALSE)</f>
        <v>P2</v>
      </c>
      <c r="D132" s="440" t="str" cm="1">
        <f t="array" ref="D132">_xlfn.TEXTJOIN("",TRUE,IF(ISNUMBER(SEARCH($A132,'Diags Raw Data'!$A$6:$A$3791)),CONCATENATE('Diags Raw Data'!$H$6:$H$3791,", "),""))</f>
        <v xml:space="preserve">DPP010, </v>
      </c>
      <c r="E132" s="336" t="e">
        <f>VLOOKUP(A132,'Diags Raw Data'!$A$6:$D$3791,4,FALSE)</f>
        <v>#N/A</v>
      </c>
      <c r="F132" s="336" t="str">
        <f>VLOOKUP(A132,'Feature Raw Data'!$A$3:$E$4004,5,FALSE)</f>
        <v>Legacy</v>
      </c>
      <c r="G132" s="336" t="str">
        <f t="shared" si="18"/>
        <v>Yes</v>
      </c>
      <c r="H132" s="336" t="str">
        <f t="shared" si="19"/>
        <v>Yes</v>
      </c>
      <c r="I132" s="439">
        <f>SUMIF('Diags Raw Data'!$A$6:$A$3791,"*"&amp;$A132&amp;"*",'Diags Raw Data'!$K$6:$K$3791)</f>
        <v>1</v>
      </c>
      <c r="J132" s="441">
        <f>SUMIF('Diags Raw Data'!$A$6:$A$3791,"*"&amp;$A132&amp;"*",'Diags Raw Data'!$L$6:$L$3791)</f>
        <v>35</v>
      </c>
      <c r="K132" s="486" cm="1">
        <f t="array" ref="K132">IF(D132="",0, SUMPRODUCT(--(ISNUMBER(SEARCH($A132,'Diags Raw Data'!$A$6:$A$3791))),'Diags Raw Data'!$L$6:$L$3791,'Diags Raw Data'!$N$6:$N$3791)/J132)</f>
        <v>1</v>
      </c>
      <c r="L132" s="487" cm="1">
        <f t="array" ref="L132">IF(D132="",0, SUMPRODUCT(--(ISNUMBER(SEARCH($A132,'Diags Raw Data'!$A$6:$A$3791))),'Diags Raw Data'!$L$6:$L$3791,'Diags Raw Data'!$P$6:$P$3791)/J132)</f>
        <v>1</v>
      </c>
      <c r="M132" s="488" cm="1">
        <f t="array" ref="M132">SUMPRODUCT(--(ISNUMBER(SEARCH($A132,'Diags Raw Data'!$A$6:$A$3791))),--('Diags Raw Data'!$Q$6:$Q$3791&lt;&gt;"N/A"),'Diags Raw Data'!$R$6:$R$3791)</f>
        <v>35</v>
      </c>
      <c r="N132" s="489" cm="1">
        <f t="array" ref="N132">SUMPRODUCT(--(ISNUMBER(SEARCH($A132,'Diags Raw Data'!$A$6:$A$3791))),--('Diags Raw Data'!$Q$6:$Q$3791&lt;&gt;"N/A"),'Diags Raw Data'!$T$6:$T$3791)+SUMPRODUCT(--(ISNUMBER(SEARCH($A132,'Diags Raw Data'!$A$6:$A$3791))),--('Diags Raw Data'!$Q$6:$Q$3791&lt;&gt;"N/A"),'Diags Raw Data'!$U$6:$U$3791)</f>
        <v>34</v>
      </c>
      <c r="O132" s="490">
        <f t="shared" si="2"/>
        <v>0.97142857142857142</v>
      </c>
      <c r="P132" s="491">
        <f>SUMIF('Diags Raw Data'!$A$6:$A$3791,"*"&amp;$A132&amp;"*",'Diags Raw Data'!$Z$6:$Z$3791)</f>
        <v>0</v>
      </c>
      <c r="Q132" s="492">
        <f>SUM(SUMIF('Diags Raw Data'!$A$6:$A$3791,"*"&amp;$A132&amp;"*",'Diags Raw Data'!$AA$6:$AA$3791),SUMIF('Diags Raw Data'!$A$6:$A$3791,"*"&amp;$A132&amp;"*",'Diags Raw Data'!$AB$6:$AB$3791))</f>
        <v>0</v>
      </c>
      <c r="R132" s="493">
        <f t="shared" si="3"/>
        <v>0</v>
      </c>
      <c r="S132" s="493">
        <f t="shared" si="4"/>
        <v>0</v>
      </c>
      <c r="T132" s="494">
        <f t="shared" si="5"/>
        <v>0</v>
      </c>
      <c r="U132" s="442" t="s">
        <v>1136</v>
      </c>
      <c r="V132" s="182"/>
    </row>
    <row r="133" spans="1:22" hidden="1">
      <c r="A133" s="584" t="s">
        <v>577</v>
      </c>
      <c r="B133" s="438" t="str">
        <f>VLOOKUP(A133,'Feature Raw Data'!$A$3:$B$4004,2,FALSE)</f>
        <v>DCN4.133 - 1dlut</v>
      </c>
      <c r="C133" s="439" t="str">
        <f>VLOOKUP(A133,'Feature Raw Data'!$A$3:$C$4004,3,FALSE)</f>
        <v>P2</v>
      </c>
      <c r="D133" s="440" t="str" cm="1">
        <f t="array" ref="D133">_xlfn.TEXTJOIN("",TRUE,IF(ISNUMBER(SEARCH($A133,'Diags Raw Data'!$A$6:$A$3791)),CONCATENATE('Diags Raw Data'!$H$6:$H$3791,", "),""))</f>
        <v/>
      </c>
      <c r="E133" s="336" t="e">
        <f>VLOOKUP(A133,'Diags Raw Data'!$A$6:$D$3791,4,FALSE)</f>
        <v>#N/A</v>
      </c>
      <c r="F133" s="336" t="str">
        <f>VLOOKUP(A133,'Feature Raw Data'!$A$3:$E$4004,5,FALSE)</f>
        <v>Legacy</v>
      </c>
      <c r="G133" s="336" t="str">
        <f t="shared" si="18"/>
        <v>No</v>
      </c>
      <c r="H133" s="336" t="str">
        <f t="shared" si="19"/>
        <v>No</v>
      </c>
      <c r="I133" s="439">
        <f>SUMIF('Diags Raw Data'!$A$6:$A$3791,"*"&amp;$A133&amp;"*",'Diags Raw Data'!$K$6:$K$3791)</f>
        <v>0</v>
      </c>
      <c r="J133" s="441">
        <f>SUMIF('Diags Raw Data'!$A$6:$A$3791,"*"&amp;$A133&amp;"*",'Diags Raw Data'!$L$6:$L$3791)</f>
        <v>0</v>
      </c>
      <c r="K133" s="486" cm="1">
        <f t="array" ref="K133">IF(D133="",0, SUMPRODUCT(--(ISNUMBER(SEARCH($A133,'Diags Raw Data'!$A$6:$A$3791))),'Diags Raw Data'!$L$6:$L$3791,'Diags Raw Data'!$N$6:$N$3791)/J133)</f>
        <v>0</v>
      </c>
      <c r="L133" s="487" cm="1">
        <f t="array" ref="L133">IF(D133="",0, SUMPRODUCT(--(ISNUMBER(SEARCH($A133,'Diags Raw Data'!$A$6:$A$3791))),'Diags Raw Data'!$L$6:$L$3791,'Diags Raw Data'!$P$6:$P$3791)/J133)</f>
        <v>0</v>
      </c>
      <c r="M133" s="488" cm="1">
        <f t="array" ref="M133">SUMPRODUCT(--(ISNUMBER(SEARCH($A133,'Diags Raw Data'!$A$6:$A$3791))),--('Diags Raw Data'!$Q$6:$Q$3791&lt;&gt;"N/A"),'Diags Raw Data'!$R$6:$R$3791)</f>
        <v>0</v>
      </c>
      <c r="N133" s="489" cm="1">
        <f t="array" ref="N133">SUMPRODUCT(--(ISNUMBER(SEARCH($A133,'Diags Raw Data'!$A$6:$A$3791))),--('Diags Raw Data'!$Q$6:$Q$3791&lt;&gt;"N/A"),'Diags Raw Data'!$T$6:$T$3791)+SUMPRODUCT(--(ISNUMBER(SEARCH($A133,'Diags Raw Data'!$A$6:$A$3791))),--('Diags Raw Data'!$Q$6:$Q$3791&lt;&gt;"N/A"),'Diags Raw Data'!$U$6:$U$3791)</f>
        <v>0</v>
      </c>
      <c r="O133" s="490">
        <f t="shared" si="2"/>
        <v>0</v>
      </c>
      <c r="P133" s="491">
        <f>SUMIF('Diags Raw Data'!$A$6:$A$3791,"*"&amp;$A133&amp;"*",'Diags Raw Data'!$Z$6:$Z$3791)</f>
        <v>0</v>
      </c>
      <c r="Q133" s="492">
        <f>SUM(SUMIF('Diags Raw Data'!$A$6:$A$3791,"*"&amp;$A133&amp;"*",'Diags Raw Data'!$AA$6:$AA$3791),SUMIF('Diags Raw Data'!$A$6:$A$3791,"*"&amp;$A133&amp;"*",'Diags Raw Data'!$AB$6:$AB$3791))</f>
        <v>0</v>
      </c>
      <c r="R133" s="493">
        <f t="shared" si="3"/>
        <v>0</v>
      </c>
      <c r="S133" s="493">
        <f t="shared" si="4"/>
        <v>0</v>
      </c>
      <c r="T133" s="494">
        <f t="shared" si="5"/>
        <v>0</v>
      </c>
      <c r="U133" s="442" t="s">
        <v>1136</v>
      </c>
      <c r="V133" s="182"/>
    </row>
    <row r="134" spans="1:22">
      <c r="A134" s="584" t="s">
        <v>579</v>
      </c>
      <c r="B134" s="438" t="str">
        <f>VLOOKUP(A134,'Feature Raw Data'!$A$3:$B$4004,2,FALSE)</f>
        <v>DCN4.134 - Out gamma</v>
      </c>
      <c r="C134" s="439" t="str">
        <f>VLOOKUP(A134,'Feature Raw Data'!$A$3:$C$4004,3,FALSE)</f>
        <v>P2</v>
      </c>
      <c r="D134" s="440" t="str" cm="1">
        <f t="array" ref="D134">_xlfn.TEXTJOIN("",TRUE,IF(ISNUMBER(SEARCH($A134,'Diags Raw Data'!$A$6:$A$3791)),CONCATENATE('Diags Raw Data'!$H$6:$H$3791,", "),""))</f>
        <v xml:space="preserve">MPC009, </v>
      </c>
      <c r="E134" s="336" t="str">
        <f>VLOOKUP(A134,'Diags Raw Data'!$A$6:$D$3791,4,FALSE)</f>
        <v>MPC</v>
      </c>
      <c r="F134" s="336" t="str">
        <f>VLOOKUP(A134,'Feature Raw Data'!$A$3:$E$4004,5,FALSE)</f>
        <v>Legacy</v>
      </c>
      <c r="G134" s="336" t="str">
        <f t="shared" si="18"/>
        <v>Yes</v>
      </c>
      <c r="H134" s="336" t="str">
        <f t="shared" si="19"/>
        <v>Yes</v>
      </c>
      <c r="I134" s="439">
        <f>SUMIF('Diags Raw Data'!$A$6:$A$3791,"*"&amp;$A134&amp;"*",'Diags Raw Data'!$K$6:$K$3791)</f>
        <v>1</v>
      </c>
      <c r="J134" s="441">
        <f>SUMIF('Diags Raw Data'!$A$6:$A$3791,"*"&amp;$A134&amp;"*",'Diags Raw Data'!$L$6:$L$3791)</f>
        <v>4</v>
      </c>
      <c r="K134" s="486" cm="1">
        <f t="array" ref="K134">IF(D134="",0, SUMPRODUCT(--(ISNUMBER(SEARCH($A134,'Diags Raw Data'!$A$6:$A$3791))),'Diags Raw Data'!$L$6:$L$3791,'Diags Raw Data'!$N$6:$N$3791)/J134)</f>
        <v>1</v>
      </c>
      <c r="L134" s="487" cm="1">
        <f t="array" ref="L134">IF(D134="",0, SUMPRODUCT(--(ISNUMBER(SEARCH($A134,'Diags Raw Data'!$A$6:$A$3791))),'Diags Raw Data'!$L$6:$L$3791,'Diags Raw Data'!$P$6:$P$3791)/J134)</f>
        <v>1</v>
      </c>
      <c r="M134" s="488" cm="1">
        <f t="array" ref="M134">SUMPRODUCT(--(ISNUMBER(SEARCH($A134,'Diags Raw Data'!$A$6:$A$3791))),--('Diags Raw Data'!$Q$6:$Q$3791&lt;&gt;"N/A"),'Diags Raw Data'!$R$6:$R$3791)</f>
        <v>1</v>
      </c>
      <c r="N134" s="489" cm="1">
        <f t="array" ref="N134">SUMPRODUCT(--(ISNUMBER(SEARCH($A134,'Diags Raw Data'!$A$6:$A$3791))),--('Diags Raw Data'!$Q$6:$Q$3791&lt;&gt;"N/A"),'Diags Raw Data'!$T$6:$T$3791)+SUMPRODUCT(--(ISNUMBER(SEARCH($A134,'Diags Raw Data'!$A$6:$A$3791))),--('Diags Raw Data'!$Q$6:$Q$3791&lt;&gt;"N/A"),'Diags Raw Data'!$U$6:$U$3791)</f>
        <v>1</v>
      </c>
      <c r="O134" s="490">
        <f t="shared" si="2"/>
        <v>1</v>
      </c>
      <c r="P134" s="491">
        <f>SUMIF('Diags Raw Data'!$A$6:$A$3791,"*"&amp;$A134&amp;"*",'Diags Raw Data'!$Z$6:$Z$3791)</f>
        <v>0</v>
      </c>
      <c r="Q134" s="492">
        <f>SUM(SUMIF('Diags Raw Data'!$A$6:$A$3791,"*"&amp;$A134&amp;"*",'Diags Raw Data'!$AA$6:$AA$3791),SUMIF('Diags Raw Data'!$A$6:$A$3791,"*"&amp;$A134&amp;"*",'Diags Raw Data'!$AB$6:$AB$3791))</f>
        <v>0</v>
      </c>
      <c r="R134" s="493">
        <f t="shared" si="3"/>
        <v>0</v>
      </c>
      <c r="S134" s="493">
        <f t="shared" si="4"/>
        <v>0</v>
      </c>
      <c r="T134" s="494">
        <f t="shared" si="5"/>
        <v>0</v>
      </c>
      <c r="U134" s="442" t="s">
        <v>1136</v>
      </c>
      <c r="V134" s="182"/>
    </row>
    <row r="135" spans="1:22">
      <c r="A135" s="584" t="s">
        <v>581</v>
      </c>
      <c r="B135" s="438" t="str">
        <f>VLOOKUP(A135,'Feature Raw Data'!$A$3:$B$4004,2,FALSE)</f>
        <v>DCN4.135 - Dmcub zfb support</v>
      </c>
      <c r="C135" s="439" t="str">
        <f>VLOOKUP(A135,'Feature Raw Data'!$A$3:$C$4004,3,FALSE)</f>
        <v>P2</v>
      </c>
      <c r="D135" s="440" t="str" cm="1">
        <f t="array" ref="D135">_xlfn.TEXTJOIN("",TRUE,IF(ISNUMBER(SEARCH($A135,'Diags Raw Data'!$A$6:$A$3791)),CONCATENATE('Diags Raw Data'!$H$6:$H$3791,", "),""))</f>
        <v xml:space="preserve">disp.smoke.modeset, DPP034, </v>
      </c>
      <c r="E135" s="336" t="e">
        <f>VLOOKUP(A135,'Diags Raw Data'!$A$6:$D$3791,4,FALSE)</f>
        <v>#N/A</v>
      </c>
      <c r="F135" s="336" t="str">
        <f>VLOOKUP(A135,'Feature Raw Data'!$A$3:$E$4004,5,FALSE)</f>
        <v>Legacy</v>
      </c>
      <c r="G135" s="336" t="str">
        <f t="shared" si="18"/>
        <v>Yes</v>
      </c>
      <c r="H135" s="336" t="str">
        <f t="shared" si="19"/>
        <v>Yes</v>
      </c>
      <c r="I135" s="439">
        <f>SUMIF('Diags Raw Data'!$A$6:$A$3791,"*"&amp;$A135&amp;"*",'Diags Raw Data'!$K$6:$K$3791)</f>
        <v>4</v>
      </c>
      <c r="J135" s="441">
        <f>SUMIF('Diags Raw Data'!$A$6:$A$3791,"*"&amp;$A135&amp;"*",'Diags Raw Data'!$L$6:$L$3791)</f>
        <v>16</v>
      </c>
      <c r="K135" s="486" cm="1">
        <f t="array" ref="K135">IF(D135="",0, SUMPRODUCT(--(ISNUMBER(SEARCH($A135,'Diags Raw Data'!$A$6:$A$3791))),'Diags Raw Data'!$L$6:$L$3791,'Diags Raw Data'!$N$6:$N$3791)/J135)</f>
        <v>1</v>
      </c>
      <c r="L135" s="487" cm="1">
        <f t="array" ref="L135">IF(D135="",0, SUMPRODUCT(--(ISNUMBER(SEARCH($A135,'Diags Raw Data'!$A$6:$A$3791))),'Diags Raw Data'!$L$6:$L$3791,'Diags Raw Data'!$P$6:$P$3791)/J135)</f>
        <v>0.8125</v>
      </c>
      <c r="M135" s="488" cm="1">
        <f t="array" ref="M135">SUMPRODUCT(--(ISNUMBER(SEARCH($A135,'Diags Raw Data'!$A$6:$A$3791))),--('Diags Raw Data'!$Q$6:$Q$3791&lt;&gt;"N/A"),'Diags Raw Data'!$R$6:$R$3791)</f>
        <v>1</v>
      </c>
      <c r="N135" s="489" cm="1">
        <f t="array" ref="N135">SUMPRODUCT(--(ISNUMBER(SEARCH($A135,'Diags Raw Data'!$A$6:$A$3791))),--('Diags Raw Data'!$Q$6:$Q$3791&lt;&gt;"N/A"),'Diags Raw Data'!$T$6:$T$3791)+SUMPRODUCT(--(ISNUMBER(SEARCH($A135,'Diags Raw Data'!$A$6:$A$3791))),--('Diags Raw Data'!$Q$6:$Q$3791&lt;&gt;"N/A"),'Diags Raw Data'!$U$6:$U$3791)</f>
        <v>0</v>
      </c>
      <c r="O135" s="490">
        <f t="shared" si="2"/>
        <v>0</v>
      </c>
      <c r="P135" s="491">
        <f>SUMIF('Diags Raw Data'!$A$6:$A$3791,"*"&amp;$A135&amp;"*",'Diags Raw Data'!$Z$6:$Z$3791)</f>
        <v>0</v>
      </c>
      <c r="Q135" s="492">
        <f>SUM(SUMIF('Diags Raw Data'!$A$6:$A$3791,"*"&amp;$A135&amp;"*",'Diags Raw Data'!$AA$6:$AA$3791),SUMIF('Diags Raw Data'!$A$6:$A$3791,"*"&amp;$A135&amp;"*",'Diags Raw Data'!$AB$6:$AB$3791))</f>
        <v>0</v>
      </c>
      <c r="R135" s="493">
        <f t="shared" si="3"/>
        <v>0</v>
      </c>
      <c r="S135" s="493">
        <f t="shared" si="4"/>
        <v>0</v>
      </c>
      <c r="T135" s="494">
        <f t="shared" si="5"/>
        <v>0</v>
      </c>
      <c r="U135" s="442" t="s">
        <v>1134</v>
      </c>
      <c r="V135" s="182"/>
    </row>
    <row r="136" spans="1:22" hidden="1">
      <c r="A136" s="584" t="s">
        <v>583</v>
      </c>
      <c r="B136" s="438" t="str">
        <f>VLOOKUP(A136,'Feature Raw Data'!$A$3:$B$4004,2,FALSE)</f>
        <v>DCN4.136 - edp1.5 auxless alpm</v>
      </c>
      <c r="C136" s="439" t="str">
        <f>VLOOKUP(A136,'Feature Raw Data'!$A$3:$C$4004,3,FALSE)</f>
        <v>P2</v>
      </c>
      <c r="D136" s="440" t="str" cm="1">
        <f t="array" ref="D136">_xlfn.TEXTJOIN("",TRUE,IF(ISNUMBER(SEARCH($A136,'Diags Raw Data'!$A$6:$A$3791)),CONCATENATE('Diags Raw Data'!$H$6:$H$3791,", "),""))</f>
        <v/>
      </c>
      <c r="E136" s="336" t="e">
        <f>VLOOKUP(A136,'Diags Raw Data'!$A$6:$D$3791,4,FALSE)</f>
        <v>#N/A</v>
      </c>
      <c r="F136" s="336" t="str">
        <f>VLOOKUP(A136,'Feature Raw Data'!$A$3:$E$4004,5,FALSE)</f>
        <v>Legacy</v>
      </c>
      <c r="G136" s="336" t="str">
        <f t="shared" si="18"/>
        <v>No</v>
      </c>
      <c r="H136" s="336" t="str">
        <f t="shared" si="19"/>
        <v>No</v>
      </c>
      <c r="I136" s="439">
        <f>SUMIF('Diags Raw Data'!$A$6:$A$3791,"*"&amp;$A136&amp;"*",'Diags Raw Data'!$K$6:$K$3791)</f>
        <v>0</v>
      </c>
      <c r="J136" s="441">
        <f>SUMIF('Diags Raw Data'!$A$6:$A$3791,"*"&amp;$A136&amp;"*",'Diags Raw Data'!$L$6:$L$3791)</f>
        <v>0</v>
      </c>
      <c r="K136" s="486" cm="1">
        <f t="array" ref="K136">IF(D136="",0, SUMPRODUCT(--(ISNUMBER(SEARCH($A136,'Diags Raw Data'!$A$6:$A$3791))),'Diags Raw Data'!$L$6:$L$3791,'Diags Raw Data'!$N$6:$N$3791)/J136)</f>
        <v>0</v>
      </c>
      <c r="L136" s="487" cm="1">
        <f t="array" ref="L136">IF(D136="",0, SUMPRODUCT(--(ISNUMBER(SEARCH($A136,'Diags Raw Data'!$A$6:$A$3791))),'Diags Raw Data'!$L$6:$L$3791,'Diags Raw Data'!$P$6:$P$3791)/J136)</f>
        <v>0</v>
      </c>
      <c r="M136" s="488" cm="1">
        <f t="array" ref="M136">SUMPRODUCT(--(ISNUMBER(SEARCH($A136,'Diags Raw Data'!$A$6:$A$3791))),--('Diags Raw Data'!$Q$6:$Q$3791&lt;&gt;"N/A"),'Diags Raw Data'!$R$6:$R$3791)</f>
        <v>0</v>
      </c>
      <c r="N136" s="489" cm="1">
        <f t="array" ref="N136">SUMPRODUCT(--(ISNUMBER(SEARCH($A136,'Diags Raw Data'!$A$6:$A$3791))),--('Diags Raw Data'!$Q$6:$Q$3791&lt;&gt;"N/A"),'Diags Raw Data'!$T$6:$T$3791)+SUMPRODUCT(--(ISNUMBER(SEARCH($A136,'Diags Raw Data'!$A$6:$A$3791))),--('Diags Raw Data'!$Q$6:$Q$3791&lt;&gt;"N/A"),'Diags Raw Data'!$U$6:$U$3791)</f>
        <v>0</v>
      </c>
      <c r="O136" s="490">
        <f t="shared" si="2"/>
        <v>0</v>
      </c>
      <c r="P136" s="491">
        <f>SUMIF('Diags Raw Data'!$A$6:$A$3791,"*"&amp;$A136&amp;"*",'Diags Raw Data'!$Z$6:$Z$3791)</f>
        <v>0</v>
      </c>
      <c r="Q136" s="492">
        <f>SUM(SUMIF('Diags Raw Data'!$A$6:$A$3791,"*"&amp;$A136&amp;"*",'Diags Raw Data'!$AA$6:$AA$3791),SUMIF('Diags Raw Data'!$A$6:$A$3791,"*"&amp;$A136&amp;"*",'Diags Raw Data'!$AB$6:$AB$3791))</f>
        <v>0</v>
      </c>
      <c r="R136" s="493">
        <f t="shared" si="3"/>
        <v>0</v>
      </c>
      <c r="S136" s="493">
        <f t="shared" si="4"/>
        <v>0</v>
      </c>
      <c r="T136" s="494">
        <f t="shared" si="5"/>
        <v>0</v>
      </c>
      <c r="U136" s="442"/>
      <c r="V136" s="182" t="s">
        <v>1128</v>
      </c>
    </row>
    <row r="137" spans="1:22" ht="72.95">
      <c r="A137" s="584" t="s">
        <v>585</v>
      </c>
      <c r="B137" s="438" t="str">
        <f>VLOOKUP(A137,'Feature Raw Data'!$A$3:$B$4004,2,FALSE)</f>
        <v xml:space="preserve">DCN4.137 - DP2.0
</v>
      </c>
      <c r="C137" s="439" t="str">
        <f>VLOOKUP(A137,'Feature Raw Data'!$A$3:$C$4004,3,FALSE)</f>
        <v>P2</v>
      </c>
      <c r="D137" s="440" t="str" cm="1">
        <f t="array" ref="D137">_xlfn.TEXTJOIN("",TRUE,IF(ISNUMBER(SEARCH($A137,'Diags Raw Data'!$A$6:$A$3791)),CONCATENATE('Diags Raw Data'!$H$6:$H$3791,", "),""))</f>
        <v xml:space="preserve">DIO650, DIO651, DIO652, DIO653, DIO654, DIO655, DIO656, DIO657, DIO658, DIO660, DIO661, DIO662, </v>
      </c>
      <c r="E137" s="336" t="str">
        <f>VLOOKUP(A137,'Diags Raw Data'!$A$6:$D$3791,4,FALSE)</f>
        <v>DIO</v>
      </c>
      <c r="F137" s="336" t="str">
        <f>VLOOKUP(A137,'Feature Raw Data'!$A$3:$E$4004,5,FALSE)</f>
        <v>Legacy</v>
      </c>
      <c r="G137" s="336" t="str">
        <f t="shared" ref="G137:G140" si="20">IF(D137="","No","Yes")</f>
        <v>Yes</v>
      </c>
      <c r="H137" s="336" t="str">
        <f t="shared" ref="H137:H140" si="21">IF(D137="","No","Yes")</f>
        <v>Yes</v>
      </c>
      <c r="I137" s="439">
        <f>SUMIF('Diags Raw Data'!$A$6:$A$3791,"*"&amp;$A137&amp;"*",'Diags Raw Data'!$K$6:$K$3791)</f>
        <v>9</v>
      </c>
      <c r="J137" s="441">
        <f>SUMIF('Diags Raw Data'!$A$6:$A$3791,"*"&amp;$A137&amp;"*",'Diags Raw Data'!$L$6:$L$3791)</f>
        <v>37</v>
      </c>
      <c r="K137" s="486" cm="1">
        <f t="array" ref="K137">IF(D137="",0, SUMPRODUCT(--(ISNUMBER(SEARCH($A137,'Diags Raw Data'!$A$6:$A$3791))),'Diags Raw Data'!$L$6:$L$3791,'Diags Raw Data'!$N$6:$N$3791)/J137)</f>
        <v>1</v>
      </c>
      <c r="L137" s="487" cm="1">
        <f t="array" ref="L137">IF(D137="",0, SUMPRODUCT(--(ISNUMBER(SEARCH($A137,'Diags Raw Data'!$A$6:$A$3791))),'Diags Raw Data'!$L$6:$L$3791,'Diags Raw Data'!$P$6:$P$3791)/J137)</f>
        <v>1</v>
      </c>
      <c r="M137" s="488" cm="1">
        <f t="array" ref="M137">SUMPRODUCT(--(ISNUMBER(SEARCH($A137,'Diags Raw Data'!$A$6:$A$3791))),--('Diags Raw Data'!$Q$6:$Q$3791&lt;&gt;"N/A"),'Diags Raw Data'!$R$6:$R$3791)</f>
        <v>37</v>
      </c>
      <c r="N137" s="489" cm="1">
        <f t="array" ref="N137">SUMPRODUCT(--(ISNUMBER(SEARCH($A137,'Diags Raw Data'!$A$6:$A$3791))),--('Diags Raw Data'!$Q$6:$Q$3791&lt;&gt;"N/A"),'Diags Raw Data'!$T$6:$T$3791)+SUMPRODUCT(--(ISNUMBER(SEARCH($A137,'Diags Raw Data'!$A$6:$A$3791))),--('Diags Raw Data'!$Q$6:$Q$3791&lt;&gt;"N/A"),'Diags Raw Data'!$U$6:$U$3791)</f>
        <v>35</v>
      </c>
      <c r="O137" s="490">
        <f t="shared" si="2"/>
        <v>0.94594594594594594</v>
      </c>
      <c r="P137" s="491">
        <f>SUMIF('Diags Raw Data'!$A$6:$A$3791,"*"&amp;$A137&amp;"*",'Diags Raw Data'!$Z$6:$Z$3791)</f>
        <v>0</v>
      </c>
      <c r="Q137" s="492">
        <f>SUM(SUMIF('Diags Raw Data'!$A$6:$A$3791,"*"&amp;$A137&amp;"*",'Diags Raw Data'!$AA$6:$AA$3791),SUMIF('Diags Raw Data'!$A$6:$A$3791,"*"&amp;$A137&amp;"*",'Diags Raw Data'!$AB$6:$AB$3791))</f>
        <v>0</v>
      </c>
      <c r="R137" s="493">
        <f t="shared" ref="R137:R140" si="22">IF((J137=0),0,P137/J137)</f>
        <v>0</v>
      </c>
      <c r="S137" s="493">
        <f t="shared" ref="S137:S140" si="23">IF((P137=0),0,Q137/P137)</f>
        <v>0</v>
      </c>
      <c r="T137" s="494">
        <f t="shared" ref="T137:T140" si="24">R137*S137</f>
        <v>0</v>
      </c>
      <c r="U137" s="442" t="s">
        <v>1129</v>
      </c>
      <c r="V137" s="182"/>
    </row>
    <row r="138" spans="1:22" ht="102">
      <c r="A138" s="584" t="s">
        <v>587</v>
      </c>
      <c r="B138" s="438" t="str">
        <f>VLOOKUP(A138,'Feature Raw Data'!$A$3:$B$4004,2,FALSE)</f>
        <v>DCN4.138 - Display PHY</v>
      </c>
      <c r="C138" s="439" t="str">
        <f>VLOOKUP(A138,'Feature Raw Data'!$A$3:$C$4004,3,FALSE)</f>
        <v>P2</v>
      </c>
      <c r="D138" s="440" t="str" cm="1">
        <f t="array" ref="D138">_xlfn.TEXTJOIN("",TRUE,IF(ISNUMBER(SEARCH($A138,'Diags Raw Data'!$A$6:$A$3791)),CONCATENATE('Diags Raw Data'!$H$6:$H$3791,", "),""))</f>
        <v xml:space="preserve">DIO369, DIO370, DIO371, DIO372, DIO373, DIO374, DIO375, DIO376, DIO377, DIO378, DIO389, DIO650, DIO651, DIO652, DIO653, DIO654, DIO655, DIO656, DIO657, DIO658, </v>
      </c>
      <c r="E138" s="336" t="e">
        <f>VLOOKUP(A138,'Diags Raw Data'!$A$6:$D$3791,4,FALSE)</f>
        <v>#N/A</v>
      </c>
      <c r="F138" s="336" t="str">
        <f>VLOOKUP(A138,'Feature Raw Data'!$A$3:$E$4004,5,FALSE)</f>
        <v>Delta</v>
      </c>
      <c r="G138" s="336" t="str">
        <f t="shared" si="20"/>
        <v>Yes</v>
      </c>
      <c r="H138" s="336" t="str">
        <f t="shared" si="21"/>
        <v>Yes</v>
      </c>
      <c r="I138" s="439">
        <f>SUMIF('Diags Raw Data'!$A$6:$A$3791,"*"&amp;$A138&amp;"*",'Diags Raw Data'!$K$6:$K$3791)</f>
        <v>20</v>
      </c>
      <c r="J138" s="441">
        <f>SUMIF('Diags Raw Data'!$A$6:$A$3791,"*"&amp;$A138&amp;"*",'Diags Raw Data'!$L$6:$L$3791)</f>
        <v>87</v>
      </c>
      <c r="K138" s="486" cm="1">
        <f t="array" ref="K138">IF(D138="",0, SUMPRODUCT(--(ISNUMBER(SEARCH($A138,'Diags Raw Data'!$A$6:$A$3791))),'Diags Raw Data'!$L$6:$L$3791,'Diags Raw Data'!$N$6:$N$3791)/J138)</f>
        <v>1</v>
      </c>
      <c r="L138" s="487" cm="1">
        <f t="array" ref="L138">IF(D138="",0, SUMPRODUCT(--(ISNUMBER(SEARCH($A138,'Diags Raw Data'!$A$6:$A$3791))),'Diags Raw Data'!$L$6:$L$3791,'Diags Raw Data'!$P$6:$P$3791)/J138)</f>
        <v>1</v>
      </c>
      <c r="M138" s="488" cm="1">
        <f t="array" ref="M138">SUMPRODUCT(--(ISNUMBER(SEARCH($A138,'Diags Raw Data'!$A$6:$A$3791))),--('Diags Raw Data'!$Q$6:$Q$3791&lt;&gt;"N/A"),'Diags Raw Data'!$R$6:$R$3791)</f>
        <v>87</v>
      </c>
      <c r="N138" s="489" cm="1">
        <f t="array" ref="N138">SUMPRODUCT(--(ISNUMBER(SEARCH($A138,'Diags Raw Data'!$A$6:$A$3791))),--('Diags Raw Data'!$Q$6:$Q$3791&lt;&gt;"N/A"),'Diags Raw Data'!$T$6:$T$3791)+SUMPRODUCT(--(ISNUMBER(SEARCH($A138,'Diags Raw Data'!$A$6:$A$3791))),--('Diags Raw Data'!$Q$6:$Q$3791&lt;&gt;"N/A"),'Diags Raw Data'!$U$6:$U$3791)</f>
        <v>75</v>
      </c>
      <c r="O138" s="490">
        <f t="shared" ref="O138:O140" si="25">IF((M138=0),0,N138/M138)</f>
        <v>0.86206896551724133</v>
      </c>
      <c r="P138" s="491">
        <f>SUMIF('Diags Raw Data'!$A$6:$A$3791,"*"&amp;$A138&amp;"*",'Diags Raw Data'!$Z$6:$Z$3791)</f>
        <v>0</v>
      </c>
      <c r="Q138" s="492">
        <f>SUM(SUMIF('Diags Raw Data'!$A$6:$A$3791,"*"&amp;$A138&amp;"*",'Diags Raw Data'!$AA$6:$AA$3791),SUMIF('Diags Raw Data'!$A$6:$A$3791,"*"&amp;$A138&amp;"*",'Diags Raw Data'!$AB$6:$AB$3791))</f>
        <v>0</v>
      </c>
      <c r="R138" s="493">
        <f t="shared" si="22"/>
        <v>0</v>
      </c>
      <c r="S138" s="493">
        <f t="shared" si="23"/>
        <v>0</v>
      </c>
      <c r="T138" s="494">
        <f t="shared" si="24"/>
        <v>0</v>
      </c>
      <c r="U138" s="442" t="s">
        <v>1131</v>
      </c>
      <c r="V138" s="182"/>
    </row>
    <row r="139" spans="1:22">
      <c r="A139" s="584" t="s">
        <v>589</v>
      </c>
      <c r="B139" s="438" t="str">
        <f>VLOOKUP(A139,'Feature Raw Data'!$A$3:$B$4004,2,FALSE)</f>
        <v>DCN4.139 - Single pipe 6k@60</v>
      </c>
      <c r="C139" s="439" t="str">
        <f>VLOOKUP(A139,'Feature Raw Data'!$A$3:$C$4004,3,FALSE)</f>
        <v>P2</v>
      </c>
      <c r="D139" s="440" t="str" cm="1">
        <f t="array" ref="D139">_xlfn.TEXTJOIN("",TRUE,IF(ISNUMBER(SEARCH($A139,'Diags Raw Data'!$A$6:$A$3791)),CONCATENATE('Diags Raw Data'!$H$6:$H$3791,", "),""))</f>
        <v xml:space="preserve">disp.smoke.modeset, </v>
      </c>
      <c r="E139" s="336" t="e">
        <f>VLOOKUP(A139,'Diags Raw Data'!$A$6:$D$3791,4,FALSE)</f>
        <v>#N/A</v>
      </c>
      <c r="F139" s="336" t="str">
        <f>VLOOKUP(A139,'Feature Raw Data'!$A$3:$E$4004,5,FALSE)</f>
        <v>Legacy</v>
      </c>
      <c r="G139" s="336" t="str">
        <f t="shared" si="20"/>
        <v>Yes</v>
      </c>
      <c r="H139" s="336" t="str">
        <f t="shared" si="21"/>
        <v>Yes</v>
      </c>
      <c r="I139" s="439">
        <f>SUMIF('Diags Raw Data'!$A$6:$A$3791,"*"&amp;$A139&amp;"*",'Diags Raw Data'!$K$6:$K$3791)</f>
        <v>3</v>
      </c>
      <c r="J139" s="441">
        <f>SUMIF('Diags Raw Data'!$A$6:$A$3791,"*"&amp;$A139&amp;"*",'Diags Raw Data'!$L$6:$L$3791)</f>
        <v>3</v>
      </c>
      <c r="K139" s="486" cm="1">
        <f t="array" ref="K139">IF(D139="",0, SUMPRODUCT(--(ISNUMBER(SEARCH($A139,'Diags Raw Data'!$A$6:$A$3791))),'Diags Raw Data'!$L$6:$L$3791,'Diags Raw Data'!$N$6:$N$3791)/J139)</f>
        <v>1</v>
      </c>
      <c r="L139" s="487" cm="1">
        <f t="array" ref="L139">IF(D139="",0, SUMPRODUCT(--(ISNUMBER(SEARCH($A139,'Diags Raw Data'!$A$6:$A$3791))),'Diags Raw Data'!$L$6:$L$3791,'Diags Raw Data'!$P$6:$P$3791)/J139)</f>
        <v>0</v>
      </c>
      <c r="M139" s="488" cm="1">
        <f t="array" ref="M139">SUMPRODUCT(--(ISNUMBER(SEARCH($A139,'Diags Raw Data'!$A$6:$A$3791))),--('Diags Raw Data'!$Q$6:$Q$3791&lt;&gt;"N/A"),'Diags Raw Data'!$R$6:$R$3791)</f>
        <v>0</v>
      </c>
      <c r="N139" s="489" cm="1">
        <f t="array" ref="N139">SUMPRODUCT(--(ISNUMBER(SEARCH($A139,'Diags Raw Data'!$A$6:$A$3791))),--('Diags Raw Data'!$Q$6:$Q$3791&lt;&gt;"N/A"),'Diags Raw Data'!$T$6:$T$3791)+SUMPRODUCT(--(ISNUMBER(SEARCH($A139,'Diags Raw Data'!$A$6:$A$3791))),--('Diags Raw Data'!$Q$6:$Q$3791&lt;&gt;"N/A"),'Diags Raw Data'!$U$6:$U$3791)</f>
        <v>0</v>
      </c>
      <c r="O139" s="490">
        <f t="shared" si="25"/>
        <v>0</v>
      </c>
      <c r="P139" s="491">
        <f>SUMIF('Diags Raw Data'!$A$6:$A$3791,"*"&amp;$A139&amp;"*",'Diags Raw Data'!$Z$6:$Z$3791)</f>
        <v>0</v>
      </c>
      <c r="Q139" s="492">
        <f>SUM(SUMIF('Diags Raw Data'!$A$6:$A$3791,"*"&amp;$A139&amp;"*",'Diags Raw Data'!$AA$6:$AA$3791),SUMIF('Diags Raw Data'!$A$6:$A$3791,"*"&amp;$A139&amp;"*",'Diags Raw Data'!$AB$6:$AB$3791))</f>
        <v>0</v>
      </c>
      <c r="R139" s="493">
        <f t="shared" si="22"/>
        <v>0</v>
      </c>
      <c r="S139" s="493">
        <f t="shared" si="23"/>
        <v>0</v>
      </c>
      <c r="T139" s="494">
        <f t="shared" si="24"/>
        <v>0</v>
      </c>
      <c r="U139" s="442" t="s">
        <v>1136</v>
      </c>
      <c r="V139" s="182"/>
    </row>
    <row r="140" spans="1:22" ht="29.1">
      <c r="A140" s="584" t="s">
        <v>591</v>
      </c>
      <c r="B140" s="438" t="str">
        <f>VLOOKUP(A140,'Feature Raw Data'!$A$3:$B$4004,2,FALSE)</f>
        <v xml:space="preserve">DCN4.140 - Fclk pstate change
</v>
      </c>
      <c r="C140" s="439" t="str">
        <f>VLOOKUP(A140,'Feature Raw Data'!$A$3:$C$4004,3,FALSE)</f>
        <v>P2</v>
      </c>
      <c r="D140" s="440" t="str" cm="1">
        <f t="array" ref="D140">_xlfn.TEXTJOIN("",TRUE,IF(ISNUMBER(SEARCH($A140,'Diags Raw Data'!$A$6:$A$3791)),CONCATENATE('Diags Raw Data'!$H$6:$H$3791,", "),""))</f>
        <v xml:space="preserve">DISP014, </v>
      </c>
      <c r="E140" s="336" t="e">
        <f>VLOOKUP(A140,'Diags Raw Data'!$A$6:$D$3791,4,FALSE)</f>
        <v>#N/A</v>
      </c>
      <c r="F140" s="336" t="str">
        <f>VLOOKUP(A140,'Feature Raw Data'!$A$3:$E$4004,5,FALSE)</f>
        <v>Legacy</v>
      </c>
      <c r="G140" s="336" t="str">
        <f t="shared" si="20"/>
        <v>Yes</v>
      </c>
      <c r="H140" s="336" t="str">
        <f t="shared" si="21"/>
        <v>Yes</v>
      </c>
      <c r="I140" s="439">
        <f>SUMIF('Diags Raw Data'!$A$6:$A$3791,"*"&amp;$A140&amp;"*",'Diags Raw Data'!$K$6:$K$3791)</f>
        <v>1</v>
      </c>
      <c r="J140" s="441">
        <f>SUMIF('Diags Raw Data'!$A$6:$A$3791,"*"&amp;$A140&amp;"*",'Diags Raw Data'!$L$6:$L$3791)</f>
        <v>1</v>
      </c>
      <c r="K140" s="486" cm="1">
        <f t="array" ref="K140">IF(D140="",0, SUMPRODUCT(--(ISNUMBER(SEARCH($A140,'Diags Raw Data'!$A$6:$A$3791))),'Diags Raw Data'!$L$6:$L$3791,'Diags Raw Data'!$N$6:$N$3791)/J140)</f>
        <v>1</v>
      </c>
      <c r="L140" s="487" cm="1">
        <f t="array" ref="L140">IF(D140="",0, SUMPRODUCT(--(ISNUMBER(SEARCH($A140,'Diags Raw Data'!$A$6:$A$3791))),'Diags Raw Data'!$L$6:$L$3791,'Diags Raw Data'!$P$6:$P$3791)/J140)</f>
        <v>1</v>
      </c>
      <c r="M140" s="488" cm="1">
        <f t="array" ref="M140">SUMPRODUCT(--(ISNUMBER(SEARCH($A140,'Diags Raw Data'!$A$6:$A$3791))),--('Diags Raw Data'!$Q$6:$Q$3791&lt;&gt;"N/A"),'Diags Raw Data'!$R$6:$R$3791)</f>
        <v>1</v>
      </c>
      <c r="N140" s="489" cm="1">
        <f t="array" ref="N140">SUMPRODUCT(--(ISNUMBER(SEARCH($A140,'Diags Raw Data'!$A$6:$A$3791))),--('Diags Raw Data'!$Q$6:$Q$3791&lt;&gt;"N/A"),'Diags Raw Data'!$T$6:$T$3791)+SUMPRODUCT(--(ISNUMBER(SEARCH($A140,'Diags Raw Data'!$A$6:$A$3791))),--('Diags Raw Data'!$Q$6:$Q$3791&lt;&gt;"N/A"),'Diags Raw Data'!$U$6:$U$3791)</f>
        <v>0</v>
      </c>
      <c r="O140" s="490">
        <f t="shared" si="25"/>
        <v>0</v>
      </c>
      <c r="P140" s="491">
        <f>SUMIF('Diags Raw Data'!$A$6:$A$3791,"*"&amp;$A140&amp;"*",'Diags Raw Data'!$Z$6:$Z$3791)</f>
        <v>0</v>
      </c>
      <c r="Q140" s="492">
        <f>SUM(SUMIF('Diags Raw Data'!$A$6:$A$3791,"*"&amp;$A140&amp;"*",'Diags Raw Data'!$AA$6:$AA$3791),SUMIF('Diags Raw Data'!$A$6:$A$3791,"*"&amp;$A140&amp;"*",'Diags Raw Data'!$AB$6:$AB$3791))</f>
        <v>0</v>
      </c>
      <c r="R140" s="493">
        <f t="shared" si="22"/>
        <v>0</v>
      </c>
      <c r="S140" s="493">
        <f t="shared" si="23"/>
        <v>0</v>
      </c>
      <c r="T140" s="494">
        <f t="shared" si="24"/>
        <v>0</v>
      </c>
      <c r="U140" s="442" t="s">
        <v>1131</v>
      </c>
      <c r="V140" s="182"/>
    </row>
    <row r="141" spans="1:22" ht="29.1" hidden="1">
      <c r="A141" s="584" t="s">
        <v>593</v>
      </c>
      <c r="B141" s="438" t="str">
        <f>VLOOKUP(A141,'Feature Raw Data'!$A$3:$B$4004,2,FALSE)</f>
        <v>DCN4.141 - Data-poison status at memory interface</v>
      </c>
      <c r="C141" s="439" t="s">
        <v>280</v>
      </c>
      <c r="D141" s="440" t="str" cm="1">
        <f t="array" ref="D141">_xlfn.TEXTJOIN("",TRUE,IF(ISNUMBER(SEARCH($A141,'Diags Raw Data'!$A$6:$A$3791)),CONCATENATE('Diags Raw Data'!$H$6:$H$3791,", "),""))</f>
        <v/>
      </c>
      <c r="E141" s="336" t="e">
        <f>VLOOKUP(A141,'Diags Raw Data'!$A$6:$D$3791,4,FALSE)</f>
        <v>#N/A</v>
      </c>
      <c r="F141" s="336" t="str">
        <f>VLOOKUP(A141,'Feature Raw Data'!$A$3:$E$4004,5,FALSE)</f>
        <v>Legacy</v>
      </c>
      <c r="G141" s="336" t="str">
        <f t="shared" ref="G141:G154" si="26">IF(D141="","No","Yes")</f>
        <v>No</v>
      </c>
      <c r="H141" s="336" t="str">
        <f t="shared" ref="H141:H154" si="27">IF(D141="","No","Yes")</f>
        <v>No</v>
      </c>
      <c r="I141" s="439">
        <f>SUMIF('Diags Raw Data'!$A$6:$A$3791,"*"&amp;$A141&amp;"*",'Diags Raw Data'!$K$6:$K$3791)</f>
        <v>0</v>
      </c>
      <c r="J141" s="441">
        <f>SUMIF('Diags Raw Data'!$A$6:$A$3791,"*"&amp;$A141&amp;"*",'Diags Raw Data'!$L$6:$L$3791)</f>
        <v>0</v>
      </c>
      <c r="K141" s="486" cm="1">
        <f t="array" ref="K141">IF(D141="",0, SUMPRODUCT(--(ISNUMBER(SEARCH($A141,'Diags Raw Data'!$A$6:$A$3791))),'Diags Raw Data'!$L$6:$L$3791,'Diags Raw Data'!$N$6:$N$3791)/J141)</f>
        <v>0</v>
      </c>
      <c r="L141" s="487" cm="1">
        <f t="array" ref="L141">IF(D141="",0, SUMPRODUCT(--(ISNUMBER(SEARCH($A141,'Diags Raw Data'!$A$6:$A$3791))),'Diags Raw Data'!$L$6:$L$3791,'Diags Raw Data'!$P$6:$P$3791)/J141)</f>
        <v>0</v>
      </c>
      <c r="M141" s="488" cm="1">
        <f t="array" ref="M141">SUMPRODUCT(--(ISNUMBER(SEARCH($A141,'Diags Raw Data'!$A$6:$A$3791))),--('Diags Raw Data'!$Q$6:$Q$3791&lt;&gt;"N/A"),'Diags Raw Data'!$R$6:$R$3791)</f>
        <v>0</v>
      </c>
      <c r="N141" s="489" cm="1">
        <f t="array" ref="N141">SUMPRODUCT(--(ISNUMBER(SEARCH($A141,'Diags Raw Data'!$A$6:$A$3791))),--('Diags Raw Data'!$Q$6:$Q$3791&lt;&gt;"N/A"),'Diags Raw Data'!$T$6:$T$3791)+SUMPRODUCT(--(ISNUMBER(SEARCH($A141,'Diags Raw Data'!$A$6:$A$3791))),--('Diags Raw Data'!$Q$6:$Q$3791&lt;&gt;"N/A"),'Diags Raw Data'!$U$6:$U$3791)</f>
        <v>0</v>
      </c>
      <c r="O141" s="490">
        <f t="shared" ref="O141:O154" si="28">IF((M141=0),0,N141/M141)</f>
        <v>0</v>
      </c>
      <c r="P141" s="491">
        <f>SUMIF('Diags Raw Data'!$A$6:$A$3791,"*"&amp;$A141&amp;"*",'Diags Raw Data'!$Z$6:$Z$3791)</f>
        <v>0</v>
      </c>
      <c r="Q141" s="492">
        <f>SUM(SUMIF('Diags Raw Data'!$A$6:$A$3791,"*"&amp;$A141&amp;"*",'Diags Raw Data'!$AA$6:$AA$3791),SUMIF('Diags Raw Data'!$A$6:$A$3791,"*"&amp;$A141&amp;"*",'Diags Raw Data'!$AB$6:$AB$3791))</f>
        <v>0</v>
      </c>
      <c r="R141" s="493">
        <f t="shared" ref="R141:R154" si="29">IF((J141=0),0,P141/J141)</f>
        <v>0</v>
      </c>
      <c r="S141" s="493">
        <f t="shared" ref="S141:S154" si="30">IF((P141=0),0,Q141/P141)</f>
        <v>0</v>
      </c>
      <c r="T141" s="494">
        <f t="shared" ref="T141:T154" si="31">R141*S141</f>
        <v>0</v>
      </c>
      <c r="U141" s="442"/>
      <c r="V141" s="182" t="s">
        <v>1128</v>
      </c>
    </row>
    <row r="142" spans="1:22" ht="29.1">
      <c r="A142" s="584" t="s">
        <v>595</v>
      </c>
      <c r="B142" s="438" t="str">
        <f>VLOOKUP(A142,'Feature Raw Data'!$A$3:$B$4004,2,FALSE)</f>
        <v xml:space="preserve">DCN4.142 - Scalable crb and metatag buf size
</v>
      </c>
      <c r="C142" s="439" t="s">
        <v>280</v>
      </c>
      <c r="D142" s="440" t="str" cm="1">
        <f t="array" ref="D142">_xlfn.TEXTJOIN("",TRUE,IF(ISNUMBER(SEARCH($A142,'Diags Raw Data'!$A$6:$A$3791)),CONCATENATE('Diags Raw Data'!$H$6:$H$3791,", "),""))</f>
        <v xml:space="preserve">DPP001, </v>
      </c>
      <c r="E142" s="336" t="e">
        <f>VLOOKUP(A142,'Diags Raw Data'!$A$6:$D$3791,4,FALSE)</f>
        <v>#N/A</v>
      </c>
      <c r="F142" s="336" t="str">
        <f>VLOOKUP(A142,'Feature Raw Data'!$A$3:$E$4004,5,FALSE)</f>
        <v>Delta</v>
      </c>
      <c r="G142" s="336" t="str">
        <f t="shared" si="26"/>
        <v>Yes</v>
      </c>
      <c r="H142" s="336" t="str">
        <f t="shared" si="27"/>
        <v>Yes</v>
      </c>
      <c r="I142" s="439">
        <f>SUMIF('Diags Raw Data'!$A$6:$A$3791,"*"&amp;$A142&amp;"*",'Diags Raw Data'!$K$6:$K$3791)</f>
        <v>5</v>
      </c>
      <c r="J142" s="441">
        <f>SUMIF('Diags Raw Data'!$A$6:$A$3791,"*"&amp;$A142&amp;"*",'Diags Raw Data'!$L$6:$L$3791)</f>
        <v>15</v>
      </c>
      <c r="K142" s="486" cm="1">
        <f t="array" ref="K142">IF(D142="",0, SUMPRODUCT(--(ISNUMBER(SEARCH($A142,'Diags Raw Data'!$A$6:$A$3791))),'Diags Raw Data'!$L$6:$L$3791,'Diags Raw Data'!$N$6:$N$3791)/J142)</f>
        <v>1</v>
      </c>
      <c r="L142" s="487" cm="1">
        <f t="array" ref="L142">IF(D142="",0, SUMPRODUCT(--(ISNUMBER(SEARCH($A142,'Diags Raw Data'!$A$6:$A$3791))),'Diags Raw Data'!$L$6:$L$3791,'Diags Raw Data'!$P$6:$P$3791)/J142)</f>
        <v>1</v>
      </c>
      <c r="M142" s="488" cm="1">
        <f t="array" ref="M142">SUMPRODUCT(--(ISNUMBER(SEARCH($A142,'Diags Raw Data'!$A$6:$A$3791))),--('Diags Raw Data'!$Q$6:$Q$3791&lt;&gt;"N/A"),'Diags Raw Data'!$R$6:$R$3791)</f>
        <v>0</v>
      </c>
      <c r="N142" s="489" cm="1">
        <f t="array" ref="N142">SUMPRODUCT(--(ISNUMBER(SEARCH($A142,'Diags Raw Data'!$A$6:$A$3791))),--('Diags Raw Data'!$Q$6:$Q$3791&lt;&gt;"N/A"),'Diags Raw Data'!$T$6:$T$3791)+SUMPRODUCT(--(ISNUMBER(SEARCH($A142,'Diags Raw Data'!$A$6:$A$3791))),--('Diags Raw Data'!$Q$6:$Q$3791&lt;&gt;"N/A"),'Diags Raw Data'!$U$6:$U$3791)</f>
        <v>0</v>
      </c>
      <c r="O142" s="490">
        <f t="shared" si="28"/>
        <v>0</v>
      </c>
      <c r="P142" s="491">
        <f>SUMIF('Diags Raw Data'!$A$6:$A$3791,"*"&amp;$A142&amp;"*",'Diags Raw Data'!$Z$6:$Z$3791)</f>
        <v>0</v>
      </c>
      <c r="Q142" s="492">
        <f>SUM(SUMIF('Diags Raw Data'!$A$6:$A$3791,"*"&amp;$A142&amp;"*",'Diags Raw Data'!$AA$6:$AA$3791),SUMIF('Diags Raw Data'!$A$6:$A$3791,"*"&amp;$A142&amp;"*",'Diags Raw Data'!$AB$6:$AB$3791))</f>
        <v>0</v>
      </c>
      <c r="R142" s="493">
        <f t="shared" si="29"/>
        <v>0</v>
      </c>
      <c r="S142" s="493">
        <f t="shared" si="30"/>
        <v>0</v>
      </c>
      <c r="T142" s="494">
        <f t="shared" si="31"/>
        <v>0</v>
      </c>
      <c r="U142" s="442" t="s">
        <v>1136</v>
      </c>
      <c r="V142" s="182"/>
    </row>
    <row r="143" spans="1:22" ht="43.7" hidden="1">
      <c r="A143" s="584" t="s">
        <v>597</v>
      </c>
      <c r="B143" s="438" t="str">
        <f>VLOOKUP(A143,'Feature Raw Data'!$A$3:$B$4004,2,FALSE)</f>
        <v xml:space="preserve">DCN4.143 - Increased number of outstanding sdp requests
</v>
      </c>
      <c r="C143" s="439" t="s">
        <v>280</v>
      </c>
      <c r="D143" s="440" t="str" cm="1">
        <f t="array" ref="D143">_xlfn.TEXTJOIN("",TRUE,IF(ISNUMBER(SEARCH($A143,'Diags Raw Data'!$A$6:$A$3791)),CONCATENATE('Diags Raw Data'!$H$6:$H$3791,", "),""))</f>
        <v/>
      </c>
      <c r="E143" s="336" t="e">
        <f>VLOOKUP(A143,'Diags Raw Data'!$A$6:$D$3791,4,FALSE)</f>
        <v>#N/A</v>
      </c>
      <c r="F143" s="336" t="str">
        <f>VLOOKUP(A143,'Feature Raw Data'!$A$3:$E$4004,5,FALSE)</f>
        <v>Legacy</v>
      </c>
      <c r="G143" s="336" t="str">
        <f t="shared" si="26"/>
        <v>No</v>
      </c>
      <c r="H143" s="336" t="str">
        <f t="shared" si="27"/>
        <v>No</v>
      </c>
      <c r="I143" s="439">
        <f>SUMIF('Diags Raw Data'!$A$6:$A$3791,"*"&amp;$A143&amp;"*",'Diags Raw Data'!$K$6:$K$3791)</f>
        <v>0</v>
      </c>
      <c r="J143" s="441">
        <f>SUMIF('Diags Raw Data'!$A$6:$A$3791,"*"&amp;$A143&amp;"*",'Diags Raw Data'!$L$6:$L$3791)</f>
        <v>0</v>
      </c>
      <c r="K143" s="486" cm="1">
        <f t="array" ref="K143">IF(D143="",0, SUMPRODUCT(--(ISNUMBER(SEARCH($A143,'Diags Raw Data'!$A$6:$A$3791))),'Diags Raw Data'!$L$6:$L$3791,'Diags Raw Data'!$N$6:$N$3791)/J143)</f>
        <v>0</v>
      </c>
      <c r="L143" s="487" cm="1">
        <f t="array" ref="L143">IF(D143="",0, SUMPRODUCT(--(ISNUMBER(SEARCH($A143,'Diags Raw Data'!$A$6:$A$3791))),'Diags Raw Data'!$L$6:$L$3791,'Diags Raw Data'!$P$6:$P$3791)/J143)</f>
        <v>0</v>
      </c>
      <c r="M143" s="488" cm="1">
        <f t="array" ref="M143">SUMPRODUCT(--(ISNUMBER(SEARCH($A143,'Diags Raw Data'!$A$6:$A$3791))),--('Diags Raw Data'!$Q$6:$Q$3791&lt;&gt;"N/A"),'Diags Raw Data'!$R$6:$R$3791)</f>
        <v>0</v>
      </c>
      <c r="N143" s="489" cm="1">
        <f t="array" ref="N143">SUMPRODUCT(--(ISNUMBER(SEARCH($A143,'Diags Raw Data'!$A$6:$A$3791))),--('Diags Raw Data'!$Q$6:$Q$3791&lt;&gt;"N/A"),'Diags Raw Data'!$T$6:$T$3791)+SUMPRODUCT(--(ISNUMBER(SEARCH($A143,'Diags Raw Data'!$A$6:$A$3791))),--('Diags Raw Data'!$Q$6:$Q$3791&lt;&gt;"N/A"),'Diags Raw Data'!$U$6:$U$3791)</f>
        <v>0</v>
      </c>
      <c r="O143" s="490">
        <f t="shared" si="28"/>
        <v>0</v>
      </c>
      <c r="P143" s="491">
        <f>SUMIF('Diags Raw Data'!$A$6:$A$3791,"*"&amp;$A143&amp;"*",'Diags Raw Data'!$Z$6:$Z$3791)</f>
        <v>0</v>
      </c>
      <c r="Q143" s="492">
        <f>SUM(SUMIF('Diags Raw Data'!$A$6:$A$3791,"*"&amp;$A143&amp;"*",'Diags Raw Data'!$AA$6:$AA$3791),SUMIF('Diags Raw Data'!$A$6:$A$3791,"*"&amp;$A143&amp;"*",'Diags Raw Data'!$AB$6:$AB$3791))</f>
        <v>0</v>
      </c>
      <c r="R143" s="493">
        <f t="shared" si="29"/>
        <v>0</v>
      </c>
      <c r="S143" s="493">
        <f t="shared" si="30"/>
        <v>0</v>
      </c>
      <c r="T143" s="494">
        <f t="shared" si="31"/>
        <v>0</v>
      </c>
      <c r="U143" s="442"/>
      <c r="V143" s="182" t="s">
        <v>1128</v>
      </c>
    </row>
    <row r="144" spans="1:22">
      <c r="A144" s="584" t="s">
        <v>599</v>
      </c>
      <c r="B144" s="438" t="str">
        <f>VLOOKUP(A144,'Feature Raw Data'!$A$3:$B$4004,2,FALSE)</f>
        <v>DCN4.144 - Vm pattern generator</v>
      </c>
      <c r="C144" s="439" t="s">
        <v>280</v>
      </c>
      <c r="D144" s="440" t="str" cm="1">
        <f t="array" ref="D144">_xlfn.TEXTJOIN("",TRUE,IF(ISNUMBER(SEARCH($A144,'Diags Raw Data'!$A$6:$A$3791)),CONCATENATE('Diags Raw Data'!$H$6:$H$3791,", "),""))</f>
        <v xml:space="preserve">DCHB005, DCHB022, </v>
      </c>
      <c r="E144" s="336" t="e">
        <f>VLOOKUP(A144,'Diags Raw Data'!$A$6:$D$3791,4,FALSE)</f>
        <v>#N/A</v>
      </c>
      <c r="F144" s="336" t="str">
        <f>VLOOKUP(A144,'Feature Raw Data'!$A$3:$E$4004,5,FALSE)</f>
        <v>Legacy</v>
      </c>
      <c r="G144" s="336" t="str">
        <f t="shared" si="26"/>
        <v>Yes</v>
      </c>
      <c r="H144" s="336" t="str">
        <f t="shared" si="27"/>
        <v>Yes</v>
      </c>
      <c r="I144" s="439">
        <f>SUMIF('Diags Raw Data'!$A$6:$A$3791,"*"&amp;$A144&amp;"*",'Diags Raw Data'!$K$6:$K$3791)</f>
        <v>2</v>
      </c>
      <c r="J144" s="441">
        <f>SUMIF('Diags Raw Data'!$A$6:$A$3791,"*"&amp;$A144&amp;"*",'Diags Raw Data'!$L$6:$L$3791)</f>
        <v>38</v>
      </c>
      <c r="K144" s="486" cm="1">
        <f t="array" ref="K144">IF(D144="",0, SUMPRODUCT(--(ISNUMBER(SEARCH($A144,'Diags Raw Data'!$A$6:$A$3791))),'Diags Raw Data'!$L$6:$L$3791,'Diags Raw Data'!$N$6:$N$3791)/J144)</f>
        <v>1</v>
      </c>
      <c r="L144" s="487" cm="1">
        <f t="array" ref="L144">IF(D144="",0, SUMPRODUCT(--(ISNUMBER(SEARCH($A144,'Diags Raw Data'!$A$6:$A$3791))),'Diags Raw Data'!$L$6:$L$3791,'Diags Raw Data'!$P$6:$P$3791)/J144)</f>
        <v>1</v>
      </c>
      <c r="M144" s="488" cm="1">
        <f t="array" ref="M144">SUMPRODUCT(--(ISNUMBER(SEARCH($A144,'Diags Raw Data'!$A$6:$A$3791))),--('Diags Raw Data'!$Q$6:$Q$3791&lt;&gt;"N/A"),'Diags Raw Data'!$R$6:$R$3791)</f>
        <v>38</v>
      </c>
      <c r="N144" s="489" cm="1">
        <f t="array" ref="N144">SUMPRODUCT(--(ISNUMBER(SEARCH($A144,'Diags Raw Data'!$A$6:$A$3791))),--('Diags Raw Data'!$Q$6:$Q$3791&lt;&gt;"N/A"),'Diags Raw Data'!$T$6:$T$3791)+SUMPRODUCT(--(ISNUMBER(SEARCH($A144,'Diags Raw Data'!$A$6:$A$3791))),--('Diags Raw Data'!$Q$6:$Q$3791&lt;&gt;"N/A"),'Diags Raw Data'!$U$6:$U$3791)</f>
        <v>19</v>
      </c>
      <c r="O144" s="490">
        <f t="shared" si="28"/>
        <v>0.5</v>
      </c>
      <c r="P144" s="491">
        <f>SUMIF('Diags Raw Data'!$A$6:$A$3791,"*"&amp;$A144&amp;"*",'Diags Raw Data'!$Z$6:$Z$3791)</f>
        <v>0</v>
      </c>
      <c r="Q144" s="492">
        <f>SUM(SUMIF('Diags Raw Data'!$A$6:$A$3791,"*"&amp;$A144&amp;"*",'Diags Raw Data'!$AA$6:$AA$3791),SUMIF('Diags Raw Data'!$A$6:$A$3791,"*"&amp;$A144&amp;"*",'Diags Raw Data'!$AB$6:$AB$3791))</f>
        <v>0</v>
      </c>
      <c r="R144" s="493">
        <f t="shared" si="29"/>
        <v>0</v>
      </c>
      <c r="S144" s="493">
        <f t="shared" si="30"/>
        <v>0</v>
      </c>
      <c r="T144" s="494">
        <f t="shared" si="31"/>
        <v>0</v>
      </c>
      <c r="U144" s="442" t="s">
        <v>1133</v>
      </c>
      <c r="V144" s="182"/>
    </row>
    <row r="145" spans="1:22" hidden="1">
      <c r="A145" s="584" t="s">
        <v>601</v>
      </c>
      <c r="B145" s="438" t="str">
        <f>VLOOKUP(A145,'Feature Raw Data'!$A$3:$B$4004,2,FALSE)</f>
        <v>DCN4.145 - Entire dcn harvesting</v>
      </c>
      <c r="C145" s="439" t="s">
        <v>280</v>
      </c>
      <c r="D145" s="440" t="str" cm="1">
        <f t="array" ref="D145">_xlfn.TEXTJOIN("",TRUE,IF(ISNUMBER(SEARCH($A145,'Diags Raw Data'!$A$6:$A$3791)),CONCATENATE('Diags Raw Data'!$H$6:$H$3791,", "),""))</f>
        <v/>
      </c>
      <c r="E145" s="336" t="e">
        <f>VLOOKUP(A145,'Diags Raw Data'!$A$6:$D$3791,4,FALSE)</f>
        <v>#N/A</v>
      </c>
      <c r="F145" s="336" t="str">
        <f>VLOOKUP(A145,'Feature Raw Data'!$A$3:$E$4004,5,FALSE)</f>
        <v>Legacy</v>
      </c>
      <c r="G145" s="336" t="str">
        <f t="shared" si="26"/>
        <v>No</v>
      </c>
      <c r="H145" s="336" t="str">
        <f t="shared" si="27"/>
        <v>No</v>
      </c>
      <c r="I145" s="439">
        <f>SUMIF('Diags Raw Data'!$A$6:$A$3791,"*"&amp;$A145&amp;"*",'Diags Raw Data'!$K$6:$K$3791)</f>
        <v>0</v>
      </c>
      <c r="J145" s="441">
        <f>SUMIF('Diags Raw Data'!$A$6:$A$3791,"*"&amp;$A145&amp;"*",'Diags Raw Data'!$L$6:$L$3791)</f>
        <v>0</v>
      </c>
      <c r="K145" s="486" cm="1">
        <f t="array" ref="K145">IF(D145="",0, SUMPRODUCT(--(ISNUMBER(SEARCH($A145,'Diags Raw Data'!$A$6:$A$3791))),'Diags Raw Data'!$L$6:$L$3791,'Diags Raw Data'!$N$6:$N$3791)/J145)</f>
        <v>0</v>
      </c>
      <c r="L145" s="487" cm="1">
        <f t="array" ref="L145">IF(D145="",0, SUMPRODUCT(--(ISNUMBER(SEARCH($A145,'Diags Raw Data'!$A$6:$A$3791))),'Diags Raw Data'!$L$6:$L$3791,'Diags Raw Data'!$P$6:$P$3791)/J145)</f>
        <v>0</v>
      </c>
      <c r="M145" s="488" cm="1">
        <f t="array" ref="M145">SUMPRODUCT(--(ISNUMBER(SEARCH($A145,'Diags Raw Data'!$A$6:$A$3791))),--('Diags Raw Data'!$Q$6:$Q$3791&lt;&gt;"N/A"),'Diags Raw Data'!$R$6:$R$3791)</f>
        <v>0</v>
      </c>
      <c r="N145" s="489" cm="1">
        <f t="array" ref="N145">SUMPRODUCT(--(ISNUMBER(SEARCH($A145,'Diags Raw Data'!$A$6:$A$3791))),--('Diags Raw Data'!$Q$6:$Q$3791&lt;&gt;"N/A"),'Diags Raw Data'!$T$6:$T$3791)+SUMPRODUCT(--(ISNUMBER(SEARCH($A145,'Diags Raw Data'!$A$6:$A$3791))),--('Diags Raw Data'!$Q$6:$Q$3791&lt;&gt;"N/A"),'Diags Raw Data'!$U$6:$U$3791)</f>
        <v>0</v>
      </c>
      <c r="O145" s="490">
        <f t="shared" si="28"/>
        <v>0</v>
      </c>
      <c r="P145" s="491">
        <f>SUMIF('Diags Raw Data'!$A$6:$A$3791,"*"&amp;$A145&amp;"*",'Diags Raw Data'!$Z$6:$Z$3791)</f>
        <v>0</v>
      </c>
      <c r="Q145" s="492">
        <f>SUM(SUMIF('Diags Raw Data'!$A$6:$A$3791,"*"&amp;$A145&amp;"*",'Diags Raw Data'!$AA$6:$AA$3791),SUMIF('Diags Raw Data'!$A$6:$A$3791,"*"&amp;$A145&amp;"*",'Diags Raw Data'!$AB$6:$AB$3791))</f>
        <v>0</v>
      </c>
      <c r="R145" s="493">
        <f t="shared" si="29"/>
        <v>0</v>
      </c>
      <c r="S145" s="493">
        <f t="shared" si="30"/>
        <v>0</v>
      </c>
      <c r="T145" s="494">
        <f t="shared" si="31"/>
        <v>0</v>
      </c>
      <c r="U145" s="442" t="s">
        <v>1133</v>
      </c>
      <c r="V145" s="182"/>
    </row>
    <row r="146" spans="1:22" ht="29.1" hidden="1">
      <c r="A146" s="584" t="s">
        <v>603</v>
      </c>
      <c r="B146" s="438" t="str">
        <f>VLOOKUP(A146,'Feature Raw Data'!$A$3:$B$4004,2,FALSE)</f>
        <v>DCN4.146 - ASSR encryption support on DP 128b132b</v>
      </c>
      <c r="C146" s="439" t="s">
        <v>280</v>
      </c>
      <c r="D146" s="440" t="str" cm="1">
        <f t="array" ref="D146">_xlfn.TEXTJOIN("",TRUE,IF(ISNUMBER(SEARCH($A146,'Diags Raw Data'!$A$6:$A$3791)),CONCATENATE('Diags Raw Data'!$H$6:$H$3791,", "),""))</f>
        <v/>
      </c>
      <c r="E146" s="336" t="e">
        <f>VLOOKUP(A146,'Diags Raw Data'!$A$6:$D$3791,4,FALSE)</f>
        <v>#N/A</v>
      </c>
      <c r="F146" s="336" t="str">
        <f>VLOOKUP(A146,'Feature Raw Data'!$A$3:$E$4004,5,FALSE)</f>
        <v>New</v>
      </c>
      <c r="G146" s="336" t="str">
        <f t="shared" si="26"/>
        <v>No</v>
      </c>
      <c r="H146" s="336" t="str">
        <f t="shared" si="27"/>
        <v>No</v>
      </c>
      <c r="I146" s="439">
        <f>SUMIF('Diags Raw Data'!$A$6:$A$3791,"*"&amp;$A146&amp;"*",'Diags Raw Data'!$K$6:$K$3791)</f>
        <v>0</v>
      </c>
      <c r="J146" s="441">
        <f>SUMIF('Diags Raw Data'!$A$6:$A$3791,"*"&amp;$A146&amp;"*",'Diags Raw Data'!$L$6:$L$3791)</f>
        <v>0</v>
      </c>
      <c r="K146" s="486" cm="1">
        <f t="array" ref="K146">IF(D146="",0, SUMPRODUCT(--(ISNUMBER(SEARCH($A146,'Diags Raw Data'!$A$6:$A$3791))),'Diags Raw Data'!$L$6:$L$3791,'Diags Raw Data'!$N$6:$N$3791)/J146)</f>
        <v>0</v>
      </c>
      <c r="L146" s="487" cm="1">
        <f t="array" ref="L146">IF(D146="",0, SUMPRODUCT(--(ISNUMBER(SEARCH($A146,'Diags Raw Data'!$A$6:$A$3791))),'Diags Raw Data'!$L$6:$L$3791,'Diags Raw Data'!$P$6:$P$3791)/J146)</f>
        <v>0</v>
      </c>
      <c r="M146" s="488" cm="1">
        <f t="array" ref="M146">SUMPRODUCT(--(ISNUMBER(SEARCH($A146,'Diags Raw Data'!$A$6:$A$3791))),--('Diags Raw Data'!$Q$6:$Q$3791&lt;&gt;"N/A"),'Diags Raw Data'!$R$6:$R$3791)</f>
        <v>0</v>
      </c>
      <c r="N146" s="489" cm="1">
        <f t="array" ref="N146">SUMPRODUCT(--(ISNUMBER(SEARCH($A146,'Diags Raw Data'!$A$6:$A$3791))),--('Diags Raw Data'!$Q$6:$Q$3791&lt;&gt;"N/A"),'Diags Raw Data'!$T$6:$T$3791)+SUMPRODUCT(--(ISNUMBER(SEARCH($A146,'Diags Raw Data'!$A$6:$A$3791))),--('Diags Raw Data'!$Q$6:$Q$3791&lt;&gt;"N/A"),'Diags Raw Data'!$U$6:$U$3791)</f>
        <v>0</v>
      </c>
      <c r="O146" s="490">
        <f t="shared" si="28"/>
        <v>0</v>
      </c>
      <c r="P146" s="491">
        <f>SUMIF('Diags Raw Data'!$A$6:$A$3791,"*"&amp;$A146&amp;"*",'Diags Raw Data'!$Z$6:$Z$3791)</f>
        <v>0</v>
      </c>
      <c r="Q146" s="492">
        <f>SUM(SUMIF('Diags Raw Data'!$A$6:$A$3791,"*"&amp;$A146&amp;"*",'Diags Raw Data'!$AA$6:$AA$3791),SUMIF('Diags Raw Data'!$A$6:$A$3791,"*"&amp;$A146&amp;"*",'Diags Raw Data'!$AB$6:$AB$3791))</f>
        <v>0</v>
      </c>
      <c r="R146" s="493">
        <f t="shared" si="29"/>
        <v>0</v>
      </c>
      <c r="S146" s="493">
        <f t="shared" si="30"/>
        <v>0</v>
      </c>
      <c r="T146" s="494">
        <f t="shared" si="31"/>
        <v>0</v>
      </c>
      <c r="U146" s="442"/>
      <c r="V146" s="182" t="s">
        <v>1128</v>
      </c>
    </row>
    <row r="147" spans="1:22" hidden="1">
      <c r="A147" s="584" t="s">
        <v>605</v>
      </c>
      <c r="B147" s="438" t="str">
        <f>VLOOKUP(A147,'Feature Raw Data'!$A$3:$B$4004,2,FALSE)</f>
        <v>DCN4.147 - Auxless ALPM for DP2</v>
      </c>
      <c r="C147" s="439" t="s">
        <v>280</v>
      </c>
      <c r="D147" s="440" t="str" cm="1">
        <f t="array" ref="D147">_xlfn.TEXTJOIN("",TRUE,IF(ISNUMBER(SEARCH($A147,'Diags Raw Data'!$A$6:$A$3791)),CONCATENATE('Diags Raw Data'!$H$6:$H$3791,", "),""))</f>
        <v/>
      </c>
      <c r="E147" s="336" t="e">
        <f>VLOOKUP(A147,'Diags Raw Data'!$A$6:$D$3791,4,FALSE)</f>
        <v>#N/A</v>
      </c>
      <c r="F147" s="336" t="str">
        <f>VLOOKUP(A147,'Feature Raw Data'!$A$3:$E$4004,5,FALSE)</f>
        <v>New</v>
      </c>
      <c r="G147" s="336" t="str">
        <f t="shared" si="26"/>
        <v>No</v>
      </c>
      <c r="H147" s="336" t="str">
        <f t="shared" si="27"/>
        <v>No</v>
      </c>
      <c r="I147" s="439">
        <f>SUMIF('Diags Raw Data'!$A$6:$A$3791,"*"&amp;$A147&amp;"*",'Diags Raw Data'!$K$6:$K$3791)</f>
        <v>0</v>
      </c>
      <c r="J147" s="441">
        <f>SUMIF('Diags Raw Data'!$A$6:$A$3791,"*"&amp;$A147&amp;"*",'Diags Raw Data'!$L$6:$L$3791)</f>
        <v>0</v>
      </c>
      <c r="K147" s="486" cm="1">
        <f t="array" ref="K147">IF(D147="",0, SUMPRODUCT(--(ISNUMBER(SEARCH($A147,'Diags Raw Data'!$A$6:$A$3791))),'Diags Raw Data'!$L$6:$L$3791,'Diags Raw Data'!$N$6:$N$3791)/J147)</f>
        <v>0</v>
      </c>
      <c r="L147" s="487" cm="1">
        <f t="array" ref="L147">IF(D147="",0, SUMPRODUCT(--(ISNUMBER(SEARCH($A147,'Diags Raw Data'!$A$6:$A$3791))),'Diags Raw Data'!$L$6:$L$3791,'Diags Raw Data'!$P$6:$P$3791)/J147)</f>
        <v>0</v>
      </c>
      <c r="M147" s="488" cm="1">
        <f t="array" ref="M147">SUMPRODUCT(--(ISNUMBER(SEARCH($A147,'Diags Raw Data'!$A$6:$A$3791))),--('Diags Raw Data'!$Q$6:$Q$3791&lt;&gt;"N/A"),'Diags Raw Data'!$R$6:$R$3791)</f>
        <v>0</v>
      </c>
      <c r="N147" s="489" cm="1">
        <f t="array" ref="N147">SUMPRODUCT(--(ISNUMBER(SEARCH($A147,'Diags Raw Data'!$A$6:$A$3791))),--('Diags Raw Data'!$Q$6:$Q$3791&lt;&gt;"N/A"),'Diags Raw Data'!$T$6:$T$3791)+SUMPRODUCT(--(ISNUMBER(SEARCH($A147,'Diags Raw Data'!$A$6:$A$3791))),--('Diags Raw Data'!$Q$6:$Q$3791&lt;&gt;"N/A"),'Diags Raw Data'!$U$6:$U$3791)</f>
        <v>0</v>
      </c>
      <c r="O147" s="490">
        <f t="shared" si="28"/>
        <v>0</v>
      </c>
      <c r="P147" s="491">
        <f>SUMIF('Diags Raw Data'!$A$6:$A$3791,"*"&amp;$A147&amp;"*",'Diags Raw Data'!$Z$6:$Z$3791)</f>
        <v>0</v>
      </c>
      <c r="Q147" s="492">
        <f>SUM(SUMIF('Diags Raw Data'!$A$6:$A$3791,"*"&amp;$A147&amp;"*",'Diags Raw Data'!$AA$6:$AA$3791),SUMIF('Diags Raw Data'!$A$6:$A$3791,"*"&amp;$A147&amp;"*",'Diags Raw Data'!$AB$6:$AB$3791))</f>
        <v>0</v>
      </c>
      <c r="R147" s="493">
        <f t="shared" si="29"/>
        <v>0</v>
      </c>
      <c r="S147" s="493">
        <f t="shared" si="30"/>
        <v>0</v>
      </c>
      <c r="T147" s="494">
        <f t="shared" si="31"/>
        <v>0</v>
      </c>
      <c r="U147" s="442"/>
      <c r="V147" s="182" t="s">
        <v>1128</v>
      </c>
    </row>
    <row r="148" spans="1:22">
      <c r="A148" s="584" t="s">
        <v>607</v>
      </c>
      <c r="B148" s="438" t="str">
        <f>VLOOKUP(A148,'Feature Raw Data'!$A$3:$B$4004,2,FALSE)</f>
        <v>DCN4.148 - Support per OTG disable fuse</v>
      </c>
      <c r="C148" s="439" t="s">
        <v>280</v>
      </c>
      <c r="D148" s="440" t="str" cm="1">
        <f t="array" ref="D148">_xlfn.TEXTJOIN("",TRUE,IF(ISNUMBER(SEARCH($A148,'Diags Raw Data'!$A$6:$A$3791)),CONCATENATE('Diags Raw Data'!$H$6:$H$3791,", "),""))</f>
        <v xml:space="preserve">MPC003, </v>
      </c>
      <c r="E148" s="336" t="e">
        <f>VLOOKUP(A148,'Diags Raw Data'!$A$6:$D$3791,4,FALSE)</f>
        <v>#N/A</v>
      </c>
      <c r="F148" s="336" t="str">
        <f>VLOOKUP(A148,'Feature Raw Data'!$A$3:$E$4004,5,FALSE)</f>
        <v>New</v>
      </c>
      <c r="G148" s="336" t="str">
        <f t="shared" si="26"/>
        <v>Yes</v>
      </c>
      <c r="H148" s="336" t="str">
        <f t="shared" si="27"/>
        <v>Yes</v>
      </c>
      <c r="I148" s="439">
        <f>SUMIF('Diags Raw Data'!$A$6:$A$3791,"*"&amp;$A148&amp;"*",'Diags Raw Data'!$K$6:$K$3791)</f>
        <v>1</v>
      </c>
      <c r="J148" s="441">
        <f>SUMIF('Diags Raw Data'!$A$6:$A$3791,"*"&amp;$A148&amp;"*",'Diags Raw Data'!$L$6:$L$3791)</f>
        <v>6</v>
      </c>
      <c r="K148" s="486" cm="1">
        <f t="array" ref="K148">IF(D148="",0, SUMPRODUCT(--(ISNUMBER(SEARCH($A148,'Diags Raw Data'!$A$6:$A$3791))),'Diags Raw Data'!$L$6:$L$3791,'Diags Raw Data'!$N$6:$N$3791)/J148)</f>
        <v>1</v>
      </c>
      <c r="L148" s="487" cm="1">
        <f t="array" ref="L148">IF(D148="",0, SUMPRODUCT(--(ISNUMBER(SEARCH($A148,'Diags Raw Data'!$A$6:$A$3791))),'Diags Raw Data'!$L$6:$L$3791,'Diags Raw Data'!$P$6:$P$3791)/J148)</f>
        <v>1</v>
      </c>
      <c r="M148" s="488" cm="1">
        <f t="array" ref="M148">SUMPRODUCT(--(ISNUMBER(SEARCH($A148,'Diags Raw Data'!$A$6:$A$3791))),--('Diags Raw Data'!$Q$6:$Q$3791&lt;&gt;"N/A"),'Diags Raw Data'!$R$6:$R$3791)</f>
        <v>6</v>
      </c>
      <c r="N148" s="489" cm="1">
        <f t="array" ref="N148">SUMPRODUCT(--(ISNUMBER(SEARCH($A148,'Diags Raw Data'!$A$6:$A$3791))),--('Diags Raw Data'!$Q$6:$Q$3791&lt;&gt;"N/A"),'Diags Raw Data'!$T$6:$T$3791)+SUMPRODUCT(--(ISNUMBER(SEARCH($A148,'Diags Raw Data'!$A$6:$A$3791))),--('Diags Raw Data'!$Q$6:$Q$3791&lt;&gt;"N/A"),'Diags Raw Data'!$U$6:$U$3791)</f>
        <v>5</v>
      </c>
      <c r="O148" s="490">
        <f t="shared" si="28"/>
        <v>0.83333333333333337</v>
      </c>
      <c r="P148" s="491">
        <f>SUMIF('Diags Raw Data'!$A$6:$A$3791,"*"&amp;$A148&amp;"*",'Diags Raw Data'!$Z$6:$Z$3791)</f>
        <v>0</v>
      </c>
      <c r="Q148" s="492">
        <f>SUM(SUMIF('Diags Raw Data'!$A$6:$A$3791,"*"&amp;$A148&amp;"*",'Diags Raw Data'!$AA$6:$AA$3791),SUMIF('Diags Raw Data'!$A$6:$A$3791,"*"&amp;$A148&amp;"*",'Diags Raw Data'!$AB$6:$AB$3791))</f>
        <v>0</v>
      </c>
      <c r="R148" s="493">
        <f t="shared" si="29"/>
        <v>0</v>
      </c>
      <c r="S148" s="493">
        <f t="shared" si="30"/>
        <v>0</v>
      </c>
      <c r="T148" s="494">
        <f t="shared" si="31"/>
        <v>0</v>
      </c>
      <c r="U148" s="442" t="s">
        <v>1137</v>
      </c>
      <c r="V148" s="182"/>
    </row>
    <row r="149" spans="1:22">
      <c r="A149" s="584" t="s">
        <v>609</v>
      </c>
      <c r="B149" s="438" t="str">
        <f>VLOOKUP(A149,'Feature Raw Data'!$A$3:$B$4004,2,FALSE)</f>
        <v>DCN4.149 - Dchub sdp 2-bit no-alloc signaling</v>
      </c>
      <c r="C149" s="439" t="s">
        <v>280</v>
      </c>
      <c r="D149" s="440" t="str" cm="1">
        <f t="array" ref="D149">_xlfn.TEXTJOIN("",TRUE,IF(ISNUMBER(SEARCH($A149,'Diags Raw Data'!$A$6:$A$3791)),CONCATENATE('Diags Raw Data'!$H$6:$H$3791,", "),""))</f>
        <v xml:space="preserve">DCHB017, </v>
      </c>
      <c r="E149" s="336" t="e">
        <f>VLOOKUP(A149,'Diags Raw Data'!$A$6:$D$3791,4,FALSE)</f>
        <v>#N/A</v>
      </c>
      <c r="F149" s="336" t="str">
        <f>VLOOKUP(A149,'Feature Raw Data'!$A$3:$E$4004,5,FALSE)</f>
        <v>Delta</v>
      </c>
      <c r="G149" s="336" t="str">
        <f t="shared" si="26"/>
        <v>Yes</v>
      </c>
      <c r="H149" s="336" t="str">
        <f t="shared" si="27"/>
        <v>Yes</v>
      </c>
      <c r="I149" s="439">
        <f>SUMIF('Diags Raw Data'!$A$6:$A$3791,"*"&amp;$A149&amp;"*",'Diags Raw Data'!$K$6:$K$3791)</f>
        <v>5</v>
      </c>
      <c r="J149" s="441">
        <f>SUMIF('Diags Raw Data'!$A$6:$A$3791,"*"&amp;$A149&amp;"*",'Diags Raw Data'!$L$6:$L$3791)</f>
        <v>1</v>
      </c>
      <c r="K149" s="486" cm="1">
        <f t="array" ref="K149">IF(D149="",0, SUMPRODUCT(--(ISNUMBER(SEARCH($A149,'Diags Raw Data'!$A$6:$A$3791))),'Diags Raw Data'!$L$6:$L$3791,'Diags Raw Data'!$N$6:$N$3791)/J149)</f>
        <v>1</v>
      </c>
      <c r="L149" s="487" cm="1">
        <f t="array" ref="L149">IF(D149="",0, SUMPRODUCT(--(ISNUMBER(SEARCH($A149,'Diags Raw Data'!$A$6:$A$3791))),'Diags Raw Data'!$L$6:$L$3791,'Diags Raw Data'!$P$6:$P$3791)/J149)</f>
        <v>1</v>
      </c>
      <c r="M149" s="488" cm="1">
        <f t="array" ref="M149">SUMPRODUCT(--(ISNUMBER(SEARCH($A149,'Diags Raw Data'!$A$6:$A$3791))),--('Diags Raw Data'!$Q$6:$Q$3791&lt;&gt;"N/A"),'Diags Raw Data'!$R$6:$R$3791)</f>
        <v>1</v>
      </c>
      <c r="N149" s="489" cm="1">
        <f t="array" ref="N149">SUMPRODUCT(--(ISNUMBER(SEARCH($A149,'Diags Raw Data'!$A$6:$A$3791))),--('Diags Raw Data'!$Q$6:$Q$3791&lt;&gt;"N/A"),'Diags Raw Data'!$T$6:$T$3791)+SUMPRODUCT(--(ISNUMBER(SEARCH($A149,'Diags Raw Data'!$A$6:$A$3791))),--('Diags Raw Data'!$Q$6:$Q$3791&lt;&gt;"N/A"),'Diags Raw Data'!$U$6:$U$3791)</f>
        <v>0</v>
      </c>
      <c r="O149" s="490">
        <f t="shared" si="28"/>
        <v>0</v>
      </c>
      <c r="P149" s="491">
        <f>SUMIF('Diags Raw Data'!$A$6:$A$3791,"*"&amp;$A149&amp;"*",'Diags Raw Data'!$Z$6:$Z$3791)</f>
        <v>0</v>
      </c>
      <c r="Q149" s="492">
        <f>SUM(SUMIF('Diags Raw Data'!$A$6:$A$3791,"*"&amp;$A149&amp;"*",'Diags Raw Data'!$AA$6:$AA$3791),SUMIF('Diags Raw Data'!$A$6:$A$3791,"*"&amp;$A149&amp;"*",'Diags Raw Data'!$AB$6:$AB$3791))</f>
        <v>0</v>
      </c>
      <c r="R149" s="493">
        <f t="shared" si="29"/>
        <v>0</v>
      </c>
      <c r="S149" s="493">
        <f t="shared" si="30"/>
        <v>0</v>
      </c>
      <c r="T149" s="494">
        <f t="shared" si="31"/>
        <v>0</v>
      </c>
      <c r="U149" s="442" t="s">
        <v>1137</v>
      </c>
      <c r="V149" s="182"/>
    </row>
    <row r="150" spans="1:22">
      <c r="A150" s="584" t="s">
        <v>611</v>
      </c>
      <c r="B150" s="438" t="str">
        <f>VLOOKUP(A150,'Feature Raw Data'!$A$3:$B$4004,2,FALSE)</f>
        <v>DCN4.150 - Dpp Recin width and height upate</v>
      </c>
      <c r="C150" s="439" t="s">
        <v>280</v>
      </c>
      <c r="D150" s="440" t="str" cm="1">
        <f t="array" ref="D150">_xlfn.TEXTJOIN("",TRUE,IF(ISNUMBER(SEARCH($A150,'Diags Raw Data'!$A$6:$A$3791)),CONCATENATE('Diags Raw Data'!$H$6:$H$3791,", "),""))</f>
        <v xml:space="preserve">DPP034, </v>
      </c>
      <c r="E150" s="336" t="e">
        <f>VLOOKUP(A150,'Diags Raw Data'!$A$6:$D$3791,4,FALSE)</f>
        <v>#N/A</v>
      </c>
      <c r="F150" s="336" t="str">
        <f>VLOOKUP(A150,'Feature Raw Data'!$A$3:$E$4004,5,FALSE)</f>
        <v>Delta</v>
      </c>
      <c r="G150" s="336" t="str">
        <f t="shared" si="26"/>
        <v>Yes</v>
      </c>
      <c r="H150" s="336" t="str">
        <f t="shared" si="27"/>
        <v>Yes</v>
      </c>
      <c r="I150" s="439">
        <f>SUMIF('Diags Raw Data'!$A$6:$A$3791,"*"&amp;$A150&amp;"*",'Diags Raw Data'!$K$6:$K$3791)</f>
        <v>1</v>
      </c>
      <c r="J150" s="441">
        <f>SUMIF('Diags Raw Data'!$A$6:$A$3791,"*"&amp;$A150&amp;"*",'Diags Raw Data'!$L$6:$L$3791)</f>
        <v>13</v>
      </c>
      <c r="K150" s="486" cm="1">
        <f t="array" ref="K150">IF(D150="",0, SUMPRODUCT(--(ISNUMBER(SEARCH($A150,'Diags Raw Data'!$A$6:$A$3791))),'Diags Raw Data'!$L$6:$L$3791,'Diags Raw Data'!$N$6:$N$3791)/J150)</f>
        <v>1</v>
      </c>
      <c r="L150" s="487" cm="1">
        <f t="array" ref="L150">IF(D150="",0, SUMPRODUCT(--(ISNUMBER(SEARCH($A150,'Diags Raw Data'!$A$6:$A$3791))),'Diags Raw Data'!$L$6:$L$3791,'Diags Raw Data'!$P$6:$P$3791)/J150)</f>
        <v>1</v>
      </c>
      <c r="M150" s="488" cm="1">
        <f t="array" ref="M150">SUMPRODUCT(--(ISNUMBER(SEARCH($A150,'Diags Raw Data'!$A$6:$A$3791))),--('Diags Raw Data'!$Q$6:$Q$3791&lt;&gt;"N/A"),'Diags Raw Data'!$R$6:$R$3791)</f>
        <v>1</v>
      </c>
      <c r="N150" s="489" cm="1">
        <f t="array" ref="N150">SUMPRODUCT(--(ISNUMBER(SEARCH($A150,'Diags Raw Data'!$A$6:$A$3791))),--('Diags Raw Data'!$Q$6:$Q$3791&lt;&gt;"N/A"),'Diags Raw Data'!$T$6:$T$3791)+SUMPRODUCT(--(ISNUMBER(SEARCH($A150,'Diags Raw Data'!$A$6:$A$3791))),--('Diags Raw Data'!$Q$6:$Q$3791&lt;&gt;"N/A"),'Diags Raw Data'!$U$6:$U$3791)</f>
        <v>0</v>
      </c>
      <c r="O150" s="490">
        <f t="shared" si="28"/>
        <v>0</v>
      </c>
      <c r="P150" s="491">
        <f>SUMIF('Diags Raw Data'!$A$6:$A$3791,"*"&amp;$A150&amp;"*",'Diags Raw Data'!$Z$6:$Z$3791)</f>
        <v>0</v>
      </c>
      <c r="Q150" s="492">
        <f>SUM(SUMIF('Diags Raw Data'!$A$6:$A$3791,"*"&amp;$A150&amp;"*",'Diags Raw Data'!$AA$6:$AA$3791),SUMIF('Diags Raw Data'!$A$6:$A$3791,"*"&amp;$A150&amp;"*",'Diags Raw Data'!$AB$6:$AB$3791))</f>
        <v>0</v>
      </c>
      <c r="R150" s="493">
        <f t="shared" si="29"/>
        <v>0</v>
      </c>
      <c r="S150" s="493">
        <f t="shared" si="30"/>
        <v>0</v>
      </c>
      <c r="T150" s="494">
        <f t="shared" si="31"/>
        <v>0</v>
      </c>
      <c r="U150" s="442" t="s">
        <v>1133</v>
      </c>
      <c r="V150" s="182"/>
    </row>
    <row r="151" spans="1:22" ht="43.7">
      <c r="A151" s="584" t="s">
        <v>613</v>
      </c>
      <c r="B151" s="438" t="str">
        <f>VLOOKUP(A151,'Feature Raw Data'!$A$3:$B$4004,2,FALSE)</f>
        <v>DCN4.151 - Dmcub mailbox</v>
      </c>
      <c r="C151" s="439" t="s">
        <v>280</v>
      </c>
      <c r="D151" s="440" t="str" cm="1">
        <f t="array" ref="D151">_xlfn.TEXTJOIN("",TRUE,IF(ISNUMBER(SEARCH($A151,'Diags Raw Data'!$A$6:$A$3791)),CONCATENATE('Diags Raw Data'!$H$6:$H$3791,", "),""))</f>
        <v xml:space="preserve">DISP014, disp.smoke.multi_stream, </v>
      </c>
      <c r="E151" s="336" t="e">
        <f>VLOOKUP(A151,'Diags Raw Data'!$A$6:$D$3791,4,FALSE)</f>
        <v>#N/A</v>
      </c>
      <c r="F151" s="336" t="str">
        <f>VLOOKUP(A151,'Feature Raw Data'!$A$3:$E$4004,5,FALSE)</f>
        <v>New</v>
      </c>
      <c r="G151" s="336" t="str">
        <f t="shared" si="26"/>
        <v>Yes</v>
      </c>
      <c r="H151" s="336" t="str">
        <f t="shared" si="27"/>
        <v>Yes</v>
      </c>
      <c r="I151" s="439">
        <f>SUMIF('Diags Raw Data'!$A$6:$A$3791,"*"&amp;$A151&amp;"*",'Diags Raw Data'!$K$6:$K$3791)</f>
        <v>2</v>
      </c>
      <c r="J151" s="441">
        <f>SUMIF('Diags Raw Data'!$A$6:$A$3791,"*"&amp;$A151&amp;"*",'Diags Raw Data'!$L$6:$L$3791)</f>
        <v>2</v>
      </c>
      <c r="K151" s="486" cm="1">
        <f t="array" ref="K151">IF(D151="",0, SUMPRODUCT(--(ISNUMBER(SEARCH($A151,'Diags Raw Data'!$A$6:$A$3791))),'Diags Raw Data'!$L$6:$L$3791,'Diags Raw Data'!$N$6:$N$3791)/J151)</f>
        <v>1</v>
      </c>
      <c r="L151" s="487" cm="1">
        <f t="array" ref="L151">IF(D151="",0, SUMPRODUCT(--(ISNUMBER(SEARCH($A151,'Diags Raw Data'!$A$6:$A$3791))),'Diags Raw Data'!$L$6:$L$3791,'Diags Raw Data'!$P$6:$P$3791)/J151)</f>
        <v>1</v>
      </c>
      <c r="M151" s="488" cm="1">
        <f t="array" ref="M151">SUMPRODUCT(--(ISNUMBER(SEARCH($A151,'Diags Raw Data'!$A$6:$A$3791))),--('Diags Raw Data'!$Q$6:$Q$3791&lt;&gt;"N/A"),'Diags Raw Data'!$R$6:$R$3791)</f>
        <v>2</v>
      </c>
      <c r="N151" s="489" cm="1">
        <f t="array" ref="N151">SUMPRODUCT(--(ISNUMBER(SEARCH($A151,'Diags Raw Data'!$A$6:$A$3791))),--('Diags Raw Data'!$Q$6:$Q$3791&lt;&gt;"N/A"),'Diags Raw Data'!$T$6:$T$3791)+SUMPRODUCT(--(ISNUMBER(SEARCH($A151,'Diags Raw Data'!$A$6:$A$3791))),--('Diags Raw Data'!$Q$6:$Q$3791&lt;&gt;"N/A"),'Diags Raw Data'!$U$6:$U$3791)</f>
        <v>0</v>
      </c>
      <c r="O151" s="490">
        <f t="shared" si="28"/>
        <v>0</v>
      </c>
      <c r="P151" s="491">
        <f>SUMIF('Diags Raw Data'!$A$6:$A$3791,"*"&amp;$A151&amp;"*",'Diags Raw Data'!$Z$6:$Z$3791)</f>
        <v>0</v>
      </c>
      <c r="Q151" s="492">
        <f>SUM(SUMIF('Diags Raw Data'!$A$6:$A$3791,"*"&amp;$A151&amp;"*",'Diags Raw Data'!$AA$6:$AA$3791),SUMIF('Diags Raw Data'!$A$6:$A$3791,"*"&amp;$A151&amp;"*",'Diags Raw Data'!$AB$6:$AB$3791))</f>
        <v>0</v>
      </c>
      <c r="R151" s="493">
        <f t="shared" si="29"/>
        <v>0</v>
      </c>
      <c r="S151" s="493">
        <f t="shared" si="30"/>
        <v>0</v>
      </c>
      <c r="T151" s="494">
        <f t="shared" si="31"/>
        <v>0</v>
      </c>
      <c r="U151" s="442" t="s">
        <v>1132</v>
      </c>
      <c r="V151" s="182"/>
    </row>
    <row r="152" spans="1:22">
      <c r="A152" s="584" t="s">
        <v>617</v>
      </c>
      <c r="B152" s="438" t="str">
        <f>VLOOKUP(A152,'Feature Raw Data'!$A$3:$B$4004,2,FALSE)</f>
        <v>DCN4.153 - ABM Enhancement</v>
      </c>
      <c r="C152" s="439" t="s">
        <v>280</v>
      </c>
      <c r="D152" s="440" t="str" cm="1">
        <f t="array" ref="D152">_xlfn.TEXTJOIN("",TRUE,IF(ISNUMBER(SEARCH($A152,'Diags Raw Data'!$A$6:$A$3791)),CONCATENATE('Diags Raw Data'!$H$6:$H$3791,", "),""))</f>
        <v xml:space="preserve">ABM066, ABM067, </v>
      </c>
      <c r="E152" s="336" t="e">
        <f>VLOOKUP(A152,'Diags Raw Data'!$A$6:$D$3791,4,FALSE)</f>
        <v>#N/A</v>
      </c>
      <c r="F152" s="336" t="str">
        <f>VLOOKUP(A152,'Feature Raw Data'!$A$3:$E$4004,5,FALSE)</f>
        <v>Delta</v>
      </c>
      <c r="G152" s="336" t="str">
        <f t="shared" si="26"/>
        <v>Yes</v>
      </c>
      <c r="H152" s="336" t="str">
        <f t="shared" si="27"/>
        <v>Yes</v>
      </c>
      <c r="I152" s="439">
        <f>SUMIF('Diags Raw Data'!$A$6:$A$3791,"*"&amp;$A152&amp;"*",'Diags Raw Data'!$K$6:$K$3791)</f>
        <v>2</v>
      </c>
      <c r="J152" s="441">
        <f>SUMIF('Diags Raw Data'!$A$6:$A$3791,"*"&amp;$A152&amp;"*",'Diags Raw Data'!$L$6:$L$3791)</f>
        <v>16</v>
      </c>
      <c r="K152" s="486" cm="1">
        <f t="array" ref="K152">IF(D152="",0, SUMPRODUCT(--(ISNUMBER(SEARCH($A152,'Diags Raw Data'!$A$6:$A$3791))),'Diags Raw Data'!$L$6:$L$3791,'Diags Raw Data'!$N$6:$N$3791)/J152)</f>
        <v>1</v>
      </c>
      <c r="L152" s="487" cm="1">
        <f t="array" ref="L152">IF(D152="",0, SUMPRODUCT(--(ISNUMBER(SEARCH($A152,'Diags Raw Data'!$A$6:$A$3791))),'Diags Raw Data'!$L$6:$L$3791,'Diags Raw Data'!$P$6:$P$3791)/J152)</f>
        <v>6.25E-2</v>
      </c>
      <c r="M152" s="488" cm="1">
        <f t="array" ref="M152">SUMPRODUCT(--(ISNUMBER(SEARCH($A152,'Diags Raw Data'!$A$6:$A$3791))),--('Diags Raw Data'!$Q$6:$Q$3791&lt;&gt;"N/A"),'Diags Raw Data'!$R$6:$R$3791)</f>
        <v>16</v>
      </c>
      <c r="N152" s="489" cm="1">
        <f t="array" ref="N152">SUMPRODUCT(--(ISNUMBER(SEARCH($A152,'Diags Raw Data'!$A$6:$A$3791))),--('Diags Raw Data'!$Q$6:$Q$3791&lt;&gt;"N/A"),'Diags Raw Data'!$T$6:$T$3791)+SUMPRODUCT(--(ISNUMBER(SEARCH($A152,'Diags Raw Data'!$A$6:$A$3791))),--('Diags Raw Data'!$Q$6:$Q$3791&lt;&gt;"N/A"),'Diags Raw Data'!$U$6:$U$3791)</f>
        <v>1</v>
      </c>
      <c r="O152" s="490">
        <f t="shared" si="28"/>
        <v>6.25E-2</v>
      </c>
      <c r="P152" s="491">
        <f>SUMIF('Diags Raw Data'!$A$6:$A$3791,"*"&amp;$A152&amp;"*",'Diags Raw Data'!$Z$6:$Z$3791)</f>
        <v>0</v>
      </c>
      <c r="Q152" s="492">
        <f>SUM(SUMIF('Diags Raw Data'!$A$6:$A$3791,"*"&amp;$A152&amp;"*",'Diags Raw Data'!$AA$6:$AA$3791),SUMIF('Diags Raw Data'!$A$6:$A$3791,"*"&amp;$A152&amp;"*",'Diags Raw Data'!$AB$6:$AB$3791))</f>
        <v>0</v>
      </c>
      <c r="R152" s="493">
        <f t="shared" si="29"/>
        <v>0</v>
      </c>
      <c r="S152" s="493">
        <f t="shared" si="30"/>
        <v>0</v>
      </c>
      <c r="T152" s="494">
        <f t="shared" si="31"/>
        <v>0</v>
      </c>
      <c r="U152" s="442" t="s">
        <v>1134</v>
      </c>
      <c r="V152" s="182"/>
    </row>
    <row r="153" spans="1:22" hidden="1">
      <c r="A153" s="584" t="s">
        <v>619</v>
      </c>
      <c r="B153" s="438" t="str">
        <f>VLOOKUP(A153,'Feature Raw Data'!$A$3:$B$4004,2,FALSE)</f>
        <v>DCN4.154 - Pixel corruption issue fix</v>
      </c>
      <c r="C153" s="439" t="s">
        <v>280</v>
      </c>
      <c r="D153" s="440" t="str" cm="1">
        <f t="array" ref="D153">_xlfn.TEXTJOIN("",TRUE,IF(ISNUMBER(SEARCH($A153,'Diags Raw Data'!$A$6:$A$3791)),CONCATENATE('Diags Raw Data'!$H$6:$H$3791,", "),""))</f>
        <v/>
      </c>
      <c r="E153" s="336" t="e">
        <f>VLOOKUP(A153,'Diags Raw Data'!$A$6:$D$3791,4,FALSE)</f>
        <v>#N/A</v>
      </c>
      <c r="F153" s="336" t="str">
        <f>VLOOKUP(A153,'Feature Raw Data'!$A$3:$E$4004,5,FALSE)</f>
        <v>Delta</v>
      </c>
      <c r="G153" s="336" t="str">
        <f t="shared" si="26"/>
        <v>No</v>
      </c>
      <c r="H153" s="336" t="str">
        <f t="shared" si="27"/>
        <v>No</v>
      </c>
      <c r="I153" s="439">
        <f>SUMIF('Diags Raw Data'!$A$6:$A$3791,"*"&amp;$A153&amp;"*",'Diags Raw Data'!$K$6:$K$3791)</f>
        <v>0</v>
      </c>
      <c r="J153" s="441">
        <f>SUMIF('Diags Raw Data'!$A$6:$A$3791,"*"&amp;$A153&amp;"*",'Diags Raw Data'!$L$6:$L$3791)</f>
        <v>0</v>
      </c>
      <c r="K153" s="486" cm="1">
        <f t="array" ref="K153">IF(D153="",0, SUMPRODUCT(--(ISNUMBER(SEARCH($A153,'Diags Raw Data'!$A$6:$A$3791))),'Diags Raw Data'!$L$6:$L$3791,'Diags Raw Data'!$N$6:$N$3791)/J153)</f>
        <v>0</v>
      </c>
      <c r="L153" s="487" cm="1">
        <f t="array" ref="L153">IF(D153="",0, SUMPRODUCT(--(ISNUMBER(SEARCH($A153,'Diags Raw Data'!$A$6:$A$3791))),'Diags Raw Data'!$L$6:$L$3791,'Diags Raw Data'!$P$6:$P$3791)/J153)</f>
        <v>0</v>
      </c>
      <c r="M153" s="488" cm="1">
        <f t="array" ref="M153">SUMPRODUCT(--(ISNUMBER(SEARCH($A153,'Diags Raw Data'!$A$6:$A$3791))),--('Diags Raw Data'!$Q$6:$Q$3791&lt;&gt;"N/A"),'Diags Raw Data'!$R$6:$R$3791)</f>
        <v>0</v>
      </c>
      <c r="N153" s="489" cm="1">
        <f t="array" ref="N153">SUMPRODUCT(--(ISNUMBER(SEARCH($A153,'Diags Raw Data'!$A$6:$A$3791))),--('Diags Raw Data'!$Q$6:$Q$3791&lt;&gt;"N/A"),'Diags Raw Data'!$T$6:$T$3791)+SUMPRODUCT(--(ISNUMBER(SEARCH($A153,'Diags Raw Data'!$A$6:$A$3791))),--('Diags Raw Data'!$Q$6:$Q$3791&lt;&gt;"N/A"),'Diags Raw Data'!$U$6:$U$3791)</f>
        <v>0</v>
      </c>
      <c r="O153" s="490">
        <f t="shared" si="28"/>
        <v>0</v>
      </c>
      <c r="P153" s="491">
        <f>SUMIF('Diags Raw Data'!$A$6:$A$3791,"*"&amp;$A153&amp;"*",'Diags Raw Data'!$Z$6:$Z$3791)</f>
        <v>0</v>
      </c>
      <c r="Q153" s="492">
        <f>SUM(SUMIF('Diags Raw Data'!$A$6:$A$3791,"*"&amp;$A153&amp;"*",'Diags Raw Data'!$AA$6:$AA$3791),SUMIF('Diags Raw Data'!$A$6:$A$3791,"*"&amp;$A153&amp;"*",'Diags Raw Data'!$AB$6:$AB$3791))</f>
        <v>0</v>
      </c>
      <c r="R153" s="493">
        <f t="shared" si="29"/>
        <v>0</v>
      </c>
      <c r="S153" s="493">
        <f t="shared" si="30"/>
        <v>0</v>
      </c>
      <c r="T153" s="494">
        <f t="shared" si="31"/>
        <v>0</v>
      </c>
      <c r="U153" s="442"/>
      <c r="V153" s="182" t="s">
        <v>1128</v>
      </c>
    </row>
    <row r="154" spans="1:22">
      <c r="A154" s="584" t="s">
        <v>621</v>
      </c>
      <c r="B154" s="438" t="str">
        <f>VLOOKUP(A154,'Feature Raw Data'!$A$3:$B$4004,2,FALSE)</f>
        <v>DCN4.155 - HDMI port I2C VOL level</v>
      </c>
      <c r="C154" s="439" t="s">
        <v>280</v>
      </c>
      <c r="D154" s="440" t="str" cm="1">
        <f t="array" ref="D154">_xlfn.TEXTJOIN("",TRUE,IF(ISNUMBER(SEARCH($A154,'Diags Raw Data'!$A$6:$A$3791)),CONCATENATE('Diags Raw Data'!$H$6:$H$3791,", "),""))</f>
        <v xml:space="preserve">DIO003, </v>
      </c>
      <c r="E154" s="336" t="e">
        <f>VLOOKUP(A154,'Diags Raw Data'!$A$6:$D$3791,4,FALSE)</f>
        <v>#N/A</v>
      </c>
      <c r="F154" s="336" t="str">
        <f>VLOOKUP(A154,'Feature Raw Data'!$A$3:$E$4004,5,FALSE)</f>
        <v>Legacy</v>
      </c>
      <c r="G154" s="336" t="str">
        <f t="shared" si="26"/>
        <v>Yes</v>
      </c>
      <c r="H154" s="336" t="str">
        <f t="shared" si="27"/>
        <v>Yes</v>
      </c>
      <c r="I154" s="439">
        <f>SUMIF('Diags Raw Data'!$A$6:$A$3791,"*"&amp;$A154&amp;"*",'Diags Raw Data'!$K$6:$K$3791)</f>
        <v>1</v>
      </c>
      <c r="J154" s="441">
        <f>SUMIF('Diags Raw Data'!$A$6:$A$3791,"*"&amp;$A154&amp;"*",'Diags Raw Data'!$L$6:$L$3791)</f>
        <v>6</v>
      </c>
      <c r="K154" s="486" cm="1">
        <f t="array" ref="K154">IF(D154="",0, SUMPRODUCT(--(ISNUMBER(SEARCH($A154,'Diags Raw Data'!$A$6:$A$3791))),'Diags Raw Data'!$L$6:$L$3791,'Diags Raw Data'!$N$6:$N$3791)/J154)</f>
        <v>1</v>
      </c>
      <c r="L154" s="487" cm="1">
        <f t="array" ref="L154">IF(D154="",0, SUMPRODUCT(--(ISNUMBER(SEARCH($A154,'Diags Raw Data'!$A$6:$A$3791))),'Diags Raw Data'!$L$6:$L$3791,'Diags Raw Data'!$P$6:$P$3791)/J154)</f>
        <v>1</v>
      </c>
      <c r="M154" s="488" cm="1">
        <f t="array" ref="M154">SUMPRODUCT(--(ISNUMBER(SEARCH($A154,'Diags Raw Data'!$A$6:$A$3791))),--('Diags Raw Data'!$Q$6:$Q$3791&lt;&gt;"N/A"),'Diags Raw Data'!$R$6:$R$3791)</f>
        <v>6</v>
      </c>
      <c r="N154" s="489" cm="1">
        <f t="array" ref="N154">SUMPRODUCT(--(ISNUMBER(SEARCH($A154,'Diags Raw Data'!$A$6:$A$3791))),--('Diags Raw Data'!$Q$6:$Q$3791&lt;&gt;"N/A"),'Diags Raw Data'!$T$6:$T$3791)+SUMPRODUCT(--(ISNUMBER(SEARCH($A154,'Diags Raw Data'!$A$6:$A$3791))),--('Diags Raw Data'!$Q$6:$Q$3791&lt;&gt;"N/A"),'Diags Raw Data'!$U$6:$U$3791)</f>
        <v>0</v>
      </c>
      <c r="O154" s="490">
        <f t="shared" si="28"/>
        <v>0</v>
      </c>
      <c r="P154" s="491">
        <f>SUMIF('Diags Raw Data'!$A$6:$A$3791,"*"&amp;$A154&amp;"*",'Diags Raw Data'!$Z$6:$Z$3791)</f>
        <v>0</v>
      </c>
      <c r="Q154" s="492">
        <f>SUM(SUMIF('Diags Raw Data'!$A$6:$A$3791,"*"&amp;$A154&amp;"*",'Diags Raw Data'!$AA$6:$AA$3791),SUMIF('Diags Raw Data'!$A$6:$A$3791,"*"&amp;$A154&amp;"*",'Diags Raw Data'!$AB$6:$AB$3791))</f>
        <v>0</v>
      </c>
      <c r="R154" s="493">
        <f t="shared" si="29"/>
        <v>0</v>
      </c>
      <c r="S154" s="493">
        <f t="shared" si="30"/>
        <v>0</v>
      </c>
      <c r="T154" s="494">
        <f t="shared" si="31"/>
        <v>0</v>
      </c>
      <c r="U154" s="442" t="s">
        <v>1130</v>
      </c>
      <c r="V154" s="182"/>
    </row>
    <row r="155" spans="1:22">
      <c r="A155" s="584" t="s">
        <v>625</v>
      </c>
      <c r="B155" s="438" t="str">
        <f>VLOOKUP(A155,'Feature Raw Data'!$A$3:$B$4004,2,FALSE)</f>
        <v>DCN4.156 - mpc top layer pass through</v>
      </c>
      <c r="C155" s="439" t="s">
        <v>280</v>
      </c>
      <c r="D155" s="440" t="str" cm="1">
        <f t="array" ref="D155">_xlfn.TEXTJOIN("",TRUE,IF(ISNUMBER(SEARCH($A155,'Diags Raw Data'!$A$6:$A$3791)),CONCATENATE('Diags Raw Data'!$H$6:$H$3791,", "),""))</f>
        <v xml:space="preserve">MPC003, </v>
      </c>
      <c r="E155" s="336" t="e">
        <f>VLOOKUP(A155,'Diags Raw Data'!$A$6:$D$3791,4,FALSE)</f>
        <v>#N/A</v>
      </c>
      <c r="F155" s="336" t="str">
        <f>VLOOKUP(A155,'Feature Raw Data'!$A$3:$E$4004,5,FALSE)</f>
        <v>Legacy</v>
      </c>
      <c r="G155" s="336" t="str">
        <f t="shared" ref="G155:G156" si="32">IF(D155="","No","Yes")</f>
        <v>Yes</v>
      </c>
      <c r="H155" s="336" t="str">
        <f t="shared" ref="H155:H156" si="33">IF(D155="","No","Yes")</f>
        <v>Yes</v>
      </c>
      <c r="I155" s="439">
        <f>SUMIF('Diags Raw Data'!$A$6:$A$3791,"*"&amp;$A155&amp;"*",'Diags Raw Data'!$K$6:$K$3791)</f>
        <v>1</v>
      </c>
      <c r="J155" s="441">
        <f>SUMIF('Diags Raw Data'!$A$6:$A$3791,"*"&amp;$A155&amp;"*",'Diags Raw Data'!$L$6:$L$3791)</f>
        <v>6</v>
      </c>
      <c r="K155" s="486" cm="1">
        <f t="array" ref="K155">IF(D155="",0, SUMPRODUCT(--(ISNUMBER(SEARCH($A155,'Diags Raw Data'!$A$6:$A$3791))),'Diags Raw Data'!$L$6:$L$3791,'Diags Raw Data'!$N$6:$N$3791)/J155)</f>
        <v>1</v>
      </c>
      <c r="L155" s="487" cm="1">
        <f t="array" ref="L155">IF(D155="",0, SUMPRODUCT(--(ISNUMBER(SEARCH($A155,'Diags Raw Data'!$A$6:$A$3791))),'Diags Raw Data'!$L$6:$L$3791,'Diags Raw Data'!$P$6:$P$3791)/J155)</f>
        <v>1</v>
      </c>
      <c r="M155" s="488" cm="1">
        <f t="array" ref="M155">SUMPRODUCT(--(ISNUMBER(SEARCH($A155,'Diags Raw Data'!$A$6:$A$3791))),--('Diags Raw Data'!$Q$6:$Q$3791&lt;&gt;"N/A"),'Diags Raw Data'!$R$6:$R$3791)</f>
        <v>6</v>
      </c>
      <c r="N155" s="489" cm="1">
        <f t="array" ref="N155">SUMPRODUCT(--(ISNUMBER(SEARCH($A155,'Diags Raw Data'!$A$6:$A$3791))),--('Diags Raw Data'!$Q$6:$Q$3791&lt;&gt;"N/A"),'Diags Raw Data'!$T$6:$T$3791)+SUMPRODUCT(--(ISNUMBER(SEARCH($A155,'Diags Raw Data'!$A$6:$A$3791))),--('Diags Raw Data'!$Q$6:$Q$3791&lt;&gt;"N/A"),'Diags Raw Data'!$U$6:$U$3791)</f>
        <v>5</v>
      </c>
      <c r="O155" s="490">
        <f t="shared" ref="O155:O156" si="34">IF((M155=0),0,N155/M155)</f>
        <v>0.83333333333333337</v>
      </c>
      <c r="P155" s="491">
        <f>SUMIF('Diags Raw Data'!$A$6:$A$3791,"*"&amp;$A155&amp;"*",'Diags Raw Data'!$Z$6:$Z$3791)</f>
        <v>0</v>
      </c>
      <c r="Q155" s="492">
        <f>SUM(SUMIF('Diags Raw Data'!$A$6:$A$3791,"*"&amp;$A155&amp;"*",'Diags Raw Data'!$AA$6:$AA$3791),SUMIF('Diags Raw Data'!$A$6:$A$3791,"*"&amp;$A155&amp;"*",'Diags Raw Data'!$AB$6:$AB$3791))</f>
        <v>0</v>
      </c>
      <c r="R155" s="493">
        <f t="shared" ref="R155:R156" si="35">IF((J155=0),0,P155/J155)</f>
        <v>0</v>
      </c>
      <c r="S155" s="493">
        <f t="shared" ref="S155:S156" si="36">IF((P155=0),0,Q155/P155)</f>
        <v>0</v>
      </c>
      <c r="T155" s="494">
        <f t="shared" ref="T155:T156" si="37">R155*S155</f>
        <v>0</v>
      </c>
      <c r="U155" s="442" t="s">
        <v>1136</v>
      </c>
      <c r="V155" s="182"/>
    </row>
    <row r="156" spans="1:22">
      <c r="A156" s="584" t="s">
        <v>627</v>
      </c>
      <c r="B156" s="438" t="str">
        <f>VLOOKUP(A156,'Feature Raw Data'!$A$3:$B$4004,2,FALSE)</f>
        <v>DCN4.157 - Stereo format blending</v>
      </c>
      <c r="C156" s="439" t="s">
        <v>280</v>
      </c>
      <c r="D156" s="440" t="str" cm="1">
        <f t="array" ref="D156">_xlfn.TEXTJOIN("",TRUE,IF(ISNUMBER(SEARCH($A156,'Diags Raw Data'!$A$6:$A$3791)),CONCATENATE('Diags Raw Data'!$H$6:$H$3791,", "),""))</f>
        <v xml:space="preserve">MPC005, </v>
      </c>
      <c r="E156" s="336" t="str">
        <f>VLOOKUP(A156,'Diags Raw Data'!$A$6:$D$3791,4,FALSE)</f>
        <v>MPC</v>
      </c>
      <c r="F156" s="336" t="str">
        <f>VLOOKUP(A156,'Feature Raw Data'!$A$3:$E$4004,5,FALSE)</f>
        <v>Legacy</v>
      </c>
      <c r="G156" s="336" t="str">
        <f t="shared" si="32"/>
        <v>Yes</v>
      </c>
      <c r="H156" s="336" t="str">
        <f t="shared" si="33"/>
        <v>Yes</v>
      </c>
      <c r="I156" s="439">
        <f>SUMIF('Diags Raw Data'!$A$6:$A$3791,"*"&amp;$A156&amp;"*",'Diags Raw Data'!$K$6:$K$3791)</f>
        <v>1</v>
      </c>
      <c r="J156" s="441">
        <f>SUMIF('Diags Raw Data'!$A$6:$A$3791,"*"&amp;$A156&amp;"*",'Diags Raw Data'!$L$6:$L$3791)</f>
        <v>1</v>
      </c>
      <c r="K156" s="486" cm="1">
        <f t="array" ref="K156">IF(D156="",0, SUMPRODUCT(--(ISNUMBER(SEARCH($A156,'Diags Raw Data'!$A$6:$A$3791))),'Diags Raw Data'!$L$6:$L$3791,'Diags Raw Data'!$N$6:$N$3791)/J156)</f>
        <v>1</v>
      </c>
      <c r="L156" s="487" cm="1">
        <f t="array" ref="L156">IF(D156="",0, SUMPRODUCT(--(ISNUMBER(SEARCH($A156,'Diags Raw Data'!$A$6:$A$3791))),'Diags Raw Data'!$L$6:$L$3791,'Diags Raw Data'!$P$6:$P$3791)/J156)</f>
        <v>1</v>
      </c>
      <c r="M156" s="488" cm="1">
        <f t="array" ref="M156">SUMPRODUCT(--(ISNUMBER(SEARCH($A156,'Diags Raw Data'!$A$6:$A$3791))),--('Diags Raw Data'!$Q$6:$Q$3791&lt;&gt;"N/A"),'Diags Raw Data'!$R$6:$R$3791)</f>
        <v>1</v>
      </c>
      <c r="N156" s="489" cm="1">
        <f t="array" ref="N156">SUMPRODUCT(--(ISNUMBER(SEARCH($A156,'Diags Raw Data'!$A$6:$A$3791))),--('Diags Raw Data'!$Q$6:$Q$3791&lt;&gt;"N/A"),'Diags Raw Data'!$T$6:$T$3791)+SUMPRODUCT(--(ISNUMBER(SEARCH($A156,'Diags Raw Data'!$A$6:$A$3791))),--('Diags Raw Data'!$Q$6:$Q$3791&lt;&gt;"N/A"),'Diags Raw Data'!$U$6:$U$3791)</f>
        <v>1</v>
      </c>
      <c r="O156" s="490">
        <f t="shared" si="34"/>
        <v>1</v>
      </c>
      <c r="P156" s="491">
        <f>SUMIF('Diags Raw Data'!$A$6:$A$3791,"*"&amp;$A156&amp;"*",'Diags Raw Data'!$Z$6:$Z$3791)</f>
        <v>0</v>
      </c>
      <c r="Q156" s="492">
        <f>SUM(SUMIF('Diags Raw Data'!$A$6:$A$3791,"*"&amp;$A156&amp;"*",'Diags Raw Data'!$AA$6:$AA$3791),SUMIF('Diags Raw Data'!$A$6:$A$3791,"*"&amp;$A156&amp;"*",'Diags Raw Data'!$AB$6:$AB$3791))</f>
        <v>0</v>
      </c>
      <c r="R156" s="493">
        <f t="shared" si="35"/>
        <v>0</v>
      </c>
      <c r="S156" s="493">
        <f t="shared" si="36"/>
        <v>0</v>
      </c>
      <c r="T156" s="494">
        <f t="shared" si="37"/>
        <v>0</v>
      </c>
      <c r="U156" s="442" t="s">
        <v>1134</v>
      </c>
      <c r="V156" s="182"/>
    </row>
    <row r="157" spans="1:22">
      <c r="A157" s="380"/>
      <c r="B157" s="408"/>
      <c r="C157" s="335"/>
      <c r="D157" s="82"/>
      <c r="E157" s="181"/>
      <c r="F157" s="181"/>
      <c r="G157" s="181"/>
      <c r="H157" s="181"/>
      <c r="I157" s="335"/>
      <c r="J157" s="194"/>
      <c r="K157" s="495"/>
      <c r="L157" s="496"/>
      <c r="M157" s="497"/>
      <c r="N157" s="498"/>
      <c r="O157" s="499"/>
      <c r="P157" s="500"/>
      <c r="Q157" s="501"/>
      <c r="R157" s="502"/>
      <c r="S157" s="502"/>
      <c r="T157" s="503"/>
      <c r="U157" s="381"/>
      <c r="V157" s="182"/>
    </row>
    <row r="158" spans="1:22" ht="15">
      <c r="A158" s="380"/>
      <c r="B158" s="408"/>
      <c r="C158" s="335"/>
      <c r="D158" s="82"/>
      <c r="E158" s="181"/>
      <c r="F158" s="181"/>
      <c r="G158" s="181"/>
      <c r="H158" s="181"/>
      <c r="I158" s="335"/>
      <c r="J158" s="194"/>
      <c r="K158" s="495"/>
      <c r="L158" s="496"/>
      <c r="M158" s="497"/>
      <c r="N158" s="498"/>
      <c r="O158" s="499"/>
      <c r="P158" s="500"/>
      <c r="Q158" s="501"/>
      <c r="R158" s="502"/>
      <c r="S158" s="502"/>
      <c r="T158" s="503"/>
      <c r="U158" s="381"/>
      <c r="V158" s="182"/>
    </row>
    <row r="159" spans="1:22" ht="15" thickBot="1">
      <c r="A159" s="388"/>
      <c r="B159" s="409"/>
      <c r="C159" s="389"/>
      <c r="D159" s="390"/>
      <c r="E159" s="391"/>
      <c r="F159" s="391"/>
      <c r="G159" s="391"/>
      <c r="H159" s="391"/>
      <c r="I159" s="389"/>
      <c r="J159" s="392"/>
      <c r="K159" s="504"/>
      <c r="L159" s="505"/>
      <c r="M159" s="506"/>
      <c r="N159" s="507"/>
      <c r="O159" s="508"/>
      <c r="P159" s="509"/>
      <c r="Q159" s="510"/>
      <c r="R159" s="511"/>
      <c r="S159" s="511"/>
      <c r="T159" s="512"/>
      <c r="U159" s="393"/>
      <c r="V159" s="182"/>
    </row>
    <row r="160" spans="1:22">
      <c r="A160" s="709" t="s">
        <v>1140</v>
      </c>
      <c r="B160" s="710"/>
      <c r="C160" s="710"/>
      <c r="D160" s="710"/>
      <c r="E160" s="710"/>
      <c r="F160" s="710"/>
      <c r="G160" s="710"/>
      <c r="H160" s="710"/>
      <c r="I160" s="710"/>
      <c r="J160" s="710"/>
      <c r="K160" s="710"/>
      <c r="L160" s="710"/>
      <c r="M160" s="710"/>
      <c r="N160" s="710"/>
      <c r="O160" s="710"/>
      <c r="P160" s="710"/>
      <c r="Q160" s="710"/>
      <c r="R160" s="710"/>
      <c r="S160" s="710"/>
      <c r="T160" s="710"/>
      <c r="U160" s="711"/>
      <c r="V160" s="182"/>
    </row>
    <row r="161" spans="1:22" ht="15" thickBot="1">
      <c r="A161" s="712"/>
      <c r="B161" s="713"/>
      <c r="C161" s="713"/>
      <c r="D161" s="713"/>
      <c r="E161" s="713"/>
      <c r="F161" s="713"/>
      <c r="G161" s="713"/>
      <c r="H161" s="713"/>
      <c r="I161" s="713"/>
      <c r="J161" s="713"/>
      <c r="K161" s="713"/>
      <c r="L161" s="713"/>
      <c r="M161" s="713"/>
      <c r="N161" s="713"/>
      <c r="O161" s="713"/>
      <c r="P161" s="713"/>
      <c r="Q161" s="713"/>
      <c r="R161" s="713"/>
      <c r="S161" s="713"/>
      <c r="T161" s="713"/>
      <c r="U161" s="714"/>
      <c r="V161" s="182"/>
    </row>
    <row r="162" spans="1:22" s="188" customFormat="1" ht="18.399999999999999">
      <c r="A162" s="703" t="s">
        <v>630</v>
      </c>
      <c r="B162" s="704"/>
      <c r="C162" s="704"/>
      <c r="D162" s="704"/>
      <c r="E162" s="704"/>
      <c r="F162" s="705"/>
      <c r="G162" s="402">
        <f>COUNTIF(G7:G159,"Yes")</f>
        <v>116</v>
      </c>
      <c r="H162" s="402">
        <f>COUNTIF(H7:H159,"Yes")</f>
        <v>116</v>
      </c>
      <c r="I162" s="738">
        <f>'Diags Raw Data'!K181</f>
        <v>303</v>
      </c>
      <c r="J162" s="740">
        <f>'Diags Raw Data'!L181</f>
        <v>2994</v>
      </c>
      <c r="K162" s="726">
        <f>'Diags Raw Data'!N181</f>
        <v>1</v>
      </c>
      <c r="L162" s="728">
        <f>'Diags Raw Data'!P181</f>
        <v>0.97359735973597361</v>
      </c>
      <c r="M162" s="730">
        <f>'Diags Raw Data'!R181</f>
        <v>2627</v>
      </c>
      <c r="N162" s="719">
        <f>SUM('Diags Raw Data'!T181+'Diags Raw Data'!U181)</f>
        <v>2335</v>
      </c>
      <c r="O162" s="715">
        <f>IF((M162=0),0,N162/M162)</f>
        <v>0.88884659307194513</v>
      </c>
      <c r="P162" s="717">
        <f>'Diags Raw Data'!Z181</f>
        <v>0</v>
      </c>
      <c r="Q162" s="736">
        <f>SUM('Diags Raw Data'!AA181+'Diags Raw Data'!AB181)</f>
        <v>0</v>
      </c>
      <c r="R162" s="732">
        <f>IF((J162=0),0,P162/J162)</f>
        <v>0</v>
      </c>
      <c r="S162" s="732">
        <f>IF((P162=0),0,Q162/P162)</f>
        <v>0</v>
      </c>
      <c r="T162" s="732">
        <f>R162*S162</f>
        <v>0</v>
      </c>
      <c r="U162" s="734"/>
      <c r="V162" s="187"/>
    </row>
    <row r="163" spans="1:22" ht="18.95" thickBot="1">
      <c r="A163" s="706"/>
      <c r="B163" s="707"/>
      <c r="C163" s="707"/>
      <c r="D163" s="707"/>
      <c r="E163" s="707"/>
      <c r="F163" s="708"/>
      <c r="G163" s="403">
        <f>COUNTIF(G7:G159,"Yes")/COUNTA(A7:A159)</f>
        <v>0.77333333333333332</v>
      </c>
      <c r="H163" s="403">
        <f>(COUNTIF(H7:H159,"Yes")/G162)</f>
        <v>1</v>
      </c>
      <c r="I163" s="739"/>
      <c r="J163" s="741"/>
      <c r="K163" s="727"/>
      <c r="L163" s="729"/>
      <c r="M163" s="731"/>
      <c r="N163" s="720"/>
      <c r="O163" s="716"/>
      <c r="P163" s="718"/>
      <c r="Q163" s="737"/>
      <c r="R163" s="733"/>
      <c r="S163" s="733"/>
      <c r="T163" s="733"/>
      <c r="U163" s="735"/>
      <c r="V163" s="182"/>
    </row>
    <row r="164" spans="1:22">
      <c r="A164" s="189"/>
      <c r="B164" s="190"/>
      <c r="C164" s="190"/>
      <c r="D164" s="189"/>
      <c r="E164" s="190"/>
      <c r="F164" s="190"/>
      <c r="G164" s="384"/>
      <c r="H164" s="190"/>
      <c r="I164" s="394"/>
      <c r="J164" s="394"/>
      <c r="K164" s="195"/>
      <c r="L164" s="195"/>
      <c r="M164" s="196"/>
      <c r="N164" s="196"/>
      <c r="O164" s="195"/>
      <c r="P164" s="192"/>
      <c r="Q164" s="192"/>
      <c r="R164" s="199"/>
      <c r="S164" s="199"/>
      <c r="T164" s="200"/>
      <c r="U164" s="189"/>
    </row>
  </sheetData>
  <sheetProtection insertColumns="0" insertRows="0" deleteRows="0" sort="0"/>
  <autoFilter ref="A6:W156" xr:uid="{00000000-0001-0000-0400-000000000000}">
    <filterColumn colId="6">
      <filters>
        <filter val="Yes"/>
      </filters>
    </filterColumn>
    <filterColumn colId="7">
      <filters>
        <filter val="Yes"/>
      </filters>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162:K163"/>
    <mergeCell ref="L162:L163"/>
    <mergeCell ref="M162:M163"/>
    <mergeCell ref="T2:T3"/>
    <mergeCell ref="U2:U3"/>
    <mergeCell ref="R2:R3"/>
    <mergeCell ref="S2:S3"/>
    <mergeCell ref="S162:S163"/>
    <mergeCell ref="T162:T163"/>
    <mergeCell ref="U162:U163"/>
    <mergeCell ref="Q162:Q163"/>
    <mergeCell ref="R162:R163"/>
    <mergeCell ref="I162:I163"/>
    <mergeCell ref="J162:J163"/>
    <mergeCell ref="K5:L5"/>
    <mergeCell ref="A5:J5"/>
    <mergeCell ref="M5:O5"/>
    <mergeCell ref="P5:U5"/>
    <mergeCell ref="A162:F163"/>
    <mergeCell ref="A160:U161"/>
    <mergeCell ref="O162:O163"/>
    <mergeCell ref="P162:P163"/>
    <mergeCell ref="N162:N16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87"/>
  <sheetViews>
    <sheetView zoomScaleNormal="100" workbookViewId="0" xr3:uid="{8A7DB9E6-5825-5B6E-8AE4-6B4DECE2D06B}">
      <pane xSplit="1" ySplit="3" topLeftCell="B4" activePane="bottomRight" state="frozen"/>
      <selection pane="bottomRight" activeCell="L16" sqref="L16"/>
      <selection pane="bottomLeft" activeCell="A4" sqref="A4"/>
      <selection pane="topRight" activeCell="B1" sqref="B1"/>
    </sheetView>
  </sheetViews>
  <sheetFormatPr defaultRowHeight="14.6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756" t="s">
        <v>1141</v>
      </c>
      <c r="B1" s="757"/>
      <c r="C1" s="757"/>
      <c r="D1" s="757"/>
      <c r="E1" s="757"/>
      <c r="F1" s="757"/>
      <c r="G1" s="757"/>
      <c r="H1" s="757"/>
      <c r="I1" s="757"/>
      <c r="J1" s="757"/>
      <c r="K1" s="757"/>
      <c r="L1" s="757"/>
      <c r="M1" s="757"/>
      <c r="N1" s="757"/>
      <c r="O1" s="757"/>
      <c r="P1" s="757"/>
      <c r="Q1" s="757"/>
      <c r="R1" s="757"/>
      <c r="S1" s="757"/>
      <c r="T1" s="757"/>
      <c r="U1" s="757"/>
      <c r="V1" s="758"/>
    </row>
    <row r="2" spans="1:22" ht="15" thickBot="1">
      <c r="A2" s="218" t="s">
        <v>1142</v>
      </c>
      <c r="B2" s="759" t="s">
        <v>166</v>
      </c>
      <c r="C2" s="759"/>
      <c r="D2" s="759"/>
      <c r="E2" s="759"/>
      <c r="F2" s="759"/>
      <c r="G2" s="760" t="s">
        <v>177</v>
      </c>
      <c r="H2" s="761"/>
      <c r="I2" s="761"/>
      <c r="J2" s="761"/>
      <c r="K2" s="761"/>
      <c r="L2" s="761"/>
      <c r="M2" s="761"/>
      <c r="N2" s="762"/>
      <c r="O2" s="763" t="s">
        <v>144</v>
      </c>
      <c r="P2" s="764"/>
      <c r="Q2" s="764"/>
      <c r="R2" s="764"/>
      <c r="S2" s="764"/>
      <c r="T2" s="764"/>
      <c r="U2" s="764"/>
      <c r="V2" s="765"/>
    </row>
    <row r="3" spans="1:22" s="251" customFormat="1" ht="15" thickBot="1">
      <c r="A3" s="255"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c r="A4" s="333" t="s">
        <v>786</v>
      </c>
      <c r="B4" s="252">
        <f>SUMIFS('Diags Raw Data'!$L$6:$L$4795,'Diags Raw Data'!$D$6:$D$4795,$A4)</f>
        <v>16</v>
      </c>
      <c r="C4" s="242">
        <f>SUMIFS('Diags Raw Data'!$R$6:$R$4795,'Diags Raw Data'!$D$6:$D$4795,$A4)</f>
        <v>16</v>
      </c>
      <c r="D4" s="242">
        <f>SUMIFS('Diags Raw Data'!$K$6:$K$4795,'Diags Raw Data'!$D$6:$D$4795,$A4)</f>
        <v>2</v>
      </c>
      <c r="E4" s="242">
        <f>SUMIFS('Diags Raw Data'!$O$6:$O$4795,'Diags Raw Data'!$D$6:$D$4795,$A4)</f>
        <v>1</v>
      </c>
      <c r="F4" s="248">
        <f>IF(NOT($B4=0), E4/$B4, "---")</f>
        <v>6.25E-2</v>
      </c>
      <c r="G4" s="220">
        <f>SUMIFS('Diags Raw Data'!$S$6:$S$4795,'Diags Raw Data'!$D$6:$D$4795,$A4)</f>
        <v>1</v>
      </c>
      <c r="H4" s="221">
        <f>SUMIFS('Diags Raw Data'!$T$6:$T$4795,'Diags Raw Data'!$D$6:$D$4795,$A4)</f>
        <v>1</v>
      </c>
      <c r="I4" s="223">
        <f>SUMIFS('Diags Raw Data'!$U$6:$U$4795,'Diags Raw Data'!$D$6:$D$4795,$A4)</f>
        <v>0</v>
      </c>
      <c r="J4" s="221">
        <f>SUMIFS('Diags Raw Data'!$V$6:$V$4795,'Diags Raw Data'!$D$6:$D$4795,$A4)</f>
        <v>0</v>
      </c>
      <c r="K4" s="223">
        <f>SUMIFS('Diags Raw Data'!$W$6:$W$4795,'Diags Raw Data'!$D$6:$D$4795,$A4)</f>
        <v>0</v>
      </c>
      <c r="L4" s="222">
        <f>IF(NOT($C4=0), G4/$C4, "---")</f>
        <v>6.25E-2</v>
      </c>
      <c r="M4" s="224">
        <f>IF(NOT($G4=0), (H4+I4)/$G4, "---")</f>
        <v>1</v>
      </c>
      <c r="N4" s="226">
        <f>IF(NOT($C4=0), (H4+I4)/$C4, "---")</f>
        <v>6.25E-2</v>
      </c>
      <c r="O4" s="213">
        <f>SUMIFS('Diags Raw Data'!$Z$6:$Z$4795,'Diags Raw Data'!$D$6:$D$4795,$A4)</f>
        <v>0</v>
      </c>
      <c r="P4" s="210">
        <f>SUMIFS('Diags Raw Data'!$AA$6:$AA$4795,'Diags Raw Data'!$D$6:$D$4795,$A4)</f>
        <v>0</v>
      </c>
      <c r="Q4" s="212">
        <f>SUMIFS('Diags Raw Data'!$AB$6:$AB$4795,'Diags Raw Data'!$D$6:$D$4795,$A4)</f>
        <v>0</v>
      </c>
      <c r="R4" s="210">
        <f>SUMIFS('Diags Raw Data'!$AC$6:$AC$4795,'Diags Raw Data'!$D$6:$D$4795,$A4)</f>
        <v>0</v>
      </c>
      <c r="S4" s="212">
        <f>SUMIFS('Diags Raw Data'!$AD$6:$AD$4795,'Diags Raw Data'!$D$6:$D$4795,$A4)</f>
        <v>0</v>
      </c>
      <c r="T4" s="211">
        <f>IF(NOT($B4=0), O4/$B4, "---")</f>
        <v>0</v>
      </c>
      <c r="U4" s="225" t="str">
        <f>IF(NOT($O4=0), (P4+Q4)/$O4, "---")</f>
        <v>---</v>
      </c>
      <c r="V4" s="241">
        <f>IF(NOT($B4=0), (P4+Q4)/$B4, "---")</f>
        <v>0</v>
      </c>
    </row>
    <row r="5" spans="1:22">
      <c r="A5" s="333" t="s">
        <v>1071</v>
      </c>
      <c r="B5" s="253">
        <f>SUMIFS('Diags Raw Data'!$L$6:$L$4795,'Diags Raw Data'!$D$6:$D$4795,$A5)</f>
        <v>6</v>
      </c>
      <c r="C5" s="243">
        <f>SUMIFS('Diags Raw Data'!$R$6:$R$4795,'Diags Raw Data'!$D$6:$D$4795,$A5)</f>
        <v>0</v>
      </c>
      <c r="D5" s="243">
        <f>SUMIFS('Diags Raw Data'!$K$6:$K$4795,'Diags Raw Data'!$D$6:$D$4795,$A5)</f>
        <v>3</v>
      </c>
      <c r="E5" s="243">
        <f>SUMIFS('Diags Raw Data'!$O$6:$O$4795,'Diags Raw Data'!$D$6:$D$4795,$A5)</f>
        <v>6</v>
      </c>
      <c r="F5" s="249">
        <f t="shared" ref="F5:F15" si="0">IF(NOT($B5=0), E5/$B5, "---")</f>
        <v>1</v>
      </c>
      <c r="G5" s="231">
        <f>SUMIFS('Diags Raw Data'!$S$6:$S$4795,'Diags Raw Data'!$D$6:$D$4795,$A5)</f>
        <v>0</v>
      </c>
      <c r="H5" s="227">
        <f>SUMIFS('Diags Raw Data'!$T$6:$T$4795,'Diags Raw Data'!$D$6:$D$4795,$A5)</f>
        <v>0</v>
      </c>
      <c r="I5" s="228">
        <f>SUMIFS('Diags Raw Data'!$U$6:$U$4795,'Diags Raw Data'!$D$6:$D$4795,$A5)</f>
        <v>0</v>
      </c>
      <c r="J5" s="227">
        <f>SUMIFS('Diags Raw Data'!$V$6:$V$4795,'Diags Raw Data'!$D$6:$D$4795,$A5)</f>
        <v>0</v>
      </c>
      <c r="K5" s="228">
        <f>SUMIFS('Diags Raw Data'!$W$6:$W$4795,'Diags Raw Data'!$D$6:$D$4795,$A5)</f>
        <v>0</v>
      </c>
      <c r="L5" s="244" t="str">
        <f t="shared" ref="L5:L19" si="1">IF(NOT($C5=0), G5/$C5, "---")</f>
        <v>---</v>
      </c>
      <c r="M5" s="229" t="str">
        <f t="shared" ref="M5:M19" si="2">IF(NOT($G5=0), (H5+I5)/$G5, "---")</f>
        <v>---</v>
      </c>
      <c r="N5" s="238" t="str">
        <f t="shared" ref="N5:N15" si="3">IF(NOT($C5=0), (H5+I5)/$C5, "---")</f>
        <v>---</v>
      </c>
      <c r="O5" s="214">
        <f>SUMIFS('Diags Raw Data'!$Z$6:$Z$4795,'Diags Raw Data'!$D$6:$D$4795,$A5)</f>
        <v>0</v>
      </c>
      <c r="P5" s="204">
        <f>SUMIFS('Diags Raw Data'!$AA$6:$AA$4795,'Diags Raw Data'!$D$6:$D$4795,$A5)</f>
        <v>0</v>
      </c>
      <c r="Q5" s="206">
        <f>SUMIFS('Diags Raw Data'!$AB$6:$AB$4795,'Diags Raw Data'!$D$6:$D$4795,$A5)</f>
        <v>0</v>
      </c>
      <c r="R5" s="204">
        <f>SUMIFS('Diags Raw Data'!$AC$6:$AC$4795,'Diags Raw Data'!$D$6:$D$4795,$A5)</f>
        <v>0</v>
      </c>
      <c r="S5" s="206">
        <f>SUMIFS('Diags Raw Data'!$AD$6:$AD$4795,'Diags Raw Data'!$D$6:$D$4795,$A5)</f>
        <v>0</v>
      </c>
      <c r="T5" s="205">
        <f t="shared" ref="T5:T19" si="4">IF(NOT($B5=0), O5/$B5, "---")</f>
        <v>0</v>
      </c>
      <c r="U5" s="230" t="str">
        <f t="shared" ref="U5:U8" si="5">IF(NOT($O5=0), (P5+Q5)/$O5, "---")</f>
        <v>---</v>
      </c>
      <c r="V5" s="232">
        <f t="shared" ref="V5:V19" si="6">IF(NOT($B5=0), (P5+Q5)/$B5, "---")</f>
        <v>0</v>
      </c>
    </row>
    <row r="6" spans="1:22">
      <c r="A6" s="333" t="s">
        <v>264</v>
      </c>
      <c r="B6" s="253">
        <f>SUMIFS('Diags Raw Data'!$L$6:$L$4795,'Diags Raw Data'!$D$6:$D$4795,$A6)</f>
        <v>393</v>
      </c>
      <c r="C6" s="243">
        <f>SUMIFS('Diags Raw Data'!$R$6:$R$4795,'Diags Raw Data'!$D$6:$D$4795,$A6)</f>
        <v>345</v>
      </c>
      <c r="D6" s="243">
        <f>SUMIFS('Diags Raw Data'!$K$6:$K$4795,'Diags Raw Data'!$D$6:$D$4795,$A6)</f>
        <v>23</v>
      </c>
      <c r="E6" s="243">
        <f>SUMIFS('Diags Raw Data'!$O$6:$O$4795,'Diags Raw Data'!$D$6:$D$4795,$A6)</f>
        <v>391</v>
      </c>
      <c r="F6" s="249">
        <f t="shared" si="0"/>
        <v>0.99491094147582693</v>
      </c>
      <c r="G6" s="231">
        <f>SUMIFS('Diags Raw Data'!$S$6:$S$4795,'Diags Raw Data'!$D$6:$D$4795,$A6)</f>
        <v>344</v>
      </c>
      <c r="H6" s="227">
        <f>SUMIFS('Diags Raw Data'!$T$6:$T$4795,'Diags Raw Data'!$D$6:$D$4795,$A6)</f>
        <v>323</v>
      </c>
      <c r="I6" s="228">
        <f>SUMIFS('Diags Raw Data'!$U$6:$U$4795,'Diags Raw Data'!$D$6:$D$4795,$A6)</f>
        <v>0</v>
      </c>
      <c r="J6" s="227">
        <f>SUMIFS('Diags Raw Data'!$V$6:$V$4795,'Diags Raw Data'!$D$6:$D$4795,$A6)</f>
        <v>18</v>
      </c>
      <c r="K6" s="228">
        <f>SUMIFS('Diags Raw Data'!$W$6:$W$4795,'Diags Raw Data'!$D$6:$D$4795,$A6)</f>
        <v>0</v>
      </c>
      <c r="L6" s="244">
        <f t="shared" si="1"/>
        <v>0.99710144927536237</v>
      </c>
      <c r="M6" s="229">
        <f t="shared" si="2"/>
        <v>0.93895348837209303</v>
      </c>
      <c r="N6" s="238">
        <f t="shared" si="3"/>
        <v>0.93623188405797098</v>
      </c>
      <c r="O6" s="214">
        <f>SUMIFS('Diags Raw Data'!$Z$6:$Z$4795,'Diags Raw Data'!$D$6:$D$4795,$A6)</f>
        <v>0</v>
      </c>
      <c r="P6" s="204">
        <f>SUMIFS('Diags Raw Data'!$AA$6:$AA$4795,'Diags Raw Data'!$D$6:$D$4795,$A6)</f>
        <v>0</v>
      </c>
      <c r="Q6" s="206">
        <f>SUMIFS('Diags Raw Data'!$AB$6:$AB$4795,'Diags Raw Data'!$D$6:$D$4795,$A6)</f>
        <v>0</v>
      </c>
      <c r="R6" s="204">
        <f>SUMIFS('Diags Raw Data'!$AC$6:$AC$4795,'Diags Raw Data'!$D$6:$D$4795,$A6)</f>
        <v>0</v>
      </c>
      <c r="S6" s="206">
        <f>SUMIFS('Diags Raw Data'!$AD$6:$AD$4795,'Diags Raw Data'!$D$6:$D$4795,$A6)</f>
        <v>0</v>
      </c>
      <c r="T6" s="205">
        <f t="shared" si="4"/>
        <v>0</v>
      </c>
      <c r="U6" s="230" t="str">
        <f t="shared" si="5"/>
        <v>---</v>
      </c>
      <c r="V6" s="232">
        <f t="shared" si="6"/>
        <v>0</v>
      </c>
    </row>
    <row r="7" spans="1:22">
      <c r="A7" s="333" t="s">
        <v>257</v>
      </c>
      <c r="B7" s="253">
        <f>SUMIFS('Diags Raw Data'!$L$6:$L$4795,'Diags Raw Data'!$D$6:$D$4795,$A7)</f>
        <v>1331</v>
      </c>
      <c r="C7" s="243">
        <f>SUMIFS('Diags Raw Data'!$R$6:$R$4795,'Diags Raw Data'!$D$6:$D$4795,$A7)</f>
        <v>1319</v>
      </c>
      <c r="D7" s="243">
        <f>SUMIFS('Diags Raw Data'!$K$6:$K$4795,'Diags Raw Data'!$D$6:$D$4795,$A7)</f>
        <v>61</v>
      </c>
      <c r="E7" s="243">
        <f>SUMIFS('Diags Raw Data'!$O$6:$O$4795,'Diags Raw Data'!$D$6:$D$4795,$A7)</f>
        <v>1331</v>
      </c>
      <c r="F7" s="249">
        <f t="shared" si="0"/>
        <v>1</v>
      </c>
      <c r="G7" s="231">
        <f>SUMIFS('Diags Raw Data'!$S$6:$S$4795,'Diags Raw Data'!$D$6:$D$4795,$A7)</f>
        <v>1210</v>
      </c>
      <c r="H7" s="227">
        <f>SUMIFS('Diags Raw Data'!$T$6:$T$4795,'Diags Raw Data'!$D$6:$D$4795,$A7)</f>
        <v>1151</v>
      </c>
      <c r="I7" s="228">
        <f>SUMIFS('Diags Raw Data'!$U$6:$U$4795,'Diags Raw Data'!$D$6:$D$4795,$A7)</f>
        <v>0</v>
      </c>
      <c r="J7" s="227">
        <f>SUMIFS('Diags Raw Data'!$V$6:$V$4795,'Diags Raw Data'!$D$6:$D$4795,$A7)</f>
        <v>47</v>
      </c>
      <c r="K7" s="228">
        <f>SUMIFS('Diags Raw Data'!$W$6:$W$4795,'Diags Raw Data'!$D$6:$D$4795,$A7)</f>
        <v>12</v>
      </c>
      <c r="L7" s="244">
        <f t="shared" si="1"/>
        <v>0.91736163760424561</v>
      </c>
      <c r="M7" s="229">
        <f t="shared" si="2"/>
        <v>0.95123966942148763</v>
      </c>
      <c r="N7" s="238">
        <f t="shared" si="3"/>
        <v>0.8726307808946171</v>
      </c>
      <c r="O7" s="214">
        <f>SUMIFS('Diags Raw Data'!$Z$6:$Z$4795,'Diags Raw Data'!$D$6:$D$4795,$A7)</f>
        <v>0</v>
      </c>
      <c r="P7" s="204">
        <f>SUMIFS('Diags Raw Data'!$AA$6:$AA$4795,'Diags Raw Data'!$D$6:$D$4795,$A7)</f>
        <v>0</v>
      </c>
      <c r="Q7" s="206">
        <f>SUMIFS('Diags Raw Data'!$AB$6:$AB$4795,'Diags Raw Data'!$D$6:$D$4795,$A7)</f>
        <v>0</v>
      </c>
      <c r="R7" s="204">
        <f>SUMIFS('Diags Raw Data'!$AC$6:$AC$4795,'Diags Raw Data'!$D$6:$D$4795,$A7)</f>
        <v>0</v>
      </c>
      <c r="S7" s="206">
        <f>SUMIFS('Diags Raw Data'!$AD$6:$AD$4795,'Diags Raw Data'!$D$6:$D$4795,$A7)</f>
        <v>0</v>
      </c>
      <c r="T7" s="205">
        <f t="shared" si="4"/>
        <v>0</v>
      </c>
      <c r="U7" s="230" t="str">
        <f t="shared" si="5"/>
        <v>---</v>
      </c>
      <c r="V7" s="232">
        <f t="shared" si="6"/>
        <v>0</v>
      </c>
    </row>
    <row r="8" spans="1:22">
      <c r="A8" s="333" t="s">
        <v>1092</v>
      </c>
      <c r="B8" s="253">
        <f>SUMIFS('Diags Raw Data'!$L$6:$L$4795,'Diags Raw Data'!$D$6:$D$4795,$A8)</f>
        <v>10</v>
      </c>
      <c r="C8" s="243">
        <f>SUMIFS('Diags Raw Data'!$R$6:$R$4795,'Diags Raw Data'!$D$6:$D$4795,$A8)</f>
        <v>5</v>
      </c>
      <c r="D8" s="243">
        <f>SUMIFS('Diags Raw Data'!$K$6:$K$4795,'Diags Raw Data'!$D$6:$D$4795,$A8)</f>
        <v>6</v>
      </c>
      <c r="E8" s="243">
        <f>SUMIFS('Diags Raw Data'!$O$6:$O$4795,'Diags Raw Data'!$D$6:$D$4795,$A8)</f>
        <v>10</v>
      </c>
      <c r="F8" s="249">
        <f t="shared" si="0"/>
        <v>1</v>
      </c>
      <c r="G8" s="231">
        <f>SUMIFS('Diags Raw Data'!$S$6:$S$4795,'Diags Raw Data'!$D$6:$D$4795,$A8)</f>
        <v>0</v>
      </c>
      <c r="H8" s="227">
        <f>SUMIFS('Diags Raw Data'!$T$6:$T$4795,'Diags Raw Data'!$D$6:$D$4795,$A8)</f>
        <v>0</v>
      </c>
      <c r="I8" s="228">
        <f>SUMIFS('Diags Raw Data'!$U$6:$U$4795,'Diags Raw Data'!$D$6:$D$4795,$A8)</f>
        <v>0</v>
      </c>
      <c r="J8" s="227">
        <f>SUMIFS('Diags Raw Data'!$V$6:$V$4795,'Diags Raw Data'!$D$6:$D$4795,$A8)</f>
        <v>0</v>
      </c>
      <c r="K8" s="228">
        <f>SUMIFS('Diags Raw Data'!$W$6:$W$4795,'Diags Raw Data'!$D$6:$D$4795,$A8)</f>
        <v>0</v>
      </c>
      <c r="L8" s="244">
        <f t="shared" si="1"/>
        <v>0</v>
      </c>
      <c r="M8" s="229" t="str">
        <f t="shared" si="2"/>
        <v>---</v>
      </c>
      <c r="N8" s="238">
        <f t="shared" si="3"/>
        <v>0</v>
      </c>
      <c r="O8" s="214">
        <f>SUMIFS('Diags Raw Data'!$Z$6:$Z$4795,'Diags Raw Data'!$D$6:$D$4795,$A8)</f>
        <v>0</v>
      </c>
      <c r="P8" s="204">
        <f>SUMIFS('Diags Raw Data'!$AA$6:$AA$4795,'Diags Raw Data'!$D$6:$D$4795,$A8)</f>
        <v>0</v>
      </c>
      <c r="Q8" s="206">
        <f>SUMIFS('Diags Raw Data'!$AB$6:$AB$4795,'Diags Raw Data'!$D$6:$D$4795,$A8)</f>
        <v>0</v>
      </c>
      <c r="R8" s="204">
        <f>SUMIFS('Diags Raw Data'!$AC$6:$AC$4795,'Diags Raw Data'!$D$6:$D$4795,$A8)</f>
        <v>0</v>
      </c>
      <c r="S8" s="206">
        <f>SUMIFS('Diags Raw Data'!$AD$6:$AD$4795,'Diags Raw Data'!$D$6:$D$4795,$A8)</f>
        <v>0</v>
      </c>
      <c r="T8" s="205">
        <f t="shared" si="4"/>
        <v>0</v>
      </c>
      <c r="U8" s="230" t="str">
        <f t="shared" si="5"/>
        <v>---</v>
      </c>
      <c r="V8" s="232">
        <f t="shared" si="6"/>
        <v>0</v>
      </c>
    </row>
    <row r="9" spans="1:22">
      <c r="A9" s="333" t="s">
        <v>1081</v>
      </c>
      <c r="B9" s="253">
        <f>SUMIFS('Diags Raw Data'!$L$6:$L$4795,'Diags Raw Data'!$D$6:$D$4795,$A9)</f>
        <v>12</v>
      </c>
      <c r="C9" s="243">
        <f>SUMIFS('Diags Raw Data'!$R$6:$R$4795,'Diags Raw Data'!$D$6:$D$4795,$A9)</f>
        <v>3</v>
      </c>
      <c r="D9" s="243">
        <f>SUMIFS('Diags Raw Data'!$K$6:$K$4795,'Diags Raw Data'!$D$6:$D$4795,$A9)</f>
        <v>3</v>
      </c>
      <c r="E9" s="243">
        <f>SUMIFS('Diags Raw Data'!$O$6:$O$4795,'Diags Raw Data'!$D$6:$D$4795,$A9)</f>
        <v>12</v>
      </c>
      <c r="F9" s="249">
        <f t="shared" si="0"/>
        <v>1</v>
      </c>
      <c r="G9" s="231">
        <f>SUMIFS('Diags Raw Data'!$S$6:$S$4795,'Diags Raw Data'!$D$6:$D$4795,$A9)</f>
        <v>3</v>
      </c>
      <c r="H9" s="227">
        <f>SUMIFS('Diags Raw Data'!$T$6:$T$4795,'Diags Raw Data'!$D$6:$D$4795,$A9)</f>
        <v>1</v>
      </c>
      <c r="I9" s="228">
        <f>SUMIFS('Diags Raw Data'!$U$6:$U$4795,'Diags Raw Data'!$D$6:$D$4795,$A9)</f>
        <v>0</v>
      </c>
      <c r="J9" s="227">
        <f>SUMIFS('Diags Raw Data'!$V$6:$V$4795,'Diags Raw Data'!$D$6:$D$4795,$A9)</f>
        <v>2</v>
      </c>
      <c r="K9" s="228">
        <f>SUMIFS('Diags Raw Data'!$W$6:$W$4795,'Diags Raw Data'!$D$6:$D$4795,$A9)</f>
        <v>0</v>
      </c>
      <c r="L9" s="244">
        <f t="shared" si="1"/>
        <v>1</v>
      </c>
      <c r="M9" s="229">
        <f t="shared" si="2"/>
        <v>0.33333333333333331</v>
      </c>
      <c r="N9" s="238">
        <f t="shared" si="3"/>
        <v>0.33333333333333331</v>
      </c>
      <c r="O9" s="214">
        <f>SUMIFS('Diags Raw Data'!$Z$6:$Z$4795,'Diags Raw Data'!$D$6:$D$4795,$A9)</f>
        <v>0</v>
      </c>
      <c r="P9" s="204">
        <f>SUMIFS('Diags Raw Data'!$AA$6:$AA$4795,'Diags Raw Data'!$D$6:$D$4795,$A9)</f>
        <v>0</v>
      </c>
      <c r="Q9" s="206">
        <f>SUMIFS('Diags Raw Data'!$AB$6:$AB$4795,'Diags Raw Data'!$D$6:$D$4795,$A9)</f>
        <v>0</v>
      </c>
      <c r="R9" s="204">
        <f>SUMIFS('Diags Raw Data'!$AC$6:$AC$4795,'Diags Raw Data'!$D$6:$D$4795,$A9)</f>
        <v>0</v>
      </c>
      <c r="S9" s="206">
        <f>SUMIFS('Diags Raw Data'!$AD$6:$AD$4795,'Diags Raw Data'!$D$6:$D$4795,$A9)</f>
        <v>0</v>
      </c>
      <c r="T9" s="205">
        <f t="shared" si="4"/>
        <v>0</v>
      </c>
      <c r="U9" s="230" t="str">
        <f>IF(NOT($O9=0), (P9+Q9)/$O9, "---")</f>
        <v>---</v>
      </c>
      <c r="V9" s="232">
        <f t="shared" si="6"/>
        <v>0</v>
      </c>
    </row>
    <row r="10" spans="1:22">
      <c r="A10" s="333" t="s">
        <v>693</v>
      </c>
      <c r="B10" s="253">
        <f>SUMIFS('Diags Raw Data'!$L$6:$L$4795,'Diags Raw Data'!$D$6:$D$4795,$A10)</f>
        <v>162</v>
      </c>
      <c r="C10" s="243">
        <f>SUMIFS('Diags Raw Data'!$R$6:$R$4795,'Diags Raw Data'!$D$6:$D$4795,$A10)</f>
        <v>101</v>
      </c>
      <c r="D10" s="243">
        <f>SUMIFS('Diags Raw Data'!$K$6:$K$4795,'Diags Raw Data'!$D$6:$D$4795,$A10)</f>
        <v>23</v>
      </c>
      <c r="E10" s="243">
        <f>SUMIFS('Diags Raw Data'!$O$6:$O$4795,'Diags Raw Data'!$D$6:$D$4795,$A10)</f>
        <v>155</v>
      </c>
      <c r="F10" s="249">
        <f t="shared" ref="F10:F12" si="7">IF(NOT($B10=0), E10/$B10, "---")</f>
        <v>0.95679012345679015</v>
      </c>
      <c r="G10" s="231">
        <f>SUMIFS('Diags Raw Data'!$S$6:$S$4795,'Diags Raw Data'!$D$6:$D$4795,$A10)</f>
        <v>100</v>
      </c>
      <c r="H10" s="227">
        <f>SUMIFS('Diags Raw Data'!$T$6:$T$4795,'Diags Raw Data'!$D$6:$D$4795,$A10)</f>
        <v>96</v>
      </c>
      <c r="I10" s="228">
        <f>SUMIFS('Diags Raw Data'!$U$6:$U$4795,'Diags Raw Data'!$D$6:$D$4795,$A10)</f>
        <v>0</v>
      </c>
      <c r="J10" s="227">
        <f>SUMIFS('Diags Raw Data'!$V$6:$V$4795,'Diags Raw Data'!$D$6:$D$4795,$A10)</f>
        <v>4</v>
      </c>
      <c r="K10" s="228">
        <f>SUMIFS('Diags Raw Data'!$W$6:$W$4795,'Diags Raw Data'!$D$6:$D$4795,$A10)</f>
        <v>0</v>
      </c>
      <c r="L10" s="244">
        <f t="shared" ref="L10:L12" si="8">IF(NOT($C10=0), G10/$C10, "---")</f>
        <v>0.99009900990099009</v>
      </c>
      <c r="M10" s="229">
        <f t="shared" ref="M10:M12" si="9">IF(NOT($G10=0), (H10+I10)/$G10, "---")</f>
        <v>0.96</v>
      </c>
      <c r="N10" s="238">
        <f t="shared" ref="N10:N12" si="10">IF(NOT($C10=0), (H10+I10)/$C10, "---")</f>
        <v>0.95049504950495045</v>
      </c>
      <c r="O10" s="214">
        <f>SUMIFS('Diags Raw Data'!$Z$6:$Z$4795,'Diags Raw Data'!$D$6:$D$4795,$A10)</f>
        <v>0</v>
      </c>
      <c r="P10" s="204">
        <f>SUMIFS('Diags Raw Data'!$AA$6:$AA$4795,'Diags Raw Data'!$D$6:$D$4795,$A10)</f>
        <v>0</v>
      </c>
      <c r="Q10" s="206">
        <f>SUMIFS('Diags Raw Data'!$AB$6:$AB$4795,'Diags Raw Data'!$D$6:$D$4795,$A10)</f>
        <v>0</v>
      </c>
      <c r="R10" s="204">
        <f>SUMIFS('Diags Raw Data'!$AC$6:$AC$4795,'Diags Raw Data'!$D$6:$D$4795,$A10)</f>
        <v>0</v>
      </c>
      <c r="S10" s="206">
        <f>SUMIFS('Diags Raw Data'!$AD$6:$AD$4795,'Diags Raw Data'!$D$6:$D$4795,$A10)</f>
        <v>0</v>
      </c>
      <c r="T10" s="205">
        <f t="shared" ref="T10:T12" si="11">IF(NOT($B10=0), O10/$B10, "---")</f>
        <v>0</v>
      </c>
      <c r="U10" s="230" t="str">
        <f t="shared" ref="U10:U12" si="12">IF(NOT($O10=0), (P10+Q10)/$O10, "---")</f>
        <v>---</v>
      </c>
      <c r="V10" s="232">
        <f t="shared" ref="V10:V12" si="13">IF(NOT($B10=0), (P10+Q10)/$B10, "---")</f>
        <v>0</v>
      </c>
    </row>
    <row r="11" spans="1:22">
      <c r="A11" s="333" t="s">
        <v>822</v>
      </c>
      <c r="B11" s="253">
        <f>SUMIFS('Diags Raw Data'!$L$6:$L$4795,'Diags Raw Data'!$D$6:$D$4795,$A11)</f>
        <v>18</v>
      </c>
      <c r="C11" s="243">
        <f>SUMIFS('Diags Raw Data'!$R$6:$R$4795,'Diags Raw Data'!$D$6:$D$4795,$A11)</f>
        <v>1</v>
      </c>
      <c r="D11" s="243">
        <f>SUMIFS('Diags Raw Data'!$K$6:$K$4795,'Diags Raw Data'!$D$6:$D$4795,$A11)</f>
        <v>1</v>
      </c>
      <c r="E11" s="243">
        <f>SUMIFS('Diags Raw Data'!$O$6:$O$4795,'Diags Raw Data'!$D$6:$D$4795,$A11)</f>
        <v>18</v>
      </c>
      <c r="F11" s="249">
        <f t="shared" si="7"/>
        <v>1</v>
      </c>
      <c r="G11" s="231">
        <f>SUMIFS('Diags Raw Data'!$S$6:$S$4795,'Diags Raw Data'!$D$6:$D$4795,$A11)</f>
        <v>1</v>
      </c>
      <c r="H11" s="227">
        <f>SUMIFS('Diags Raw Data'!$T$6:$T$4795,'Diags Raw Data'!$D$6:$D$4795,$A11)</f>
        <v>1</v>
      </c>
      <c r="I11" s="228">
        <f>SUMIFS('Diags Raw Data'!$U$6:$U$4795,'Diags Raw Data'!$D$6:$D$4795,$A11)</f>
        <v>0</v>
      </c>
      <c r="J11" s="227">
        <f>SUMIFS('Diags Raw Data'!$V$6:$V$4795,'Diags Raw Data'!$D$6:$D$4795,$A11)</f>
        <v>0</v>
      </c>
      <c r="K11" s="228">
        <f>SUMIFS('Diags Raw Data'!$W$6:$W$4795,'Diags Raw Data'!$D$6:$D$4795,$A11)</f>
        <v>0</v>
      </c>
      <c r="L11" s="244">
        <f t="shared" si="8"/>
        <v>1</v>
      </c>
      <c r="M11" s="229">
        <f t="shared" si="9"/>
        <v>1</v>
      </c>
      <c r="N11" s="238">
        <f t="shared" si="10"/>
        <v>1</v>
      </c>
      <c r="O11" s="214">
        <f>SUMIFS('Diags Raw Data'!$Z$6:$Z$4795,'Diags Raw Data'!$D$6:$D$4795,$A11)</f>
        <v>0</v>
      </c>
      <c r="P11" s="204">
        <f>SUMIFS('Diags Raw Data'!$AA$6:$AA$4795,'Diags Raw Data'!$D$6:$D$4795,$A11)</f>
        <v>0</v>
      </c>
      <c r="Q11" s="206">
        <f>SUMIFS('Diags Raw Data'!$AB$6:$AB$4795,'Diags Raw Data'!$D$6:$D$4795,$A11)</f>
        <v>0</v>
      </c>
      <c r="R11" s="204">
        <f>SUMIFS('Diags Raw Data'!$AC$6:$AC$4795,'Diags Raw Data'!$D$6:$D$4795,$A11)</f>
        <v>0</v>
      </c>
      <c r="S11" s="206">
        <f>SUMIFS('Diags Raw Data'!$AD$6:$AD$4795,'Diags Raw Data'!$D$6:$D$4795,$A11)</f>
        <v>0</v>
      </c>
      <c r="T11" s="205">
        <f t="shared" si="11"/>
        <v>0</v>
      </c>
      <c r="U11" s="230" t="str">
        <f t="shared" si="12"/>
        <v>---</v>
      </c>
      <c r="V11" s="232">
        <f t="shared" si="13"/>
        <v>0</v>
      </c>
    </row>
    <row r="12" spans="1:22">
      <c r="A12" s="333" t="s">
        <v>1048</v>
      </c>
      <c r="B12" s="253">
        <f>SUMIFS('Diags Raw Data'!$L$6:$L$4795,'Diags Raw Data'!$D$6:$D$4795,$A12)</f>
        <v>2</v>
      </c>
      <c r="C12" s="243">
        <f>SUMIFS('Diags Raw Data'!$R$6:$R$4795,'Diags Raw Data'!$D$6:$D$4795,$A12)</f>
        <v>1</v>
      </c>
      <c r="D12" s="243">
        <f>SUMIFS('Diags Raw Data'!$K$6:$K$4795,'Diags Raw Data'!$D$6:$D$4795,$A12)</f>
        <v>1</v>
      </c>
      <c r="E12" s="243">
        <f>SUMIFS('Diags Raw Data'!$O$6:$O$4795,'Diags Raw Data'!$D$6:$D$4795,$A12)</f>
        <v>2</v>
      </c>
      <c r="F12" s="249">
        <f t="shared" si="7"/>
        <v>1</v>
      </c>
      <c r="G12" s="231">
        <f>SUMIFS('Diags Raw Data'!$S$6:$S$4795,'Diags Raw Data'!$D$6:$D$4795,$A12)</f>
        <v>1</v>
      </c>
      <c r="H12" s="227">
        <f>SUMIFS('Diags Raw Data'!$T$6:$T$4795,'Diags Raw Data'!$D$6:$D$4795,$A12)</f>
        <v>0</v>
      </c>
      <c r="I12" s="228">
        <f>SUMIFS('Diags Raw Data'!$U$6:$U$4795,'Diags Raw Data'!$D$6:$D$4795,$A12)</f>
        <v>0</v>
      </c>
      <c r="J12" s="227">
        <f>SUMIFS('Diags Raw Data'!$V$6:$V$4795,'Diags Raw Data'!$D$6:$D$4795,$A12)</f>
        <v>1</v>
      </c>
      <c r="K12" s="228">
        <f>SUMIFS('Diags Raw Data'!$W$6:$W$4795,'Diags Raw Data'!$D$6:$D$4795,$A12)</f>
        <v>0</v>
      </c>
      <c r="L12" s="244">
        <f t="shared" si="8"/>
        <v>1</v>
      </c>
      <c r="M12" s="229">
        <f t="shared" si="9"/>
        <v>0</v>
      </c>
      <c r="N12" s="238">
        <f t="shared" si="10"/>
        <v>0</v>
      </c>
      <c r="O12" s="214">
        <f>SUMIFS('Diags Raw Data'!$Z$6:$Z$4795,'Diags Raw Data'!$D$6:$D$4795,$A12)</f>
        <v>0</v>
      </c>
      <c r="P12" s="204">
        <f>SUMIFS('Diags Raw Data'!$AA$6:$AA$4795,'Diags Raw Data'!$D$6:$D$4795,$A12)</f>
        <v>0</v>
      </c>
      <c r="Q12" s="206">
        <f>SUMIFS('Diags Raw Data'!$AB$6:$AB$4795,'Diags Raw Data'!$D$6:$D$4795,$A12)</f>
        <v>0</v>
      </c>
      <c r="R12" s="204">
        <f>SUMIFS('Diags Raw Data'!$AC$6:$AC$4795,'Diags Raw Data'!$D$6:$D$4795,$A12)</f>
        <v>0</v>
      </c>
      <c r="S12" s="206">
        <f>SUMIFS('Diags Raw Data'!$AD$6:$AD$4795,'Diags Raw Data'!$D$6:$D$4795,$A12)</f>
        <v>0</v>
      </c>
      <c r="T12" s="205">
        <f t="shared" si="11"/>
        <v>0</v>
      </c>
      <c r="U12" s="230" t="str">
        <f t="shared" si="12"/>
        <v>---</v>
      </c>
      <c r="V12" s="232">
        <f t="shared" si="13"/>
        <v>0</v>
      </c>
    </row>
    <row r="13" spans="1:22">
      <c r="A13" s="333" t="s">
        <v>1051</v>
      </c>
      <c r="B13" s="253">
        <f>SUMIFS('Diags Raw Data'!$L$6:$L$4795,'Diags Raw Data'!$D$6:$D$4795,$A13)</f>
        <v>104</v>
      </c>
      <c r="C13" s="243">
        <f>SUMIFS('Diags Raw Data'!$R$6:$R$4795,'Diags Raw Data'!$D$6:$D$4795,$A13)</f>
        <v>0</v>
      </c>
      <c r="D13" s="243">
        <f>SUMIFS('Diags Raw Data'!$K$6:$K$4795,'Diags Raw Data'!$D$6:$D$4795,$A13)</f>
        <v>7</v>
      </c>
      <c r="E13" s="243">
        <f>SUMIFS('Diags Raw Data'!$O$6:$O$4795,'Diags Raw Data'!$D$6:$D$4795,$A13)</f>
        <v>104</v>
      </c>
      <c r="F13" s="249">
        <f>IF(NOT($B13=0), E13/$B13, "---")</f>
        <v>1</v>
      </c>
      <c r="G13" s="231">
        <f>SUMIFS('Diags Raw Data'!$S$6:$S$4795,'Diags Raw Data'!$D$6:$D$4795,$A13)</f>
        <v>0</v>
      </c>
      <c r="H13" s="227">
        <f>SUMIFS('Diags Raw Data'!$T$6:$T$4795,'Diags Raw Data'!$D$6:$D$4795,$A13)</f>
        <v>0</v>
      </c>
      <c r="I13" s="228">
        <f>SUMIFS('Diags Raw Data'!$U$6:$U$4795,'Diags Raw Data'!$D$6:$D$4795,$A13)</f>
        <v>0</v>
      </c>
      <c r="J13" s="227">
        <f>SUMIFS('Diags Raw Data'!$V$6:$V$4795,'Diags Raw Data'!$D$6:$D$4795,$A13)</f>
        <v>0</v>
      </c>
      <c r="K13" s="228">
        <f>SUMIFS('Diags Raw Data'!$W$6:$W$4795,'Diags Raw Data'!$D$6:$D$4795,$A13)</f>
        <v>0</v>
      </c>
      <c r="L13" s="244" t="str">
        <f t="shared" si="1"/>
        <v>---</v>
      </c>
      <c r="M13" s="229" t="str">
        <f t="shared" si="2"/>
        <v>---</v>
      </c>
      <c r="N13" s="238" t="str">
        <f t="shared" si="3"/>
        <v>---</v>
      </c>
      <c r="O13" s="214">
        <f>SUMIFS('Diags Raw Data'!$Z$6:$Z$4795,'Diags Raw Data'!$D$6:$D$4795,$A13)</f>
        <v>0</v>
      </c>
      <c r="P13" s="204">
        <f>SUMIFS('Diags Raw Data'!$AA$6:$AA$4795,'Diags Raw Data'!$D$6:$D$4795,$A13)</f>
        <v>0</v>
      </c>
      <c r="Q13" s="206">
        <f>SUMIFS('Diags Raw Data'!$AB$6:$AB$4795,'Diags Raw Data'!$D$6:$D$4795,$A13)</f>
        <v>0</v>
      </c>
      <c r="R13" s="204">
        <f>SUMIFS('Diags Raw Data'!$AC$6:$AC$4795,'Diags Raw Data'!$D$6:$D$4795,$A13)</f>
        <v>0</v>
      </c>
      <c r="S13" s="206">
        <f>SUMIFS('Diags Raw Data'!$AD$6:$AD$4795,'Diags Raw Data'!$D$6:$D$4795,$A13)</f>
        <v>0</v>
      </c>
      <c r="T13" s="205">
        <f t="shared" si="4"/>
        <v>0</v>
      </c>
      <c r="U13" s="230" t="str">
        <f t="shared" ref="U13:U19" si="14">IF(NOT($O13=0), (P13+Q13)/$O13, "---")</f>
        <v>---</v>
      </c>
      <c r="V13" s="232">
        <f t="shared" si="6"/>
        <v>0</v>
      </c>
    </row>
    <row r="14" spans="1:22">
      <c r="A14" s="333" t="s">
        <v>792</v>
      </c>
      <c r="B14" s="253">
        <f>SUMIFS('Diags Raw Data'!$L$6:$L$4795,'Diags Raw Data'!$D$6:$D$4795,$A14)</f>
        <v>118</v>
      </c>
      <c r="C14" s="243">
        <f>SUMIFS('Diags Raw Data'!$R$6:$R$4795,'Diags Raw Data'!$D$6:$D$4795,$A14)</f>
        <v>78</v>
      </c>
      <c r="D14" s="243">
        <f>SUMIFS('Diags Raw Data'!$K$6:$K$4795,'Diags Raw Data'!$D$6:$D$4795,$A14)</f>
        <v>12</v>
      </c>
      <c r="E14" s="243">
        <f>SUMIFS('Diags Raw Data'!$O$6:$O$4795,'Diags Raw Data'!$D$6:$D$4795,$A14)</f>
        <v>118</v>
      </c>
      <c r="F14" s="249">
        <f t="shared" si="0"/>
        <v>1</v>
      </c>
      <c r="G14" s="231">
        <f>SUMIFS('Diags Raw Data'!$S$6:$S$4795,'Diags Raw Data'!$D$6:$D$4795,$A14)</f>
        <v>78</v>
      </c>
      <c r="H14" s="227">
        <f>SUMIFS('Diags Raw Data'!$T$6:$T$4795,'Diags Raw Data'!$D$6:$D$4795,$A14)</f>
        <v>77</v>
      </c>
      <c r="I14" s="228">
        <f>SUMIFS('Diags Raw Data'!$U$6:$U$4795,'Diags Raw Data'!$D$6:$D$4795,$A14)</f>
        <v>0</v>
      </c>
      <c r="J14" s="227">
        <f>SUMIFS('Diags Raw Data'!$V$6:$V$4795,'Diags Raw Data'!$D$6:$D$4795,$A14)</f>
        <v>1</v>
      </c>
      <c r="K14" s="228">
        <f>SUMIFS('Diags Raw Data'!$W$6:$W$4795,'Diags Raw Data'!$D$6:$D$4795,$A14)</f>
        <v>0</v>
      </c>
      <c r="L14" s="244">
        <f t="shared" si="1"/>
        <v>1</v>
      </c>
      <c r="M14" s="229">
        <f t="shared" si="2"/>
        <v>0.98717948717948723</v>
      </c>
      <c r="N14" s="238">
        <f t="shared" si="3"/>
        <v>0.98717948717948723</v>
      </c>
      <c r="O14" s="214">
        <f>SUMIFS('Diags Raw Data'!$Z$6:$Z$4795,'Diags Raw Data'!$D$6:$D$4795,$A14)</f>
        <v>0</v>
      </c>
      <c r="P14" s="204">
        <f>SUMIFS('Diags Raw Data'!$AA$6:$AA$4795,'Diags Raw Data'!$D$6:$D$4795,$A14)</f>
        <v>0</v>
      </c>
      <c r="Q14" s="206">
        <f>SUMIFS('Diags Raw Data'!$AB$6:$AB$4795,'Diags Raw Data'!$D$6:$D$4795,$A14)</f>
        <v>0</v>
      </c>
      <c r="R14" s="204">
        <f>SUMIFS('Diags Raw Data'!$AC$6:$AC$4795,'Diags Raw Data'!$D$6:$D$4795,$A14)</f>
        <v>0</v>
      </c>
      <c r="S14" s="206">
        <f>SUMIFS('Diags Raw Data'!$AD$6:$AD$4795,'Diags Raw Data'!$D$6:$D$4795,$A14)</f>
        <v>0</v>
      </c>
      <c r="T14" s="205">
        <f t="shared" si="4"/>
        <v>0</v>
      </c>
      <c r="U14" s="230" t="str">
        <f t="shared" si="14"/>
        <v>---</v>
      </c>
      <c r="V14" s="232">
        <f t="shared" si="6"/>
        <v>0</v>
      </c>
    </row>
    <row r="15" spans="1:22">
      <c r="A15" s="333" t="s">
        <v>760</v>
      </c>
      <c r="B15" s="253">
        <f>SUMIFS('Diags Raw Data'!$L$6:$L$4795,'Diags Raw Data'!$D$6:$D$4795,$A15)</f>
        <v>42</v>
      </c>
      <c r="C15" s="243">
        <f>SUMIFS('Diags Raw Data'!$R$6:$R$4795,'Diags Raw Data'!$D$6:$D$4795,$A15)</f>
        <v>29</v>
      </c>
      <c r="D15" s="243">
        <f>SUMIFS('Diags Raw Data'!$K$6:$K$4795,'Diags Raw Data'!$D$6:$D$4795,$A15)</f>
        <v>11</v>
      </c>
      <c r="E15" s="243">
        <f>SUMIFS('Diags Raw Data'!$O$6:$O$4795,'Diags Raw Data'!$D$6:$D$4795,$A15)</f>
        <v>41</v>
      </c>
      <c r="F15" s="249">
        <f t="shared" si="0"/>
        <v>0.97619047619047616</v>
      </c>
      <c r="G15" s="231">
        <f>SUMIFS('Diags Raw Data'!$S$6:$S$4795,'Diags Raw Data'!$D$6:$D$4795,$A15)</f>
        <v>27</v>
      </c>
      <c r="H15" s="227">
        <f>SUMIFS('Diags Raw Data'!$T$6:$T$4795,'Diags Raw Data'!$D$6:$D$4795,$A15)</f>
        <v>25</v>
      </c>
      <c r="I15" s="228">
        <f>SUMIFS('Diags Raw Data'!$U$6:$U$4795,'Diags Raw Data'!$D$6:$D$4795,$A15)</f>
        <v>0</v>
      </c>
      <c r="J15" s="227">
        <f>SUMIFS('Diags Raw Data'!$V$6:$V$4795,'Diags Raw Data'!$D$6:$D$4795,$A15)</f>
        <v>2</v>
      </c>
      <c r="K15" s="228">
        <f>SUMIFS('Diags Raw Data'!$W$6:$W$4795,'Diags Raw Data'!$D$6:$D$4795,$A15)</f>
        <v>0</v>
      </c>
      <c r="L15" s="244">
        <f t="shared" si="1"/>
        <v>0.93103448275862066</v>
      </c>
      <c r="M15" s="229">
        <f t="shared" si="2"/>
        <v>0.92592592592592593</v>
      </c>
      <c r="N15" s="238">
        <f t="shared" si="3"/>
        <v>0.86206896551724133</v>
      </c>
      <c r="O15" s="214">
        <f>SUMIFS('Diags Raw Data'!$Z$6:$Z$4795,'Diags Raw Data'!$D$6:$D$4795,$A15)</f>
        <v>0</v>
      </c>
      <c r="P15" s="204">
        <f>SUMIFS('Diags Raw Data'!$AA$6:$AA$4795,'Diags Raw Data'!$D$6:$D$4795,$A15)</f>
        <v>0</v>
      </c>
      <c r="Q15" s="206">
        <f>SUMIFS('Diags Raw Data'!$AB$6:$AB$4795,'Diags Raw Data'!$D$6:$D$4795,$A15)</f>
        <v>0</v>
      </c>
      <c r="R15" s="204">
        <f>SUMIFS('Diags Raw Data'!$AC$6:$AC$4795,'Diags Raw Data'!$D$6:$D$4795,$A15)</f>
        <v>0</v>
      </c>
      <c r="S15" s="206">
        <f>SUMIFS('Diags Raw Data'!$AD$6:$AD$4795,'Diags Raw Data'!$D$6:$D$4795,$A15)</f>
        <v>0</v>
      </c>
      <c r="T15" s="205">
        <f t="shared" si="4"/>
        <v>0</v>
      </c>
      <c r="U15" s="230" t="str">
        <f t="shared" si="14"/>
        <v>---</v>
      </c>
      <c r="V15" s="232">
        <f t="shared" si="6"/>
        <v>0</v>
      </c>
    </row>
    <row r="16" spans="1:22">
      <c r="A16" s="333" t="s">
        <v>827</v>
      </c>
      <c r="B16" s="253">
        <f>SUMIFS('Diags Raw Data'!$L$6:$L$4795,'Diags Raw Data'!$D$6:$D$4795,$A16)</f>
        <v>84</v>
      </c>
      <c r="C16" s="243">
        <f>SUMIFS('Diags Raw Data'!$R$6:$R$4795,'Diags Raw Data'!$D$6:$D$4795,$A16)</f>
        <v>84</v>
      </c>
      <c r="D16" s="243">
        <f>SUMIFS('Diags Raw Data'!$K$6:$K$4795,'Diags Raw Data'!$D$6:$D$4795,$A16)</f>
        <v>9</v>
      </c>
      <c r="E16" s="243">
        <f>SUMIFS('Diags Raw Data'!$O$6:$O$4795,'Diags Raw Data'!$D$6:$D$4795,$A16)</f>
        <v>84</v>
      </c>
      <c r="F16" s="249">
        <f t="shared" ref="F16" si="15">IF(NOT($B16=0), E16/$B16, "---")</f>
        <v>1</v>
      </c>
      <c r="G16" s="231">
        <f>SUMIFS('Diags Raw Data'!$S$6:$S$4795,'Diags Raw Data'!$D$6:$D$4795,$A16)</f>
        <v>38</v>
      </c>
      <c r="H16" s="227">
        <f>SUMIFS('Diags Raw Data'!$T$6:$T$4795,'Diags Raw Data'!$D$6:$D$4795,$A16)</f>
        <v>38</v>
      </c>
      <c r="I16" s="228">
        <f>SUMIFS('Diags Raw Data'!$U$6:$U$4795,'Diags Raw Data'!$D$6:$D$4795,$A16)</f>
        <v>0</v>
      </c>
      <c r="J16" s="227">
        <f>SUMIFS('Diags Raw Data'!$V$6:$V$4795,'Diags Raw Data'!$D$6:$D$4795,$A16)</f>
        <v>0</v>
      </c>
      <c r="K16" s="228">
        <f>SUMIFS('Diags Raw Data'!$W$6:$W$4795,'Diags Raw Data'!$D$6:$D$4795,$A16)</f>
        <v>0</v>
      </c>
      <c r="L16" s="244">
        <f t="shared" ref="L16" si="16">IF(NOT($C16=0), G16/$C16, "---")</f>
        <v>0.45238095238095238</v>
      </c>
      <c r="M16" s="229">
        <f t="shared" ref="M16" si="17">IF(NOT($G16=0), (H16+I16)/$G16, "---")</f>
        <v>1</v>
      </c>
      <c r="N16" s="238">
        <f t="shared" ref="N16" si="18">IF(NOT($C16=0), (H16+I16)/$C16, "---")</f>
        <v>0.45238095238095238</v>
      </c>
      <c r="O16" s="214">
        <f>SUMIFS('Diags Raw Data'!$Z$6:$Z$4795,'Diags Raw Data'!$D$6:$D$4795,$A16)</f>
        <v>0</v>
      </c>
      <c r="P16" s="204">
        <f>SUMIFS('Diags Raw Data'!$AA$6:$AA$4795,'Diags Raw Data'!$D$6:$D$4795,$A16)</f>
        <v>0</v>
      </c>
      <c r="Q16" s="206">
        <f>SUMIFS('Diags Raw Data'!$AB$6:$AB$4795,'Diags Raw Data'!$D$6:$D$4795,$A16)</f>
        <v>0</v>
      </c>
      <c r="R16" s="204">
        <f>SUMIFS('Diags Raw Data'!$AC$6:$AC$4795,'Diags Raw Data'!$D$6:$D$4795,$A16)</f>
        <v>0</v>
      </c>
      <c r="S16" s="206">
        <f>SUMIFS('Diags Raw Data'!$AD$6:$AD$4795,'Diags Raw Data'!$D$6:$D$4795,$A16)</f>
        <v>0</v>
      </c>
      <c r="T16" s="205">
        <f t="shared" ref="T16" si="19">IF(NOT($B16=0), O16/$B16, "---")</f>
        <v>0</v>
      </c>
      <c r="U16" s="230" t="str">
        <f t="shared" ref="U16" si="20">IF(NOT($O16=0), (P16+Q16)/$O16, "---")</f>
        <v>---</v>
      </c>
      <c r="V16" s="232">
        <f t="shared" ref="V16" si="21">IF(NOT($B16=0), (P16+Q16)/$B16, "---")</f>
        <v>0</v>
      </c>
    </row>
    <row r="17" spans="1:22">
      <c r="A17" s="333" t="s">
        <v>1105</v>
      </c>
      <c r="B17" s="253">
        <f>SUMIFS('Diags Raw Data'!$L$6:$L$4795,'Diags Raw Data'!$D$6:$D$4795,$A17)</f>
        <v>3</v>
      </c>
      <c r="C17" s="243">
        <f>SUMIFS('Diags Raw Data'!$R$6:$R$4795,'Diags Raw Data'!$D$6:$D$4795,$A17)</f>
        <v>3</v>
      </c>
      <c r="D17" s="243">
        <f>SUMIFS('Diags Raw Data'!$K$6:$K$4795,'Diags Raw Data'!$D$6:$D$4795,$A17)</f>
        <v>120</v>
      </c>
      <c r="E17" s="243">
        <f>SUMIFS('Diags Raw Data'!$O$6:$O$4795,'Diags Raw Data'!$D$6:$D$4795,$A17)</f>
        <v>3</v>
      </c>
      <c r="F17" s="249">
        <f t="shared" ref="F17" si="22">IF(NOT($B17=0), E17/$B17, "---")</f>
        <v>1</v>
      </c>
      <c r="G17" s="231">
        <f>SUMIFS('Diags Raw Data'!$S$6:$S$4795,'Diags Raw Data'!$D$6:$D$4795,$A17)</f>
        <v>0</v>
      </c>
      <c r="H17" s="227">
        <f>SUMIFS('Diags Raw Data'!$T$6:$T$4795,'Diags Raw Data'!$D$6:$D$4795,$A17)</f>
        <v>0</v>
      </c>
      <c r="I17" s="228">
        <f>SUMIFS('Diags Raw Data'!$U$6:$U$4795,'Diags Raw Data'!$D$6:$D$4795,$A17)</f>
        <v>0</v>
      </c>
      <c r="J17" s="227">
        <f>SUMIFS('Diags Raw Data'!$V$6:$V$4795,'Diags Raw Data'!$D$6:$D$4795,$A17)</f>
        <v>0</v>
      </c>
      <c r="K17" s="228">
        <f>SUMIFS('Diags Raw Data'!$W$6:$W$4795,'Diags Raw Data'!$D$6:$D$4795,$A17)</f>
        <v>0</v>
      </c>
      <c r="L17" s="244">
        <f t="shared" ref="L17" si="23">IF(NOT($C17=0), G17/$C17, "---")</f>
        <v>0</v>
      </c>
      <c r="M17" s="229" t="str">
        <f t="shared" ref="M17" si="24">IF(NOT($G17=0), (H17+I17)/$G17, "---")</f>
        <v>---</v>
      </c>
      <c r="N17" s="238">
        <f t="shared" ref="N17" si="25">IF(NOT($C17=0), (H17+I17)/$C17, "---")</f>
        <v>0</v>
      </c>
      <c r="O17" s="214">
        <f>SUMIFS('Diags Raw Data'!$Z$6:$Z$4795,'Diags Raw Data'!$D$6:$D$4795,$A17)</f>
        <v>0</v>
      </c>
      <c r="P17" s="204">
        <f>SUMIFS('Diags Raw Data'!$AA$6:$AA$4795,'Diags Raw Data'!$D$6:$D$4795,$A17)</f>
        <v>0</v>
      </c>
      <c r="Q17" s="206">
        <f>SUMIFS('Diags Raw Data'!$AB$6:$AB$4795,'Diags Raw Data'!$D$6:$D$4795,$A17)</f>
        <v>0</v>
      </c>
      <c r="R17" s="204">
        <f>SUMIFS('Diags Raw Data'!$AC$6:$AC$4795,'Diags Raw Data'!$D$6:$D$4795,$A17)</f>
        <v>0</v>
      </c>
      <c r="S17" s="206">
        <f>SUMIFS('Diags Raw Data'!$AD$6:$AD$4795,'Diags Raw Data'!$D$6:$D$4795,$A17)</f>
        <v>0</v>
      </c>
      <c r="T17" s="205">
        <f t="shared" ref="T17" si="26">IF(NOT($B17=0), O17/$B17, "---")</f>
        <v>0</v>
      </c>
      <c r="U17" s="230" t="str">
        <f t="shared" ref="U17" si="27">IF(NOT($O17=0), (P17+Q17)/$O17, "---")</f>
        <v>---</v>
      </c>
      <c r="V17" s="232">
        <f t="shared" ref="V17" si="28">IF(NOT($B17=0), (P17+Q17)/$B17, "---")</f>
        <v>0</v>
      </c>
    </row>
    <row r="18" spans="1:22">
      <c r="A18" s="333" t="s">
        <v>1118</v>
      </c>
      <c r="B18" s="253">
        <f>SUMIFS('Diags Raw Data'!$L$6:$L$4795,'Diags Raw Data'!$D$6:$D$4795,$A18)</f>
        <v>15</v>
      </c>
      <c r="C18" s="243">
        <f>SUMIFS('Diags Raw Data'!$R$6:$R$4795,'Diags Raw Data'!$D$6:$D$4795,$A18)</f>
        <v>0</v>
      </c>
      <c r="D18" s="243">
        <f>SUMIFS('Diags Raw Data'!$K$6:$K$4795,'Diags Raw Data'!$D$6:$D$4795,$A18)</f>
        <v>5</v>
      </c>
      <c r="E18" s="243">
        <f>SUMIFS('Diags Raw Data'!$O$6:$O$4795,'Diags Raw Data'!$D$6:$D$4795,$A18)</f>
        <v>15</v>
      </c>
      <c r="F18" s="249">
        <f t="shared" ref="F18" si="29">IF(NOT($B18=0), E18/$B18, "---")</f>
        <v>1</v>
      </c>
      <c r="G18" s="231">
        <f>SUMIFS('Diags Raw Data'!$S$6:$S$4795,'Diags Raw Data'!$D$6:$D$4795,$A18)</f>
        <v>0</v>
      </c>
      <c r="H18" s="227">
        <f>SUMIFS('Diags Raw Data'!$T$6:$T$4795,'Diags Raw Data'!$D$6:$D$4795,$A18)</f>
        <v>0</v>
      </c>
      <c r="I18" s="228">
        <f>SUMIFS('Diags Raw Data'!$U$6:$U$4795,'Diags Raw Data'!$D$6:$D$4795,$A18)</f>
        <v>0</v>
      </c>
      <c r="J18" s="227">
        <f>SUMIFS('Diags Raw Data'!$V$6:$V$4795,'Diags Raw Data'!$D$6:$D$4795,$A18)</f>
        <v>0</v>
      </c>
      <c r="K18" s="228">
        <f>SUMIFS('Diags Raw Data'!$W$6:$W$4795,'Diags Raw Data'!$D$6:$D$4795,$A18)</f>
        <v>0</v>
      </c>
      <c r="L18" s="244" t="str">
        <f t="shared" ref="L18" si="30">IF(NOT($C18=0), G18/$C18, "---")</f>
        <v>---</v>
      </c>
      <c r="M18" s="229" t="str">
        <f t="shared" ref="M18" si="31">IF(NOT($G18=0), (H18+I18)/$G18, "---")</f>
        <v>---</v>
      </c>
      <c r="N18" s="238" t="str">
        <f t="shared" ref="N18" si="32">IF(NOT($C18=0), (H18+I18)/$C18, "---")</f>
        <v>---</v>
      </c>
      <c r="O18" s="214">
        <f>SUMIFS('Diags Raw Data'!$Z$6:$Z$4795,'Diags Raw Data'!$D$6:$D$4795,$A18)</f>
        <v>0</v>
      </c>
      <c r="P18" s="204">
        <f>SUMIFS('Diags Raw Data'!$AA$6:$AA$4795,'Diags Raw Data'!$D$6:$D$4795,$A18)</f>
        <v>0</v>
      </c>
      <c r="Q18" s="206">
        <f>SUMIFS('Diags Raw Data'!$AB$6:$AB$4795,'Diags Raw Data'!$D$6:$D$4795,$A18)</f>
        <v>0</v>
      </c>
      <c r="R18" s="204">
        <f>SUMIFS('Diags Raw Data'!$AC$6:$AC$4795,'Diags Raw Data'!$D$6:$D$4795,$A18)</f>
        <v>0</v>
      </c>
      <c r="S18" s="206">
        <f>SUMIFS('Diags Raw Data'!$AD$6:$AD$4795,'Diags Raw Data'!$D$6:$D$4795,$A18)</f>
        <v>0</v>
      </c>
      <c r="T18" s="205">
        <f t="shared" ref="T18" si="33">IF(NOT($B18=0), O18/$B18, "---")</f>
        <v>0</v>
      </c>
      <c r="U18" s="230" t="str">
        <f t="shared" ref="U18" si="34">IF(NOT($O18=0), (P18+Q18)/$O18, "---")</f>
        <v>---</v>
      </c>
      <c r="V18" s="232">
        <f t="shared" ref="V18" si="35">IF(NOT($B18=0), (P18+Q18)/$B18, "---")</f>
        <v>0</v>
      </c>
    </row>
    <row r="19" spans="1:22" ht="15" thickBot="1">
      <c r="A19" s="333" t="s">
        <v>848</v>
      </c>
      <c r="B19" s="254">
        <f>SUMIFS('Diags Raw Data'!$L$6:$L$4795,'Diags Raw Data'!$D$6:$D$4795,$A19)</f>
        <v>678</v>
      </c>
      <c r="C19" s="245">
        <f>SUMIFS('Diags Raw Data'!$R$6:$R$4795,'Diags Raw Data'!$D$6:$D$4795,$A19)</f>
        <v>642</v>
      </c>
      <c r="D19" s="245">
        <f>SUMIFS('Diags Raw Data'!$K$6:$K$4795,'Diags Raw Data'!$D$6:$D$4795,$A19)</f>
        <v>16</v>
      </c>
      <c r="E19" s="245">
        <f>SUMIFS('Diags Raw Data'!$O$6:$O$4795,'Diags Raw Data'!$D$6:$D$4795,$A19)</f>
        <v>678</v>
      </c>
      <c r="F19" s="250">
        <f>IF(NOT($B19=0), E19/$B19, "---")</f>
        <v>1</v>
      </c>
      <c r="G19" s="233">
        <f>SUMIFS('Diags Raw Data'!$S$6:$S$4795,'Diags Raw Data'!$D$6:$D$4795,$A19)</f>
        <v>635</v>
      </c>
      <c r="H19" s="234">
        <f>SUMIFS('Diags Raw Data'!$T$6:$T$4795,'Diags Raw Data'!$D$6:$D$4795,$A19)</f>
        <v>622</v>
      </c>
      <c r="I19" s="235">
        <f>SUMIFS('Diags Raw Data'!$U$6:$U$4795,'Diags Raw Data'!$D$6:$D$4795,$A19)</f>
        <v>0</v>
      </c>
      <c r="J19" s="234">
        <f>SUMIFS('Diags Raw Data'!$V$6:$V$4795,'Diags Raw Data'!$D$6:$D$4795,$A19)</f>
        <v>4</v>
      </c>
      <c r="K19" s="235">
        <f>SUMIFS('Diags Raw Data'!$W$6:$W$4795,'Diags Raw Data'!$D$6:$D$4795,$A19)</f>
        <v>9</v>
      </c>
      <c r="L19" s="246">
        <f t="shared" si="1"/>
        <v>0.9890965732087228</v>
      </c>
      <c r="M19" s="236">
        <f t="shared" si="2"/>
        <v>0.97952755905511812</v>
      </c>
      <c r="N19" s="239">
        <f>IF(NOT($C19=0), (H19+I19)/$C19, "---")</f>
        <v>0.96884735202492211</v>
      </c>
      <c r="O19" s="215">
        <f>SUMIFS('Diags Raw Data'!$Z$6:$Z$4795,'Diags Raw Data'!$D$6:$D$4795,$A19)</f>
        <v>0</v>
      </c>
      <c r="P19" s="207">
        <f>SUMIFS('Diags Raw Data'!$AA$6:$AA$4795,'Diags Raw Data'!$D$6:$D$4795,$A19)</f>
        <v>0</v>
      </c>
      <c r="Q19" s="209">
        <f>SUMIFS('Diags Raw Data'!$AB$6:$AB$4795,'Diags Raw Data'!$D$6:$D$4795,$A19)</f>
        <v>0</v>
      </c>
      <c r="R19" s="207">
        <f>SUMIFS('Diags Raw Data'!$AC$6:$AC$4795,'Diags Raw Data'!$D$6:$D$4795,$A19)</f>
        <v>0</v>
      </c>
      <c r="S19" s="209">
        <f>SUMIFS('Diags Raw Data'!$AD$6:$AD$4795,'Diags Raw Data'!$D$6:$D$4795,$A19)</f>
        <v>0</v>
      </c>
      <c r="T19" s="208">
        <f t="shared" si="4"/>
        <v>0</v>
      </c>
      <c r="U19" s="240" t="str">
        <f t="shared" si="14"/>
        <v>---</v>
      </c>
      <c r="V19" s="237">
        <f t="shared" si="6"/>
        <v>0</v>
      </c>
    </row>
    <row r="20" spans="1:22" ht="16.350000000000001" thickBot="1">
      <c r="A20" s="273" t="s">
        <v>1143</v>
      </c>
      <c r="B20" s="257">
        <f>SUM(B4:B19)</f>
        <v>2994</v>
      </c>
      <c r="C20" s="258">
        <f>SUM(C4:C19)</f>
        <v>2627</v>
      </c>
      <c r="D20" s="258">
        <f>SUM(D4:D19)</f>
        <v>303</v>
      </c>
      <c r="E20" s="258">
        <f>SUM(E4:E19)</f>
        <v>2969</v>
      </c>
      <c r="F20" s="259" cm="1">
        <f t="array" ref="F20">SUMPRODUCT(--(ISNUMBER(SEARCH("New",'Diags Raw Data'!$M$6:$M$4795))),'Diags Raw Data'!$K$6:$K$4795,'Diags Raw Data'!$P$6:$P$4795)/D20+SUMPRODUCT(--(ISNUMBER(SEARCH("Delta",'Diags Raw Data'!$M$6:$M$4795))),'Diags Raw Data'!$K$6:$K$4795,'Diags Raw Data'!$P$6:$P$4795)/D20+SUMPRODUCT(--(ISNUMBER(SEARCH("Legacy",'Diags Raw Data'!$M$6:$M$4795))),'Diags Raw Data'!$K$6:$K$4795,'Diags Raw Data'!$P$6:$P$4795)/D20</f>
        <v>0.9735973597359735</v>
      </c>
      <c r="G20" s="260">
        <f>SUM(G4:G19)</f>
        <v>2438</v>
      </c>
      <c r="H20" s="261">
        <f>SUM(H4:H19)</f>
        <v>2335</v>
      </c>
      <c r="I20" s="262">
        <f>SUM(I4:I19)</f>
        <v>0</v>
      </c>
      <c r="J20" s="261">
        <f>SUM(J4:J19)</f>
        <v>79</v>
      </c>
      <c r="K20" s="262">
        <f>SUM(K4:K19)</f>
        <v>21</v>
      </c>
      <c r="L20" s="263">
        <f>IF(NOT($C20=0), G20/$C20, "---")</f>
        <v>0.928054815378759</v>
      </c>
      <c r="M20" s="264">
        <f>IF(NOT($G20=0), (H20+I20)/$G20, "---")</f>
        <v>0.95775225594749791</v>
      </c>
      <c r="N20" s="265">
        <f>IF(NOT($C20=0), (H20+I20)/$C20, "---")</f>
        <v>0.88884659307194513</v>
      </c>
      <c r="O20" s="266">
        <f>SUM(O4:O19)</f>
        <v>0</v>
      </c>
      <c r="P20" s="267">
        <f>SUM(P4:P19)</f>
        <v>0</v>
      </c>
      <c r="Q20" s="268">
        <f>SUM(Q4:Q19)</f>
        <v>0</v>
      </c>
      <c r="R20" s="267">
        <f>SUM(R4:R19)</f>
        <v>0</v>
      </c>
      <c r="S20" s="268">
        <f>SUM(S4:S19)</f>
        <v>0</v>
      </c>
      <c r="T20" s="269">
        <f>IF(NOT($B20=0), O20/$B20, "---")</f>
        <v>0</v>
      </c>
      <c r="U20" s="270" t="str">
        <f>IF(NOT($O20=0), (P20+Q20)/$O20, "---")</f>
        <v>---</v>
      </c>
      <c r="V20" s="271">
        <f>IF(NOT($B20=0), (P20+Q20)/$B20, "---")</f>
        <v>0</v>
      </c>
    </row>
    <row r="21" spans="1:22" ht="15" thickBot="1"/>
    <row r="22" spans="1:22" ht="15" thickBot="1">
      <c r="A22" s="216" t="s">
        <v>1144</v>
      </c>
      <c r="B22" s="759" t="s">
        <v>166</v>
      </c>
      <c r="C22" s="759"/>
      <c r="D22" s="759"/>
      <c r="E22" s="759"/>
      <c r="F22" s="759"/>
      <c r="G22" s="760" t="s">
        <v>177</v>
      </c>
      <c r="H22" s="761"/>
      <c r="I22" s="761"/>
      <c r="J22" s="761"/>
      <c r="K22" s="761"/>
      <c r="L22" s="761"/>
      <c r="M22" s="761"/>
      <c r="N22" s="762"/>
      <c r="O22" s="763" t="s">
        <v>144</v>
      </c>
      <c r="P22" s="764"/>
      <c r="Q22" s="764"/>
      <c r="R22" s="764"/>
      <c r="S22" s="764"/>
      <c r="T22" s="764"/>
      <c r="U22" s="764"/>
      <c r="V22" s="765"/>
    </row>
    <row r="23" spans="1:22" s="251" customFormat="1" ht="15" thickBot="1">
      <c r="A23" s="255" t="s">
        <v>88</v>
      </c>
      <c r="B23" s="311" t="s">
        <v>167</v>
      </c>
      <c r="C23" s="312" t="s">
        <v>128</v>
      </c>
      <c r="D23" s="313" t="s">
        <v>105</v>
      </c>
      <c r="E23" s="313" t="s">
        <v>173</v>
      </c>
      <c r="F23" s="314" t="s">
        <v>175</v>
      </c>
      <c r="G23" s="315" t="s">
        <v>132</v>
      </c>
      <c r="H23" s="316" t="s">
        <v>30</v>
      </c>
      <c r="I23" s="316" t="s">
        <v>135</v>
      </c>
      <c r="J23" s="316" t="s">
        <v>36</v>
      </c>
      <c r="K23" s="316" t="s">
        <v>138</v>
      </c>
      <c r="L23" s="316" t="s">
        <v>184</v>
      </c>
      <c r="M23" s="316" t="s">
        <v>140</v>
      </c>
      <c r="N23" s="317" t="s">
        <v>187</v>
      </c>
      <c r="O23" s="318" t="s">
        <v>132</v>
      </c>
      <c r="P23" s="319" t="s">
        <v>30</v>
      </c>
      <c r="Q23" s="319" t="s">
        <v>135</v>
      </c>
      <c r="R23" s="319" t="s">
        <v>36</v>
      </c>
      <c r="S23" s="319" t="s">
        <v>138</v>
      </c>
      <c r="T23" s="319" t="s">
        <v>184</v>
      </c>
      <c r="U23" s="319" t="s">
        <v>140</v>
      </c>
      <c r="V23" s="320" t="s">
        <v>187</v>
      </c>
    </row>
    <row r="24" spans="1:22" ht="15" thickBot="1">
      <c r="A24" s="333" t="s">
        <v>786</v>
      </c>
      <c r="B24" s="252">
        <f>SUMIFS('Diags Raw Data'!$L$6:$L$4795,'Diags Raw Data'!$D$6:$D$4795,$A24,'Diags Raw Data'!$M$6:$M$4795,"New")+SUMIFS('Diags Raw Data'!$L$6:$L$4795,'Diags Raw Data'!$D$6:$D$4795,$A24,'Diags Raw Data'!$M$6:$M$4795,"Delta")</f>
        <v>16</v>
      </c>
      <c r="C24" s="242">
        <f>SUMIFS('Diags Raw Data'!$R$6:$R$4795,'Diags Raw Data'!$D$6:$D$4795,$A24,'Diags Raw Data'!$M$6:$M$4795,"New")+SUMIFS('Diags Raw Data'!$R$6:$R$4795,'Diags Raw Data'!$D$6:$D$4795,$A24,'Diags Raw Data'!$M$6:$M$4795,"Delta")</f>
        <v>16</v>
      </c>
      <c r="D24" s="242">
        <f>SUMIFS('Diags Raw Data'!$K$6:$K$4795,'Diags Raw Data'!$D$6:$D$4795,$A24,'Diags Raw Data'!$M$6:$M$4795,"New")+SUMIFS('Diags Raw Data'!$K$6:$K$4795,'Diags Raw Data'!$D$6:$D$4795,$A24,'Diags Raw Data'!$M$6:$M$4795,"Delta")</f>
        <v>2</v>
      </c>
      <c r="E24" s="242">
        <f>SUMIFS('Diags Raw Data'!$O$6:$O$4795,'Diags Raw Data'!$D$6:$D$4795,$A24,'Diags Raw Data'!$M$6:$M$4795,"New")+SUMIFS('Diags Raw Data'!$O$6:$O$4795,'Diags Raw Data'!$D$6:$D$4795,$A24,'Diags Raw Data'!$M$6:$M$4795,"Delta")</f>
        <v>1</v>
      </c>
      <c r="F24" s="248">
        <f t="shared" ref="F24" si="36">IF(NOT($B24=0), E24/$B24, "---")</f>
        <v>6.25E-2</v>
      </c>
      <c r="G24" s="220">
        <f>SUMIFS('Diags Raw Data'!$S$6:$S$4795,'Diags Raw Data'!$D$6:$D$4795,$A24,'Diags Raw Data'!$M$6:$M$4795,"New")+SUMIFS('Diags Raw Data'!$S$6:$S$4795,'Diags Raw Data'!$D$6:$D$4795,$A24,'Diags Raw Data'!$M$6:$M$4795,"Delta")</f>
        <v>1</v>
      </c>
      <c r="H24" s="221">
        <f>SUMIFS('Diags Raw Data'!$T$6:$T$4795,'Diags Raw Data'!$D$6:$D$4795,$A24,'Diags Raw Data'!$M$6:$M$4795,"New")+SUMIFS('Diags Raw Data'!$T$6:$T$4795,'Diags Raw Data'!$D$6:$D$4795,$A24,'Diags Raw Data'!$M$6:$M$4795,"Delta")</f>
        <v>1</v>
      </c>
      <c r="I24" s="221">
        <f>SUMIFS('Diags Raw Data'!$U$6:$U$4795,'Diags Raw Data'!$D$6:$D$4795,$A24,'Diags Raw Data'!$M$6:$M$4795,"New")+SUMIFS('Diags Raw Data'!$U$6:$U$4795,'Diags Raw Data'!$D$6:$D$4795,$A24,'Diags Raw Data'!$M$6:$M$4795,"Delta")</f>
        <v>0</v>
      </c>
      <c r="J24" s="221">
        <f>SUMIFS('Diags Raw Data'!$V$6:$V$4795,'Diags Raw Data'!$D$6:$D$4795,$A24,'Diags Raw Data'!$M$6:$M$4795,"New")+SUMIFS('Diags Raw Data'!$V$6:$V$4795,'Diags Raw Data'!$D$6:$D$4795,$A24,'Diags Raw Data'!$M$6:$M$4795,"Delta")</f>
        <v>0</v>
      </c>
      <c r="K24" s="221">
        <f>SUMIFS('Diags Raw Data'!$W$6:$W$4795,'Diags Raw Data'!$D$6:$D$4795,$A24,'Diags Raw Data'!$M$6:$M$4795,"New")+SUMIFS('Diags Raw Data'!$W$6:$W$4795,'Diags Raw Data'!$D$6:$D$4795,$A24,'Diags Raw Data'!$M$6:$M$4795,"Delta")</f>
        <v>0</v>
      </c>
      <c r="L24" s="222">
        <f>IF(NOT($C24=0), G24/$C24, "---")</f>
        <v>6.25E-2</v>
      </c>
      <c r="M24" s="224">
        <f>IF(NOT($G24=0), (H24+I24)/$G24, "---")</f>
        <v>1</v>
      </c>
      <c r="N24" s="226">
        <f>IF(NOT($C24=0), (H24+I24)/$C24, "---")</f>
        <v>6.25E-2</v>
      </c>
      <c r="O24" s="213">
        <f>SUMIFS('Diags Raw Data'!$Z$6:$Z$4795,'Diags Raw Data'!$D$6:$D$4795,$A24,'Diags Raw Data'!$M$6:$M$4795,"New")+SUMIFS('Diags Raw Data'!$Z$6:$Z$4795,'Diags Raw Data'!$D$6:$D$4795,$A24,'Diags Raw Data'!$M$6:$M$4795,"Delta")</f>
        <v>0</v>
      </c>
      <c r="P24" s="210">
        <f>SUMIFS('Diags Raw Data'!$AA$6:$AA$4795,'Diags Raw Data'!$D$6:$D$4795,$A24,'Diags Raw Data'!$M$6:$M$4795,"New")+SUMIFS('Diags Raw Data'!$AA$6:$AA$4795,'Diags Raw Data'!$D$6:$D$4795,$A24,'Diags Raw Data'!$M$6:$M$4795,"Delta")</f>
        <v>0</v>
      </c>
      <c r="Q24" s="210">
        <f>SUMIFS('Diags Raw Data'!$AB$6:$AB$4795,'Diags Raw Data'!$D$6:$D$4795,$A24,'Diags Raw Data'!$M$6:$M$4795,"New")+SUMIFS('Diags Raw Data'!$AB$6:$AB$4795,'Diags Raw Data'!$D$6:$D$4795,$A24,'Diags Raw Data'!$M$6:$M$4795,"Delta")</f>
        <v>0</v>
      </c>
      <c r="R24" s="210">
        <f>SUMIFS('Diags Raw Data'!$AC$6:$AC$4795,'Diags Raw Data'!$D$6:$D$4795,$A24,'Diags Raw Data'!$M$6:$M$4795,"New")+SUMIFS('Diags Raw Data'!$AC$6:$AC$4795,'Diags Raw Data'!$D$6:$D$4795,$A24,'Diags Raw Data'!$M$6:$M$4795,"Delta")</f>
        <v>0</v>
      </c>
      <c r="S24" s="210">
        <f>SUMIFS('Diags Raw Data'!$AD$6:$AD$4795,'Diags Raw Data'!$D$6:$D$4795,$A24,'Diags Raw Data'!$M$6:$M$4795,"New")+SUMIFS('Diags Raw Data'!$AD$6:$AD$4795,'Diags Raw Data'!$D$6:$D$4795,$A24,'Diags Raw Data'!$M$6:$M$4795,"Delta")</f>
        <v>0</v>
      </c>
      <c r="T24" s="211">
        <f>IF(NOT($B24=0), O24/$B24, "---")</f>
        <v>0</v>
      </c>
      <c r="U24" s="225" t="str">
        <f>IF(NOT($O24=0), (P24+Q24)/$O24, "---")</f>
        <v>---</v>
      </c>
      <c r="V24" s="241">
        <f>IF(NOT($B24=0), (P24+Q24)/$B24, "---")</f>
        <v>0</v>
      </c>
    </row>
    <row r="25" spans="1:22" ht="15" thickBot="1">
      <c r="A25" s="333" t="s">
        <v>1071</v>
      </c>
      <c r="B25" s="252">
        <f>SUMIFS('Diags Raw Data'!$L$6:$L$4795,'Diags Raw Data'!$D$6:$D$4795,$A25,'Diags Raw Data'!$M$6:$M$4795,"New")+SUMIFS('Diags Raw Data'!$L$6:$L$4795,'Diags Raw Data'!$D$6:$D$4795,$A25,'Diags Raw Data'!$M$6:$M$4795,"Delta")</f>
        <v>0</v>
      </c>
      <c r="C25" s="242">
        <f>SUMIFS('Diags Raw Data'!$R$6:$R$4795,'Diags Raw Data'!$D$6:$D$4795,$A25,'Diags Raw Data'!$M$6:$M$4795,"New")+SUMIFS('Diags Raw Data'!$R$6:$R$4795,'Diags Raw Data'!$D$6:$D$4795,$A25,'Diags Raw Data'!$M$6:$M$4795,"Delta")</f>
        <v>0</v>
      </c>
      <c r="D25" s="242">
        <f>SUMIFS('Diags Raw Data'!$K$6:$K$4795,'Diags Raw Data'!$D$6:$D$4795,$A25,'Diags Raw Data'!$M$6:$M$4795,"New")+SUMIFS('Diags Raw Data'!$K$6:$K$4795,'Diags Raw Data'!$D$6:$D$4795,$A25,'Diags Raw Data'!$M$6:$M$4795,"Delta")</f>
        <v>0</v>
      </c>
      <c r="E25" s="242">
        <f>SUMIFS('Diags Raw Data'!$O$6:$O$4795,'Diags Raw Data'!$D$6:$D$4795,$A25,'Diags Raw Data'!$M$6:$M$4795,"New")+SUMIFS('Diags Raw Data'!$O$6:$O$4795,'Diags Raw Data'!$D$6:$D$4795,$A25,'Diags Raw Data'!$M$6:$M$4795,"Delta")</f>
        <v>0</v>
      </c>
      <c r="F25" s="248" t="str">
        <f t="shared" ref="F25:F39" si="37">IF(NOT($B25=0), E25/$B25, "---")</f>
        <v>---</v>
      </c>
      <c r="G25" s="220">
        <f>SUMIFS('Diags Raw Data'!$S$6:$S$4795,'Diags Raw Data'!$D$6:$D$4795,$A25,'Diags Raw Data'!$M$6:$M$4795,"New")+SUMIFS('Diags Raw Data'!$S$6:$S$4795,'Diags Raw Data'!$D$6:$D$4795,$A25,'Diags Raw Data'!$M$6:$M$4795,"Delta")</f>
        <v>0</v>
      </c>
      <c r="H25" s="221">
        <f>SUMIFS('Diags Raw Data'!$T$6:$T$4795,'Diags Raw Data'!$D$6:$D$4795,$A25,'Diags Raw Data'!$M$6:$M$4795,"New")+SUMIFS('Diags Raw Data'!$T$6:$T$4795,'Diags Raw Data'!$D$6:$D$4795,$A25,'Diags Raw Data'!$M$6:$M$4795,"Delta")</f>
        <v>0</v>
      </c>
      <c r="I25" s="221">
        <f>SUMIFS('Diags Raw Data'!$U$6:$U$4795,'Diags Raw Data'!$D$6:$D$4795,$A25,'Diags Raw Data'!$M$6:$M$4795,"New")+SUMIFS('Diags Raw Data'!$U$6:$U$4795,'Diags Raw Data'!$D$6:$D$4795,$A25,'Diags Raw Data'!$M$6:$M$4795,"Delta")</f>
        <v>0</v>
      </c>
      <c r="J25" s="221">
        <f>SUMIFS('Diags Raw Data'!$V$6:$V$4795,'Diags Raw Data'!$D$6:$D$4795,$A25,'Diags Raw Data'!$M$6:$M$4795,"New")+SUMIFS('Diags Raw Data'!$V$6:$V$4795,'Diags Raw Data'!$D$6:$D$4795,$A25,'Diags Raw Data'!$M$6:$M$4795,"Delta")</f>
        <v>0</v>
      </c>
      <c r="K25" s="221">
        <f>SUMIFS('Diags Raw Data'!$W$6:$W$4795,'Diags Raw Data'!$D$6:$D$4795,$A25,'Diags Raw Data'!$M$6:$M$4795,"New")+SUMIFS('Diags Raw Data'!$W$6:$W$4795,'Diags Raw Data'!$D$6:$D$4795,$A25,'Diags Raw Data'!$M$6:$M$4795,"Delta")</f>
        <v>0</v>
      </c>
      <c r="L25" s="222" t="str">
        <f t="shared" ref="L25:L39" si="38">IF(NOT($C25=0), G25/$C25, "---")</f>
        <v>---</v>
      </c>
      <c r="M25" s="224" t="str">
        <f t="shared" ref="M25:M39" si="39">IF(NOT($G25=0), (H25+I25)/$G25, "---")</f>
        <v>---</v>
      </c>
      <c r="N25" s="226" t="str">
        <f t="shared" ref="N25:N39" si="40">IF(NOT($C25=0), (H25+I25)/$C25, "---")</f>
        <v>---</v>
      </c>
      <c r="O25" s="213">
        <f>SUMIFS('Diags Raw Data'!$Z$6:$Z$4795,'Diags Raw Data'!$D$6:$D$4795,$A25,'Diags Raw Data'!$M$6:$M$4795,"New")+SUMIFS('Diags Raw Data'!$Z$6:$Z$4795,'Diags Raw Data'!$D$6:$D$4795,$A25,'Diags Raw Data'!$M$6:$M$4795,"Delta")</f>
        <v>0</v>
      </c>
      <c r="P25" s="210">
        <f>SUMIFS('Diags Raw Data'!$AA$6:$AA$4795,'Diags Raw Data'!$D$6:$D$4795,$A25,'Diags Raw Data'!$M$6:$M$4795,"New")+SUMIFS('Diags Raw Data'!$AA$6:$AA$4795,'Diags Raw Data'!$D$6:$D$4795,$A25,'Diags Raw Data'!$M$6:$M$4795,"Delta")</f>
        <v>0</v>
      </c>
      <c r="Q25" s="210">
        <f>SUMIFS('Diags Raw Data'!$AB$6:$AB$4795,'Diags Raw Data'!$D$6:$D$4795,$A25,'Diags Raw Data'!$M$6:$M$4795,"New")+SUMIFS('Diags Raw Data'!$AB$6:$AB$4795,'Diags Raw Data'!$D$6:$D$4795,$A25,'Diags Raw Data'!$M$6:$M$4795,"Delta")</f>
        <v>0</v>
      </c>
      <c r="R25" s="210">
        <f>SUMIFS('Diags Raw Data'!$AC$6:$AC$4795,'Diags Raw Data'!$D$6:$D$4795,$A25,'Diags Raw Data'!$M$6:$M$4795,"New")+SUMIFS('Diags Raw Data'!$AC$6:$AC$4795,'Diags Raw Data'!$D$6:$D$4795,$A25,'Diags Raw Data'!$M$6:$M$4795,"Delta")</f>
        <v>0</v>
      </c>
      <c r="S25" s="210">
        <f>SUMIFS('Diags Raw Data'!$AD$6:$AD$4795,'Diags Raw Data'!$D$6:$D$4795,$A25,'Diags Raw Data'!$M$6:$M$4795,"New")+SUMIFS('Diags Raw Data'!$AD$6:$AD$4795,'Diags Raw Data'!$D$6:$D$4795,$A25,'Diags Raw Data'!$M$6:$M$4795,"Delta")</f>
        <v>0</v>
      </c>
      <c r="T25" s="211" t="str">
        <f t="shared" ref="T25:T39" si="41">IF(NOT($B25=0), O25/$B25, "---")</f>
        <v>---</v>
      </c>
      <c r="U25" s="225" t="str">
        <f t="shared" ref="U25:U39" si="42">IF(NOT($O25=0), (P25+Q25)/$O25, "---")</f>
        <v>---</v>
      </c>
      <c r="V25" s="241" t="str">
        <f t="shared" ref="V25:V39" si="43">IF(NOT($B25=0), (P25+Q25)/$B25, "---")</f>
        <v>---</v>
      </c>
    </row>
    <row r="26" spans="1:22" ht="15" thickBot="1">
      <c r="A26" s="333" t="s">
        <v>264</v>
      </c>
      <c r="B26" s="252">
        <f>SUMIFS('Diags Raw Data'!$L$6:$L$4795,'Diags Raw Data'!$D$6:$D$4795,$A26,'Diags Raw Data'!$M$6:$M$4795,"New")+SUMIFS('Diags Raw Data'!$L$6:$L$4795,'Diags Raw Data'!$D$6:$D$4795,$A26,'Diags Raw Data'!$M$6:$M$4795,"Delta")</f>
        <v>38</v>
      </c>
      <c r="C26" s="242">
        <f>SUMIFS('Diags Raw Data'!$R$6:$R$4795,'Diags Raw Data'!$D$6:$D$4795,$A26,'Diags Raw Data'!$M$6:$M$4795,"New")+SUMIFS('Diags Raw Data'!$R$6:$R$4795,'Diags Raw Data'!$D$6:$D$4795,$A26,'Diags Raw Data'!$M$6:$M$4795,"Delta")</f>
        <v>1</v>
      </c>
      <c r="D26" s="242">
        <f>SUMIFS('Diags Raw Data'!$K$6:$K$4795,'Diags Raw Data'!$D$6:$D$4795,$A26,'Diags Raw Data'!$M$6:$M$4795,"New")+SUMIFS('Diags Raw Data'!$K$6:$K$4795,'Diags Raw Data'!$D$6:$D$4795,$A26,'Diags Raw Data'!$M$6:$M$4795,"Delta")</f>
        <v>3</v>
      </c>
      <c r="E26" s="242">
        <f>SUMIFS('Diags Raw Data'!$O$6:$O$4795,'Diags Raw Data'!$D$6:$D$4795,$A26,'Diags Raw Data'!$M$6:$M$4795,"New")+SUMIFS('Diags Raw Data'!$O$6:$O$4795,'Diags Raw Data'!$D$6:$D$4795,$A26,'Diags Raw Data'!$M$6:$M$4795,"Delta")</f>
        <v>36</v>
      </c>
      <c r="F26" s="248">
        <f t="shared" si="37"/>
        <v>0.94736842105263153</v>
      </c>
      <c r="G26" s="220">
        <f>SUMIFS('Diags Raw Data'!$S$6:$S$4795,'Diags Raw Data'!$D$6:$D$4795,$A26,'Diags Raw Data'!$M$6:$M$4795,"New")+SUMIFS('Diags Raw Data'!$S$6:$S$4795,'Diags Raw Data'!$D$6:$D$4795,$A26,'Diags Raw Data'!$M$6:$M$4795,"Delta")</f>
        <v>1</v>
      </c>
      <c r="H26" s="221">
        <f>SUMIFS('Diags Raw Data'!$T$6:$T$4795,'Diags Raw Data'!$D$6:$D$4795,$A26,'Diags Raw Data'!$M$6:$M$4795,"New")+SUMIFS('Diags Raw Data'!$T$6:$T$4795,'Diags Raw Data'!$D$6:$D$4795,$A26,'Diags Raw Data'!$M$6:$M$4795,"Delta")</f>
        <v>1</v>
      </c>
      <c r="I26" s="221">
        <f>SUMIFS('Diags Raw Data'!$U$6:$U$4795,'Diags Raw Data'!$D$6:$D$4795,$A26,'Diags Raw Data'!$M$6:$M$4795,"New")+SUMIFS('Diags Raw Data'!$U$6:$U$4795,'Diags Raw Data'!$D$6:$D$4795,$A26,'Diags Raw Data'!$M$6:$M$4795,"Delta")</f>
        <v>0</v>
      </c>
      <c r="J26" s="221">
        <f>SUMIFS('Diags Raw Data'!$V$6:$V$4795,'Diags Raw Data'!$D$6:$D$4795,$A26,'Diags Raw Data'!$M$6:$M$4795,"New")+SUMIFS('Diags Raw Data'!$V$6:$V$4795,'Diags Raw Data'!$D$6:$D$4795,$A26,'Diags Raw Data'!$M$6:$M$4795,"Delta")</f>
        <v>0</v>
      </c>
      <c r="K26" s="221">
        <f>SUMIFS('Diags Raw Data'!$W$6:$W$4795,'Diags Raw Data'!$D$6:$D$4795,$A26,'Diags Raw Data'!$M$6:$M$4795,"New")+SUMIFS('Diags Raw Data'!$W$6:$W$4795,'Diags Raw Data'!$D$6:$D$4795,$A26,'Diags Raw Data'!$M$6:$M$4795,"Delta")</f>
        <v>0</v>
      </c>
      <c r="L26" s="222">
        <f t="shared" si="38"/>
        <v>1</v>
      </c>
      <c r="M26" s="224">
        <f t="shared" si="39"/>
        <v>1</v>
      </c>
      <c r="N26" s="226">
        <f t="shared" si="40"/>
        <v>1</v>
      </c>
      <c r="O26" s="213">
        <f>SUMIFS('Diags Raw Data'!$Z$6:$Z$4795,'Diags Raw Data'!$D$6:$D$4795,$A26,'Diags Raw Data'!$M$6:$M$4795,"New")+SUMIFS('Diags Raw Data'!$Z$6:$Z$4795,'Diags Raw Data'!$D$6:$D$4795,$A26,'Diags Raw Data'!$M$6:$M$4795,"Delta")</f>
        <v>0</v>
      </c>
      <c r="P26" s="210">
        <f>SUMIFS('Diags Raw Data'!$AA$6:$AA$4795,'Diags Raw Data'!$D$6:$D$4795,$A26,'Diags Raw Data'!$M$6:$M$4795,"New")+SUMIFS('Diags Raw Data'!$AA$6:$AA$4795,'Diags Raw Data'!$D$6:$D$4795,$A26,'Diags Raw Data'!$M$6:$M$4795,"Delta")</f>
        <v>0</v>
      </c>
      <c r="Q26" s="210">
        <f>SUMIFS('Diags Raw Data'!$AB$6:$AB$4795,'Diags Raw Data'!$D$6:$D$4795,$A26,'Diags Raw Data'!$M$6:$M$4795,"New")+SUMIFS('Diags Raw Data'!$AB$6:$AB$4795,'Diags Raw Data'!$D$6:$D$4795,$A26,'Diags Raw Data'!$M$6:$M$4795,"Delta")</f>
        <v>0</v>
      </c>
      <c r="R26" s="210">
        <f>SUMIFS('Diags Raw Data'!$AC$6:$AC$4795,'Diags Raw Data'!$D$6:$D$4795,$A26,'Diags Raw Data'!$M$6:$M$4795,"New")+SUMIFS('Diags Raw Data'!$AC$6:$AC$4795,'Diags Raw Data'!$D$6:$D$4795,$A26,'Diags Raw Data'!$M$6:$M$4795,"Delta")</f>
        <v>0</v>
      </c>
      <c r="S26" s="210">
        <f>SUMIFS('Diags Raw Data'!$AD$6:$AD$4795,'Diags Raw Data'!$D$6:$D$4795,$A26,'Diags Raw Data'!$M$6:$M$4795,"New")+SUMIFS('Diags Raw Data'!$AD$6:$AD$4795,'Diags Raw Data'!$D$6:$D$4795,$A26,'Diags Raw Data'!$M$6:$M$4795,"Delta")</f>
        <v>0</v>
      </c>
      <c r="T26" s="211">
        <f t="shared" si="41"/>
        <v>0</v>
      </c>
      <c r="U26" s="225" t="str">
        <f t="shared" si="42"/>
        <v>---</v>
      </c>
      <c r="V26" s="241">
        <f t="shared" si="43"/>
        <v>0</v>
      </c>
    </row>
    <row r="27" spans="1:22" ht="15" thickBot="1">
      <c r="A27" s="333" t="s">
        <v>257</v>
      </c>
      <c r="B27" s="252">
        <f>SUMIFS('Diags Raw Data'!$L$6:$L$4795,'Diags Raw Data'!$D$6:$D$4795,$A27,'Diags Raw Data'!$M$6:$M$4795,"New")+SUMIFS('Diags Raw Data'!$L$6:$L$4795,'Diags Raw Data'!$D$6:$D$4795,$A27,'Diags Raw Data'!$M$6:$M$4795,"Delta")</f>
        <v>2</v>
      </c>
      <c r="C27" s="242">
        <f>SUMIFS('Diags Raw Data'!$R$6:$R$4795,'Diags Raw Data'!$D$6:$D$4795,$A27,'Diags Raw Data'!$M$6:$M$4795,"New")+SUMIFS('Diags Raw Data'!$R$6:$R$4795,'Diags Raw Data'!$D$6:$D$4795,$A27,'Diags Raw Data'!$M$6:$M$4795,"Delta")</f>
        <v>2</v>
      </c>
      <c r="D27" s="242">
        <f>SUMIFS('Diags Raw Data'!$K$6:$K$4795,'Diags Raw Data'!$D$6:$D$4795,$A27,'Diags Raw Data'!$M$6:$M$4795,"New")+SUMIFS('Diags Raw Data'!$K$6:$K$4795,'Diags Raw Data'!$D$6:$D$4795,$A27,'Diags Raw Data'!$M$6:$M$4795,"Delta")</f>
        <v>1</v>
      </c>
      <c r="E27" s="242">
        <f>SUMIFS('Diags Raw Data'!$O$6:$O$4795,'Diags Raw Data'!$D$6:$D$4795,$A27,'Diags Raw Data'!$M$6:$M$4795,"New")+SUMIFS('Diags Raw Data'!$O$6:$O$4795,'Diags Raw Data'!$D$6:$D$4795,$A27,'Diags Raw Data'!$M$6:$M$4795,"Delta")</f>
        <v>2</v>
      </c>
      <c r="F27" s="248">
        <f t="shared" si="37"/>
        <v>1</v>
      </c>
      <c r="G27" s="220">
        <f>SUMIFS('Diags Raw Data'!$S$6:$S$4795,'Diags Raw Data'!$D$6:$D$4795,$A27,'Diags Raw Data'!$M$6:$M$4795,"New")+SUMIFS('Diags Raw Data'!$S$6:$S$4795,'Diags Raw Data'!$D$6:$D$4795,$A27,'Diags Raw Data'!$M$6:$M$4795,"Delta")</f>
        <v>0</v>
      </c>
      <c r="H27" s="221">
        <f>SUMIFS('Diags Raw Data'!$T$6:$T$4795,'Diags Raw Data'!$D$6:$D$4795,$A27,'Diags Raw Data'!$M$6:$M$4795,"New")+SUMIFS('Diags Raw Data'!$T$6:$T$4795,'Diags Raw Data'!$D$6:$D$4795,$A27,'Diags Raw Data'!$M$6:$M$4795,"Delta")</f>
        <v>0</v>
      </c>
      <c r="I27" s="221">
        <f>SUMIFS('Diags Raw Data'!$U$6:$U$4795,'Diags Raw Data'!$D$6:$D$4795,$A27,'Diags Raw Data'!$M$6:$M$4795,"New")+SUMIFS('Diags Raw Data'!$U$6:$U$4795,'Diags Raw Data'!$D$6:$D$4795,$A27,'Diags Raw Data'!$M$6:$M$4795,"Delta")</f>
        <v>0</v>
      </c>
      <c r="J27" s="221">
        <f>SUMIFS('Diags Raw Data'!$V$6:$V$4795,'Diags Raw Data'!$D$6:$D$4795,$A27,'Diags Raw Data'!$M$6:$M$4795,"New")+SUMIFS('Diags Raw Data'!$V$6:$V$4795,'Diags Raw Data'!$D$6:$D$4795,$A27,'Diags Raw Data'!$M$6:$M$4795,"Delta")</f>
        <v>0</v>
      </c>
      <c r="K27" s="221">
        <f>SUMIFS('Diags Raw Data'!$W$6:$W$4795,'Diags Raw Data'!$D$6:$D$4795,$A27,'Diags Raw Data'!$M$6:$M$4795,"New")+SUMIFS('Diags Raw Data'!$W$6:$W$4795,'Diags Raw Data'!$D$6:$D$4795,$A27,'Diags Raw Data'!$M$6:$M$4795,"Delta")</f>
        <v>0</v>
      </c>
      <c r="L27" s="222">
        <f t="shared" si="38"/>
        <v>0</v>
      </c>
      <c r="M27" s="224" t="str">
        <f t="shared" si="39"/>
        <v>---</v>
      </c>
      <c r="N27" s="226">
        <f t="shared" si="40"/>
        <v>0</v>
      </c>
      <c r="O27" s="213">
        <f>SUMIFS('Diags Raw Data'!$Z$6:$Z$4795,'Diags Raw Data'!$D$6:$D$4795,$A27,'Diags Raw Data'!$M$6:$M$4795,"New")+SUMIFS('Diags Raw Data'!$Z$6:$Z$4795,'Diags Raw Data'!$D$6:$D$4795,$A27,'Diags Raw Data'!$M$6:$M$4795,"Delta")</f>
        <v>0</v>
      </c>
      <c r="P27" s="210">
        <f>SUMIFS('Diags Raw Data'!$AA$6:$AA$4795,'Diags Raw Data'!$D$6:$D$4795,$A27,'Diags Raw Data'!$M$6:$M$4795,"New")+SUMIFS('Diags Raw Data'!$AA$6:$AA$4795,'Diags Raw Data'!$D$6:$D$4795,$A27,'Diags Raw Data'!$M$6:$M$4795,"Delta")</f>
        <v>0</v>
      </c>
      <c r="Q27" s="210">
        <f>SUMIFS('Diags Raw Data'!$AB$6:$AB$4795,'Diags Raw Data'!$D$6:$D$4795,$A27,'Diags Raw Data'!$M$6:$M$4795,"New")+SUMIFS('Diags Raw Data'!$AB$6:$AB$4795,'Diags Raw Data'!$D$6:$D$4795,$A27,'Diags Raw Data'!$M$6:$M$4795,"Delta")</f>
        <v>0</v>
      </c>
      <c r="R27" s="210">
        <f>SUMIFS('Diags Raw Data'!$AC$6:$AC$4795,'Diags Raw Data'!$D$6:$D$4795,$A27,'Diags Raw Data'!$M$6:$M$4795,"New")+SUMIFS('Diags Raw Data'!$AC$6:$AC$4795,'Diags Raw Data'!$D$6:$D$4795,$A27,'Diags Raw Data'!$M$6:$M$4795,"Delta")</f>
        <v>0</v>
      </c>
      <c r="S27" s="210">
        <f>SUMIFS('Diags Raw Data'!$AD$6:$AD$4795,'Diags Raw Data'!$D$6:$D$4795,$A27,'Diags Raw Data'!$M$6:$M$4795,"New")+SUMIFS('Diags Raw Data'!$AD$6:$AD$4795,'Diags Raw Data'!$D$6:$D$4795,$A27,'Diags Raw Data'!$M$6:$M$4795,"Delta")</f>
        <v>0</v>
      </c>
      <c r="T27" s="211">
        <f t="shared" si="41"/>
        <v>0</v>
      </c>
      <c r="U27" s="225" t="str">
        <f t="shared" si="42"/>
        <v>---</v>
      </c>
      <c r="V27" s="241">
        <f t="shared" si="43"/>
        <v>0</v>
      </c>
    </row>
    <row r="28" spans="1:22" ht="15" thickBot="1">
      <c r="A28" s="333" t="s">
        <v>1092</v>
      </c>
      <c r="B28" s="252">
        <f>SUMIFS('Diags Raw Data'!$L$6:$L$4795,'Diags Raw Data'!$D$6:$D$4795,$A28,'Diags Raw Data'!$M$6:$M$4795,"New")+SUMIFS('Diags Raw Data'!$L$6:$L$4795,'Diags Raw Data'!$D$6:$D$4795,$A28,'Diags Raw Data'!$M$6:$M$4795,"Delta")</f>
        <v>1</v>
      </c>
      <c r="C28" s="242">
        <f>SUMIFS('Diags Raw Data'!$R$6:$R$4795,'Diags Raw Data'!$D$6:$D$4795,$A28,'Diags Raw Data'!$M$6:$M$4795,"New")+SUMIFS('Diags Raw Data'!$R$6:$R$4795,'Diags Raw Data'!$D$6:$D$4795,$A28,'Diags Raw Data'!$M$6:$M$4795,"Delta")</f>
        <v>1</v>
      </c>
      <c r="D28" s="242">
        <f>SUMIFS('Diags Raw Data'!$K$6:$K$4795,'Diags Raw Data'!$D$6:$D$4795,$A28,'Diags Raw Data'!$M$6:$M$4795,"New")+SUMIFS('Diags Raw Data'!$K$6:$K$4795,'Diags Raw Data'!$D$6:$D$4795,$A28,'Diags Raw Data'!$M$6:$M$4795,"Delta")</f>
        <v>1</v>
      </c>
      <c r="E28" s="242">
        <f>SUMIFS('Diags Raw Data'!$O$6:$O$4795,'Diags Raw Data'!$D$6:$D$4795,$A28,'Diags Raw Data'!$M$6:$M$4795,"New")+SUMIFS('Diags Raw Data'!$O$6:$O$4795,'Diags Raw Data'!$D$6:$D$4795,$A28,'Diags Raw Data'!$M$6:$M$4795,"Delta")</f>
        <v>1</v>
      </c>
      <c r="F28" s="248">
        <f t="shared" si="37"/>
        <v>1</v>
      </c>
      <c r="G28" s="220">
        <f>SUMIFS('Diags Raw Data'!$S$6:$S$4795,'Diags Raw Data'!$D$6:$D$4795,$A28,'Diags Raw Data'!$M$6:$M$4795,"New")+SUMIFS('Diags Raw Data'!$S$6:$S$4795,'Diags Raw Data'!$D$6:$D$4795,$A28,'Diags Raw Data'!$M$6:$M$4795,"Delta")</f>
        <v>0</v>
      </c>
      <c r="H28" s="221">
        <f>SUMIFS('Diags Raw Data'!$T$6:$T$4795,'Diags Raw Data'!$D$6:$D$4795,$A28,'Diags Raw Data'!$M$6:$M$4795,"New")+SUMIFS('Diags Raw Data'!$T$6:$T$4795,'Diags Raw Data'!$D$6:$D$4795,$A28,'Diags Raw Data'!$M$6:$M$4795,"Delta")</f>
        <v>0</v>
      </c>
      <c r="I28" s="221">
        <f>SUMIFS('Diags Raw Data'!$U$6:$U$4795,'Diags Raw Data'!$D$6:$D$4795,$A28,'Diags Raw Data'!$M$6:$M$4795,"New")+SUMIFS('Diags Raw Data'!$U$6:$U$4795,'Diags Raw Data'!$D$6:$D$4795,$A28,'Diags Raw Data'!$M$6:$M$4795,"Delta")</f>
        <v>0</v>
      </c>
      <c r="J28" s="221">
        <f>SUMIFS('Diags Raw Data'!$V$6:$V$4795,'Diags Raw Data'!$D$6:$D$4795,$A28,'Diags Raw Data'!$M$6:$M$4795,"New")+SUMIFS('Diags Raw Data'!$V$6:$V$4795,'Diags Raw Data'!$D$6:$D$4795,$A28,'Diags Raw Data'!$M$6:$M$4795,"Delta")</f>
        <v>0</v>
      </c>
      <c r="K28" s="221">
        <f>SUMIFS('Diags Raw Data'!$W$6:$W$4795,'Diags Raw Data'!$D$6:$D$4795,$A28,'Diags Raw Data'!$M$6:$M$4795,"New")+SUMIFS('Diags Raw Data'!$W$6:$W$4795,'Diags Raw Data'!$D$6:$D$4795,$A28,'Diags Raw Data'!$M$6:$M$4795,"Delta")</f>
        <v>0</v>
      </c>
      <c r="L28" s="222">
        <f t="shared" si="38"/>
        <v>0</v>
      </c>
      <c r="M28" s="224" t="str">
        <f t="shared" si="39"/>
        <v>---</v>
      </c>
      <c r="N28" s="226">
        <f t="shared" si="40"/>
        <v>0</v>
      </c>
      <c r="O28" s="213">
        <f>SUMIFS('Diags Raw Data'!$Z$6:$Z$4795,'Diags Raw Data'!$D$6:$D$4795,$A28,'Diags Raw Data'!$M$6:$M$4795,"New")+SUMIFS('Diags Raw Data'!$Z$6:$Z$4795,'Diags Raw Data'!$D$6:$D$4795,$A28,'Diags Raw Data'!$M$6:$M$4795,"Delta")</f>
        <v>0</v>
      </c>
      <c r="P28" s="210">
        <f>SUMIFS('Diags Raw Data'!$AA$6:$AA$4795,'Diags Raw Data'!$D$6:$D$4795,$A28,'Diags Raw Data'!$M$6:$M$4795,"New")+SUMIFS('Diags Raw Data'!$AA$6:$AA$4795,'Diags Raw Data'!$D$6:$D$4795,$A28,'Diags Raw Data'!$M$6:$M$4795,"Delta")</f>
        <v>0</v>
      </c>
      <c r="Q28" s="210">
        <f>SUMIFS('Diags Raw Data'!$AB$6:$AB$4795,'Diags Raw Data'!$D$6:$D$4795,$A28,'Diags Raw Data'!$M$6:$M$4795,"New")+SUMIFS('Diags Raw Data'!$AB$6:$AB$4795,'Diags Raw Data'!$D$6:$D$4795,$A28,'Diags Raw Data'!$M$6:$M$4795,"Delta")</f>
        <v>0</v>
      </c>
      <c r="R28" s="210">
        <f>SUMIFS('Diags Raw Data'!$AC$6:$AC$4795,'Diags Raw Data'!$D$6:$D$4795,$A28,'Diags Raw Data'!$M$6:$M$4795,"New")+SUMIFS('Diags Raw Data'!$AC$6:$AC$4795,'Diags Raw Data'!$D$6:$D$4795,$A28,'Diags Raw Data'!$M$6:$M$4795,"Delta")</f>
        <v>0</v>
      </c>
      <c r="S28" s="210">
        <f>SUMIFS('Diags Raw Data'!$AD$6:$AD$4795,'Diags Raw Data'!$D$6:$D$4795,$A28,'Diags Raw Data'!$M$6:$M$4795,"New")+SUMIFS('Diags Raw Data'!$AD$6:$AD$4795,'Diags Raw Data'!$D$6:$D$4795,$A28,'Diags Raw Data'!$M$6:$M$4795,"Delta")</f>
        <v>0</v>
      </c>
      <c r="T28" s="211">
        <f t="shared" si="41"/>
        <v>0</v>
      </c>
      <c r="U28" s="225" t="str">
        <f t="shared" si="42"/>
        <v>---</v>
      </c>
      <c r="V28" s="241">
        <f t="shared" si="43"/>
        <v>0</v>
      </c>
    </row>
    <row r="29" spans="1:22" ht="15" thickBot="1">
      <c r="A29" s="333" t="s">
        <v>1081</v>
      </c>
      <c r="B29" s="252">
        <f>SUMIFS('Diags Raw Data'!$L$6:$L$4795,'Diags Raw Data'!$D$6:$D$4795,$A29,'Diags Raw Data'!$M$6:$M$4795,"New")+SUMIFS('Diags Raw Data'!$L$6:$L$4795,'Diags Raw Data'!$D$6:$D$4795,$A29,'Diags Raw Data'!$M$6:$M$4795,"Delta")</f>
        <v>0</v>
      </c>
      <c r="C29" s="242">
        <f>SUMIFS('Diags Raw Data'!$R$6:$R$4795,'Diags Raw Data'!$D$6:$D$4795,$A29,'Diags Raw Data'!$M$6:$M$4795,"New")+SUMIFS('Diags Raw Data'!$R$6:$R$4795,'Diags Raw Data'!$D$6:$D$4795,$A29,'Diags Raw Data'!$M$6:$M$4795,"Delta")</f>
        <v>0</v>
      </c>
      <c r="D29" s="242">
        <f>SUMIFS('Diags Raw Data'!$K$6:$K$4795,'Diags Raw Data'!$D$6:$D$4795,$A29,'Diags Raw Data'!$M$6:$M$4795,"New")+SUMIFS('Diags Raw Data'!$K$6:$K$4795,'Diags Raw Data'!$D$6:$D$4795,$A29,'Diags Raw Data'!$M$6:$M$4795,"Delta")</f>
        <v>0</v>
      </c>
      <c r="E29" s="242">
        <f>SUMIFS('Diags Raw Data'!$O$6:$O$4795,'Diags Raw Data'!$D$6:$D$4795,$A29,'Diags Raw Data'!$M$6:$M$4795,"New")+SUMIFS('Diags Raw Data'!$O$6:$O$4795,'Diags Raw Data'!$D$6:$D$4795,$A29,'Diags Raw Data'!$M$6:$M$4795,"Delta")</f>
        <v>0</v>
      </c>
      <c r="F29" s="248" t="str">
        <f t="shared" si="37"/>
        <v>---</v>
      </c>
      <c r="G29" s="220">
        <f>SUMIFS('Diags Raw Data'!$S$6:$S$4795,'Diags Raw Data'!$D$6:$D$4795,$A29,'Diags Raw Data'!$M$6:$M$4795,"New")+SUMIFS('Diags Raw Data'!$S$6:$S$4795,'Diags Raw Data'!$D$6:$D$4795,$A29,'Diags Raw Data'!$M$6:$M$4795,"Delta")</f>
        <v>0</v>
      </c>
      <c r="H29" s="221">
        <f>SUMIFS('Diags Raw Data'!$T$6:$T$4795,'Diags Raw Data'!$D$6:$D$4795,$A29,'Diags Raw Data'!$M$6:$M$4795,"New")+SUMIFS('Diags Raw Data'!$T$6:$T$4795,'Diags Raw Data'!$D$6:$D$4795,$A29,'Diags Raw Data'!$M$6:$M$4795,"Delta")</f>
        <v>0</v>
      </c>
      <c r="I29" s="221">
        <f>SUMIFS('Diags Raw Data'!$U$6:$U$4795,'Diags Raw Data'!$D$6:$D$4795,$A29,'Diags Raw Data'!$M$6:$M$4795,"New")+SUMIFS('Diags Raw Data'!$U$6:$U$4795,'Diags Raw Data'!$D$6:$D$4795,$A29,'Diags Raw Data'!$M$6:$M$4795,"Delta")</f>
        <v>0</v>
      </c>
      <c r="J29" s="221">
        <f>SUMIFS('Diags Raw Data'!$V$6:$V$4795,'Diags Raw Data'!$D$6:$D$4795,$A29,'Diags Raw Data'!$M$6:$M$4795,"New")+SUMIFS('Diags Raw Data'!$V$6:$V$4795,'Diags Raw Data'!$D$6:$D$4795,$A29,'Diags Raw Data'!$M$6:$M$4795,"Delta")</f>
        <v>0</v>
      </c>
      <c r="K29" s="221">
        <f>SUMIFS('Diags Raw Data'!$W$6:$W$4795,'Diags Raw Data'!$D$6:$D$4795,$A29,'Diags Raw Data'!$M$6:$M$4795,"New")+SUMIFS('Diags Raw Data'!$W$6:$W$4795,'Diags Raw Data'!$D$6:$D$4795,$A29,'Diags Raw Data'!$M$6:$M$4795,"Delta")</f>
        <v>0</v>
      </c>
      <c r="L29" s="222" t="str">
        <f t="shared" si="38"/>
        <v>---</v>
      </c>
      <c r="M29" s="224" t="str">
        <f t="shared" si="39"/>
        <v>---</v>
      </c>
      <c r="N29" s="226" t="str">
        <f t="shared" si="40"/>
        <v>---</v>
      </c>
      <c r="O29" s="213">
        <f>SUMIFS('Diags Raw Data'!$Z$6:$Z$4795,'Diags Raw Data'!$D$6:$D$4795,$A29,'Diags Raw Data'!$M$6:$M$4795,"New")+SUMIFS('Diags Raw Data'!$Z$6:$Z$4795,'Diags Raw Data'!$D$6:$D$4795,$A29,'Diags Raw Data'!$M$6:$M$4795,"Delta")</f>
        <v>0</v>
      </c>
      <c r="P29" s="210">
        <f>SUMIFS('Diags Raw Data'!$AA$6:$AA$4795,'Diags Raw Data'!$D$6:$D$4795,$A29,'Diags Raw Data'!$M$6:$M$4795,"New")+SUMIFS('Diags Raw Data'!$AA$6:$AA$4795,'Diags Raw Data'!$D$6:$D$4795,$A29,'Diags Raw Data'!$M$6:$M$4795,"Delta")</f>
        <v>0</v>
      </c>
      <c r="Q29" s="210">
        <f>SUMIFS('Diags Raw Data'!$AB$6:$AB$4795,'Diags Raw Data'!$D$6:$D$4795,$A29,'Diags Raw Data'!$M$6:$M$4795,"New")+SUMIFS('Diags Raw Data'!$AB$6:$AB$4795,'Diags Raw Data'!$D$6:$D$4795,$A29,'Diags Raw Data'!$M$6:$M$4795,"Delta")</f>
        <v>0</v>
      </c>
      <c r="R29" s="210">
        <f>SUMIFS('Diags Raw Data'!$AC$6:$AC$4795,'Diags Raw Data'!$D$6:$D$4795,$A29,'Diags Raw Data'!$M$6:$M$4795,"New")+SUMIFS('Diags Raw Data'!$AC$6:$AC$4795,'Diags Raw Data'!$D$6:$D$4795,$A29,'Diags Raw Data'!$M$6:$M$4795,"Delta")</f>
        <v>0</v>
      </c>
      <c r="S29" s="210">
        <f>SUMIFS('Diags Raw Data'!$AD$6:$AD$4795,'Diags Raw Data'!$D$6:$D$4795,$A29,'Diags Raw Data'!$M$6:$M$4795,"New")+SUMIFS('Diags Raw Data'!$AD$6:$AD$4795,'Diags Raw Data'!$D$6:$D$4795,$A29,'Diags Raw Data'!$M$6:$M$4795,"Delta")</f>
        <v>0</v>
      </c>
      <c r="T29" s="211" t="str">
        <f t="shared" si="41"/>
        <v>---</v>
      </c>
      <c r="U29" s="225" t="str">
        <f t="shared" si="42"/>
        <v>---</v>
      </c>
      <c r="V29" s="241" t="str">
        <f t="shared" si="43"/>
        <v>---</v>
      </c>
    </row>
    <row r="30" spans="1:22" ht="15" thickBot="1">
      <c r="A30" s="333" t="s">
        <v>693</v>
      </c>
      <c r="B30" s="252">
        <f>SUMIFS('Diags Raw Data'!$L$6:$L$4795,'Diags Raw Data'!$D$6:$D$4795,$A30,'Diags Raw Data'!$M$6:$M$4795,"New")+SUMIFS('Diags Raw Data'!$L$6:$L$4795,'Diags Raw Data'!$D$6:$D$4795,$A30,'Diags Raw Data'!$M$6:$M$4795,"Delta")</f>
        <v>63</v>
      </c>
      <c r="C30" s="242">
        <f>SUMIFS('Diags Raw Data'!$R$6:$R$4795,'Diags Raw Data'!$D$6:$D$4795,$A30,'Diags Raw Data'!$M$6:$M$4795,"New")+SUMIFS('Diags Raw Data'!$R$6:$R$4795,'Diags Raw Data'!$D$6:$D$4795,$A30,'Diags Raw Data'!$M$6:$M$4795,"Delta")</f>
        <v>44</v>
      </c>
      <c r="D30" s="242">
        <f>SUMIFS('Diags Raw Data'!$K$6:$K$4795,'Diags Raw Data'!$D$6:$D$4795,$A30,'Diags Raw Data'!$M$6:$M$4795,"New")+SUMIFS('Diags Raw Data'!$K$6:$K$4795,'Diags Raw Data'!$D$6:$D$4795,$A30,'Diags Raw Data'!$M$6:$M$4795,"Delta")</f>
        <v>6</v>
      </c>
      <c r="E30" s="242">
        <f>SUMIFS('Diags Raw Data'!$O$6:$O$4795,'Diags Raw Data'!$D$6:$D$4795,$A30,'Diags Raw Data'!$M$6:$M$4795,"New")+SUMIFS('Diags Raw Data'!$O$6:$O$4795,'Diags Raw Data'!$D$6:$D$4795,$A30,'Diags Raw Data'!$M$6:$M$4795,"Delta")</f>
        <v>56</v>
      </c>
      <c r="F30" s="248">
        <f t="shared" si="37"/>
        <v>0.88888888888888884</v>
      </c>
      <c r="G30" s="220">
        <f>SUMIFS('Diags Raw Data'!$S$6:$S$4795,'Diags Raw Data'!$D$6:$D$4795,$A30,'Diags Raw Data'!$M$6:$M$4795,"New")+SUMIFS('Diags Raw Data'!$S$6:$S$4795,'Diags Raw Data'!$D$6:$D$4795,$A30,'Diags Raw Data'!$M$6:$M$4795,"Delta")</f>
        <v>44</v>
      </c>
      <c r="H30" s="221">
        <f>SUMIFS('Diags Raw Data'!$T$6:$T$4795,'Diags Raw Data'!$D$6:$D$4795,$A30,'Diags Raw Data'!$M$6:$M$4795,"New")+SUMIFS('Diags Raw Data'!$T$6:$T$4795,'Diags Raw Data'!$D$6:$D$4795,$A30,'Diags Raw Data'!$M$6:$M$4795,"Delta")</f>
        <v>43</v>
      </c>
      <c r="I30" s="221">
        <f>SUMIFS('Diags Raw Data'!$U$6:$U$4795,'Diags Raw Data'!$D$6:$D$4795,$A30,'Diags Raw Data'!$M$6:$M$4795,"New")+SUMIFS('Diags Raw Data'!$U$6:$U$4795,'Diags Raw Data'!$D$6:$D$4795,$A30,'Diags Raw Data'!$M$6:$M$4795,"Delta")</f>
        <v>0</v>
      </c>
      <c r="J30" s="221">
        <f>SUMIFS('Diags Raw Data'!$V$6:$V$4795,'Diags Raw Data'!$D$6:$D$4795,$A30,'Diags Raw Data'!$M$6:$M$4795,"New")+SUMIFS('Diags Raw Data'!$V$6:$V$4795,'Diags Raw Data'!$D$6:$D$4795,$A30,'Diags Raw Data'!$M$6:$M$4795,"Delta")</f>
        <v>1</v>
      </c>
      <c r="K30" s="221">
        <f>SUMIFS('Diags Raw Data'!$W$6:$W$4795,'Diags Raw Data'!$D$6:$D$4795,$A30,'Diags Raw Data'!$M$6:$M$4795,"New")+SUMIFS('Diags Raw Data'!$W$6:$W$4795,'Diags Raw Data'!$D$6:$D$4795,$A30,'Diags Raw Data'!$M$6:$M$4795,"Delta")</f>
        <v>0</v>
      </c>
      <c r="L30" s="222">
        <f t="shared" si="38"/>
        <v>1</v>
      </c>
      <c r="M30" s="224">
        <f t="shared" si="39"/>
        <v>0.97727272727272729</v>
      </c>
      <c r="N30" s="226">
        <f t="shared" si="40"/>
        <v>0.97727272727272729</v>
      </c>
      <c r="O30" s="213">
        <f>SUMIFS('Diags Raw Data'!$Z$6:$Z$4795,'Diags Raw Data'!$D$6:$D$4795,$A30,'Diags Raw Data'!$M$6:$M$4795,"New")+SUMIFS('Diags Raw Data'!$Z$6:$Z$4795,'Diags Raw Data'!$D$6:$D$4795,$A30,'Diags Raw Data'!$M$6:$M$4795,"Delta")</f>
        <v>0</v>
      </c>
      <c r="P30" s="210">
        <f>SUMIFS('Diags Raw Data'!$AA$6:$AA$4795,'Diags Raw Data'!$D$6:$D$4795,$A30,'Diags Raw Data'!$M$6:$M$4795,"New")+SUMIFS('Diags Raw Data'!$AA$6:$AA$4795,'Diags Raw Data'!$D$6:$D$4795,$A30,'Diags Raw Data'!$M$6:$M$4795,"Delta")</f>
        <v>0</v>
      </c>
      <c r="Q30" s="210">
        <f>SUMIFS('Diags Raw Data'!$AB$6:$AB$4795,'Diags Raw Data'!$D$6:$D$4795,$A30,'Diags Raw Data'!$M$6:$M$4795,"New")+SUMIFS('Diags Raw Data'!$AB$6:$AB$4795,'Diags Raw Data'!$D$6:$D$4795,$A30,'Diags Raw Data'!$M$6:$M$4795,"Delta")</f>
        <v>0</v>
      </c>
      <c r="R30" s="210">
        <f>SUMIFS('Diags Raw Data'!$AC$6:$AC$4795,'Diags Raw Data'!$D$6:$D$4795,$A30,'Diags Raw Data'!$M$6:$M$4795,"New")+SUMIFS('Diags Raw Data'!$AC$6:$AC$4795,'Diags Raw Data'!$D$6:$D$4795,$A30,'Diags Raw Data'!$M$6:$M$4795,"Delta")</f>
        <v>0</v>
      </c>
      <c r="S30" s="210">
        <f>SUMIFS('Diags Raw Data'!$AD$6:$AD$4795,'Diags Raw Data'!$D$6:$D$4795,$A30,'Diags Raw Data'!$M$6:$M$4795,"New")+SUMIFS('Diags Raw Data'!$AD$6:$AD$4795,'Diags Raw Data'!$D$6:$D$4795,$A30,'Diags Raw Data'!$M$6:$M$4795,"Delta")</f>
        <v>0</v>
      </c>
      <c r="T30" s="211">
        <f t="shared" si="41"/>
        <v>0</v>
      </c>
      <c r="U30" s="225" t="str">
        <f t="shared" si="42"/>
        <v>---</v>
      </c>
      <c r="V30" s="241">
        <f t="shared" si="43"/>
        <v>0</v>
      </c>
    </row>
    <row r="31" spans="1:22" ht="15" thickBot="1">
      <c r="A31" s="333" t="s">
        <v>822</v>
      </c>
      <c r="B31" s="252">
        <f>SUMIFS('Diags Raw Data'!$L$6:$L$4795,'Diags Raw Data'!$D$6:$D$4795,$A31,'Diags Raw Data'!$M$6:$M$4795,"New")+SUMIFS('Diags Raw Data'!$L$6:$L$4795,'Diags Raw Data'!$D$6:$D$4795,$A31,'Diags Raw Data'!$M$6:$M$4795,"Delta")</f>
        <v>18</v>
      </c>
      <c r="C31" s="242">
        <f>SUMIFS('Diags Raw Data'!$R$6:$R$4795,'Diags Raw Data'!$D$6:$D$4795,$A31,'Diags Raw Data'!$M$6:$M$4795,"New")+SUMIFS('Diags Raw Data'!$R$6:$R$4795,'Diags Raw Data'!$D$6:$D$4795,$A31,'Diags Raw Data'!$M$6:$M$4795,"Delta")</f>
        <v>1</v>
      </c>
      <c r="D31" s="242">
        <f>SUMIFS('Diags Raw Data'!$K$6:$K$4795,'Diags Raw Data'!$D$6:$D$4795,$A31,'Diags Raw Data'!$M$6:$M$4795,"New")+SUMIFS('Diags Raw Data'!$K$6:$K$4795,'Diags Raw Data'!$D$6:$D$4795,$A31,'Diags Raw Data'!$M$6:$M$4795,"Delta")</f>
        <v>1</v>
      </c>
      <c r="E31" s="242">
        <f>SUMIFS('Diags Raw Data'!$O$6:$O$4795,'Diags Raw Data'!$D$6:$D$4795,$A31,'Diags Raw Data'!$M$6:$M$4795,"New")+SUMIFS('Diags Raw Data'!$O$6:$O$4795,'Diags Raw Data'!$D$6:$D$4795,$A31,'Diags Raw Data'!$M$6:$M$4795,"Delta")</f>
        <v>18</v>
      </c>
      <c r="F31" s="248">
        <f t="shared" si="37"/>
        <v>1</v>
      </c>
      <c r="G31" s="220">
        <f>SUMIFS('Diags Raw Data'!$S$6:$S$4795,'Diags Raw Data'!$D$6:$D$4795,$A31,'Diags Raw Data'!$M$6:$M$4795,"New")+SUMIFS('Diags Raw Data'!$S$6:$S$4795,'Diags Raw Data'!$D$6:$D$4795,$A31,'Diags Raw Data'!$M$6:$M$4795,"Delta")</f>
        <v>1</v>
      </c>
      <c r="H31" s="221">
        <f>SUMIFS('Diags Raw Data'!$T$6:$T$4795,'Diags Raw Data'!$D$6:$D$4795,$A31,'Diags Raw Data'!$M$6:$M$4795,"New")+SUMIFS('Diags Raw Data'!$T$6:$T$4795,'Diags Raw Data'!$D$6:$D$4795,$A31,'Diags Raw Data'!$M$6:$M$4795,"Delta")</f>
        <v>1</v>
      </c>
      <c r="I31" s="221">
        <f>SUMIFS('Diags Raw Data'!$U$6:$U$4795,'Diags Raw Data'!$D$6:$D$4795,$A31,'Diags Raw Data'!$M$6:$M$4795,"New")+SUMIFS('Diags Raw Data'!$U$6:$U$4795,'Diags Raw Data'!$D$6:$D$4795,$A31,'Diags Raw Data'!$M$6:$M$4795,"Delta")</f>
        <v>0</v>
      </c>
      <c r="J31" s="221">
        <f>SUMIFS('Diags Raw Data'!$V$6:$V$4795,'Diags Raw Data'!$D$6:$D$4795,$A31,'Diags Raw Data'!$M$6:$M$4795,"New")+SUMIFS('Diags Raw Data'!$V$6:$V$4795,'Diags Raw Data'!$D$6:$D$4795,$A31,'Diags Raw Data'!$M$6:$M$4795,"Delta")</f>
        <v>0</v>
      </c>
      <c r="K31" s="221">
        <f>SUMIFS('Diags Raw Data'!$W$6:$W$4795,'Diags Raw Data'!$D$6:$D$4795,$A31,'Diags Raw Data'!$M$6:$M$4795,"New")+SUMIFS('Diags Raw Data'!$W$6:$W$4795,'Diags Raw Data'!$D$6:$D$4795,$A31,'Diags Raw Data'!$M$6:$M$4795,"Delta")</f>
        <v>0</v>
      </c>
      <c r="L31" s="222">
        <f t="shared" si="38"/>
        <v>1</v>
      </c>
      <c r="M31" s="224">
        <f t="shared" si="39"/>
        <v>1</v>
      </c>
      <c r="N31" s="226">
        <f t="shared" si="40"/>
        <v>1</v>
      </c>
      <c r="O31" s="213">
        <f>SUMIFS('Diags Raw Data'!$Z$6:$Z$4795,'Diags Raw Data'!$D$6:$D$4795,$A31,'Diags Raw Data'!$M$6:$M$4795,"New")+SUMIFS('Diags Raw Data'!$Z$6:$Z$4795,'Diags Raw Data'!$D$6:$D$4795,$A31,'Diags Raw Data'!$M$6:$M$4795,"Delta")</f>
        <v>0</v>
      </c>
      <c r="P31" s="210">
        <f>SUMIFS('Diags Raw Data'!$AA$6:$AA$4795,'Diags Raw Data'!$D$6:$D$4795,$A31,'Diags Raw Data'!$M$6:$M$4795,"New")+SUMIFS('Diags Raw Data'!$AA$6:$AA$4795,'Diags Raw Data'!$D$6:$D$4795,$A31,'Diags Raw Data'!$M$6:$M$4795,"Delta")</f>
        <v>0</v>
      </c>
      <c r="Q31" s="210">
        <f>SUMIFS('Diags Raw Data'!$AB$6:$AB$4795,'Diags Raw Data'!$D$6:$D$4795,$A31,'Diags Raw Data'!$M$6:$M$4795,"New")+SUMIFS('Diags Raw Data'!$AB$6:$AB$4795,'Diags Raw Data'!$D$6:$D$4795,$A31,'Diags Raw Data'!$M$6:$M$4795,"Delta")</f>
        <v>0</v>
      </c>
      <c r="R31" s="210">
        <f>SUMIFS('Diags Raw Data'!$AC$6:$AC$4795,'Diags Raw Data'!$D$6:$D$4795,$A31,'Diags Raw Data'!$M$6:$M$4795,"New")+SUMIFS('Diags Raw Data'!$AC$6:$AC$4795,'Diags Raw Data'!$D$6:$D$4795,$A31,'Diags Raw Data'!$M$6:$M$4795,"Delta")</f>
        <v>0</v>
      </c>
      <c r="S31" s="210">
        <f>SUMIFS('Diags Raw Data'!$AD$6:$AD$4795,'Diags Raw Data'!$D$6:$D$4795,$A31,'Diags Raw Data'!$M$6:$M$4795,"New")+SUMIFS('Diags Raw Data'!$AD$6:$AD$4795,'Diags Raw Data'!$D$6:$D$4795,$A31,'Diags Raw Data'!$M$6:$M$4795,"Delta")</f>
        <v>0</v>
      </c>
      <c r="T31" s="211">
        <f t="shared" si="41"/>
        <v>0</v>
      </c>
      <c r="U31" s="225" t="str">
        <f t="shared" si="42"/>
        <v>---</v>
      </c>
      <c r="V31" s="241">
        <f t="shared" si="43"/>
        <v>0</v>
      </c>
    </row>
    <row r="32" spans="1:22" ht="15" thickBot="1">
      <c r="A32" s="333" t="s">
        <v>1048</v>
      </c>
      <c r="B32" s="252">
        <f>SUMIFS('Diags Raw Data'!$L$6:$L$4795,'Diags Raw Data'!$D$6:$D$4795,$A32,'Diags Raw Data'!$M$6:$M$4795,"New")+SUMIFS('Diags Raw Data'!$L$6:$L$4795,'Diags Raw Data'!$D$6:$D$4795,$A32,'Diags Raw Data'!$M$6:$M$4795,"Delta")</f>
        <v>0</v>
      </c>
      <c r="C32" s="242">
        <f>SUMIFS('Diags Raw Data'!$R$6:$R$4795,'Diags Raw Data'!$D$6:$D$4795,$A32,'Diags Raw Data'!$M$6:$M$4795,"New")+SUMIFS('Diags Raw Data'!$R$6:$R$4795,'Diags Raw Data'!$D$6:$D$4795,$A32,'Diags Raw Data'!$M$6:$M$4795,"Delta")</f>
        <v>0</v>
      </c>
      <c r="D32" s="242">
        <f>SUMIFS('Diags Raw Data'!$K$6:$K$4795,'Diags Raw Data'!$D$6:$D$4795,$A32,'Diags Raw Data'!$M$6:$M$4795,"New")+SUMIFS('Diags Raw Data'!$K$6:$K$4795,'Diags Raw Data'!$D$6:$D$4795,$A32,'Diags Raw Data'!$M$6:$M$4795,"Delta")</f>
        <v>0</v>
      </c>
      <c r="E32" s="242">
        <f>SUMIFS('Diags Raw Data'!$O$6:$O$4795,'Diags Raw Data'!$D$6:$D$4795,$A32,'Diags Raw Data'!$M$6:$M$4795,"New")+SUMIFS('Diags Raw Data'!$O$6:$O$4795,'Diags Raw Data'!$D$6:$D$4795,$A32,'Diags Raw Data'!$M$6:$M$4795,"Delta")</f>
        <v>0</v>
      </c>
      <c r="F32" s="248" t="str">
        <f t="shared" si="37"/>
        <v>---</v>
      </c>
      <c r="G32" s="220">
        <f>SUMIFS('Diags Raw Data'!$S$6:$S$4795,'Diags Raw Data'!$D$6:$D$4795,$A32,'Diags Raw Data'!$M$6:$M$4795,"New")+SUMIFS('Diags Raw Data'!$S$6:$S$4795,'Diags Raw Data'!$D$6:$D$4795,$A32,'Diags Raw Data'!$M$6:$M$4795,"Delta")</f>
        <v>0</v>
      </c>
      <c r="H32" s="221">
        <f>SUMIFS('Diags Raw Data'!$T$6:$T$4795,'Diags Raw Data'!$D$6:$D$4795,$A32,'Diags Raw Data'!$M$6:$M$4795,"New")+SUMIFS('Diags Raw Data'!$T$6:$T$4795,'Diags Raw Data'!$D$6:$D$4795,$A32,'Diags Raw Data'!$M$6:$M$4795,"Delta")</f>
        <v>0</v>
      </c>
      <c r="I32" s="221">
        <f>SUMIFS('Diags Raw Data'!$U$6:$U$4795,'Diags Raw Data'!$D$6:$D$4795,$A32,'Diags Raw Data'!$M$6:$M$4795,"New")+SUMIFS('Diags Raw Data'!$U$6:$U$4795,'Diags Raw Data'!$D$6:$D$4795,$A32,'Diags Raw Data'!$M$6:$M$4795,"Delta")</f>
        <v>0</v>
      </c>
      <c r="J32" s="221">
        <f>SUMIFS('Diags Raw Data'!$V$6:$V$4795,'Diags Raw Data'!$D$6:$D$4795,$A32,'Diags Raw Data'!$M$6:$M$4795,"New")+SUMIFS('Diags Raw Data'!$V$6:$V$4795,'Diags Raw Data'!$D$6:$D$4795,$A32,'Diags Raw Data'!$M$6:$M$4795,"Delta")</f>
        <v>0</v>
      </c>
      <c r="K32" s="221">
        <f>SUMIFS('Diags Raw Data'!$W$6:$W$4795,'Diags Raw Data'!$D$6:$D$4795,$A32,'Diags Raw Data'!$M$6:$M$4795,"New")+SUMIFS('Diags Raw Data'!$W$6:$W$4795,'Diags Raw Data'!$D$6:$D$4795,$A32,'Diags Raw Data'!$M$6:$M$4795,"Delta")</f>
        <v>0</v>
      </c>
      <c r="L32" s="222" t="str">
        <f t="shared" si="38"/>
        <v>---</v>
      </c>
      <c r="M32" s="224" t="str">
        <f t="shared" si="39"/>
        <v>---</v>
      </c>
      <c r="N32" s="226" t="str">
        <f t="shared" si="40"/>
        <v>---</v>
      </c>
      <c r="O32" s="213">
        <f>SUMIFS('Diags Raw Data'!$Z$6:$Z$4795,'Diags Raw Data'!$D$6:$D$4795,$A32,'Diags Raw Data'!$M$6:$M$4795,"New")+SUMIFS('Diags Raw Data'!$Z$6:$Z$4795,'Diags Raw Data'!$D$6:$D$4795,$A32,'Diags Raw Data'!$M$6:$M$4795,"Delta")</f>
        <v>0</v>
      </c>
      <c r="P32" s="210">
        <f>SUMIFS('Diags Raw Data'!$AA$6:$AA$4795,'Diags Raw Data'!$D$6:$D$4795,$A32,'Diags Raw Data'!$M$6:$M$4795,"New")+SUMIFS('Diags Raw Data'!$AA$6:$AA$4795,'Diags Raw Data'!$D$6:$D$4795,$A32,'Diags Raw Data'!$M$6:$M$4795,"Delta")</f>
        <v>0</v>
      </c>
      <c r="Q32" s="210">
        <f>SUMIFS('Diags Raw Data'!$AB$6:$AB$4795,'Diags Raw Data'!$D$6:$D$4795,$A32,'Diags Raw Data'!$M$6:$M$4795,"New")+SUMIFS('Diags Raw Data'!$AB$6:$AB$4795,'Diags Raw Data'!$D$6:$D$4795,$A32,'Diags Raw Data'!$M$6:$M$4795,"Delta")</f>
        <v>0</v>
      </c>
      <c r="R32" s="210">
        <f>SUMIFS('Diags Raw Data'!$AC$6:$AC$4795,'Diags Raw Data'!$D$6:$D$4795,$A32,'Diags Raw Data'!$M$6:$M$4795,"New")+SUMIFS('Diags Raw Data'!$AC$6:$AC$4795,'Diags Raw Data'!$D$6:$D$4795,$A32,'Diags Raw Data'!$M$6:$M$4795,"Delta")</f>
        <v>0</v>
      </c>
      <c r="S32" s="210">
        <f>SUMIFS('Diags Raw Data'!$AD$6:$AD$4795,'Diags Raw Data'!$D$6:$D$4795,$A32,'Diags Raw Data'!$M$6:$M$4795,"New")+SUMIFS('Diags Raw Data'!$AD$6:$AD$4795,'Diags Raw Data'!$D$6:$D$4795,$A32,'Diags Raw Data'!$M$6:$M$4795,"Delta")</f>
        <v>0</v>
      </c>
      <c r="T32" s="211" t="str">
        <f t="shared" si="41"/>
        <v>---</v>
      </c>
      <c r="U32" s="225" t="str">
        <f t="shared" si="42"/>
        <v>---</v>
      </c>
      <c r="V32" s="241" t="str">
        <f t="shared" si="43"/>
        <v>---</v>
      </c>
    </row>
    <row r="33" spans="1:22" ht="15" thickBot="1">
      <c r="A33" s="333" t="s">
        <v>1051</v>
      </c>
      <c r="B33" s="252">
        <f>SUMIFS('Diags Raw Data'!$L$6:$L$4795,'Diags Raw Data'!$D$6:$D$4795,$A33,'Diags Raw Data'!$M$6:$M$4795,"New")+SUMIFS('Diags Raw Data'!$L$6:$L$4795,'Diags Raw Data'!$D$6:$D$4795,$A33,'Diags Raw Data'!$M$6:$M$4795,"Delta")</f>
        <v>104</v>
      </c>
      <c r="C33" s="242">
        <f>SUMIFS('Diags Raw Data'!$R$6:$R$4795,'Diags Raw Data'!$D$6:$D$4795,$A33,'Diags Raw Data'!$M$6:$M$4795,"New")+SUMIFS('Diags Raw Data'!$R$6:$R$4795,'Diags Raw Data'!$D$6:$D$4795,$A33,'Diags Raw Data'!$M$6:$M$4795,"Delta")</f>
        <v>0</v>
      </c>
      <c r="D33" s="242">
        <f>SUMIFS('Diags Raw Data'!$K$6:$K$4795,'Diags Raw Data'!$D$6:$D$4795,$A33,'Diags Raw Data'!$M$6:$M$4795,"New")+SUMIFS('Diags Raw Data'!$K$6:$K$4795,'Diags Raw Data'!$D$6:$D$4795,$A33,'Diags Raw Data'!$M$6:$M$4795,"Delta")</f>
        <v>7</v>
      </c>
      <c r="E33" s="242">
        <f>SUMIFS('Diags Raw Data'!$O$6:$O$4795,'Diags Raw Data'!$D$6:$D$4795,$A33,'Diags Raw Data'!$M$6:$M$4795,"New")+SUMIFS('Diags Raw Data'!$O$6:$O$4795,'Diags Raw Data'!$D$6:$D$4795,$A33,'Diags Raw Data'!$M$6:$M$4795,"Delta")</f>
        <v>104</v>
      </c>
      <c r="F33" s="248">
        <f t="shared" si="37"/>
        <v>1</v>
      </c>
      <c r="G33" s="220">
        <f>SUMIFS('Diags Raw Data'!$S$6:$S$4795,'Diags Raw Data'!$D$6:$D$4795,$A33,'Diags Raw Data'!$M$6:$M$4795,"New")+SUMIFS('Diags Raw Data'!$S$6:$S$4795,'Diags Raw Data'!$D$6:$D$4795,$A33,'Diags Raw Data'!$M$6:$M$4795,"Delta")</f>
        <v>0</v>
      </c>
      <c r="H33" s="221">
        <f>SUMIFS('Diags Raw Data'!$T$6:$T$4795,'Diags Raw Data'!$D$6:$D$4795,$A33,'Diags Raw Data'!$M$6:$M$4795,"New")+SUMIFS('Diags Raw Data'!$T$6:$T$4795,'Diags Raw Data'!$D$6:$D$4795,$A33,'Diags Raw Data'!$M$6:$M$4795,"Delta")</f>
        <v>0</v>
      </c>
      <c r="I33" s="221">
        <f>SUMIFS('Diags Raw Data'!$U$6:$U$4795,'Diags Raw Data'!$D$6:$D$4795,$A33,'Diags Raw Data'!$M$6:$M$4795,"New")+SUMIFS('Diags Raw Data'!$U$6:$U$4795,'Diags Raw Data'!$D$6:$D$4795,$A33,'Diags Raw Data'!$M$6:$M$4795,"Delta")</f>
        <v>0</v>
      </c>
      <c r="J33" s="221">
        <f>SUMIFS('Diags Raw Data'!$V$6:$V$4795,'Diags Raw Data'!$D$6:$D$4795,$A33,'Diags Raw Data'!$M$6:$M$4795,"New")+SUMIFS('Diags Raw Data'!$V$6:$V$4795,'Diags Raw Data'!$D$6:$D$4795,$A33,'Diags Raw Data'!$M$6:$M$4795,"Delta")</f>
        <v>0</v>
      </c>
      <c r="K33" s="221">
        <f>SUMIFS('Diags Raw Data'!$W$6:$W$4795,'Diags Raw Data'!$D$6:$D$4795,$A33,'Diags Raw Data'!$M$6:$M$4795,"New")+SUMIFS('Diags Raw Data'!$W$6:$W$4795,'Diags Raw Data'!$D$6:$D$4795,$A33,'Diags Raw Data'!$M$6:$M$4795,"Delta")</f>
        <v>0</v>
      </c>
      <c r="L33" s="222" t="str">
        <f t="shared" si="38"/>
        <v>---</v>
      </c>
      <c r="M33" s="224" t="str">
        <f t="shared" si="39"/>
        <v>---</v>
      </c>
      <c r="N33" s="226" t="str">
        <f t="shared" si="40"/>
        <v>---</v>
      </c>
      <c r="O33" s="213">
        <f>SUMIFS('Diags Raw Data'!$Z$6:$Z$4795,'Diags Raw Data'!$D$6:$D$4795,$A33,'Diags Raw Data'!$M$6:$M$4795,"New")+SUMIFS('Diags Raw Data'!$Z$6:$Z$4795,'Diags Raw Data'!$D$6:$D$4795,$A33,'Diags Raw Data'!$M$6:$M$4795,"Delta")</f>
        <v>0</v>
      </c>
      <c r="P33" s="210">
        <f>SUMIFS('Diags Raw Data'!$AA$6:$AA$4795,'Diags Raw Data'!$D$6:$D$4795,$A33,'Diags Raw Data'!$M$6:$M$4795,"New")+SUMIFS('Diags Raw Data'!$AA$6:$AA$4795,'Diags Raw Data'!$D$6:$D$4795,$A33,'Diags Raw Data'!$M$6:$M$4795,"Delta")</f>
        <v>0</v>
      </c>
      <c r="Q33" s="210">
        <f>SUMIFS('Diags Raw Data'!$AB$6:$AB$4795,'Diags Raw Data'!$D$6:$D$4795,$A33,'Diags Raw Data'!$M$6:$M$4795,"New")+SUMIFS('Diags Raw Data'!$AB$6:$AB$4795,'Diags Raw Data'!$D$6:$D$4795,$A33,'Diags Raw Data'!$M$6:$M$4795,"Delta")</f>
        <v>0</v>
      </c>
      <c r="R33" s="210">
        <f>SUMIFS('Diags Raw Data'!$AC$6:$AC$4795,'Diags Raw Data'!$D$6:$D$4795,$A33,'Diags Raw Data'!$M$6:$M$4795,"New")+SUMIFS('Diags Raw Data'!$AC$6:$AC$4795,'Diags Raw Data'!$D$6:$D$4795,$A33,'Diags Raw Data'!$M$6:$M$4795,"Delta")</f>
        <v>0</v>
      </c>
      <c r="S33" s="210">
        <f>SUMIFS('Diags Raw Data'!$AD$6:$AD$4795,'Diags Raw Data'!$D$6:$D$4795,$A33,'Diags Raw Data'!$M$6:$M$4795,"New")+SUMIFS('Diags Raw Data'!$AD$6:$AD$4795,'Diags Raw Data'!$D$6:$D$4795,$A33,'Diags Raw Data'!$M$6:$M$4795,"Delta")</f>
        <v>0</v>
      </c>
      <c r="T33" s="211">
        <f t="shared" si="41"/>
        <v>0</v>
      </c>
      <c r="U33" s="225" t="str">
        <f t="shared" si="42"/>
        <v>---</v>
      </c>
      <c r="V33" s="241">
        <f t="shared" si="43"/>
        <v>0</v>
      </c>
    </row>
    <row r="34" spans="1:22" ht="15" thickBot="1">
      <c r="A34" s="333" t="s">
        <v>792</v>
      </c>
      <c r="B34" s="252">
        <f>SUMIFS('Diags Raw Data'!$L$6:$L$4795,'Diags Raw Data'!$D$6:$D$4795,$A34,'Diags Raw Data'!$M$6:$M$4795,"New")+SUMIFS('Diags Raw Data'!$L$6:$L$4795,'Diags Raw Data'!$D$6:$D$4795,$A34,'Diags Raw Data'!$M$6:$M$4795,"Delta")</f>
        <v>0</v>
      </c>
      <c r="C34" s="242">
        <f>SUMIFS('Diags Raw Data'!$R$6:$R$4795,'Diags Raw Data'!$D$6:$D$4795,$A34,'Diags Raw Data'!$M$6:$M$4795,"New")+SUMIFS('Diags Raw Data'!$R$6:$R$4795,'Diags Raw Data'!$D$6:$D$4795,$A34,'Diags Raw Data'!$M$6:$M$4795,"Delta")</f>
        <v>0</v>
      </c>
      <c r="D34" s="242">
        <f>SUMIFS('Diags Raw Data'!$K$6:$K$4795,'Diags Raw Data'!$D$6:$D$4795,$A34,'Diags Raw Data'!$M$6:$M$4795,"New")+SUMIFS('Diags Raw Data'!$K$6:$K$4795,'Diags Raw Data'!$D$6:$D$4795,$A34,'Diags Raw Data'!$M$6:$M$4795,"Delta")</f>
        <v>0</v>
      </c>
      <c r="E34" s="242">
        <f>SUMIFS('Diags Raw Data'!$O$6:$O$4795,'Diags Raw Data'!$D$6:$D$4795,$A34,'Diags Raw Data'!$M$6:$M$4795,"New")+SUMIFS('Diags Raw Data'!$O$6:$O$4795,'Diags Raw Data'!$D$6:$D$4795,$A34,'Diags Raw Data'!$M$6:$M$4795,"Delta")</f>
        <v>0</v>
      </c>
      <c r="F34" s="248" t="str">
        <f t="shared" si="37"/>
        <v>---</v>
      </c>
      <c r="G34" s="220">
        <f>SUMIFS('Diags Raw Data'!$S$6:$S$4795,'Diags Raw Data'!$D$6:$D$4795,$A34,'Diags Raw Data'!$M$6:$M$4795,"New")+SUMIFS('Diags Raw Data'!$S$6:$S$4795,'Diags Raw Data'!$D$6:$D$4795,$A34,'Diags Raw Data'!$M$6:$M$4795,"Delta")</f>
        <v>0</v>
      </c>
      <c r="H34" s="221">
        <f>SUMIFS('Diags Raw Data'!$T$6:$T$4795,'Diags Raw Data'!$D$6:$D$4795,$A34,'Diags Raw Data'!$M$6:$M$4795,"New")+SUMIFS('Diags Raw Data'!$T$6:$T$4795,'Diags Raw Data'!$D$6:$D$4795,$A34,'Diags Raw Data'!$M$6:$M$4795,"Delta")</f>
        <v>0</v>
      </c>
      <c r="I34" s="221">
        <f>SUMIFS('Diags Raw Data'!$U$6:$U$4795,'Diags Raw Data'!$D$6:$D$4795,$A34,'Diags Raw Data'!$M$6:$M$4795,"New")+SUMIFS('Diags Raw Data'!$U$6:$U$4795,'Diags Raw Data'!$D$6:$D$4795,$A34,'Diags Raw Data'!$M$6:$M$4795,"Delta")</f>
        <v>0</v>
      </c>
      <c r="J34" s="221">
        <f>SUMIFS('Diags Raw Data'!$V$6:$V$4795,'Diags Raw Data'!$D$6:$D$4795,$A34,'Diags Raw Data'!$M$6:$M$4795,"New")+SUMIFS('Diags Raw Data'!$V$6:$V$4795,'Diags Raw Data'!$D$6:$D$4795,$A34,'Diags Raw Data'!$M$6:$M$4795,"Delta")</f>
        <v>0</v>
      </c>
      <c r="K34" s="221">
        <f>SUMIFS('Diags Raw Data'!$W$6:$W$4795,'Diags Raw Data'!$D$6:$D$4795,$A34,'Diags Raw Data'!$M$6:$M$4795,"New")+SUMIFS('Diags Raw Data'!$W$6:$W$4795,'Diags Raw Data'!$D$6:$D$4795,$A34,'Diags Raw Data'!$M$6:$M$4795,"Delta")</f>
        <v>0</v>
      </c>
      <c r="L34" s="222" t="str">
        <f t="shared" si="38"/>
        <v>---</v>
      </c>
      <c r="M34" s="224" t="str">
        <f t="shared" si="39"/>
        <v>---</v>
      </c>
      <c r="N34" s="226" t="str">
        <f t="shared" si="40"/>
        <v>---</v>
      </c>
      <c r="O34" s="213">
        <f>SUMIFS('Diags Raw Data'!$Z$6:$Z$4795,'Diags Raw Data'!$D$6:$D$4795,$A34,'Diags Raw Data'!$M$6:$M$4795,"New")+SUMIFS('Diags Raw Data'!$Z$6:$Z$4795,'Diags Raw Data'!$D$6:$D$4795,$A34,'Diags Raw Data'!$M$6:$M$4795,"Delta")</f>
        <v>0</v>
      </c>
      <c r="P34" s="210">
        <f>SUMIFS('Diags Raw Data'!$AA$6:$AA$4795,'Diags Raw Data'!$D$6:$D$4795,$A34,'Diags Raw Data'!$M$6:$M$4795,"New")+SUMIFS('Diags Raw Data'!$AA$6:$AA$4795,'Diags Raw Data'!$D$6:$D$4795,$A34,'Diags Raw Data'!$M$6:$M$4795,"Delta")</f>
        <v>0</v>
      </c>
      <c r="Q34" s="210">
        <f>SUMIFS('Diags Raw Data'!$AB$6:$AB$4795,'Diags Raw Data'!$D$6:$D$4795,$A34,'Diags Raw Data'!$M$6:$M$4795,"New")+SUMIFS('Diags Raw Data'!$AB$6:$AB$4795,'Diags Raw Data'!$D$6:$D$4795,$A34,'Diags Raw Data'!$M$6:$M$4795,"Delta")</f>
        <v>0</v>
      </c>
      <c r="R34" s="210">
        <f>SUMIFS('Diags Raw Data'!$AC$6:$AC$4795,'Diags Raw Data'!$D$6:$D$4795,$A34,'Diags Raw Data'!$M$6:$M$4795,"New")+SUMIFS('Diags Raw Data'!$AC$6:$AC$4795,'Diags Raw Data'!$D$6:$D$4795,$A34,'Diags Raw Data'!$M$6:$M$4795,"Delta")</f>
        <v>0</v>
      </c>
      <c r="S34" s="210">
        <f>SUMIFS('Diags Raw Data'!$AD$6:$AD$4795,'Diags Raw Data'!$D$6:$D$4795,$A34,'Diags Raw Data'!$M$6:$M$4795,"New")+SUMIFS('Diags Raw Data'!$AD$6:$AD$4795,'Diags Raw Data'!$D$6:$D$4795,$A34,'Diags Raw Data'!$M$6:$M$4795,"Delta")</f>
        <v>0</v>
      </c>
      <c r="T34" s="211" t="str">
        <f t="shared" si="41"/>
        <v>---</v>
      </c>
      <c r="U34" s="225" t="str">
        <f t="shared" si="42"/>
        <v>---</v>
      </c>
      <c r="V34" s="241" t="str">
        <f t="shared" si="43"/>
        <v>---</v>
      </c>
    </row>
    <row r="35" spans="1:22" ht="15" thickBot="1">
      <c r="A35" s="333" t="s">
        <v>760</v>
      </c>
      <c r="B35" s="252">
        <f>SUMIFS('Diags Raw Data'!$L$6:$L$4795,'Diags Raw Data'!$D$6:$D$4795,$A35,'Diags Raw Data'!$M$6:$M$4795,"New")+SUMIFS('Diags Raw Data'!$L$6:$L$4795,'Diags Raw Data'!$D$6:$D$4795,$A35,'Diags Raw Data'!$M$6:$M$4795,"Delta")</f>
        <v>1</v>
      </c>
      <c r="C35" s="242">
        <f>SUMIFS('Diags Raw Data'!$R$6:$R$4795,'Diags Raw Data'!$D$6:$D$4795,$A35,'Diags Raw Data'!$M$6:$M$4795,"New")+SUMIFS('Diags Raw Data'!$R$6:$R$4795,'Diags Raw Data'!$D$6:$D$4795,$A35,'Diags Raw Data'!$M$6:$M$4795,"Delta")</f>
        <v>1</v>
      </c>
      <c r="D35" s="242">
        <f>SUMIFS('Diags Raw Data'!$K$6:$K$4795,'Diags Raw Data'!$D$6:$D$4795,$A35,'Diags Raw Data'!$M$6:$M$4795,"New")+SUMIFS('Diags Raw Data'!$K$6:$K$4795,'Diags Raw Data'!$D$6:$D$4795,$A35,'Diags Raw Data'!$M$6:$M$4795,"Delta")</f>
        <v>1</v>
      </c>
      <c r="E35" s="242">
        <f>SUMIFS('Diags Raw Data'!$O$6:$O$4795,'Diags Raw Data'!$D$6:$D$4795,$A35,'Diags Raw Data'!$M$6:$M$4795,"New")+SUMIFS('Diags Raw Data'!$O$6:$O$4795,'Diags Raw Data'!$D$6:$D$4795,$A35,'Diags Raw Data'!$M$6:$M$4795,"Delta")</f>
        <v>0</v>
      </c>
      <c r="F35" s="248">
        <f t="shared" si="37"/>
        <v>0</v>
      </c>
      <c r="G35" s="220">
        <f>SUMIFS('Diags Raw Data'!$S$6:$S$4795,'Diags Raw Data'!$D$6:$D$4795,$A35,'Diags Raw Data'!$M$6:$M$4795,"New")+SUMIFS('Diags Raw Data'!$S$6:$S$4795,'Diags Raw Data'!$D$6:$D$4795,$A35,'Diags Raw Data'!$M$6:$M$4795,"Delta")</f>
        <v>0</v>
      </c>
      <c r="H35" s="221">
        <f>SUMIFS('Diags Raw Data'!$T$6:$T$4795,'Diags Raw Data'!$D$6:$D$4795,$A35,'Diags Raw Data'!$M$6:$M$4795,"New")+SUMIFS('Diags Raw Data'!$T$6:$T$4795,'Diags Raw Data'!$D$6:$D$4795,$A35,'Diags Raw Data'!$M$6:$M$4795,"Delta")</f>
        <v>0</v>
      </c>
      <c r="I35" s="221">
        <f>SUMIFS('Diags Raw Data'!$U$6:$U$4795,'Diags Raw Data'!$D$6:$D$4795,$A35,'Diags Raw Data'!$M$6:$M$4795,"New")+SUMIFS('Diags Raw Data'!$U$6:$U$4795,'Diags Raw Data'!$D$6:$D$4795,$A35,'Diags Raw Data'!$M$6:$M$4795,"Delta")</f>
        <v>0</v>
      </c>
      <c r="J35" s="221">
        <f>SUMIFS('Diags Raw Data'!$V$6:$V$4795,'Diags Raw Data'!$D$6:$D$4795,$A35,'Diags Raw Data'!$M$6:$M$4795,"New")+SUMIFS('Diags Raw Data'!$V$6:$V$4795,'Diags Raw Data'!$D$6:$D$4795,$A35,'Diags Raw Data'!$M$6:$M$4795,"Delta")</f>
        <v>0</v>
      </c>
      <c r="K35" s="221">
        <f>SUMIFS('Diags Raw Data'!$W$6:$W$4795,'Diags Raw Data'!$D$6:$D$4795,$A35,'Diags Raw Data'!$M$6:$M$4795,"New")+SUMIFS('Diags Raw Data'!$W$6:$W$4795,'Diags Raw Data'!$D$6:$D$4795,$A35,'Diags Raw Data'!$M$6:$M$4795,"Delta")</f>
        <v>0</v>
      </c>
      <c r="L35" s="222">
        <f t="shared" si="38"/>
        <v>0</v>
      </c>
      <c r="M35" s="224" t="str">
        <f t="shared" si="39"/>
        <v>---</v>
      </c>
      <c r="N35" s="226">
        <f t="shared" si="40"/>
        <v>0</v>
      </c>
      <c r="O35" s="213">
        <f>SUMIFS('Diags Raw Data'!$Z$6:$Z$4795,'Diags Raw Data'!$D$6:$D$4795,$A35,'Diags Raw Data'!$M$6:$M$4795,"New")+SUMIFS('Diags Raw Data'!$Z$6:$Z$4795,'Diags Raw Data'!$D$6:$D$4795,$A35,'Diags Raw Data'!$M$6:$M$4795,"Delta")</f>
        <v>0</v>
      </c>
      <c r="P35" s="210">
        <f>SUMIFS('Diags Raw Data'!$AA$6:$AA$4795,'Diags Raw Data'!$D$6:$D$4795,$A35,'Diags Raw Data'!$M$6:$M$4795,"New")+SUMIFS('Diags Raw Data'!$AA$6:$AA$4795,'Diags Raw Data'!$D$6:$D$4795,$A35,'Diags Raw Data'!$M$6:$M$4795,"Delta")</f>
        <v>0</v>
      </c>
      <c r="Q35" s="210">
        <f>SUMIFS('Diags Raw Data'!$AB$6:$AB$4795,'Diags Raw Data'!$D$6:$D$4795,$A35,'Diags Raw Data'!$M$6:$M$4795,"New")+SUMIFS('Diags Raw Data'!$AB$6:$AB$4795,'Diags Raw Data'!$D$6:$D$4795,$A35,'Diags Raw Data'!$M$6:$M$4795,"Delta")</f>
        <v>0</v>
      </c>
      <c r="R35" s="210">
        <f>SUMIFS('Diags Raw Data'!$AC$6:$AC$4795,'Diags Raw Data'!$D$6:$D$4795,$A35,'Diags Raw Data'!$M$6:$M$4795,"New")+SUMIFS('Diags Raw Data'!$AC$6:$AC$4795,'Diags Raw Data'!$D$6:$D$4795,$A35,'Diags Raw Data'!$M$6:$M$4795,"Delta")</f>
        <v>0</v>
      </c>
      <c r="S35" s="210">
        <f>SUMIFS('Diags Raw Data'!$AD$6:$AD$4795,'Diags Raw Data'!$D$6:$D$4795,$A35,'Diags Raw Data'!$M$6:$M$4795,"New")+SUMIFS('Diags Raw Data'!$AD$6:$AD$4795,'Diags Raw Data'!$D$6:$D$4795,$A35,'Diags Raw Data'!$M$6:$M$4795,"Delta")</f>
        <v>0</v>
      </c>
      <c r="T35" s="211">
        <f t="shared" si="41"/>
        <v>0</v>
      </c>
      <c r="U35" s="225" t="str">
        <f t="shared" si="42"/>
        <v>---</v>
      </c>
      <c r="V35" s="241">
        <f t="shared" si="43"/>
        <v>0</v>
      </c>
    </row>
    <row r="36" spans="1:22" ht="15" thickBot="1">
      <c r="A36" s="333" t="s">
        <v>827</v>
      </c>
      <c r="B36" s="252">
        <f>SUMIFS('Diags Raw Data'!$L$6:$L$4795,'Diags Raw Data'!$D$6:$D$4795,$A36,'Diags Raw Data'!$M$6:$M$4795,"New")+SUMIFS('Diags Raw Data'!$L$6:$L$4795,'Diags Raw Data'!$D$6:$D$4795,$A36,'Diags Raw Data'!$M$6:$M$4795,"Delta")</f>
        <v>84</v>
      </c>
      <c r="C36" s="242">
        <f>SUMIFS('Diags Raw Data'!$R$6:$R$4795,'Diags Raw Data'!$D$6:$D$4795,$A36,'Diags Raw Data'!$M$6:$M$4795,"New")+SUMIFS('Diags Raw Data'!$R$6:$R$4795,'Diags Raw Data'!$D$6:$D$4795,$A36,'Diags Raw Data'!$M$6:$M$4795,"Delta")</f>
        <v>84</v>
      </c>
      <c r="D36" s="242">
        <f>SUMIFS('Diags Raw Data'!$K$6:$K$4795,'Diags Raw Data'!$D$6:$D$4795,$A36,'Diags Raw Data'!$M$6:$M$4795,"New")+SUMIFS('Diags Raw Data'!$K$6:$K$4795,'Diags Raw Data'!$D$6:$D$4795,$A36,'Diags Raw Data'!$M$6:$M$4795,"Delta")</f>
        <v>9</v>
      </c>
      <c r="E36" s="242">
        <f>SUMIFS('Diags Raw Data'!$O$6:$O$4795,'Diags Raw Data'!$D$6:$D$4795,$A36,'Diags Raw Data'!$M$6:$M$4795,"New")+SUMIFS('Diags Raw Data'!$O$6:$O$4795,'Diags Raw Data'!$D$6:$D$4795,$A36,'Diags Raw Data'!$M$6:$M$4795,"Delta")</f>
        <v>84</v>
      </c>
      <c r="F36" s="248">
        <f t="shared" si="37"/>
        <v>1</v>
      </c>
      <c r="G36" s="220">
        <f>SUMIFS('Diags Raw Data'!$S$6:$S$4795,'Diags Raw Data'!$D$6:$D$4795,$A36,'Diags Raw Data'!$M$6:$M$4795,"New")+SUMIFS('Diags Raw Data'!$S$6:$S$4795,'Diags Raw Data'!$D$6:$D$4795,$A36,'Diags Raw Data'!$M$6:$M$4795,"Delta")</f>
        <v>38</v>
      </c>
      <c r="H36" s="221">
        <f>SUMIFS('Diags Raw Data'!$T$6:$T$4795,'Diags Raw Data'!$D$6:$D$4795,$A36,'Diags Raw Data'!$M$6:$M$4795,"New")+SUMIFS('Diags Raw Data'!$T$6:$T$4795,'Diags Raw Data'!$D$6:$D$4795,$A36,'Diags Raw Data'!$M$6:$M$4795,"Delta")</f>
        <v>38</v>
      </c>
      <c r="I36" s="221">
        <f>SUMIFS('Diags Raw Data'!$U$6:$U$4795,'Diags Raw Data'!$D$6:$D$4795,$A36,'Diags Raw Data'!$M$6:$M$4795,"New")+SUMIFS('Diags Raw Data'!$U$6:$U$4795,'Diags Raw Data'!$D$6:$D$4795,$A36,'Diags Raw Data'!$M$6:$M$4795,"Delta")</f>
        <v>0</v>
      </c>
      <c r="J36" s="221">
        <f>SUMIFS('Diags Raw Data'!$V$6:$V$4795,'Diags Raw Data'!$D$6:$D$4795,$A36,'Diags Raw Data'!$M$6:$M$4795,"New")+SUMIFS('Diags Raw Data'!$V$6:$V$4795,'Diags Raw Data'!$D$6:$D$4795,$A36,'Diags Raw Data'!$M$6:$M$4795,"Delta")</f>
        <v>0</v>
      </c>
      <c r="K36" s="221">
        <f>SUMIFS('Diags Raw Data'!$W$6:$W$4795,'Diags Raw Data'!$D$6:$D$4795,$A36,'Diags Raw Data'!$M$6:$M$4795,"New")+SUMIFS('Diags Raw Data'!$W$6:$W$4795,'Diags Raw Data'!$D$6:$D$4795,$A36,'Diags Raw Data'!$M$6:$M$4795,"Delta")</f>
        <v>0</v>
      </c>
      <c r="L36" s="222">
        <f t="shared" si="38"/>
        <v>0.45238095238095238</v>
      </c>
      <c r="M36" s="224">
        <f t="shared" si="39"/>
        <v>1</v>
      </c>
      <c r="N36" s="226">
        <f t="shared" si="40"/>
        <v>0.45238095238095238</v>
      </c>
      <c r="O36" s="213">
        <f>SUMIFS('Diags Raw Data'!$Z$6:$Z$4795,'Diags Raw Data'!$D$6:$D$4795,$A36,'Diags Raw Data'!$M$6:$M$4795,"New")+SUMIFS('Diags Raw Data'!$Z$6:$Z$4795,'Diags Raw Data'!$D$6:$D$4795,$A36,'Diags Raw Data'!$M$6:$M$4795,"Delta")</f>
        <v>0</v>
      </c>
      <c r="P36" s="210">
        <f>SUMIFS('Diags Raw Data'!$AA$6:$AA$4795,'Diags Raw Data'!$D$6:$D$4795,$A36,'Diags Raw Data'!$M$6:$M$4795,"New")+SUMIFS('Diags Raw Data'!$AA$6:$AA$4795,'Diags Raw Data'!$D$6:$D$4795,$A36,'Diags Raw Data'!$M$6:$M$4795,"Delta")</f>
        <v>0</v>
      </c>
      <c r="Q36" s="210">
        <f>SUMIFS('Diags Raw Data'!$AB$6:$AB$4795,'Diags Raw Data'!$D$6:$D$4795,$A36,'Diags Raw Data'!$M$6:$M$4795,"New")+SUMIFS('Diags Raw Data'!$AB$6:$AB$4795,'Diags Raw Data'!$D$6:$D$4795,$A36,'Diags Raw Data'!$M$6:$M$4795,"Delta")</f>
        <v>0</v>
      </c>
      <c r="R36" s="210">
        <f>SUMIFS('Diags Raw Data'!$AC$6:$AC$4795,'Diags Raw Data'!$D$6:$D$4795,$A36,'Diags Raw Data'!$M$6:$M$4795,"New")+SUMIFS('Diags Raw Data'!$AC$6:$AC$4795,'Diags Raw Data'!$D$6:$D$4795,$A36,'Diags Raw Data'!$M$6:$M$4795,"Delta")</f>
        <v>0</v>
      </c>
      <c r="S36" s="210">
        <f>SUMIFS('Diags Raw Data'!$AD$6:$AD$4795,'Diags Raw Data'!$D$6:$D$4795,$A36,'Diags Raw Data'!$M$6:$M$4795,"New")+SUMIFS('Diags Raw Data'!$AD$6:$AD$4795,'Diags Raw Data'!$D$6:$D$4795,$A36,'Diags Raw Data'!$M$6:$M$4795,"Delta")</f>
        <v>0</v>
      </c>
      <c r="T36" s="211">
        <f t="shared" si="41"/>
        <v>0</v>
      </c>
      <c r="U36" s="225" t="str">
        <f t="shared" si="42"/>
        <v>---</v>
      </c>
      <c r="V36" s="241">
        <f t="shared" si="43"/>
        <v>0</v>
      </c>
    </row>
    <row r="37" spans="1:22" ht="15" thickBot="1">
      <c r="A37" s="333" t="s">
        <v>1105</v>
      </c>
      <c r="B37" s="252">
        <f>SUMIFS('Diags Raw Data'!$L$6:$L$4795,'Diags Raw Data'!$D$6:$D$4795,$A37,'Diags Raw Data'!$M$6:$M$4795,"New")+SUMIFS('Diags Raw Data'!$L$6:$L$4795,'Diags Raw Data'!$D$6:$D$4795,$A37,'Diags Raw Data'!$M$6:$M$4795,"Delta")</f>
        <v>3</v>
      </c>
      <c r="C37" s="242">
        <f>SUMIFS('Diags Raw Data'!$R$6:$R$4795,'Diags Raw Data'!$D$6:$D$4795,$A37,'Diags Raw Data'!$M$6:$M$4795,"New")+SUMIFS('Diags Raw Data'!$R$6:$R$4795,'Diags Raw Data'!$D$6:$D$4795,$A37,'Diags Raw Data'!$M$6:$M$4795,"Delta")</f>
        <v>3</v>
      </c>
      <c r="D37" s="242">
        <f>SUMIFS('Diags Raw Data'!$K$6:$K$4795,'Diags Raw Data'!$D$6:$D$4795,$A37,'Diags Raw Data'!$M$6:$M$4795,"New")+SUMIFS('Diags Raw Data'!$K$6:$K$4795,'Diags Raw Data'!$D$6:$D$4795,$A37,'Diags Raw Data'!$M$6:$M$4795,"Delta")</f>
        <v>120</v>
      </c>
      <c r="E37" s="242">
        <f>SUMIFS('Diags Raw Data'!$O$6:$O$4795,'Diags Raw Data'!$D$6:$D$4795,$A37,'Diags Raw Data'!$M$6:$M$4795,"New")+SUMIFS('Diags Raw Data'!$O$6:$O$4795,'Diags Raw Data'!$D$6:$D$4795,$A37,'Diags Raw Data'!$M$6:$M$4795,"Delta")</f>
        <v>3</v>
      </c>
      <c r="F37" s="248">
        <f t="shared" ref="F37" si="44">IF(NOT($B37=0), E37/$B37, "---")</f>
        <v>1</v>
      </c>
      <c r="G37" s="220">
        <f>SUMIFS('Diags Raw Data'!$S$6:$S$4795,'Diags Raw Data'!$D$6:$D$4795,$A37,'Diags Raw Data'!$M$6:$M$4795,"New")+SUMIFS('Diags Raw Data'!$S$6:$S$4795,'Diags Raw Data'!$D$6:$D$4795,$A37,'Diags Raw Data'!$M$6:$M$4795,"Delta")</f>
        <v>0</v>
      </c>
      <c r="H37" s="221">
        <f>SUMIFS('Diags Raw Data'!$T$6:$T$4795,'Diags Raw Data'!$D$6:$D$4795,$A37,'Diags Raw Data'!$M$6:$M$4795,"New")+SUMIFS('Diags Raw Data'!$T$6:$T$4795,'Diags Raw Data'!$D$6:$D$4795,$A37,'Diags Raw Data'!$M$6:$M$4795,"Delta")</f>
        <v>0</v>
      </c>
      <c r="I37" s="221">
        <f>SUMIFS('Diags Raw Data'!$U$6:$U$4795,'Diags Raw Data'!$D$6:$D$4795,$A37,'Diags Raw Data'!$M$6:$M$4795,"New")+SUMIFS('Diags Raw Data'!$U$6:$U$4795,'Diags Raw Data'!$D$6:$D$4795,$A37,'Diags Raw Data'!$M$6:$M$4795,"Delta")</f>
        <v>0</v>
      </c>
      <c r="J37" s="221">
        <f>SUMIFS('Diags Raw Data'!$V$6:$V$4795,'Diags Raw Data'!$D$6:$D$4795,$A37,'Diags Raw Data'!$M$6:$M$4795,"New")+SUMIFS('Diags Raw Data'!$V$6:$V$4795,'Diags Raw Data'!$D$6:$D$4795,$A37,'Diags Raw Data'!$M$6:$M$4795,"Delta")</f>
        <v>0</v>
      </c>
      <c r="K37" s="221">
        <f>SUMIFS('Diags Raw Data'!$W$6:$W$4795,'Diags Raw Data'!$D$6:$D$4795,$A37,'Diags Raw Data'!$M$6:$M$4795,"New")+SUMIFS('Diags Raw Data'!$W$6:$W$4795,'Diags Raw Data'!$D$6:$D$4795,$A37,'Diags Raw Data'!$M$6:$M$4795,"Delta")</f>
        <v>0</v>
      </c>
      <c r="L37" s="222">
        <f t="shared" ref="L37" si="45">IF(NOT($C37=0), G37/$C37, "---")</f>
        <v>0</v>
      </c>
      <c r="M37" s="224" t="str">
        <f t="shared" ref="M37" si="46">IF(NOT($G37=0), (H37+I37)/$G37, "---")</f>
        <v>---</v>
      </c>
      <c r="N37" s="226">
        <f t="shared" ref="N37" si="47">IF(NOT($C37=0), (H37+I37)/$C37, "---")</f>
        <v>0</v>
      </c>
      <c r="O37" s="213">
        <f>SUMIFS('Diags Raw Data'!$Z$6:$Z$4795,'Diags Raw Data'!$D$6:$D$4795,$A37,'Diags Raw Data'!$M$6:$M$4795,"New")+SUMIFS('Diags Raw Data'!$Z$6:$Z$4795,'Diags Raw Data'!$D$6:$D$4795,$A37,'Diags Raw Data'!$M$6:$M$4795,"Delta")</f>
        <v>0</v>
      </c>
      <c r="P37" s="210">
        <f>SUMIFS('Diags Raw Data'!$AA$6:$AA$4795,'Diags Raw Data'!$D$6:$D$4795,$A37,'Diags Raw Data'!$M$6:$M$4795,"New")+SUMIFS('Diags Raw Data'!$AA$6:$AA$4795,'Diags Raw Data'!$D$6:$D$4795,$A37,'Diags Raw Data'!$M$6:$M$4795,"Delta")</f>
        <v>0</v>
      </c>
      <c r="Q37" s="210">
        <f>SUMIFS('Diags Raw Data'!$AB$6:$AB$4795,'Diags Raw Data'!$D$6:$D$4795,$A37,'Diags Raw Data'!$M$6:$M$4795,"New")+SUMIFS('Diags Raw Data'!$AB$6:$AB$4795,'Diags Raw Data'!$D$6:$D$4795,$A37,'Diags Raw Data'!$M$6:$M$4795,"Delta")</f>
        <v>0</v>
      </c>
      <c r="R37" s="210">
        <f>SUMIFS('Diags Raw Data'!$AC$6:$AC$4795,'Diags Raw Data'!$D$6:$D$4795,$A37,'Diags Raw Data'!$M$6:$M$4795,"New")+SUMIFS('Diags Raw Data'!$AC$6:$AC$4795,'Diags Raw Data'!$D$6:$D$4795,$A37,'Diags Raw Data'!$M$6:$M$4795,"Delta")</f>
        <v>0</v>
      </c>
      <c r="S37" s="210">
        <f>SUMIFS('Diags Raw Data'!$AD$6:$AD$4795,'Diags Raw Data'!$D$6:$D$4795,$A37,'Diags Raw Data'!$M$6:$M$4795,"New")+SUMIFS('Diags Raw Data'!$AD$6:$AD$4795,'Diags Raw Data'!$D$6:$D$4795,$A37,'Diags Raw Data'!$M$6:$M$4795,"Delta")</f>
        <v>0</v>
      </c>
      <c r="T37" s="211">
        <f t="shared" ref="T37" si="48">IF(NOT($B37=0), O37/$B37, "---")</f>
        <v>0</v>
      </c>
      <c r="U37" s="225" t="str">
        <f t="shared" ref="U37" si="49">IF(NOT($O37=0), (P37+Q37)/$O37, "---")</f>
        <v>---</v>
      </c>
      <c r="V37" s="241">
        <f t="shared" ref="V37" si="50">IF(NOT($B37=0), (P37+Q37)/$B37, "---")</f>
        <v>0</v>
      </c>
    </row>
    <row r="38" spans="1:22" ht="15" thickBot="1">
      <c r="A38" s="333" t="s">
        <v>1118</v>
      </c>
      <c r="B38" s="252">
        <f>SUMIFS('Diags Raw Data'!$L$6:$L$4795,'Diags Raw Data'!$D$6:$D$4795,$A38,'Diags Raw Data'!$M$6:$M$4795,"New")+SUMIFS('Diags Raw Data'!$L$6:$L$4795,'Diags Raw Data'!$D$6:$D$4795,$A38,'Diags Raw Data'!$M$6:$M$4795,"Delta")</f>
        <v>0</v>
      </c>
      <c r="C38" s="242">
        <f>SUMIFS('Diags Raw Data'!$R$6:$R$4795,'Diags Raw Data'!$D$6:$D$4795,$A38,'Diags Raw Data'!$M$6:$M$4795,"New")+SUMIFS('Diags Raw Data'!$R$6:$R$4795,'Diags Raw Data'!$D$6:$D$4795,$A38,'Diags Raw Data'!$M$6:$M$4795,"Delta")</f>
        <v>0</v>
      </c>
      <c r="D38" s="242">
        <f>SUMIFS('Diags Raw Data'!$K$6:$K$4795,'Diags Raw Data'!$D$6:$D$4795,$A38,'Diags Raw Data'!$M$6:$M$4795,"New")+SUMIFS('Diags Raw Data'!$K$6:$K$4795,'Diags Raw Data'!$D$6:$D$4795,$A38,'Diags Raw Data'!$M$6:$M$4795,"Delta")</f>
        <v>0</v>
      </c>
      <c r="E38" s="242">
        <f>SUMIFS('Diags Raw Data'!$O$6:$O$4795,'Diags Raw Data'!$D$6:$D$4795,$A38,'Diags Raw Data'!$M$6:$M$4795,"New")+SUMIFS('Diags Raw Data'!$O$6:$O$4795,'Diags Raw Data'!$D$6:$D$4795,$A38,'Diags Raw Data'!$M$6:$M$4795,"Delta")</f>
        <v>0</v>
      </c>
      <c r="F38" s="248" t="str">
        <f t="shared" ref="F38" si="51">IF(NOT($B38=0), E38/$B38, "---")</f>
        <v>---</v>
      </c>
      <c r="G38" s="220">
        <f>SUMIFS('Diags Raw Data'!$S$6:$S$4795,'Diags Raw Data'!$D$6:$D$4795,$A38,'Diags Raw Data'!$M$6:$M$4795,"New")+SUMIFS('Diags Raw Data'!$S$6:$S$4795,'Diags Raw Data'!$D$6:$D$4795,$A38,'Diags Raw Data'!$M$6:$M$4795,"Delta")</f>
        <v>0</v>
      </c>
      <c r="H38" s="221">
        <f>SUMIFS('Diags Raw Data'!$T$6:$T$4795,'Diags Raw Data'!$D$6:$D$4795,$A38,'Diags Raw Data'!$M$6:$M$4795,"New")+SUMIFS('Diags Raw Data'!$T$6:$T$4795,'Diags Raw Data'!$D$6:$D$4795,$A38,'Diags Raw Data'!$M$6:$M$4795,"Delta")</f>
        <v>0</v>
      </c>
      <c r="I38" s="221">
        <f>SUMIFS('Diags Raw Data'!$U$6:$U$4795,'Diags Raw Data'!$D$6:$D$4795,$A38,'Diags Raw Data'!$M$6:$M$4795,"New")+SUMIFS('Diags Raw Data'!$U$6:$U$4795,'Diags Raw Data'!$D$6:$D$4795,$A38,'Diags Raw Data'!$M$6:$M$4795,"Delta")</f>
        <v>0</v>
      </c>
      <c r="J38" s="221">
        <f>SUMIFS('Diags Raw Data'!$V$6:$V$4795,'Diags Raw Data'!$D$6:$D$4795,$A38,'Diags Raw Data'!$M$6:$M$4795,"New")+SUMIFS('Diags Raw Data'!$V$6:$V$4795,'Diags Raw Data'!$D$6:$D$4795,$A38,'Diags Raw Data'!$M$6:$M$4795,"Delta")</f>
        <v>0</v>
      </c>
      <c r="K38" s="221">
        <f>SUMIFS('Diags Raw Data'!$W$6:$W$4795,'Diags Raw Data'!$D$6:$D$4795,$A38,'Diags Raw Data'!$M$6:$M$4795,"New")+SUMIFS('Diags Raw Data'!$W$6:$W$4795,'Diags Raw Data'!$D$6:$D$4795,$A38,'Diags Raw Data'!$M$6:$M$4795,"Delta")</f>
        <v>0</v>
      </c>
      <c r="L38" s="222" t="str">
        <f t="shared" ref="L38" si="52">IF(NOT($C38=0), G38/$C38, "---")</f>
        <v>---</v>
      </c>
      <c r="M38" s="224" t="str">
        <f t="shared" ref="M38" si="53">IF(NOT($G38=0), (H38+I38)/$G38, "---")</f>
        <v>---</v>
      </c>
      <c r="N38" s="226" t="str">
        <f t="shared" ref="N38" si="54">IF(NOT($C38=0), (H38+I38)/$C38, "---")</f>
        <v>---</v>
      </c>
      <c r="O38" s="213">
        <f>SUMIFS('Diags Raw Data'!$Z$6:$Z$4795,'Diags Raw Data'!$D$6:$D$4795,$A38,'Diags Raw Data'!$M$6:$M$4795,"New")+SUMIFS('Diags Raw Data'!$Z$6:$Z$4795,'Diags Raw Data'!$D$6:$D$4795,$A38,'Diags Raw Data'!$M$6:$M$4795,"Delta")</f>
        <v>0</v>
      </c>
      <c r="P38" s="210">
        <f>SUMIFS('Diags Raw Data'!$AA$6:$AA$4795,'Diags Raw Data'!$D$6:$D$4795,$A38,'Diags Raw Data'!$M$6:$M$4795,"New")+SUMIFS('Diags Raw Data'!$AA$6:$AA$4795,'Diags Raw Data'!$D$6:$D$4795,$A38,'Diags Raw Data'!$M$6:$M$4795,"Delta")</f>
        <v>0</v>
      </c>
      <c r="Q38" s="210">
        <f>SUMIFS('Diags Raw Data'!$AB$6:$AB$4795,'Diags Raw Data'!$D$6:$D$4795,$A38,'Diags Raw Data'!$M$6:$M$4795,"New")+SUMIFS('Diags Raw Data'!$AB$6:$AB$4795,'Diags Raw Data'!$D$6:$D$4795,$A38,'Diags Raw Data'!$M$6:$M$4795,"Delta")</f>
        <v>0</v>
      </c>
      <c r="R38" s="210">
        <f>SUMIFS('Diags Raw Data'!$AC$6:$AC$4795,'Diags Raw Data'!$D$6:$D$4795,$A38,'Diags Raw Data'!$M$6:$M$4795,"New")+SUMIFS('Diags Raw Data'!$AC$6:$AC$4795,'Diags Raw Data'!$D$6:$D$4795,$A38,'Diags Raw Data'!$M$6:$M$4795,"Delta")</f>
        <v>0</v>
      </c>
      <c r="S38" s="210">
        <f>SUMIFS('Diags Raw Data'!$AD$6:$AD$4795,'Diags Raw Data'!$D$6:$D$4795,$A38,'Diags Raw Data'!$M$6:$M$4795,"New")+SUMIFS('Diags Raw Data'!$AD$6:$AD$4795,'Diags Raw Data'!$D$6:$D$4795,$A38,'Diags Raw Data'!$M$6:$M$4795,"Delta")</f>
        <v>0</v>
      </c>
      <c r="T38" s="211" t="str">
        <f t="shared" ref="T38" si="55">IF(NOT($B38=0), O38/$B38, "---")</f>
        <v>---</v>
      </c>
      <c r="U38" s="225" t="str">
        <f t="shared" ref="U38" si="56">IF(NOT($O38=0), (P38+Q38)/$O38, "---")</f>
        <v>---</v>
      </c>
      <c r="V38" s="241" t="str">
        <f t="shared" ref="V38" si="57">IF(NOT($B38=0), (P38+Q38)/$B38, "---")</f>
        <v>---</v>
      </c>
    </row>
    <row r="39" spans="1:22" ht="15" thickBot="1">
      <c r="A39" s="334" t="s">
        <v>848</v>
      </c>
      <c r="B39" s="252">
        <f>SUMIFS('Diags Raw Data'!$L$6:$L$4795,'Diags Raw Data'!$D$6:$D$4795,$A39,'Diags Raw Data'!$M$6:$M$4795,"New")+SUMIFS('Diags Raw Data'!$L$6:$L$4795,'Diags Raw Data'!$D$6:$D$4795,$A39,'Diags Raw Data'!$M$6:$M$4795,"Delta")</f>
        <v>0</v>
      </c>
      <c r="C39" s="242">
        <f>SUMIFS('Diags Raw Data'!$R$6:$R$4795,'Diags Raw Data'!$D$6:$D$4795,$A39,'Diags Raw Data'!$M$6:$M$4795,"New")+SUMIFS('Diags Raw Data'!$R$6:$R$4795,'Diags Raw Data'!$D$6:$D$4795,$A39,'Diags Raw Data'!$M$6:$M$4795,"Delta")</f>
        <v>0</v>
      </c>
      <c r="D39" s="242">
        <f>SUMIFS('Diags Raw Data'!$K$6:$K$4795,'Diags Raw Data'!$D$6:$D$4795,$A39,'Diags Raw Data'!$M$6:$M$4795,"New")+SUMIFS('Diags Raw Data'!$K$6:$K$4795,'Diags Raw Data'!$D$6:$D$4795,$A39,'Diags Raw Data'!$M$6:$M$4795,"Delta")</f>
        <v>0</v>
      </c>
      <c r="E39" s="242">
        <f>SUMIFS('Diags Raw Data'!$O$6:$O$4795,'Diags Raw Data'!$D$6:$D$4795,$A39,'Diags Raw Data'!$M$6:$M$4795,"New")+SUMIFS('Diags Raw Data'!$O$6:$O$4795,'Diags Raw Data'!$D$6:$D$4795,$A39,'Diags Raw Data'!$M$6:$M$4795,"Delta")</f>
        <v>0</v>
      </c>
      <c r="F39" s="248" t="str">
        <f t="shared" si="37"/>
        <v>---</v>
      </c>
      <c r="G39" s="220">
        <f>SUMIFS('Diags Raw Data'!$S$6:$S$4795,'Diags Raw Data'!$D$6:$D$4795,$A39,'Diags Raw Data'!$M$6:$M$4795,"New")+SUMIFS('Diags Raw Data'!$S$6:$S$4795,'Diags Raw Data'!$D$6:$D$4795,$A39,'Diags Raw Data'!$M$6:$M$4795,"Delta")</f>
        <v>0</v>
      </c>
      <c r="H39" s="221">
        <f>SUMIFS('Diags Raw Data'!$T$6:$T$4795,'Diags Raw Data'!$D$6:$D$4795,$A39,'Diags Raw Data'!$M$6:$M$4795,"New")+SUMIFS('Diags Raw Data'!$T$6:$T$4795,'Diags Raw Data'!$D$6:$D$4795,$A39,'Diags Raw Data'!$M$6:$M$4795,"Delta")</f>
        <v>0</v>
      </c>
      <c r="I39" s="221">
        <f>SUMIFS('Diags Raw Data'!$U$6:$U$4795,'Diags Raw Data'!$D$6:$D$4795,$A39,'Diags Raw Data'!$M$6:$M$4795,"New")+SUMIFS('Diags Raw Data'!$U$6:$U$4795,'Diags Raw Data'!$D$6:$D$4795,$A39,'Diags Raw Data'!$M$6:$M$4795,"Delta")</f>
        <v>0</v>
      </c>
      <c r="J39" s="221">
        <f>SUMIFS('Diags Raw Data'!$V$6:$V$4795,'Diags Raw Data'!$D$6:$D$4795,$A39,'Diags Raw Data'!$M$6:$M$4795,"New")+SUMIFS('Diags Raw Data'!$V$6:$V$4795,'Diags Raw Data'!$D$6:$D$4795,$A39,'Diags Raw Data'!$M$6:$M$4795,"Delta")</f>
        <v>0</v>
      </c>
      <c r="K39" s="221">
        <f>SUMIFS('Diags Raw Data'!$W$6:$W$4795,'Diags Raw Data'!$D$6:$D$4795,$A39,'Diags Raw Data'!$M$6:$M$4795,"New")+SUMIFS('Diags Raw Data'!$W$6:$W$4795,'Diags Raw Data'!$D$6:$D$4795,$A39,'Diags Raw Data'!$M$6:$M$4795,"Delta")</f>
        <v>0</v>
      </c>
      <c r="L39" s="222" t="str">
        <f t="shared" si="38"/>
        <v>---</v>
      </c>
      <c r="M39" s="224" t="str">
        <f t="shared" si="39"/>
        <v>---</v>
      </c>
      <c r="N39" s="226" t="str">
        <f t="shared" si="40"/>
        <v>---</v>
      </c>
      <c r="O39" s="213">
        <f>SUMIFS('Diags Raw Data'!$Z$6:$Z$4795,'Diags Raw Data'!$D$6:$D$4795,$A39,'Diags Raw Data'!$M$6:$M$4795,"New")+SUMIFS('Diags Raw Data'!$Z$6:$Z$4795,'Diags Raw Data'!$D$6:$D$4795,$A39,'Diags Raw Data'!$M$6:$M$4795,"Delta")</f>
        <v>0</v>
      </c>
      <c r="P39" s="210">
        <f>SUMIFS('Diags Raw Data'!$AA$6:$AA$4795,'Diags Raw Data'!$D$6:$D$4795,$A39,'Diags Raw Data'!$M$6:$M$4795,"New")+SUMIFS('Diags Raw Data'!$AA$6:$AA$4795,'Diags Raw Data'!$D$6:$D$4795,$A39,'Diags Raw Data'!$M$6:$M$4795,"Delta")</f>
        <v>0</v>
      </c>
      <c r="Q39" s="210">
        <f>SUMIFS('Diags Raw Data'!$AB$6:$AB$4795,'Diags Raw Data'!$D$6:$D$4795,$A39,'Diags Raw Data'!$M$6:$M$4795,"New")+SUMIFS('Diags Raw Data'!$AB$6:$AB$4795,'Diags Raw Data'!$D$6:$D$4795,$A39,'Diags Raw Data'!$M$6:$M$4795,"Delta")</f>
        <v>0</v>
      </c>
      <c r="R39" s="210">
        <f>SUMIFS('Diags Raw Data'!$AC$6:$AC$4795,'Diags Raw Data'!$D$6:$D$4795,$A39,'Diags Raw Data'!$M$6:$M$4795,"New")+SUMIFS('Diags Raw Data'!$AC$6:$AC$4795,'Diags Raw Data'!$D$6:$D$4795,$A39,'Diags Raw Data'!$M$6:$M$4795,"Delta")</f>
        <v>0</v>
      </c>
      <c r="S39" s="210">
        <f>SUMIFS('Diags Raw Data'!$AD$6:$AD$4795,'Diags Raw Data'!$D$6:$D$4795,$A39,'Diags Raw Data'!$M$6:$M$4795,"New")+SUMIFS('Diags Raw Data'!$AD$6:$AD$4795,'Diags Raw Data'!$D$6:$D$4795,$A39,'Diags Raw Data'!$M$6:$M$4795,"Delta")</f>
        <v>0</v>
      </c>
      <c r="T39" s="211" t="str">
        <f t="shared" si="41"/>
        <v>---</v>
      </c>
      <c r="U39" s="225" t="str">
        <f t="shared" si="42"/>
        <v>---</v>
      </c>
      <c r="V39" s="241" t="str">
        <f t="shared" si="43"/>
        <v>---</v>
      </c>
    </row>
    <row r="40" spans="1:22" ht="16.350000000000001" thickBot="1">
      <c r="A40" s="256" t="s">
        <v>1145</v>
      </c>
      <c r="B40" s="257">
        <f>SUM(B24:B39)</f>
        <v>330</v>
      </c>
      <c r="C40" s="258">
        <f>SUM(C24:C39)</f>
        <v>153</v>
      </c>
      <c r="D40" s="258">
        <f>SUM(D24:D39)</f>
        <v>151</v>
      </c>
      <c r="E40" s="258">
        <f>SUM(E24:E39)</f>
        <v>305</v>
      </c>
      <c r="F40" s="259" cm="1">
        <f t="array" ref="F40">SUMPRODUCT(--(ISNUMBER(SEARCH("New",'Diags Raw Data'!$M$6:$M$4795))),'Diags Raw Data'!$K$6:$K$4795,'Diags Raw Data'!$P$6:$P$4795)/D40+SUMPRODUCT(--(ISNUMBER(SEARCH("Delta",'Diags Raw Data'!$M$6:$M$4795))),'Diags Raw Data'!$K$6:$K$4795,'Diags Raw Data'!$P$6:$P$4795)/D40</f>
        <v>0.94701986754966894</v>
      </c>
      <c r="G40" s="260">
        <f>SUM(G24:G39)</f>
        <v>85</v>
      </c>
      <c r="H40" s="261">
        <f>SUM(H24:H39)</f>
        <v>84</v>
      </c>
      <c r="I40" s="262">
        <f>SUM(I24:I39)</f>
        <v>0</v>
      </c>
      <c r="J40" s="261">
        <f>SUM(J24:J39)</f>
        <v>1</v>
      </c>
      <c r="K40" s="262">
        <f>SUM(K24:K39)</f>
        <v>0</v>
      </c>
      <c r="L40" s="263">
        <f>IF(NOT($C40=0), G40/$C40, "---")</f>
        <v>0.55555555555555558</v>
      </c>
      <c r="M40" s="264">
        <f t="shared" ref="M40" si="58">IF(NOT($G40=0), (H40+I40)/$G40, "---")</f>
        <v>0.9882352941176471</v>
      </c>
      <c r="N40" s="265">
        <f>IF(NOT($C40=0), (H40+I40)/$C40, "---")</f>
        <v>0.5490196078431373</v>
      </c>
      <c r="O40" s="266">
        <f>SUM(O24:O39)</f>
        <v>0</v>
      </c>
      <c r="P40" s="267">
        <f>SUM(P24:P39)</f>
        <v>0</v>
      </c>
      <c r="Q40" s="268">
        <f>SUM(Q24:Q39)</f>
        <v>0</v>
      </c>
      <c r="R40" s="267">
        <f>SUM(R24:R39)</f>
        <v>0</v>
      </c>
      <c r="S40" s="268">
        <f>SUM(S24:S39)</f>
        <v>0</v>
      </c>
      <c r="T40" s="269">
        <f>IF(NOT($B40=0), O40/$B40, "---")</f>
        <v>0</v>
      </c>
      <c r="U40" s="270" t="str">
        <f t="shared" ref="U40" si="59">IF(NOT($O40=0), (P40+Q40)/$O40, "---")</f>
        <v>---</v>
      </c>
      <c r="V40" s="271">
        <f t="shared" ref="V40" si="60">IF(NOT($B40=0), (P40+Q40)/$B40, "---")</f>
        <v>0</v>
      </c>
    </row>
    <row r="41" spans="1:22" ht="15" thickBot="1">
      <c r="A41" s="247"/>
      <c r="B41" s="247"/>
      <c r="C41" s="247"/>
      <c r="D41" s="247"/>
      <c r="E41" s="247"/>
      <c r="F41" s="247"/>
      <c r="G41" s="247"/>
      <c r="H41" s="247"/>
      <c r="I41" s="247"/>
      <c r="J41" s="247"/>
      <c r="K41" s="247"/>
      <c r="L41" s="247"/>
      <c r="M41" s="247"/>
      <c r="N41" s="247"/>
      <c r="O41" s="247"/>
      <c r="P41" s="247"/>
      <c r="Q41" s="247"/>
      <c r="R41" s="247"/>
      <c r="S41" s="247"/>
      <c r="T41" s="247"/>
      <c r="U41" s="247"/>
      <c r="V41" s="247"/>
    </row>
    <row r="42" spans="1:22" ht="15" thickBot="1">
      <c r="A42" s="217" t="s">
        <v>33</v>
      </c>
      <c r="B42" s="759" t="s">
        <v>166</v>
      </c>
      <c r="C42" s="759"/>
      <c r="D42" s="759"/>
      <c r="E42" s="759"/>
      <c r="F42" s="759"/>
      <c r="G42" s="760" t="s">
        <v>177</v>
      </c>
      <c r="H42" s="761"/>
      <c r="I42" s="761"/>
      <c r="J42" s="761"/>
      <c r="K42" s="761"/>
      <c r="L42" s="761"/>
      <c r="M42" s="761"/>
      <c r="N42" s="762"/>
      <c r="O42" s="763" t="s">
        <v>144</v>
      </c>
      <c r="P42" s="764"/>
      <c r="Q42" s="764"/>
      <c r="R42" s="764"/>
      <c r="S42" s="764"/>
      <c r="T42" s="764"/>
      <c r="U42" s="764"/>
      <c r="V42" s="765"/>
    </row>
    <row r="43" spans="1:22" s="251" customFormat="1" ht="15" thickBot="1">
      <c r="A43" s="255" t="s">
        <v>88</v>
      </c>
      <c r="B43" s="311" t="s">
        <v>167</v>
      </c>
      <c r="C43" s="312" t="s">
        <v>128</v>
      </c>
      <c r="D43" s="313" t="s">
        <v>105</v>
      </c>
      <c r="E43" s="313" t="s">
        <v>173</v>
      </c>
      <c r="F43" s="314" t="s">
        <v>175</v>
      </c>
      <c r="G43" s="315" t="s">
        <v>132</v>
      </c>
      <c r="H43" s="316" t="s">
        <v>30</v>
      </c>
      <c r="I43" s="316" t="s">
        <v>135</v>
      </c>
      <c r="J43" s="316" t="s">
        <v>36</v>
      </c>
      <c r="K43" s="316" t="s">
        <v>138</v>
      </c>
      <c r="L43" s="316" t="s">
        <v>184</v>
      </c>
      <c r="M43" s="316" t="s">
        <v>140</v>
      </c>
      <c r="N43" s="317" t="s">
        <v>187</v>
      </c>
      <c r="O43" s="318" t="s">
        <v>132</v>
      </c>
      <c r="P43" s="319" t="s">
        <v>30</v>
      </c>
      <c r="Q43" s="319" t="s">
        <v>135</v>
      </c>
      <c r="R43" s="319" t="s">
        <v>36</v>
      </c>
      <c r="S43" s="319" t="s">
        <v>138</v>
      </c>
      <c r="T43" s="319" t="s">
        <v>184</v>
      </c>
      <c r="U43" s="319" t="s">
        <v>140</v>
      </c>
      <c r="V43" s="320" t="s">
        <v>187</v>
      </c>
    </row>
    <row r="44" spans="1:22">
      <c r="A44" s="333" t="s">
        <v>786</v>
      </c>
      <c r="B44" s="252">
        <f>SUMIFS('Diags Raw Data'!$L$6:$L$4795,'Diags Raw Data'!$D$6:$D$4795,$A44,'Diags Raw Data'!$M$6:$M$4795,"Legacy")</f>
        <v>0</v>
      </c>
      <c r="C44" s="242">
        <f>SUMIFS('Diags Raw Data'!$R$6:$R$4795,'Diags Raw Data'!$D$6:$D$4795,$A44,'Diags Raw Data'!$M$6:$M$4795,"Legacy")</f>
        <v>0</v>
      </c>
      <c r="D44" s="242">
        <f>SUMIFS('Diags Raw Data'!$K$6:$K$4795,'Diags Raw Data'!$D$6:$D$4795,$A44,'Diags Raw Data'!$M$6:$M$4795,"Legacy")</f>
        <v>0</v>
      </c>
      <c r="E44" s="242">
        <f>SUMIFS('Diags Raw Data'!$O$6:$O$4795,'Diags Raw Data'!$D$6:$D$4795,$A44,'Diags Raw Data'!$M$6:$M$4795,"Legacy")</f>
        <v>0</v>
      </c>
      <c r="F44" s="248" t="str">
        <f>IF(NOT($B44=0), E44/$B44, "---")</f>
        <v>---</v>
      </c>
      <c r="G44" s="220">
        <f>SUMIFS('Diags Raw Data'!$S$6:$S$4795,'Diags Raw Data'!$D$6:$D$4795,$A44,'Diags Raw Data'!$M$6:$M$4795,"Legacy")</f>
        <v>0</v>
      </c>
      <c r="H44" s="221">
        <f>SUMIFS('Diags Raw Data'!$T$6:$T$4795,'Diags Raw Data'!$D$6:$D$4795,$A44,'Diags Raw Data'!$M$6:$M$4795,"Legacy")</f>
        <v>0</v>
      </c>
      <c r="I44" s="223">
        <f>SUMIFS('Diags Raw Data'!$U$6:$U$4795,'Diags Raw Data'!$D$6:$D$4795,$A44,'Diags Raw Data'!$M$6:$M$4795,"Legacy")</f>
        <v>0</v>
      </c>
      <c r="J44" s="221">
        <f>SUMIFS('Diags Raw Data'!$V$6:$V$4795,'Diags Raw Data'!$D$6:$D$4795,$A44,'Diags Raw Data'!$M$6:$M$4795,"Legacy")</f>
        <v>0</v>
      </c>
      <c r="K44" s="223">
        <f>SUMIFS('Diags Raw Data'!$W$6:$W$4795,'Diags Raw Data'!$D$6:$D$4795,$A44,'Diags Raw Data'!$M$6:$M$4795,"Legacy")</f>
        <v>0</v>
      </c>
      <c r="L44" s="222" t="str">
        <f>IF(NOT($C44=0), G44/$C44, "---")</f>
        <v>---</v>
      </c>
      <c r="M44" s="224" t="str">
        <f>IF(NOT($G44=0), (H44+I44)/$G44, "---")</f>
        <v>---</v>
      </c>
      <c r="N44" s="226" t="str">
        <f>IF(NOT($C44=0), (H44+I44)/$C44, "---")</f>
        <v>---</v>
      </c>
      <c r="O44" s="213">
        <f>SUMIFS('Diags Raw Data'!$Z$6:$Z$4795,'Diags Raw Data'!$D$6:$D$4795,$A44,'Diags Raw Data'!$M$6:$M$4795,"Legacy")</f>
        <v>0</v>
      </c>
      <c r="P44" s="210">
        <f>SUMIFS('Diags Raw Data'!$AA$6:$AA$4795,'Diags Raw Data'!$D$6:$D$4795,$A44,'Diags Raw Data'!$M$6:$M$4795,"Legacy")</f>
        <v>0</v>
      </c>
      <c r="Q44" s="212">
        <f>SUMIFS('Diags Raw Data'!$AB$6:$AB$4795,'Diags Raw Data'!$D$6:$D$4795,$A44,'Diags Raw Data'!$M$6:$M$4795,"Legacy")</f>
        <v>0</v>
      </c>
      <c r="R44" s="210">
        <f>SUMIFS('Diags Raw Data'!$AC$6:$AC$4795,'Diags Raw Data'!$D$6:$D$4795,$A44,'Diags Raw Data'!$M$6:$M$4795,"Legacy")</f>
        <v>0</v>
      </c>
      <c r="S44" s="212">
        <f>SUMIFS('Diags Raw Data'!$AD$6:$AD$4795,'Diags Raw Data'!$D$6:$D$4795,$A44,'Diags Raw Data'!$M$6:$M$4795,"Legacy")</f>
        <v>0</v>
      </c>
      <c r="T44" s="211" t="str">
        <f>IF(NOT($B44=0), O44/$B44, "---")</f>
        <v>---</v>
      </c>
      <c r="U44" s="225" t="str">
        <f>IF(NOT($O44=0), (P44+Q44)/$O44, "---")</f>
        <v>---</v>
      </c>
      <c r="V44" s="241" t="str">
        <f>IF(NOT($B44=0), (P44+Q44)/$B44, "---")</f>
        <v>---</v>
      </c>
    </row>
    <row r="45" spans="1:22">
      <c r="A45" s="333" t="s">
        <v>1071</v>
      </c>
      <c r="B45" s="253">
        <f>SUMIFS('Diags Raw Data'!$L$6:$L$4795,'Diags Raw Data'!$D$6:$D$4795,$A45,'Diags Raw Data'!$M$6:$M$4795,"Legacy")</f>
        <v>6</v>
      </c>
      <c r="C45" s="243">
        <f>SUMIFS('Diags Raw Data'!$R$6:$R$4795,'Diags Raw Data'!$D$6:$D$4795,$A45,'Diags Raw Data'!$M$6:$M$4795,"Legacy")</f>
        <v>0</v>
      </c>
      <c r="D45" s="243">
        <f>SUMIFS('Diags Raw Data'!$K$6:$K$4795,'Diags Raw Data'!$D$6:$D$4795,$A45,'Diags Raw Data'!$M$6:$M$4795,"Legacy")</f>
        <v>3</v>
      </c>
      <c r="E45" s="243">
        <f>SUMIFS('Diags Raw Data'!$O$6:$O$4795,'Diags Raw Data'!$D$6:$D$4795,$A45,'Diags Raw Data'!$M$6:$M$4795,"Legacy")</f>
        <v>6</v>
      </c>
      <c r="F45" s="249">
        <f t="shared" ref="F45:F59" si="61">IF(NOT($B45=0), E45/$B45, "---")</f>
        <v>1</v>
      </c>
      <c r="G45" s="231">
        <f>SUMIFS('Diags Raw Data'!$S$6:$S$4795,'Diags Raw Data'!$D$6:$D$4795,$A45,'Diags Raw Data'!$M$6:$M$4795,"Legacy")</f>
        <v>0</v>
      </c>
      <c r="H45" s="227">
        <f>SUMIFS('Diags Raw Data'!$T$6:$T$4795,'Diags Raw Data'!$D$6:$D$4795,$A45,'Diags Raw Data'!$M$6:$M$4795,"Legacy")</f>
        <v>0</v>
      </c>
      <c r="I45" s="228">
        <f>SUMIFS('Diags Raw Data'!$U$6:$U$4795,'Diags Raw Data'!$D$6:$D$4795,$A45,'Diags Raw Data'!$M$6:$M$4795,"Legacy")</f>
        <v>0</v>
      </c>
      <c r="J45" s="227">
        <f>SUMIFS('Diags Raw Data'!$V$6:$V$4795,'Diags Raw Data'!$D$6:$D$4795,$A45,'Diags Raw Data'!$M$6:$M$4795,"Legacy")</f>
        <v>0</v>
      </c>
      <c r="K45" s="228">
        <f>SUMIFS('Diags Raw Data'!$W$6:$W$4795,'Diags Raw Data'!$D$6:$D$4795,$A45,'Diags Raw Data'!$M$6:$M$4795,"Legacy")</f>
        <v>0</v>
      </c>
      <c r="L45" s="244" t="str">
        <f t="shared" ref="L45:L59" si="62">IF(NOT($C45=0), G45/$C45, "---")</f>
        <v>---</v>
      </c>
      <c r="M45" s="229" t="str">
        <f t="shared" ref="M45:M60" si="63">IF(NOT($G45=0), (H45+I45)/$G45, "---")</f>
        <v>---</v>
      </c>
      <c r="N45" s="238" t="str">
        <f t="shared" ref="N45:N60" si="64">IF(NOT($C45=0), (H45+I45)/$C45, "---")</f>
        <v>---</v>
      </c>
      <c r="O45" s="214">
        <f>SUMIFS('Diags Raw Data'!$Z$6:$Z$4795,'Diags Raw Data'!$D$6:$D$4795,$A45,'Diags Raw Data'!$M$6:$M$4795,"Legacy")</f>
        <v>0</v>
      </c>
      <c r="P45" s="204">
        <f>SUMIFS('Diags Raw Data'!$AA$6:$AA$4795,'Diags Raw Data'!$D$6:$D$4795,$A45,'Diags Raw Data'!$M$6:$M$4795,"Legacy")</f>
        <v>0</v>
      </c>
      <c r="Q45" s="206">
        <f>SUMIFS('Diags Raw Data'!$AB$6:$AB$4795,'Diags Raw Data'!$D$6:$D$4795,$A45,'Diags Raw Data'!$M$6:$M$4795,"Legacy")</f>
        <v>0</v>
      </c>
      <c r="R45" s="204">
        <f>SUMIFS('Diags Raw Data'!$AC$6:$AC$4795,'Diags Raw Data'!$D$6:$D$4795,$A45,'Diags Raw Data'!$M$6:$M$4795,"Legacy")</f>
        <v>0</v>
      </c>
      <c r="S45" s="206">
        <f>SUMIFS('Diags Raw Data'!$AD$6:$AD$4795,'Diags Raw Data'!$D$6:$D$4795,$A45,'Diags Raw Data'!$M$6:$M$4795,"Legacy")</f>
        <v>0</v>
      </c>
      <c r="T45" s="205">
        <f t="shared" ref="T45:T59" si="65">IF(NOT($B45=0), O45/$B45, "---")</f>
        <v>0</v>
      </c>
      <c r="U45" s="230" t="str">
        <f t="shared" ref="U45:U60" si="66">IF(NOT($O45=0), (P45+Q45)/$O45, "---")</f>
        <v>---</v>
      </c>
      <c r="V45" s="232">
        <f t="shared" ref="V45:V59" si="67">IF(NOT($B45=0), (P45+Q45)/$B45, "---")</f>
        <v>0</v>
      </c>
    </row>
    <row r="46" spans="1:22">
      <c r="A46" s="333" t="s">
        <v>264</v>
      </c>
      <c r="B46" s="253">
        <f>SUMIFS('Diags Raw Data'!$L$6:$L$4795,'Diags Raw Data'!$D$6:$D$4795,$A46,'Diags Raw Data'!$M$6:$M$4795,"Legacy")</f>
        <v>355</v>
      </c>
      <c r="C46" s="243">
        <f>SUMIFS('Diags Raw Data'!$R$6:$R$4795,'Diags Raw Data'!$D$6:$D$4795,$A46,'Diags Raw Data'!$M$6:$M$4795,"Legacy")</f>
        <v>344</v>
      </c>
      <c r="D46" s="243">
        <f>SUMIFS('Diags Raw Data'!$K$6:$K$4795,'Diags Raw Data'!$D$6:$D$4795,$A46,'Diags Raw Data'!$M$6:$M$4795,"Legacy")</f>
        <v>20</v>
      </c>
      <c r="E46" s="243">
        <f>SUMIFS('Diags Raw Data'!$O$6:$O$4795,'Diags Raw Data'!$D$6:$D$4795,$A46,'Diags Raw Data'!$M$6:$M$4795,"Legacy")</f>
        <v>355</v>
      </c>
      <c r="F46" s="249">
        <f t="shared" si="61"/>
        <v>1</v>
      </c>
      <c r="G46" s="231">
        <f>SUMIFS('Diags Raw Data'!$S$6:$S$4795,'Diags Raw Data'!$D$6:$D$4795,$A46,'Diags Raw Data'!$M$6:$M$4795,"Legacy")</f>
        <v>343</v>
      </c>
      <c r="H46" s="227">
        <f>SUMIFS('Diags Raw Data'!$T$6:$T$4795,'Diags Raw Data'!$D$6:$D$4795,$A46,'Diags Raw Data'!$M$6:$M$4795,"Legacy")</f>
        <v>322</v>
      </c>
      <c r="I46" s="228">
        <f>SUMIFS('Diags Raw Data'!$U$6:$U$4795,'Diags Raw Data'!$D$6:$D$4795,$A46,'Diags Raw Data'!$M$6:$M$4795,"Legacy")</f>
        <v>0</v>
      </c>
      <c r="J46" s="227">
        <f>SUMIFS('Diags Raw Data'!$V$6:$V$4795,'Diags Raw Data'!$D$6:$D$4795,$A46,'Diags Raw Data'!$M$6:$M$4795,"Legacy")</f>
        <v>18</v>
      </c>
      <c r="K46" s="228">
        <f>SUMIFS('Diags Raw Data'!$W$6:$W$4795,'Diags Raw Data'!$D$6:$D$4795,$A46,'Diags Raw Data'!$M$6:$M$4795,"Legacy")</f>
        <v>0</v>
      </c>
      <c r="L46" s="244">
        <f t="shared" si="62"/>
        <v>0.99709302325581395</v>
      </c>
      <c r="M46" s="229">
        <f t="shared" si="63"/>
        <v>0.93877551020408168</v>
      </c>
      <c r="N46" s="238">
        <f t="shared" si="64"/>
        <v>0.93604651162790697</v>
      </c>
      <c r="O46" s="214">
        <f>SUMIFS('Diags Raw Data'!$Z$6:$Z$4795,'Diags Raw Data'!$D$6:$D$4795,$A46,'Diags Raw Data'!$M$6:$M$4795,"Legacy")</f>
        <v>0</v>
      </c>
      <c r="P46" s="204">
        <f>SUMIFS('Diags Raw Data'!$AA$6:$AA$4795,'Diags Raw Data'!$D$6:$D$4795,$A46,'Diags Raw Data'!$M$6:$M$4795,"Legacy")</f>
        <v>0</v>
      </c>
      <c r="Q46" s="206">
        <f>SUMIFS('Diags Raw Data'!$AB$6:$AB$4795,'Diags Raw Data'!$D$6:$D$4795,$A46,'Diags Raw Data'!$M$6:$M$4795,"Legacy")</f>
        <v>0</v>
      </c>
      <c r="R46" s="204">
        <f>SUMIFS('Diags Raw Data'!$AC$6:$AC$4795,'Diags Raw Data'!$D$6:$D$4795,$A46,'Diags Raw Data'!$M$6:$M$4795,"Legacy")</f>
        <v>0</v>
      </c>
      <c r="S46" s="206">
        <f>SUMIFS('Diags Raw Data'!$AD$6:$AD$4795,'Diags Raw Data'!$D$6:$D$4795,$A46,'Diags Raw Data'!$M$6:$M$4795,"Legacy")</f>
        <v>0</v>
      </c>
      <c r="T46" s="205">
        <f t="shared" si="65"/>
        <v>0</v>
      </c>
      <c r="U46" s="230" t="str">
        <f t="shared" si="66"/>
        <v>---</v>
      </c>
      <c r="V46" s="232">
        <f t="shared" si="67"/>
        <v>0</v>
      </c>
    </row>
    <row r="47" spans="1:22">
      <c r="A47" s="333" t="s">
        <v>257</v>
      </c>
      <c r="B47" s="253">
        <f>SUMIFS('Diags Raw Data'!$L$6:$L$4795,'Diags Raw Data'!$D$6:$D$4795,$A47,'Diags Raw Data'!$M$6:$M$4795,"Legacy")</f>
        <v>1329</v>
      </c>
      <c r="C47" s="243">
        <f>SUMIFS('Diags Raw Data'!$R$6:$R$4795,'Diags Raw Data'!$D$6:$D$4795,$A47,'Diags Raw Data'!$M$6:$M$4795,"Legacy")</f>
        <v>1317</v>
      </c>
      <c r="D47" s="243">
        <f>SUMIFS('Diags Raw Data'!$K$6:$K$4795,'Diags Raw Data'!$D$6:$D$4795,$A47,'Diags Raw Data'!$M$6:$M$4795,"Legacy")</f>
        <v>60</v>
      </c>
      <c r="E47" s="243">
        <f>SUMIFS('Diags Raw Data'!$O$6:$O$4795,'Diags Raw Data'!$D$6:$D$4795,$A47,'Diags Raw Data'!$M$6:$M$4795,"Legacy")</f>
        <v>1329</v>
      </c>
      <c r="F47" s="249">
        <f t="shared" si="61"/>
        <v>1</v>
      </c>
      <c r="G47" s="231">
        <f>SUMIFS('Diags Raw Data'!$S$6:$S$4795,'Diags Raw Data'!$D$6:$D$4795,$A47,'Diags Raw Data'!$M$6:$M$4795,"Legacy")</f>
        <v>1210</v>
      </c>
      <c r="H47" s="227">
        <f>SUMIFS('Diags Raw Data'!$T$6:$T$4795,'Diags Raw Data'!$D$6:$D$4795,$A47,'Diags Raw Data'!$M$6:$M$4795,"Legacy")</f>
        <v>1151</v>
      </c>
      <c r="I47" s="228">
        <f>SUMIFS('Diags Raw Data'!$U$6:$U$4795,'Diags Raw Data'!$D$6:$D$4795,$A47,'Diags Raw Data'!$M$6:$M$4795,"Legacy")</f>
        <v>0</v>
      </c>
      <c r="J47" s="227">
        <f>SUMIFS('Diags Raw Data'!$V$6:$V$4795,'Diags Raw Data'!$D$6:$D$4795,$A47,'Diags Raw Data'!$M$6:$M$4795,"Legacy")</f>
        <v>47</v>
      </c>
      <c r="K47" s="228">
        <f>SUMIFS('Diags Raw Data'!$W$6:$W$4795,'Diags Raw Data'!$D$6:$D$4795,$A47,'Diags Raw Data'!$M$6:$M$4795,"Legacy")</f>
        <v>12</v>
      </c>
      <c r="L47" s="244">
        <f t="shared" si="62"/>
        <v>0.91875474563401671</v>
      </c>
      <c r="M47" s="229">
        <f t="shared" si="63"/>
        <v>0.95123966942148763</v>
      </c>
      <c r="N47" s="238">
        <f t="shared" si="64"/>
        <v>0.87395596051632496</v>
      </c>
      <c r="O47" s="214">
        <f>SUMIFS('Diags Raw Data'!$Z$6:$Z$4795,'Diags Raw Data'!$D$6:$D$4795,$A47,'Diags Raw Data'!$M$6:$M$4795,"Legacy")</f>
        <v>0</v>
      </c>
      <c r="P47" s="204">
        <f>SUMIFS('Diags Raw Data'!$AA$6:$AA$4795,'Diags Raw Data'!$D$6:$D$4795,$A47,'Diags Raw Data'!$M$6:$M$4795,"Legacy")</f>
        <v>0</v>
      </c>
      <c r="Q47" s="206">
        <f>SUMIFS('Diags Raw Data'!$AB$6:$AB$4795,'Diags Raw Data'!$D$6:$D$4795,$A47,'Diags Raw Data'!$M$6:$M$4795,"Legacy")</f>
        <v>0</v>
      </c>
      <c r="R47" s="204">
        <f>SUMIFS('Diags Raw Data'!$AC$6:$AC$4795,'Diags Raw Data'!$D$6:$D$4795,$A47,'Diags Raw Data'!$M$6:$M$4795,"Legacy")</f>
        <v>0</v>
      </c>
      <c r="S47" s="206">
        <f>SUMIFS('Diags Raw Data'!$AD$6:$AD$4795,'Diags Raw Data'!$D$6:$D$4795,$A47,'Diags Raw Data'!$M$6:$M$4795,"Legacy")</f>
        <v>0</v>
      </c>
      <c r="T47" s="205">
        <f t="shared" si="65"/>
        <v>0</v>
      </c>
      <c r="U47" s="230" t="str">
        <f t="shared" si="66"/>
        <v>---</v>
      </c>
      <c r="V47" s="232">
        <f t="shared" si="67"/>
        <v>0</v>
      </c>
    </row>
    <row r="48" spans="1:22">
      <c r="A48" s="333" t="s">
        <v>1092</v>
      </c>
      <c r="B48" s="253">
        <f>SUMIFS('Diags Raw Data'!$L$6:$L$4795,'Diags Raw Data'!$D$6:$D$4795,$A48,'Diags Raw Data'!$M$6:$M$4795,"Legacy")</f>
        <v>9</v>
      </c>
      <c r="C48" s="243">
        <f>SUMIFS('Diags Raw Data'!$R$6:$R$4795,'Diags Raw Data'!$D$6:$D$4795,$A48,'Diags Raw Data'!$M$6:$M$4795,"Legacy")</f>
        <v>4</v>
      </c>
      <c r="D48" s="243">
        <f>SUMIFS('Diags Raw Data'!$K$6:$K$4795,'Diags Raw Data'!$D$6:$D$4795,$A48,'Diags Raw Data'!$M$6:$M$4795,"Legacy")</f>
        <v>5</v>
      </c>
      <c r="E48" s="243">
        <f>SUMIFS('Diags Raw Data'!$O$6:$O$4795,'Diags Raw Data'!$D$6:$D$4795,$A48,'Diags Raw Data'!$M$6:$M$4795,"Legacy")</f>
        <v>9</v>
      </c>
      <c r="F48" s="249">
        <f t="shared" si="61"/>
        <v>1</v>
      </c>
      <c r="G48" s="231">
        <f>SUMIFS('Diags Raw Data'!$S$6:$S$4795,'Diags Raw Data'!$D$6:$D$4795,$A48,'Diags Raw Data'!$M$6:$M$4795,"Legacy")</f>
        <v>0</v>
      </c>
      <c r="H48" s="227">
        <f>SUMIFS('Diags Raw Data'!$T$6:$T$4795,'Diags Raw Data'!$D$6:$D$4795,$A48,'Diags Raw Data'!$M$6:$M$4795,"Legacy")</f>
        <v>0</v>
      </c>
      <c r="I48" s="228">
        <f>SUMIFS('Diags Raw Data'!$U$6:$U$4795,'Diags Raw Data'!$D$6:$D$4795,$A48,'Diags Raw Data'!$M$6:$M$4795,"Legacy")</f>
        <v>0</v>
      </c>
      <c r="J48" s="227">
        <f>SUMIFS('Diags Raw Data'!$V$6:$V$4795,'Diags Raw Data'!$D$6:$D$4795,$A48,'Diags Raw Data'!$M$6:$M$4795,"Legacy")</f>
        <v>0</v>
      </c>
      <c r="K48" s="228">
        <f>SUMIFS('Diags Raw Data'!$W$6:$W$4795,'Diags Raw Data'!$D$6:$D$4795,$A48,'Diags Raw Data'!$M$6:$M$4795,"Legacy")</f>
        <v>0</v>
      </c>
      <c r="L48" s="244">
        <f t="shared" si="62"/>
        <v>0</v>
      </c>
      <c r="M48" s="229" t="str">
        <f t="shared" si="63"/>
        <v>---</v>
      </c>
      <c r="N48" s="238">
        <f t="shared" si="64"/>
        <v>0</v>
      </c>
      <c r="O48" s="214">
        <f>SUMIFS('Diags Raw Data'!$Z$6:$Z$4795,'Diags Raw Data'!$D$6:$D$4795,$A48,'Diags Raw Data'!$M$6:$M$4795,"Legacy")</f>
        <v>0</v>
      </c>
      <c r="P48" s="204">
        <f>SUMIFS('Diags Raw Data'!$AA$6:$AA$4795,'Diags Raw Data'!$D$6:$D$4795,$A48,'Diags Raw Data'!$M$6:$M$4795,"Legacy")</f>
        <v>0</v>
      </c>
      <c r="Q48" s="206">
        <f>SUMIFS('Diags Raw Data'!$AB$6:$AB$4795,'Diags Raw Data'!$D$6:$D$4795,$A48,'Diags Raw Data'!$M$6:$M$4795,"Legacy")</f>
        <v>0</v>
      </c>
      <c r="R48" s="204">
        <f>SUMIFS('Diags Raw Data'!$AC$6:$AC$4795,'Diags Raw Data'!$D$6:$D$4795,$A48,'Diags Raw Data'!$M$6:$M$4795,"Legacy")</f>
        <v>0</v>
      </c>
      <c r="S48" s="206">
        <f>SUMIFS('Diags Raw Data'!$AD$6:$AD$4795,'Diags Raw Data'!$D$6:$D$4795,$A48,'Diags Raw Data'!$M$6:$M$4795,"Legacy")</f>
        <v>0</v>
      </c>
      <c r="T48" s="205">
        <f t="shared" si="65"/>
        <v>0</v>
      </c>
      <c r="U48" s="230" t="str">
        <f t="shared" si="66"/>
        <v>---</v>
      </c>
      <c r="V48" s="232">
        <f t="shared" si="67"/>
        <v>0</v>
      </c>
    </row>
    <row r="49" spans="1:22">
      <c r="A49" s="333" t="s">
        <v>1081</v>
      </c>
      <c r="B49" s="253">
        <f>SUMIFS('Diags Raw Data'!$L$6:$L$4795,'Diags Raw Data'!$D$6:$D$4795,$A49,'Diags Raw Data'!$M$6:$M$4795,"Legacy")</f>
        <v>12</v>
      </c>
      <c r="C49" s="243">
        <f>SUMIFS('Diags Raw Data'!$R$6:$R$4795,'Diags Raw Data'!$D$6:$D$4795,$A49,'Diags Raw Data'!$M$6:$M$4795,"Legacy")</f>
        <v>3</v>
      </c>
      <c r="D49" s="243">
        <f>SUMIFS('Diags Raw Data'!$K$6:$K$4795,'Diags Raw Data'!$D$6:$D$4795,$A49,'Diags Raw Data'!$M$6:$M$4795,"Legacy")</f>
        <v>3</v>
      </c>
      <c r="E49" s="243">
        <f>SUMIFS('Diags Raw Data'!$O$6:$O$4795,'Diags Raw Data'!$D$6:$D$4795,$A49,'Diags Raw Data'!$M$6:$M$4795,"Legacy")</f>
        <v>12</v>
      </c>
      <c r="F49" s="249">
        <f t="shared" si="61"/>
        <v>1</v>
      </c>
      <c r="G49" s="231">
        <f>SUMIFS('Diags Raw Data'!$S$6:$S$4795,'Diags Raw Data'!$D$6:$D$4795,$A49,'Diags Raw Data'!$M$6:$M$4795,"Legacy")</f>
        <v>3</v>
      </c>
      <c r="H49" s="227">
        <f>SUMIFS('Diags Raw Data'!$T$6:$T$4795,'Diags Raw Data'!$D$6:$D$4795,$A49,'Diags Raw Data'!$M$6:$M$4795,"Legacy")</f>
        <v>1</v>
      </c>
      <c r="I49" s="228">
        <f>SUMIFS('Diags Raw Data'!$U$6:$U$4795,'Diags Raw Data'!$D$6:$D$4795,$A49,'Diags Raw Data'!$M$6:$M$4795,"Legacy")</f>
        <v>0</v>
      </c>
      <c r="J49" s="227">
        <f>SUMIFS('Diags Raw Data'!$V$6:$V$4795,'Diags Raw Data'!$D$6:$D$4795,$A49,'Diags Raw Data'!$M$6:$M$4795,"Legacy")</f>
        <v>2</v>
      </c>
      <c r="K49" s="228">
        <f>SUMIFS('Diags Raw Data'!$W$6:$W$4795,'Diags Raw Data'!$D$6:$D$4795,$A49,'Diags Raw Data'!$M$6:$M$4795,"Legacy")</f>
        <v>0</v>
      </c>
      <c r="L49" s="244">
        <f t="shared" si="62"/>
        <v>1</v>
      </c>
      <c r="M49" s="229">
        <f t="shared" si="63"/>
        <v>0.33333333333333331</v>
      </c>
      <c r="N49" s="238">
        <f t="shared" si="64"/>
        <v>0.33333333333333331</v>
      </c>
      <c r="O49" s="214">
        <f>SUMIFS('Diags Raw Data'!$Z$6:$Z$4795,'Diags Raw Data'!$D$6:$D$4795,$A49,'Diags Raw Data'!$M$6:$M$4795,"Legacy")</f>
        <v>0</v>
      </c>
      <c r="P49" s="204">
        <f>SUMIFS('Diags Raw Data'!$AA$6:$AA$4795,'Diags Raw Data'!$D$6:$D$4795,$A49,'Diags Raw Data'!$M$6:$M$4795,"Legacy")</f>
        <v>0</v>
      </c>
      <c r="Q49" s="206">
        <f>SUMIFS('Diags Raw Data'!$AB$6:$AB$4795,'Diags Raw Data'!$D$6:$D$4795,$A49,'Diags Raw Data'!$M$6:$M$4795,"Legacy")</f>
        <v>0</v>
      </c>
      <c r="R49" s="204">
        <f>SUMIFS('Diags Raw Data'!$AC$6:$AC$4795,'Diags Raw Data'!$D$6:$D$4795,$A49,'Diags Raw Data'!$M$6:$M$4795,"Legacy")</f>
        <v>0</v>
      </c>
      <c r="S49" s="206">
        <f>SUMIFS('Diags Raw Data'!$AD$6:$AD$4795,'Diags Raw Data'!$D$6:$D$4795,$A49,'Diags Raw Data'!$M$6:$M$4795,"Legacy")</f>
        <v>0</v>
      </c>
      <c r="T49" s="205">
        <f t="shared" si="65"/>
        <v>0</v>
      </c>
      <c r="U49" s="230" t="str">
        <f t="shared" si="66"/>
        <v>---</v>
      </c>
      <c r="V49" s="232">
        <f t="shared" si="67"/>
        <v>0</v>
      </c>
    </row>
    <row r="50" spans="1:22">
      <c r="A50" s="333" t="s">
        <v>693</v>
      </c>
      <c r="B50" s="253">
        <f>SUMIFS('Diags Raw Data'!$L$6:$L$4795,'Diags Raw Data'!$D$6:$D$4795,$A50,'Diags Raw Data'!$M$6:$M$4795,"Legacy")</f>
        <v>99</v>
      </c>
      <c r="C50" s="243">
        <f>SUMIFS('Diags Raw Data'!$R$6:$R$4795,'Diags Raw Data'!$D$6:$D$4795,$A50,'Diags Raw Data'!$M$6:$M$4795,"Legacy")</f>
        <v>57</v>
      </c>
      <c r="D50" s="243">
        <f>SUMIFS('Diags Raw Data'!$K$6:$K$4795,'Diags Raw Data'!$D$6:$D$4795,$A50,'Diags Raw Data'!$M$6:$M$4795,"Legacy")</f>
        <v>17</v>
      </c>
      <c r="E50" s="243">
        <f>SUMIFS('Diags Raw Data'!$O$6:$O$4795,'Diags Raw Data'!$D$6:$D$4795,$A50,'Diags Raw Data'!$M$6:$M$4795,"Legacy")</f>
        <v>99</v>
      </c>
      <c r="F50" s="249">
        <f t="shared" ref="F50:F53" si="68">IF(NOT($B50=0), E50/$B50, "---")</f>
        <v>1</v>
      </c>
      <c r="G50" s="231">
        <f>SUMIFS('Diags Raw Data'!$S$6:$S$4795,'Diags Raw Data'!$D$6:$D$4795,$A50,'Diags Raw Data'!$M$6:$M$4795,"Legacy")</f>
        <v>56</v>
      </c>
      <c r="H50" s="227">
        <f>SUMIFS('Diags Raw Data'!$T$6:$T$4795,'Diags Raw Data'!$D$6:$D$4795,$A50,'Diags Raw Data'!$M$6:$M$4795,"Legacy")</f>
        <v>53</v>
      </c>
      <c r="I50" s="228">
        <f>SUMIFS('Diags Raw Data'!$U$6:$U$4795,'Diags Raw Data'!$D$6:$D$4795,$A50,'Diags Raw Data'!$M$6:$M$4795,"Legacy")</f>
        <v>0</v>
      </c>
      <c r="J50" s="227">
        <f>SUMIFS('Diags Raw Data'!$V$6:$V$4795,'Diags Raw Data'!$D$6:$D$4795,$A50,'Diags Raw Data'!$M$6:$M$4795,"Legacy")</f>
        <v>3</v>
      </c>
      <c r="K50" s="228">
        <f>SUMIFS('Diags Raw Data'!$W$6:$W$4795,'Diags Raw Data'!$D$6:$D$4795,$A50,'Diags Raw Data'!$M$6:$M$4795,"Legacy")</f>
        <v>0</v>
      </c>
      <c r="L50" s="244">
        <f t="shared" ref="L50:L53" si="69">IF(NOT($C50=0), G50/$C50, "---")</f>
        <v>0.98245614035087714</v>
      </c>
      <c r="M50" s="229">
        <f t="shared" ref="M50:M53" si="70">IF(NOT($G50=0), (H50+I50)/$G50, "---")</f>
        <v>0.9464285714285714</v>
      </c>
      <c r="N50" s="238">
        <f t="shared" ref="N50:N53" si="71">IF(NOT($C50=0), (H50+I50)/$C50, "---")</f>
        <v>0.92982456140350878</v>
      </c>
      <c r="O50" s="214">
        <f>SUMIFS('Diags Raw Data'!$Z$6:$Z$4795,'Diags Raw Data'!$D$6:$D$4795,$A50,'Diags Raw Data'!$M$6:$M$4795,"Legacy")</f>
        <v>0</v>
      </c>
      <c r="P50" s="204">
        <f>SUMIFS('Diags Raw Data'!$AA$6:$AA$4795,'Diags Raw Data'!$D$6:$D$4795,$A50,'Diags Raw Data'!$M$6:$M$4795,"Legacy")</f>
        <v>0</v>
      </c>
      <c r="Q50" s="206">
        <f>SUMIFS('Diags Raw Data'!$AB$6:$AB$4795,'Diags Raw Data'!$D$6:$D$4795,$A50,'Diags Raw Data'!$M$6:$M$4795,"Legacy")</f>
        <v>0</v>
      </c>
      <c r="R50" s="204">
        <f>SUMIFS('Diags Raw Data'!$AC$6:$AC$4795,'Diags Raw Data'!$D$6:$D$4795,$A50,'Diags Raw Data'!$M$6:$M$4795,"Legacy")</f>
        <v>0</v>
      </c>
      <c r="S50" s="206">
        <f>SUMIFS('Diags Raw Data'!$AD$6:$AD$4795,'Diags Raw Data'!$D$6:$D$4795,$A50,'Diags Raw Data'!$M$6:$M$4795,"Legacy")</f>
        <v>0</v>
      </c>
      <c r="T50" s="205">
        <f t="shared" ref="T50:T53" si="72">IF(NOT($B50=0), O50/$B50, "---")</f>
        <v>0</v>
      </c>
      <c r="U50" s="230" t="str">
        <f t="shared" ref="U50:U53" si="73">IF(NOT($O50=0), (P50+Q50)/$O50, "---")</f>
        <v>---</v>
      </c>
      <c r="V50" s="232">
        <f t="shared" ref="V50:V53" si="74">IF(NOT($B50=0), (P50+Q50)/$B50, "---")</f>
        <v>0</v>
      </c>
    </row>
    <row r="51" spans="1:22">
      <c r="A51" s="333" t="s">
        <v>822</v>
      </c>
      <c r="B51" s="253">
        <f>SUMIFS('Diags Raw Data'!$L$6:$L$4795,'Diags Raw Data'!$D$6:$D$4795,$A51,'Diags Raw Data'!$M$6:$M$4795,"Legacy")</f>
        <v>0</v>
      </c>
      <c r="C51" s="243">
        <f>SUMIFS('Diags Raw Data'!$R$6:$R$4795,'Diags Raw Data'!$D$6:$D$4795,$A51,'Diags Raw Data'!$M$6:$M$4795,"Legacy")</f>
        <v>0</v>
      </c>
      <c r="D51" s="243">
        <f>SUMIFS('Diags Raw Data'!$K$6:$K$4795,'Diags Raw Data'!$D$6:$D$4795,$A51,'Diags Raw Data'!$M$6:$M$4795,"Legacy")</f>
        <v>0</v>
      </c>
      <c r="E51" s="243">
        <f>SUMIFS('Diags Raw Data'!$O$6:$O$4795,'Diags Raw Data'!$D$6:$D$4795,$A51,'Diags Raw Data'!$M$6:$M$4795,"Legacy")</f>
        <v>0</v>
      </c>
      <c r="F51" s="249" t="str">
        <f t="shared" si="68"/>
        <v>---</v>
      </c>
      <c r="G51" s="231">
        <f>SUMIFS('Diags Raw Data'!$S$6:$S$4795,'Diags Raw Data'!$D$6:$D$4795,$A51,'Diags Raw Data'!$M$6:$M$4795,"Legacy")</f>
        <v>0</v>
      </c>
      <c r="H51" s="227">
        <f>SUMIFS('Diags Raw Data'!$T$6:$T$4795,'Diags Raw Data'!$D$6:$D$4795,$A51,'Diags Raw Data'!$M$6:$M$4795,"Legacy")</f>
        <v>0</v>
      </c>
      <c r="I51" s="228">
        <f>SUMIFS('Diags Raw Data'!$U$6:$U$4795,'Diags Raw Data'!$D$6:$D$4795,$A51,'Diags Raw Data'!$M$6:$M$4795,"Legacy")</f>
        <v>0</v>
      </c>
      <c r="J51" s="227">
        <f>SUMIFS('Diags Raw Data'!$V$6:$V$4795,'Diags Raw Data'!$D$6:$D$4795,$A51,'Diags Raw Data'!$M$6:$M$4795,"Legacy")</f>
        <v>0</v>
      </c>
      <c r="K51" s="228">
        <f>SUMIFS('Diags Raw Data'!$W$6:$W$4795,'Diags Raw Data'!$D$6:$D$4795,$A51,'Diags Raw Data'!$M$6:$M$4795,"Legacy")</f>
        <v>0</v>
      </c>
      <c r="L51" s="244" t="str">
        <f t="shared" si="69"/>
        <v>---</v>
      </c>
      <c r="M51" s="229" t="str">
        <f t="shared" si="70"/>
        <v>---</v>
      </c>
      <c r="N51" s="238" t="str">
        <f t="shared" si="71"/>
        <v>---</v>
      </c>
      <c r="O51" s="214">
        <f>SUMIFS('Diags Raw Data'!$Z$6:$Z$4795,'Diags Raw Data'!$D$6:$D$4795,$A51,'Diags Raw Data'!$M$6:$M$4795,"Legacy")</f>
        <v>0</v>
      </c>
      <c r="P51" s="204">
        <f>SUMIFS('Diags Raw Data'!$AA$6:$AA$4795,'Diags Raw Data'!$D$6:$D$4795,$A51,'Diags Raw Data'!$M$6:$M$4795,"Legacy")</f>
        <v>0</v>
      </c>
      <c r="Q51" s="206">
        <f>SUMIFS('Diags Raw Data'!$AB$6:$AB$4795,'Diags Raw Data'!$D$6:$D$4795,$A51,'Diags Raw Data'!$M$6:$M$4795,"Legacy")</f>
        <v>0</v>
      </c>
      <c r="R51" s="204">
        <f>SUMIFS('Diags Raw Data'!$AC$6:$AC$4795,'Diags Raw Data'!$D$6:$D$4795,$A51,'Diags Raw Data'!$M$6:$M$4795,"Legacy")</f>
        <v>0</v>
      </c>
      <c r="S51" s="206">
        <f>SUMIFS('Diags Raw Data'!$AD$6:$AD$4795,'Diags Raw Data'!$D$6:$D$4795,$A51,'Diags Raw Data'!$M$6:$M$4795,"Legacy")</f>
        <v>0</v>
      </c>
      <c r="T51" s="205" t="str">
        <f t="shared" si="72"/>
        <v>---</v>
      </c>
      <c r="U51" s="230" t="str">
        <f t="shared" si="73"/>
        <v>---</v>
      </c>
      <c r="V51" s="232" t="str">
        <f t="shared" si="74"/>
        <v>---</v>
      </c>
    </row>
    <row r="52" spans="1:22">
      <c r="A52" s="333" t="s">
        <v>1048</v>
      </c>
      <c r="B52" s="253">
        <f>SUMIFS('Diags Raw Data'!$L$6:$L$4795,'Diags Raw Data'!$D$6:$D$4795,$A52,'Diags Raw Data'!$M$6:$M$4795,"Legacy")</f>
        <v>2</v>
      </c>
      <c r="C52" s="243">
        <f>SUMIFS('Diags Raw Data'!$R$6:$R$4795,'Diags Raw Data'!$D$6:$D$4795,$A52,'Diags Raw Data'!$M$6:$M$4795,"Legacy")</f>
        <v>1</v>
      </c>
      <c r="D52" s="243">
        <f>SUMIFS('Diags Raw Data'!$K$6:$K$4795,'Diags Raw Data'!$D$6:$D$4795,$A52,'Diags Raw Data'!$M$6:$M$4795,"Legacy")</f>
        <v>1</v>
      </c>
      <c r="E52" s="243">
        <f>SUMIFS('Diags Raw Data'!$O$6:$O$4795,'Diags Raw Data'!$D$6:$D$4795,$A52,'Diags Raw Data'!$M$6:$M$4795,"Legacy")</f>
        <v>2</v>
      </c>
      <c r="F52" s="249">
        <f t="shared" si="68"/>
        <v>1</v>
      </c>
      <c r="G52" s="231">
        <f>SUMIFS('Diags Raw Data'!$S$6:$S$4795,'Diags Raw Data'!$D$6:$D$4795,$A52,'Diags Raw Data'!$M$6:$M$4795,"Legacy")</f>
        <v>1</v>
      </c>
      <c r="H52" s="227">
        <f>SUMIFS('Diags Raw Data'!$T$6:$T$4795,'Diags Raw Data'!$D$6:$D$4795,$A52,'Diags Raw Data'!$M$6:$M$4795,"Legacy")</f>
        <v>0</v>
      </c>
      <c r="I52" s="228">
        <f>SUMIFS('Diags Raw Data'!$U$6:$U$4795,'Diags Raw Data'!$D$6:$D$4795,$A52,'Diags Raw Data'!$M$6:$M$4795,"Legacy")</f>
        <v>0</v>
      </c>
      <c r="J52" s="227">
        <f>SUMIFS('Diags Raw Data'!$V$6:$V$4795,'Diags Raw Data'!$D$6:$D$4795,$A52,'Diags Raw Data'!$M$6:$M$4795,"Legacy")</f>
        <v>1</v>
      </c>
      <c r="K52" s="228">
        <f>SUMIFS('Diags Raw Data'!$W$6:$W$4795,'Diags Raw Data'!$D$6:$D$4795,$A52,'Diags Raw Data'!$M$6:$M$4795,"Legacy")</f>
        <v>0</v>
      </c>
      <c r="L52" s="244">
        <f t="shared" si="69"/>
        <v>1</v>
      </c>
      <c r="M52" s="229">
        <f t="shared" si="70"/>
        <v>0</v>
      </c>
      <c r="N52" s="238">
        <f t="shared" si="71"/>
        <v>0</v>
      </c>
      <c r="O52" s="214">
        <f>SUMIFS('Diags Raw Data'!$Z$6:$Z$4795,'Diags Raw Data'!$D$6:$D$4795,$A52,'Diags Raw Data'!$M$6:$M$4795,"Legacy")</f>
        <v>0</v>
      </c>
      <c r="P52" s="204">
        <f>SUMIFS('Diags Raw Data'!$AA$6:$AA$4795,'Diags Raw Data'!$D$6:$D$4795,$A52,'Diags Raw Data'!$M$6:$M$4795,"Legacy")</f>
        <v>0</v>
      </c>
      <c r="Q52" s="206">
        <f>SUMIFS('Diags Raw Data'!$AB$6:$AB$4795,'Diags Raw Data'!$D$6:$D$4795,$A52,'Diags Raw Data'!$M$6:$M$4795,"Legacy")</f>
        <v>0</v>
      </c>
      <c r="R52" s="204">
        <f>SUMIFS('Diags Raw Data'!$AC$6:$AC$4795,'Diags Raw Data'!$D$6:$D$4795,$A52,'Diags Raw Data'!$M$6:$M$4795,"Legacy")</f>
        <v>0</v>
      </c>
      <c r="S52" s="206">
        <f>SUMIFS('Diags Raw Data'!$AD$6:$AD$4795,'Diags Raw Data'!$D$6:$D$4795,$A52,'Diags Raw Data'!$M$6:$M$4795,"Legacy")</f>
        <v>0</v>
      </c>
      <c r="T52" s="205">
        <f t="shared" si="72"/>
        <v>0</v>
      </c>
      <c r="U52" s="230" t="str">
        <f t="shared" si="73"/>
        <v>---</v>
      </c>
      <c r="V52" s="232">
        <f t="shared" si="74"/>
        <v>0</v>
      </c>
    </row>
    <row r="53" spans="1:22">
      <c r="A53" s="333" t="s">
        <v>1051</v>
      </c>
      <c r="B53" s="253">
        <f>SUMIFS('Diags Raw Data'!$L$6:$L$4795,'Diags Raw Data'!$D$6:$D$4795,$A53,'Diags Raw Data'!$M$6:$M$4795,"Legacy")</f>
        <v>0</v>
      </c>
      <c r="C53" s="243">
        <f>SUMIFS('Diags Raw Data'!$R$6:$R$4795,'Diags Raw Data'!$D$6:$D$4795,$A53,'Diags Raw Data'!$M$6:$M$4795,"Legacy")</f>
        <v>0</v>
      </c>
      <c r="D53" s="243">
        <f>SUMIFS('Diags Raw Data'!$K$6:$K$4795,'Diags Raw Data'!$D$6:$D$4795,$A53,'Diags Raw Data'!$M$6:$M$4795,"Legacy")</f>
        <v>0</v>
      </c>
      <c r="E53" s="243">
        <f>SUMIFS('Diags Raw Data'!$O$6:$O$4795,'Diags Raw Data'!$D$6:$D$4795,$A53,'Diags Raw Data'!$M$6:$M$4795,"Legacy")</f>
        <v>0</v>
      </c>
      <c r="F53" s="249" t="str">
        <f t="shared" si="68"/>
        <v>---</v>
      </c>
      <c r="G53" s="231">
        <f>SUMIFS('Diags Raw Data'!$S$6:$S$4795,'Diags Raw Data'!$D$6:$D$4795,$A53,'Diags Raw Data'!$M$6:$M$4795,"Legacy")</f>
        <v>0</v>
      </c>
      <c r="H53" s="227">
        <f>SUMIFS('Diags Raw Data'!$T$6:$T$4795,'Diags Raw Data'!$D$6:$D$4795,$A53,'Diags Raw Data'!$M$6:$M$4795,"Legacy")</f>
        <v>0</v>
      </c>
      <c r="I53" s="228">
        <f>SUMIFS('Diags Raw Data'!$U$6:$U$4795,'Diags Raw Data'!$D$6:$D$4795,$A53,'Diags Raw Data'!$M$6:$M$4795,"Legacy")</f>
        <v>0</v>
      </c>
      <c r="J53" s="227">
        <f>SUMIFS('Diags Raw Data'!$V$6:$V$4795,'Diags Raw Data'!$D$6:$D$4795,$A53,'Diags Raw Data'!$M$6:$M$4795,"Legacy")</f>
        <v>0</v>
      </c>
      <c r="K53" s="228">
        <f>SUMIFS('Diags Raw Data'!$W$6:$W$4795,'Diags Raw Data'!$D$6:$D$4795,$A53,'Diags Raw Data'!$M$6:$M$4795,"Legacy")</f>
        <v>0</v>
      </c>
      <c r="L53" s="244" t="str">
        <f t="shared" si="69"/>
        <v>---</v>
      </c>
      <c r="M53" s="229" t="str">
        <f t="shared" si="70"/>
        <v>---</v>
      </c>
      <c r="N53" s="238" t="str">
        <f t="shared" si="71"/>
        <v>---</v>
      </c>
      <c r="O53" s="214">
        <f>SUMIFS('Diags Raw Data'!$Z$6:$Z$4795,'Diags Raw Data'!$D$6:$D$4795,$A53,'Diags Raw Data'!$M$6:$M$4795,"Legacy")</f>
        <v>0</v>
      </c>
      <c r="P53" s="204">
        <f>SUMIFS('Diags Raw Data'!$AA$6:$AA$4795,'Diags Raw Data'!$D$6:$D$4795,$A53,'Diags Raw Data'!$M$6:$M$4795,"Legacy")</f>
        <v>0</v>
      </c>
      <c r="Q53" s="206">
        <f>SUMIFS('Diags Raw Data'!$AB$6:$AB$4795,'Diags Raw Data'!$D$6:$D$4795,$A53,'Diags Raw Data'!$M$6:$M$4795,"Legacy")</f>
        <v>0</v>
      </c>
      <c r="R53" s="204">
        <f>SUMIFS('Diags Raw Data'!$AC$6:$AC$4795,'Diags Raw Data'!$D$6:$D$4795,$A53,'Diags Raw Data'!$M$6:$M$4795,"Legacy")</f>
        <v>0</v>
      </c>
      <c r="S53" s="206">
        <f>SUMIFS('Diags Raw Data'!$AD$6:$AD$4795,'Diags Raw Data'!$D$6:$D$4795,$A53,'Diags Raw Data'!$M$6:$M$4795,"Legacy")</f>
        <v>0</v>
      </c>
      <c r="T53" s="205" t="str">
        <f t="shared" si="72"/>
        <v>---</v>
      </c>
      <c r="U53" s="230" t="str">
        <f t="shared" si="73"/>
        <v>---</v>
      </c>
      <c r="V53" s="232" t="str">
        <f t="shared" si="74"/>
        <v>---</v>
      </c>
    </row>
    <row r="54" spans="1:22">
      <c r="A54" s="333" t="s">
        <v>792</v>
      </c>
      <c r="B54" s="253">
        <f>SUMIFS('Diags Raw Data'!$L$6:$L$4795,'Diags Raw Data'!$D$6:$D$4795,$A54,'Diags Raw Data'!$M$6:$M$4795,"Legacy")</f>
        <v>118</v>
      </c>
      <c r="C54" s="243">
        <f>SUMIFS('Diags Raw Data'!$R$6:$R$4795,'Diags Raw Data'!$D$6:$D$4795,$A54,'Diags Raw Data'!$M$6:$M$4795,"Legacy")</f>
        <v>78</v>
      </c>
      <c r="D54" s="243">
        <f>SUMIFS('Diags Raw Data'!$K$6:$K$4795,'Diags Raw Data'!$D$6:$D$4795,$A54,'Diags Raw Data'!$M$6:$M$4795,"Legacy")</f>
        <v>12</v>
      </c>
      <c r="E54" s="243">
        <f>SUMIFS('Diags Raw Data'!$O$6:$O$4795,'Diags Raw Data'!$D$6:$D$4795,$A54,'Diags Raw Data'!$M$6:$M$4795,"Legacy")</f>
        <v>118</v>
      </c>
      <c r="F54" s="249">
        <f t="shared" si="61"/>
        <v>1</v>
      </c>
      <c r="G54" s="231">
        <f>SUMIFS('Diags Raw Data'!$S$6:$S$4795,'Diags Raw Data'!$D$6:$D$4795,$A54,'Diags Raw Data'!$M$6:$M$4795,"Legacy")</f>
        <v>78</v>
      </c>
      <c r="H54" s="227">
        <f>SUMIFS('Diags Raw Data'!$T$6:$T$4795,'Diags Raw Data'!$D$6:$D$4795,$A54,'Diags Raw Data'!$M$6:$M$4795,"Legacy")</f>
        <v>77</v>
      </c>
      <c r="I54" s="228">
        <f>SUMIFS('Diags Raw Data'!$U$6:$U$4795,'Diags Raw Data'!$D$6:$D$4795,$A54,'Diags Raw Data'!$M$6:$M$4795,"Legacy")</f>
        <v>0</v>
      </c>
      <c r="J54" s="227">
        <f>SUMIFS('Diags Raw Data'!$V$6:$V$4795,'Diags Raw Data'!$D$6:$D$4795,$A54,'Diags Raw Data'!$M$6:$M$4795,"Legacy")</f>
        <v>1</v>
      </c>
      <c r="K54" s="228">
        <f>SUMIFS('Diags Raw Data'!$W$6:$W$4795,'Diags Raw Data'!$D$6:$D$4795,$A54,'Diags Raw Data'!$M$6:$M$4795,"Legacy")</f>
        <v>0</v>
      </c>
      <c r="L54" s="244">
        <f t="shared" si="62"/>
        <v>1</v>
      </c>
      <c r="M54" s="229">
        <f t="shared" si="63"/>
        <v>0.98717948717948723</v>
      </c>
      <c r="N54" s="238">
        <f t="shared" si="64"/>
        <v>0.98717948717948723</v>
      </c>
      <c r="O54" s="214">
        <f>SUMIFS('Diags Raw Data'!$Z$6:$Z$4795,'Diags Raw Data'!$D$6:$D$4795,$A54,'Diags Raw Data'!$M$6:$M$4795,"Legacy")</f>
        <v>0</v>
      </c>
      <c r="P54" s="204">
        <f>SUMIFS('Diags Raw Data'!$AA$6:$AA$4795,'Diags Raw Data'!$D$6:$D$4795,$A54,'Diags Raw Data'!$M$6:$M$4795,"Legacy")</f>
        <v>0</v>
      </c>
      <c r="Q54" s="206">
        <f>SUMIFS('Diags Raw Data'!$AB$6:$AB$4795,'Diags Raw Data'!$D$6:$D$4795,$A54,'Diags Raw Data'!$M$6:$M$4795,"Legacy")</f>
        <v>0</v>
      </c>
      <c r="R54" s="204">
        <f>SUMIFS('Diags Raw Data'!$AC$6:$AC$4795,'Diags Raw Data'!$D$6:$D$4795,$A54,'Diags Raw Data'!$M$6:$M$4795,"Legacy")</f>
        <v>0</v>
      </c>
      <c r="S54" s="206">
        <f>SUMIFS('Diags Raw Data'!$AD$6:$AD$4795,'Diags Raw Data'!$D$6:$D$4795,$A54,'Diags Raw Data'!$M$6:$M$4795,"Legacy")</f>
        <v>0</v>
      </c>
      <c r="T54" s="205">
        <f t="shared" si="65"/>
        <v>0</v>
      </c>
      <c r="U54" s="230" t="str">
        <f t="shared" si="66"/>
        <v>---</v>
      </c>
      <c r="V54" s="232">
        <f t="shared" si="67"/>
        <v>0</v>
      </c>
    </row>
    <row r="55" spans="1:22">
      <c r="A55" s="333" t="s">
        <v>760</v>
      </c>
      <c r="B55" s="253">
        <f>SUMIFS('Diags Raw Data'!$L$6:$L$4795,'Diags Raw Data'!$D$6:$D$4795,$A55,'Diags Raw Data'!$M$6:$M$4795,"Legacy")</f>
        <v>41</v>
      </c>
      <c r="C55" s="243">
        <f>SUMIFS('Diags Raw Data'!$R$6:$R$4795,'Diags Raw Data'!$D$6:$D$4795,$A55,'Diags Raw Data'!$M$6:$M$4795,"Legacy")</f>
        <v>28</v>
      </c>
      <c r="D55" s="243">
        <f>SUMIFS('Diags Raw Data'!$K$6:$K$4795,'Diags Raw Data'!$D$6:$D$4795,$A55,'Diags Raw Data'!$M$6:$M$4795,"Legacy")</f>
        <v>10</v>
      </c>
      <c r="E55" s="243">
        <f>SUMIFS('Diags Raw Data'!$O$6:$O$4795,'Diags Raw Data'!$D$6:$D$4795,$A55,'Diags Raw Data'!$M$6:$M$4795,"Legacy")</f>
        <v>41</v>
      </c>
      <c r="F55" s="249">
        <f t="shared" si="61"/>
        <v>1</v>
      </c>
      <c r="G55" s="231">
        <f>SUMIFS('Diags Raw Data'!$S$6:$S$4795,'Diags Raw Data'!$D$6:$D$4795,$A55,'Diags Raw Data'!$M$6:$M$4795,"Legacy")</f>
        <v>27</v>
      </c>
      <c r="H55" s="227">
        <f>SUMIFS('Diags Raw Data'!$T$6:$T$4795,'Diags Raw Data'!$D$6:$D$4795,$A55,'Diags Raw Data'!$M$6:$M$4795,"Legacy")</f>
        <v>25</v>
      </c>
      <c r="I55" s="228">
        <f>SUMIFS('Diags Raw Data'!$U$6:$U$4795,'Diags Raw Data'!$D$6:$D$4795,$A55,'Diags Raw Data'!$M$6:$M$4795,"Legacy")</f>
        <v>0</v>
      </c>
      <c r="J55" s="227">
        <f>SUMIFS('Diags Raw Data'!$V$6:$V$4795,'Diags Raw Data'!$D$6:$D$4795,$A55,'Diags Raw Data'!$M$6:$M$4795,"Legacy")</f>
        <v>2</v>
      </c>
      <c r="K55" s="228">
        <f>SUMIFS('Diags Raw Data'!$W$6:$W$4795,'Diags Raw Data'!$D$6:$D$4795,$A55,'Diags Raw Data'!$M$6:$M$4795,"Legacy")</f>
        <v>0</v>
      </c>
      <c r="L55" s="244">
        <f t="shared" si="62"/>
        <v>0.9642857142857143</v>
      </c>
      <c r="M55" s="229">
        <f t="shared" si="63"/>
        <v>0.92592592592592593</v>
      </c>
      <c r="N55" s="238">
        <f t="shared" si="64"/>
        <v>0.8928571428571429</v>
      </c>
      <c r="O55" s="214">
        <f>SUMIFS('Diags Raw Data'!$Z$6:$Z$4795,'Diags Raw Data'!$D$6:$D$4795,$A55,'Diags Raw Data'!$M$6:$M$4795,"Legacy")</f>
        <v>0</v>
      </c>
      <c r="P55" s="204">
        <f>SUMIFS('Diags Raw Data'!$AA$6:$AA$4795,'Diags Raw Data'!$D$6:$D$4795,$A55,'Diags Raw Data'!$M$6:$M$4795,"Legacy")</f>
        <v>0</v>
      </c>
      <c r="Q55" s="206">
        <f>SUMIFS('Diags Raw Data'!$AB$6:$AB$4795,'Diags Raw Data'!$D$6:$D$4795,$A55,'Diags Raw Data'!$M$6:$M$4795,"Legacy")</f>
        <v>0</v>
      </c>
      <c r="R55" s="204">
        <f>SUMIFS('Diags Raw Data'!$AC$6:$AC$4795,'Diags Raw Data'!$D$6:$D$4795,$A55,'Diags Raw Data'!$M$6:$M$4795,"Legacy")</f>
        <v>0</v>
      </c>
      <c r="S55" s="206">
        <f>SUMIFS('Diags Raw Data'!$AD$6:$AD$4795,'Diags Raw Data'!$D$6:$D$4795,$A55,'Diags Raw Data'!$M$6:$M$4795,"Legacy")</f>
        <v>0</v>
      </c>
      <c r="T55" s="205">
        <f t="shared" si="65"/>
        <v>0</v>
      </c>
      <c r="U55" s="230" t="str">
        <f t="shared" si="66"/>
        <v>---</v>
      </c>
      <c r="V55" s="232">
        <f t="shared" si="67"/>
        <v>0</v>
      </c>
    </row>
    <row r="56" spans="1:22">
      <c r="A56" s="333" t="s">
        <v>827</v>
      </c>
      <c r="B56" s="253">
        <f>SUMIFS('Diags Raw Data'!$L$6:$L$4795,'Diags Raw Data'!$D$6:$D$4795,$A56,'Diags Raw Data'!$M$6:$M$4795,"Legacy")</f>
        <v>0</v>
      </c>
      <c r="C56" s="243">
        <f>SUMIFS('Diags Raw Data'!$R$6:$R$4795,'Diags Raw Data'!$D$6:$D$4795,$A56,'Diags Raw Data'!$M$6:$M$4795,"Legacy")</f>
        <v>0</v>
      </c>
      <c r="D56" s="243">
        <f>SUMIFS('Diags Raw Data'!$K$6:$K$4795,'Diags Raw Data'!$D$6:$D$4795,$A56,'Diags Raw Data'!$M$6:$M$4795,"Legacy")</f>
        <v>0</v>
      </c>
      <c r="E56" s="243">
        <f>SUMIFS('Diags Raw Data'!$O$6:$O$4795,'Diags Raw Data'!$D$6:$D$4795,$A56,'Diags Raw Data'!$M$6:$M$4795,"Legacy")</f>
        <v>0</v>
      </c>
      <c r="F56" s="249" t="str">
        <f t="shared" si="61"/>
        <v>---</v>
      </c>
      <c r="G56" s="231">
        <f>SUMIFS('Diags Raw Data'!$S$6:$S$4795,'Diags Raw Data'!$D$6:$D$4795,$A56,'Diags Raw Data'!$M$6:$M$4795,"Legacy")</f>
        <v>0</v>
      </c>
      <c r="H56" s="227">
        <f>SUMIFS('Diags Raw Data'!$T$6:$T$4795,'Diags Raw Data'!$D$6:$D$4795,$A56,'Diags Raw Data'!$M$6:$M$4795,"Legacy")</f>
        <v>0</v>
      </c>
      <c r="I56" s="228">
        <f>SUMIFS('Diags Raw Data'!$U$6:$U$4795,'Diags Raw Data'!$D$6:$D$4795,$A56,'Diags Raw Data'!$M$6:$M$4795,"Legacy")</f>
        <v>0</v>
      </c>
      <c r="J56" s="227">
        <f>SUMIFS('Diags Raw Data'!$V$6:$V$4795,'Diags Raw Data'!$D$6:$D$4795,$A56,'Diags Raw Data'!$M$6:$M$4795,"Legacy")</f>
        <v>0</v>
      </c>
      <c r="K56" s="228">
        <f>SUMIFS('Diags Raw Data'!$W$6:$W$4795,'Diags Raw Data'!$D$6:$D$4795,$A56,'Diags Raw Data'!$M$6:$M$4795,"Legacy")</f>
        <v>0</v>
      </c>
      <c r="L56" s="244" t="str">
        <f t="shared" si="62"/>
        <v>---</v>
      </c>
      <c r="M56" s="229" t="str">
        <f t="shared" si="63"/>
        <v>---</v>
      </c>
      <c r="N56" s="238" t="str">
        <f t="shared" si="64"/>
        <v>---</v>
      </c>
      <c r="O56" s="214">
        <f>SUMIFS('Diags Raw Data'!$Z$6:$Z$4795,'Diags Raw Data'!$D$6:$D$4795,$A56,'Diags Raw Data'!$M$6:$M$4795,"Legacy")</f>
        <v>0</v>
      </c>
      <c r="P56" s="204">
        <f>SUMIFS('Diags Raw Data'!$AA$6:$AA$4795,'Diags Raw Data'!$D$6:$D$4795,$A56,'Diags Raw Data'!$M$6:$M$4795,"Legacy")</f>
        <v>0</v>
      </c>
      <c r="Q56" s="206">
        <f>SUMIFS('Diags Raw Data'!$AB$6:$AB$4795,'Diags Raw Data'!$D$6:$D$4795,$A56,'Diags Raw Data'!$M$6:$M$4795,"Legacy")</f>
        <v>0</v>
      </c>
      <c r="R56" s="204">
        <f>SUMIFS('Diags Raw Data'!$AC$6:$AC$4795,'Diags Raw Data'!$D$6:$D$4795,$A56,'Diags Raw Data'!$M$6:$M$4795,"Legacy")</f>
        <v>0</v>
      </c>
      <c r="S56" s="206">
        <f>SUMIFS('Diags Raw Data'!$AD$6:$AD$4795,'Diags Raw Data'!$D$6:$D$4795,$A56,'Diags Raw Data'!$M$6:$M$4795,"Legacy")</f>
        <v>0</v>
      </c>
      <c r="T56" s="205" t="str">
        <f t="shared" si="65"/>
        <v>---</v>
      </c>
      <c r="U56" s="230" t="str">
        <f t="shared" si="66"/>
        <v>---</v>
      </c>
      <c r="V56" s="232" t="str">
        <f t="shared" si="67"/>
        <v>---</v>
      </c>
    </row>
    <row r="57" spans="1:22">
      <c r="A57" s="333" t="s">
        <v>1105</v>
      </c>
      <c r="B57" s="253">
        <f>SUMIFS('Diags Raw Data'!$L$6:$L$4795,'Diags Raw Data'!$D$6:$D$4795,$A57,'Diags Raw Data'!$M$6:$M$4795,"Legacy")</f>
        <v>0</v>
      </c>
      <c r="C57" s="243">
        <f>SUMIFS('Diags Raw Data'!$R$6:$R$4795,'Diags Raw Data'!$D$6:$D$4795,$A57,'Diags Raw Data'!$M$6:$M$4795,"Legacy")</f>
        <v>0</v>
      </c>
      <c r="D57" s="243">
        <f>SUMIFS('Diags Raw Data'!$K$6:$K$4795,'Diags Raw Data'!$D$6:$D$4795,$A57,'Diags Raw Data'!$M$6:$M$4795,"Legacy")</f>
        <v>0</v>
      </c>
      <c r="E57" s="243">
        <f>SUMIFS('Diags Raw Data'!$O$6:$O$4795,'Diags Raw Data'!$D$6:$D$4795,$A57,'Diags Raw Data'!$M$6:$M$4795,"Legacy")</f>
        <v>0</v>
      </c>
      <c r="F57" s="249" t="str">
        <f t="shared" ref="F57" si="75">IF(NOT($B57=0), E57/$B57, "---")</f>
        <v>---</v>
      </c>
      <c r="G57" s="231">
        <f>SUMIFS('Diags Raw Data'!$S$6:$S$4795,'Diags Raw Data'!$D$6:$D$4795,$A57,'Diags Raw Data'!$M$6:$M$4795,"Legacy")</f>
        <v>0</v>
      </c>
      <c r="H57" s="227">
        <f>SUMIFS('Diags Raw Data'!$T$6:$T$4795,'Diags Raw Data'!$D$6:$D$4795,$A57,'Diags Raw Data'!$M$6:$M$4795,"Legacy")</f>
        <v>0</v>
      </c>
      <c r="I57" s="228">
        <f>SUMIFS('Diags Raw Data'!$U$6:$U$4795,'Diags Raw Data'!$D$6:$D$4795,$A57,'Diags Raw Data'!$M$6:$M$4795,"Legacy")</f>
        <v>0</v>
      </c>
      <c r="J57" s="227">
        <f>SUMIFS('Diags Raw Data'!$V$6:$V$4795,'Diags Raw Data'!$D$6:$D$4795,$A57,'Diags Raw Data'!$M$6:$M$4795,"Legacy")</f>
        <v>0</v>
      </c>
      <c r="K57" s="228">
        <f>SUMIFS('Diags Raw Data'!$W$6:$W$4795,'Diags Raw Data'!$D$6:$D$4795,$A57,'Diags Raw Data'!$M$6:$M$4795,"Legacy")</f>
        <v>0</v>
      </c>
      <c r="L57" s="244" t="str">
        <f t="shared" ref="L57" si="76">IF(NOT($C57=0), G57/$C57, "---")</f>
        <v>---</v>
      </c>
      <c r="M57" s="229" t="str">
        <f t="shared" ref="M57" si="77">IF(NOT($G57=0), (H57+I57)/$G57, "---")</f>
        <v>---</v>
      </c>
      <c r="N57" s="238" t="str">
        <f t="shared" ref="N57" si="78">IF(NOT($C57=0), (H57+I57)/$C57, "---")</f>
        <v>---</v>
      </c>
      <c r="O57" s="214">
        <f>SUMIFS('Diags Raw Data'!$Z$6:$Z$4795,'Diags Raw Data'!$D$6:$D$4795,$A57,'Diags Raw Data'!$M$6:$M$4795,"Legacy")</f>
        <v>0</v>
      </c>
      <c r="P57" s="204">
        <f>SUMIFS('Diags Raw Data'!$AA$6:$AA$4795,'Diags Raw Data'!$D$6:$D$4795,$A57,'Diags Raw Data'!$M$6:$M$4795,"Legacy")</f>
        <v>0</v>
      </c>
      <c r="Q57" s="206">
        <f>SUMIFS('Diags Raw Data'!$AB$6:$AB$4795,'Diags Raw Data'!$D$6:$D$4795,$A57,'Diags Raw Data'!$M$6:$M$4795,"Legacy")</f>
        <v>0</v>
      </c>
      <c r="R57" s="204">
        <f>SUMIFS('Diags Raw Data'!$AC$6:$AC$4795,'Diags Raw Data'!$D$6:$D$4795,$A57,'Diags Raw Data'!$M$6:$M$4795,"Legacy")</f>
        <v>0</v>
      </c>
      <c r="S57" s="206">
        <f>SUMIFS('Diags Raw Data'!$AD$6:$AD$4795,'Diags Raw Data'!$D$6:$D$4795,$A57,'Diags Raw Data'!$M$6:$M$4795,"Legacy")</f>
        <v>0</v>
      </c>
      <c r="T57" s="205" t="str">
        <f t="shared" ref="T57" si="79">IF(NOT($B57=0), O57/$B57, "---")</f>
        <v>---</v>
      </c>
      <c r="U57" s="230" t="str">
        <f t="shared" ref="U57" si="80">IF(NOT($O57=0), (P57+Q57)/$O57, "---")</f>
        <v>---</v>
      </c>
      <c r="V57" s="232" t="str">
        <f t="shared" ref="V57" si="81">IF(NOT($B57=0), (P57+Q57)/$B57, "---")</f>
        <v>---</v>
      </c>
    </row>
    <row r="58" spans="1:22">
      <c r="A58" s="333" t="s">
        <v>1118</v>
      </c>
      <c r="B58" s="253">
        <f>SUMIFS('Diags Raw Data'!$L$6:$L$4795,'Diags Raw Data'!$D$6:$D$4795,$A58,'Diags Raw Data'!$M$6:$M$4795,"Legacy")</f>
        <v>15</v>
      </c>
      <c r="C58" s="243">
        <f>SUMIFS('Diags Raw Data'!$R$6:$R$4795,'Diags Raw Data'!$D$6:$D$4795,$A58,'Diags Raw Data'!$M$6:$M$4795,"Legacy")</f>
        <v>0</v>
      </c>
      <c r="D58" s="243">
        <f>SUMIFS('Diags Raw Data'!$K$6:$K$4795,'Diags Raw Data'!$D$6:$D$4795,$A58,'Diags Raw Data'!$M$6:$M$4795,"Legacy")</f>
        <v>5</v>
      </c>
      <c r="E58" s="243">
        <f>SUMIFS('Diags Raw Data'!$O$6:$O$4795,'Diags Raw Data'!$D$6:$D$4795,$A58,'Diags Raw Data'!$M$6:$M$4795,"Legacy")</f>
        <v>15</v>
      </c>
      <c r="F58" s="249">
        <f t="shared" ref="F58" si="82">IF(NOT($B58=0), E58/$B58, "---")</f>
        <v>1</v>
      </c>
      <c r="G58" s="231">
        <f>SUMIFS('Diags Raw Data'!$S$6:$S$4795,'Diags Raw Data'!$D$6:$D$4795,$A58,'Diags Raw Data'!$M$6:$M$4795,"Legacy")</f>
        <v>0</v>
      </c>
      <c r="H58" s="227">
        <f>SUMIFS('Diags Raw Data'!$T$6:$T$4795,'Diags Raw Data'!$D$6:$D$4795,$A58,'Diags Raw Data'!$M$6:$M$4795,"Legacy")</f>
        <v>0</v>
      </c>
      <c r="I58" s="228">
        <f>SUMIFS('Diags Raw Data'!$U$6:$U$4795,'Diags Raw Data'!$D$6:$D$4795,$A58,'Diags Raw Data'!$M$6:$M$4795,"Legacy")</f>
        <v>0</v>
      </c>
      <c r="J58" s="227">
        <f>SUMIFS('Diags Raw Data'!$V$6:$V$4795,'Diags Raw Data'!$D$6:$D$4795,$A58,'Diags Raw Data'!$M$6:$M$4795,"Legacy")</f>
        <v>0</v>
      </c>
      <c r="K58" s="228">
        <f>SUMIFS('Diags Raw Data'!$W$6:$W$4795,'Diags Raw Data'!$D$6:$D$4795,$A58,'Diags Raw Data'!$M$6:$M$4795,"Legacy")</f>
        <v>0</v>
      </c>
      <c r="L58" s="244" t="str">
        <f t="shared" ref="L58" si="83">IF(NOT($C58=0), G58/$C58, "---")</f>
        <v>---</v>
      </c>
      <c r="M58" s="229" t="str">
        <f t="shared" ref="M58" si="84">IF(NOT($G58=0), (H58+I58)/$G58, "---")</f>
        <v>---</v>
      </c>
      <c r="N58" s="238" t="str">
        <f t="shared" ref="N58" si="85">IF(NOT($C58=0), (H58+I58)/$C58, "---")</f>
        <v>---</v>
      </c>
      <c r="O58" s="214">
        <f>SUMIFS('Diags Raw Data'!$Z$6:$Z$4795,'Diags Raw Data'!$D$6:$D$4795,$A58,'Diags Raw Data'!$M$6:$M$4795,"Legacy")</f>
        <v>0</v>
      </c>
      <c r="P58" s="204">
        <f>SUMIFS('Diags Raw Data'!$AA$6:$AA$4795,'Diags Raw Data'!$D$6:$D$4795,$A58,'Diags Raw Data'!$M$6:$M$4795,"Legacy")</f>
        <v>0</v>
      </c>
      <c r="Q58" s="206">
        <f>SUMIFS('Diags Raw Data'!$AB$6:$AB$4795,'Diags Raw Data'!$D$6:$D$4795,$A58,'Diags Raw Data'!$M$6:$M$4795,"Legacy")</f>
        <v>0</v>
      </c>
      <c r="R58" s="204">
        <f>SUMIFS('Diags Raw Data'!$AC$6:$AC$4795,'Diags Raw Data'!$D$6:$D$4795,$A58,'Diags Raw Data'!$M$6:$M$4795,"Legacy")</f>
        <v>0</v>
      </c>
      <c r="S58" s="206">
        <f>SUMIFS('Diags Raw Data'!$AD$6:$AD$4795,'Diags Raw Data'!$D$6:$D$4795,$A58,'Diags Raw Data'!$M$6:$M$4795,"Legacy")</f>
        <v>0</v>
      </c>
      <c r="T58" s="205">
        <f t="shared" ref="T58" si="86">IF(NOT($B58=0), O58/$B58, "---")</f>
        <v>0</v>
      </c>
      <c r="U58" s="230" t="str">
        <f t="shared" ref="U58" si="87">IF(NOT($O58=0), (P58+Q58)/$O58, "---")</f>
        <v>---</v>
      </c>
      <c r="V58" s="232">
        <f t="shared" ref="V58" si="88">IF(NOT($B58=0), (P58+Q58)/$B58, "---")</f>
        <v>0</v>
      </c>
    </row>
    <row r="59" spans="1:22" ht="15" thickBot="1">
      <c r="A59" s="334" t="s">
        <v>848</v>
      </c>
      <c r="B59" s="254">
        <f>SUMIFS('Diags Raw Data'!$L$6:$L$4795,'Diags Raw Data'!$D$6:$D$4795,$A59,'Diags Raw Data'!$M$6:$M$4795,"Legacy")</f>
        <v>678</v>
      </c>
      <c r="C59" s="245">
        <f>SUMIFS('Diags Raw Data'!$R$6:$R$4795,'Diags Raw Data'!$D$6:$D$4795,$A59,'Diags Raw Data'!$M$6:$M$4795,"Legacy")</f>
        <v>642</v>
      </c>
      <c r="D59" s="245">
        <f>SUMIFS('Diags Raw Data'!$K$6:$K$4795,'Diags Raw Data'!$D$6:$D$4795,$A59,'Diags Raw Data'!$M$6:$M$4795,"Legacy")</f>
        <v>16</v>
      </c>
      <c r="E59" s="245">
        <f>SUMIFS('Diags Raw Data'!$O$6:$O$4795,'Diags Raw Data'!$D$6:$D$4795,$A59,'Diags Raw Data'!$M$6:$M$4795,"Legacy")</f>
        <v>678</v>
      </c>
      <c r="F59" s="250">
        <f t="shared" si="61"/>
        <v>1</v>
      </c>
      <c r="G59" s="233">
        <f>SUMIFS('Diags Raw Data'!$S$6:$S$4795,'Diags Raw Data'!$D$6:$D$4795,$A59,'Diags Raw Data'!$M$6:$M$4795,"Legacy")</f>
        <v>635</v>
      </c>
      <c r="H59" s="234">
        <f>SUMIFS('Diags Raw Data'!$T$6:$T$4795,'Diags Raw Data'!$D$6:$D$4795,$A59,'Diags Raw Data'!$M$6:$M$4795,"Legacy")</f>
        <v>622</v>
      </c>
      <c r="I59" s="235">
        <f>SUMIFS('Diags Raw Data'!$U$6:$U$4795,'Diags Raw Data'!$D$6:$D$4795,$A59,'Diags Raw Data'!$M$6:$M$4795,"Legacy")</f>
        <v>0</v>
      </c>
      <c r="J59" s="234">
        <f>SUMIFS('Diags Raw Data'!$V$6:$V$4795,'Diags Raw Data'!$D$6:$D$4795,$A59,'Diags Raw Data'!$M$6:$M$4795,"Legacy")</f>
        <v>4</v>
      </c>
      <c r="K59" s="235">
        <f>SUMIFS('Diags Raw Data'!$W$6:$W$4795,'Diags Raw Data'!$D$6:$D$4795,$A59,'Diags Raw Data'!$M$6:$M$4795,"Legacy")</f>
        <v>9</v>
      </c>
      <c r="L59" s="246">
        <f t="shared" si="62"/>
        <v>0.9890965732087228</v>
      </c>
      <c r="M59" s="236">
        <f t="shared" si="63"/>
        <v>0.97952755905511812</v>
      </c>
      <c r="N59" s="239">
        <f t="shared" si="64"/>
        <v>0.96884735202492211</v>
      </c>
      <c r="O59" s="215">
        <f>SUMIFS('Diags Raw Data'!$Z$6:$Z$4795,'Diags Raw Data'!$D$6:$D$4795,$A59,'Diags Raw Data'!$M$6:$M$4795,"Legacy")</f>
        <v>0</v>
      </c>
      <c r="P59" s="207">
        <f>SUMIFS('Diags Raw Data'!$AA$6:$AA$4795,'Diags Raw Data'!$D$6:$D$4795,$A59,'Diags Raw Data'!$M$6:$M$4795,"Legacy")</f>
        <v>0</v>
      </c>
      <c r="Q59" s="209">
        <f>SUMIFS('Diags Raw Data'!$AB$6:$AB$4795,'Diags Raw Data'!$D$6:$D$4795,$A59,'Diags Raw Data'!$M$6:$M$4795,"Legacy")</f>
        <v>0</v>
      </c>
      <c r="R59" s="207">
        <f>SUMIFS('Diags Raw Data'!$AC$6:$AC$4795,'Diags Raw Data'!$D$6:$D$4795,$A59,'Diags Raw Data'!$M$6:$M$4795,"Legacy")</f>
        <v>0</v>
      </c>
      <c r="S59" s="209">
        <f>SUMIFS('Diags Raw Data'!$AD$6:$AD$4795,'Diags Raw Data'!$D$6:$D$4795,$A59,'Diags Raw Data'!$M$6:$M$4795,"Legacy")</f>
        <v>0</v>
      </c>
      <c r="T59" s="208">
        <f t="shared" si="65"/>
        <v>0</v>
      </c>
      <c r="U59" s="240" t="str">
        <f t="shared" si="66"/>
        <v>---</v>
      </c>
      <c r="V59" s="237">
        <f t="shared" si="67"/>
        <v>0</v>
      </c>
    </row>
    <row r="60" spans="1:22" ht="16.350000000000001" thickBot="1">
      <c r="A60" s="272" t="s">
        <v>1146</v>
      </c>
      <c r="B60" s="257">
        <f>SUM(B44:B59)</f>
        <v>2664</v>
      </c>
      <c r="C60" s="258">
        <f>SUM(C44:C59)</f>
        <v>2474</v>
      </c>
      <c r="D60" s="258">
        <f>SUM(D44:D59)</f>
        <v>152</v>
      </c>
      <c r="E60" s="258">
        <f>SUM(E44:E59)</f>
        <v>2664</v>
      </c>
      <c r="F60" s="259" cm="1">
        <f t="array" ref="F60">SUMPRODUCT(--(ISNUMBER(SEARCH("Legacy",'Diags Raw Data'!$M$6:$M$4795))),'Diags Raw Data'!$K$6:$K$4795,'Diags Raw Data'!$P$6:$P$4795)/D60</f>
        <v>1</v>
      </c>
      <c r="G60" s="260">
        <f>SUM(G44:G59)</f>
        <v>2353</v>
      </c>
      <c r="H60" s="261">
        <f>SUM(H44:H59)</f>
        <v>2251</v>
      </c>
      <c r="I60" s="262">
        <f>SUM(I44:I59)</f>
        <v>0</v>
      </c>
      <c r="J60" s="261">
        <f>SUM(J44:J59)</f>
        <v>78</v>
      </c>
      <c r="K60" s="262">
        <f>SUM(K44:K59)</f>
        <v>21</v>
      </c>
      <c r="L60" s="263">
        <f>IF(NOT($C60=0), G60/$C60, "---")</f>
        <v>0.95109135004042034</v>
      </c>
      <c r="M60" s="264">
        <f t="shared" si="63"/>
        <v>0.95665108372290697</v>
      </c>
      <c r="N60" s="265">
        <f t="shared" si="64"/>
        <v>0.9098625707356508</v>
      </c>
      <c r="O60" s="266">
        <f>SUM(O44:O59)</f>
        <v>0</v>
      </c>
      <c r="P60" s="267">
        <f>SUM(P44:P59)</f>
        <v>0</v>
      </c>
      <c r="Q60" s="268">
        <f>SUM(Q44:Q59)</f>
        <v>0</v>
      </c>
      <c r="R60" s="267">
        <f>SUM(R44:R59)</f>
        <v>0</v>
      </c>
      <c r="S60" s="268">
        <f>SUM(S44:S59)</f>
        <v>0</v>
      </c>
      <c r="T60" s="269">
        <f>IF(NOT($B60=0), O60/$B60, "---")</f>
        <v>0</v>
      </c>
      <c r="U60" s="270" t="str">
        <f t="shared" si="66"/>
        <v>---</v>
      </c>
      <c r="V60" s="271">
        <f>IF(NOT($B60=0), (P60+Q60)/$B60, "---")</f>
        <v>0</v>
      </c>
    </row>
    <row r="61" spans="1:22">
      <c r="A61" s="247"/>
      <c r="B61" s="247"/>
      <c r="C61" s="247"/>
      <c r="D61" s="247"/>
      <c r="E61" s="247"/>
      <c r="F61" s="247"/>
      <c r="G61" s="247"/>
      <c r="H61" s="247"/>
      <c r="I61" s="247"/>
      <c r="J61" s="247"/>
      <c r="K61" s="247"/>
      <c r="L61" s="247"/>
      <c r="M61" s="247"/>
      <c r="N61" s="247"/>
      <c r="O61" s="247"/>
      <c r="P61" s="247"/>
      <c r="Q61" s="247"/>
      <c r="R61" s="247"/>
      <c r="S61" s="247"/>
      <c r="T61" s="247"/>
      <c r="U61" s="247"/>
      <c r="V61" s="247"/>
    </row>
    <row r="63" spans="1:22">
      <c r="F63" s="130"/>
    </row>
    <row r="66" spans="5:6">
      <c r="F66" s="405"/>
    </row>
    <row r="67" spans="5:6">
      <c r="F67" s="404"/>
    </row>
    <row r="68" spans="5:6">
      <c r="E68" t="e" cm="1">
        <f t="array" ref="E68:E4887">SEARCH("New",'Diags Raw Data'!$M$6:$M$4795)</f>
        <v>#VALUE!</v>
      </c>
      <c r="F68" s="404"/>
    </row>
    <row r="69" spans="5:6">
      <c r="E69" t="e">
        <v>#VALUE!</v>
      </c>
    </row>
    <row r="70" spans="5:6">
      <c r="E70" t="e">
        <v>#VALUE!</v>
      </c>
    </row>
    <row r="71" spans="5:6">
      <c r="E71" t="e">
        <v>#VALUE!</v>
      </c>
    </row>
    <row r="72" spans="5:6">
      <c r="E72" t="e">
        <v>#VALUE!</v>
      </c>
    </row>
    <row r="73" spans="5:6">
      <c r="E73" t="e">
        <v>#VALUE!</v>
      </c>
    </row>
    <row r="74" spans="5:6">
      <c r="E74" t="e">
        <v>#VALUE!</v>
      </c>
    </row>
    <row r="75" spans="5:6">
      <c r="E75" t="e">
        <v>#VALUE!</v>
      </c>
    </row>
    <row r="76" spans="5:6">
      <c r="E76" t="e">
        <v>#VALUE!</v>
      </c>
    </row>
    <row r="77" spans="5:6">
      <c r="E77" t="e">
        <v>#VALUE!</v>
      </c>
    </row>
    <row r="78" spans="5:6">
      <c r="E78" t="e">
        <v>#VALUE!</v>
      </c>
    </row>
    <row r="79" spans="5:6">
      <c r="E79" t="e">
        <v>#VALUE!</v>
      </c>
    </row>
    <row r="80" spans="5:6">
      <c r="E80" t="e">
        <v>#VALUE!</v>
      </c>
    </row>
    <row r="81" spans="5:5">
      <c r="E81">
        <v>1</v>
      </c>
    </row>
    <row r="82" spans="5:5">
      <c r="E82">
        <v>1</v>
      </c>
    </row>
    <row r="83" spans="5:5">
      <c r="E83">
        <v>1</v>
      </c>
    </row>
    <row r="84" spans="5:5">
      <c r="E84" t="e">
        <v>#VALUE!</v>
      </c>
    </row>
    <row r="85" spans="5:5">
      <c r="E85" t="e">
        <v>#VALUE!</v>
      </c>
    </row>
    <row r="86" spans="5:5">
      <c r="E86" t="e">
        <v>#VALUE!</v>
      </c>
    </row>
    <row r="87" spans="5:5">
      <c r="E87" t="e">
        <v>#VALUE!</v>
      </c>
    </row>
    <row r="88" spans="5:5">
      <c r="E88" t="e">
        <v>#VALUE!</v>
      </c>
    </row>
    <row r="89" spans="5:5">
      <c r="E89" t="e">
        <v>#VALUE!</v>
      </c>
    </row>
    <row r="90" spans="5:5">
      <c r="E90" t="e">
        <v>#VALUE!</v>
      </c>
    </row>
    <row r="91" spans="5:5">
      <c r="E91" t="e">
        <v>#VALUE!</v>
      </c>
    </row>
    <row r="92" spans="5:5">
      <c r="E92" t="e">
        <v>#VALUE!</v>
      </c>
    </row>
    <row r="93" spans="5:5">
      <c r="E93" t="e">
        <v>#VALUE!</v>
      </c>
    </row>
    <row r="94" spans="5:5">
      <c r="E94" t="e">
        <v>#VALUE!</v>
      </c>
    </row>
    <row r="95" spans="5:5">
      <c r="E95" t="e">
        <v>#VALUE!</v>
      </c>
    </row>
    <row r="96" spans="5:5">
      <c r="E96" t="e">
        <v>#VALUE!</v>
      </c>
    </row>
    <row r="97" spans="5:5">
      <c r="E97" t="e">
        <v>#VALUE!</v>
      </c>
    </row>
    <row r="98" spans="5:5">
      <c r="E98" t="e">
        <v>#VALUE!</v>
      </c>
    </row>
    <row r="99" spans="5:5">
      <c r="E99" t="e">
        <v>#VALUE!</v>
      </c>
    </row>
    <row r="100" spans="5:5">
      <c r="E100" t="e">
        <v>#VALUE!</v>
      </c>
    </row>
    <row r="101" spans="5:5">
      <c r="E101" t="e">
        <v>#VALUE!</v>
      </c>
    </row>
    <row r="102" spans="5:5">
      <c r="E102" t="e">
        <v>#VALUE!</v>
      </c>
    </row>
    <row r="103" spans="5:5">
      <c r="E103">
        <v>1</v>
      </c>
    </row>
    <row r="104" spans="5:5">
      <c r="E104" t="e">
        <v>#VALUE!</v>
      </c>
    </row>
    <row r="105" spans="5:5">
      <c r="E105" t="e">
        <v>#VALUE!</v>
      </c>
    </row>
    <row r="106" spans="5:5">
      <c r="E106" t="e">
        <v>#VALUE!</v>
      </c>
    </row>
    <row r="107" spans="5:5">
      <c r="E107" t="e">
        <v>#VALUE!</v>
      </c>
    </row>
    <row r="108" spans="5:5">
      <c r="E108" t="e">
        <v>#VALUE!</v>
      </c>
    </row>
    <row r="109" spans="5:5">
      <c r="E109" t="e">
        <v>#VALUE!</v>
      </c>
    </row>
    <row r="110" spans="5:5">
      <c r="E110" t="e">
        <v>#VALUE!</v>
      </c>
    </row>
    <row r="111" spans="5:5">
      <c r="E111" t="e">
        <v>#VALUE!</v>
      </c>
    </row>
    <row r="112" spans="5:5">
      <c r="E112" t="e">
        <v>#VALUE!</v>
      </c>
    </row>
    <row r="113" spans="5:5">
      <c r="E113" t="e">
        <v>#VALUE!</v>
      </c>
    </row>
    <row r="114" spans="5:5">
      <c r="E114" t="e">
        <v>#VALUE!</v>
      </c>
    </row>
    <row r="115" spans="5:5">
      <c r="E115" t="e">
        <v>#VALUE!</v>
      </c>
    </row>
    <row r="116" spans="5:5">
      <c r="E116" t="e">
        <v>#VALUE!</v>
      </c>
    </row>
    <row r="117" spans="5:5">
      <c r="E117" t="e">
        <v>#VALUE!</v>
      </c>
    </row>
    <row r="118" spans="5:5">
      <c r="E118" t="e">
        <v>#VALUE!</v>
      </c>
    </row>
    <row r="119" spans="5:5">
      <c r="E119" t="e">
        <v>#VALUE!</v>
      </c>
    </row>
    <row r="120" spans="5:5">
      <c r="E120" t="e">
        <v>#VALUE!</v>
      </c>
    </row>
    <row r="121" spans="5:5">
      <c r="E121" t="e">
        <v>#VALUE!</v>
      </c>
    </row>
    <row r="122" spans="5:5">
      <c r="E122" t="e">
        <v>#VALUE!</v>
      </c>
    </row>
    <row r="123" spans="5:5">
      <c r="E123" t="e">
        <v>#VALUE!</v>
      </c>
    </row>
    <row r="124" spans="5:5">
      <c r="E124" t="e">
        <v>#VALUE!</v>
      </c>
    </row>
    <row r="125" spans="5:5">
      <c r="E125" t="e">
        <v>#VALUE!</v>
      </c>
    </row>
    <row r="126" spans="5:5">
      <c r="E126" t="e">
        <v>#VALUE!</v>
      </c>
    </row>
    <row r="127" spans="5:5">
      <c r="E127" t="e">
        <v>#VALUE!</v>
      </c>
    </row>
    <row r="128" spans="5:5">
      <c r="E128" t="e">
        <v>#VALUE!</v>
      </c>
    </row>
    <row r="129" spans="5:5">
      <c r="E129" t="e">
        <v>#VALUE!</v>
      </c>
    </row>
    <row r="130" spans="5:5">
      <c r="E130" t="e">
        <v>#VALUE!</v>
      </c>
    </row>
    <row r="131" spans="5:5">
      <c r="E131">
        <v>1</v>
      </c>
    </row>
    <row r="132" spans="5:5">
      <c r="E132" t="e">
        <v>#VALUE!</v>
      </c>
    </row>
    <row r="133" spans="5:5">
      <c r="E133">
        <v>1</v>
      </c>
    </row>
    <row r="134" spans="5:5">
      <c r="E134" t="e">
        <v>#VALUE!</v>
      </c>
    </row>
    <row r="135" spans="5:5">
      <c r="E135" t="e">
        <v>#VALUE!</v>
      </c>
    </row>
    <row r="136" spans="5:5">
      <c r="E136" t="e">
        <v>#VALUE!</v>
      </c>
    </row>
    <row r="137" spans="5:5">
      <c r="E137" t="e">
        <v>#VALUE!</v>
      </c>
    </row>
    <row r="138" spans="5:5">
      <c r="E138" t="e">
        <v>#VALUE!</v>
      </c>
    </row>
    <row r="139" spans="5:5">
      <c r="E139" t="e">
        <v>#VALUE!</v>
      </c>
    </row>
    <row r="140" spans="5:5">
      <c r="E140" t="e">
        <v>#VALUE!</v>
      </c>
    </row>
    <row r="141" spans="5:5">
      <c r="E141" t="e">
        <v>#VALUE!</v>
      </c>
    </row>
    <row r="142" spans="5:5">
      <c r="E142" t="e">
        <v>#VALUE!</v>
      </c>
    </row>
    <row r="143" spans="5:5">
      <c r="E143" t="e">
        <v>#VALUE!</v>
      </c>
    </row>
    <row r="144" spans="5:5">
      <c r="E144" t="e">
        <v>#VALUE!</v>
      </c>
    </row>
    <row r="145" spans="5:5">
      <c r="E145" t="e">
        <v>#VALUE!</v>
      </c>
    </row>
    <row r="146" spans="5:5">
      <c r="E146" t="e">
        <v>#VALUE!</v>
      </c>
    </row>
    <row r="147" spans="5:5">
      <c r="E147" t="e">
        <v>#VALUE!</v>
      </c>
    </row>
    <row r="148" spans="5:5">
      <c r="E148" t="e">
        <v>#VALUE!</v>
      </c>
    </row>
    <row r="149" spans="5:5">
      <c r="E149" t="e">
        <v>#VALUE!</v>
      </c>
    </row>
    <row r="150" spans="5:5">
      <c r="E150" t="e">
        <v>#VALUE!</v>
      </c>
    </row>
    <row r="151" spans="5:5">
      <c r="E151" t="e">
        <v>#VALUE!</v>
      </c>
    </row>
    <row r="152" spans="5:5">
      <c r="E152" t="e">
        <v>#VALUE!</v>
      </c>
    </row>
    <row r="153" spans="5:5">
      <c r="E153" t="e">
        <v>#VALUE!</v>
      </c>
    </row>
    <row r="154" spans="5:5">
      <c r="E154" t="e">
        <v>#VALUE!</v>
      </c>
    </row>
    <row r="155" spans="5:5">
      <c r="E155" t="e">
        <v>#VALUE!</v>
      </c>
    </row>
    <row r="156" spans="5:5">
      <c r="E156" t="e">
        <v>#VALUE!</v>
      </c>
    </row>
    <row r="157" spans="5:5">
      <c r="E157" t="e">
        <v>#VALUE!</v>
      </c>
    </row>
    <row r="158" spans="5:5">
      <c r="E158" t="e">
        <v>#VALUE!</v>
      </c>
    </row>
    <row r="159" spans="5:5">
      <c r="E159" t="e">
        <v>#VALUE!</v>
      </c>
    </row>
    <row r="160" spans="5:5">
      <c r="E160" t="e">
        <v>#VALUE!</v>
      </c>
    </row>
    <row r="161" spans="5:5">
      <c r="E161" t="e">
        <v>#VALUE!</v>
      </c>
    </row>
    <row r="162" spans="5:5">
      <c r="E162" t="e">
        <v>#VALUE!</v>
      </c>
    </row>
    <row r="163" spans="5:5">
      <c r="E163" t="e">
        <v>#VALUE!</v>
      </c>
    </row>
    <row r="164" spans="5:5">
      <c r="E164" t="e">
        <v>#VALUE!</v>
      </c>
    </row>
    <row r="165" spans="5:5">
      <c r="E165" t="e">
        <v>#VALUE!</v>
      </c>
    </row>
    <row r="166" spans="5:5">
      <c r="E166" t="e">
        <v>#VALUE!</v>
      </c>
    </row>
    <row r="167" spans="5:5">
      <c r="E167" t="e">
        <v>#VALUE!</v>
      </c>
    </row>
    <row r="168" spans="5:5">
      <c r="E168" t="e">
        <v>#VALUE!</v>
      </c>
    </row>
    <row r="169" spans="5:5">
      <c r="E169" t="e">
        <v>#VALUE!</v>
      </c>
    </row>
    <row r="170" spans="5:5">
      <c r="E170" t="e">
        <v>#VALUE!</v>
      </c>
    </row>
    <row r="171" spans="5:5">
      <c r="E171" t="e">
        <v>#VALUE!</v>
      </c>
    </row>
    <row r="172" spans="5:5">
      <c r="E172" t="e">
        <v>#VALUE!</v>
      </c>
    </row>
    <row r="173" spans="5:5">
      <c r="E173" t="e">
        <v>#VALUE!</v>
      </c>
    </row>
    <row r="174" spans="5:5">
      <c r="E174" t="e">
        <v>#VALUE!</v>
      </c>
    </row>
    <row r="175" spans="5:5">
      <c r="E175" t="e">
        <v>#VALUE!</v>
      </c>
    </row>
    <row r="176" spans="5:5">
      <c r="E176" t="e">
        <v>#VALUE!</v>
      </c>
    </row>
    <row r="177" spans="5:5">
      <c r="E177" t="e">
        <v>#VALUE!</v>
      </c>
    </row>
    <row r="178" spans="5:5">
      <c r="E178" t="e">
        <v>#VALUE!</v>
      </c>
    </row>
    <row r="179" spans="5:5">
      <c r="E179" t="e">
        <v>#VALUE!</v>
      </c>
    </row>
    <row r="180" spans="5:5">
      <c r="E180" t="e">
        <v>#VALUE!</v>
      </c>
    </row>
    <row r="181" spans="5:5">
      <c r="E181" t="e">
        <v>#VALUE!</v>
      </c>
    </row>
    <row r="182" spans="5:5">
      <c r="E182" t="e">
        <v>#VALUE!</v>
      </c>
    </row>
    <row r="183" spans="5:5">
      <c r="E183" t="e">
        <v>#VALUE!</v>
      </c>
    </row>
    <row r="184" spans="5:5">
      <c r="E184" t="e">
        <v>#VALUE!</v>
      </c>
    </row>
    <row r="185" spans="5:5">
      <c r="E185">
        <v>1</v>
      </c>
    </row>
    <row r="186" spans="5:5">
      <c r="E186" t="e">
        <v>#VALUE!</v>
      </c>
    </row>
    <row r="187" spans="5:5">
      <c r="E187" t="e">
        <v>#VALUE!</v>
      </c>
    </row>
    <row r="188" spans="5:5">
      <c r="E188" t="e">
        <v>#VALUE!</v>
      </c>
    </row>
    <row r="189" spans="5:5">
      <c r="E189" t="e">
        <v>#VALUE!</v>
      </c>
    </row>
    <row r="190" spans="5:5">
      <c r="E190" t="e">
        <v>#VALUE!</v>
      </c>
    </row>
    <row r="191" spans="5:5">
      <c r="E191" t="e">
        <v>#VALUE!</v>
      </c>
    </row>
    <row r="192" spans="5:5">
      <c r="E192" t="e">
        <v>#VALUE!</v>
      </c>
    </row>
    <row r="193" spans="5:5">
      <c r="E193" t="e">
        <v>#VALUE!</v>
      </c>
    </row>
    <row r="194" spans="5:5">
      <c r="E194" t="e">
        <v>#VALUE!</v>
      </c>
    </row>
    <row r="195" spans="5:5">
      <c r="E195" t="e">
        <v>#VALUE!</v>
      </c>
    </row>
    <row r="196" spans="5:5">
      <c r="E196" t="e">
        <v>#VALUE!</v>
      </c>
    </row>
    <row r="197" spans="5:5">
      <c r="E197" t="e">
        <v>#VALUE!</v>
      </c>
    </row>
    <row r="198" spans="5:5">
      <c r="E198" t="e">
        <v>#VALUE!</v>
      </c>
    </row>
    <row r="199" spans="5:5">
      <c r="E199" t="e">
        <v>#VALUE!</v>
      </c>
    </row>
    <row r="200" spans="5:5">
      <c r="E200" t="e">
        <v>#VALUE!</v>
      </c>
    </row>
    <row r="201" spans="5:5">
      <c r="E201" t="e">
        <v>#VALUE!</v>
      </c>
    </row>
    <row r="202" spans="5:5">
      <c r="E202" t="e">
        <v>#VALUE!</v>
      </c>
    </row>
    <row r="203" spans="5:5">
      <c r="E203" t="e">
        <v>#VALUE!</v>
      </c>
    </row>
    <row r="204" spans="5:5">
      <c r="E204" t="e">
        <v>#VALUE!</v>
      </c>
    </row>
    <row r="205" spans="5:5">
      <c r="E205" t="e">
        <v>#VALUE!</v>
      </c>
    </row>
    <row r="206" spans="5:5">
      <c r="E206" t="e">
        <v>#VALUE!</v>
      </c>
    </row>
    <row r="207" spans="5:5">
      <c r="E207" t="e">
        <v>#VALUE!</v>
      </c>
    </row>
    <row r="208" spans="5:5">
      <c r="E208" t="e">
        <v>#VALUE!</v>
      </c>
    </row>
    <row r="209" spans="5:5">
      <c r="E209" t="e">
        <v>#VALUE!</v>
      </c>
    </row>
    <row r="210" spans="5:5">
      <c r="E210" t="e">
        <v>#VALUE!</v>
      </c>
    </row>
    <row r="211" spans="5:5">
      <c r="E211" t="e">
        <v>#VALUE!</v>
      </c>
    </row>
    <row r="212" spans="5:5">
      <c r="E212" t="e">
        <v>#VALUE!</v>
      </c>
    </row>
    <row r="213" spans="5:5">
      <c r="E213" t="e">
        <v>#VALUE!</v>
      </c>
    </row>
    <row r="214" spans="5:5">
      <c r="E214" t="e">
        <v>#VALUE!</v>
      </c>
    </row>
    <row r="215" spans="5:5">
      <c r="E215" t="e">
        <v>#VALUE!</v>
      </c>
    </row>
    <row r="216" spans="5:5">
      <c r="E216" t="e">
        <v>#VALUE!</v>
      </c>
    </row>
    <row r="217" spans="5:5">
      <c r="E217" t="e">
        <v>#VALUE!</v>
      </c>
    </row>
    <row r="218" spans="5:5">
      <c r="E218" t="e">
        <v>#VALUE!</v>
      </c>
    </row>
    <row r="219" spans="5:5">
      <c r="E219" t="e">
        <v>#VALUE!</v>
      </c>
    </row>
    <row r="220" spans="5:5">
      <c r="E220" t="e">
        <v>#VALUE!</v>
      </c>
    </row>
    <row r="221" spans="5:5">
      <c r="E221" t="e">
        <v>#VALUE!</v>
      </c>
    </row>
    <row r="222" spans="5:5">
      <c r="E222" t="e">
        <v>#VALUE!</v>
      </c>
    </row>
    <row r="223" spans="5:5">
      <c r="E223" t="e">
        <v>#VALUE!</v>
      </c>
    </row>
    <row r="224" spans="5:5">
      <c r="E224" t="e">
        <v>#VALUE!</v>
      </c>
    </row>
    <row r="225" spans="5:5">
      <c r="E225" t="e">
        <v>#VALUE!</v>
      </c>
    </row>
    <row r="226" spans="5:5">
      <c r="E226" t="e">
        <v>#VALUE!</v>
      </c>
    </row>
    <row r="227" spans="5:5">
      <c r="E227" t="e">
        <v>#VALUE!</v>
      </c>
    </row>
    <row r="228" spans="5:5">
      <c r="E228" t="e">
        <v>#VALUE!</v>
      </c>
    </row>
    <row r="229" spans="5:5">
      <c r="E229" t="e">
        <v>#VALUE!</v>
      </c>
    </row>
    <row r="230" spans="5:5">
      <c r="E230" t="e">
        <v>#VALUE!</v>
      </c>
    </row>
    <row r="231" spans="5:5">
      <c r="E231" t="e">
        <v>#VALUE!</v>
      </c>
    </row>
    <row r="232" spans="5:5">
      <c r="E232" t="e">
        <v>#VALUE!</v>
      </c>
    </row>
    <row r="233" spans="5:5">
      <c r="E233">
        <v>1</v>
      </c>
    </row>
    <row r="234" spans="5:5">
      <c r="E234">
        <v>1</v>
      </c>
    </row>
    <row r="235" spans="5:5">
      <c r="E235">
        <v>1</v>
      </c>
    </row>
    <row r="236" spans="5:5">
      <c r="E236" t="e">
        <v>#VALUE!</v>
      </c>
    </row>
    <row r="237" spans="5:5">
      <c r="E237" t="e">
        <v>#VALUE!</v>
      </c>
    </row>
    <row r="238" spans="5:5">
      <c r="E238" t="e">
        <v>#VALUE!</v>
      </c>
    </row>
    <row r="239" spans="5:5">
      <c r="E239" t="e">
        <v>#VALUE!</v>
      </c>
    </row>
    <row r="240" spans="5:5">
      <c r="E240" t="e">
        <v>#VALUE!</v>
      </c>
    </row>
    <row r="241" spans="5:5">
      <c r="E241" t="e">
        <v>#VALUE!</v>
      </c>
    </row>
    <row r="242" spans="5:5">
      <c r="E242" t="e">
        <v>#VALUE!</v>
      </c>
    </row>
    <row r="243" spans="5:5">
      <c r="E243" t="e">
        <v>#VALUE!</v>
      </c>
    </row>
    <row r="244" spans="5:5">
      <c r="E244" t="e">
        <v>#VALUE!</v>
      </c>
    </row>
    <row r="245" spans="5:5">
      <c r="E245" t="e">
        <v>#VALUE!</v>
      </c>
    </row>
    <row r="246" spans="5:5">
      <c r="E246" t="e">
        <v>#VALUE!</v>
      </c>
    </row>
    <row r="247" spans="5:5">
      <c r="E247" t="e">
        <v>#VALUE!</v>
      </c>
    </row>
    <row r="248" spans="5:5">
      <c r="E248" t="e">
        <v>#VALUE!</v>
      </c>
    </row>
    <row r="249" spans="5:5">
      <c r="E249" t="e">
        <v>#VALUE!</v>
      </c>
    </row>
    <row r="250" spans="5:5">
      <c r="E250" t="e">
        <v>#VALUE!</v>
      </c>
    </row>
    <row r="251" spans="5:5">
      <c r="E251" t="e">
        <v>#VALUE!</v>
      </c>
    </row>
    <row r="252" spans="5:5">
      <c r="E252" t="e">
        <v>#VALUE!</v>
      </c>
    </row>
    <row r="253" spans="5:5">
      <c r="E253" t="e">
        <v>#VALUE!</v>
      </c>
    </row>
    <row r="254" spans="5:5">
      <c r="E254" t="e">
        <v>#VALUE!</v>
      </c>
    </row>
    <row r="255" spans="5:5">
      <c r="E255" t="e">
        <v>#VALUE!</v>
      </c>
    </row>
    <row r="256" spans="5:5">
      <c r="E256" t="e">
        <v>#VALUE!</v>
      </c>
    </row>
    <row r="257" spans="5:5">
      <c r="E257" t="e">
        <v>#VALUE!</v>
      </c>
    </row>
    <row r="258" spans="5:5">
      <c r="E258" t="e">
        <v>#VALUE!</v>
      </c>
    </row>
    <row r="259" spans="5:5">
      <c r="E259" t="e">
        <v>#VALUE!</v>
      </c>
    </row>
    <row r="260" spans="5:5">
      <c r="E260" t="e">
        <v>#VALUE!</v>
      </c>
    </row>
    <row r="261" spans="5:5">
      <c r="E261" t="e">
        <v>#VALUE!</v>
      </c>
    </row>
    <row r="262" spans="5:5">
      <c r="E262" t="e">
        <v>#VALUE!</v>
      </c>
    </row>
    <row r="263" spans="5:5">
      <c r="E263" t="e">
        <v>#VALUE!</v>
      </c>
    </row>
    <row r="264" spans="5:5">
      <c r="E264" t="e">
        <v>#VALUE!</v>
      </c>
    </row>
    <row r="265" spans="5:5">
      <c r="E265" t="e">
        <v>#VALUE!</v>
      </c>
    </row>
    <row r="266" spans="5:5">
      <c r="E266" t="e">
        <v>#VALUE!</v>
      </c>
    </row>
    <row r="267" spans="5:5">
      <c r="E267" t="e">
        <v>#VALUE!</v>
      </c>
    </row>
    <row r="268" spans="5:5">
      <c r="E268" t="e">
        <v>#VALUE!</v>
      </c>
    </row>
    <row r="269" spans="5:5">
      <c r="E269" t="e">
        <v>#VALUE!</v>
      </c>
    </row>
    <row r="270" spans="5:5">
      <c r="E270" t="e">
        <v>#VALUE!</v>
      </c>
    </row>
    <row r="271" spans="5:5">
      <c r="E271" t="e">
        <v>#VALUE!</v>
      </c>
    </row>
    <row r="272" spans="5:5">
      <c r="E272" t="e">
        <v>#VALUE!</v>
      </c>
    </row>
    <row r="273" spans="5:5">
      <c r="E273" t="e">
        <v>#VALUE!</v>
      </c>
    </row>
    <row r="274" spans="5:5">
      <c r="E274" t="e">
        <v>#VALUE!</v>
      </c>
    </row>
    <row r="275" spans="5:5">
      <c r="E275" t="e">
        <v>#VALUE!</v>
      </c>
    </row>
    <row r="276" spans="5:5">
      <c r="E276" t="e">
        <v>#VALUE!</v>
      </c>
    </row>
    <row r="277" spans="5:5">
      <c r="E277" t="e">
        <v>#VALUE!</v>
      </c>
    </row>
    <row r="278" spans="5:5">
      <c r="E278" t="e">
        <v>#VALUE!</v>
      </c>
    </row>
    <row r="279" spans="5:5">
      <c r="E279" t="e">
        <v>#VALUE!</v>
      </c>
    </row>
    <row r="280" spans="5:5">
      <c r="E280" t="e">
        <v>#VALUE!</v>
      </c>
    </row>
    <row r="281" spans="5:5">
      <c r="E281" t="e">
        <v>#VALUE!</v>
      </c>
    </row>
    <row r="282" spans="5:5">
      <c r="E282" t="e">
        <v>#VALUE!</v>
      </c>
    </row>
    <row r="283" spans="5:5">
      <c r="E283" t="e">
        <v>#VALUE!</v>
      </c>
    </row>
    <row r="284" spans="5:5">
      <c r="E284" t="e">
        <v>#VALUE!</v>
      </c>
    </row>
    <row r="285" spans="5:5">
      <c r="E285" t="e">
        <v>#VALUE!</v>
      </c>
    </row>
    <row r="286" spans="5:5">
      <c r="E286" t="e">
        <v>#VALUE!</v>
      </c>
    </row>
    <row r="287" spans="5:5">
      <c r="E287" t="e">
        <v>#VALUE!</v>
      </c>
    </row>
    <row r="288" spans="5:5">
      <c r="E288" t="e">
        <v>#VALUE!</v>
      </c>
    </row>
    <row r="289" spans="5:5">
      <c r="E289" t="e">
        <v>#VALUE!</v>
      </c>
    </row>
    <row r="290" spans="5:5">
      <c r="E290" t="e">
        <v>#VALUE!</v>
      </c>
    </row>
    <row r="291" spans="5:5">
      <c r="E291" t="e">
        <v>#VALUE!</v>
      </c>
    </row>
    <row r="292" spans="5:5">
      <c r="E292" t="e">
        <v>#VALUE!</v>
      </c>
    </row>
    <row r="293" spans="5:5">
      <c r="E293" t="e">
        <v>#VALUE!</v>
      </c>
    </row>
    <row r="294" spans="5:5">
      <c r="E294" t="e">
        <v>#VALUE!</v>
      </c>
    </row>
    <row r="295" spans="5:5">
      <c r="E295" t="e">
        <v>#VALUE!</v>
      </c>
    </row>
    <row r="296" spans="5:5">
      <c r="E296" t="e">
        <v>#VALUE!</v>
      </c>
    </row>
    <row r="297" spans="5:5">
      <c r="E297" t="e">
        <v>#VALUE!</v>
      </c>
    </row>
    <row r="298" spans="5:5">
      <c r="E298" t="e">
        <v>#VALUE!</v>
      </c>
    </row>
    <row r="299" spans="5:5">
      <c r="E299" t="e">
        <v>#VALUE!</v>
      </c>
    </row>
    <row r="300" spans="5:5">
      <c r="E300" t="e">
        <v>#VALUE!</v>
      </c>
    </row>
    <row r="301" spans="5:5">
      <c r="E301" t="e">
        <v>#VALUE!</v>
      </c>
    </row>
    <row r="302" spans="5:5">
      <c r="E302" t="e">
        <v>#VALUE!</v>
      </c>
    </row>
    <row r="303" spans="5:5">
      <c r="E303" t="e">
        <v>#VALUE!</v>
      </c>
    </row>
    <row r="304" spans="5:5">
      <c r="E304" t="e">
        <v>#VALUE!</v>
      </c>
    </row>
    <row r="305" spans="5:5">
      <c r="E305" t="e">
        <v>#VALUE!</v>
      </c>
    </row>
    <row r="306" spans="5:5">
      <c r="E306" t="e">
        <v>#VALUE!</v>
      </c>
    </row>
    <row r="307" spans="5:5">
      <c r="E307" t="e">
        <v>#VALUE!</v>
      </c>
    </row>
    <row r="308" spans="5:5">
      <c r="E308" t="e">
        <v>#VALUE!</v>
      </c>
    </row>
    <row r="309" spans="5:5">
      <c r="E309" t="e">
        <v>#VALUE!</v>
      </c>
    </row>
    <row r="310" spans="5:5">
      <c r="E310" t="e">
        <v>#VALUE!</v>
      </c>
    </row>
    <row r="311" spans="5:5">
      <c r="E311" t="e">
        <v>#VALUE!</v>
      </c>
    </row>
    <row r="312" spans="5:5">
      <c r="E312" t="e">
        <v>#VALUE!</v>
      </c>
    </row>
    <row r="313" spans="5:5">
      <c r="E313" t="e">
        <v>#VALUE!</v>
      </c>
    </row>
    <row r="314" spans="5:5">
      <c r="E314" t="e">
        <v>#VALUE!</v>
      </c>
    </row>
    <row r="315" spans="5:5">
      <c r="E315" t="e">
        <v>#VALUE!</v>
      </c>
    </row>
    <row r="316" spans="5:5">
      <c r="E316" t="e">
        <v>#VALUE!</v>
      </c>
    </row>
    <row r="317" spans="5:5">
      <c r="E317" t="e">
        <v>#VALUE!</v>
      </c>
    </row>
    <row r="318" spans="5:5">
      <c r="E318" t="e">
        <v>#VALUE!</v>
      </c>
    </row>
    <row r="319" spans="5:5">
      <c r="E319" t="e">
        <v>#VALUE!</v>
      </c>
    </row>
    <row r="320" spans="5:5">
      <c r="E320" t="e">
        <v>#VALUE!</v>
      </c>
    </row>
    <row r="321" spans="5:5">
      <c r="E321" t="e">
        <v>#VALUE!</v>
      </c>
    </row>
    <row r="322" spans="5:5">
      <c r="E322" t="e">
        <v>#VALUE!</v>
      </c>
    </row>
    <row r="323" spans="5:5">
      <c r="E323" t="e">
        <v>#VALUE!</v>
      </c>
    </row>
    <row r="324" spans="5:5">
      <c r="E324" t="e">
        <v>#VALUE!</v>
      </c>
    </row>
    <row r="325" spans="5:5">
      <c r="E325" t="e">
        <v>#VALUE!</v>
      </c>
    </row>
    <row r="326" spans="5:5">
      <c r="E326" t="e">
        <v>#VALUE!</v>
      </c>
    </row>
    <row r="327" spans="5:5">
      <c r="E327" t="e">
        <v>#VALUE!</v>
      </c>
    </row>
    <row r="328" spans="5:5">
      <c r="E328" t="e">
        <v>#VALUE!</v>
      </c>
    </row>
    <row r="329" spans="5:5">
      <c r="E329" t="e">
        <v>#VALUE!</v>
      </c>
    </row>
    <row r="330" spans="5:5">
      <c r="E330" t="e">
        <v>#VALUE!</v>
      </c>
    </row>
    <row r="331" spans="5:5">
      <c r="E331" t="e">
        <v>#VALUE!</v>
      </c>
    </row>
    <row r="332" spans="5:5">
      <c r="E332" t="e">
        <v>#VALUE!</v>
      </c>
    </row>
    <row r="333" spans="5:5">
      <c r="E333" t="e">
        <v>#VALUE!</v>
      </c>
    </row>
    <row r="334" spans="5:5">
      <c r="E334" t="e">
        <v>#VALUE!</v>
      </c>
    </row>
    <row r="335" spans="5:5">
      <c r="E335" t="e">
        <v>#VALUE!</v>
      </c>
    </row>
    <row r="336" spans="5:5">
      <c r="E336" t="e">
        <v>#VALUE!</v>
      </c>
    </row>
    <row r="337" spans="5:5">
      <c r="E337" t="e">
        <v>#VALUE!</v>
      </c>
    </row>
    <row r="338" spans="5:5">
      <c r="E338" t="e">
        <v>#VALUE!</v>
      </c>
    </row>
    <row r="339" spans="5:5">
      <c r="E339" t="e">
        <v>#VALUE!</v>
      </c>
    </row>
    <row r="340" spans="5:5">
      <c r="E340" t="e">
        <v>#VALUE!</v>
      </c>
    </row>
    <row r="341" spans="5:5">
      <c r="E341" t="e">
        <v>#VALUE!</v>
      </c>
    </row>
    <row r="342" spans="5:5">
      <c r="E342" t="e">
        <v>#VALUE!</v>
      </c>
    </row>
    <row r="343" spans="5:5">
      <c r="E343" t="e">
        <v>#VALUE!</v>
      </c>
    </row>
    <row r="344" spans="5:5">
      <c r="E344" t="e">
        <v>#VALUE!</v>
      </c>
    </row>
    <row r="345" spans="5:5">
      <c r="E345" t="e">
        <v>#VALUE!</v>
      </c>
    </row>
    <row r="346" spans="5:5">
      <c r="E346" t="e">
        <v>#VALUE!</v>
      </c>
    </row>
    <row r="347" spans="5:5">
      <c r="E347" t="e">
        <v>#VALUE!</v>
      </c>
    </row>
    <row r="348" spans="5:5">
      <c r="E348" t="e">
        <v>#VALUE!</v>
      </c>
    </row>
    <row r="349" spans="5:5">
      <c r="E349" t="e">
        <v>#VALUE!</v>
      </c>
    </row>
    <row r="350" spans="5:5">
      <c r="E350" t="e">
        <v>#VALUE!</v>
      </c>
    </row>
    <row r="351" spans="5:5">
      <c r="E351" t="e">
        <v>#VALUE!</v>
      </c>
    </row>
    <row r="352" spans="5:5">
      <c r="E352" t="e">
        <v>#VALUE!</v>
      </c>
    </row>
    <row r="353" spans="5:5">
      <c r="E353" t="e">
        <v>#VALUE!</v>
      </c>
    </row>
    <row r="354" spans="5:5">
      <c r="E354" t="e">
        <v>#VALUE!</v>
      </c>
    </row>
    <row r="355" spans="5:5">
      <c r="E355" t="e">
        <v>#VALUE!</v>
      </c>
    </row>
    <row r="356" spans="5:5">
      <c r="E356" t="e">
        <v>#VALUE!</v>
      </c>
    </row>
    <row r="357" spans="5:5">
      <c r="E357" t="e">
        <v>#VALUE!</v>
      </c>
    </row>
    <row r="358" spans="5:5">
      <c r="E358" t="e">
        <v>#VALUE!</v>
      </c>
    </row>
    <row r="359" spans="5:5">
      <c r="E359" t="e">
        <v>#VALUE!</v>
      </c>
    </row>
    <row r="360" spans="5:5">
      <c r="E360" t="e">
        <v>#VALUE!</v>
      </c>
    </row>
    <row r="361" spans="5:5">
      <c r="E361" t="e">
        <v>#VALUE!</v>
      </c>
    </row>
    <row r="362" spans="5:5">
      <c r="E362" t="e">
        <v>#VALUE!</v>
      </c>
    </row>
    <row r="363" spans="5:5">
      <c r="E363" t="e">
        <v>#VALUE!</v>
      </c>
    </row>
    <row r="364" spans="5:5">
      <c r="E364" t="e">
        <v>#VALUE!</v>
      </c>
    </row>
    <row r="365" spans="5:5">
      <c r="E365" t="e">
        <v>#VALUE!</v>
      </c>
    </row>
    <row r="366" spans="5:5">
      <c r="E366" t="e">
        <v>#VALUE!</v>
      </c>
    </row>
    <row r="367" spans="5:5">
      <c r="E367" t="e">
        <v>#VALUE!</v>
      </c>
    </row>
    <row r="368" spans="5:5">
      <c r="E368" t="e">
        <v>#VALUE!</v>
      </c>
    </row>
    <row r="369" spans="5:5">
      <c r="E369" t="e">
        <v>#VALUE!</v>
      </c>
    </row>
    <row r="370" spans="5:5">
      <c r="E370" t="e">
        <v>#VALUE!</v>
      </c>
    </row>
    <row r="371" spans="5:5">
      <c r="E371" t="e">
        <v>#VALUE!</v>
      </c>
    </row>
    <row r="372" spans="5:5">
      <c r="E372" t="e">
        <v>#VALUE!</v>
      </c>
    </row>
    <row r="373" spans="5:5">
      <c r="E373" t="e">
        <v>#VALUE!</v>
      </c>
    </row>
    <row r="374" spans="5:5">
      <c r="E374" t="e">
        <v>#VALUE!</v>
      </c>
    </row>
    <row r="375" spans="5:5">
      <c r="E375" t="e">
        <v>#VALUE!</v>
      </c>
    </row>
    <row r="376" spans="5:5">
      <c r="E376" t="e">
        <v>#VALUE!</v>
      </c>
    </row>
    <row r="377" spans="5:5">
      <c r="E377" t="e">
        <v>#VALUE!</v>
      </c>
    </row>
    <row r="378" spans="5:5">
      <c r="E378" t="e">
        <v>#VALUE!</v>
      </c>
    </row>
    <row r="379" spans="5:5">
      <c r="E379" t="e">
        <v>#VALUE!</v>
      </c>
    </row>
    <row r="380" spans="5:5">
      <c r="E380" t="e">
        <v>#VALUE!</v>
      </c>
    </row>
    <row r="381" spans="5:5">
      <c r="E381" t="e">
        <v>#VALUE!</v>
      </c>
    </row>
    <row r="382" spans="5:5">
      <c r="E382" t="e">
        <v>#VALUE!</v>
      </c>
    </row>
    <row r="383" spans="5:5">
      <c r="E383" t="e">
        <v>#VALUE!</v>
      </c>
    </row>
    <row r="384" spans="5:5">
      <c r="E384" t="e">
        <v>#VALUE!</v>
      </c>
    </row>
    <row r="385" spans="5:5">
      <c r="E385" t="e">
        <v>#VALUE!</v>
      </c>
    </row>
    <row r="386" spans="5:5">
      <c r="E386" t="e">
        <v>#VALUE!</v>
      </c>
    </row>
    <row r="387" spans="5:5">
      <c r="E387" t="e">
        <v>#VALUE!</v>
      </c>
    </row>
    <row r="388" spans="5:5">
      <c r="E388" t="e">
        <v>#VALUE!</v>
      </c>
    </row>
    <row r="389" spans="5:5">
      <c r="E389" t="e">
        <v>#VALUE!</v>
      </c>
    </row>
    <row r="390" spans="5:5">
      <c r="E390" t="e">
        <v>#VALUE!</v>
      </c>
    </row>
    <row r="391" spans="5:5">
      <c r="E391" t="e">
        <v>#VALUE!</v>
      </c>
    </row>
    <row r="392" spans="5:5">
      <c r="E392" t="e">
        <v>#VALUE!</v>
      </c>
    </row>
    <row r="393" spans="5:5">
      <c r="E393" t="e">
        <v>#VALUE!</v>
      </c>
    </row>
    <row r="394" spans="5:5">
      <c r="E394" t="e">
        <v>#VALUE!</v>
      </c>
    </row>
    <row r="395" spans="5:5">
      <c r="E395" t="e">
        <v>#VALUE!</v>
      </c>
    </row>
    <row r="396" spans="5:5">
      <c r="E396" t="e">
        <v>#VALUE!</v>
      </c>
    </row>
    <row r="397" spans="5:5">
      <c r="E397" t="e">
        <v>#VALUE!</v>
      </c>
    </row>
    <row r="398" spans="5:5">
      <c r="E398" t="e">
        <v>#VALUE!</v>
      </c>
    </row>
    <row r="399" spans="5:5">
      <c r="E399" t="e">
        <v>#VALUE!</v>
      </c>
    </row>
    <row r="400" spans="5:5">
      <c r="E400" t="e">
        <v>#VALUE!</v>
      </c>
    </row>
    <row r="401" spans="5:5">
      <c r="E401" t="e">
        <v>#VALUE!</v>
      </c>
    </row>
    <row r="402" spans="5:5">
      <c r="E402" t="e">
        <v>#VALUE!</v>
      </c>
    </row>
    <row r="403" spans="5:5">
      <c r="E403" t="e">
        <v>#VALUE!</v>
      </c>
    </row>
    <row r="404" spans="5:5">
      <c r="E404" t="e">
        <v>#VALUE!</v>
      </c>
    </row>
    <row r="405" spans="5:5">
      <c r="E405" t="e">
        <v>#VALUE!</v>
      </c>
    </row>
    <row r="406" spans="5:5">
      <c r="E406" t="e">
        <v>#VALUE!</v>
      </c>
    </row>
    <row r="407" spans="5:5">
      <c r="E407" t="e">
        <v>#VALUE!</v>
      </c>
    </row>
    <row r="408" spans="5:5">
      <c r="E408" t="e">
        <v>#VALUE!</v>
      </c>
    </row>
    <row r="409" spans="5:5">
      <c r="E409" t="e">
        <v>#VALUE!</v>
      </c>
    </row>
    <row r="410" spans="5:5">
      <c r="E410" t="e">
        <v>#VALUE!</v>
      </c>
    </row>
    <row r="411" spans="5:5">
      <c r="E411" t="e">
        <v>#VALUE!</v>
      </c>
    </row>
    <row r="412" spans="5:5">
      <c r="E412" t="e">
        <v>#VALUE!</v>
      </c>
    </row>
    <row r="413" spans="5:5">
      <c r="E413" t="e">
        <v>#VALUE!</v>
      </c>
    </row>
    <row r="414" spans="5:5">
      <c r="E414" t="e">
        <v>#VALUE!</v>
      </c>
    </row>
    <row r="415" spans="5:5">
      <c r="E415" t="e">
        <v>#VALUE!</v>
      </c>
    </row>
    <row r="416" spans="5:5">
      <c r="E416" t="e">
        <v>#VALUE!</v>
      </c>
    </row>
    <row r="417" spans="5:5">
      <c r="E417" t="e">
        <v>#VALUE!</v>
      </c>
    </row>
    <row r="418" spans="5:5">
      <c r="E418" t="e">
        <v>#VALUE!</v>
      </c>
    </row>
    <row r="419" spans="5:5">
      <c r="E419" t="e">
        <v>#VALUE!</v>
      </c>
    </row>
    <row r="420" spans="5:5">
      <c r="E420" t="e">
        <v>#VALUE!</v>
      </c>
    </row>
    <row r="421" spans="5:5">
      <c r="E421" t="e">
        <v>#VALUE!</v>
      </c>
    </row>
    <row r="422" spans="5:5">
      <c r="E422" t="e">
        <v>#VALUE!</v>
      </c>
    </row>
    <row r="423" spans="5:5">
      <c r="E423" t="e">
        <v>#VALUE!</v>
      </c>
    </row>
    <row r="424" spans="5:5">
      <c r="E424" t="e">
        <v>#VALUE!</v>
      </c>
    </row>
    <row r="425" spans="5:5">
      <c r="E425" t="e">
        <v>#VALUE!</v>
      </c>
    </row>
    <row r="426" spans="5:5">
      <c r="E426" t="e">
        <v>#VALUE!</v>
      </c>
    </row>
    <row r="427" spans="5:5">
      <c r="E427" t="e">
        <v>#VALUE!</v>
      </c>
    </row>
    <row r="428" spans="5:5">
      <c r="E428" t="e">
        <v>#VALUE!</v>
      </c>
    </row>
    <row r="429" spans="5:5">
      <c r="E429" t="e">
        <v>#VALUE!</v>
      </c>
    </row>
    <row r="430" spans="5:5">
      <c r="E430" t="e">
        <v>#VALUE!</v>
      </c>
    </row>
    <row r="431" spans="5:5">
      <c r="E431" t="e">
        <v>#VALUE!</v>
      </c>
    </row>
    <row r="432" spans="5:5">
      <c r="E432" t="e">
        <v>#VALUE!</v>
      </c>
    </row>
    <row r="433" spans="5:5">
      <c r="E433" t="e">
        <v>#VALUE!</v>
      </c>
    </row>
    <row r="434" spans="5:5">
      <c r="E434" t="e">
        <v>#VALUE!</v>
      </c>
    </row>
    <row r="435" spans="5:5">
      <c r="E435" t="e">
        <v>#VALUE!</v>
      </c>
    </row>
    <row r="436" spans="5:5">
      <c r="E436" t="e">
        <v>#VALUE!</v>
      </c>
    </row>
    <row r="437" spans="5:5">
      <c r="E437" t="e">
        <v>#VALUE!</v>
      </c>
    </row>
    <row r="438" spans="5:5">
      <c r="E438" t="e">
        <v>#VALUE!</v>
      </c>
    </row>
    <row r="439" spans="5:5">
      <c r="E439" t="e">
        <v>#VALUE!</v>
      </c>
    </row>
    <row r="440" spans="5:5">
      <c r="E440" t="e">
        <v>#VALUE!</v>
      </c>
    </row>
    <row r="441" spans="5:5">
      <c r="E441" t="e">
        <v>#VALUE!</v>
      </c>
    </row>
    <row r="442" spans="5:5">
      <c r="E442" t="e">
        <v>#VALUE!</v>
      </c>
    </row>
    <row r="443" spans="5:5">
      <c r="E443" t="e">
        <v>#VALUE!</v>
      </c>
    </row>
    <row r="444" spans="5:5">
      <c r="E444" t="e">
        <v>#VALUE!</v>
      </c>
    </row>
    <row r="445" spans="5:5">
      <c r="E445" t="e">
        <v>#VALUE!</v>
      </c>
    </row>
    <row r="446" spans="5:5">
      <c r="E446" t="e">
        <v>#VALUE!</v>
      </c>
    </row>
    <row r="447" spans="5:5">
      <c r="E447" t="e">
        <v>#VALUE!</v>
      </c>
    </row>
    <row r="448" spans="5:5">
      <c r="E448" t="e">
        <v>#VALUE!</v>
      </c>
    </row>
    <row r="449" spans="5:5">
      <c r="E449" t="e">
        <v>#VALUE!</v>
      </c>
    </row>
    <row r="450" spans="5:5">
      <c r="E450" t="e">
        <v>#VALUE!</v>
      </c>
    </row>
    <row r="451" spans="5:5">
      <c r="E451" t="e">
        <v>#VALUE!</v>
      </c>
    </row>
    <row r="452" spans="5:5">
      <c r="E452" t="e">
        <v>#VALUE!</v>
      </c>
    </row>
    <row r="453" spans="5:5">
      <c r="E453" t="e">
        <v>#VALUE!</v>
      </c>
    </row>
    <row r="454" spans="5:5">
      <c r="E454" t="e">
        <v>#VALUE!</v>
      </c>
    </row>
    <row r="455" spans="5:5">
      <c r="E455" t="e">
        <v>#VALUE!</v>
      </c>
    </row>
    <row r="456" spans="5:5">
      <c r="E456" t="e">
        <v>#VALUE!</v>
      </c>
    </row>
    <row r="457" spans="5:5">
      <c r="E457" t="e">
        <v>#VALUE!</v>
      </c>
    </row>
    <row r="458" spans="5:5">
      <c r="E458" t="e">
        <v>#VALUE!</v>
      </c>
    </row>
    <row r="459" spans="5:5">
      <c r="E459" t="e">
        <v>#VALUE!</v>
      </c>
    </row>
    <row r="460" spans="5:5">
      <c r="E460" t="e">
        <v>#VALUE!</v>
      </c>
    </row>
    <row r="461" spans="5:5">
      <c r="E461" t="e">
        <v>#VALUE!</v>
      </c>
    </row>
    <row r="462" spans="5:5">
      <c r="E462" t="e">
        <v>#VALUE!</v>
      </c>
    </row>
    <row r="463" spans="5:5">
      <c r="E463" t="e">
        <v>#VALUE!</v>
      </c>
    </row>
    <row r="464" spans="5:5">
      <c r="E464" t="e">
        <v>#VALUE!</v>
      </c>
    </row>
    <row r="465" spans="5:5">
      <c r="E465" t="e">
        <v>#VALUE!</v>
      </c>
    </row>
    <row r="466" spans="5:5">
      <c r="E466" t="e">
        <v>#VALUE!</v>
      </c>
    </row>
    <row r="467" spans="5:5">
      <c r="E467" t="e">
        <v>#VALUE!</v>
      </c>
    </row>
    <row r="468" spans="5:5">
      <c r="E468" t="e">
        <v>#VALUE!</v>
      </c>
    </row>
    <row r="469" spans="5:5">
      <c r="E469" t="e">
        <v>#VALUE!</v>
      </c>
    </row>
    <row r="470" spans="5:5">
      <c r="E470" t="e">
        <v>#VALUE!</v>
      </c>
    </row>
    <row r="471" spans="5:5">
      <c r="E471" t="e">
        <v>#VALUE!</v>
      </c>
    </row>
    <row r="472" spans="5:5">
      <c r="E472" t="e">
        <v>#VALUE!</v>
      </c>
    </row>
    <row r="473" spans="5:5">
      <c r="E473" t="e">
        <v>#VALUE!</v>
      </c>
    </row>
    <row r="474" spans="5:5">
      <c r="E474" t="e">
        <v>#VALUE!</v>
      </c>
    </row>
    <row r="475" spans="5:5">
      <c r="E475" t="e">
        <v>#VALUE!</v>
      </c>
    </row>
    <row r="476" spans="5:5">
      <c r="E476" t="e">
        <v>#VALUE!</v>
      </c>
    </row>
    <row r="477" spans="5:5">
      <c r="E477" t="e">
        <v>#VALUE!</v>
      </c>
    </row>
    <row r="478" spans="5:5">
      <c r="E478" t="e">
        <v>#VALUE!</v>
      </c>
    </row>
    <row r="479" spans="5:5">
      <c r="E479" t="e">
        <v>#VALUE!</v>
      </c>
    </row>
    <row r="480" spans="5:5">
      <c r="E480" t="e">
        <v>#VALUE!</v>
      </c>
    </row>
    <row r="481" spans="5:5">
      <c r="E481" t="e">
        <v>#VALUE!</v>
      </c>
    </row>
    <row r="482" spans="5:5">
      <c r="E482" t="e">
        <v>#VALUE!</v>
      </c>
    </row>
    <row r="483" spans="5:5">
      <c r="E483" t="e">
        <v>#VALUE!</v>
      </c>
    </row>
    <row r="484" spans="5:5">
      <c r="E484" t="e">
        <v>#VALUE!</v>
      </c>
    </row>
    <row r="485" spans="5:5">
      <c r="E485" t="e">
        <v>#VALUE!</v>
      </c>
    </row>
    <row r="486" spans="5:5">
      <c r="E486" t="e">
        <v>#VALUE!</v>
      </c>
    </row>
    <row r="487" spans="5:5">
      <c r="E487" t="e">
        <v>#VALUE!</v>
      </c>
    </row>
    <row r="488" spans="5:5">
      <c r="E488" t="e">
        <v>#VALUE!</v>
      </c>
    </row>
    <row r="489" spans="5:5">
      <c r="E489" t="e">
        <v>#VALUE!</v>
      </c>
    </row>
    <row r="490" spans="5:5">
      <c r="E490" t="e">
        <v>#VALUE!</v>
      </c>
    </row>
    <row r="491" spans="5:5">
      <c r="E491" t="e">
        <v>#VALUE!</v>
      </c>
    </row>
    <row r="492" spans="5:5">
      <c r="E492" t="e">
        <v>#VALUE!</v>
      </c>
    </row>
    <row r="493" spans="5:5">
      <c r="E493" t="e">
        <v>#VALUE!</v>
      </c>
    </row>
    <row r="494" spans="5:5">
      <c r="E494" t="e">
        <v>#VALUE!</v>
      </c>
    </row>
    <row r="495" spans="5:5">
      <c r="E495" t="e">
        <v>#VALUE!</v>
      </c>
    </row>
    <row r="496" spans="5:5">
      <c r="E496" t="e">
        <v>#VALUE!</v>
      </c>
    </row>
    <row r="497" spans="5:5">
      <c r="E497" t="e">
        <v>#VALUE!</v>
      </c>
    </row>
    <row r="498" spans="5:5">
      <c r="E498" t="e">
        <v>#VALUE!</v>
      </c>
    </row>
    <row r="499" spans="5:5">
      <c r="E499" t="e">
        <v>#VALUE!</v>
      </c>
    </row>
    <row r="500" spans="5:5">
      <c r="E500" t="e">
        <v>#VALUE!</v>
      </c>
    </row>
    <row r="501" spans="5:5">
      <c r="E501" t="e">
        <v>#VALUE!</v>
      </c>
    </row>
    <row r="502" spans="5:5">
      <c r="E502" t="e">
        <v>#VALUE!</v>
      </c>
    </row>
    <row r="503" spans="5:5">
      <c r="E503" t="e">
        <v>#VALUE!</v>
      </c>
    </row>
    <row r="504" spans="5:5">
      <c r="E504" t="e">
        <v>#VALUE!</v>
      </c>
    </row>
    <row r="505" spans="5:5">
      <c r="E505" t="e">
        <v>#VALUE!</v>
      </c>
    </row>
    <row r="506" spans="5:5">
      <c r="E506" t="e">
        <v>#VALUE!</v>
      </c>
    </row>
    <row r="507" spans="5:5">
      <c r="E507" t="e">
        <v>#VALUE!</v>
      </c>
    </row>
    <row r="508" spans="5:5">
      <c r="E508" t="e">
        <v>#VALUE!</v>
      </c>
    </row>
    <row r="509" spans="5:5">
      <c r="E509" t="e">
        <v>#VALUE!</v>
      </c>
    </row>
    <row r="510" spans="5:5">
      <c r="E510" t="e">
        <v>#VALUE!</v>
      </c>
    </row>
    <row r="511" spans="5:5">
      <c r="E511" t="e">
        <v>#VALUE!</v>
      </c>
    </row>
    <row r="512" spans="5:5">
      <c r="E512" t="e">
        <v>#VALUE!</v>
      </c>
    </row>
    <row r="513" spans="5:5">
      <c r="E513" t="e">
        <v>#VALUE!</v>
      </c>
    </row>
    <row r="514" spans="5:5">
      <c r="E514" t="e">
        <v>#VALUE!</v>
      </c>
    </row>
    <row r="515" spans="5:5">
      <c r="E515" t="e">
        <v>#VALUE!</v>
      </c>
    </row>
    <row r="516" spans="5:5">
      <c r="E516" t="e">
        <v>#VALUE!</v>
      </c>
    </row>
    <row r="517" spans="5:5">
      <c r="E517" t="e">
        <v>#VALUE!</v>
      </c>
    </row>
    <row r="518" spans="5:5">
      <c r="E518" t="e">
        <v>#VALUE!</v>
      </c>
    </row>
    <row r="519" spans="5:5">
      <c r="E519" t="e">
        <v>#VALUE!</v>
      </c>
    </row>
    <row r="520" spans="5:5">
      <c r="E520" t="e">
        <v>#VALUE!</v>
      </c>
    </row>
    <row r="521" spans="5:5">
      <c r="E521" t="e">
        <v>#VALUE!</v>
      </c>
    </row>
    <row r="522" spans="5:5">
      <c r="E522" t="e">
        <v>#VALUE!</v>
      </c>
    </row>
    <row r="523" spans="5:5">
      <c r="E523" t="e">
        <v>#VALUE!</v>
      </c>
    </row>
    <row r="524" spans="5:5">
      <c r="E524" t="e">
        <v>#VALUE!</v>
      </c>
    </row>
    <row r="525" spans="5:5">
      <c r="E525" t="e">
        <v>#VALUE!</v>
      </c>
    </row>
    <row r="526" spans="5:5">
      <c r="E526" t="e">
        <v>#VALUE!</v>
      </c>
    </row>
    <row r="527" spans="5:5">
      <c r="E527" t="e">
        <v>#VALUE!</v>
      </c>
    </row>
    <row r="528" spans="5:5">
      <c r="E528" t="e">
        <v>#VALUE!</v>
      </c>
    </row>
    <row r="529" spans="5:5">
      <c r="E529" t="e">
        <v>#VALUE!</v>
      </c>
    </row>
    <row r="530" spans="5:5">
      <c r="E530" t="e">
        <v>#VALUE!</v>
      </c>
    </row>
    <row r="531" spans="5:5">
      <c r="E531" t="e">
        <v>#VALUE!</v>
      </c>
    </row>
    <row r="532" spans="5:5">
      <c r="E532" t="e">
        <v>#VALUE!</v>
      </c>
    </row>
    <row r="533" spans="5:5">
      <c r="E533" t="e">
        <v>#VALUE!</v>
      </c>
    </row>
    <row r="534" spans="5:5">
      <c r="E534" t="e">
        <v>#VALUE!</v>
      </c>
    </row>
    <row r="535" spans="5:5">
      <c r="E535" t="e">
        <v>#VALUE!</v>
      </c>
    </row>
    <row r="536" spans="5:5">
      <c r="E536" t="e">
        <v>#VALUE!</v>
      </c>
    </row>
    <row r="537" spans="5:5">
      <c r="E537" t="e">
        <v>#VALUE!</v>
      </c>
    </row>
    <row r="538" spans="5:5">
      <c r="E538" t="e">
        <v>#VALUE!</v>
      </c>
    </row>
    <row r="539" spans="5:5">
      <c r="E539" t="e">
        <v>#VALUE!</v>
      </c>
    </row>
    <row r="540" spans="5:5">
      <c r="E540" t="e">
        <v>#VALUE!</v>
      </c>
    </row>
    <row r="541" spans="5:5">
      <c r="E541" t="e">
        <v>#VALUE!</v>
      </c>
    </row>
    <row r="542" spans="5:5">
      <c r="E542" t="e">
        <v>#VALUE!</v>
      </c>
    </row>
    <row r="543" spans="5:5">
      <c r="E543" t="e">
        <v>#VALUE!</v>
      </c>
    </row>
    <row r="544" spans="5:5">
      <c r="E544" t="e">
        <v>#VALUE!</v>
      </c>
    </row>
    <row r="545" spans="5:5">
      <c r="E545" t="e">
        <v>#VALUE!</v>
      </c>
    </row>
    <row r="546" spans="5:5">
      <c r="E546" t="e">
        <v>#VALUE!</v>
      </c>
    </row>
    <row r="547" spans="5:5">
      <c r="E547" t="e">
        <v>#VALUE!</v>
      </c>
    </row>
    <row r="548" spans="5:5">
      <c r="E548" t="e">
        <v>#VALUE!</v>
      </c>
    </row>
    <row r="549" spans="5:5">
      <c r="E549" t="e">
        <v>#VALUE!</v>
      </c>
    </row>
    <row r="550" spans="5:5">
      <c r="E550" t="e">
        <v>#VALUE!</v>
      </c>
    </row>
    <row r="551" spans="5:5">
      <c r="E551" t="e">
        <v>#VALUE!</v>
      </c>
    </row>
    <row r="552" spans="5:5">
      <c r="E552" t="e">
        <v>#VALUE!</v>
      </c>
    </row>
    <row r="553" spans="5:5">
      <c r="E553" t="e">
        <v>#VALUE!</v>
      </c>
    </row>
    <row r="554" spans="5:5">
      <c r="E554" t="e">
        <v>#VALUE!</v>
      </c>
    </row>
    <row r="555" spans="5:5">
      <c r="E555" t="e">
        <v>#VALUE!</v>
      </c>
    </row>
    <row r="556" spans="5:5">
      <c r="E556" t="e">
        <v>#VALUE!</v>
      </c>
    </row>
    <row r="557" spans="5:5">
      <c r="E557" t="e">
        <v>#VALUE!</v>
      </c>
    </row>
    <row r="558" spans="5:5">
      <c r="E558" t="e">
        <v>#VALUE!</v>
      </c>
    </row>
    <row r="559" spans="5:5">
      <c r="E559" t="e">
        <v>#VALUE!</v>
      </c>
    </row>
    <row r="560" spans="5:5">
      <c r="E560" t="e">
        <v>#VALUE!</v>
      </c>
    </row>
    <row r="561" spans="5:5">
      <c r="E561" t="e">
        <v>#VALUE!</v>
      </c>
    </row>
    <row r="562" spans="5:5">
      <c r="E562" t="e">
        <v>#VALUE!</v>
      </c>
    </row>
    <row r="563" spans="5:5">
      <c r="E563" t="e">
        <v>#VALUE!</v>
      </c>
    </row>
    <row r="564" spans="5:5">
      <c r="E564" t="e">
        <v>#VALUE!</v>
      </c>
    </row>
    <row r="565" spans="5:5">
      <c r="E565" t="e">
        <v>#VALUE!</v>
      </c>
    </row>
    <row r="566" spans="5:5">
      <c r="E566" t="e">
        <v>#VALUE!</v>
      </c>
    </row>
    <row r="567" spans="5:5">
      <c r="E567" t="e">
        <v>#VALUE!</v>
      </c>
    </row>
    <row r="568" spans="5:5">
      <c r="E568" t="e">
        <v>#VALUE!</v>
      </c>
    </row>
    <row r="569" spans="5:5">
      <c r="E569" t="e">
        <v>#VALUE!</v>
      </c>
    </row>
    <row r="570" spans="5:5">
      <c r="E570" t="e">
        <v>#VALUE!</v>
      </c>
    </row>
    <row r="571" spans="5:5">
      <c r="E571" t="e">
        <v>#VALUE!</v>
      </c>
    </row>
    <row r="572" spans="5:5">
      <c r="E572" t="e">
        <v>#VALUE!</v>
      </c>
    </row>
    <row r="573" spans="5:5">
      <c r="E573" t="e">
        <v>#VALUE!</v>
      </c>
    </row>
    <row r="574" spans="5:5">
      <c r="E574" t="e">
        <v>#VALUE!</v>
      </c>
    </row>
    <row r="575" spans="5:5">
      <c r="E575" t="e">
        <v>#VALUE!</v>
      </c>
    </row>
    <row r="576" spans="5:5">
      <c r="E576" t="e">
        <v>#VALUE!</v>
      </c>
    </row>
    <row r="577" spans="5:5">
      <c r="E577" t="e">
        <v>#VALUE!</v>
      </c>
    </row>
    <row r="578" spans="5:5">
      <c r="E578" t="e">
        <v>#VALUE!</v>
      </c>
    </row>
    <row r="579" spans="5:5">
      <c r="E579" t="e">
        <v>#VALUE!</v>
      </c>
    </row>
    <row r="580" spans="5:5">
      <c r="E580" t="e">
        <v>#VALUE!</v>
      </c>
    </row>
    <row r="581" spans="5:5">
      <c r="E581" t="e">
        <v>#VALUE!</v>
      </c>
    </row>
    <row r="582" spans="5:5">
      <c r="E582" t="e">
        <v>#VALUE!</v>
      </c>
    </row>
    <row r="583" spans="5:5">
      <c r="E583" t="e">
        <v>#VALUE!</v>
      </c>
    </row>
    <row r="584" spans="5:5">
      <c r="E584" t="e">
        <v>#VALUE!</v>
      </c>
    </row>
    <row r="585" spans="5:5">
      <c r="E585" t="e">
        <v>#VALUE!</v>
      </c>
    </row>
    <row r="586" spans="5:5">
      <c r="E586" t="e">
        <v>#VALUE!</v>
      </c>
    </row>
    <row r="587" spans="5:5">
      <c r="E587" t="e">
        <v>#VALUE!</v>
      </c>
    </row>
    <row r="588" spans="5:5">
      <c r="E588" t="e">
        <v>#VALUE!</v>
      </c>
    </row>
    <row r="589" spans="5:5">
      <c r="E589" t="e">
        <v>#VALUE!</v>
      </c>
    </row>
    <row r="590" spans="5:5">
      <c r="E590" t="e">
        <v>#VALUE!</v>
      </c>
    </row>
    <row r="591" spans="5:5">
      <c r="E591" t="e">
        <v>#VALUE!</v>
      </c>
    </row>
    <row r="592" spans="5:5">
      <c r="E592" t="e">
        <v>#VALUE!</v>
      </c>
    </row>
    <row r="593" spans="5:5">
      <c r="E593" t="e">
        <v>#VALUE!</v>
      </c>
    </row>
    <row r="594" spans="5:5">
      <c r="E594" t="e">
        <v>#VALUE!</v>
      </c>
    </row>
    <row r="595" spans="5:5">
      <c r="E595" t="e">
        <v>#VALUE!</v>
      </c>
    </row>
    <row r="596" spans="5:5">
      <c r="E596" t="e">
        <v>#VALUE!</v>
      </c>
    </row>
    <row r="597" spans="5:5">
      <c r="E597" t="e">
        <v>#VALUE!</v>
      </c>
    </row>
    <row r="598" spans="5:5">
      <c r="E598" t="e">
        <v>#VALUE!</v>
      </c>
    </row>
    <row r="599" spans="5:5">
      <c r="E599" t="e">
        <v>#VALUE!</v>
      </c>
    </row>
    <row r="600" spans="5:5">
      <c r="E600" t="e">
        <v>#VALUE!</v>
      </c>
    </row>
    <row r="601" spans="5:5">
      <c r="E601" t="e">
        <v>#VALUE!</v>
      </c>
    </row>
    <row r="602" spans="5:5">
      <c r="E602" t="e">
        <v>#VALUE!</v>
      </c>
    </row>
    <row r="603" spans="5:5">
      <c r="E603" t="e">
        <v>#VALUE!</v>
      </c>
    </row>
    <row r="604" spans="5:5">
      <c r="E604" t="e">
        <v>#VALUE!</v>
      </c>
    </row>
    <row r="605" spans="5:5">
      <c r="E605" t="e">
        <v>#VALUE!</v>
      </c>
    </row>
    <row r="606" spans="5:5">
      <c r="E606" t="e">
        <v>#VALUE!</v>
      </c>
    </row>
    <row r="607" spans="5:5">
      <c r="E607" t="e">
        <v>#VALUE!</v>
      </c>
    </row>
    <row r="608" spans="5:5">
      <c r="E608" t="e">
        <v>#VALUE!</v>
      </c>
    </row>
    <row r="609" spans="5:5">
      <c r="E609" t="e">
        <v>#VALUE!</v>
      </c>
    </row>
    <row r="610" spans="5:5">
      <c r="E610" t="e">
        <v>#VALUE!</v>
      </c>
    </row>
    <row r="611" spans="5:5">
      <c r="E611" t="e">
        <v>#VALUE!</v>
      </c>
    </row>
    <row r="612" spans="5:5">
      <c r="E612" t="e">
        <v>#VALUE!</v>
      </c>
    </row>
    <row r="613" spans="5:5">
      <c r="E613" t="e">
        <v>#VALUE!</v>
      </c>
    </row>
    <row r="614" spans="5:5">
      <c r="E614" t="e">
        <v>#VALUE!</v>
      </c>
    </row>
    <row r="615" spans="5:5">
      <c r="E615" t="e">
        <v>#VALUE!</v>
      </c>
    </row>
    <row r="616" spans="5:5">
      <c r="E616" t="e">
        <v>#VALUE!</v>
      </c>
    </row>
    <row r="617" spans="5:5">
      <c r="E617" t="e">
        <v>#VALUE!</v>
      </c>
    </row>
    <row r="618" spans="5:5">
      <c r="E618" t="e">
        <v>#VALUE!</v>
      </c>
    </row>
    <row r="619" spans="5:5">
      <c r="E619" t="e">
        <v>#VALUE!</v>
      </c>
    </row>
    <row r="620" spans="5:5">
      <c r="E620" t="e">
        <v>#VALUE!</v>
      </c>
    </row>
    <row r="621" spans="5:5">
      <c r="E621" t="e">
        <v>#VALUE!</v>
      </c>
    </row>
    <row r="622" spans="5:5">
      <c r="E622" t="e">
        <v>#VALUE!</v>
      </c>
    </row>
    <row r="623" spans="5:5">
      <c r="E623" t="e">
        <v>#VALUE!</v>
      </c>
    </row>
    <row r="624" spans="5:5">
      <c r="E624" t="e">
        <v>#VALUE!</v>
      </c>
    </row>
    <row r="625" spans="5:5">
      <c r="E625" t="e">
        <v>#VALUE!</v>
      </c>
    </row>
    <row r="626" spans="5:5">
      <c r="E626" t="e">
        <v>#VALUE!</v>
      </c>
    </row>
    <row r="627" spans="5:5">
      <c r="E627" t="e">
        <v>#VALUE!</v>
      </c>
    </row>
    <row r="628" spans="5:5">
      <c r="E628" t="e">
        <v>#VALUE!</v>
      </c>
    </row>
    <row r="629" spans="5:5">
      <c r="E629" t="e">
        <v>#VALUE!</v>
      </c>
    </row>
    <row r="630" spans="5:5">
      <c r="E630" t="e">
        <v>#VALUE!</v>
      </c>
    </row>
    <row r="631" spans="5:5">
      <c r="E631" t="e">
        <v>#VALUE!</v>
      </c>
    </row>
    <row r="632" spans="5:5">
      <c r="E632" t="e">
        <v>#VALUE!</v>
      </c>
    </row>
    <row r="633" spans="5:5">
      <c r="E633" t="e">
        <v>#VALUE!</v>
      </c>
    </row>
    <row r="634" spans="5:5">
      <c r="E634" t="e">
        <v>#VALUE!</v>
      </c>
    </row>
    <row r="635" spans="5:5">
      <c r="E635" t="e">
        <v>#VALUE!</v>
      </c>
    </row>
    <row r="636" spans="5:5">
      <c r="E636" t="e">
        <v>#VALUE!</v>
      </c>
    </row>
    <row r="637" spans="5:5">
      <c r="E637" t="e">
        <v>#VALUE!</v>
      </c>
    </row>
    <row r="638" spans="5:5">
      <c r="E638" t="e">
        <v>#VALUE!</v>
      </c>
    </row>
    <row r="639" spans="5:5">
      <c r="E639" t="e">
        <v>#VALUE!</v>
      </c>
    </row>
    <row r="640" spans="5:5">
      <c r="E640" t="e">
        <v>#VALUE!</v>
      </c>
    </row>
    <row r="641" spans="5:5">
      <c r="E641" t="e">
        <v>#VALUE!</v>
      </c>
    </row>
    <row r="642" spans="5:5">
      <c r="E642" t="e">
        <v>#VALUE!</v>
      </c>
    </row>
    <row r="643" spans="5:5">
      <c r="E643" t="e">
        <v>#VALUE!</v>
      </c>
    </row>
    <row r="644" spans="5:5">
      <c r="E644" t="e">
        <v>#VALUE!</v>
      </c>
    </row>
    <row r="645" spans="5:5">
      <c r="E645" t="e">
        <v>#VALUE!</v>
      </c>
    </row>
    <row r="646" spans="5:5">
      <c r="E646" t="e">
        <v>#VALUE!</v>
      </c>
    </row>
    <row r="647" spans="5:5">
      <c r="E647" t="e">
        <v>#VALUE!</v>
      </c>
    </row>
    <row r="648" spans="5:5">
      <c r="E648" t="e">
        <v>#VALUE!</v>
      </c>
    </row>
    <row r="649" spans="5:5">
      <c r="E649" t="e">
        <v>#VALUE!</v>
      </c>
    </row>
    <row r="650" spans="5:5">
      <c r="E650" t="e">
        <v>#VALUE!</v>
      </c>
    </row>
    <row r="651" spans="5:5">
      <c r="E651" t="e">
        <v>#VALUE!</v>
      </c>
    </row>
    <row r="652" spans="5:5">
      <c r="E652" t="e">
        <v>#VALUE!</v>
      </c>
    </row>
    <row r="653" spans="5:5">
      <c r="E653" t="e">
        <v>#VALUE!</v>
      </c>
    </row>
    <row r="654" spans="5:5">
      <c r="E654" t="e">
        <v>#VALUE!</v>
      </c>
    </row>
    <row r="655" spans="5:5">
      <c r="E655" t="e">
        <v>#VALUE!</v>
      </c>
    </row>
    <row r="656" spans="5:5">
      <c r="E656" t="e">
        <v>#VALUE!</v>
      </c>
    </row>
    <row r="657" spans="5:5">
      <c r="E657" t="e">
        <v>#VALUE!</v>
      </c>
    </row>
    <row r="658" spans="5:5">
      <c r="E658" t="e">
        <v>#VALUE!</v>
      </c>
    </row>
    <row r="659" spans="5:5">
      <c r="E659" t="e">
        <v>#VALUE!</v>
      </c>
    </row>
    <row r="660" spans="5:5">
      <c r="E660" t="e">
        <v>#VALUE!</v>
      </c>
    </row>
    <row r="661" spans="5:5">
      <c r="E661" t="e">
        <v>#VALUE!</v>
      </c>
    </row>
    <row r="662" spans="5:5">
      <c r="E662" t="e">
        <v>#VALUE!</v>
      </c>
    </row>
    <row r="663" spans="5:5">
      <c r="E663" t="e">
        <v>#VALUE!</v>
      </c>
    </row>
    <row r="664" spans="5:5">
      <c r="E664" t="e">
        <v>#VALUE!</v>
      </c>
    </row>
    <row r="665" spans="5:5">
      <c r="E665" t="e">
        <v>#VALUE!</v>
      </c>
    </row>
    <row r="666" spans="5:5">
      <c r="E666" t="e">
        <v>#VALUE!</v>
      </c>
    </row>
    <row r="667" spans="5:5">
      <c r="E667" t="e">
        <v>#VALUE!</v>
      </c>
    </row>
    <row r="668" spans="5:5">
      <c r="E668" t="e">
        <v>#VALUE!</v>
      </c>
    </row>
    <row r="669" spans="5:5">
      <c r="E669" t="e">
        <v>#VALUE!</v>
      </c>
    </row>
    <row r="670" spans="5:5">
      <c r="E670" t="e">
        <v>#VALUE!</v>
      </c>
    </row>
    <row r="671" spans="5:5">
      <c r="E671" t="e">
        <v>#VALUE!</v>
      </c>
    </row>
    <row r="672" spans="5:5">
      <c r="E672" t="e">
        <v>#VALUE!</v>
      </c>
    </row>
    <row r="673" spans="5:5">
      <c r="E673" t="e">
        <v>#VALUE!</v>
      </c>
    </row>
    <row r="674" spans="5:5">
      <c r="E674" t="e">
        <v>#VALUE!</v>
      </c>
    </row>
    <row r="675" spans="5:5">
      <c r="E675" t="e">
        <v>#VALUE!</v>
      </c>
    </row>
    <row r="676" spans="5:5">
      <c r="E676" t="e">
        <v>#VALUE!</v>
      </c>
    </row>
    <row r="677" spans="5:5">
      <c r="E677" t="e">
        <v>#VALUE!</v>
      </c>
    </row>
    <row r="678" spans="5:5">
      <c r="E678" t="e">
        <v>#VALUE!</v>
      </c>
    </row>
    <row r="679" spans="5:5">
      <c r="E679" t="e">
        <v>#VALUE!</v>
      </c>
    </row>
    <row r="680" spans="5:5">
      <c r="E680" t="e">
        <v>#VALUE!</v>
      </c>
    </row>
    <row r="681" spans="5:5">
      <c r="E681" t="e">
        <v>#VALUE!</v>
      </c>
    </row>
    <row r="682" spans="5:5">
      <c r="E682" t="e">
        <v>#VALUE!</v>
      </c>
    </row>
    <row r="683" spans="5:5">
      <c r="E683" t="e">
        <v>#VALUE!</v>
      </c>
    </row>
    <row r="684" spans="5:5">
      <c r="E684" t="e">
        <v>#VALUE!</v>
      </c>
    </row>
    <row r="685" spans="5:5">
      <c r="E685" t="e">
        <v>#VALUE!</v>
      </c>
    </row>
    <row r="686" spans="5:5">
      <c r="E686" t="e">
        <v>#VALUE!</v>
      </c>
    </row>
    <row r="687" spans="5:5">
      <c r="E687" t="e">
        <v>#VALUE!</v>
      </c>
    </row>
    <row r="688" spans="5:5">
      <c r="E688" t="e">
        <v>#VALUE!</v>
      </c>
    </row>
    <row r="689" spans="5:5">
      <c r="E689" t="e">
        <v>#VALUE!</v>
      </c>
    </row>
    <row r="690" spans="5:5">
      <c r="E690" t="e">
        <v>#VALUE!</v>
      </c>
    </row>
    <row r="691" spans="5:5">
      <c r="E691" t="e">
        <v>#VALUE!</v>
      </c>
    </row>
    <row r="692" spans="5:5">
      <c r="E692" t="e">
        <v>#VALUE!</v>
      </c>
    </row>
    <row r="693" spans="5:5">
      <c r="E693" t="e">
        <v>#VALUE!</v>
      </c>
    </row>
    <row r="694" spans="5:5">
      <c r="E694" t="e">
        <v>#VALUE!</v>
      </c>
    </row>
    <row r="695" spans="5:5">
      <c r="E695" t="e">
        <v>#VALUE!</v>
      </c>
    </row>
    <row r="696" spans="5:5">
      <c r="E696" t="e">
        <v>#VALUE!</v>
      </c>
    </row>
    <row r="697" spans="5:5">
      <c r="E697" t="e">
        <v>#VALUE!</v>
      </c>
    </row>
    <row r="698" spans="5:5">
      <c r="E698" t="e">
        <v>#VALUE!</v>
      </c>
    </row>
    <row r="699" spans="5:5">
      <c r="E699" t="e">
        <v>#VALUE!</v>
      </c>
    </row>
    <row r="700" spans="5:5">
      <c r="E700" t="e">
        <v>#VALUE!</v>
      </c>
    </row>
    <row r="701" spans="5:5">
      <c r="E701" t="e">
        <v>#VALUE!</v>
      </c>
    </row>
    <row r="702" spans="5:5">
      <c r="E702" t="e">
        <v>#VALUE!</v>
      </c>
    </row>
    <row r="703" spans="5:5">
      <c r="E703" t="e">
        <v>#VALUE!</v>
      </c>
    </row>
    <row r="704" spans="5:5">
      <c r="E704" t="e">
        <v>#VALUE!</v>
      </c>
    </row>
    <row r="705" spans="5:5">
      <c r="E705" t="e">
        <v>#VALUE!</v>
      </c>
    </row>
    <row r="706" spans="5:5">
      <c r="E706" t="e">
        <v>#VALUE!</v>
      </c>
    </row>
    <row r="707" spans="5:5">
      <c r="E707" t="e">
        <v>#VALUE!</v>
      </c>
    </row>
    <row r="708" spans="5:5">
      <c r="E708" t="e">
        <v>#VALUE!</v>
      </c>
    </row>
    <row r="709" spans="5:5">
      <c r="E709" t="e">
        <v>#VALUE!</v>
      </c>
    </row>
    <row r="710" spans="5:5">
      <c r="E710" t="e">
        <v>#VALUE!</v>
      </c>
    </row>
    <row r="711" spans="5:5">
      <c r="E711" t="e">
        <v>#VALUE!</v>
      </c>
    </row>
    <row r="712" spans="5:5">
      <c r="E712" t="e">
        <v>#VALUE!</v>
      </c>
    </row>
    <row r="713" spans="5:5">
      <c r="E713" t="e">
        <v>#VALUE!</v>
      </c>
    </row>
    <row r="714" spans="5:5">
      <c r="E714" t="e">
        <v>#VALUE!</v>
      </c>
    </row>
    <row r="715" spans="5:5">
      <c r="E715" t="e">
        <v>#VALUE!</v>
      </c>
    </row>
    <row r="716" spans="5:5">
      <c r="E716" t="e">
        <v>#VALUE!</v>
      </c>
    </row>
    <row r="717" spans="5:5">
      <c r="E717" t="e">
        <v>#VALUE!</v>
      </c>
    </row>
    <row r="718" spans="5:5">
      <c r="E718" t="e">
        <v>#VALUE!</v>
      </c>
    </row>
    <row r="719" spans="5:5">
      <c r="E719" t="e">
        <v>#VALUE!</v>
      </c>
    </row>
    <row r="720" spans="5:5">
      <c r="E720" t="e">
        <v>#VALUE!</v>
      </c>
    </row>
    <row r="721" spans="5:5">
      <c r="E721" t="e">
        <v>#VALUE!</v>
      </c>
    </row>
    <row r="722" spans="5:5">
      <c r="E722" t="e">
        <v>#VALUE!</v>
      </c>
    </row>
    <row r="723" spans="5:5">
      <c r="E723" t="e">
        <v>#VALUE!</v>
      </c>
    </row>
    <row r="724" spans="5:5">
      <c r="E724" t="e">
        <v>#VALUE!</v>
      </c>
    </row>
    <row r="725" spans="5:5">
      <c r="E725" t="e">
        <v>#VALUE!</v>
      </c>
    </row>
    <row r="726" spans="5:5">
      <c r="E726" t="e">
        <v>#VALUE!</v>
      </c>
    </row>
    <row r="727" spans="5:5">
      <c r="E727" t="e">
        <v>#VALUE!</v>
      </c>
    </row>
    <row r="728" spans="5:5">
      <c r="E728" t="e">
        <v>#VALUE!</v>
      </c>
    </row>
    <row r="729" spans="5:5">
      <c r="E729" t="e">
        <v>#VALUE!</v>
      </c>
    </row>
    <row r="730" spans="5:5">
      <c r="E730" t="e">
        <v>#VALUE!</v>
      </c>
    </row>
    <row r="731" spans="5:5">
      <c r="E731" t="e">
        <v>#VALUE!</v>
      </c>
    </row>
    <row r="732" spans="5:5">
      <c r="E732" t="e">
        <v>#VALUE!</v>
      </c>
    </row>
    <row r="733" spans="5:5">
      <c r="E733" t="e">
        <v>#VALUE!</v>
      </c>
    </row>
    <row r="734" spans="5:5">
      <c r="E734" t="e">
        <v>#VALUE!</v>
      </c>
    </row>
    <row r="735" spans="5:5">
      <c r="E735" t="e">
        <v>#VALUE!</v>
      </c>
    </row>
    <row r="736" spans="5:5">
      <c r="E736" t="e">
        <v>#VALUE!</v>
      </c>
    </row>
    <row r="737" spans="5:5">
      <c r="E737" t="e">
        <v>#VALUE!</v>
      </c>
    </row>
    <row r="738" spans="5:5">
      <c r="E738" t="e">
        <v>#VALUE!</v>
      </c>
    </row>
    <row r="739" spans="5:5">
      <c r="E739" t="e">
        <v>#VALUE!</v>
      </c>
    </row>
    <row r="740" spans="5:5">
      <c r="E740" t="e">
        <v>#VALUE!</v>
      </c>
    </row>
    <row r="741" spans="5:5">
      <c r="E741" t="e">
        <v>#VALUE!</v>
      </c>
    </row>
    <row r="742" spans="5:5">
      <c r="E742" t="e">
        <v>#VALUE!</v>
      </c>
    </row>
    <row r="743" spans="5:5">
      <c r="E743" t="e">
        <v>#VALUE!</v>
      </c>
    </row>
    <row r="744" spans="5:5">
      <c r="E744" t="e">
        <v>#VALUE!</v>
      </c>
    </row>
    <row r="745" spans="5:5">
      <c r="E745" t="e">
        <v>#VALUE!</v>
      </c>
    </row>
    <row r="746" spans="5:5">
      <c r="E746" t="e">
        <v>#VALUE!</v>
      </c>
    </row>
    <row r="747" spans="5:5">
      <c r="E747" t="e">
        <v>#VALUE!</v>
      </c>
    </row>
    <row r="748" spans="5:5">
      <c r="E748" t="e">
        <v>#VALUE!</v>
      </c>
    </row>
    <row r="749" spans="5:5">
      <c r="E749" t="e">
        <v>#VALUE!</v>
      </c>
    </row>
    <row r="750" spans="5:5">
      <c r="E750" t="e">
        <v>#VALUE!</v>
      </c>
    </row>
    <row r="751" spans="5:5">
      <c r="E751" t="e">
        <v>#VALUE!</v>
      </c>
    </row>
    <row r="752" spans="5:5">
      <c r="E752" t="e">
        <v>#VALUE!</v>
      </c>
    </row>
    <row r="753" spans="5:5">
      <c r="E753" t="e">
        <v>#VALUE!</v>
      </c>
    </row>
    <row r="754" spans="5:5">
      <c r="E754" t="e">
        <v>#VALUE!</v>
      </c>
    </row>
    <row r="755" spans="5:5">
      <c r="E755" t="e">
        <v>#VALUE!</v>
      </c>
    </row>
    <row r="756" spans="5:5">
      <c r="E756" t="e">
        <v>#VALUE!</v>
      </c>
    </row>
    <row r="757" spans="5:5">
      <c r="E757" t="e">
        <v>#VALUE!</v>
      </c>
    </row>
    <row r="758" spans="5:5">
      <c r="E758" t="e">
        <v>#VALUE!</v>
      </c>
    </row>
    <row r="759" spans="5:5">
      <c r="E759" t="e">
        <v>#VALUE!</v>
      </c>
    </row>
    <row r="760" spans="5:5">
      <c r="E760" t="e">
        <v>#VALUE!</v>
      </c>
    </row>
    <row r="761" spans="5:5">
      <c r="E761" t="e">
        <v>#VALUE!</v>
      </c>
    </row>
    <row r="762" spans="5:5">
      <c r="E762" t="e">
        <v>#VALUE!</v>
      </c>
    </row>
    <row r="763" spans="5:5">
      <c r="E763" t="e">
        <v>#VALUE!</v>
      </c>
    </row>
    <row r="764" spans="5:5">
      <c r="E764" t="e">
        <v>#VALUE!</v>
      </c>
    </row>
    <row r="765" spans="5:5">
      <c r="E765" t="e">
        <v>#VALUE!</v>
      </c>
    </row>
    <row r="766" spans="5:5">
      <c r="E766" t="e">
        <v>#VALUE!</v>
      </c>
    </row>
    <row r="767" spans="5:5">
      <c r="E767" t="e">
        <v>#VALUE!</v>
      </c>
    </row>
    <row r="768" spans="5:5">
      <c r="E768" t="e">
        <v>#VALUE!</v>
      </c>
    </row>
    <row r="769" spans="5:5">
      <c r="E769" t="e">
        <v>#VALUE!</v>
      </c>
    </row>
    <row r="770" spans="5:5">
      <c r="E770" t="e">
        <v>#VALUE!</v>
      </c>
    </row>
    <row r="771" spans="5:5">
      <c r="E771" t="e">
        <v>#VALUE!</v>
      </c>
    </row>
    <row r="772" spans="5:5">
      <c r="E772" t="e">
        <v>#VALUE!</v>
      </c>
    </row>
    <row r="773" spans="5:5">
      <c r="E773" t="e">
        <v>#VALUE!</v>
      </c>
    </row>
    <row r="774" spans="5:5">
      <c r="E774" t="e">
        <v>#VALUE!</v>
      </c>
    </row>
    <row r="775" spans="5:5">
      <c r="E775" t="e">
        <v>#VALUE!</v>
      </c>
    </row>
    <row r="776" spans="5:5">
      <c r="E776" t="e">
        <v>#VALUE!</v>
      </c>
    </row>
    <row r="777" spans="5:5">
      <c r="E777" t="e">
        <v>#VALUE!</v>
      </c>
    </row>
    <row r="778" spans="5:5">
      <c r="E778" t="e">
        <v>#VALUE!</v>
      </c>
    </row>
    <row r="779" spans="5:5">
      <c r="E779" t="e">
        <v>#VALUE!</v>
      </c>
    </row>
    <row r="780" spans="5:5">
      <c r="E780" t="e">
        <v>#VALUE!</v>
      </c>
    </row>
    <row r="781" spans="5:5">
      <c r="E781" t="e">
        <v>#VALUE!</v>
      </c>
    </row>
    <row r="782" spans="5:5">
      <c r="E782" t="e">
        <v>#VALUE!</v>
      </c>
    </row>
    <row r="783" spans="5:5">
      <c r="E783" t="e">
        <v>#VALUE!</v>
      </c>
    </row>
    <row r="784" spans="5:5">
      <c r="E784" t="e">
        <v>#VALUE!</v>
      </c>
    </row>
    <row r="785" spans="5:5">
      <c r="E785" t="e">
        <v>#VALUE!</v>
      </c>
    </row>
    <row r="786" spans="5:5">
      <c r="E786" t="e">
        <v>#VALUE!</v>
      </c>
    </row>
    <row r="787" spans="5:5">
      <c r="E787" t="e">
        <v>#VALUE!</v>
      </c>
    </row>
    <row r="788" spans="5:5">
      <c r="E788" t="e">
        <v>#VALUE!</v>
      </c>
    </row>
    <row r="789" spans="5:5">
      <c r="E789" t="e">
        <v>#VALUE!</v>
      </c>
    </row>
    <row r="790" spans="5:5">
      <c r="E790" t="e">
        <v>#VALUE!</v>
      </c>
    </row>
    <row r="791" spans="5:5">
      <c r="E791" t="e">
        <v>#VALUE!</v>
      </c>
    </row>
    <row r="792" spans="5:5">
      <c r="E792" t="e">
        <v>#VALUE!</v>
      </c>
    </row>
    <row r="793" spans="5:5">
      <c r="E793" t="e">
        <v>#VALUE!</v>
      </c>
    </row>
    <row r="794" spans="5:5">
      <c r="E794" t="e">
        <v>#VALUE!</v>
      </c>
    </row>
    <row r="795" spans="5:5">
      <c r="E795" t="e">
        <v>#VALUE!</v>
      </c>
    </row>
    <row r="796" spans="5:5">
      <c r="E796" t="e">
        <v>#VALUE!</v>
      </c>
    </row>
    <row r="797" spans="5:5">
      <c r="E797" t="e">
        <v>#VALUE!</v>
      </c>
    </row>
    <row r="798" spans="5:5">
      <c r="E798" t="e">
        <v>#VALUE!</v>
      </c>
    </row>
    <row r="799" spans="5:5">
      <c r="E799" t="e">
        <v>#VALUE!</v>
      </c>
    </row>
    <row r="800" spans="5:5">
      <c r="E800" t="e">
        <v>#VALUE!</v>
      </c>
    </row>
    <row r="801" spans="5:5">
      <c r="E801" t="e">
        <v>#VALUE!</v>
      </c>
    </row>
    <row r="802" spans="5:5">
      <c r="E802" t="e">
        <v>#VALUE!</v>
      </c>
    </row>
    <row r="803" spans="5:5">
      <c r="E803" t="e">
        <v>#VALUE!</v>
      </c>
    </row>
    <row r="804" spans="5:5">
      <c r="E804" t="e">
        <v>#VALUE!</v>
      </c>
    </row>
    <row r="805" spans="5:5">
      <c r="E805" t="e">
        <v>#VALUE!</v>
      </c>
    </row>
    <row r="806" spans="5:5">
      <c r="E806" t="e">
        <v>#VALUE!</v>
      </c>
    </row>
    <row r="807" spans="5:5">
      <c r="E807" t="e">
        <v>#VALUE!</v>
      </c>
    </row>
    <row r="808" spans="5:5">
      <c r="E808" t="e">
        <v>#VALUE!</v>
      </c>
    </row>
    <row r="809" spans="5:5">
      <c r="E809" t="e">
        <v>#VALUE!</v>
      </c>
    </row>
    <row r="810" spans="5:5">
      <c r="E810" t="e">
        <v>#VALUE!</v>
      </c>
    </row>
    <row r="811" spans="5:5">
      <c r="E811" t="e">
        <v>#VALUE!</v>
      </c>
    </row>
    <row r="812" spans="5:5">
      <c r="E812" t="e">
        <v>#VALUE!</v>
      </c>
    </row>
    <row r="813" spans="5:5">
      <c r="E813" t="e">
        <v>#VALUE!</v>
      </c>
    </row>
    <row r="814" spans="5:5">
      <c r="E814" t="e">
        <v>#VALUE!</v>
      </c>
    </row>
    <row r="815" spans="5:5">
      <c r="E815" t="e">
        <v>#VALUE!</v>
      </c>
    </row>
    <row r="816" spans="5:5">
      <c r="E816" t="e">
        <v>#VALUE!</v>
      </c>
    </row>
    <row r="817" spans="5:5">
      <c r="E817" t="e">
        <v>#VALUE!</v>
      </c>
    </row>
    <row r="818" spans="5:5">
      <c r="E818" t="e">
        <v>#VALUE!</v>
      </c>
    </row>
    <row r="819" spans="5:5">
      <c r="E819" t="e">
        <v>#VALUE!</v>
      </c>
    </row>
    <row r="820" spans="5:5">
      <c r="E820" t="e">
        <v>#VALUE!</v>
      </c>
    </row>
    <row r="821" spans="5:5">
      <c r="E821" t="e">
        <v>#VALUE!</v>
      </c>
    </row>
    <row r="822" spans="5:5">
      <c r="E822" t="e">
        <v>#VALUE!</v>
      </c>
    </row>
    <row r="823" spans="5:5">
      <c r="E823" t="e">
        <v>#VALUE!</v>
      </c>
    </row>
    <row r="824" spans="5:5">
      <c r="E824" t="e">
        <v>#VALUE!</v>
      </c>
    </row>
    <row r="825" spans="5:5">
      <c r="E825" t="e">
        <v>#VALUE!</v>
      </c>
    </row>
    <row r="826" spans="5:5">
      <c r="E826" t="e">
        <v>#VALUE!</v>
      </c>
    </row>
    <row r="827" spans="5:5">
      <c r="E827" t="e">
        <v>#VALUE!</v>
      </c>
    </row>
    <row r="828" spans="5:5">
      <c r="E828" t="e">
        <v>#VALUE!</v>
      </c>
    </row>
    <row r="829" spans="5:5">
      <c r="E829" t="e">
        <v>#VALUE!</v>
      </c>
    </row>
    <row r="830" spans="5:5">
      <c r="E830" t="e">
        <v>#VALUE!</v>
      </c>
    </row>
    <row r="831" spans="5:5">
      <c r="E831" t="e">
        <v>#VALUE!</v>
      </c>
    </row>
    <row r="832" spans="5:5">
      <c r="E832" t="e">
        <v>#VALUE!</v>
      </c>
    </row>
    <row r="833" spans="5:5">
      <c r="E833" t="e">
        <v>#VALUE!</v>
      </c>
    </row>
    <row r="834" spans="5:5">
      <c r="E834" t="e">
        <v>#VALUE!</v>
      </c>
    </row>
    <row r="835" spans="5:5">
      <c r="E835" t="e">
        <v>#VALUE!</v>
      </c>
    </row>
    <row r="836" spans="5:5">
      <c r="E836" t="e">
        <v>#VALUE!</v>
      </c>
    </row>
    <row r="837" spans="5:5">
      <c r="E837" t="e">
        <v>#VALUE!</v>
      </c>
    </row>
    <row r="838" spans="5:5">
      <c r="E838" t="e">
        <v>#VALUE!</v>
      </c>
    </row>
    <row r="839" spans="5:5">
      <c r="E839" t="e">
        <v>#VALUE!</v>
      </c>
    </row>
    <row r="840" spans="5:5">
      <c r="E840" t="e">
        <v>#VALUE!</v>
      </c>
    </row>
    <row r="841" spans="5:5">
      <c r="E841" t="e">
        <v>#VALUE!</v>
      </c>
    </row>
    <row r="842" spans="5:5">
      <c r="E842" t="e">
        <v>#VALUE!</v>
      </c>
    </row>
    <row r="843" spans="5:5">
      <c r="E843" t="e">
        <v>#VALUE!</v>
      </c>
    </row>
    <row r="844" spans="5:5">
      <c r="E844" t="e">
        <v>#VALUE!</v>
      </c>
    </row>
    <row r="845" spans="5:5">
      <c r="E845" t="e">
        <v>#VALUE!</v>
      </c>
    </row>
    <row r="846" spans="5:5">
      <c r="E846" t="e">
        <v>#VALUE!</v>
      </c>
    </row>
    <row r="847" spans="5:5">
      <c r="E847" t="e">
        <v>#VALUE!</v>
      </c>
    </row>
    <row r="848" spans="5:5">
      <c r="E848" t="e">
        <v>#VALUE!</v>
      </c>
    </row>
    <row r="849" spans="5:5">
      <c r="E849" t="e">
        <v>#VALUE!</v>
      </c>
    </row>
    <row r="850" spans="5:5">
      <c r="E850" t="e">
        <v>#VALUE!</v>
      </c>
    </row>
    <row r="851" spans="5:5">
      <c r="E851" t="e">
        <v>#VALUE!</v>
      </c>
    </row>
    <row r="852" spans="5:5">
      <c r="E852" t="e">
        <v>#VALUE!</v>
      </c>
    </row>
    <row r="853" spans="5:5">
      <c r="E853" t="e">
        <v>#VALUE!</v>
      </c>
    </row>
    <row r="854" spans="5:5">
      <c r="E854" t="e">
        <v>#VALUE!</v>
      </c>
    </row>
    <row r="855" spans="5:5">
      <c r="E855" t="e">
        <v>#VALUE!</v>
      </c>
    </row>
    <row r="856" spans="5:5">
      <c r="E856" t="e">
        <v>#VALUE!</v>
      </c>
    </row>
    <row r="857" spans="5:5">
      <c r="E857" t="e">
        <v>#VALUE!</v>
      </c>
    </row>
    <row r="858" spans="5:5">
      <c r="E858" t="e">
        <v>#VALUE!</v>
      </c>
    </row>
    <row r="859" spans="5:5">
      <c r="E859" t="e">
        <v>#VALUE!</v>
      </c>
    </row>
    <row r="860" spans="5:5">
      <c r="E860" t="e">
        <v>#VALUE!</v>
      </c>
    </row>
    <row r="861" spans="5:5">
      <c r="E861" t="e">
        <v>#VALUE!</v>
      </c>
    </row>
    <row r="862" spans="5:5">
      <c r="E862" t="e">
        <v>#VALUE!</v>
      </c>
    </row>
    <row r="863" spans="5:5">
      <c r="E863" t="e">
        <v>#VALUE!</v>
      </c>
    </row>
    <row r="864" spans="5:5">
      <c r="E864" t="e">
        <v>#VALUE!</v>
      </c>
    </row>
    <row r="865" spans="5:5">
      <c r="E865" t="e">
        <v>#VALUE!</v>
      </c>
    </row>
    <row r="866" spans="5:5">
      <c r="E866" t="e">
        <v>#VALUE!</v>
      </c>
    </row>
    <row r="867" spans="5:5">
      <c r="E867" t="e">
        <v>#VALUE!</v>
      </c>
    </row>
    <row r="868" spans="5:5">
      <c r="E868" t="e">
        <v>#VALUE!</v>
      </c>
    </row>
    <row r="869" spans="5:5">
      <c r="E869" t="e">
        <v>#VALUE!</v>
      </c>
    </row>
    <row r="870" spans="5:5">
      <c r="E870" t="e">
        <v>#VALUE!</v>
      </c>
    </row>
    <row r="871" spans="5:5">
      <c r="E871" t="e">
        <v>#VALUE!</v>
      </c>
    </row>
    <row r="872" spans="5:5">
      <c r="E872" t="e">
        <v>#VALUE!</v>
      </c>
    </row>
    <row r="873" spans="5:5">
      <c r="E873" t="e">
        <v>#VALUE!</v>
      </c>
    </row>
    <row r="874" spans="5:5">
      <c r="E874" t="e">
        <v>#VALUE!</v>
      </c>
    </row>
    <row r="875" spans="5:5">
      <c r="E875" t="e">
        <v>#VALUE!</v>
      </c>
    </row>
    <row r="876" spans="5:5">
      <c r="E876" t="e">
        <v>#VALUE!</v>
      </c>
    </row>
    <row r="877" spans="5:5">
      <c r="E877" t="e">
        <v>#VALUE!</v>
      </c>
    </row>
    <row r="878" spans="5:5">
      <c r="E878" t="e">
        <v>#VALUE!</v>
      </c>
    </row>
    <row r="879" spans="5:5">
      <c r="E879" t="e">
        <v>#VALUE!</v>
      </c>
    </row>
    <row r="880" spans="5:5">
      <c r="E880" t="e">
        <v>#VALUE!</v>
      </c>
    </row>
    <row r="881" spans="5:5">
      <c r="E881" t="e">
        <v>#VALUE!</v>
      </c>
    </row>
    <row r="882" spans="5:5">
      <c r="E882" t="e">
        <v>#VALUE!</v>
      </c>
    </row>
    <row r="883" spans="5:5">
      <c r="E883" t="e">
        <v>#VALUE!</v>
      </c>
    </row>
    <row r="884" spans="5:5">
      <c r="E884" t="e">
        <v>#VALUE!</v>
      </c>
    </row>
    <row r="885" spans="5:5">
      <c r="E885" t="e">
        <v>#VALUE!</v>
      </c>
    </row>
    <row r="886" spans="5:5">
      <c r="E886" t="e">
        <v>#VALUE!</v>
      </c>
    </row>
    <row r="887" spans="5:5">
      <c r="E887" t="e">
        <v>#VALUE!</v>
      </c>
    </row>
    <row r="888" spans="5:5">
      <c r="E888" t="e">
        <v>#VALUE!</v>
      </c>
    </row>
    <row r="889" spans="5:5">
      <c r="E889" t="e">
        <v>#VALUE!</v>
      </c>
    </row>
    <row r="890" spans="5:5">
      <c r="E890" t="e">
        <v>#VALUE!</v>
      </c>
    </row>
    <row r="891" spans="5:5">
      <c r="E891" t="e">
        <v>#VALUE!</v>
      </c>
    </row>
    <row r="892" spans="5:5">
      <c r="E892" t="e">
        <v>#VALUE!</v>
      </c>
    </row>
    <row r="893" spans="5:5">
      <c r="E893" t="e">
        <v>#VALUE!</v>
      </c>
    </row>
    <row r="894" spans="5:5">
      <c r="E894" t="e">
        <v>#VALUE!</v>
      </c>
    </row>
    <row r="895" spans="5:5">
      <c r="E895" t="e">
        <v>#VALUE!</v>
      </c>
    </row>
    <row r="896" spans="5:5">
      <c r="E896" t="e">
        <v>#VALUE!</v>
      </c>
    </row>
    <row r="897" spans="5:5">
      <c r="E897" t="e">
        <v>#VALUE!</v>
      </c>
    </row>
    <row r="898" spans="5:5">
      <c r="E898" t="e">
        <v>#VALUE!</v>
      </c>
    </row>
    <row r="899" spans="5:5">
      <c r="E899" t="e">
        <v>#VALUE!</v>
      </c>
    </row>
    <row r="900" spans="5:5">
      <c r="E900" t="e">
        <v>#VALUE!</v>
      </c>
    </row>
    <row r="901" spans="5:5">
      <c r="E901" t="e">
        <v>#VALUE!</v>
      </c>
    </row>
    <row r="902" spans="5:5">
      <c r="E902" t="e">
        <v>#VALUE!</v>
      </c>
    </row>
    <row r="903" spans="5:5">
      <c r="E903" t="e">
        <v>#VALUE!</v>
      </c>
    </row>
    <row r="904" spans="5:5">
      <c r="E904" t="e">
        <v>#VALUE!</v>
      </c>
    </row>
    <row r="905" spans="5:5">
      <c r="E905" t="e">
        <v>#VALUE!</v>
      </c>
    </row>
    <row r="906" spans="5:5">
      <c r="E906" t="e">
        <v>#VALUE!</v>
      </c>
    </row>
    <row r="907" spans="5:5">
      <c r="E907" t="e">
        <v>#VALUE!</v>
      </c>
    </row>
    <row r="908" spans="5:5">
      <c r="E908" t="e">
        <v>#VALUE!</v>
      </c>
    </row>
    <row r="909" spans="5:5">
      <c r="E909" t="e">
        <v>#VALUE!</v>
      </c>
    </row>
    <row r="910" spans="5:5">
      <c r="E910" t="e">
        <v>#VALUE!</v>
      </c>
    </row>
    <row r="911" spans="5:5">
      <c r="E911" t="e">
        <v>#VALUE!</v>
      </c>
    </row>
    <row r="912" spans="5:5">
      <c r="E912" t="e">
        <v>#VALUE!</v>
      </c>
    </row>
    <row r="913" spans="5:5">
      <c r="E913" t="e">
        <v>#VALUE!</v>
      </c>
    </row>
    <row r="914" spans="5:5">
      <c r="E914" t="e">
        <v>#VALUE!</v>
      </c>
    </row>
    <row r="915" spans="5:5">
      <c r="E915" t="e">
        <v>#VALUE!</v>
      </c>
    </row>
    <row r="916" spans="5:5">
      <c r="E916" t="e">
        <v>#VALUE!</v>
      </c>
    </row>
    <row r="917" spans="5:5">
      <c r="E917" t="e">
        <v>#VALUE!</v>
      </c>
    </row>
    <row r="918" spans="5:5">
      <c r="E918" t="e">
        <v>#VALUE!</v>
      </c>
    </row>
    <row r="919" spans="5:5">
      <c r="E919" t="e">
        <v>#VALUE!</v>
      </c>
    </row>
    <row r="920" spans="5:5">
      <c r="E920" t="e">
        <v>#VALUE!</v>
      </c>
    </row>
    <row r="921" spans="5:5">
      <c r="E921" t="e">
        <v>#VALUE!</v>
      </c>
    </row>
    <row r="922" spans="5:5">
      <c r="E922" t="e">
        <v>#VALUE!</v>
      </c>
    </row>
    <row r="923" spans="5:5">
      <c r="E923" t="e">
        <v>#VALUE!</v>
      </c>
    </row>
    <row r="924" spans="5:5">
      <c r="E924" t="e">
        <v>#VALUE!</v>
      </c>
    </row>
    <row r="925" spans="5:5">
      <c r="E925" t="e">
        <v>#VALUE!</v>
      </c>
    </row>
    <row r="926" spans="5:5">
      <c r="E926" t="e">
        <v>#VALUE!</v>
      </c>
    </row>
    <row r="927" spans="5:5">
      <c r="E927" t="e">
        <v>#VALUE!</v>
      </c>
    </row>
    <row r="928" spans="5:5">
      <c r="E928" t="e">
        <v>#VALUE!</v>
      </c>
    </row>
    <row r="929" spans="5:5">
      <c r="E929" t="e">
        <v>#VALUE!</v>
      </c>
    </row>
    <row r="930" spans="5:5">
      <c r="E930" t="e">
        <v>#VALUE!</v>
      </c>
    </row>
    <row r="931" spans="5:5">
      <c r="E931" t="e">
        <v>#VALUE!</v>
      </c>
    </row>
    <row r="932" spans="5:5">
      <c r="E932" t="e">
        <v>#VALUE!</v>
      </c>
    </row>
    <row r="933" spans="5:5">
      <c r="E933" t="e">
        <v>#VALUE!</v>
      </c>
    </row>
    <row r="934" spans="5:5">
      <c r="E934" t="e">
        <v>#VALUE!</v>
      </c>
    </row>
    <row r="935" spans="5:5">
      <c r="E935" t="e">
        <v>#VALUE!</v>
      </c>
    </row>
    <row r="936" spans="5:5">
      <c r="E936" t="e">
        <v>#VALUE!</v>
      </c>
    </row>
    <row r="937" spans="5:5">
      <c r="E937" t="e">
        <v>#VALUE!</v>
      </c>
    </row>
    <row r="938" spans="5:5">
      <c r="E938" t="e">
        <v>#VALUE!</v>
      </c>
    </row>
    <row r="939" spans="5:5">
      <c r="E939" t="e">
        <v>#VALUE!</v>
      </c>
    </row>
    <row r="940" spans="5:5">
      <c r="E940" t="e">
        <v>#VALUE!</v>
      </c>
    </row>
    <row r="941" spans="5:5">
      <c r="E941" t="e">
        <v>#VALUE!</v>
      </c>
    </row>
    <row r="942" spans="5:5">
      <c r="E942" t="e">
        <v>#VALUE!</v>
      </c>
    </row>
    <row r="943" spans="5:5">
      <c r="E943" t="e">
        <v>#VALUE!</v>
      </c>
    </row>
    <row r="944" spans="5:5">
      <c r="E944" t="e">
        <v>#VALUE!</v>
      </c>
    </row>
    <row r="945" spans="5:5">
      <c r="E945" t="e">
        <v>#VALUE!</v>
      </c>
    </row>
    <row r="946" spans="5:5">
      <c r="E946" t="e">
        <v>#VALUE!</v>
      </c>
    </row>
    <row r="947" spans="5:5">
      <c r="E947" t="e">
        <v>#VALUE!</v>
      </c>
    </row>
    <row r="948" spans="5:5">
      <c r="E948" t="e">
        <v>#VALUE!</v>
      </c>
    </row>
    <row r="949" spans="5:5">
      <c r="E949" t="e">
        <v>#VALUE!</v>
      </c>
    </row>
    <row r="950" spans="5:5">
      <c r="E950" t="e">
        <v>#VALUE!</v>
      </c>
    </row>
    <row r="951" spans="5:5">
      <c r="E951" t="e">
        <v>#VALUE!</v>
      </c>
    </row>
    <row r="952" spans="5:5">
      <c r="E952" t="e">
        <v>#VALUE!</v>
      </c>
    </row>
    <row r="953" spans="5:5">
      <c r="E953" t="e">
        <v>#VALUE!</v>
      </c>
    </row>
    <row r="954" spans="5:5">
      <c r="E954" t="e">
        <v>#VALUE!</v>
      </c>
    </row>
    <row r="955" spans="5:5">
      <c r="E955" t="e">
        <v>#VALUE!</v>
      </c>
    </row>
    <row r="956" spans="5:5">
      <c r="E956" t="e">
        <v>#VALUE!</v>
      </c>
    </row>
    <row r="957" spans="5:5">
      <c r="E957" t="e">
        <v>#VALUE!</v>
      </c>
    </row>
    <row r="958" spans="5:5">
      <c r="E958" t="e">
        <v>#VALUE!</v>
      </c>
    </row>
    <row r="959" spans="5:5">
      <c r="E959" t="e">
        <v>#VALUE!</v>
      </c>
    </row>
    <row r="960" spans="5:5">
      <c r="E960" t="e">
        <v>#VALUE!</v>
      </c>
    </row>
    <row r="961" spans="5:5">
      <c r="E961" t="e">
        <v>#VALUE!</v>
      </c>
    </row>
    <row r="962" spans="5:5">
      <c r="E962" t="e">
        <v>#VALUE!</v>
      </c>
    </row>
    <row r="963" spans="5:5">
      <c r="E963" t="e">
        <v>#VALUE!</v>
      </c>
    </row>
    <row r="964" spans="5:5">
      <c r="E964" t="e">
        <v>#VALUE!</v>
      </c>
    </row>
    <row r="965" spans="5:5">
      <c r="E965" t="e">
        <v>#VALUE!</v>
      </c>
    </row>
    <row r="966" spans="5:5">
      <c r="E966" t="e">
        <v>#VALUE!</v>
      </c>
    </row>
    <row r="967" spans="5:5">
      <c r="E967" t="e">
        <v>#VALUE!</v>
      </c>
    </row>
    <row r="968" spans="5:5">
      <c r="E968" t="e">
        <v>#VALUE!</v>
      </c>
    </row>
    <row r="969" spans="5:5">
      <c r="E969" t="e">
        <v>#VALUE!</v>
      </c>
    </row>
    <row r="970" spans="5:5">
      <c r="E970" t="e">
        <v>#VALUE!</v>
      </c>
    </row>
    <row r="971" spans="5:5">
      <c r="E971" t="e">
        <v>#VALUE!</v>
      </c>
    </row>
    <row r="972" spans="5:5">
      <c r="E972" t="e">
        <v>#VALUE!</v>
      </c>
    </row>
    <row r="973" spans="5:5">
      <c r="E973" t="e">
        <v>#VALUE!</v>
      </c>
    </row>
    <row r="974" spans="5:5">
      <c r="E974" t="e">
        <v>#VALUE!</v>
      </c>
    </row>
    <row r="975" spans="5:5">
      <c r="E975" t="e">
        <v>#VALUE!</v>
      </c>
    </row>
    <row r="976" spans="5:5">
      <c r="E976" t="e">
        <v>#VALUE!</v>
      </c>
    </row>
    <row r="977" spans="5:5">
      <c r="E977" t="e">
        <v>#VALUE!</v>
      </c>
    </row>
    <row r="978" spans="5:5">
      <c r="E978" t="e">
        <v>#VALUE!</v>
      </c>
    </row>
    <row r="979" spans="5:5">
      <c r="E979" t="e">
        <v>#VALUE!</v>
      </c>
    </row>
    <row r="980" spans="5:5">
      <c r="E980" t="e">
        <v>#VALUE!</v>
      </c>
    </row>
    <row r="981" spans="5:5">
      <c r="E981" t="e">
        <v>#VALUE!</v>
      </c>
    </row>
    <row r="982" spans="5:5">
      <c r="E982" t="e">
        <v>#VALUE!</v>
      </c>
    </row>
    <row r="983" spans="5:5">
      <c r="E983" t="e">
        <v>#VALUE!</v>
      </c>
    </row>
    <row r="984" spans="5:5">
      <c r="E984" t="e">
        <v>#VALUE!</v>
      </c>
    </row>
    <row r="985" spans="5:5">
      <c r="E985" t="e">
        <v>#VALUE!</v>
      </c>
    </row>
    <row r="986" spans="5:5">
      <c r="E986" t="e">
        <v>#VALUE!</v>
      </c>
    </row>
    <row r="987" spans="5:5">
      <c r="E987" t="e">
        <v>#VALUE!</v>
      </c>
    </row>
    <row r="988" spans="5:5">
      <c r="E988" t="e">
        <v>#VALUE!</v>
      </c>
    </row>
    <row r="989" spans="5:5">
      <c r="E989" t="e">
        <v>#VALUE!</v>
      </c>
    </row>
    <row r="990" spans="5:5">
      <c r="E990" t="e">
        <v>#VALUE!</v>
      </c>
    </row>
    <row r="991" spans="5:5">
      <c r="E991" t="e">
        <v>#VALUE!</v>
      </c>
    </row>
    <row r="992" spans="5:5">
      <c r="E992" t="e">
        <v>#VALUE!</v>
      </c>
    </row>
    <row r="993" spans="5:5">
      <c r="E993" t="e">
        <v>#VALUE!</v>
      </c>
    </row>
    <row r="994" spans="5:5">
      <c r="E994" t="e">
        <v>#VALUE!</v>
      </c>
    </row>
    <row r="995" spans="5:5">
      <c r="E995" t="e">
        <v>#VALUE!</v>
      </c>
    </row>
    <row r="996" spans="5:5">
      <c r="E996" t="e">
        <v>#VALUE!</v>
      </c>
    </row>
    <row r="997" spans="5:5">
      <c r="E997" t="e">
        <v>#VALUE!</v>
      </c>
    </row>
    <row r="998" spans="5:5">
      <c r="E998" t="e">
        <v>#VALUE!</v>
      </c>
    </row>
    <row r="999" spans="5:5">
      <c r="E999" t="e">
        <v>#VALUE!</v>
      </c>
    </row>
    <row r="1000" spans="5:5">
      <c r="E1000" t="e">
        <v>#VALUE!</v>
      </c>
    </row>
    <row r="1001" spans="5:5">
      <c r="E1001" t="e">
        <v>#VALUE!</v>
      </c>
    </row>
    <row r="1002" spans="5:5">
      <c r="E1002" t="e">
        <v>#VALUE!</v>
      </c>
    </row>
    <row r="1003" spans="5:5">
      <c r="E1003" t="e">
        <v>#VALUE!</v>
      </c>
    </row>
    <row r="1004" spans="5:5">
      <c r="E1004" t="e">
        <v>#VALUE!</v>
      </c>
    </row>
    <row r="1005" spans="5:5">
      <c r="E1005" t="e">
        <v>#VALUE!</v>
      </c>
    </row>
    <row r="1006" spans="5:5">
      <c r="E1006" t="e">
        <v>#VALUE!</v>
      </c>
    </row>
    <row r="1007" spans="5:5">
      <c r="E1007" t="e">
        <v>#VALUE!</v>
      </c>
    </row>
    <row r="1008" spans="5:5">
      <c r="E1008" t="e">
        <v>#VALUE!</v>
      </c>
    </row>
    <row r="1009" spans="5:5">
      <c r="E1009" t="e">
        <v>#VALUE!</v>
      </c>
    </row>
    <row r="1010" spans="5:5">
      <c r="E1010" t="e">
        <v>#VALUE!</v>
      </c>
    </row>
    <row r="1011" spans="5:5">
      <c r="E1011" t="e">
        <v>#VALUE!</v>
      </c>
    </row>
    <row r="1012" spans="5:5">
      <c r="E1012" t="e">
        <v>#VALUE!</v>
      </c>
    </row>
    <row r="1013" spans="5:5">
      <c r="E1013" t="e">
        <v>#VALUE!</v>
      </c>
    </row>
    <row r="1014" spans="5:5">
      <c r="E1014" t="e">
        <v>#VALUE!</v>
      </c>
    </row>
    <row r="1015" spans="5:5">
      <c r="E1015" t="e">
        <v>#VALUE!</v>
      </c>
    </row>
    <row r="1016" spans="5:5">
      <c r="E1016" t="e">
        <v>#VALUE!</v>
      </c>
    </row>
    <row r="1017" spans="5:5">
      <c r="E1017" t="e">
        <v>#VALUE!</v>
      </c>
    </row>
    <row r="1018" spans="5:5">
      <c r="E1018" t="e">
        <v>#VALUE!</v>
      </c>
    </row>
    <row r="1019" spans="5:5">
      <c r="E1019" t="e">
        <v>#VALUE!</v>
      </c>
    </row>
    <row r="1020" spans="5:5">
      <c r="E1020" t="e">
        <v>#VALUE!</v>
      </c>
    </row>
    <row r="1021" spans="5:5">
      <c r="E1021" t="e">
        <v>#VALUE!</v>
      </c>
    </row>
    <row r="1022" spans="5:5">
      <c r="E1022" t="e">
        <v>#VALUE!</v>
      </c>
    </row>
    <row r="1023" spans="5:5">
      <c r="E1023" t="e">
        <v>#VALUE!</v>
      </c>
    </row>
    <row r="1024" spans="5:5">
      <c r="E1024" t="e">
        <v>#VALUE!</v>
      </c>
    </row>
    <row r="1025" spans="5:5">
      <c r="E1025" t="e">
        <v>#VALUE!</v>
      </c>
    </row>
    <row r="1026" spans="5:5">
      <c r="E1026" t="e">
        <v>#VALUE!</v>
      </c>
    </row>
    <row r="1027" spans="5:5">
      <c r="E1027" t="e">
        <v>#VALUE!</v>
      </c>
    </row>
    <row r="1028" spans="5:5">
      <c r="E1028" t="e">
        <v>#VALUE!</v>
      </c>
    </row>
    <row r="1029" spans="5:5">
      <c r="E1029" t="e">
        <v>#VALUE!</v>
      </c>
    </row>
    <row r="1030" spans="5:5">
      <c r="E1030" t="e">
        <v>#VALUE!</v>
      </c>
    </row>
    <row r="1031" spans="5:5">
      <c r="E1031" t="e">
        <v>#VALUE!</v>
      </c>
    </row>
    <row r="1032" spans="5:5">
      <c r="E1032" t="e">
        <v>#VALUE!</v>
      </c>
    </row>
    <row r="1033" spans="5:5">
      <c r="E1033" t="e">
        <v>#VALUE!</v>
      </c>
    </row>
    <row r="1034" spans="5:5">
      <c r="E1034" t="e">
        <v>#VALUE!</v>
      </c>
    </row>
    <row r="1035" spans="5:5">
      <c r="E1035" t="e">
        <v>#VALUE!</v>
      </c>
    </row>
    <row r="1036" spans="5:5">
      <c r="E1036" t="e">
        <v>#VALUE!</v>
      </c>
    </row>
    <row r="1037" spans="5:5">
      <c r="E1037" t="e">
        <v>#VALUE!</v>
      </c>
    </row>
    <row r="1038" spans="5:5">
      <c r="E1038" t="e">
        <v>#VALUE!</v>
      </c>
    </row>
    <row r="1039" spans="5:5">
      <c r="E1039" t="e">
        <v>#VALUE!</v>
      </c>
    </row>
    <row r="1040" spans="5:5">
      <c r="E1040" t="e">
        <v>#VALUE!</v>
      </c>
    </row>
    <row r="1041" spans="5:5">
      <c r="E1041" t="e">
        <v>#VALUE!</v>
      </c>
    </row>
    <row r="1042" spans="5:5">
      <c r="E1042" t="e">
        <v>#VALUE!</v>
      </c>
    </row>
    <row r="1043" spans="5:5">
      <c r="E1043" t="e">
        <v>#VALUE!</v>
      </c>
    </row>
    <row r="1044" spans="5:5">
      <c r="E1044" t="e">
        <v>#VALUE!</v>
      </c>
    </row>
    <row r="1045" spans="5:5">
      <c r="E1045" t="e">
        <v>#VALUE!</v>
      </c>
    </row>
    <row r="1046" spans="5:5">
      <c r="E1046" t="e">
        <v>#VALUE!</v>
      </c>
    </row>
    <row r="1047" spans="5:5">
      <c r="E1047" t="e">
        <v>#VALUE!</v>
      </c>
    </row>
    <row r="1048" spans="5:5">
      <c r="E1048" t="e">
        <v>#VALUE!</v>
      </c>
    </row>
    <row r="1049" spans="5:5">
      <c r="E1049" t="e">
        <v>#VALUE!</v>
      </c>
    </row>
    <row r="1050" spans="5:5">
      <c r="E1050" t="e">
        <v>#VALUE!</v>
      </c>
    </row>
    <row r="1051" spans="5:5">
      <c r="E1051" t="e">
        <v>#VALUE!</v>
      </c>
    </row>
    <row r="1052" spans="5:5">
      <c r="E1052" t="e">
        <v>#VALUE!</v>
      </c>
    </row>
    <row r="1053" spans="5:5">
      <c r="E1053" t="e">
        <v>#VALUE!</v>
      </c>
    </row>
    <row r="1054" spans="5:5">
      <c r="E1054" t="e">
        <v>#VALUE!</v>
      </c>
    </row>
    <row r="1055" spans="5:5">
      <c r="E1055" t="e">
        <v>#VALUE!</v>
      </c>
    </row>
    <row r="1056" spans="5:5">
      <c r="E1056" t="e">
        <v>#VALUE!</v>
      </c>
    </row>
    <row r="1057" spans="5:5">
      <c r="E1057" t="e">
        <v>#VALUE!</v>
      </c>
    </row>
    <row r="1058" spans="5:5">
      <c r="E1058" t="e">
        <v>#VALUE!</v>
      </c>
    </row>
    <row r="1059" spans="5:5">
      <c r="E1059" t="e">
        <v>#VALUE!</v>
      </c>
    </row>
    <row r="1060" spans="5:5">
      <c r="E1060" t="e">
        <v>#VALUE!</v>
      </c>
    </row>
    <row r="1061" spans="5:5">
      <c r="E1061" t="e">
        <v>#VALUE!</v>
      </c>
    </row>
    <row r="1062" spans="5:5">
      <c r="E1062" t="e">
        <v>#VALUE!</v>
      </c>
    </row>
    <row r="1063" spans="5:5">
      <c r="E1063" t="e">
        <v>#VALUE!</v>
      </c>
    </row>
    <row r="1064" spans="5:5">
      <c r="E1064" t="e">
        <v>#VALUE!</v>
      </c>
    </row>
    <row r="1065" spans="5:5">
      <c r="E1065" t="e">
        <v>#VALUE!</v>
      </c>
    </row>
    <row r="1066" spans="5:5">
      <c r="E1066" t="e">
        <v>#VALUE!</v>
      </c>
    </row>
    <row r="1067" spans="5:5">
      <c r="E1067" t="e">
        <v>#VALUE!</v>
      </c>
    </row>
    <row r="1068" spans="5:5">
      <c r="E1068" t="e">
        <v>#VALUE!</v>
      </c>
    </row>
    <row r="1069" spans="5:5">
      <c r="E1069" t="e">
        <v>#VALUE!</v>
      </c>
    </row>
    <row r="1070" spans="5:5">
      <c r="E1070" t="e">
        <v>#VALUE!</v>
      </c>
    </row>
    <row r="1071" spans="5:5">
      <c r="E1071" t="e">
        <v>#VALUE!</v>
      </c>
    </row>
    <row r="1072" spans="5:5">
      <c r="E1072" t="e">
        <v>#VALUE!</v>
      </c>
    </row>
    <row r="1073" spans="5:5">
      <c r="E1073" t="e">
        <v>#VALUE!</v>
      </c>
    </row>
    <row r="1074" spans="5:5">
      <c r="E1074" t="e">
        <v>#VALUE!</v>
      </c>
    </row>
    <row r="1075" spans="5:5">
      <c r="E1075" t="e">
        <v>#VALUE!</v>
      </c>
    </row>
    <row r="1076" spans="5:5">
      <c r="E1076" t="e">
        <v>#VALUE!</v>
      </c>
    </row>
    <row r="1077" spans="5:5">
      <c r="E1077" t="e">
        <v>#VALUE!</v>
      </c>
    </row>
    <row r="1078" spans="5:5">
      <c r="E1078" t="e">
        <v>#VALUE!</v>
      </c>
    </row>
    <row r="1079" spans="5:5">
      <c r="E1079" t="e">
        <v>#VALUE!</v>
      </c>
    </row>
    <row r="1080" spans="5:5">
      <c r="E1080" t="e">
        <v>#VALUE!</v>
      </c>
    </row>
    <row r="1081" spans="5:5">
      <c r="E1081" t="e">
        <v>#VALUE!</v>
      </c>
    </row>
    <row r="1082" spans="5:5">
      <c r="E1082" t="e">
        <v>#VALUE!</v>
      </c>
    </row>
    <row r="1083" spans="5:5">
      <c r="E1083" t="e">
        <v>#VALUE!</v>
      </c>
    </row>
    <row r="1084" spans="5:5">
      <c r="E1084" t="e">
        <v>#VALUE!</v>
      </c>
    </row>
    <row r="1085" spans="5:5">
      <c r="E1085" t="e">
        <v>#VALUE!</v>
      </c>
    </row>
    <row r="1086" spans="5:5">
      <c r="E1086" t="e">
        <v>#VALUE!</v>
      </c>
    </row>
    <row r="1087" spans="5:5">
      <c r="E1087" t="e">
        <v>#VALUE!</v>
      </c>
    </row>
    <row r="1088" spans="5:5">
      <c r="E1088" t="e">
        <v>#VALUE!</v>
      </c>
    </row>
    <row r="1089" spans="5:5">
      <c r="E1089" t="e">
        <v>#VALUE!</v>
      </c>
    </row>
    <row r="1090" spans="5:5">
      <c r="E1090" t="e">
        <v>#VALUE!</v>
      </c>
    </row>
    <row r="1091" spans="5:5">
      <c r="E1091" t="e">
        <v>#VALUE!</v>
      </c>
    </row>
    <row r="1092" spans="5:5">
      <c r="E1092" t="e">
        <v>#VALUE!</v>
      </c>
    </row>
    <row r="1093" spans="5:5">
      <c r="E1093" t="e">
        <v>#VALUE!</v>
      </c>
    </row>
    <row r="1094" spans="5:5">
      <c r="E1094" t="e">
        <v>#VALUE!</v>
      </c>
    </row>
    <row r="1095" spans="5:5">
      <c r="E1095" t="e">
        <v>#VALUE!</v>
      </c>
    </row>
    <row r="1096" spans="5:5">
      <c r="E1096" t="e">
        <v>#VALUE!</v>
      </c>
    </row>
    <row r="1097" spans="5:5">
      <c r="E1097" t="e">
        <v>#VALUE!</v>
      </c>
    </row>
    <row r="1098" spans="5:5">
      <c r="E1098" t="e">
        <v>#VALUE!</v>
      </c>
    </row>
    <row r="1099" spans="5:5">
      <c r="E1099" t="e">
        <v>#VALUE!</v>
      </c>
    </row>
    <row r="1100" spans="5:5">
      <c r="E1100" t="e">
        <v>#VALUE!</v>
      </c>
    </row>
    <row r="1101" spans="5:5">
      <c r="E1101" t="e">
        <v>#VALUE!</v>
      </c>
    </row>
    <row r="1102" spans="5:5">
      <c r="E1102" t="e">
        <v>#VALUE!</v>
      </c>
    </row>
    <row r="1103" spans="5:5">
      <c r="E1103" t="e">
        <v>#VALUE!</v>
      </c>
    </row>
    <row r="1104" spans="5:5">
      <c r="E1104" t="e">
        <v>#VALUE!</v>
      </c>
    </row>
    <row r="1105" spans="5:5">
      <c r="E1105" t="e">
        <v>#VALUE!</v>
      </c>
    </row>
    <row r="1106" spans="5:5">
      <c r="E1106" t="e">
        <v>#VALUE!</v>
      </c>
    </row>
    <row r="1107" spans="5:5">
      <c r="E1107" t="e">
        <v>#VALUE!</v>
      </c>
    </row>
    <row r="1108" spans="5:5">
      <c r="E1108" t="e">
        <v>#VALUE!</v>
      </c>
    </row>
    <row r="1109" spans="5:5">
      <c r="E1109" t="e">
        <v>#VALUE!</v>
      </c>
    </row>
    <row r="1110" spans="5:5">
      <c r="E1110" t="e">
        <v>#VALUE!</v>
      </c>
    </row>
    <row r="1111" spans="5:5">
      <c r="E1111" t="e">
        <v>#VALUE!</v>
      </c>
    </row>
    <row r="1112" spans="5:5">
      <c r="E1112" t="e">
        <v>#VALUE!</v>
      </c>
    </row>
    <row r="1113" spans="5:5">
      <c r="E1113" t="e">
        <v>#VALUE!</v>
      </c>
    </row>
    <row r="1114" spans="5:5">
      <c r="E1114" t="e">
        <v>#VALUE!</v>
      </c>
    </row>
    <row r="1115" spans="5:5">
      <c r="E1115" t="e">
        <v>#VALUE!</v>
      </c>
    </row>
    <row r="1116" spans="5:5">
      <c r="E1116" t="e">
        <v>#VALUE!</v>
      </c>
    </row>
    <row r="1117" spans="5:5">
      <c r="E1117" t="e">
        <v>#VALUE!</v>
      </c>
    </row>
    <row r="1118" spans="5:5">
      <c r="E1118" t="e">
        <v>#VALUE!</v>
      </c>
    </row>
    <row r="1119" spans="5:5">
      <c r="E1119" t="e">
        <v>#VALUE!</v>
      </c>
    </row>
    <row r="1120" spans="5:5">
      <c r="E1120" t="e">
        <v>#VALUE!</v>
      </c>
    </row>
    <row r="1121" spans="5:5">
      <c r="E1121" t="e">
        <v>#VALUE!</v>
      </c>
    </row>
    <row r="1122" spans="5:5">
      <c r="E1122" t="e">
        <v>#VALUE!</v>
      </c>
    </row>
    <row r="1123" spans="5:5">
      <c r="E1123" t="e">
        <v>#VALUE!</v>
      </c>
    </row>
    <row r="1124" spans="5:5">
      <c r="E1124" t="e">
        <v>#VALUE!</v>
      </c>
    </row>
    <row r="1125" spans="5:5">
      <c r="E1125" t="e">
        <v>#VALUE!</v>
      </c>
    </row>
    <row r="1126" spans="5:5">
      <c r="E1126" t="e">
        <v>#VALUE!</v>
      </c>
    </row>
    <row r="1127" spans="5:5">
      <c r="E1127" t="e">
        <v>#VALUE!</v>
      </c>
    </row>
    <row r="1128" spans="5:5">
      <c r="E1128" t="e">
        <v>#VALUE!</v>
      </c>
    </row>
    <row r="1129" spans="5:5">
      <c r="E1129" t="e">
        <v>#VALUE!</v>
      </c>
    </row>
    <row r="1130" spans="5:5">
      <c r="E1130" t="e">
        <v>#VALUE!</v>
      </c>
    </row>
    <row r="1131" spans="5:5">
      <c r="E1131" t="e">
        <v>#VALUE!</v>
      </c>
    </row>
    <row r="1132" spans="5:5">
      <c r="E1132" t="e">
        <v>#VALUE!</v>
      </c>
    </row>
    <row r="1133" spans="5:5">
      <c r="E1133" t="e">
        <v>#VALUE!</v>
      </c>
    </row>
    <row r="1134" spans="5:5">
      <c r="E1134" t="e">
        <v>#VALUE!</v>
      </c>
    </row>
    <row r="1135" spans="5:5">
      <c r="E1135" t="e">
        <v>#VALUE!</v>
      </c>
    </row>
    <row r="1136" spans="5:5">
      <c r="E1136" t="e">
        <v>#VALUE!</v>
      </c>
    </row>
    <row r="1137" spans="5:5">
      <c r="E1137" t="e">
        <v>#VALUE!</v>
      </c>
    </row>
    <row r="1138" spans="5:5">
      <c r="E1138" t="e">
        <v>#VALUE!</v>
      </c>
    </row>
    <row r="1139" spans="5:5">
      <c r="E1139" t="e">
        <v>#VALUE!</v>
      </c>
    </row>
    <row r="1140" spans="5:5">
      <c r="E1140" t="e">
        <v>#VALUE!</v>
      </c>
    </row>
    <row r="1141" spans="5:5">
      <c r="E1141" t="e">
        <v>#VALUE!</v>
      </c>
    </row>
    <row r="1142" spans="5:5">
      <c r="E1142" t="e">
        <v>#VALUE!</v>
      </c>
    </row>
    <row r="1143" spans="5:5">
      <c r="E1143" t="e">
        <v>#VALUE!</v>
      </c>
    </row>
    <row r="1144" spans="5:5">
      <c r="E1144" t="e">
        <v>#VALUE!</v>
      </c>
    </row>
    <row r="1145" spans="5:5">
      <c r="E1145" t="e">
        <v>#VALUE!</v>
      </c>
    </row>
    <row r="1146" spans="5:5">
      <c r="E1146" t="e">
        <v>#VALUE!</v>
      </c>
    </row>
    <row r="1147" spans="5:5">
      <c r="E1147" t="e">
        <v>#VALUE!</v>
      </c>
    </row>
    <row r="1148" spans="5:5">
      <c r="E1148" t="e">
        <v>#VALUE!</v>
      </c>
    </row>
    <row r="1149" spans="5:5">
      <c r="E1149" t="e">
        <v>#VALUE!</v>
      </c>
    </row>
    <row r="1150" spans="5:5">
      <c r="E1150" t="e">
        <v>#VALUE!</v>
      </c>
    </row>
    <row r="1151" spans="5:5">
      <c r="E1151" t="e">
        <v>#VALUE!</v>
      </c>
    </row>
    <row r="1152" spans="5:5">
      <c r="E1152" t="e">
        <v>#VALUE!</v>
      </c>
    </row>
    <row r="1153" spans="5:5">
      <c r="E1153" t="e">
        <v>#VALUE!</v>
      </c>
    </row>
    <row r="1154" spans="5:5">
      <c r="E1154" t="e">
        <v>#VALUE!</v>
      </c>
    </row>
    <row r="1155" spans="5:5">
      <c r="E1155" t="e">
        <v>#VALUE!</v>
      </c>
    </row>
    <row r="1156" spans="5:5">
      <c r="E1156" t="e">
        <v>#VALUE!</v>
      </c>
    </row>
    <row r="1157" spans="5:5">
      <c r="E1157" t="e">
        <v>#VALUE!</v>
      </c>
    </row>
    <row r="1158" spans="5:5">
      <c r="E1158" t="e">
        <v>#VALUE!</v>
      </c>
    </row>
    <row r="1159" spans="5:5">
      <c r="E1159" t="e">
        <v>#VALUE!</v>
      </c>
    </row>
    <row r="1160" spans="5:5">
      <c r="E1160" t="e">
        <v>#VALUE!</v>
      </c>
    </row>
    <row r="1161" spans="5:5">
      <c r="E1161" t="e">
        <v>#VALUE!</v>
      </c>
    </row>
    <row r="1162" spans="5:5">
      <c r="E1162" t="e">
        <v>#VALUE!</v>
      </c>
    </row>
    <row r="1163" spans="5:5">
      <c r="E1163" t="e">
        <v>#VALUE!</v>
      </c>
    </row>
    <row r="1164" spans="5:5">
      <c r="E1164" t="e">
        <v>#VALUE!</v>
      </c>
    </row>
    <row r="1165" spans="5:5">
      <c r="E1165" t="e">
        <v>#VALUE!</v>
      </c>
    </row>
    <row r="1166" spans="5:5">
      <c r="E1166" t="e">
        <v>#VALUE!</v>
      </c>
    </row>
    <row r="1167" spans="5:5">
      <c r="E1167" t="e">
        <v>#VALUE!</v>
      </c>
    </row>
    <row r="1168" spans="5:5">
      <c r="E1168" t="e">
        <v>#VALUE!</v>
      </c>
    </row>
    <row r="1169" spans="5:5">
      <c r="E1169" t="e">
        <v>#VALUE!</v>
      </c>
    </row>
    <row r="1170" spans="5:5">
      <c r="E1170" t="e">
        <v>#VALUE!</v>
      </c>
    </row>
    <row r="1171" spans="5:5">
      <c r="E1171" t="e">
        <v>#VALUE!</v>
      </c>
    </row>
    <row r="1172" spans="5:5">
      <c r="E1172" t="e">
        <v>#VALUE!</v>
      </c>
    </row>
    <row r="1173" spans="5:5">
      <c r="E1173" t="e">
        <v>#VALUE!</v>
      </c>
    </row>
    <row r="1174" spans="5:5">
      <c r="E1174" t="e">
        <v>#VALUE!</v>
      </c>
    </row>
    <row r="1175" spans="5:5">
      <c r="E1175" t="e">
        <v>#VALUE!</v>
      </c>
    </row>
    <row r="1176" spans="5:5">
      <c r="E1176" t="e">
        <v>#VALUE!</v>
      </c>
    </row>
    <row r="1177" spans="5:5">
      <c r="E1177" t="e">
        <v>#VALUE!</v>
      </c>
    </row>
    <row r="1178" spans="5:5">
      <c r="E1178" t="e">
        <v>#VALUE!</v>
      </c>
    </row>
    <row r="1179" spans="5:5">
      <c r="E1179" t="e">
        <v>#VALUE!</v>
      </c>
    </row>
    <row r="1180" spans="5:5">
      <c r="E1180" t="e">
        <v>#VALUE!</v>
      </c>
    </row>
    <row r="1181" spans="5:5">
      <c r="E1181" t="e">
        <v>#VALUE!</v>
      </c>
    </row>
    <row r="1182" spans="5:5">
      <c r="E1182" t="e">
        <v>#VALUE!</v>
      </c>
    </row>
    <row r="1183" spans="5:5">
      <c r="E1183" t="e">
        <v>#VALUE!</v>
      </c>
    </row>
    <row r="1184" spans="5:5">
      <c r="E1184" t="e">
        <v>#VALUE!</v>
      </c>
    </row>
    <row r="1185" spans="5:5">
      <c r="E1185" t="e">
        <v>#VALUE!</v>
      </c>
    </row>
    <row r="1186" spans="5:5">
      <c r="E1186" t="e">
        <v>#VALUE!</v>
      </c>
    </row>
    <row r="1187" spans="5:5">
      <c r="E1187" t="e">
        <v>#VALUE!</v>
      </c>
    </row>
    <row r="1188" spans="5:5">
      <c r="E1188" t="e">
        <v>#VALUE!</v>
      </c>
    </row>
    <row r="1189" spans="5:5">
      <c r="E1189" t="e">
        <v>#VALUE!</v>
      </c>
    </row>
    <row r="1190" spans="5:5">
      <c r="E1190" t="e">
        <v>#VALUE!</v>
      </c>
    </row>
    <row r="1191" spans="5:5">
      <c r="E1191" t="e">
        <v>#VALUE!</v>
      </c>
    </row>
    <row r="1192" spans="5:5">
      <c r="E1192" t="e">
        <v>#VALUE!</v>
      </c>
    </row>
    <row r="1193" spans="5:5">
      <c r="E1193" t="e">
        <v>#VALUE!</v>
      </c>
    </row>
    <row r="1194" spans="5:5">
      <c r="E1194" t="e">
        <v>#VALUE!</v>
      </c>
    </row>
    <row r="1195" spans="5:5">
      <c r="E1195" t="e">
        <v>#VALUE!</v>
      </c>
    </row>
    <row r="1196" spans="5:5">
      <c r="E1196" t="e">
        <v>#VALUE!</v>
      </c>
    </row>
    <row r="1197" spans="5:5">
      <c r="E1197" t="e">
        <v>#VALUE!</v>
      </c>
    </row>
    <row r="1198" spans="5:5">
      <c r="E1198" t="e">
        <v>#VALUE!</v>
      </c>
    </row>
    <row r="1199" spans="5:5">
      <c r="E1199" t="e">
        <v>#VALUE!</v>
      </c>
    </row>
    <row r="1200" spans="5:5">
      <c r="E1200" t="e">
        <v>#VALUE!</v>
      </c>
    </row>
    <row r="1201" spans="5:5">
      <c r="E1201" t="e">
        <v>#VALUE!</v>
      </c>
    </row>
    <row r="1202" spans="5:5">
      <c r="E1202" t="e">
        <v>#VALUE!</v>
      </c>
    </row>
    <row r="1203" spans="5:5">
      <c r="E1203" t="e">
        <v>#VALUE!</v>
      </c>
    </row>
    <row r="1204" spans="5:5">
      <c r="E1204" t="e">
        <v>#VALUE!</v>
      </c>
    </row>
    <row r="1205" spans="5:5">
      <c r="E1205" t="e">
        <v>#VALUE!</v>
      </c>
    </row>
    <row r="1206" spans="5:5">
      <c r="E1206" t="e">
        <v>#VALUE!</v>
      </c>
    </row>
    <row r="1207" spans="5:5">
      <c r="E1207" t="e">
        <v>#VALUE!</v>
      </c>
    </row>
    <row r="1208" spans="5:5">
      <c r="E1208" t="e">
        <v>#VALUE!</v>
      </c>
    </row>
    <row r="1209" spans="5:5">
      <c r="E1209" t="e">
        <v>#VALUE!</v>
      </c>
    </row>
    <row r="1210" spans="5:5">
      <c r="E1210" t="e">
        <v>#VALUE!</v>
      </c>
    </row>
    <row r="1211" spans="5:5">
      <c r="E1211" t="e">
        <v>#VALUE!</v>
      </c>
    </row>
    <row r="1212" spans="5:5">
      <c r="E1212" t="e">
        <v>#VALUE!</v>
      </c>
    </row>
    <row r="1213" spans="5:5">
      <c r="E1213" t="e">
        <v>#VALUE!</v>
      </c>
    </row>
    <row r="1214" spans="5:5">
      <c r="E1214" t="e">
        <v>#VALUE!</v>
      </c>
    </row>
    <row r="1215" spans="5:5">
      <c r="E1215" t="e">
        <v>#VALUE!</v>
      </c>
    </row>
    <row r="1216" spans="5:5">
      <c r="E1216" t="e">
        <v>#VALUE!</v>
      </c>
    </row>
    <row r="1217" spans="5:5">
      <c r="E1217" t="e">
        <v>#VALUE!</v>
      </c>
    </row>
    <row r="1218" spans="5:5">
      <c r="E1218" t="e">
        <v>#VALUE!</v>
      </c>
    </row>
    <row r="1219" spans="5:5">
      <c r="E1219" t="e">
        <v>#VALUE!</v>
      </c>
    </row>
    <row r="1220" spans="5:5">
      <c r="E1220" t="e">
        <v>#VALUE!</v>
      </c>
    </row>
    <row r="1221" spans="5:5">
      <c r="E1221" t="e">
        <v>#VALUE!</v>
      </c>
    </row>
    <row r="1222" spans="5:5">
      <c r="E1222" t="e">
        <v>#VALUE!</v>
      </c>
    </row>
    <row r="1223" spans="5:5">
      <c r="E1223" t="e">
        <v>#VALUE!</v>
      </c>
    </row>
    <row r="1224" spans="5:5">
      <c r="E1224" t="e">
        <v>#VALUE!</v>
      </c>
    </row>
    <row r="1225" spans="5:5">
      <c r="E1225" t="e">
        <v>#VALUE!</v>
      </c>
    </row>
    <row r="1226" spans="5:5">
      <c r="E1226" t="e">
        <v>#VALUE!</v>
      </c>
    </row>
    <row r="1227" spans="5:5">
      <c r="E1227" t="e">
        <v>#VALUE!</v>
      </c>
    </row>
    <row r="1228" spans="5:5">
      <c r="E1228" t="e">
        <v>#VALUE!</v>
      </c>
    </row>
    <row r="1229" spans="5:5">
      <c r="E1229" t="e">
        <v>#VALUE!</v>
      </c>
    </row>
    <row r="1230" spans="5:5">
      <c r="E1230" t="e">
        <v>#VALUE!</v>
      </c>
    </row>
    <row r="1231" spans="5:5">
      <c r="E1231" t="e">
        <v>#VALUE!</v>
      </c>
    </row>
    <row r="1232" spans="5:5">
      <c r="E1232" t="e">
        <v>#VALUE!</v>
      </c>
    </row>
    <row r="1233" spans="5:5">
      <c r="E1233" t="e">
        <v>#VALUE!</v>
      </c>
    </row>
    <row r="1234" spans="5:5">
      <c r="E1234" t="e">
        <v>#VALUE!</v>
      </c>
    </row>
    <row r="1235" spans="5:5">
      <c r="E1235" t="e">
        <v>#VALUE!</v>
      </c>
    </row>
    <row r="1236" spans="5:5">
      <c r="E1236" t="e">
        <v>#VALUE!</v>
      </c>
    </row>
    <row r="1237" spans="5:5">
      <c r="E1237" t="e">
        <v>#VALUE!</v>
      </c>
    </row>
    <row r="1238" spans="5:5">
      <c r="E1238" t="e">
        <v>#VALUE!</v>
      </c>
    </row>
    <row r="1239" spans="5:5">
      <c r="E1239" t="e">
        <v>#VALUE!</v>
      </c>
    </row>
    <row r="1240" spans="5:5">
      <c r="E1240" t="e">
        <v>#VALUE!</v>
      </c>
    </row>
    <row r="1241" spans="5:5">
      <c r="E1241" t="e">
        <v>#VALUE!</v>
      </c>
    </row>
    <row r="1242" spans="5:5">
      <c r="E1242" t="e">
        <v>#VALUE!</v>
      </c>
    </row>
    <row r="1243" spans="5:5">
      <c r="E1243" t="e">
        <v>#VALUE!</v>
      </c>
    </row>
    <row r="1244" spans="5:5">
      <c r="E1244" t="e">
        <v>#VALUE!</v>
      </c>
    </row>
    <row r="1245" spans="5:5">
      <c r="E1245" t="e">
        <v>#VALUE!</v>
      </c>
    </row>
    <row r="1246" spans="5:5">
      <c r="E1246" t="e">
        <v>#VALUE!</v>
      </c>
    </row>
    <row r="1247" spans="5:5">
      <c r="E1247" t="e">
        <v>#VALUE!</v>
      </c>
    </row>
    <row r="1248" spans="5:5">
      <c r="E1248" t="e">
        <v>#VALUE!</v>
      </c>
    </row>
    <row r="1249" spans="5:5">
      <c r="E1249" t="e">
        <v>#VALUE!</v>
      </c>
    </row>
    <row r="1250" spans="5:5">
      <c r="E1250" t="e">
        <v>#VALUE!</v>
      </c>
    </row>
    <row r="1251" spans="5:5">
      <c r="E1251" t="e">
        <v>#VALUE!</v>
      </c>
    </row>
    <row r="1252" spans="5:5">
      <c r="E1252" t="e">
        <v>#VALUE!</v>
      </c>
    </row>
    <row r="1253" spans="5:5">
      <c r="E1253" t="e">
        <v>#VALUE!</v>
      </c>
    </row>
    <row r="1254" spans="5:5">
      <c r="E1254" t="e">
        <v>#VALUE!</v>
      </c>
    </row>
    <row r="1255" spans="5:5">
      <c r="E1255" t="e">
        <v>#VALUE!</v>
      </c>
    </row>
    <row r="1256" spans="5:5">
      <c r="E1256" t="e">
        <v>#VALUE!</v>
      </c>
    </row>
    <row r="1257" spans="5:5">
      <c r="E1257" t="e">
        <v>#VALUE!</v>
      </c>
    </row>
    <row r="1258" spans="5:5">
      <c r="E1258" t="e">
        <v>#VALUE!</v>
      </c>
    </row>
    <row r="1259" spans="5:5">
      <c r="E1259" t="e">
        <v>#VALUE!</v>
      </c>
    </row>
    <row r="1260" spans="5:5">
      <c r="E1260" t="e">
        <v>#VALUE!</v>
      </c>
    </row>
    <row r="1261" spans="5:5">
      <c r="E1261" t="e">
        <v>#VALUE!</v>
      </c>
    </row>
    <row r="1262" spans="5:5">
      <c r="E1262" t="e">
        <v>#VALUE!</v>
      </c>
    </row>
    <row r="1263" spans="5:5">
      <c r="E1263" t="e">
        <v>#VALUE!</v>
      </c>
    </row>
    <row r="1264" spans="5:5">
      <c r="E1264" t="e">
        <v>#VALUE!</v>
      </c>
    </row>
    <row r="1265" spans="5:5">
      <c r="E1265" t="e">
        <v>#VALUE!</v>
      </c>
    </row>
    <row r="1266" spans="5:5">
      <c r="E1266" t="e">
        <v>#VALUE!</v>
      </c>
    </row>
    <row r="1267" spans="5:5">
      <c r="E1267" t="e">
        <v>#VALUE!</v>
      </c>
    </row>
    <row r="1268" spans="5:5">
      <c r="E1268" t="e">
        <v>#VALUE!</v>
      </c>
    </row>
    <row r="1269" spans="5:5">
      <c r="E1269" t="e">
        <v>#VALUE!</v>
      </c>
    </row>
    <row r="1270" spans="5:5">
      <c r="E1270" t="e">
        <v>#VALUE!</v>
      </c>
    </row>
    <row r="1271" spans="5:5">
      <c r="E1271" t="e">
        <v>#VALUE!</v>
      </c>
    </row>
    <row r="1272" spans="5:5">
      <c r="E1272" t="e">
        <v>#VALUE!</v>
      </c>
    </row>
    <row r="1273" spans="5:5">
      <c r="E1273" t="e">
        <v>#VALUE!</v>
      </c>
    </row>
    <row r="1274" spans="5:5">
      <c r="E1274" t="e">
        <v>#VALUE!</v>
      </c>
    </row>
    <row r="1275" spans="5:5">
      <c r="E1275" t="e">
        <v>#VALUE!</v>
      </c>
    </row>
    <row r="1276" spans="5:5">
      <c r="E1276" t="e">
        <v>#VALUE!</v>
      </c>
    </row>
    <row r="1277" spans="5:5">
      <c r="E1277" t="e">
        <v>#VALUE!</v>
      </c>
    </row>
    <row r="1278" spans="5:5">
      <c r="E1278" t="e">
        <v>#VALUE!</v>
      </c>
    </row>
    <row r="1279" spans="5:5">
      <c r="E1279" t="e">
        <v>#VALUE!</v>
      </c>
    </row>
    <row r="1280" spans="5:5">
      <c r="E1280" t="e">
        <v>#VALUE!</v>
      </c>
    </row>
    <row r="1281" spans="5:5">
      <c r="E1281" t="e">
        <v>#VALUE!</v>
      </c>
    </row>
    <row r="1282" spans="5:5">
      <c r="E1282" t="e">
        <v>#VALUE!</v>
      </c>
    </row>
    <row r="1283" spans="5:5">
      <c r="E1283" t="e">
        <v>#VALUE!</v>
      </c>
    </row>
    <row r="1284" spans="5:5">
      <c r="E1284" t="e">
        <v>#VALUE!</v>
      </c>
    </row>
    <row r="1285" spans="5:5">
      <c r="E1285" t="e">
        <v>#VALUE!</v>
      </c>
    </row>
    <row r="1286" spans="5:5">
      <c r="E1286" t="e">
        <v>#VALUE!</v>
      </c>
    </row>
    <row r="1287" spans="5:5">
      <c r="E1287" t="e">
        <v>#VALUE!</v>
      </c>
    </row>
    <row r="1288" spans="5:5">
      <c r="E1288" t="e">
        <v>#VALUE!</v>
      </c>
    </row>
    <row r="1289" spans="5:5">
      <c r="E1289" t="e">
        <v>#VALUE!</v>
      </c>
    </row>
    <row r="1290" spans="5:5">
      <c r="E1290" t="e">
        <v>#VALUE!</v>
      </c>
    </row>
    <row r="1291" spans="5:5">
      <c r="E1291" t="e">
        <v>#VALUE!</v>
      </c>
    </row>
    <row r="1292" spans="5:5">
      <c r="E1292" t="e">
        <v>#VALUE!</v>
      </c>
    </row>
    <row r="1293" spans="5:5">
      <c r="E1293" t="e">
        <v>#VALUE!</v>
      </c>
    </row>
    <row r="1294" spans="5:5">
      <c r="E1294" t="e">
        <v>#VALUE!</v>
      </c>
    </row>
    <row r="1295" spans="5:5">
      <c r="E1295" t="e">
        <v>#VALUE!</v>
      </c>
    </row>
    <row r="1296" spans="5:5">
      <c r="E1296" t="e">
        <v>#VALUE!</v>
      </c>
    </row>
    <row r="1297" spans="5:5">
      <c r="E1297" t="e">
        <v>#VALUE!</v>
      </c>
    </row>
    <row r="1298" spans="5:5">
      <c r="E1298" t="e">
        <v>#VALUE!</v>
      </c>
    </row>
    <row r="1299" spans="5:5">
      <c r="E1299" t="e">
        <v>#VALUE!</v>
      </c>
    </row>
    <row r="1300" spans="5:5">
      <c r="E1300" t="e">
        <v>#VALUE!</v>
      </c>
    </row>
    <row r="1301" spans="5:5">
      <c r="E1301" t="e">
        <v>#VALUE!</v>
      </c>
    </row>
    <row r="1302" spans="5:5">
      <c r="E1302" t="e">
        <v>#VALUE!</v>
      </c>
    </row>
    <row r="1303" spans="5:5">
      <c r="E1303" t="e">
        <v>#VALUE!</v>
      </c>
    </row>
    <row r="1304" spans="5:5">
      <c r="E1304" t="e">
        <v>#VALUE!</v>
      </c>
    </row>
    <row r="1305" spans="5:5">
      <c r="E1305" t="e">
        <v>#VALUE!</v>
      </c>
    </row>
    <row r="1306" spans="5:5">
      <c r="E1306" t="e">
        <v>#VALUE!</v>
      </c>
    </row>
    <row r="1307" spans="5:5">
      <c r="E1307" t="e">
        <v>#VALUE!</v>
      </c>
    </row>
    <row r="1308" spans="5:5">
      <c r="E1308" t="e">
        <v>#VALUE!</v>
      </c>
    </row>
    <row r="1309" spans="5:5">
      <c r="E1309" t="e">
        <v>#VALUE!</v>
      </c>
    </row>
    <row r="1310" spans="5:5">
      <c r="E1310" t="e">
        <v>#VALUE!</v>
      </c>
    </row>
    <row r="1311" spans="5:5">
      <c r="E1311" t="e">
        <v>#VALUE!</v>
      </c>
    </row>
    <row r="1312" spans="5:5">
      <c r="E1312" t="e">
        <v>#VALUE!</v>
      </c>
    </row>
    <row r="1313" spans="5:5">
      <c r="E1313" t="e">
        <v>#VALUE!</v>
      </c>
    </row>
    <row r="1314" spans="5:5">
      <c r="E1314" t="e">
        <v>#VALUE!</v>
      </c>
    </row>
    <row r="1315" spans="5:5">
      <c r="E1315" t="e">
        <v>#VALUE!</v>
      </c>
    </row>
    <row r="1316" spans="5:5">
      <c r="E1316" t="e">
        <v>#VALUE!</v>
      </c>
    </row>
    <row r="1317" spans="5:5">
      <c r="E1317" t="e">
        <v>#VALUE!</v>
      </c>
    </row>
    <row r="1318" spans="5:5">
      <c r="E1318" t="e">
        <v>#VALUE!</v>
      </c>
    </row>
    <row r="1319" spans="5:5">
      <c r="E1319" t="e">
        <v>#VALUE!</v>
      </c>
    </row>
    <row r="1320" spans="5:5">
      <c r="E1320" t="e">
        <v>#VALUE!</v>
      </c>
    </row>
    <row r="1321" spans="5:5">
      <c r="E1321" t="e">
        <v>#VALUE!</v>
      </c>
    </row>
    <row r="1322" spans="5:5">
      <c r="E1322" t="e">
        <v>#VALUE!</v>
      </c>
    </row>
    <row r="1323" spans="5:5">
      <c r="E1323" t="e">
        <v>#VALUE!</v>
      </c>
    </row>
    <row r="1324" spans="5:5">
      <c r="E1324" t="e">
        <v>#VALUE!</v>
      </c>
    </row>
    <row r="1325" spans="5:5">
      <c r="E1325" t="e">
        <v>#VALUE!</v>
      </c>
    </row>
    <row r="1326" spans="5:5">
      <c r="E1326" t="e">
        <v>#VALUE!</v>
      </c>
    </row>
    <row r="1327" spans="5:5">
      <c r="E1327" t="e">
        <v>#VALUE!</v>
      </c>
    </row>
    <row r="1328" spans="5:5">
      <c r="E1328" t="e">
        <v>#VALUE!</v>
      </c>
    </row>
    <row r="1329" spans="5:5">
      <c r="E1329" t="e">
        <v>#VALUE!</v>
      </c>
    </row>
    <row r="1330" spans="5:5">
      <c r="E1330" t="e">
        <v>#VALUE!</v>
      </c>
    </row>
    <row r="1331" spans="5:5">
      <c r="E1331" t="e">
        <v>#VALUE!</v>
      </c>
    </row>
    <row r="1332" spans="5:5">
      <c r="E1332" t="e">
        <v>#VALUE!</v>
      </c>
    </row>
    <row r="1333" spans="5:5">
      <c r="E1333" t="e">
        <v>#VALUE!</v>
      </c>
    </row>
    <row r="1334" spans="5:5">
      <c r="E1334" t="e">
        <v>#VALUE!</v>
      </c>
    </row>
    <row r="1335" spans="5:5">
      <c r="E1335" t="e">
        <v>#VALUE!</v>
      </c>
    </row>
    <row r="1336" spans="5:5">
      <c r="E1336" t="e">
        <v>#VALUE!</v>
      </c>
    </row>
    <row r="1337" spans="5:5">
      <c r="E1337" t="e">
        <v>#VALUE!</v>
      </c>
    </row>
    <row r="1338" spans="5:5">
      <c r="E1338" t="e">
        <v>#VALUE!</v>
      </c>
    </row>
    <row r="1339" spans="5:5">
      <c r="E1339" t="e">
        <v>#VALUE!</v>
      </c>
    </row>
    <row r="1340" spans="5:5">
      <c r="E1340" t="e">
        <v>#VALUE!</v>
      </c>
    </row>
    <row r="1341" spans="5:5">
      <c r="E1341" t="e">
        <v>#VALUE!</v>
      </c>
    </row>
    <row r="1342" spans="5:5">
      <c r="E1342" t="e">
        <v>#VALUE!</v>
      </c>
    </row>
    <row r="1343" spans="5:5">
      <c r="E1343" t="e">
        <v>#VALUE!</v>
      </c>
    </row>
    <row r="1344" spans="5:5">
      <c r="E1344" t="e">
        <v>#VALUE!</v>
      </c>
    </row>
    <row r="1345" spans="5:5">
      <c r="E1345" t="e">
        <v>#VALUE!</v>
      </c>
    </row>
    <row r="1346" spans="5:5">
      <c r="E1346" t="e">
        <v>#VALUE!</v>
      </c>
    </row>
    <row r="1347" spans="5:5">
      <c r="E1347" t="e">
        <v>#VALUE!</v>
      </c>
    </row>
    <row r="1348" spans="5:5">
      <c r="E1348" t="e">
        <v>#VALUE!</v>
      </c>
    </row>
    <row r="1349" spans="5:5">
      <c r="E1349" t="e">
        <v>#VALUE!</v>
      </c>
    </row>
    <row r="1350" spans="5:5">
      <c r="E1350" t="e">
        <v>#VALUE!</v>
      </c>
    </row>
    <row r="1351" spans="5:5">
      <c r="E1351" t="e">
        <v>#VALUE!</v>
      </c>
    </row>
    <row r="1352" spans="5:5">
      <c r="E1352" t="e">
        <v>#VALUE!</v>
      </c>
    </row>
    <row r="1353" spans="5:5">
      <c r="E1353" t="e">
        <v>#VALUE!</v>
      </c>
    </row>
    <row r="1354" spans="5:5">
      <c r="E1354" t="e">
        <v>#VALUE!</v>
      </c>
    </row>
    <row r="1355" spans="5:5">
      <c r="E1355" t="e">
        <v>#VALUE!</v>
      </c>
    </row>
    <row r="1356" spans="5:5">
      <c r="E1356" t="e">
        <v>#VALUE!</v>
      </c>
    </row>
    <row r="1357" spans="5:5">
      <c r="E1357" t="e">
        <v>#VALUE!</v>
      </c>
    </row>
    <row r="1358" spans="5:5">
      <c r="E1358" t="e">
        <v>#VALUE!</v>
      </c>
    </row>
    <row r="1359" spans="5:5">
      <c r="E1359" t="e">
        <v>#VALUE!</v>
      </c>
    </row>
    <row r="1360" spans="5:5">
      <c r="E1360" t="e">
        <v>#VALUE!</v>
      </c>
    </row>
    <row r="1361" spans="5:5">
      <c r="E1361" t="e">
        <v>#VALUE!</v>
      </c>
    </row>
    <row r="1362" spans="5:5">
      <c r="E1362" t="e">
        <v>#VALUE!</v>
      </c>
    </row>
    <row r="1363" spans="5:5">
      <c r="E1363" t="e">
        <v>#VALUE!</v>
      </c>
    </row>
    <row r="1364" spans="5:5">
      <c r="E1364" t="e">
        <v>#VALUE!</v>
      </c>
    </row>
    <row r="1365" spans="5:5">
      <c r="E1365" t="e">
        <v>#VALUE!</v>
      </c>
    </row>
    <row r="1366" spans="5:5">
      <c r="E1366" t="e">
        <v>#VALUE!</v>
      </c>
    </row>
    <row r="1367" spans="5:5">
      <c r="E1367" t="e">
        <v>#VALUE!</v>
      </c>
    </row>
    <row r="1368" spans="5:5">
      <c r="E1368" t="e">
        <v>#VALUE!</v>
      </c>
    </row>
    <row r="1369" spans="5:5">
      <c r="E1369" t="e">
        <v>#VALUE!</v>
      </c>
    </row>
    <row r="1370" spans="5:5">
      <c r="E1370" t="e">
        <v>#VALUE!</v>
      </c>
    </row>
    <row r="1371" spans="5:5">
      <c r="E1371" t="e">
        <v>#VALUE!</v>
      </c>
    </row>
    <row r="1372" spans="5:5">
      <c r="E1372" t="e">
        <v>#VALUE!</v>
      </c>
    </row>
    <row r="1373" spans="5:5">
      <c r="E1373" t="e">
        <v>#VALUE!</v>
      </c>
    </row>
    <row r="1374" spans="5:5">
      <c r="E1374" t="e">
        <v>#VALUE!</v>
      </c>
    </row>
    <row r="1375" spans="5:5">
      <c r="E1375" t="e">
        <v>#VALUE!</v>
      </c>
    </row>
    <row r="1376" spans="5:5">
      <c r="E1376" t="e">
        <v>#VALUE!</v>
      </c>
    </row>
    <row r="1377" spans="5:5">
      <c r="E1377" t="e">
        <v>#VALUE!</v>
      </c>
    </row>
    <row r="1378" spans="5:5">
      <c r="E1378" t="e">
        <v>#VALUE!</v>
      </c>
    </row>
    <row r="1379" spans="5:5">
      <c r="E1379" t="e">
        <v>#VALUE!</v>
      </c>
    </row>
    <row r="1380" spans="5:5">
      <c r="E1380" t="e">
        <v>#VALUE!</v>
      </c>
    </row>
    <row r="1381" spans="5:5">
      <c r="E1381" t="e">
        <v>#VALUE!</v>
      </c>
    </row>
    <row r="1382" spans="5:5">
      <c r="E1382" t="e">
        <v>#VALUE!</v>
      </c>
    </row>
    <row r="1383" spans="5:5">
      <c r="E1383" t="e">
        <v>#VALUE!</v>
      </c>
    </row>
    <row r="1384" spans="5:5">
      <c r="E1384" t="e">
        <v>#VALUE!</v>
      </c>
    </row>
    <row r="1385" spans="5:5">
      <c r="E1385" t="e">
        <v>#VALUE!</v>
      </c>
    </row>
    <row r="1386" spans="5:5">
      <c r="E1386" t="e">
        <v>#VALUE!</v>
      </c>
    </row>
    <row r="1387" spans="5:5">
      <c r="E1387" t="e">
        <v>#VALUE!</v>
      </c>
    </row>
    <row r="1388" spans="5:5">
      <c r="E1388" t="e">
        <v>#VALUE!</v>
      </c>
    </row>
    <row r="1389" spans="5:5">
      <c r="E1389" t="e">
        <v>#VALUE!</v>
      </c>
    </row>
    <row r="1390" spans="5:5">
      <c r="E1390" t="e">
        <v>#VALUE!</v>
      </c>
    </row>
    <row r="1391" spans="5:5">
      <c r="E1391" t="e">
        <v>#VALUE!</v>
      </c>
    </row>
    <row r="1392" spans="5:5">
      <c r="E1392" t="e">
        <v>#VALUE!</v>
      </c>
    </row>
    <row r="1393" spans="5:5">
      <c r="E1393" t="e">
        <v>#VALUE!</v>
      </c>
    </row>
    <row r="1394" spans="5:5">
      <c r="E1394" t="e">
        <v>#VALUE!</v>
      </c>
    </row>
    <row r="1395" spans="5:5">
      <c r="E1395" t="e">
        <v>#VALUE!</v>
      </c>
    </row>
    <row r="1396" spans="5:5">
      <c r="E1396" t="e">
        <v>#VALUE!</v>
      </c>
    </row>
    <row r="1397" spans="5:5">
      <c r="E1397" t="e">
        <v>#VALUE!</v>
      </c>
    </row>
    <row r="1398" spans="5:5">
      <c r="E1398" t="e">
        <v>#VALUE!</v>
      </c>
    </row>
    <row r="1399" spans="5:5">
      <c r="E1399" t="e">
        <v>#VALUE!</v>
      </c>
    </row>
    <row r="1400" spans="5:5">
      <c r="E1400" t="e">
        <v>#VALUE!</v>
      </c>
    </row>
    <row r="1401" spans="5:5">
      <c r="E1401" t="e">
        <v>#VALUE!</v>
      </c>
    </row>
    <row r="1402" spans="5:5">
      <c r="E1402" t="e">
        <v>#VALUE!</v>
      </c>
    </row>
    <row r="1403" spans="5:5">
      <c r="E1403" t="e">
        <v>#VALUE!</v>
      </c>
    </row>
    <row r="1404" spans="5:5">
      <c r="E1404" t="e">
        <v>#VALUE!</v>
      </c>
    </row>
    <row r="1405" spans="5:5">
      <c r="E1405" t="e">
        <v>#VALUE!</v>
      </c>
    </row>
    <row r="1406" spans="5:5">
      <c r="E1406" t="e">
        <v>#VALUE!</v>
      </c>
    </row>
    <row r="1407" spans="5:5">
      <c r="E1407" t="e">
        <v>#VALUE!</v>
      </c>
    </row>
    <row r="1408" spans="5:5">
      <c r="E1408" t="e">
        <v>#VALUE!</v>
      </c>
    </row>
    <row r="1409" spans="5:5">
      <c r="E1409" t="e">
        <v>#VALUE!</v>
      </c>
    </row>
    <row r="1410" spans="5:5">
      <c r="E1410" t="e">
        <v>#VALUE!</v>
      </c>
    </row>
    <row r="1411" spans="5:5">
      <c r="E1411" t="e">
        <v>#VALUE!</v>
      </c>
    </row>
    <row r="1412" spans="5:5">
      <c r="E1412" t="e">
        <v>#VALUE!</v>
      </c>
    </row>
    <row r="1413" spans="5:5">
      <c r="E1413" t="e">
        <v>#VALUE!</v>
      </c>
    </row>
    <row r="1414" spans="5:5">
      <c r="E1414" t="e">
        <v>#VALUE!</v>
      </c>
    </row>
    <row r="1415" spans="5:5">
      <c r="E1415" t="e">
        <v>#VALUE!</v>
      </c>
    </row>
    <row r="1416" spans="5:5">
      <c r="E1416" t="e">
        <v>#VALUE!</v>
      </c>
    </row>
    <row r="1417" spans="5:5">
      <c r="E1417" t="e">
        <v>#VALUE!</v>
      </c>
    </row>
    <row r="1418" spans="5:5">
      <c r="E1418" t="e">
        <v>#VALUE!</v>
      </c>
    </row>
    <row r="1419" spans="5:5">
      <c r="E1419" t="e">
        <v>#VALUE!</v>
      </c>
    </row>
    <row r="1420" spans="5:5">
      <c r="E1420" t="e">
        <v>#VALUE!</v>
      </c>
    </row>
    <row r="1421" spans="5:5">
      <c r="E1421" t="e">
        <v>#VALUE!</v>
      </c>
    </row>
    <row r="1422" spans="5:5">
      <c r="E1422" t="e">
        <v>#VALUE!</v>
      </c>
    </row>
    <row r="1423" spans="5:5">
      <c r="E1423" t="e">
        <v>#VALUE!</v>
      </c>
    </row>
    <row r="1424" spans="5:5">
      <c r="E1424" t="e">
        <v>#VALUE!</v>
      </c>
    </row>
    <row r="1425" spans="5:5">
      <c r="E1425" t="e">
        <v>#VALUE!</v>
      </c>
    </row>
    <row r="1426" spans="5:5">
      <c r="E1426" t="e">
        <v>#VALUE!</v>
      </c>
    </row>
    <row r="1427" spans="5:5">
      <c r="E1427" t="e">
        <v>#VALUE!</v>
      </c>
    </row>
    <row r="1428" spans="5:5">
      <c r="E1428" t="e">
        <v>#VALUE!</v>
      </c>
    </row>
    <row r="1429" spans="5:5">
      <c r="E1429" t="e">
        <v>#VALUE!</v>
      </c>
    </row>
    <row r="1430" spans="5:5">
      <c r="E1430" t="e">
        <v>#VALUE!</v>
      </c>
    </row>
    <row r="1431" spans="5:5">
      <c r="E1431" t="e">
        <v>#VALUE!</v>
      </c>
    </row>
    <row r="1432" spans="5:5">
      <c r="E1432" t="e">
        <v>#VALUE!</v>
      </c>
    </row>
    <row r="1433" spans="5:5">
      <c r="E1433" t="e">
        <v>#VALUE!</v>
      </c>
    </row>
    <row r="1434" spans="5:5">
      <c r="E1434" t="e">
        <v>#VALUE!</v>
      </c>
    </row>
    <row r="1435" spans="5:5">
      <c r="E1435" t="e">
        <v>#VALUE!</v>
      </c>
    </row>
    <row r="1436" spans="5:5">
      <c r="E1436" t="e">
        <v>#VALUE!</v>
      </c>
    </row>
    <row r="1437" spans="5:5">
      <c r="E1437" t="e">
        <v>#VALUE!</v>
      </c>
    </row>
    <row r="1438" spans="5:5">
      <c r="E1438" t="e">
        <v>#VALUE!</v>
      </c>
    </row>
    <row r="1439" spans="5:5">
      <c r="E1439" t="e">
        <v>#VALUE!</v>
      </c>
    </row>
    <row r="1440" spans="5:5">
      <c r="E1440" t="e">
        <v>#VALUE!</v>
      </c>
    </row>
    <row r="1441" spans="5:5">
      <c r="E1441" t="e">
        <v>#VALUE!</v>
      </c>
    </row>
    <row r="1442" spans="5:5">
      <c r="E1442" t="e">
        <v>#VALUE!</v>
      </c>
    </row>
    <row r="1443" spans="5:5">
      <c r="E1443" t="e">
        <v>#VALUE!</v>
      </c>
    </row>
    <row r="1444" spans="5:5">
      <c r="E1444" t="e">
        <v>#VALUE!</v>
      </c>
    </row>
    <row r="1445" spans="5:5">
      <c r="E1445" t="e">
        <v>#VALUE!</v>
      </c>
    </row>
    <row r="1446" spans="5:5">
      <c r="E1446" t="e">
        <v>#VALUE!</v>
      </c>
    </row>
    <row r="1447" spans="5:5">
      <c r="E1447" t="e">
        <v>#VALUE!</v>
      </c>
    </row>
    <row r="1448" spans="5:5">
      <c r="E1448" t="e">
        <v>#VALUE!</v>
      </c>
    </row>
    <row r="1449" spans="5:5">
      <c r="E1449" t="e">
        <v>#VALUE!</v>
      </c>
    </row>
    <row r="1450" spans="5:5">
      <c r="E1450" t="e">
        <v>#VALUE!</v>
      </c>
    </row>
    <row r="1451" spans="5:5">
      <c r="E1451" t="e">
        <v>#VALUE!</v>
      </c>
    </row>
    <row r="1452" spans="5:5">
      <c r="E1452" t="e">
        <v>#VALUE!</v>
      </c>
    </row>
    <row r="1453" spans="5:5">
      <c r="E1453" t="e">
        <v>#VALUE!</v>
      </c>
    </row>
    <row r="1454" spans="5:5">
      <c r="E1454" t="e">
        <v>#VALUE!</v>
      </c>
    </row>
    <row r="1455" spans="5:5">
      <c r="E1455" t="e">
        <v>#VALUE!</v>
      </c>
    </row>
    <row r="1456" spans="5:5">
      <c r="E1456" t="e">
        <v>#VALUE!</v>
      </c>
    </row>
    <row r="1457" spans="5:5">
      <c r="E1457" t="e">
        <v>#VALUE!</v>
      </c>
    </row>
    <row r="1458" spans="5:5">
      <c r="E1458" t="e">
        <v>#VALUE!</v>
      </c>
    </row>
    <row r="1459" spans="5:5">
      <c r="E1459" t="e">
        <v>#VALUE!</v>
      </c>
    </row>
    <row r="1460" spans="5:5">
      <c r="E1460" t="e">
        <v>#VALUE!</v>
      </c>
    </row>
    <row r="1461" spans="5:5">
      <c r="E1461" t="e">
        <v>#VALUE!</v>
      </c>
    </row>
    <row r="1462" spans="5:5">
      <c r="E1462" t="e">
        <v>#VALUE!</v>
      </c>
    </row>
    <row r="1463" spans="5:5">
      <c r="E1463" t="e">
        <v>#VALUE!</v>
      </c>
    </row>
    <row r="1464" spans="5:5">
      <c r="E1464" t="e">
        <v>#VALUE!</v>
      </c>
    </row>
    <row r="1465" spans="5:5">
      <c r="E1465" t="e">
        <v>#VALUE!</v>
      </c>
    </row>
    <row r="1466" spans="5:5">
      <c r="E1466" t="e">
        <v>#VALUE!</v>
      </c>
    </row>
    <row r="1467" spans="5:5">
      <c r="E1467" t="e">
        <v>#VALUE!</v>
      </c>
    </row>
    <row r="1468" spans="5:5">
      <c r="E1468" t="e">
        <v>#VALUE!</v>
      </c>
    </row>
    <row r="1469" spans="5:5">
      <c r="E1469" t="e">
        <v>#VALUE!</v>
      </c>
    </row>
    <row r="1470" spans="5:5">
      <c r="E1470" t="e">
        <v>#VALUE!</v>
      </c>
    </row>
    <row r="1471" spans="5:5">
      <c r="E1471" t="e">
        <v>#VALUE!</v>
      </c>
    </row>
    <row r="1472" spans="5:5">
      <c r="E1472" t="e">
        <v>#VALUE!</v>
      </c>
    </row>
    <row r="1473" spans="5:5">
      <c r="E1473" t="e">
        <v>#VALUE!</v>
      </c>
    </row>
    <row r="1474" spans="5:5">
      <c r="E1474" t="e">
        <v>#VALUE!</v>
      </c>
    </row>
    <row r="1475" spans="5:5">
      <c r="E1475" t="e">
        <v>#VALUE!</v>
      </c>
    </row>
    <row r="1476" spans="5:5">
      <c r="E1476" t="e">
        <v>#VALUE!</v>
      </c>
    </row>
    <row r="1477" spans="5:5">
      <c r="E1477" t="e">
        <v>#VALUE!</v>
      </c>
    </row>
    <row r="1478" spans="5:5">
      <c r="E1478" t="e">
        <v>#VALUE!</v>
      </c>
    </row>
    <row r="1479" spans="5:5">
      <c r="E1479" t="e">
        <v>#VALUE!</v>
      </c>
    </row>
    <row r="1480" spans="5:5">
      <c r="E1480" t="e">
        <v>#VALUE!</v>
      </c>
    </row>
    <row r="1481" spans="5:5">
      <c r="E1481" t="e">
        <v>#VALUE!</v>
      </c>
    </row>
    <row r="1482" spans="5:5">
      <c r="E1482" t="e">
        <v>#VALUE!</v>
      </c>
    </row>
    <row r="1483" spans="5:5">
      <c r="E1483" t="e">
        <v>#VALUE!</v>
      </c>
    </row>
    <row r="1484" spans="5:5">
      <c r="E1484" t="e">
        <v>#VALUE!</v>
      </c>
    </row>
    <row r="1485" spans="5:5">
      <c r="E1485" t="e">
        <v>#VALUE!</v>
      </c>
    </row>
    <row r="1486" spans="5:5">
      <c r="E1486" t="e">
        <v>#VALUE!</v>
      </c>
    </row>
    <row r="1487" spans="5:5">
      <c r="E1487" t="e">
        <v>#VALUE!</v>
      </c>
    </row>
    <row r="1488" spans="5:5">
      <c r="E1488" t="e">
        <v>#VALUE!</v>
      </c>
    </row>
    <row r="1489" spans="5:5">
      <c r="E1489" t="e">
        <v>#VALUE!</v>
      </c>
    </row>
    <row r="1490" spans="5:5">
      <c r="E1490" t="e">
        <v>#VALUE!</v>
      </c>
    </row>
    <row r="1491" spans="5:5">
      <c r="E1491" t="e">
        <v>#VALUE!</v>
      </c>
    </row>
    <row r="1492" spans="5:5">
      <c r="E1492" t="e">
        <v>#VALUE!</v>
      </c>
    </row>
    <row r="1493" spans="5:5">
      <c r="E1493" t="e">
        <v>#VALUE!</v>
      </c>
    </row>
    <row r="1494" spans="5:5">
      <c r="E1494" t="e">
        <v>#VALUE!</v>
      </c>
    </row>
    <row r="1495" spans="5:5">
      <c r="E1495" t="e">
        <v>#VALUE!</v>
      </c>
    </row>
    <row r="1496" spans="5:5">
      <c r="E1496" t="e">
        <v>#VALUE!</v>
      </c>
    </row>
    <row r="1497" spans="5:5">
      <c r="E1497" t="e">
        <v>#VALUE!</v>
      </c>
    </row>
    <row r="1498" spans="5:5">
      <c r="E1498" t="e">
        <v>#VALUE!</v>
      </c>
    </row>
    <row r="1499" spans="5:5">
      <c r="E1499" t="e">
        <v>#VALUE!</v>
      </c>
    </row>
    <row r="1500" spans="5:5">
      <c r="E1500" t="e">
        <v>#VALUE!</v>
      </c>
    </row>
    <row r="1501" spans="5:5">
      <c r="E1501" t="e">
        <v>#VALUE!</v>
      </c>
    </row>
    <row r="1502" spans="5:5">
      <c r="E1502" t="e">
        <v>#VALUE!</v>
      </c>
    </row>
    <row r="1503" spans="5:5">
      <c r="E1503" t="e">
        <v>#VALUE!</v>
      </c>
    </row>
    <row r="1504" spans="5:5">
      <c r="E1504" t="e">
        <v>#VALUE!</v>
      </c>
    </row>
    <row r="1505" spans="5:5">
      <c r="E1505" t="e">
        <v>#VALUE!</v>
      </c>
    </row>
    <row r="1506" spans="5:5">
      <c r="E1506" t="e">
        <v>#VALUE!</v>
      </c>
    </row>
    <row r="1507" spans="5:5">
      <c r="E1507" t="e">
        <v>#VALUE!</v>
      </c>
    </row>
    <row r="1508" spans="5:5">
      <c r="E1508" t="e">
        <v>#VALUE!</v>
      </c>
    </row>
    <row r="1509" spans="5:5">
      <c r="E1509" t="e">
        <v>#VALUE!</v>
      </c>
    </row>
    <row r="1510" spans="5:5">
      <c r="E1510" t="e">
        <v>#VALUE!</v>
      </c>
    </row>
    <row r="1511" spans="5:5">
      <c r="E1511" t="e">
        <v>#VALUE!</v>
      </c>
    </row>
    <row r="1512" spans="5:5">
      <c r="E1512" t="e">
        <v>#VALUE!</v>
      </c>
    </row>
    <row r="1513" spans="5:5">
      <c r="E1513" t="e">
        <v>#VALUE!</v>
      </c>
    </row>
    <row r="1514" spans="5:5">
      <c r="E1514" t="e">
        <v>#VALUE!</v>
      </c>
    </row>
    <row r="1515" spans="5:5">
      <c r="E1515" t="e">
        <v>#VALUE!</v>
      </c>
    </row>
    <row r="1516" spans="5:5">
      <c r="E1516" t="e">
        <v>#VALUE!</v>
      </c>
    </row>
    <row r="1517" spans="5:5">
      <c r="E1517" t="e">
        <v>#VALUE!</v>
      </c>
    </row>
    <row r="1518" spans="5:5">
      <c r="E1518" t="e">
        <v>#VALUE!</v>
      </c>
    </row>
    <row r="1519" spans="5:5">
      <c r="E1519" t="e">
        <v>#VALUE!</v>
      </c>
    </row>
    <row r="1520" spans="5:5">
      <c r="E1520" t="e">
        <v>#VALUE!</v>
      </c>
    </row>
    <row r="1521" spans="5:5">
      <c r="E1521" t="e">
        <v>#VALUE!</v>
      </c>
    </row>
    <row r="1522" spans="5:5">
      <c r="E1522" t="e">
        <v>#VALUE!</v>
      </c>
    </row>
    <row r="1523" spans="5:5">
      <c r="E1523" t="e">
        <v>#VALUE!</v>
      </c>
    </row>
    <row r="1524" spans="5:5">
      <c r="E1524" t="e">
        <v>#VALUE!</v>
      </c>
    </row>
    <row r="1525" spans="5:5">
      <c r="E1525" t="e">
        <v>#VALUE!</v>
      </c>
    </row>
    <row r="1526" spans="5:5">
      <c r="E1526" t="e">
        <v>#VALUE!</v>
      </c>
    </row>
    <row r="1527" spans="5:5">
      <c r="E1527" t="e">
        <v>#VALUE!</v>
      </c>
    </row>
    <row r="1528" spans="5:5">
      <c r="E1528" t="e">
        <v>#VALUE!</v>
      </c>
    </row>
    <row r="1529" spans="5:5">
      <c r="E1529" t="e">
        <v>#VALUE!</v>
      </c>
    </row>
    <row r="1530" spans="5:5">
      <c r="E1530" t="e">
        <v>#VALUE!</v>
      </c>
    </row>
    <row r="1531" spans="5:5">
      <c r="E1531" t="e">
        <v>#VALUE!</v>
      </c>
    </row>
    <row r="1532" spans="5:5">
      <c r="E1532" t="e">
        <v>#VALUE!</v>
      </c>
    </row>
    <row r="1533" spans="5:5">
      <c r="E1533" t="e">
        <v>#VALUE!</v>
      </c>
    </row>
    <row r="1534" spans="5:5">
      <c r="E1534" t="e">
        <v>#VALUE!</v>
      </c>
    </row>
    <row r="1535" spans="5:5">
      <c r="E1535" t="e">
        <v>#VALUE!</v>
      </c>
    </row>
    <row r="1536" spans="5:5">
      <c r="E1536" t="e">
        <v>#VALUE!</v>
      </c>
    </row>
    <row r="1537" spans="5:5">
      <c r="E1537" t="e">
        <v>#VALUE!</v>
      </c>
    </row>
    <row r="1538" spans="5:5">
      <c r="E1538" t="e">
        <v>#VALUE!</v>
      </c>
    </row>
    <row r="1539" spans="5:5">
      <c r="E1539" t="e">
        <v>#VALUE!</v>
      </c>
    </row>
    <row r="1540" spans="5:5">
      <c r="E1540" t="e">
        <v>#VALUE!</v>
      </c>
    </row>
    <row r="1541" spans="5:5">
      <c r="E1541" t="e">
        <v>#VALUE!</v>
      </c>
    </row>
    <row r="1542" spans="5:5">
      <c r="E1542" t="e">
        <v>#VALUE!</v>
      </c>
    </row>
    <row r="1543" spans="5:5">
      <c r="E1543" t="e">
        <v>#VALUE!</v>
      </c>
    </row>
    <row r="1544" spans="5:5">
      <c r="E1544" t="e">
        <v>#VALUE!</v>
      </c>
    </row>
    <row r="1545" spans="5:5">
      <c r="E1545" t="e">
        <v>#VALUE!</v>
      </c>
    </row>
    <row r="1546" spans="5:5">
      <c r="E1546" t="e">
        <v>#VALUE!</v>
      </c>
    </row>
    <row r="1547" spans="5:5">
      <c r="E1547" t="e">
        <v>#VALUE!</v>
      </c>
    </row>
    <row r="1548" spans="5:5">
      <c r="E1548" t="e">
        <v>#VALUE!</v>
      </c>
    </row>
    <row r="1549" spans="5:5">
      <c r="E1549" t="e">
        <v>#VALUE!</v>
      </c>
    </row>
    <row r="1550" spans="5:5">
      <c r="E1550" t="e">
        <v>#VALUE!</v>
      </c>
    </row>
    <row r="1551" spans="5:5">
      <c r="E1551" t="e">
        <v>#VALUE!</v>
      </c>
    </row>
    <row r="1552" spans="5:5">
      <c r="E1552" t="e">
        <v>#VALUE!</v>
      </c>
    </row>
    <row r="1553" spans="5:5">
      <c r="E1553" t="e">
        <v>#VALUE!</v>
      </c>
    </row>
    <row r="1554" spans="5:5">
      <c r="E1554" t="e">
        <v>#VALUE!</v>
      </c>
    </row>
    <row r="1555" spans="5:5">
      <c r="E1555" t="e">
        <v>#VALUE!</v>
      </c>
    </row>
    <row r="1556" spans="5:5">
      <c r="E1556" t="e">
        <v>#VALUE!</v>
      </c>
    </row>
    <row r="1557" spans="5:5">
      <c r="E1557" t="e">
        <v>#VALUE!</v>
      </c>
    </row>
    <row r="1558" spans="5:5">
      <c r="E1558" t="e">
        <v>#VALUE!</v>
      </c>
    </row>
    <row r="1559" spans="5:5">
      <c r="E1559" t="e">
        <v>#VALUE!</v>
      </c>
    </row>
    <row r="1560" spans="5:5">
      <c r="E1560" t="e">
        <v>#VALUE!</v>
      </c>
    </row>
    <row r="1561" spans="5:5">
      <c r="E1561" t="e">
        <v>#VALUE!</v>
      </c>
    </row>
    <row r="1562" spans="5:5">
      <c r="E1562" t="e">
        <v>#VALUE!</v>
      </c>
    </row>
    <row r="1563" spans="5:5">
      <c r="E1563" t="e">
        <v>#VALUE!</v>
      </c>
    </row>
    <row r="1564" spans="5:5">
      <c r="E1564" t="e">
        <v>#VALUE!</v>
      </c>
    </row>
    <row r="1565" spans="5:5">
      <c r="E1565" t="e">
        <v>#VALUE!</v>
      </c>
    </row>
    <row r="1566" spans="5:5">
      <c r="E1566" t="e">
        <v>#VALUE!</v>
      </c>
    </row>
    <row r="1567" spans="5:5">
      <c r="E1567" t="e">
        <v>#VALUE!</v>
      </c>
    </row>
    <row r="1568" spans="5:5">
      <c r="E1568" t="e">
        <v>#VALUE!</v>
      </c>
    </row>
    <row r="1569" spans="5:5">
      <c r="E1569" t="e">
        <v>#VALUE!</v>
      </c>
    </row>
    <row r="1570" spans="5:5">
      <c r="E1570" t="e">
        <v>#VALUE!</v>
      </c>
    </row>
    <row r="1571" spans="5:5">
      <c r="E1571" t="e">
        <v>#VALUE!</v>
      </c>
    </row>
    <row r="1572" spans="5:5">
      <c r="E1572" t="e">
        <v>#VALUE!</v>
      </c>
    </row>
    <row r="1573" spans="5:5">
      <c r="E1573" t="e">
        <v>#VALUE!</v>
      </c>
    </row>
    <row r="1574" spans="5:5">
      <c r="E1574" t="e">
        <v>#VALUE!</v>
      </c>
    </row>
    <row r="1575" spans="5:5">
      <c r="E1575" t="e">
        <v>#VALUE!</v>
      </c>
    </row>
    <row r="1576" spans="5:5">
      <c r="E1576" t="e">
        <v>#VALUE!</v>
      </c>
    </row>
    <row r="1577" spans="5:5">
      <c r="E1577" t="e">
        <v>#VALUE!</v>
      </c>
    </row>
    <row r="1578" spans="5:5">
      <c r="E1578" t="e">
        <v>#VALUE!</v>
      </c>
    </row>
    <row r="1579" spans="5:5">
      <c r="E1579" t="e">
        <v>#VALUE!</v>
      </c>
    </row>
    <row r="1580" spans="5:5">
      <c r="E1580" t="e">
        <v>#VALUE!</v>
      </c>
    </row>
    <row r="1581" spans="5:5">
      <c r="E1581" t="e">
        <v>#VALUE!</v>
      </c>
    </row>
    <row r="1582" spans="5:5">
      <c r="E1582" t="e">
        <v>#VALUE!</v>
      </c>
    </row>
    <row r="1583" spans="5:5">
      <c r="E1583" t="e">
        <v>#VALUE!</v>
      </c>
    </row>
    <row r="1584" spans="5:5">
      <c r="E1584" t="e">
        <v>#VALUE!</v>
      </c>
    </row>
    <row r="1585" spans="5:5">
      <c r="E1585" t="e">
        <v>#VALUE!</v>
      </c>
    </row>
    <row r="1586" spans="5:5">
      <c r="E1586" t="e">
        <v>#VALUE!</v>
      </c>
    </row>
    <row r="1587" spans="5:5">
      <c r="E1587" t="e">
        <v>#VALUE!</v>
      </c>
    </row>
    <row r="1588" spans="5:5">
      <c r="E1588" t="e">
        <v>#VALUE!</v>
      </c>
    </row>
    <row r="1589" spans="5:5">
      <c r="E1589" t="e">
        <v>#VALUE!</v>
      </c>
    </row>
    <row r="1590" spans="5:5">
      <c r="E1590" t="e">
        <v>#VALUE!</v>
      </c>
    </row>
    <row r="1591" spans="5:5">
      <c r="E1591" t="e">
        <v>#VALUE!</v>
      </c>
    </row>
    <row r="1592" spans="5:5">
      <c r="E1592" t="e">
        <v>#VALUE!</v>
      </c>
    </row>
    <row r="1593" spans="5:5">
      <c r="E1593" t="e">
        <v>#VALUE!</v>
      </c>
    </row>
    <row r="1594" spans="5:5">
      <c r="E1594" t="e">
        <v>#VALUE!</v>
      </c>
    </row>
    <row r="1595" spans="5:5">
      <c r="E1595" t="e">
        <v>#VALUE!</v>
      </c>
    </row>
    <row r="1596" spans="5:5">
      <c r="E1596" t="e">
        <v>#VALUE!</v>
      </c>
    </row>
    <row r="1597" spans="5:5">
      <c r="E1597" t="e">
        <v>#VALUE!</v>
      </c>
    </row>
    <row r="1598" spans="5:5">
      <c r="E1598" t="e">
        <v>#VALUE!</v>
      </c>
    </row>
    <row r="1599" spans="5:5">
      <c r="E1599" t="e">
        <v>#VALUE!</v>
      </c>
    </row>
    <row r="1600" spans="5:5">
      <c r="E1600" t="e">
        <v>#VALUE!</v>
      </c>
    </row>
    <row r="1601" spans="5:5">
      <c r="E1601" t="e">
        <v>#VALUE!</v>
      </c>
    </row>
    <row r="1602" spans="5:5">
      <c r="E1602" t="e">
        <v>#VALUE!</v>
      </c>
    </row>
    <row r="1603" spans="5:5">
      <c r="E1603" t="e">
        <v>#VALUE!</v>
      </c>
    </row>
    <row r="1604" spans="5:5">
      <c r="E1604" t="e">
        <v>#VALUE!</v>
      </c>
    </row>
    <row r="1605" spans="5:5">
      <c r="E1605" t="e">
        <v>#VALUE!</v>
      </c>
    </row>
    <row r="1606" spans="5:5">
      <c r="E1606" t="e">
        <v>#VALUE!</v>
      </c>
    </row>
    <row r="1607" spans="5:5">
      <c r="E1607" t="e">
        <v>#VALUE!</v>
      </c>
    </row>
    <row r="1608" spans="5:5">
      <c r="E1608" t="e">
        <v>#VALUE!</v>
      </c>
    </row>
    <row r="1609" spans="5:5">
      <c r="E1609" t="e">
        <v>#VALUE!</v>
      </c>
    </row>
    <row r="1610" spans="5:5">
      <c r="E1610" t="e">
        <v>#VALUE!</v>
      </c>
    </row>
    <row r="1611" spans="5:5">
      <c r="E1611" t="e">
        <v>#VALUE!</v>
      </c>
    </row>
    <row r="1612" spans="5:5">
      <c r="E1612" t="e">
        <v>#VALUE!</v>
      </c>
    </row>
    <row r="1613" spans="5:5">
      <c r="E1613" t="e">
        <v>#VALUE!</v>
      </c>
    </row>
    <row r="1614" spans="5:5">
      <c r="E1614" t="e">
        <v>#VALUE!</v>
      </c>
    </row>
    <row r="1615" spans="5:5">
      <c r="E1615" t="e">
        <v>#VALUE!</v>
      </c>
    </row>
    <row r="1616" spans="5:5">
      <c r="E1616" t="e">
        <v>#VALUE!</v>
      </c>
    </row>
    <row r="1617" spans="5:5">
      <c r="E1617" t="e">
        <v>#VALUE!</v>
      </c>
    </row>
    <row r="1618" spans="5:5">
      <c r="E1618" t="e">
        <v>#VALUE!</v>
      </c>
    </row>
    <row r="1619" spans="5:5">
      <c r="E1619" t="e">
        <v>#VALUE!</v>
      </c>
    </row>
    <row r="1620" spans="5:5">
      <c r="E1620" t="e">
        <v>#VALUE!</v>
      </c>
    </row>
    <row r="1621" spans="5:5">
      <c r="E1621" t="e">
        <v>#VALUE!</v>
      </c>
    </row>
    <row r="1622" spans="5:5">
      <c r="E1622" t="e">
        <v>#VALUE!</v>
      </c>
    </row>
    <row r="1623" spans="5:5">
      <c r="E1623" t="e">
        <v>#VALUE!</v>
      </c>
    </row>
    <row r="1624" spans="5:5">
      <c r="E1624" t="e">
        <v>#VALUE!</v>
      </c>
    </row>
    <row r="1625" spans="5:5">
      <c r="E1625" t="e">
        <v>#VALUE!</v>
      </c>
    </row>
    <row r="1626" spans="5:5">
      <c r="E1626" t="e">
        <v>#VALUE!</v>
      </c>
    </row>
    <row r="1627" spans="5:5">
      <c r="E1627" t="e">
        <v>#VALUE!</v>
      </c>
    </row>
    <row r="1628" spans="5:5">
      <c r="E1628" t="e">
        <v>#VALUE!</v>
      </c>
    </row>
    <row r="1629" spans="5:5">
      <c r="E1629" t="e">
        <v>#VALUE!</v>
      </c>
    </row>
    <row r="1630" spans="5:5">
      <c r="E1630" t="e">
        <v>#VALUE!</v>
      </c>
    </row>
    <row r="1631" spans="5:5">
      <c r="E1631" t="e">
        <v>#VALUE!</v>
      </c>
    </row>
    <row r="1632" spans="5:5">
      <c r="E1632" t="e">
        <v>#VALUE!</v>
      </c>
    </row>
    <row r="1633" spans="5:5">
      <c r="E1633" t="e">
        <v>#VALUE!</v>
      </c>
    </row>
    <row r="1634" spans="5:5">
      <c r="E1634" t="e">
        <v>#VALUE!</v>
      </c>
    </row>
    <row r="1635" spans="5:5">
      <c r="E1635" t="e">
        <v>#VALUE!</v>
      </c>
    </row>
    <row r="1636" spans="5:5">
      <c r="E1636" t="e">
        <v>#VALUE!</v>
      </c>
    </row>
    <row r="1637" spans="5:5">
      <c r="E1637" t="e">
        <v>#VALUE!</v>
      </c>
    </row>
    <row r="1638" spans="5:5">
      <c r="E1638" t="e">
        <v>#VALUE!</v>
      </c>
    </row>
    <row r="1639" spans="5:5">
      <c r="E1639" t="e">
        <v>#VALUE!</v>
      </c>
    </row>
    <row r="1640" spans="5:5">
      <c r="E1640" t="e">
        <v>#VALUE!</v>
      </c>
    </row>
    <row r="1641" spans="5:5">
      <c r="E1641" t="e">
        <v>#VALUE!</v>
      </c>
    </row>
    <row r="1642" spans="5:5">
      <c r="E1642" t="e">
        <v>#VALUE!</v>
      </c>
    </row>
    <row r="1643" spans="5:5">
      <c r="E1643" t="e">
        <v>#VALUE!</v>
      </c>
    </row>
    <row r="1644" spans="5:5">
      <c r="E1644" t="e">
        <v>#VALUE!</v>
      </c>
    </row>
    <row r="1645" spans="5:5">
      <c r="E1645" t="e">
        <v>#VALUE!</v>
      </c>
    </row>
    <row r="1646" spans="5:5">
      <c r="E1646" t="e">
        <v>#VALUE!</v>
      </c>
    </row>
    <row r="1647" spans="5:5">
      <c r="E1647" t="e">
        <v>#VALUE!</v>
      </c>
    </row>
    <row r="1648" spans="5:5">
      <c r="E1648" t="e">
        <v>#VALUE!</v>
      </c>
    </row>
    <row r="1649" spans="5:5">
      <c r="E1649" t="e">
        <v>#VALUE!</v>
      </c>
    </row>
    <row r="1650" spans="5:5">
      <c r="E1650" t="e">
        <v>#VALUE!</v>
      </c>
    </row>
    <row r="1651" spans="5:5">
      <c r="E1651" t="e">
        <v>#VALUE!</v>
      </c>
    </row>
    <row r="1652" spans="5:5">
      <c r="E1652" t="e">
        <v>#VALUE!</v>
      </c>
    </row>
    <row r="1653" spans="5:5">
      <c r="E1653" t="e">
        <v>#VALUE!</v>
      </c>
    </row>
    <row r="1654" spans="5:5">
      <c r="E1654" t="e">
        <v>#VALUE!</v>
      </c>
    </row>
    <row r="1655" spans="5:5">
      <c r="E1655" t="e">
        <v>#VALUE!</v>
      </c>
    </row>
    <row r="1656" spans="5:5">
      <c r="E1656" t="e">
        <v>#VALUE!</v>
      </c>
    </row>
    <row r="1657" spans="5:5">
      <c r="E1657" t="e">
        <v>#VALUE!</v>
      </c>
    </row>
    <row r="1658" spans="5:5">
      <c r="E1658" t="e">
        <v>#VALUE!</v>
      </c>
    </row>
    <row r="1659" spans="5:5">
      <c r="E1659" t="e">
        <v>#VALUE!</v>
      </c>
    </row>
    <row r="1660" spans="5:5">
      <c r="E1660" t="e">
        <v>#VALUE!</v>
      </c>
    </row>
    <row r="1661" spans="5:5">
      <c r="E1661" t="e">
        <v>#VALUE!</v>
      </c>
    </row>
    <row r="1662" spans="5:5">
      <c r="E1662" t="e">
        <v>#VALUE!</v>
      </c>
    </row>
    <row r="1663" spans="5:5">
      <c r="E1663" t="e">
        <v>#VALUE!</v>
      </c>
    </row>
    <row r="1664" spans="5:5">
      <c r="E1664" t="e">
        <v>#VALUE!</v>
      </c>
    </row>
    <row r="1665" spans="5:5">
      <c r="E1665" t="e">
        <v>#VALUE!</v>
      </c>
    </row>
    <row r="1666" spans="5:5">
      <c r="E1666" t="e">
        <v>#VALUE!</v>
      </c>
    </row>
    <row r="1667" spans="5:5">
      <c r="E1667" t="e">
        <v>#VALUE!</v>
      </c>
    </row>
    <row r="1668" spans="5:5">
      <c r="E1668" t="e">
        <v>#VALUE!</v>
      </c>
    </row>
    <row r="1669" spans="5:5">
      <c r="E1669" t="e">
        <v>#VALUE!</v>
      </c>
    </row>
    <row r="1670" spans="5:5">
      <c r="E1670" t="e">
        <v>#VALUE!</v>
      </c>
    </row>
    <row r="1671" spans="5:5">
      <c r="E1671" t="e">
        <v>#VALUE!</v>
      </c>
    </row>
    <row r="1672" spans="5:5">
      <c r="E1672" t="e">
        <v>#VALUE!</v>
      </c>
    </row>
    <row r="1673" spans="5:5">
      <c r="E1673" t="e">
        <v>#VALUE!</v>
      </c>
    </row>
    <row r="1674" spans="5:5">
      <c r="E1674" t="e">
        <v>#VALUE!</v>
      </c>
    </row>
    <row r="1675" spans="5:5">
      <c r="E1675" t="e">
        <v>#VALUE!</v>
      </c>
    </row>
    <row r="1676" spans="5:5">
      <c r="E1676" t="e">
        <v>#VALUE!</v>
      </c>
    </row>
    <row r="1677" spans="5:5">
      <c r="E1677" t="e">
        <v>#VALUE!</v>
      </c>
    </row>
    <row r="1678" spans="5:5">
      <c r="E1678" t="e">
        <v>#VALUE!</v>
      </c>
    </row>
    <row r="1679" spans="5:5">
      <c r="E1679" t="e">
        <v>#VALUE!</v>
      </c>
    </row>
    <row r="1680" spans="5:5">
      <c r="E1680" t="e">
        <v>#VALUE!</v>
      </c>
    </row>
    <row r="1681" spans="5:5">
      <c r="E1681" t="e">
        <v>#VALUE!</v>
      </c>
    </row>
    <row r="1682" spans="5:5">
      <c r="E1682" t="e">
        <v>#VALUE!</v>
      </c>
    </row>
    <row r="1683" spans="5:5">
      <c r="E1683" t="e">
        <v>#VALUE!</v>
      </c>
    </row>
    <row r="1684" spans="5:5">
      <c r="E1684" t="e">
        <v>#VALUE!</v>
      </c>
    </row>
    <row r="1685" spans="5:5">
      <c r="E1685" t="e">
        <v>#VALUE!</v>
      </c>
    </row>
    <row r="1686" spans="5:5">
      <c r="E1686" t="e">
        <v>#VALUE!</v>
      </c>
    </row>
    <row r="1687" spans="5:5">
      <c r="E1687" t="e">
        <v>#VALUE!</v>
      </c>
    </row>
    <row r="1688" spans="5:5">
      <c r="E1688" t="e">
        <v>#VALUE!</v>
      </c>
    </row>
    <row r="1689" spans="5:5">
      <c r="E1689" t="e">
        <v>#VALUE!</v>
      </c>
    </row>
    <row r="1690" spans="5:5">
      <c r="E1690" t="e">
        <v>#VALUE!</v>
      </c>
    </row>
    <row r="1691" spans="5:5">
      <c r="E1691" t="e">
        <v>#VALUE!</v>
      </c>
    </row>
    <row r="1692" spans="5:5">
      <c r="E1692" t="e">
        <v>#VALUE!</v>
      </c>
    </row>
    <row r="1693" spans="5:5">
      <c r="E1693" t="e">
        <v>#VALUE!</v>
      </c>
    </row>
    <row r="1694" spans="5:5">
      <c r="E1694" t="e">
        <v>#VALUE!</v>
      </c>
    </row>
    <row r="1695" spans="5:5">
      <c r="E1695" t="e">
        <v>#VALUE!</v>
      </c>
    </row>
    <row r="1696" spans="5:5">
      <c r="E1696" t="e">
        <v>#VALUE!</v>
      </c>
    </row>
    <row r="1697" spans="5:5">
      <c r="E1697" t="e">
        <v>#VALUE!</v>
      </c>
    </row>
    <row r="1698" spans="5:5">
      <c r="E1698" t="e">
        <v>#VALUE!</v>
      </c>
    </row>
    <row r="1699" spans="5:5">
      <c r="E1699" t="e">
        <v>#VALUE!</v>
      </c>
    </row>
    <row r="1700" spans="5:5">
      <c r="E1700" t="e">
        <v>#VALUE!</v>
      </c>
    </row>
    <row r="1701" spans="5:5">
      <c r="E1701" t="e">
        <v>#VALUE!</v>
      </c>
    </row>
    <row r="1702" spans="5:5">
      <c r="E1702" t="e">
        <v>#VALUE!</v>
      </c>
    </row>
    <row r="1703" spans="5:5">
      <c r="E1703" t="e">
        <v>#VALUE!</v>
      </c>
    </row>
    <row r="1704" spans="5:5">
      <c r="E1704" t="e">
        <v>#VALUE!</v>
      </c>
    </row>
    <row r="1705" spans="5:5">
      <c r="E1705" t="e">
        <v>#VALUE!</v>
      </c>
    </row>
    <row r="1706" spans="5:5">
      <c r="E1706" t="e">
        <v>#VALUE!</v>
      </c>
    </row>
    <row r="1707" spans="5:5">
      <c r="E1707" t="e">
        <v>#VALUE!</v>
      </c>
    </row>
    <row r="1708" spans="5:5">
      <c r="E1708" t="e">
        <v>#VALUE!</v>
      </c>
    </row>
    <row r="1709" spans="5:5">
      <c r="E1709" t="e">
        <v>#VALUE!</v>
      </c>
    </row>
    <row r="1710" spans="5:5">
      <c r="E1710" t="e">
        <v>#VALUE!</v>
      </c>
    </row>
    <row r="1711" spans="5:5">
      <c r="E1711" t="e">
        <v>#VALUE!</v>
      </c>
    </row>
    <row r="1712" spans="5:5">
      <c r="E1712" t="e">
        <v>#VALUE!</v>
      </c>
    </row>
    <row r="1713" spans="5:5">
      <c r="E1713" t="e">
        <v>#VALUE!</v>
      </c>
    </row>
    <row r="1714" spans="5:5">
      <c r="E1714" t="e">
        <v>#VALUE!</v>
      </c>
    </row>
    <row r="1715" spans="5:5">
      <c r="E1715" t="e">
        <v>#VALUE!</v>
      </c>
    </row>
    <row r="1716" spans="5:5">
      <c r="E1716" t="e">
        <v>#VALUE!</v>
      </c>
    </row>
    <row r="1717" spans="5:5">
      <c r="E1717" t="e">
        <v>#VALUE!</v>
      </c>
    </row>
    <row r="1718" spans="5:5">
      <c r="E1718" t="e">
        <v>#VALUE!</v>
      </c>
    </row>
    <row r="1719" spans="5:5">
      <c r="E1719" t="e">
        <v>#VALUE!</v>
      </c>
    </row>
    <row r="1720" spans="5:5">
      <c r="E1720" t="e">
        <v>#VALUE!</v>
      </c>
    </row>
    <row r="1721" spans="5:5">
      <c r="E1721" t="e">
        <v>#VALUE!</v>
      </c>
    </row>
    <row r="1722" spans="5:5">
      <c r="E1722" t="e">
        <v>#VALUE!</v>
      </c>
    </row>
    <row r="1723" spans="5:5">
      <c r="E1723" t="e">
        <v>#VALUE!</v>
      </c>
    </row>
    <row r="1724" spans="5:5">
      <c r="E1724" t="e">
        <v>#VALUE!</v>
      </c>
    </row>
    <row r="1725" spans="5:5">
      <c r="E1725" t="e">
        <v>#VALUE!</v>
      </c>
    </row>
    <row r="1726" spans="5:5">
      <c r="E1726" t="e">
        <v>#VALUE!</v>
      </c>
    </row>
    <row r="1727" spans="5:5">
      <c r="E1727" t="e">
        <v>#VALUE!</v>
      </c>
    </row>
    <row r="1728" spans="5:5">
      <c r="E1728" t="e">
        <v>#VALUE!</v>
      </c>
    </row>
    <row r="1729" spans="5:5">
      <c r="E1729" t="e">
        <v>#VALUE!</v>
      </c>
    </row>
    <row r="1730" spans="5:5">
      <c r="E1730" t="e">
        <v>#VALUE!</v>
      </c>
    </row>
    <row r="1731" spans="5:5">
      <c r="E1731" t="e">
        <v>#VALUE!</v>
      </c>
    </row>
    <row r="1732" spans="5:5">
      <c r="E1732" t="e">
        <v>#VALUE!</v>
      </c>
    </row>
    <row r="1733" spans="5:5">
      <c r="E1733" t="e">
        <v>#VALUE!</v>
      </c>
    </row>
    <row r="1734" spans="5:5">
      <c r="E1734" t="e">
        <v>#VALUE!</v>
      </c>
    </row>
    <row r="1735" spans="5:5">
      <c r="E1735" t="e">
        <v>#VALUE!</v>
      </c>
    </row>
    <row r="1736" spans="5:5">
      <c r="E1736" t="e">
        <v>#VALUE!</v>
      </c>
    </row>
    <row r="1737" spans="5:5">
      <c r="E1737" t="e">
        <v>#VALUE!</v>
      </c>
    </row>
    <row r="1738" spans="5:5">
      <c r="E1738" t="e">
        <v>#VALUE!</v>
      </c>
    </row>
    <row r="1739" spans="5:5">
      <c r="E1739" t="e">
        <v>#VALUE!</v>
      </c>
    </row>
    <row r="1740" spans="5:5">
      <c r="E1740" t="e">
        <v>#VALUE!</v>
      </c>
    </row>
    <row r="1741" spans="5:5">
      <c r="E1741" t="e">
        <v>#VALUE!</v>
      </c>
    </row>
    <row r="1742" spans="5:5">
      <c r="E1742" t="e">
        <v>#VALUE!</v>
      </c>
    </row>
    <row r="1743" spans="5:5">
      <c r="E1743" t="e">
        <v>#VALUE!</v>
      </c>
    </row>
    <row r="1744" spans="5:5">
      <c r="E1744" t="e">
        <v>#VALUE!</v>
      </c>
    </row>
    <row r="1745" spans="5:5">
      <c r="E1745" t="e">
        <v>#VALUE!</v>
      </c>
    </row>
    <row r="1746" spans="5:5">
      <c r="E1746" t="e">
        <v>#VALUE!</v>
      </c>
    </row>
    <row r="1747" spans="5:5">
      <c r="E1747" t="e">
        <v>#VALUE!</v>
      </c>
    </row>
    <row r="1748" spans="5:5">
      <c r="E1748" t="e">
        <v>#VALUE!</v>
      </c>
    </row>
    <row r="1749" spans="5:5">
      <c r="E1749" t="e">
        <v>#VALUE!</v>
      </c>
    </row>
    <row r="1750" spans="5:5">
      <c r="E1750" t="e">
        <v>#VALUE!</v>
      </c>
    </row>
    <row r="1751" spans="5:5">
      <c r="E1751" t="e">
        <v>#VALUE!</v>
      </c>
    </row>
    <row r="1752" spans="5:5">
      <c r="E1752" t="e">
        <v>#VALUE!</v>
      </c>
    </row>
    <row r="1753" spans="5:5">
      <c r="E1753" t="e">
        <v>#VALUE!</v>
      </c>
    </row>
    <row r="1754" spans="5:5">
      <c r="E1754" t="e">
        <v>#VALUE!</v>
      </c>
    </row>
    <row r="1755" spans="5:5">
      <c r="E1755" t="e">
        <v>#VALUE!</v>
      </c>
    </row>
    <row r="1756" spans="5:5">
      <c r="E1756" t="e">
        <v>#VALUE!</v>
      </c>
    </row>
    <row r="1757" spans="5:5">
      <c r="E1757" t="e">
        <v>#VALUE!</v>
      </c>
    </row>
    <row r="1758" spans="5:5">
      <c r="E1758" t="e">
        <v>#VALUE!</v>
      </c>
    </row>
    <row r="1759" spans="5:5">
      <c r="E1759" t="e">
        <v>#VALUE!</v>
      </c>
    </row>
    <row r="1760" spans="5:5">
      <c r="E1760" t="e">
        <v>#VALUE!</v>
      </c>
    </row>
    <row r="1761" spans="5:5">
      <c r="E1761" t="e">
        <v>#VALUE!</v>
      </c>
    </row>
    <row r="1762" spans="5:5">
      <c r="E1762" t="e">
        <v>#VALUE!</v>
      </c>
    </row>
    <row r="1763" spans="5:5">
      <c r="E1763" t="e">
        <v>#VALUE!</v>
      </c>
    </row>
    <row r="1764" spans="5:5">
      <c r="E1764" t="e">
        <v>#VALUE!</v>
      </c>
    </row>
    <row r="1765" spans="5:5">
      <c r="E1765" t="e">
        <v>#VALUE!</v>
      </c>
    </row>
    <row r="1766" spans="5:5">
      <c r="E1766" t="e">
        <v>#VALUE!</v>
      </c>
    </row>
    <row r="1767" spans="5:5">
      <c r="E1767" t="e">
        <v>#VALUE!</v>
      </c>
    </row>
    <row r="1768" spans="5:5">
      <c r="E1768" t="e">
        <v>#VALUE!</v>
      </c>
    </row>
    <row r="1769" spans="5:5">
      <c r="E1769" t="e">
        <v>#VALUE!</v>
      </c>
    </row>
    <row r="1770" spans="5:5">
      <c r="E1770" t="e">
        <v>#VALUE!</v>
      </c>
    </row>
    <row r="1771" spans="5:5">
      <c r="E1771" t="e">
        <v>#VALUE!</v>
      </c>
    </row>
    <row r="1772" spans="5:5">
      <c r="E1772" t="e">
        <v>#VALUE!</v>
      </c>
    </row>
    <row r="1773" spans="5:5">
      <c r="E1773" t="e">
        <v>#VALUE!</v>
      </c>
    </row>
    <row r="1774" spans="5:5">
      <c r="E1774" t="e">
        <v>#VALUE!</v>
      </c>
    </row>
    <row r="1775" spans="5:5">
      <c r="E1775" t="e">
        <v>#VALUE!</v>
      </c>
    </row>
    <row r="1776" spans="5:5">
      <c r="E1776" t="e">
        <v>#VALUE!</v>
      </c>
    </row>
    <row r="1777" spans="5:5">
      <c r="E1777" t="e">
        <v>#VALUE!</v>
      </c>
    </row>
    <row r="1778" spans="5:5">
      <c r="E1778" t="e">
        <v>#VALUE!</v>
      </c>
    </row>
    <row r="1779" spans="5:5">
      <c r="E1779" t="e">
        <v>#VALUE!</v>
      </c>
    </row>
    <row r="1780" spans="5:5">
      <c r="E1780" t="e">
        <v>#VALUE!</v>
      </c>
    </row>
    <row r="1781" spans="5:5">
      <c r="E1781" t="e">
        <v>#VALUE!</v>
      </c>
    </row>
    <row r="1782" spans="5:5">
      <c r="E1782" t="e">
        <v>#VALUE!</v>
      </c>
    </row>
    <row r="1783" spans="5:5">
      <c r="E1783" t="e">
        <v>#VALUE!</v>
      </c>
    </row>
    <row r="1784" spans="5:5">
      <c r="E1784" t="e">
        <v>#VALUE!</v>
      </c>
    </row>
    <row r="1785" spans="5:5">
      <c r="E1785" t="e">
        <v>#VALUE!</v>
      </c>
    </row>
    <row r="1786" spans="5:5">
      <c r="E1786" t="e">
        <v>#VALUE!</v>
      </c>
    </row>
    <row r="1787" spans="5:5">
      <c r="E1787" t="e">
        <v>#VALUE!</v>
      </c>
    </row>
    <row r="1788" spans="5:5">
      <c r="E1788" t="e">
        <v>#VALUE!</v>
      </c>
    </row>
    <row r="1789" spans="5:5">
      <c r="E1789" t="e">
        <v>#VALUE!</v>
      </c>
    </row>
    <row r="1790" spans="5:5">
      <c r="E1790" t="e">
        <v>#VALUE!</v>
      </c>
    </row>
    <row r="1791" spans="5:5">
      <c r="E1791" t="e">
        <v>#VALUE!</v>
      </c>
    </row>
    <row r="1792" spans="5:5">
      <c r="E1792" t="e">
        <v>#VALUE!</v>
      </c>
    </row>
    <row r="1793" spans="5:5">
      <c r="E1793" t="e">
        <v>#VALUE!</v>
      </c>
    </row>
    <row r="1794" spans="5:5">
      <c r="E1794" t="e">
        <v>#VALUE!</v>
      </c>
    </row>
    <row r="1795" spans="5:5">
      <c r="E1795" t="e">
        <v>#VALUE!</v>
      </c>
    </row>
    <row r="1796" spans="5:5">
      <c r="E1796" t="e">
        <v>#VALUE!</v>
      </c>
    </row>
    <row r="1797" spans="5:5">
      <c r="E1797" t="e">
        <v>#VALUE!</v>
      </c>
    </row>
    <row r="1798" spans="5:5">
      <c r="E1798" t="e">
        <v>#VALUE!</v>
      </c>
    </row>
    <row r="1799" spans="5:5">
      <c r="E1799" t="e">
        <v>#VALUE!</v>
      </c>
    </row>
    <row r="1800" spans="5:5">
      <c r="E1800" t="e">
        <v>#VALUE!</v>
      </c>
    </row>
    <row r="1801" spans="5:5">
      <c r="E1801" t="e">
        <v>#VALUE!</v>
      </c>
    </row>
    <row r="1802" spans="5:5">
      <c r="E1802" t="e">
        <v>#VALUE!</v>
      </c>
    </row>
    <row r="1803" spans="5:5">
      <c r="E1803" t="e">
        <v>#VALUE!</v>
      </c>
    </row>
    <row r="1804" spans="5:5">
      <c r="E1804" t="e">
        <v>#VALUE!</v>
      </c>
    </row>
    <row r="1805" spans="5:5">
      <c r="E1805" t="e">
        <v>#VALUE!</v>
      </c>
    </row>
    <row r="1806" spans="5:5">
      <c r="E1806" t="e">
        <v>#VALUE!</v>
      </c>
    </row>
    <row r="1807" spans="5:5">
      <c r="E1807" t="e">
        <v>#VALUE!</v>
      </c>
    </row>
    <row r="1808" spans="5:5">
      <c r="E1808" t="e">
        <v>#VALUE!</v>
      </c>
    </row>
    <row r="1809" spans="5:5">
      <c r="E1809" t="e">
        <v>#VALUE!</v>
      </c>
    </row>
    <row r="1810" spans="5:5">
      <c r="E1810" t="e">
        <v>#VALUE!</v>
      </c>
    </row>
    <row r="1811" spans="5:5">
      <c r="E1811" t="e">
        <v>#VALUE!</v>
      </c>
    </row>
    <row r="1812" spans="5:5">
      <c r="E1812" t="e">
        <v>#VALUE!</v>
      </c>
    </row>
    <row r="1813" spans="5:5">
      <c r="E1813" t="e">
        <v>#VALUE!</v>
      </c>
    </row>
    <row r="1814" spans="5:5">
      <c r="E1814" t="e">
        <v>#VALUE!</v>
      </c>
    </row>
    <row r="1815" spans="5:5">
      <c r="E1815" t="e">
        <v>#VALUE!</v>
      </c>
    </row>
    <row r="1816" spans="5:5">
      <c r="E1816" t="e">
        <v>#VALUE!</v>
      </c>
    </row>
    <row r="1817" spans="5:5">
      <c r="E1817" t="e">
        <v>#VALUE!</v>
      </c>
    </row>
    <row r="1818" spans="5:5">
      <c r="E1818" t="e">
        <v>#VALUE!</v>
      </c>
    </row>
    <row r="1819" spans="5:5">
      <c r="E1819" t="e">
        <v>#VALUE!</v>
      </c>
    </row>
    <row r="1820" spans="5:5">
      <c r="E1820" t="e">
        <v>#VALUE!</v>
      </c>
    </row>
    <row r="1821" spans="5:5">
      <c r="E1821" t="e">
        <v>#VALUE!</v>
      </c>
    </row>
    <row r="1822" spans="5:5">
      <c r="E1822" t="e">
        <v>#VALUE!</v>
      </c>
    </row>
    <row r="1823" spans="5:5">
      <c r="E1823" t="e">
        <v>#VALUE!</v>
      </c>
    </row>
    <row r="1824" spans="5:5">
      <c r="E1824" t="e">
        <v>#VALUE!</v>
      </c>
    </row>
    <row r="1825" spans="5:5">
      <c r="E1825" t="e">
        <v>#VALUE!</v>
      </c>
    </row>
    <row r="1826" spans="5:5">
      <c r="E1826" t="e">
        <v>#VALUE!</v>
      </c>
    </row>
    <row r="1827" spans="5:5">
      <c r="E1827" t="e">
        <v>#VALUE!</v>
      </c>
    </row>
    <row r="1828" spans="5:5">
      <c r="E1828" t="e">
        <v>#VALUE!</v>
      </c>
    </row>
    <row r="1829" spans="5:5">
      <c r="E1829" t="e">
        <v>#VALUE!</v>
      </c>
    </row>
    <row r="1830" spans="5:5">
      <c r="E1830" t="e">
        <v>#VALUE!</v>
      </c>
    </row>
    <row r="1831" spans="5:5">
      <c r="E1831" t="e">
        <v>#VALUE!</v>
      </c>
    </row>
    <row r="1832" spans="5:5">
      <c r="E1832" t="e">
        <v>#VALUE!</v>
      </c>
    </row>
    <row r="1833" spans="5:5">
      <c r="E1833" t="e">
        <v>#VALUE!</v>
      </c>
    </row>
    <row r="1834" spans="5:5">
      <c r="E1834" t="e">
        <v>#VALUE!</v>
      </c>
    </row>
    <row r="1835" spans="5:5">
      <c r="E1835" t="e">
        <v>#VALUE!</v>
      </c>
    </row>
    <row r="1836" spans="5:5">
      <c r="E1836" t="e">
        <v>#VALUE!</v>
      </c>
    </row>
    <row r="1837" spans="5:5">
      <c r="E1837" t="e">
        <v>#VALUE!</v>
      </c>
    </row>
    <row r="1838" spans="5:5">
      <c r="E1838" t="e">
        <v>#VALUE!</v>
      </c>
    </row>
    <row r="1839" spans="5:5">
      <c r="E1839" t="e">
        <v>#VALUE!</v>
      </c>
    </row>
    <row r="1840" spans="5:5">
      <c r="E1840" t="e">
        <v>#VALUE!</v>
      </c>
    </row>
    <row r="1841" spans="5:5">
      <c r="E1841" t="e">
        <v>#VALUE!</v>
      </c>
    </row>
    <row r="1842" spans="5:5">
      <c r="E1842" t="e">
        <v>#VALUE!</v>
      </c>
    </row>
    <row r="1843" spans="5:5">
      <c r="E1843" t="e">
        <v>#VALUE!</v>
      </c>
    </row>
    <row r="1844" spans="5:5">
      <c r="E1844" t="e">
        <v>#VALUE!</v>
      </c>
    </row>
    <row r="1845" spans="5:5">
      <c r="E1845" t="e">
        <v>#VALUE!</v>
      </c>
    </row>
    <row r="1846" spans="5:5">
      <c r="E1846" t="e">
        <v>#VALUE!</v>
      </c>
    </row>
    <row r="1847" spans="5:5">
      <c r="E1847" t="e">
        <v>#VALUE!</v>
      </c>
    </row>
    <row r="1848" spans="5:5">
      <c r="E1848" t="e">
        <v>#VALUE!</v>
      </c>
    </row>
    <row r="1849" spans="5:5">
      <c r="E1849" t="e">
        <v>#VALUE!</v>
      </c>
    </row>
    <row r="1850" spans="5:5">
      <c r="E1850" t="e">
        <v>#VALUE!</v>
      </c>
    </row>
    <row r="1851" spans="5:5">
      <c r="E1851" t="e">
        <v>#VALUE!</v>
      </c>
    </row>
    <row r="1852" spans="5:5">
      <c r="E1852" t="e">
        <v>#VALUE!</v>
      </c>
    </row>
    <row r="1853" spans="5:5">
      <c r="E1853" t="e">
        <v>#VALUE!</v>
      </c>
    </row>
    <row r="1854" spans="5:5">
      <c r="E1854" t="e">
        <v>#VALUE!</v>
      </c>
    </row>
    <row r="1855" spans="5:5">
      <c r="E1855" t="e">
        <v>#VALUE!</v>
      </c>
    </row>
    <row r="1856" spans="5:5">
      <c r="E1856" t="e">
        <v>#VALUE!</v>
      </c>
    </row>
    <row r="1857" spans="5:5">
      <c r="E1857" t="e">
        <v>#VALUE!</v>
      </c>
    </row>
    <row r="1858" spans="5:5">
      <c r="E1858" t="e">
        <v>#VALUE!</v>
      </c>
    </row>
    <row r="1859" spans="5:5">
      <c r="E1859" t="e">
        <v>#VALUE!</v>
      </c>
    </row>
    <row r="1860" spans="5:5">
      <c r="E1860" t="e">
        <v>#VALUE!</v>
      </c>
    </row>
    <row r="1861" spans="5:5">
      <c r="E1861" t="e">
        <v>#VALUE!</v>
      </c>
    </row>
    <row r="1862" spans="5:5">
      <c r="E1862" t="e">
        <v>#VALUE!</v>
      </c>
    </row>
    <row r="1863" spans="5:5">
      <c r="E1863" t="e">
        <v>#VALUE!</v>
      </c>
    </row>
    <row r="1864" spans="5:5">
      <c r="E1864" t="e">
        <v>#VALUE!</v>
      </c>
    </row>
    <row r="1865" spans="5:5">
      <c r="E1865" t="e">
        <v>#VALUE!</v>
      </c>
    </row>
    <row r="1866" spans="5:5">
      <c r="E1866" t="e">
        <v>#VALUE!</v>
      </c>
    </row>
    <row r="1867" spans="5:5">
      <c r="E1867" t="e">
        <v>#VALUE!</v>
      </c>
    </row>
    <row r="1868" spans="5:5">
      <c r="E1868" t="e">
        <v>#VALUE!</v>
      </c>
    </row>
    <row r="1869" spans="5:5">
      <c r="E1869" t="e">
        <v>#VALUE!</v>
      </c>
    </row>
    <row r="1870" spans="5:5">
      <c r="E1870" t="e">
        <v>#VALUE!</v>
      </c>
    </row>
    <row r="1871" spans="5:5">
      <c r="E1871" t="e">
        <v>#VALUE!</v>
      </c>
    </row>
    <row r="1872" spans="5:5">
      <c r="E1872" t="e">
        <v>#VALUE!</v>
      </c>
    </row>
    <row r="1873" spans="5:5">
      <c r="E1873" t="e">
        <v>#VALUE!</v>
      </c>
    </row>
    <row r="1874" spans="5:5">
      <c r="E1874" t="e">
        <v>#VALUE!</v>
      </c>
    </row>
    <row r="1875" spans="5:5">
      <c r="E1875" t="e">
        <v>#VALUE!</v>
      </c>
    </row>
    <row r="1876" spans="5:5">
      <c r="E1876" t="e">
        <v>#VALUE!</v>
      </c>
    </row>
    <row r="1877" spans="5:5">
      <c r="E1877" t="e">
        <v>#VALUE!</v>
      </c>
    </row>
    <row r="1878" spans="5:5">
      <c r="E1878" t="e">
        <v>#VALUE!</v>
      </c>
    </row>
    <row r="1879" spans="5:5">
      <c r="E1879" t="e">
        <v>#VALUE!</v>
      </c>
    </row>
    <row r="1880" spans="5:5">
      <c r="E1880" t="e">
        <v>#VALUE!</v>
      </c>
    </row>
    <row r="1881" spans="5:5">
      <c r="E1881" t="e">
        <v>#VALUE!</v>
      </c>
    </row>
    <row r="1882" spans="5:5">
      <c r="E1882" t="e">
        <v>#VALUE!</v>
      </c>
    </row>
    <row r="1883" spans="5:5">
      <c r="E1883" t="e">
        <v>#VALUE!</v>
      </c>
    </row>
    <row r="1884" spans="5:5">
      <c r="E1884" t="e">
        <v>#VALUE!</v>
      </c>
    </row>
    <row r="1885" spans="5:5">
      <c r="E1885" t="e">
        <v>#VALUE!</v>
      </c>
    </row>
    <row r="1886" spans="5:5">
      <c r="E1886" t="e">
        <v>#VALUE!</v>
      </c>
    </row>
    <row r="1887" spans="5:5">
      <c r="E1887" t="e">
        <v>#VALUE!</v>
      </c>
    </row>
    <row r="1888" spans="5:5">
      <c r="E1888" t="e">
        <v>#VALUE!</v>
      </c>
    </row>
    <row r="1889" spans="5:5">
      <c r="E1889" t="e">
        <v>#VALUE!</v>
      </c>
    </row>
    <row r="1890" spans="5:5">
      <c r="E1890" t="e">
        <v>#VALUE!</v>
      </c>
    </row>
    <row r="1891" spans="5:5">
      <c r="E1891" t="e">
        <v>#VALUE!</v>
      </c>
    </row>
    <row r="1892" spans="5:5">
      <c r="E1892" t="e">
        <v>#VALUE!</v>
      </c>
    </row>
    <row r="1893" spans="5:5">
      <c r="E1893" t="e">
        <v>#VALUE!</v>
      </c>
    </row>
    <row r="1894" spans="5:5">
      <c r="E1894" t="e">
        <v>#VALUE!</v>
      </c>
    </row>
    <row r="1895" spans="5:5">
      <c r="E1895" t="e">
        <v>#VALUE!</v>
      </c>
    </row>
    <row r="1896" spans="5:5">
      <c r="E1896" t="e">
        <v>#VALUE!</v>
      </c>
    </row>
    <row r="1897" spans="5:5">
      <c r="E1897" t="e">
        <v>#VALUE!</v>
      </c>
    </row>
    <row r="1898" spans="5:5">
      <c r="E1898" t="e">
        <v>#VALUE!</v>
      </c>
    </row>
    <row r="1899" spans="5:5">
      <c r="E1899" t="e">
        <v>#VALUE!</v>
      </c>
    </row>
    <row r="1900" spans="5:5">
      <c r="E1900" t="e">
        <v>#VALUE!</v>
      </c>
    </row>
    <row r="1901" spans="5:5">
      <c r="E1901" t="e">
        <v>#VALUE!</v>
      </c>
    </row>
    <row r="1902" spans="5:5">
      <c r="E1902" t="e">
        <v>#VALUE!</v>
      </c>
    </row>
    <row r="1903" spans="5:5">
      <c r="E1903" t="e">
        <v>#VALUE!</v>
      </c>
    </row>
    <row r="1904" spans="5:5">
      <c r="E1904" t="e">
        <v>#VALUE!</v>
      </c>
    </row>
    <row r="1905" spans="5:5">
      <c r="E1905" t="e">
        <v>#VALUE!</v>
      </c>
    </row>
    <row r="1906" spans="5:5">
      <c r="E1906" t="e">
        <v>#VALUE!</v>
      </c>
    </row>
    <row r="1907" spans="5:5">
      <c r="E1907" t="e">
        <v>#VALUE!</v>
      </c>
    </row>
    <row r="1908" spans="5:5">
      <c r="E1908" t="e">
        <v>#VALUE!</v>
      </c>
    </row>
    <row r="1909" spans="5:5">
      <c r="E1909" t="e">
        <v>#VALUE!</v>
      </c>
    </row>
    <row r="1910" spans="5:5">
      <c r="E1910" t="e">
        <v>#VALUE!</v>
      </c>
    </row>
    <row r="1911" spans="5:5">
      <c r="E1911" t="e">
        <v>#VALUE!</v>
      </c>
    </row>
    <row r="1912" spans="5:5">
      <c r="E1912" t="e">
        <v>#VALUE!</v>
      </c>
    </row>
    <row r="1913" spans="5:5">
      <c r="E1913" t="e">
        <v>#VALUE!</v>
      </c>
    </row>
    <row r="1914" spans="5:5">
      <c r="E1914" t="e">
        <v>#VALUE!</v>
      </c>
    </row>
    <row r="1915" spans="5:5">
      <c r="E1915" t="e">
        <v>#VALUE!</v>
      </c>
    </row>
    <row r="1916" spans="5:5">
      <c r="E1916" t="e">
        <v>#VALUE!</v>
      </c>
    </row>
    <row r="1917" spans="5:5">
      <c r="E1917" t="e">
        <v>#VALUE!</v>
      </c>
    </row>
    <row r="1918" spans="5:5">
      <c r="E1918" t="e">
        <v>#VALUE!</v>
      </c>
    </row>
    <row r="1919" spans="5:5">
      <c r="E1919" t="e">
        <v>#VALUE!</v>
      </c>
    </row>
    <row r="1920" spans="5:5">
      <c r="E1920" t="e">
        <v>#VALUE!</v>
      </c>
    </row>
    <row r="1921" spans="5:5">
      <c r="E1921" t="e">
        <v>#VALUE!</v>
      </c>
    </row>
    <row r="1922" spans="5:5">
      <c r="E1922" t="e">
        <v>#VALUE!</v>
      </c>
    </row>
    <row r="1923" spans="5:5">
      <c r="E1923" t="e">
        <v>#VALUE!</v>
      </c>
    </row>
    <row r="1924" spans="5:5">
      <c r="E1924" t="e">
        <v>#VALUE!</v>
      </c>
    </row>
    <row r="1925" spans="5:5">
      <c r="E1925" t="e">
        <v>#VALUE!</v>
      </c>
    </row>
    <row r="1926" spans="5:5">
      <c r="E1926" t="e">
        <v>#VALUE!</v>
      </c>
    </row>
    <row r="1927" spans="5:5">
      <c r="E1927" t="e">
        <v>#VALUE!</v>
      </c>
    </row>
    <row r="1928" spans="5:5">
      <c r="E1928" t="e">
        <v>#VALUE!</v>
      </c>
    </row>
    <row r="1929" spans="5:5">
      <c r="E1929" t="e">
        <v>#VALUE!</v>
      </c>
    </row>
    <row r="1930" spans="5:5">
      <c r="E1930" t="e">
        <v>#VALUE!</v>
      </c>
    </row>
    <row r="1931" spans="5:5">
      <c r="E1931" t="e">
        <v>#VALUE!</v>
      </c>
    </row>
    <row r="1932" spans="5:5">
      <c r="E1932" t="e">
        <v>#VALUE!</v>
      </c>
    </row>
    <row r="1933" spans="5:5">
      <c r="E1933" t="e">
        <v>#VALUE!</v>
      </c>
    </row>
    <row r="1934" spans="5:5">
      <c r="E1934" t="e">
        <v>#VALUE!</v>
      </c>
    </row>
    <row r="1935" spans="5:5">
      <c r="E1935" t="e">
        <v>#VALUE!</v>
      </c>
    </row>
    <row r="1936" spans="5:5">
      <c r="E1936" t="e">
        <v>#VALUE!</v>
      </c>
    </row>
    <row r="1937" spans="5:5">
      <c r="E1937" t="e">
        <v>#VALUE!</v>
      </c>
    </row>
    <row r="1938" spans="5:5">
      <c r="E1938" t="e">
        <v>#VALUE!</v>
      </c>
    </row>
    <row r="1939" spans="5:5">
      <c r="E1939" t="e">
        <v>#VALUE!</v>
      </c>
    </row>
    <row r="1940" spans="5:5">
      <c r="E1940" t="e">
        <v>#VALUE!</v>
      </c>
    </row>
    <row r="1941" spans="5:5">
      <c r="E1941" t="e">
        <v>#VALUE!</v>
      </c>
    </row>
    <row r="1942" spans="5:5">
      <c r="E1942" t="e">
        <v>#VALUE!</v>
      </c>
    </row>
    <row r="1943" spans="5:5">
      <c r="E1943" t="e">
        <v>#VALUE!</v>
      </c>
    </row>
    <row r="1944" spans="5:5">
      <c r="E1944" t="e">
        <v>#VALUE!</v>
      </c>
    </row>
    <row r="1945" spans="5:5">
      <c r="E1945" t="e">
        <v>#VALUE!</v>
      </c>
    </row>
    <row r="1946" spans="5:5">
      <c r="E1946" t="e">
        <v>#VALUE!</v>
      </c>
    </row>
    <row r="1947" spans="5:5">
      <c r="E1947" t="e">
        <v>#VALUE!</v>
      </c>
    </row>
    <row r="1948" spans="5:5">
      <c r="E1948" t="e">
        <v>#VALUE!</v>
      </c>
    </row>
    <row r="1949" spans="5:5">
      <c r="E1949" t="e">
        <v>#VALUE!</v>
      </c>
    </row>
    <row r="1950" spans="5:5">
      <c r="E1950" t="e">
        <v>#VALUE!</v>
      </c>
    </row>
    <row r="1951" spans="5:5">
      <c r="E1951" t="e">
        <v>#VALUE!</v>
      </c>
    </row>
    <row r="1952" spans="5:5">
      <c r="E1952" t="e">
        <v>#VALUE!</v>
      </c>
    </row>
    <row r="1953" spans="5:5">
      <c r="E1953" t="e">
        <v>#VALUE!</v>
      </c>
    </row>
    <row r="1954" spans="5:5">
      <c r="E1954" t="e">
        <v>#VALUE!</v>
      </c>
    </row>
    <row r="1955" spans="5:5">
      <c r="E1955" t="e">
        <v>#VALUE!</v>
      </c>
    </row>
    <row r="1956" spans="5:5">
      <c r="E1956" t="e">
        <v>#VALUE!</v>
      </c>
    </row>
    <row r="1957" spans="5:5">
      <c r="E1957" t="e">
        <v>#VALUE!</v>
      </c>
    </row>
    <row r="1958" spans="5:5">
      <c r="E1958" t="e">
        <v>#VALUE!</v>
      </c>
    </row>
    <row r="1959" spans="5:5">
      <c r="E1959" t="e">
        <v>#VALUE!</v>
      </c>
    </row>
    <row r="1960" spans="5:5">
      <c r="E1960" t="e">
        <v>#VALUE!</v>
      </c>
    </row>
    <row r="1961" spans="5:5">
      <c r="E1961" t="e">
        <v>#VALUE!</v>
      </c>
    </row>
    <row r="1962" spans="5:5">
      <c r="E1962" t="e">
        <v>#VALUE!</v>
      </c>
    </row>
    <row r="1963" spans="5:5">
      <c r="E1963" t="e">
        <v>#VALUE!</v>
      </c>
    </row>
    <row r="1964" spans="5:5">
      <c r="E1964" t="e">
        <v>#VALUE!</v>
      </c>
    </row>
    <row r="1965" spans="5:5">
      <c r="E1965" t="e">
        <v>#VALUE!</v>
      </c>
    </row>
    <row r="1966" spans="5:5">
      <c r="E1966" t="e">
        <v>#VALUE!</v>
      </c>
    </row>
    <row r="1967" spans="5:5">
      <c r="E1967" t="e">
        <v>#VALUE!</v>
      </c>
    </row>
    <row r="1968" spans="5:5">
      <c r="E1968" t="e">
        <v>#VALUE!</v>
      </c>
    </row>
    <row r="1969" spans="5:5">
      <c r="E1969" t="e">
        <v>#VALUE!</v>
      </c>
    </row>
    <row r="1970" spans="5:5">
      <c r="E1970" t="e">
        <v>#VALUE!</v>
      </c>
    </row>
    <row r="1971" spans="5:5">
      <c r="E1971" t="e">
        <v>#VALUE!</v>
      </c>
    </row>
    <row r="1972" spans="5:5">
      <c r="E1972" t="e">
        <v>#VALUE!</v>
      </c>
    </row>
    <row r="1973" spans="5:5">
      <c r="E1973" t="e">
        <v>#VALUE!</v>
      </c>
    </row>
    <row r="1974" spans="5:5">
      <c r="E1974" t="e">
        <v>#VALUE!</v>
      </c>
    </row>
    <row r="1975" spans="5:5">
      <c r="E1975" t="e">
        <v>#VALUE!</v>
      </c>
    </row>
    <row r="1976" spans="5:5">
      <c r="E1976" t="e">
        <v>#VALUE!</v>
      </c>
    </row>
    <row r="1977" spans="5:5">
      <c r="E1977" t="e">
        <v>#VALUE!</v>
      </c>
    </row>
    <row r="1978" spans="5:5">
      <c r="E1978" t="e">
        <v>#VALUE!</v>
      </c>
    </row>
    <row r="1979" spans="5:5">
      <c r="E1979" t="e">
        <v>#VALUE!</v>
      </c>
    </row>
    <row r="1980" spans="5:5">
      <c r="E1980" t="e">
        <v>#VALUE!</v>
      </c>
    </row>
    <row r="1981" spans="5:5">
      <c r="E1981" t="e">
        <v>#VALUE!</v>
      </c>
    </row>
    <row r="1982" spans="5:5">
      <c r="E1982" t="e">
        <v>#VALUE!</v>
      </c>
    </row>
    <row r="1983" spans="5:5">
      <c r="E1983" t="e">
        <v>#VALUE!</v>
      </c>
    </row>
    <row r="1984" spans="5:5">
      <c r="E1984" t="e">
        <v>#VALUE!</v>
      </c>
    </row>
    <row r="1985" spans="5:5">
      <c r="E1985" t="e">
        <v>#VALUE!</v>
      </c>
    </row>
    <row r="1986" spans="5:5">
      <c r="E1986" t="e">
        <v>#VALUE!</v>
      </c>
    </row>
    <row r="1987" spans="5:5">
      <c r="E1987" t="e">
        <v>#VALUE!</v>
      </c>
    </row>
    <row r="1988" spans="5:5">
      <c r="E1988" t="e">
        <v>#VALUE!</v>
      </c>
    </row>
    <row r="1989" spans="5:5">
      <c r="E1989" t="e">
        <v>#VALUE!</v>
      </c>
    </row>
    <row r="1990" spans="5:5">
      <c r="E1990" t="e">
        <v>#VALUE!</v>
      </c>
    </row>
    <row r="1991" spans="5:5">
      <c r="E1991" t="e">
        <v>#VALUE!</v>
      </c>
    </row>
    <row r="1992" spans="5:5">
      <c r="E1992" t="e">
        <v>#VALUE!</v>
      </c>
    </row>
    <row r="1993" spans="5:5">
      <c r="E1993" t="e">
        <v>#VALUE!</v>
      </c>
    </row>
    <row r="1994" spans="5:5">
      <c r="E1994" t="e">
        <v>#VALUE!</v>
      </c>
    </row>
    <row r="1995" spans="5:5">
      <c r="E1995" t="e">
        <v>#VALUE!</v>
      </c>
    </row>
    <row r="1996" spans="5:5">
      <c r="E1996" t="e">
        <v>#VALUE!</v>
      </c>
    </row>
    <row r="1997" spans="5:5">
      <c r="E1997" t="e">
        <v>#VALUE!</v>
      </c>
    </row>
    <row r="1998" spans="5:5">
      <c r="E1998" t="e">
        <v>#VALUE!</v>
      </c>
    </row>
    <row r="1999" spans="5:5">
      <c r="E1999" t="e">
        <v>#VALUE!</v>
      </c>
    </row>
    <row r="2000" spans="5:5">
      <c r="E2000" t="e">
        <v>#VALUE!</v>
      </c>
    </row>
    <row r="2001" spans="5:5">
      <c r="E2001" t="e">
        <v>#VALUE!</v>
      </c>
    </row>
    <row r="2002" spans="5:5">
      <c r="E2002" t="e">
        <v>#VALUE!</v>
      </c>
    </row>
    <row r="2003" spans="5:5">
      <c r="E2003" t="e">
        <v>#VALUE!</v>
      </c>
    </row>
    <row r="2004" spans="5:5">
      <c r="E2004" t="e">
        <v>#VALUE!</v>
      </c>
    </row>
    <row r="2005" spans="5:5">
      <c r="E2005" t="e">
        <v>#VALUE!</v>
      </c>
    </row>
    <row r="2006" spans="5:5">
      <c r="E2006" t="e">
        <v>#VALUE!</v>
      </c>
    </row>
    <row r="2007" spans="5:5">
      <c r="E2007" t="e">
        <v>#VALUE!</v>
      </c>
    </row>
    <row r="2008" spans="5:5">
      <c r="E2008" t="e">
        <v>#VALUE!</v>
      </c>
    </row>
    <row r="2009" spans="5:5">
      <c r="E2009" t="e">
        <v>#VALUE!</v>
      </c>
    </row>
    <row r="2010" spans="5:5">
      <c r="E2010" t="e">
        <v>#VALUE!</v>
      </c>
    </row>
    <row r="2011" spans="5:5">
      <c r="E2011" t="e">
        <v>#VALUE!</v>
      </c>
    </row>
    <row r="2012" spans="5:5">
      <c r="E2012" t="e">
        <v>#VALUE!</v>
      </c>
    </row>
    <row r="2013" spans="5:5">
      <c r="E2013" t="e">
        <v>#VALUE!</v>
      </c>
    </row>
    <row r="2014" spans="5:5">
      <c r="E2014" t="e">
        <v>#VALUE!</v>
      </c>
    </row>
    <row r="2015" spans="5:5">
      <c r="E2015" t="e">
        <v>#VALUE!</v>
      </c>
    </row>
    <row r="2016" spans="5:5">
      <c r="E2016" t="e">
        <v>#VALUE!</v>
      </c>
    </row>
    <row r="2017" spans="5:5">
      <c r="E2017" t="e">
        <v>#VALUE!</v>
      </c>
    </row>
    <row r="2018" spans="5:5">
      <c r="E2018" t="e">
        <v>#VALUE!</v>
      </c>
    </row>
    <row r="2019" spans="5:5">
      <c r="E2019" t="e">
        <v>#VALUE!</v>
      </c>
    </row>
    <row r="2020" spans="5:5">
      <c r="E2020" t="e">
        <v>#VALUE!</v>
      </c>
    </row>
    <row r="2021" spans="5:5">
      <c r="E2021" t="e">
        <v>#VALUE!</v>
      </c>
    </row>
    <row r="2022" spans="5:5">
      <c r="E2022" t="e">
        <v>#VALUE!</v>
      </c>
    </row>
    <row r="2023" spans="5:5">
      <c r="E2023" t="e">
        <v>#VALUE!</v>
      </c>
    </row>
    <row r="2024" spans="5:5">
      <c r="E2024" t="e">
        <v>#VALUE!</v>
      </c>
    </row>
    <row r="2025" spans="5:5">
      <c r="E2025" t="e">
        <v>#VALUE!</v>
      </c>
    </row>
    <row r="2026" spans="5:5">
      <c r="E2026" t="e">
        <v>#VALUE!</v>
      </c>
    </row>
    <row r="2027" spans="5:5">
      <c r="E2027" t="e">
        <v>#VALUE!</v>
      </c>
    </row>
    <row r="2028" spans="5:5">
      <c r="E2028" t="e">
        <v>#VALUE!</v>
      </c>
    </row>
    <row r="2029" spans="5:5">
      <c r="E2029" t="e">
        <v>#VALUE!</v>
      </c>
    </row>
    <row r="2030" spans="5:5">
      <c r="E2030" t="e">
        <v>#VALUE!</v>
      </c>
    </row>
    <row r="2031" spans="5:5">
      <c r="E2031" t="e">
        <v>#VALUE!</v>
      </c>
    </row>
    <row r="2032" spans="5:5">
      <c r="E2032" t="e">
        <v>#VALUE!</v>
      </c>
    </row>
    <row r="2033" spans="5:5">
      <c r="E2033" t="e">
        <v>#VALUE!</v>
      </c>
    </row>
    <row r="2034" spans="5:5">
      <c r="E2034" t="e">
        <v>#VALUE!</v>
      </c>
    </row>
    <row r="2035" spans="5:5">
      <c r="E2035" t="e">
        <v>#VALUE!</v>
      </c>
    </row>
    <row r="2036" spans="5:5">
      <c r="E2036" t="e">
        <v>#VALUE!</v>
      </c>
    </row>
    <row r="2037" spans="5:5">
      <c r="E2037" t="e">
        <v>#VALUE!</v>
      </c>
    </row>
    <row r="2038" spans="5:5">
      <c r="E2038" t="e">
        <v>#VALUE!</v>
      </c>
    </row>
    <row r="2039" spans="5:5">
      <c r="E2039" t="e">
        <v>#VALUE!</v>
      </c>
    </row>
    <row r="2040" spans="5:5">
      <c r="E2040" t="e">
        <v>#VALUE!</v>
      </c>
    </row>
    <row r="2041" spans="5:5">
      <c r="E2041" t="e">
        <v>#VALUE!</v>
      </c>
    </row>
    <row r="2042" spans="5:5">
      <c r="E2042" t="e">
        <v>#VALUE!</v>
      </c>
    </row>
    <row r="2043" spans="5:5">
      <c r="E2043" t="e">
        <v>#VALUE!</v>
      </c>
    </row>
    <row r="2044" spans="5:5">
      <c r="E2044" t="e">
        <v>#VALUE!</v>
      </c>
    </row>
    <row r="2045" spans="5:5">
      <c r="E2045" t="e">
        <v>#VALUE!</v>
      </c>
    </row>
    <row r="2046" spans="5:5">
      <c r="E2046" t="e">
        <v>#VALUE!</v>
      </c>
    </row>
    <row r="2047" spans="5:5">
      <c r="E2047" t="e">
        <v>#VALUE!</v>
      </c>
    </row>
    <row r="2048" spans="5:5">
      <c r="E2048" t="e">
        <v>#VALUE!</v>
      </c>
    </row>
    <row r="2049" spans="5:5">
      <c r="E2049" t="e">
        <v>#VALUE!</v>
      </c>
    </row>
    <row r="2050" spans="5:5">
      <c r="E2050" t="e">
        <v>#VALUE!</v>
      </c>
    </row>
    <row r="2051" spans="5:5">
      <c r="E2051" t="e">
        <v>#VALUE!</v>
      </c>
    </row>
    <row r="2052" spans="5:5">
      <c r="E2052" t="e">
        <v>#VALUE!</v>
      </c>
    </row>
    <row r="2053" spans="5:5">
      <c r="E2053" t="e">
        <v>#VALUE!</v>
      </c>
    </row>
    <row r="2054" spans="5:5">
      <c r="E2054" t="e">
        <v>#VALUE!</v>
      </c>
    </row>
    <row r="2055" spans="5:5">
      <c r="E2055" t="e">
        <v>#VALUE!</v>
      </c>
    </row>
    <row r="2056" spans="5:5">
      <c r="E2056" t="e">
        <v>#VALUE!</v>
      </c>
    </row>
    <row r="2057" spans="5:5">
      <c r="E2057" t="e">
        <v>#VALUE!</v>
      </c>
    </row>
    <row r="2058" spans="5:5">
      <c r="E2058" t="e">
        <v>#VALUE!</v>
      </c>
    </row>
    <row r="2059" spans="5:5">
      <c r="E2059" t="e">
        <v>#VALUE!</v>
      </c>
    </row>
    <row r="2060" spans="5:5">
      <c r="E2060" t="e">
        <v>#VALUE!</v>
      </c>
    </row>
    <row r="2061" spans="5:5">
      <c r="E2061" t="e">
        <v>#VALUE!</v>
      </c>
    </row>
    <row r="2062" spans="5:5">
      <c r="E2062" t="e">
        <v>#VALUE!</v>
      </c>
    </row>
    <row r="2063" spans="5:5">
      <c r="E2063" t="e">
        <v>#VALUE!</v>
      </c>
    </row>
    <row r="2064" spans="5:5">
      <c r="E2064" t="e">
        <v>#VALUE!</v>
      </c>
    </row>
    <row r="2065" spans="5:5">
      <c r="E2065" t="e">
        <v>#VALUE!</v>
      </c>
    </row>
    <row r="2066" spans="5:5">
      <c r="E2066" t="e">
        <v>#VALUE!</v>
      </c>
    </row>
    <row r="2067" spans="5:5">
      <c r="E2067" t="e">
        <v>#VALUE!</v>
      </c>
    </row>
    <row r="2068" spans="5:5">
      <c r="E2068" t="e">
        <v>#VALUE!</v>
      </c>
    </row>
    <row r="2069" spans="5:5">
      <c r="E2069" t="e">
        <v>#VALUE!</v>
      </c>
    </row>
    <row r="2070" spans="5:5">
      <c r="E2070" t="e">
        <v>#VALUE!</v>
      </c>
    </row>
    <row r="2071" spans="5:5">
      <c r="E2071" t="e">
        <v>#VALUE!</v>
      </c>
    </row>
    <row r="2072" spans="5:5">
      <c r="E2072" t="e">
        <v>#VALUE!</v>
      </c>
    </row>
    <row r="2073" spans="5:5">
      <c r="E2073" t="e">
        <v>#VALUE!</v>
      </c>
    </row>
    <row r="2074" spans="5:5">
      <c r="E2074" t="e">
        <v>#VALUE!</v>
      </c>
    </row>
    <row r="2075" spans="5:5">
      <c r="E2075" t="e">
        <v>#VALUE!</v>
      </c>
    </row>
    <row r="2076" spans="5:5">
      <c r="E2076" t="e">
        <v>#VALUE!</v>
      </c>
    </row>
    <row r="2077" spans="5:5">
      <c r="E2077" t="e">
        <v>#VALUE!</v>
      </c>
    </row>
    <row r="2078" spans="5:5">
      <c r="E2078" t="e">
        <v>#VALUE!</v>
      </c>
    </row>
    <row r="2079" spans="5:5">
      <c r="E2079" t="e">
        <v>#VALUE!</v>
      </c>
    </row>
    <row r="2080" spans="5:5">
      <c r="E2080" t="e">
        <v>#VALUE!</v>
      </c>
    </row>
    <row r="2081" spans="5:5">
      <c r="E2081" t="e">
        <v>#VALUE!</v>
      </c>
    </row>
    <row r="2082" spans="5:5">
      <c r="E2082" t="e">
        <v>#VALUE!</v>
      </c>
    </row>
    <row r="2083" spans="5:5">
      <c r="E2083" t="e">
        <v>#VALUE!</v>
      </c>
    </row>
    <row r="2084" spans="5:5">
      <c r="E2084" t="e">
        <v>#VALUE!</v>
      </c>
    </row>
    <row r="2085" spans="5:5">
      <c r="E2085" t="e">
        <v>#VALUE!</v>
      </c>
    </row>
    <row r="2086" spans="5:5">
      <c r="E2086" t="e">
        <v>#VALUE!</v>
      </c>
    </row>
    <row r="2087" spans="5:5">
      <c r="E2087" t="e">
        <v>#VALUE!</v>
      </c>
    </row>
    <row r="2088" spans="5:5">
      <c r="E2088" t="e">
        <v>#VALUE!</v>
      </c>
    </row>
    <row r="2089" spans="5:5">
      <c r="E2089" t="e">
        <v>#VALUE!</v>
      </c>
    </row>
    <row r="2090" spans="5:5">
      <c r="E2090" t="e">
        <v>#VALUE!</v>
      </c>
    </row>
    <row r="2091" spans="5:5">
      <c r="E2091" t="e">
        <v>#VALUE!</v>
      </c>
    </row>
    <row r="2092" spans="5:5">
      <c r="E2092" t="e">
        <v>#VALUE!</v>
      </c>
    </row>
    <row r="2093" spans="5:5">
      <c r="E2093" t="e">
        <v>#VALUE!</v>
      </c>
    </row>
    <row r="2094" spans="5:5">
      <c r="E2094" t="e">
        <v>#VALUE!</v>
      </c>
    </row>
    <row r="2095" spans="5:5">
      <c r="E2095" t="e">
        <v>#VALUE!</v>
      </c>
    </row>
    <row r="2096" spans="5:5">
      <c r="E2096" t="e">
        <v>#VALUE!</v>
      </c>
    </row>
    <row r="2097" spans="5:5">
      <c r="E2097" t="e">
        <v>#VALUE!</v>
      </c>
    </row>
    <row r="2098" spans="5:5">
      <c r="E2098" t="e">
        <v>#VALUE!</v>
      </c>
    </row>
    <row r="2099" spans="5:5">
      <c r="E2099" t="e">
        <v>#VALUE!</v>
      </c>
    </row>
    <row r="2100" spans="5:5">
      <c r="E2100" t="e">
        <v>#VALUE!</v>
      </c>
    </row>
    <row r="2101" spans="5:5">
      <c r="E2101" t="e">
        <v>#VALUE!</v>
      </c>
    </row>
    <row r="2102" spans="5:5">
      <c r="E2102" t="e">
        <v>#VALUE!</v>
      </c>
    </row>
    <row r="2103" spans="5:5">
      <c r="E2103" t="e">
        <v>#VALUE!</v>
      </c>
    </row>
    <row r="2104" spans="5:5">
      <c r="E2104" t="e">
        <v>#VALUE!</v>
      </c>
    </row>
    <row r="2105" spans="5:5">
      <c r="E2105" t="e">
        <v>#VALUE!</v>
      </c>
    </row>
    <row r="2106" spans="5:5">
      <c r="E2106" t="e">
        <v>#VALUE!</v>
      </c>
    </row>
    <row r="2107" spans="5:5">
      <c r="E2107" t="e">
        <v>#VALUE!</v>
      </c>
    </row>
    <row r="2108" spans="5:5">
      <c r="E2108" t="e">
        <v>#VALUE!</v>
      </c>
    </row>
    <row r="2109" spans="5:5">
      <c r="E2109" t="e">
        <v>#VALUE!</v>
      </c>
    </row>
    <row r="2110" spans="5:5">
      <c r="E2110" t="e">
        <v>#VALUE!</v>
      </c>
    </row>
    <row r="2111" spans="5:5">
      <c r="E2111" t="e">
        <v>#VALUE!</v>
      </c>
    </row>
    <row r="2112" spans="5:5">
      <c r="E2112" t="e">
        <v>#VALUE!</v>
      </c>
    </row>
    <row r="2113" spans="5:5">
      <c r="E2113" t="e">
        <v>#VALUE!</v>
      </c>
    </row>
    <row r="2114" spans="5:5">
      <c r="E2114" t="e">
        <v>#VALUE!</v>
      </c>
    </row>
    <row r="2115" spans="5:5">
      <c r="E2115" t="e">
        <v>#VALUE!</v>
      </c>
    </row>
    <row r="2116" spans="5:5">
      <c r="E2116" t="e">
        <v>#VALUE!</v>
      </c>
    </row>
    <row r="2117" spans="5:5">
      <c r="E2117" t="e">
        <v>#VALUE!</v>
      </c>
    </row>
    <row r="2118" spans="5:5">
      <c r="E2118" t="e">
        <v>#VALUE!</v>
      </c>
    </row>
    <row r="2119" spans="5:5">
      <c r="E2119" t="e">
        <v>#VALUE!</v>
      </c>
    </row>
    <row r="2120" spans="5:5">
      <c r="E2120" t="e">
        <v>#VALUE!</v>
      </c>
    </row>
    <row r="2121" spans="5:5">
      <c r="E2121" t="e">
        <v>#VALUE!</v>
      </c>
    </row>
    <row r="2122" spans="5:5">
      <c r="E2122" t="e">
        <v>#VALUE!</v>
      </c>
    </row>
    <row r="2123" spans="5:5">
      <c r="E2123" t="e">
        <v>#VALUE!</v>
      </c>
    </row>
    <row r="2124" spans="5:5">
      <c r="E2124" t="e">
        <v>#VALUE!</v>
      </c>
    </row>
    <row r="2125" spans="5:5">
      <c r="E2125" t="e">
        <v>#VALUE!</v>
      </c>
    </row>
    <row r="2126" spans="5:5">
      <c r="E2126" t="e">
        <v>#VALUE!</v>
      </c>
    </row>
    <row r="2127" spans="5:5">
      <c r="E2127" t="e">
        <v>#VALUE!</v>
      </c>
    </row>
    <row r="2128" spans="5:5">
      <c r="E2128" t="e">
        <v>#VALUE!</v>
      </c>
    </row>
    <row r="2129" spans="5:5">
      <c r="E2129" t="e">
        <v>#VALUE!</v>
      </c>
    </row>
    <row r="2130" spans="5:5">
      <c r="E2130" t="e">
        <v>#VALUE!</v>
      </c>
    </row>
    <row r="2131" spans="5:5">
      <c r="E2131" t="e">
        <v>#VALUE!</v>
      </c>
    </row>
    <row r="2132" spans="5:5">
      <c r="E2132" t="e">
        <v>#VALUE!</v>
      </c>
    </row>
    <row r="2133" spans="5:5">
      <c r="E2133" t="e">
        <v>#VALUE!</v>
      </c>
    </row>
    <row r="2134" spans="5:5">
      <c r="E2134" t="e">
        <v>#VALUE!</v>
      </c>
    </row>
    <row r="2135" spans="5:5">
      <c r="E2135" t="e">
        <v>#VALUE!</v>
      </c>
    </row>
    <row r="2136" spans="5:5">
      <c r="E2136" t="e">
        <v>#VALUE!</v>
      </c>
    </row>
    <row r="2137" spans="5:5">
      <c r="E2137" t="e">
        <v>#VALUE!</v>
      </c>
    </row>
    <row r="2138" spans="5:5">
      <c r="E2138" t="e">
        <v>#VALUE!</v>
      </c>
    </row>
    <row r="2139" spans="5:5">
      <c r="E2139" t="e">
        <v>#VALUE!</v>
      </c>
    </row>
    <row r="2140" spans="5:5">
      <c r="E2140" t="e">
        <v>#VALUE!</v>
      </c>
    </row>
    <row r="2141" spans="5:5">
      <c r="E2141" t="e">
        <v>#VALUE!</v>
      </c>
    </row>
    <row r="2142" spans="5:5">
      <c r="E2142" t="e">
        <v>#VALUE!</v>
      </c>
    </row>
    <row r="2143" spans="5:5">
      <c r="E2143" t="e">
        <v>#VALUE!</v>
      </c>
    </row>
    <row r="2144" spans="5:5">
      <c r="E2144" t="e">
        <v>#VALUE!</v>
      </c>
    </row>
    <row r="2145" spans="5:5">
      <c r="E2145" t="e">
        <v>#VALUE!</v>
      </c>
    </row>
    <row r="2146" spans="5:5">
      <c r="E2146" t="e">
        <v>#VALUE!</v>
      </c>
    </row>
    <row r="2147" spans="5:5">
      <c r="E2147" t="e">
        <v>#VALUE!</v>
      </c>
    </row>
    <row r="2148" spans="5:5">
      <c r="E2148" t="e">
        <v>#VALUE!</v>
      </c>
    </row>
    <row r="2149" spans="5:5">
      <c r="E2149" t="e">
        <v>#VALUE!</v>
      </c>
    </row>
    <row r="2150" spans="5:5">
      <c r="E2150" t="e">
        <v>#VALUE!</v>
      </c>
    </row>
    <row r="2151" spans="5:5">
      <c r="E2151" t="e">
        <v>#VALUE!</v>
      </c>
    </row>
    <row r="2152" spans="5:5">
      <c r="E2152" t="e">
        <v>#VALUE!</v>
      </c>
    </row>
    <row r="2153" spans="5:5">
      <c r="E2153" t="e">
        <v>#VALUE!</v>
      </c>
    </row>
    <row r="2154" spans="5:5">
      <c r="E2154" t="e">
        <v>#VALUE!</v>
      </c>
    </row>
    <row r="2155" spans="5:5">
      <c r="E2155" t="e">
        <v>#VALUE!</v>
      </c>
    </row>
    <row r="2156" spans="5:5">
      <c r="E2156" t="e">
        <v>#VALUE!</v>
      </c>
    </row>
    <row r="2157" spans="5:5">
      <c r="E2157" t="e">
        <v>#VALUE!</v>
      </c>
    </row>
    <row r="2158" spans="5:5">
      <c r="E2158" t="e">
        <v>#VALUE!</v>
      </c>
    </row>
    <row r="2159" spans="5:5">
      <c r="E2159" t="e">
        <v>#VALUE!</v>
      </c>
    </row>
    <row r="2160" spans="5:5">
      <c r="E2160" t="e">
        <v>#VALUE!</v>
      </c>
    </row>
    <row r="2161" spans="5:5">
      <c r="E2161" t="e">
        <v>#VALUE!</v>
      </c>
    </row>
    <row r="2162" spans="5:5">
      <c r="E2162" t="e">
        <v>#VALUE!</v>
      </c>
    </row>
    <row r="2163" spans="5:5">
      <c r="E2163" t="e">
        <v>#VALUE!</v>
      </c>
    </row>
    <row r="2164" spans="5:5">
      <c r="E2164" t="e">
        <v>#VALUE!</v>
      </c>
    </row>
    <row r="2165" spans="5:5">
      <c r="E2165" t="e">
        <v>#VALUE!</v>
      </c>
    </row>
    <row r="2166" spans="5:5">
      <c r="E2166" t="e">
        <v>#VALUE!</v>
      </c>
    </row>
    <row r="2167" spans="5:5">
      <c r="E2167" t="e">
        <v>#VALUE!</v>
      </c>
    </row>
    <row r="2168" spans="5:5">
      <c r="E2168" t="e">
        <v>#VALUE!</v>
      </c>
    </row>
    <row r="2169" spans="5:5">
      <c r="E2169" t="e">
        <v>#VALUE!</v>
      </c>
    </row>
    <row r="2170" spans="5:5">
      <c r="E2170" t="e">
        <v>#VALUE!</v>
      </c>
    </row>
    <row r="2171" spans="5:5">
      <c r="E2171" t="e">
        <v>#VALUE!</v>
      </c>
    </row>
    <row r="2172" spans="5:5">
      <c r="E2172" t="e">
        <v>#VALUE!</v>
      </c>
    </row>
    <row r="2173" spans="5:5">
      <c r="E2173" t="e">
        <v>#VALUE!</v>
      </c>
    </row>
    <row r="2174" spans="5:5">
      <c r="E2174" t="e">
        <v>#VALUE!</v>
      </c>
    </row>
    <row r="2175" spans="5:5">
      <c r="E2175" t="e">
        <v>#VALUE!</v>
      </c>
    </row>
    <row r="2176" spans="5:5">
      <c r="E2176" t="e">
        <v>#VALUE!</v>
      </c>
    </row>
    <row r="2177" spans="5:5">
      <c r="E2177" t="e">
        <v>#VALUE!</v>
      </c>
    </row>
    <row r="2178" spans="5:5">
      <c r="E2178" t="e">
        <v>#VALUE!</v>
      </c>
    </row>
    <row r="2179" spans="5:5">
      <c r="E2179" t="e">
        <v>#VALUE!</v>
      </c>
    </row>
    <row r="2180" spans="5:5">
      <c r="E2180" t="e">
        <v>#VALUE!</v>
      </c>
    </row>
    <row r="2181" spans="5:5">
      <c r="E2181" t="e">
        <v>#VALUE!</v>
      </c>
    </row>
    <row r="2182" spans="5:5">
      <c r="E2182" t="e">
        <v>#VALUE!</v>
      </c>
    </row>
    <row r="2183" spans="5:5">
      <c r="E2183" t="e">
        <v>#VALUE!</v>
      </c>
    </row>
    <row r="2184" spans="5:5">
      <c r="E2184" t="e">
        <v>#VALUE!</v>
      </c>
    </row>
    <row r="2185" spans="5:5">
      <c r="E2185" t="e">
        <v>#VALUE!</v>
      </c>
    </row>
    <row r="2186" spans="5:5">
      <c r="E2186" t="e">
        <v>#VALUE!</v>
      </c>
    </row>
    <row r="2187" spans="5:5">
      <c r="E2187" t="e">
        <v>#VALUE!</v>
      </c>
    </row>
    <row r="2188" spans="5:5">
      <c r="E2188" t="e">
        <v>#VALUE!</v>
      </c>
    </row>
    <row r="2189" spans="5:5">
      <c r="E2189" t="e">
        <v>#VALUE!</v>
      </c>
    </row>
    <row r="2190" spans="5:5">
      <c r="E2190" t="e">
        <v>#VALUE!</v>
      </c>
    </row>
    <row r="2191" spans="5:5">
      <c r="E2191" t="e">
        <v>#VALUE!</v>
      </c>
    </row>
    <row r="2192" spans="5:5">
      <c r="E2192" t="e">
        <v>#VALUE!</v>
      </c>
    </row>
    <row r="2193" spans="5:5">
      <c r="E2193" t="e">
        <v>#VALUE!</v>
      </c>
    </row>
    <row r="2194" spans="5:5">
      <c r="E2194" t="e">
        <v>#VALUE!</v>
      </c>
    </row>
    <row r="2195" spans="5:5">
      <c r="E2195" t="e">
        <v>#VALUE!</v>
      </c>
    </row>
    <row r="2196" spans="5:5">
      <c r="E2196" t="e">
        <v>#VALUE!</v>
      </c>
    </row>
    <row r="2197" spans="5:5">
      <c r="E2197" t="e">
        <v>#VALUE!</v>
      </c>
    </row>
    <row r="2198" spans="5:5">
      <c r="E2198" t="e">
        <v>#VALUE!</v>
      </c>
    </row>
    <row r="2199" spans="5:5">
      <c r="E2199" t="e">
        <v>#VALUE!</v>
      </c>
    </row>
    <row r="2200" spans="5:5">
      <c r="E2200" t="e">
        <v>#VALUE!</v>
      </c>
    </row>
    <row r="2201" spans="5:5">
      <c r="E2201" t="e">
        <v>#VALUE!</v>
      </c>
    </row>
    <row r="2202" spans="5:5">
      <c r="E2202" t="e">
        <v>#VALUE!</v>
      </c>
    </row>
    <row r="2203" spans="5:5">
      <c r="E2203" t="e">
        <v>#VALUE!</v>
      </c>
    </row>
    <row r="2204" spans="5:5">
      <c r="E2204" t="e">
        <v>#VALUE!</v>
      </c>
    </row>
    <row r="2205" spans="5:5">
      <c r="E2205" t="e">
        <v>#VALUE!</v>
      </c>
    </row>
    <row r="2206" spans="5:5">
      <c r="E2206" t="e">
        <v>#VALUE!</v>
      </c>
    </row>
    <row r="2207" spans="5:5">
      <c r="E2207" t="e">
        <v>#VALUE!</v>
      </c>
    </row>
    <row r="2208" spans="5:5">
      <c r="E2208" t="e">
        <v>#VALUE!</v>
      </c>
    </row>
    <row r="2209" spans="5:5">
      <c r="E2209" t="e">
        <v>#VALUE!</v>
      </c>
    </row>
    <row r="2210" spans="5:5">
      <c r="E2210" t="e">
        <v>#VALUE!</v>
      </c>
    </row>
    <row r="2211" spans="5:5">
      <c r="E2211" t="e">
        <v>#VALUE!</v>
      </c>
    </row>
    <row r="2212" spans="5:5">
      <c r="E2212" t="e">
        <v>#VALUE!</v>
      </c>
    </row>
    <row r="2213" spans="5:5">
      <c r="E2213" t="e">
        <v>#VALUE!</v>
      </c>
    </row>
    <row r="2214" spans="5:5">
      <c r="E2214" t="e">
        <v>#VALUE!</v>
      </c>
    </row>
    <row r="2215" spans="5:5">
      <c r="E2215" t="e">
        <v>#VALUE!</v>
      </c>
    </row>
    <row r="2216" spans="5:5">
      <c r="E2216" t="e">
        <v>#VALUE!</v>
      </c>
    </row>
    <row r="2217" spans="5:5">
      <c r="E2217" t="e">
        <v>#VALUE!</v>
      </c>
    </row>
    <row r="2218" spans="5:5">
      <c r="E2218" t="e">
        <v>#VALUE!</v>
      </c>
    </row>
    <row r="2219" spans="5:5">
      <c r="E2219" t="e">
        <v>#VALUE!</v>
      </c>
    </row>
    <row r="2220" spans="5:5">
      <c r="E2220" t="e">
        <v>#VALUE!</v>
      </c>
    </row>
    <row r="2221" spans="5:5">
      <c r="E2221" t="e">
        <v>#VALUE!</v>
      </c>
    </row>
    <row r="2222" spans="5:5">
      <c r="E2222" t="e">
        <v>#VALUE!</v>
      </c>
    </row>
    <row r="2223" spans="5:5">
      <c r="E2223" t="e">
        <v>#VALUE!</v>
      </c>
    </row>
    <row r="2224" spans="5:5">
      <c r="E2224" t="e">
        <v>#VALUE!</v>
      </c>
    </row>
    <row r="2225" spans="5:5">
      <c r="E2225" t="e">
        <v>#VALUE!</v>
      </c>
    </row>
    <row r="2226" spans="5:5">
      <c r="E2226" t="e">
        <v>#VALUE!</v>
      </c>
    </row>
    <row r="2227" spans="5:5">
      <c r="E2227" t="e">
        <v>#VALUE!</v>
      </c>
    </row>
    <row r="2228" spans="5:5">
      <c r="E2228" t="e">
        <v>#VALUE!</v>
      </c>
    </row>
    <row r="2229" spans="5:5">
      <c r="E2229" t="e">
        <v>#VALUE!</v>
      </c>
    </row>
    <row r="2230" spans="5:5">
      <c r="E2230" t="e">
        <v>#VALUE!</v>
      </c>
    </row>
    <row r="2231" spans="5:5">
      <c r="E2231" t="e">
        <v>#VALUE!</v>
      </c>
    </row>
    <row r="2232" spans="5:5">
      <c r="E2232" t="e">
        <v>#VALUE!</v>
      </c>
    </row>
    <row r="2233" spans="5:5">
      <c r="E2233" t="e">
        <v>#VALUE!</v>
      </c>
    </row>
    <row r="2234" spans="5:5">
      <c r="E2234" t="e">
        <v>#VALUE!</v>
      </c>
    </row>
    <row r="2235" spans="5:5">
      <c r="E2235" t="e">
        <v>#VALUE!</v>
      </c>
    </row>
    <row r="2236" spans="5:5">
      <c r="E2236" t="e">
        <v>#VALUE!</v>
      </c>
    </row>
    <row r="2237" spans="5:5">
      <c r="E2237" t="e">
        <v>#VALUE!</v>
      </c>
    </row>
    <row r="2238" spans="5:5">
      <c r="E2238" t="e">
        <v>#VALUE!</v>
      </c>
    </row>
    <row r="2239" spans="5:5">
      <c r="E2239" t="e">
        <v>#VALUE!</v>
      </c>
    </row>
    <row r="2240" spans="5:5">
      <c r="E2240" t="e">
        <v>#VALUE!</v>
      </c>
    </row>
    <row r="2241" spans="5:5">
      <c r="E2241" t="e">
        <v>#VALUE!</v>
      </c>
    </row>
    <row r="2242" spans="5:5">
      <c r="E2242" t="e">
        <v>#VALUE!</v>
      </c>
    </row>
    <row r="2243" spans="5:5">
      <c r="E2243" t="e">
        <v>#VALUE!</v>
      </c>
    </row>
    <row r="2244" spans="5:5">
      <c r="E2244" t="e">
        <v>#VALUE!</v>
      </c>
    </row>
    <row r="2245" spans="5:5">
      <c r="E2245" t="e">
        <v>#VALUE!</v>
      </c>
    </row>
    <row r="2246" spans="5:5">
      <c r="E2246" t="e">
        <v>#VALUE!</v>
      </c>
    </row>
    <row r="2247" spans="5:5">
      <c r="E2247" t="e">
        <v>#VALUE!</v>
      </c>
    </row>
    <row r="2248" spans="5:5">
      <c r="E2248" t="e">
        <v>#VALUE!</v>
      </c>
    </row>
    <row r="2249" spans="5:5">
      <c r="E2249" t="e">
        <v>#VALUE!</v>
      </c>
    </row>
    <row r="2250" spans="5:5">
      <c r="E2250" t="e">
        <v>#VALUE!</v>
      </c>
    </row>
    <row r="2251" spans="5:5">
      <c r="E2251" t="e">
        <v>#VALUE!</v>
      </c>
    </row>
    <row r="2252" spans="5:5">
      <c r="E2252" t="e">
        <v>#VALUE!</v>
      </c>
    </row>
    <row r="2253" spans="5:5">
      <c r="E2253" t="e">
        <v>#VALUE!</v>
      </c>
    </row>
    <row r="2254" spans="5:5">
      <c r="E2254" t="e">
        <v>#VALUE!</v>
      </c>
    </row>
    <row r="2255" spans="5:5">
      <c r="E2255" t="e">
        <v>#VALUE!</v>
      </c>
    </row>
    <row r="2256" spans="5:5">
      <c r="E2256" t="e">
        <v>#VALUE!</v>
      </c>
    </row>
    <row r="2257" spans="5:5">
      <c r="E2257" t="e">
        <v>#VALUE!</v>
      </c>
    </row>
    <row r="2258" spans="5:5">
      <c r="E2258" t="e">
        <v>#VALUE!</v>
      </c>
    </row>
    <row r="2259" spans="5:5">
      <c r="E2259" t="e">
        <v>#VALUE!</v>
      </c>
    </row>
    <row r="2260" spans="5:5">
      <c r="E2260" t="e">
        <v>#VALUE!</v>
      </c>
    </row>
    <row r="2261" spans="5:5">
      <c r="E2261" t="e">
        <v>#VALUE!</v>
      </c>
    </row>
    <row r="2262" spans="5:5">
      <c r="E2262" t="e">
        <v>#VALUE!</v>
      </c>
    </row>
    <row r="2263" spans="5:5">
      <c r="E2263" t="e">
        <v>#VALUE!</v>
      </c>
    </row>
    <row r="2264" spans="5:5">
      <c r="E2264" t="e">
        <v>#VALUE!</v>
      </c>
    </row>
    <row r="2265" spans="5:5">
      <c r="E2265" t="e">
        <v>#VALUE!</v>
      </c>
    </row>
    <row r="2266" spans="5:5">
      <c r="E2266" t="e">
        <v>#VALUE!</v>
      </c>
    </row>
    <row r="2267" spans="5:5">
      <c r="E2267" t="e">
        <v>#VALUE!</v>
      </c>
    </row>
    <row r="2268" spans="5:5">
      <c r="E2268" t="e">
        <v>#VALUE!</v>
      </c>
    </row>
    <row r="2269" spans="5:5">
      <c r="E2269" t="e">
        <v>#VALUE!</v>
      </c>
    </row>
    <row r="2270" spans="5:5">
      <c r="E2270" t="e">
        <v>#VALUE!</v>
      </c>
    </row>
    <row r="2271" spans="5:5">
      <c r="E2271" t="e">
        <v>#VALUE!</v>
      </c>
    </row>
    <row r="2272" spans="5:5">
      <c r="E2272" t="e">
        <v>#VALUE!</v>
      </c>
    </row>
    <row r="2273" spans="5:5">
      <c r="E2273" t="e">
        <v>#VALUE!</v>
      </c>
    </row>
    <row r="2274" spans="5:5">
      <c r="E2274" t="e">
        <v>#VALUE!</v>
      </c>
    </row>
    <row r="2275" spans="5:5">
      <c r="E2275" t="e">
        <v>#VALUE!</v>
      </c>
    </row>
    <row r="2276" spans="5:5">
      <c r="E2276" t="e">
        <v>#VALUE!</v>
      </c>
    </row>
    <row r="2277" spans="5:5">
      <c r="E2277" t="e">
        <v>#VALUE!</v>
      </c>
    </row>
    <row r="2278" spans="5:5">
      <c r="E2278" t="e">
        <v>#VALUE!</v>
      </c>
    </row>
    <row r="2279" spans="5:5">
      <c r="E2279" t="e">
        <v>#VALUE!</v>
      </c>
    </row>
    <row r="2280" spans="5:5">
      <c r="E2280" t="e">
        <v>#VALUE!</v>
      </c>
    </row>
    <row r="2281" spans="5:5">
      <c r="E2281" t="e">
        <v>#VALUE!</v>
      </c>
    </row>
    <row r="2282" spans="5:5">
      <c r="E2282" t="e">
        <v>#VALUE!</v>
      </c>
    </row>
    <row r="2283" spans="5:5">
      <c r="E2283" t="e">
        <v>#VALUE!</v>
      </c>
    </row>
    <row r="2284" spans="5:5">
      <c r="E2284" t="e">
        <v>#VALUE!</v>
      </c>
    </row>
    <row r="2285" spans="5:5">
      <c r="E2285" t="e">
        <v>#VALUE!</v>
      </c>
    </row>
    <row r="2286" spans="5:5">
      <c r="E2286" t="e">
        <v>#VALUE!</v>
      </c>
    </row>
    <row r="2287" spans="5:5">
      <c r="E2287" t="e">
        <v>#VALUE!</v>
      </c>
    </row>
    <row r="2288" spans="5:5">
      <c r="E2288" t="e">
        <v>#VALUE!</v>
      </c>
    </row>
    <row r="2289" spans="5:5">
      <c r="E2289" t="e">
        <v>#VALUE!</v>
      </c>
    </row>
    <row r="2290" spans="5:5">
      <c r="E2290" t="e">
        <v>#VALUE!</v>
      </c>
    </row>
    <row r="2291" spans="5:5">
      <c r="E2291" t="e">
        <v>#VALUE!</v>
      </c>
    </row>
    <row r="2292" spans="5:5">
      <c r="E2292" t="e">
        <v>#VALUE!</v>
      </c>
    </row>
    <row r="2293" spans="5:5">
      <c r="E2293" t="e">
        <v>#VALUE!</v>
      </c>
    </row>
    <row r="2294" spans="5:5">
      <c r="E2294" t="e">
        <v>#VALUE!</v>
      </c>
    </row>
    <row r="2295" spans="5:5">
      <c r="E2295" t="e">
        <v>#VALUE!</v>
      </c>
    </row>
    <row r="2296" spans="5:5">
      <c r="E2296" t="e">
        <v>#VALUE!</v>
      </c>
    </row>
    <row r="2297" spans="5:5">
      <c r="E2297" t="e">
        <v>#VALUE!</v>
      </c>
    </row>
    <row r="2298" spans="5:5">
      <c r="E2298" t="e">
        <v>#VALUE!</v>
      </c>
    </row>
    <row r="2299" spans="5:5">
      <c r="E2299" t="e">
        <v>#VALUE!</v>
      </c>
    </row>
    <row r="2300" spans="5:5">
      <c r="E2300" t="e">
        <v>#VALUE!</v>
      </c>
    </row>
    <row r="2301" spans="5:5">
      <c r="E2301" t="e">
        <v>#VALUE!</v>
      </c>
    </row>
    <row r="2302" spans="5:5">
      <c r="E2302" t="e">
        <v>#VALUE!</v>
      </c>
    </row>
    <row r="2303" spans="5:5">
      <c r="E2303" t="e">
        <v>#VALUE!</v>
      </c>
    </row>
    <row r="2304" spans="5:5">
      <c r="E2304" t="e">
        <v>#VALUE!</v>
      </c>
    </row>
    <row r="2305" spans="5:5">
      <c r="E2305" t="e">
        <v>#VALUE!</v>
      </c>
    </row>
    <row r="2306" spans="5:5">
      <c r="E2306" t="e">
        <v>#VALUE!</v>
      </c>
    </row>
    <row r="2307" spans="5:5">
      <c r="E2307" t="e">
        <v>#VALUE!</v>
      </c>
    </row>
    <row r="2308" spans="5:5">
      <c r="E2308" t="e">
        <v>#VALUE!</v>
      </c>
    </row>
    <row r="2309" spans="5:5">
      <c r="E2309" t="e">
        <v>#VALUE!</v>
      </c>
    </row>
    <row r="2310" spans="5:5">
      <c r="E2310" t="e">
        <v>#VALUE!</v>
      </c>
    </row>
    <row r="2311" spans="5:5">
      <c r="E2311" t="e">
        <v>#VALUE!</v>
      </c>
    </row>
    <row r="2312" spans="5:5">
      <c r="E2312" t="e">
        <v>#VALUE!</v>
      </c>
    </row>
    <row r="2313" spans="5:5">
      <c r="E2313" t="e">
        <v>#VALUE!</v>
      </c>
    </row>
    <row r="2314" spans="5:5">
      <c r="E2314" t="e">
        <v>#VALUE!</v>
      </c>
    </row>
    <row r="2315" spans="5:5">
      <c r="E2315" t="e">
        <v>#VALUE!</v>
      </c>
    </row>
    <row r="2316" spans="5:5">
      <c r="E2316" t="e">
        <v>#VALUE!</v>
      </c>
    </row>
    <row r="2317" spans="5:5">
      <c r="E2317" t="e">
        <v>#VALUE!</v>
      </c>
    </row>
    <row r="2318" spans="5:5">
      <c r="E2318" t="e">
        <v>#VALUE!</v>
      </c>
    </row>
    <row r="2319" spans="5:5">
      <c r="E2319" t="e">
        <v>#VALUE!</v>
      </c>
    </row>
    <row r="2320" spans="5:5">
      <c r="E2320" t="e">
        <v>#VALUE!</v>
      </c>
    </row>
    <row r="2321" spans="5:5">
      <c r="E2321" t="e">
        <v>#VALUE!</v>
      </c>
    </row>
    <row r="2322" spans="5:5">
      <c r="E2322" t="e">
        <v>#VALUE!</v>
      </c>
    </row>
    <row r="2323" spans="5:5">
      <c r="E2323" t="e">
        <v>#VALUE!</v>
      </c>
    </row>
    <row r="2324" spans="5:5">
      <c r="E2324" t="e">
        <v>#VALUE!</v>
      </c>
    </row>
    <row r="2325" spans="5:5">
      <c r="E2325" t="e">
        <v>#VALUE!</v>
      </c>
    </row>
    <row r="2326" spans="5:5">
      <c r="E2326" t="e">
        <v>#VALUE!</v>
      </c>
    </row>
    <row r="2327" spans="5:5">
      <c r="E2327" t="e">
        <v>#VALUE!</v>
      </c>
    </row>
    <row r="2328" spans="5:5">
      <c r="E2328" t="e">
        <v>#VALUE!</v>
      </c>
    </row>
    <row r="2329" spans="5:5">
      <c r="E2329" t="e">
        <v>#VALUE!</v>
      </c>
    </row>
    <row r="2330" spans="5:5">
      <c r="E2330" t="e">
        <v>#VALUE!</v>
      </c>
    </row>
    <row r="2331" spans="5:5">
      <c r="E2331" t="e">
        <v>#VALUE!</v>
      </c>
    </row>
    <row r="2332" spans="5:5">
      <c r="E2332" t="e">
        <v>#VALUE!</v>
      </c>
    </row>
    <row r="2333" spans="5:5">
      <c r="E2333" t="e">
        <v>#VALUE!</v>
      </c>
    </row>
    <row r="2334" spans="5:5">
      <c r="E2334" t="e">
        <v>#VALUE!</v>
      </c>
    </row>
    <row r="2335" spans="5:5">
      <c r="E2335" t="e">
        <v>#VALUE!</v>
      </c>
    </row>
    <row r="2336" spans="5:5">
      <c r="E2336" t="e">
        <v>#VALUE!</v>
      </c>
    </row>
    <row r="2337" spans="5:5">
      <c r="E2337" t="e">
        <v>#VALUE!</v>
      </c>
    </row>
    <row r="2338" spans="5:5">
      <c r="E2338" t="e">
        <v>#VALUE!</v>
      </c>
    </row>
    <row r="2339" spans="5:5">
      <c r="E2339" t="e">
        <v>#VALUE!</v>
      </c>
    </row>
    <row r="2340" spans="5:5">
      <c r="E2340" t="e">
        <v>#VALUE!</v>
      </c>
    </row>
    <row r="2341" spans="5:5">
      <c r="E2341" t="e">
        <v>#VALUE!</v>
      </c>
    </row>
    <row r="2342" spans="5:5">
      <c r="E2342" t="e">
        <v>#VALUE!</v>
      </c>
    </row>
    <row r="2343" spans="5:5">
      <c r="E2343" t="e">
        <v>#VALUE!</v>
      </c>
    </row>
    <row r="2344" spans="5:5">
      <c r="E2344" t="e">
        <v>#VALUE!</v>
      </c>
    </row>
    <row r="2345" spans="5:5">
      <c r="E2345" t="e">
        <v>#VALUE!</v>
      </c>
    </row>
    <row r="2346" spans="5:5">
      <c r="E2346" t="e">
        <v>#VALUE!</v>
      </c>
    </row>
    <row r="2347" spans="5:5">
      <c r="E2347" t="e">
        <v>#VALUE!</v>
      </c>
    </row>
    <row r="2348" spans="5:5">
      <c r="E2348" t="e">
        <v>#VALUE!</v>
      </c>
    </row>
    <row r="2349" spans="5:5">
      <c r="E2349" t="e">
        <v>#VALUE!</v>
      </c>
    </row>
    <row r="2350" spans="5:5">
      <c r="E2350" t="e">
        <v>#VALUE!</v>
      </c>
    </row>
    <row r="2351" spans="5:5">
      <c r="E2351" t="e">
        <v>#VALUE!</v>
      </c>
    </row>
    <row r="2352" spans="5:5">
      <c r="E2352" t="e">
        <v>#VALUE!</v>
      </c>
    </row>
    <row r="2353" spans="5:5">
      <c r="E2353" t="e">
        <v>#VALUE!</v>
      </c>
    </row>
    <row r="2354" spans="5:5">
      <c r="E2354" t="e">
        <v>#VALUE!</v>
      </c>
    </row>
    <row r="2355" spans="5:5">
      <c r="E2355" t="e">
        <v>#VALUE!</v>
      </c>
    </row>
    <row r="2356" spans="5:5">
      <c r="E2356" t="e">
        <v>#VALUE!</v>
      </c>
    </row>
    <row r="2357" spans="5:5">
      <c r="E2357" t="e">
        <v>#VALUE!</v>
      </c>
    </row>
    <row r="2358" spans="5:5">
      <c r="E2358" t="e">
        <v>#VALUE!</v>
      </c>
    </row>
    <row r="2359" spans="5:5">
      <c r="E2359" t="e">
        <v>#VALUE!</v>
      </c>
    </row>
    <row r="2360" spans="5:5">
      <c r="E2360" t="e">
        <v>#VALUE!</v>
      </c>
    </row>
    <row r="2361" spans="5:5">
      <c r="E2361" t="e">
        <v>#VALUE!</v>
      </c>
    </row>
    <row r="2362" spans="5:5">
      <c r="E2362" t="e">
        <v>#VALUE!</v>
      </c>
    </row>
    <row r="2363" spans="5:5">
      <c r="E2363" t="e">
        <v>#VALUE!</v>
      </c>
    </row>
    <row r="2364" spans="5:5">
      <c r="E2364" t="e">
        <v>#VALUE!</v>
      </c>
    </row>
    <row r="2365" spans="5:5">
      <c r="E2365" t="e">
        <v>#VALUE!</v>
      </c>
    </row>
    <row r="2366" spans="5:5">
      <c r="E2366" t="e">
        <v>#VALUE!</v>
      </c>
    </row>
    <row r="2367" spans="5:5">
      <c r="E2367" t="e">
        <v>#VALUE!</v>
      </c>
    </row>
    <row r="2368" spans="5:5">
      <c r="E2368" t="e">
        <v>#VALUE!</v>
      </c>
    </row>
    <row r="2369" spans="5:5">
      <c r="E2369" t="e">
        <v>#VALUE!</v>
      </c>
    </row>
    <row r="2370" spans="5:5">
      <c r="E2370" t="e">
        <v>#VALUE!</v>
      </c>
    </row>
    <row r="2371" spans="5:5">
      <c r="E2371" t="e">
        <v>#VALUE!</v>
      </c>
    </row>
    <row r="2372" spans="5:5">
      <c r="E2372" t="e">
        <v>#VALUE!</v>
      </c>
    </row>
    <row r="2373" spans="5:5">
      <c r="E2373" t="e">
        <v>#VALUE!</v>
      </c>
    </row>
    <row r="2374" spans="5:5">
      <c r="E2374" t="e">
        <v>#VALUE!</v>
      </c>
    </row>
    <row r="2375" spans="5:5">
      <c r="E2375" t="e">
        <v>#VALUE!</v>
      </c>
    </row>
    <row r="2376" spans="5:5">
      <c r="E2376" t="e">
        <v>#VALUE!</v>
      </c>
    </row>
    <row r="2377" spans="5:5">
      <c r="E2377" t="e">
        <v>#VALUE!</v>
      </c>
    </row>
    <row r="2378" spans="5:5">
      <c r="E2378" t="e">
        <v>#VALUE!</v>
      </c>
    </row>
    <row r="2379" spans="5:5">
      <c r="E2379" t="e">
        <v>#VALUE!</v>
      </c>
    </row>
    <row r="2380" spans="5:5">
      <c r="E2380" t="e">
        <v>#VALUE!</v>
      </c>
    </row>
    <row r="2381" spans="5:5">
      <c r="E2381" t="e">
        <v>#VALUE!</v>
      </c>
    </row>
    <row r="2382" spans="5:5">
      <c r="E2382" t="e">
        <v>#VALUE!</v>
      </c>
    </row>
    <row r="2383" spans="5:5">
      <c r="E2383" t="e">
        <v>#VALUE!</v>
      </c>
    </row>
    <row r="2384" spans="5:5">
      <c r="E2384" t="e">
        <v>#VALUE!</v>
      </c>
    </row>
    <row r="2385" spans="5:5">
      <c r="E2385" t="e">
        <v>#VALUE!</v>
      </c>
    </row>
    <row r="2386" spans="5:5">
      <c r="E2386" t="e">
        <v>#VALUE!</v>
      </c>
    </row>
    <row r="2387" spans="5:5">
      <c r="E2387" t="e">
        <v>#VALUE!</v>
      </c>
    </row>
    <row r="2388" spans="5:5">
      <c r="E2388" t="e">
        <v>#VALUE!</v>
      </c>
    </row>
    <row r="2389" spans="5:5">
      <c r="E2389" t="e">
        <v>#VALUE!</v>
      </c>
    </row>
    <row r="2390" spans="5:5">
      <c r="E2390" t="e">
        <v>#VALUE!</v>
      </c>
    </row>
    <row r="2391" spans="5:5">
      <c r="E2391" t="e">
        <v>#VALUE!</v>
      </c>
    </row>
    <row r="2392" spans="5:5">
      <c r="E2392" t="e">
        <v>#VALUE!</v>
      </c>
    </row>
    <row r="2393" spans="5:5">
      <c r="E2393" t="e">
        <v>#VALUE!</v>
      </c>
    </row>
    <row r="2394" spans="5:5">
      <c r="E2394" t="e">
        <v>#VALUE!</v>
      </c>
    </row>
    <row r="2395" spans="5:5">
      <c r="E2395" t="e">
        <v>#VALUE!</v>
      </c>
    </row>
    <row r="2396" spans="5:5">
      <c r="E2396" t="e">
        <v>#VALUE!</v>
      </c>
    </row>
    <row r="2397" spans="5:5">
      <c r="E2397" t="e">
        <v>#VALUE!</v>
      </c>
    </row>
    <row r="2398" spans="5:5">
      <c r="E2398" t="e">
        <v>#VALUE!</v>
      </c>
    </row>
    <row r="2399" spans="5:5">
      <c r="E2399" t="e">
        <v>#VALUE!</v>
      </c>
    </row>
    <row r="2400" spans="5:5">
      <c r="E2400" t="e">
        <v>#VALUE!</v>
      </c>
    </row>
    <row r="2401" spans="5:5">
      <c r="E2401" t="e">
        <v>#VALUE!</v>
      </c>
    </row>
    <row r="2402" spans="5:5">
      <c r="E2402" t="e">
        <v>#VALUE!</v>
      </c>
    </row>
    <row r="2403" spans="5:5">
      <c r="E2403" t="e">
        <v>#VALUE!</v>
      </c>
    </row>
    <row r="2404" spans="5:5">
      <c r="E2404" t="e">
        <v>#VALUE!</v>
      </c>
    </row>
    <row r="2405" spans="5:5">
      <c r="E2405" t="e">
        <v>#VALUE!</v>
      </c>
    </row>
    <row r="2406" spans="5:5">
      <c r="E2406" t="e">
        <v>#VALUE!</v>
      </c>
    </row>
    <row r="2407" spans="5:5">
      <c r="E2407" t="e">
        <v>#VALUE!</v>
      </c>
    </row>
    <row r="2408" spans="5:5">
      <c r="E2408" t="e">
        <v>#VALUE!</v>
      </c>
    </row>
    <row r="2409" spans="5:5">
      <c r="E2409" t="e">
        <v>#VALUE!</v>
      </c>
    </row>
    <row r="2410" spans="5:5">
      <c r="E2410" t="e">
        <v>#VALUE!</v>
      </c>
    </row>
    <row r="2411" spans="5:5">
      <c r="E2411" t="e">
        <v>#VALUE!</v>
      </c>
    </row>
    <row r="2412" spans="5:5">
      <c r="E2412" t="e">
        <v>#VALUE!</v>
      </c>
    </row>
    <row r="2413" spans="5:5">
      <c r="E2413" t="e">
        <v>#VALUE!</v>
      </c>
    </row>
    <row r="2414" spans="5:5">
      <c r="E2414" t="e">
        <v>#VALUE!</v>
      </c>
    </row>
    <row r="2415" spans="5:5">
      <c r="E2415" t="e">
        <v>#VALUE!</v>
      </c>
    </row>
    <row r="2416" spans="5:5">
      <c r="E2416" t="e">
        <v>#VALUE!</v>
      </c>
    </row>
    <row r="2417" spans="5:5">
      <c r="E2417" t="e">
        <v>#VALUE!</v>
      </c>
    </row>
    <row r="2418" spans="5:5">
      <c r="E2418" t="e">
        <v>#VALUE!</v>
      </c>
    </row>
    <row r="2419" spans="5:5">
      <c r="E2419" t="e">
        <v>#VALUE!</v>
      </c>
    </row>
    <row r="2420" spans="5:5">
      <c r="E2420" t="e">
        <v>#VALUE!</v>
      </c>
    </row>
    <row r="2421" spans="5:5">
      <c r="E2421" t="e">
        <v>#VALUE!</v>
      </c>
    </row>
    <row r="2422" spans="5:5">
      <c r="E2422" t="e">
        <v>#VALUE!</v>
      </c>
    </row>
    <row r="2423" spans="5:5">
      <c r="E2423" t="e">
        <v>#VALUE!</v>
      </c>
    </row>
    <row r="2424" spans="5:5">
      <c r="E2424" t="e">
        <v>#VALUE!</v>
      </c>
    </row>
    <row r="2425" spans="5:5">
      <c r="E2425" t="e">
        <v>#VALUE!</v>
      </c>
    </row>
    <row r="2426" spans="5:5">
      <c r="E2426" t="e">
        <v>#VALUE!</v>
      </c>
    </row>
    <row r="2427" spans="5:5">
      <c r="E2427" t="e">
        <v>#VALUE!</v>
      </c>
    </row>
    <row r="2428" spans="5:5">
      <c r="E2428" t="e">
        <v>#VALUE!</v>
      </c>
    </row>
    <row r="2429" spans="5:5">
      <c r="E2429" t="e">
        <v>#VALUE!</v>
      </c>
    </row>
    <row r="2430" spans="5:5">
      <c r="E2430" t="e">
        <v>#VALUE!</v>
      </c>
    </row>
    <row r="2431" spans="5:5">
      <c r="E2431" t="e">
        <v>#VALUE!</v>
      </c>
    </row>
    <row r="2432" spans="5:5">
      <c r="E2432" t="e">
        <v>#VALUE!</v>
      </c>
    </row>
    <row r="2433" spans="5:5">
      <c r="E2433" t="e">
        <v>#VALUE!</v>
      </c>
    </row>
    <row r="2434" spans="5:5">
      <c r="E2434" t="e">
        <v>#VALUE!</v>
      </c>
    </row>
    <row r="2435" spans="5:5">
      <c r="E2435" t="e">
        <v>#VALUE!</v>
      </c>
    </row>
    <row r="2436" spans="5:5">
      <c r="E2436" t="e">
        <v>#VALUE!</v>
      </c>
    </row>
    <row r="2437" spans="5:5">
      <c r="E2437" t="e">
        <v>#VALUE!</v>
      </c>
    </row>
    <row r="2438" spans="5:5">
      <c r="E2438" t="e">
        <v>#VALUE!</v>
      </c>
    </row>
    <row r="2439" spans="5:5">
      <c r="E2439" t="e">
        <v>#VALUE!</v>
      </c>
    </row>
    <row r="2440" spans="5:5">
      <c r="E2440" t="e">
        <v>#VALUE!</v>
      </c>
    </row>
    <row r="2441" spans="5:5">
      <c r="E2441" t="e">
        <v>#VALUE!</v>
      </c>
    </row>
    <row r="2442" spans="5:5">
      <c r="E2442" t="e">
        <v>#VALUE!</v>
      </c>
    </row>
    <row r="2443" spans="5:5">
      <c r="E2443" t="e">
        <v>#VALUE!</v>
      </c>
    </row>
    <row r="2444" spans="5:5">
      <c r="E2444" t="e">
        <v>#VALUE!</v>
      </c>
    </row>
    <row r="2445" spans="5:5">
      <c r="E2445" t="e">
        <v>#VALUE!</v>
      </c>
    </row>
    <row r="2446" spans="5:5">
      <c r="E2446" t="e">
        <v>#VALUE!</v>
      </c>
    </row>
    <row r="2447" spans="5:5">
      <c r="E2447" t="e">
        <v>#VALUE!</v>
      </c>
    </row>
    <row r="2448" spans="5:5">
      <c r="E2448" t="e">
        <v>#VALUE!</v>
      </c>
    </row>
    <row r="2449" spans="5:5">
      <c r="E2449" t="e">
        <v>#VALUE!</v>
      </c>
    </row>
    <row r="2450" spans="5:5">
      <c r="E2450" t="e">
        <v>#VALUE!</v>
      </c>
    </row>
    <row r="2451" spans="5:5">
      <c r="E2451" t="e">
        <v>#VALUE!</v>
      </c>
    </row>
    <row r="2452" spans="5:5">
      <c r="E2452" t="e">
        <v>#VALUE!</v>
      </c>
    </row>
    <row r="2453" spans="5:5">
      <c r="E2453" t="e">
        <v>#VALUE!</v>
      </c>
    </row>
    <row r="2454" spans="5:5">
      <c r="E2454" t="e">
        <v>#VALUE!</v>
      </c>
    </row>
    <row r="2455" spans="5:5">
      <c r="E2455" t="e">
        <v>#VALUE!</v>
      </c>
    </row>
    <row r="2456" spans="5:5">
      <c r="E2456" t="e">
        <v>#VALUE!</v>
      </c>
    </row>
    <row r="2457" spans="5:5">
      <c r="E2457" t="e">
        <v>#VALUE!</v>
      </c>
    </row>
    <row r="2458" spans="5:5">
      <c r="E2458" t="e">
        <v>#VALUE!</v>
      </c>
    </row>
    <row r="2459" spans="5:5">
      <c r="E2459" t="e">
        <v>#VALUE!</v>
      </c>
    </row>
    <row r="2460" spans="5:5">
      <c r="E2460" t="e">
        <v>#VALUE!</v>
      </c>
    </row>
    <row r="2461" spans="5:5">
      <c r="E2461" t="e">
        <v>#VALUE!</v>
      </c>
    </row>
    <row r="2462" spans="5:5">
      <c r="E2462" t="e">
        <v>#VALUE!</v>
      </c>
    </row>
    <row r="2463" spans="5:5">
      <c r="E2463" t="e">
        <v>#VALUE!</v>
      </c>
    </row>
    <row r="2464" spans="5:5">
      <c r="E2464" t="e">
        <v>#VALUE!</v>
      </c>
    </row>
    <row r="2465" spans="5:5">
      <c r="E2465" t="e">
        <v>#VALUE!</v>
      </c>
    </row>
    <row r="2466" spans="5:5">
      <c r="E2466" t="e">
        <v>#VALUE!</v>
      </c>
    </row>
    <row r="2467" spans="5:5">
      <c r="E2467" t="e">
        <v>#VALUE!</v>
      </c>
    </row>
    <row r="2468" spans="5:5">
      <c r="E2468" t="e">
        <v>#VALUE!</v>
      </c>
    </row>
    <row r="2469" spans="5:5">
      <c r="E2469" t="e">
        <v>#VALUE!</v>
      </c>
    </row>
    <row r="2470" spans="5:5">
      <c r="E2470" t="e">
        <v>#VALUE!</v>
      </c>
    </row>
    <row r="2471" spans="5:5">
      <c r="E2471" t="e">
        <v>#VALUE!</v>
      </c>
    </row>
    <row r="2472" spans="5:5">
      <c r="E2472" t="e">
        <v>#VALUE!</v>
      </c>
    </row>
    <row r="2473" spans="5:5">
      <c r="E2473" t="e">
        <v>#VALUE!</v>
      </c>
    </row>
    <row r="2474" spans="5:5">
      <c r="E2474" t="e">
        <v>#VALUE!</v>
      </c>
    </row>
    <row r="2475" spans="5:5">
      <c r="E2475" t="e">
        <v>#VALUE!</v>
      </c>
    </row>
    <row r="2476" spans="5:5">
      <c r="E2476" t="e">
        <v>#VALUE!</v>
      </c>
    </row>
    <row r="2477" spans="5:5">
      <c r="E2477" t="e">
        <v>#VALUE!</v>
      </c>
    </row>
    <row r="2478" spans="5:5">
      <c r="E2478" t="e">
        <v>#VALUE!</v>
      </c>
    </row>
    <row r="2479" spans="5:5">
      <c r="E2479" t="e">
        <v>#VALUE!</v>
      </c>
    </row>
    <row r="2480" spans="5:5">
      <c r="E2480" t="e">
        <v>#VALUE!</v>
      </c>
    </row>
    <row r="2481" spans="5:5">
      <c r="E2481" t="e">
        <v>#VALUE!</v>
      </c>
    </row>
    <row r="2482" spans="5:5">
      <c r="E2482" t="e">
        <v>#VALUE!</v>
      </c>
    </row>
    <row r="2483" spans="5:5">
      <c r="E2483" t="e">
        <v>#VALUE!</v>
      </c>
    </row>
    <row r="2484" spans="5:5">
      <c r="E2484" t="e">
        <v>#VALUE!</v>
      </c>
    </row>
    <row r="2485" spans="5:5">
      <c r="E2485" t="e">
        <v>#VALUE!</v>
      </c>
    </row>
    <row r="2486" spans="5:5">
      <c r="E2486" t="e">
        <v>#VALUE!</v>
      </c>
    </row>
    <row r="2487" spans="5:5">
      <c r="E2487" t="e">
        <v>#VALUE!</v>
      </c>
    </row>
    <row r="2488" spans="5:5">
      <c r="E2488" t="e">
        <v>#VALUE!</v>
      </c>
    </row>
    <row r="2489" spans="5:5">
      <c r="E2489" t="e">
        <v>#VALUE!</v>
      </c>
    </row>
    <row r="2490" spans="5:5">
      <c r="E2490" t="e">
        <v>#VALUE!</v>
      </c>
    </row>
    <row r="2491" spans="5:5">
      <c r="E2491" t="e">
        <v>#VALUE!</v>
      </c>
    </row>
    <row r="2492" spans="5:5">
      <c r="E2492" t="e">
        <v>#VALUE!</v>
      </c>
    </row>
    <row r="2493" spans="5:5">
      <c r="E2493" t="e">
        <v>#VALUE!</v>
      </c>
    </row>
    <row r="2494" spans="5:5">
      <c r="E2494" t="e">
        <v>#VALUE!</v>
      </c>
    </row>
    <row r="2495" spans="5:5">
      <c r="E2495" t="e">
        <v>#VALUE!</v>
      </c>
    </row>
    <row r="2496" spans="5:5">
      <c r="E2496" t="e">
        <v>#VALUE!</v>
      </c>
    </row>
    <row r="2497" spans="5:5">
      <c r="E2497" t="e">
        <v>#VALUE!</v>
      </c>
    </row>
    <row r="2498" spans="5:5">
      <c r="E2498" t="e">
        <v>#VALUE!</v>
      </c>
    </row>
    <row r="2499" spans="5:5">
      <c r="E2499" t="e">
        <v>#VALUE!</v>
      </c>
    </row>
    <row r="2500" spans="5:5">
      <c r="E2500" t="e">
        <v>#VALUE!</v>
      </c>
    </row>
    <row r="2501" spans="5:5">
      <c r="E2501" t="e">
        <v>#VALUE!</v>
      </c>
    </row>
    <row r="2502" spans="5:5">
      <c r="E2502" t="e">
        <v>#VALUE!</v>
      </c>
    </row>
    <row r="2503" spans="5:5">
      <c r="E2503" t="e">
        <v>#VALUE!</v>
      </c>
    </row>
    <row r="2504" spans="5:5">
      <c r="E2504" t="e">
        <v>#VALUE!</v>
      </c>
    </row>
    <row r="2505" spans="5:5">
      <c r="E2505" t="e">
        <v>#VALUE!</v>
      </c>
    </row>
    <row r="2506" spans="5:5">
      <c r="E2506" t="e">
        <v>#VALUE!</v>
      </c>
    </row>
    <row r="2507" spans="5:5">
      <c r="E2507" t="e">
        <v>#VALUE!</v>
      </c>
    </row>
    <row r="2508" spans="5:5">
      <c r="E2508" t="e">
        <v>#VALUE!</v>
      </c>
    </row>
    <row r="2509" spans="5:5">
      <c r="E2509" t="e">
        <v>#VALUE!</v>
      </c>
    </row>
    <row r="2510" spans="5:5">
      <c r="E2510" t="e">
        <v>#VALUE!</v>
      </c>
    </row>
    <row r="2511" spans="5:5">
      <c r="E2511" t="e">
        <v>#VALUE!</v>
      </c>
    </row>
    <row r="2512" spans="5:5">
      <c r="E2512" t="e">
        <v>#VALUE!</v>
      </c>
    </row>
    <row r="2513" spans="5:5">
      <c r="E2513" t="e">
        <v>#VALUE!</v>
      </c>
    </row>
    <row r="2514" spans="5:5">
      <c r="E2514" t="e">
        <v>#VALUE!</v>
      </c>
    </row>
    <row r="2515" spans="5:5">
      <c r="E2515" t="e">
        <v>#VALUE!</v>
      </c>
    </row>
    <row r="2516" spans="5:5">
      <c r="E2516" t="e">
        <v>#VALUE!</v>
      </c>
    </row>
    <row r="2517" spans="5:5">
      <c r="E2517" t="e">
        <v>#VALUE!</v>
      </c>
    </row>
    <row r="2518" spans="5:5">
      <c r="E2518" t="e">
        <v>#VALUE!</v>
      </c>
    </row>
    <row r="2519" spans="5:5">
      <c r="E2519" t="e">
        <v>#VALUE!</v>
      </c>
    </row>
    <row r="2520" spans="5:5">
      <c r="E2520" t="e">
        <v>#VALUE!</v>
      </c>
    </row>
    <row r="2521" spans="5:5">
      <c r="E2521" t="e">
        <v>#VALUE!</v>
      </c>
    </row>
    <row r="2522" spans="5:5">
      <c r="E2522" t="e">
        <v>#VALUE!</v>
      </c>
    </row>
    <row r="2523" spans="5:5">
      <c r="E2523" t="e">
        <v>#VALUE!</v>
      </c>
    </row>
    <row r="2524" spans="5:5">
      <c r="E2524" t="e">
        <v>#VALUE!</v>
      </c>
    </row>
    <row r="2525" spans="5:5">
      <c r="E2525" t="e">
        <v>#VALUE!</v>
      </c>
    </row>
    <row r="2526" spans="5:5">
      <c r="E2526" t="e">
        <v>#VALUE!</v>
      </c>
    </row>
    <row r="2527" spans="5:5">
      <c r="E2527" t="e">
        <v>#VALUE!</v>
      </c>
    </row>
    <row r="2528" spans="5:5">
      <c r="E2528" t="e">
        <v>#VALUE!</v>
      </c>
    </row>
    <row r="2529" spans="5:5">
      <c r="E2529" t="e">
        <v>#VALUE!</v>
      </c>
    </row>
    <row r="2530" spans="5:5">
      <c r="E2530" t="e">
        <v>#VALUE!</v>
      </c>
    </row>
    <row r="2531" spans="5:5">
      <c r="E2531" t="e">
        <v>#VALUE!</v>
      </c>
    </row>
    <row r="2532" spans="5:5">
      <c r="E2532" t="e">
        <v>#VALUE!</v>
      </c>
    </row>
    <row r="2533" spans="5:5">
      <c r="E2533" t="e">
        <v>#VALUE!</v>
      </c>
    </row>
    <row r="2534" spans="5:5">
      <c r="E2534" t="e">
        <v>#VALUE!</v>
      </c>
    </row>
    <row r="2535" spans="5:5">
      <c r="E2535" t="e">
        <v>#VALUE!</v>
      </c>
    </row>
    <row r="2536" spans="5:5">
      <c r="E2536" t="e">
        <v>#VALUE!</v>
      </c>
    </row>
    <row r="2537" spans="5:5">
      <c r="E2537" t="e">
        <v>#VALUE!</v>
      </c>
    </row>
    <row r="2538" spans="5:5">
      <c r="E2538" t="e">
        <v>#VALUE!</v>
      </c>
    </row>
    <row r="2539" spans="5:5">
      <c r="E2539" t="e">
        <v>#VALUE!</v>
      </c>
    </row>
    <row r="2540" spans="5:5">
      <c r="E2540" t="e">
        <v>#VALUE!</v>
      </c>
    </row>
    <row r="2541" spans="5:5">
      <c r="E2541" t="e">
        <v>#VALUE!</v>
      </c>
    </row>
    <row r="2542" spans="5:5">
      <c r="E2542" t="e">
        <v>#VALUE!</v>
      </c>
    </row>
    <row r="2543" spans="5:5">
      <c r="E2543" t="e">
        <v>#VALUE!</v>
      </c>
    </row>
    <row r="2544" spans="5:5">
      <c r="E2544" t="e">
        <v>#VALUE!</v>
      </c>
    </row>
    <row r="2545" spans="5:5">
      <c r="E2545" t="e">
        <v>#VALUE!</v>
      </c>
    </row>
    <row r="2546" spans="5:5">
      <c r="E2546" t="e">
        <v>#VALUE!</v>
      </c>
    </row>
    <row r="2547" spans="5:5">
      <c r="E2547" t="e">
        <v>#VALUE!</v>
      </c>
    </row>
    <row r="2548" spans="5:5">
      <c r="E2548" t="e">
        <v>#VALUE!</v>
      </c>
    </row>
    <row r="2549" spans="5:5">
      <c r="E2549" t="e">
        <v>#VALUE!</v>
      </c>
    </row>
    <row r="2550" spans="5:5">
      <c r="E2550" t="e">
        <v>#VALUE!</v>
      </c>
    </row>
    <row r="2551" spans="5:5">
      <c r="E2551" t="e">
        <v>#VALUE!</v>
      </c>
    </row>
    <row r="2552" spans="5:5">
      <c r="E2552" t="e">
        <v>#VALUE!</v>
      </c>
    </row>
    <row r="2553" spans="5:5">
      <c r="E2553" t="e">
        <v>#VALUE!</v>
      </c>
    </row>
    <row r="2554" spans="5:5">
      <c r="E2554" t="e">
        <v>#VALUE!</v>
      </c>
    </row>
    <row r="2555" spans="5:5">
      <c r="E2555" t="e">
        <v>#VALUE!</v>
      </c>
    </row>
    <row r="2556" spans="5:5">
      <c r="E2556" t="e">
        <v>#VALUE!</v>
      </c>
    </row>
    <row r="2557" spans="5:5">
      <c r="E2557" t="e">
        <v>#VALUE!</v>
      </c>
    </row>
    <row r="2558" spans="5:5">
      <c r="E2558" t="e">
        <v>#VALUE!</v>
      </c>
    </row>
    <row r="2559" spans="5:5">
      <c r="E2559" t="e">
        <v>#VALUE!</v>
      </c>
    </row>
    <row r="2560" spans="5:5">
      <c r="E2560" t="e">
        <v>#VALUE!</v>
      </c>
    </row>
    <row r="2561" spans="5:5">
      <c r="E2561" t="e">
        <v>#VALUE!</v>
      </c>
    </row>
    <row r="2562" spans="5:5">
      <c r="E2562" t="e">
        <v>#VALUE!</v>
      </c>
    </row>
    <row r="2563" spans="5:5">
      <c r="E2563" t="e">
        <v>#VALUE!</v>
      </c>
    </row>
    <row r="2564" spans="5:5">
      <c r="E2564" t="e">
        <v>#VALUE!</v>
      </c>
    </row>
    <row r="2565" spans="5:5">
      <c r="E2565" t="e">
        <v>#VALUE!</v>
      </c>
    </row>
    <row r="2566" spans="5:5">
      <c r="E2566" t="e">
        <v>#VALUE!</v>
      </c>
    </row>
    <row r="2567" spans="5:5">
      <c r="E2567" t="e">
        <v>#VALUE!</v>
      </c>
    </row>
    <row r="2568" spans="5:5">
      <c r="E2568" t="e">
        <v>#VALUE!</v>
      </c>
    </row>
    <row r="2569" spans="5:5">
      <c r="E2569" t="e">
        <v>#VALUE!</v>
      </c>
    </row>
    <row r="2570" spans="5:5">
      <c r="E2570" t="e">
        <v>#VALUE!</v>
      </c>
    </row>
    <row r="2571" spans="5:5">
      <c r="E2571" t="e">
        <v>#VALUE!</v>
      </c>
    </row>
    <row r="2572" spans="5:5">
      <c r="E2572" t="e">
        <v>#VALUE!</v>
      </c>
    </row>
    <row r="2573" spans="5:5">
      <c r="E2573" t="e">
        <v>#VALUE!</v>
      </c>
    </row>
    <row r="2574" spans="5:5">
      <c r="E2574" t="e">
        <v>#VALUE!</v>
      </c>
    </row>
    <row r="2575" spans="5:5">
      <c r="E2575" t="e">
        <v>#VALUE!</v>
      </c>
    </row>
    <row r="2576" spans="5:5">
      <c r="E2576" t="e">
        <v>#VALUE!</v>
      </c>
    </row>
    <row r="2577" spans="5:5">
      <c r="E2577" t="e">
        <v>#VALUE!</v>
      </c>
    </row>
    <row r="2578" spans="5:5">
      <c r="E2578" t="e">
        <v>#VALUE!</v>
      </c>
    </row>
    <row r="2579" spans="5:5">
      <c r="E2579" t="e">
        <v>#VALUE!</v>
      </c>
    </row>
    <row r="2580" spans="5:5">
      <c r="E2580" t="e">
        <v>#VALUE!</v>
      </c>
    </row>
    <row r="2581" spans="5:5">
      <c r="E2581" t="e">
        <v>#VALUE!</v>
      </c>
    </row>
    <row r="2582" spans="5:5">
      <c r="E2582" t="e">
        <v>#VALUE!</v>
      </c>
    </row>
    <row r="2583" spans="5:5">
      <c r="E2583" t="e">
        <v>#VALUE!</v>
      </c>
    </row>
    <row r="2584" spans="5:5">
      <c r="E2584" t="e">
        <v>#VALUE!</v>
      </c>
    </row>
    <row r="2585" spans="5:5">
      <c r="E2585" t="e">
        <v>#VALUE!</v>
      </c>
    </row>
    <row r="2586" spans="5:5">
      <c r="E2586" t="e">
        <v>#VALUE!</v>
      </c>
    </row>
    <row r="2587" spans="5:5">
      <c r="E2587" t="e">
        <v>#VALUE!</v>
      </c>
    </row>
    <row r="2588" spans="5:5">
      <c r="E2588" t="e">
        <v>#VALUE!</v>
      </c>
    </row>
    <row r="2589" spans="5:5">
      <c r="E2589" t="e">
        <v>#VALUE!</v>
      </c>
    </row>
    <row r="2590" spans="5:5">
      <c r="E2590" t="e">
        <v>#VALUE!</v>
      </c>
    </row>
    <row r="2591" spans="5:5">
      <c r="E2591" t="e">
        <v>#VALUE!</v>
      </c>
    </row>
    <row r="2592" spans="5:5">
      <c r="E2592" t="e">
        <v>#VALUE!</v>
      </c>
    </row>
    <row r="2593" spans="5:5">
      <c r="E2593" t="e">
        <v>#VALUE!</v>
      </c>
    </row>
    <row r="2594" spans="5:5">
      <c r="E2594" t="e">
        <v>#VALUE!</v>
      </c>
    </row>
    <row r="2595" spans="5:5">
      <c r="E2595" t="e">
        <v>#VALUE!</v>
      </c>
    </row>
    <row r="2596" spans="5:5">
      <c r="E2596" t="e">
        <v>#VALUE!</v>
      </c>
    </row>
    <row r="2597" spans="5:5">
      <c r="E2597" t="e">
        <v>#VALUE!</v>
      </c>
    </row>
    <row r="2598" spans="5:5">
      <c r="E2598" t="e">
        <v>#VALUE!</v>
      </c>
    </row>
    <row r="2599" spans="5:5">
      <c r="E2599" t="e">
        <v>#VALUE!</v>
      </c>
    </row>
    <row r="2600" spans="5:5">
      <c r="E2600" t="e">
        <v>#VALUE!</v>
      </c>
    </row>
    <row r="2601" spans="5:5">
      <c r="E2601" t="e">
        <v>#VALUE!</v>
      </c>
    </row>
    <row r="2602" spans="5:5">
      <c r="E2602" t="e">
        <v>#VALUE!</v>
      </c>
    </row>
    <row r="2603" spans="5:5">
      <c r="E2603" t="e">
        <v>#VALUE!</v>
      </c>
    </row>
    <row r="2604" spans="5:5">
      <c r="E2604" t="e">
        <v>#VALUE!</v>
      </c>
    </row>
    <row r="2605" spans="5:5">
      <c r="E2605" t="e">
        <v>#VALUE!</v>
      </c>
    </row>
    <row r="2606" spans="5:5">
      <c r="E2606" t="e">
        <v>#VALUE!</v>
      </c>
    </row>
    <row r="2607" spans="5:5">
      <c r="E2607" t="e">
        <v>#VALUE!</v>
      </c>
    </row>
    <row r="2608" spans="5:5">
      <c r="E2608" t="e">
        <v>#VALUE!</v>
      </c>
    </row>
    <row r="2609" spans="5:5">
      <c r="E2609" t="e">
        <v>#VALUE!</v>
      </c>
    </row>
    <row r="2610" spans="5:5">
      <c r="E2610" t="e">
        <v>#VALUE!</v>
      </c>
    </row>
    <row r="2611" spans="5:5">
      <c r="E2611" t="e">
        <v>#VALUE!</v>
      </c>
    </row>
    <row r="2612" spans="5:5">
      <c r="E2612" t="e">
        <v>#VALUE!</v>
      </c>
    </row>
    <row r="2613" spans="5:5">
      <c r="E2613" t="e">
        <v>#VALUE!</v>
      </c>
    </row>
    <row r="2614" spans="5:5">
      <c r="E2614" t="e">
        <v>#VALUE!</v>
      </c>
    </row>
    <row r="2615" spans="5:5">
      <c r="E2615" t="e">
        <v>#VALUE!</v>
      </c>
    </row>
    <row r="2616" spans="5:5">
      <c r="E2616" t="e">
        <v>#VALUE!</v>
      </c>
    </row>
    <row r="2617" spans="5:5">
      <c r="E2617" t="e">
        <v>#VALUE!</v>
      </c>
    </row>
    <row r="2618" spans="5:5">
      <c r="E2618" t="e">
        <v>#VALUE!</v>
      </c>
    </row>
    <row r="2619" spans="5:5">
      <c r="E2619" t="e">
        <v>#VALUE!</v>
      </c>
    </row>
    <row r="2620" spans="5:5">
      <c r="E2620" t="e">
        <v>#VALUE!</v>
      </c>
    </row>
    <row r="2621" spans="5:5">
      <c r="E2621" t="e">
        <v>#VALUE!</v>
      </c>
    </row>
    <row r="2622" spans="5:5">
      <c r="E2622" t="e">
        <v>#VALUE!</v>
      </c>
    </row>
    <row r="2623" spans="5:5">
      <c r="E2623" t="e">
        <v>#VALUE!</v>
      </c>
    </row>
    <row r="2624" spans="5:5">
      <c r="E2624" t="e">
        <v>#VALUE!</v>
      </c>
    </row>
    <row r="2625" spans="5:5">
      <c r="E2625" t="e">
        <v>#VALUE!</v>
      </c>
    </row>
    <row r="2626" spans="5:5">
      <c r="E2626" t="e">
        <v>#VALUE!</v>
      </c>
    </row>
    <row r="2627" spans="5:5">
      <c r="E2627" t="e">
        <v>#VALUE!</v>
      </c>
    </row>
    <row r="2628" spans="5:5">
      <c r="E2628" t="e">
        <v>#VALUE!</v>
      </c>
    </row>
    <row r="2629" spans="5:5">
      <c r="E2629" t="e">
        <v>#VALUE!</v>
      </c>
    </row>
    <row r="2630" spans="5:5">
      <c r="E2630" t="e">
        <v>#VALUE!</v>
      </c>
    </row>
    <row r="2631" spans="5:5">
      <c r="E2631" t="e">
        <v>#VALUE!</v>
      </c>
    </row>
    <row r="2632" spans="5:5">
      <c r="E2632" t="e">
        <v>#VALUE!</v>
      </c>
    </row>
    <row r="2633" spans="5:5">
      <c r="E2633" t="e">
        <v>#VALUE!</v>
      </c>
    </row>
    <row r="2634" spans="5:5">
      <c r="E2634" t="e">
        <v>#VALUE!</v>
      </c>
    </row>
    <row r="2635" spans="5:5">
      <c r="E2635" t="e">
        <v>#VALUE!</v>
      </c>
    </row>
    <row r="2636" spans="5:5">
      <c r="E2636" t="e">
        <v>#VALUE!</v>
      </c>
    </row>
    <row r="2637" spans="5:5">
      <c r="E2637" t="e">
        <v>#VALUE!</v>
      </c>
    </row>
    <row r="2638" spans="5:5">
      <c r="E2638" t="e">
        <v>#VALUE!</v>
      </c>
    </row>
    <row r="2639" spans="5:5">
      <c r="E2639" t="e">
        <v>#VALUE!</v>
      </c>
    </row>
    <row r="2640" spans="5:5">
      <c r="E2640" t="e">
        <v>#VALUE!</v>
      </c>
    </row>
    <row r="2641" spans="5:5">
      <c r="E2641" t="e">
        <v>#VALUE!</v>
      </c>
    </row>
    <row r="2642" spans="5:5">
      <c r="E2642" t="e">
        <v>#VALUE!</v>
      </c>
    </row>
    <row r="2643" spans="5:5">
      <c r="E2643" t="e">
        <v>#VALUE!</v>
      </c>
    </row>
    <row r="2644" spans="5:5">
      <c r="E2644" t="e">
        <v>#VALUE!</v>
      </c>
    </row>
    <row r="2645" spans="5:5">
      <c r="E2645" t="e">
        <v>#VALUE!</v>
      </c>
    </row>
    <row r="2646" spans="5:5">
      <c r="E2646" t="e">
        <v>#VALUE!</v>
      </c>
    </row>
    <row r="2647" spans="5:5">
      <c r="E2647" t="e">
        <v>#VALUE!</v>
      </c>
    </row>
    <row r="2648" spans="5:5">
      <c r="E2648" t="e">
        <v>#VALUE!</v>
      </c>
    </row>
    <row r="2649" spans="5:5">
      <c r="E2649" t="e">
        <v>#VALUE!</v>
      </c>
    </row>
    <row r="2650" spans="5:5">
      <c r="E2650" t="e">
        <v>#VALUE!</v>
      </c>
    </row>
    <row r="2651" spans="5:5">
      <c r="E2651" t="e">
        <v>#VALUE!</v>
      </c>
    </row>
    <row r="2652" spans="5:5">
      <c r="E2652" t="e">
        <v>#VALUE!</v>
      </c>
    </row>
    <row r="2653" spans="5:5">
      <c r="E2653" t="e">
        <v>#VALUE!</v>
      </c>
    </row>
    <row r="2654" spans="5:5">
      <c r="E2654" t="e">
        <v>#VALUE!</v>
      </c>
    </row>
    <row r="2655" spans="5:5">
      <c r="E2655" t="e">
        <v>#VALUE!</v>
      </c>
    </row>
    <row r="2656" spans="5:5">
      <c r="E2656" t="e">
        <v>#VALUE!</v>
      </c>
    </row>
    <row r="2657" spans="5:5">
      <c r="E2657" t="e">
        <v>#VALUE!</v>
      </c>
    </row>
    <row r="2658" spans="5:5">
      <c r="E2658" t="e">
        <v>#VALUE!</v>
      </c>
    </row>
    <row r="2659" spans="5:5">
      <c r="E2659" t="e">
        <v>#VALUE!</v>
      </c>
    </row>
    <row r="2660" spans="5:5">
      <c r="E2660" t="e">
        <v>#VALUE!</v>
      </c>
    </row>
    <row r="2661" spans="5:5">
      <c r="E2661" t="e">
        <v>#VALUE!</v>
      </c>
    </row>
    <row r="2662" spans="5:5">
      <c r="E2662" t="e">
        <v>#VALUE!</v>
      </c>
    </row>
    <row r="2663" spans="5:5">
      <c r="E2663" t="e">
        <v>#VALUE!</v>
      </c>
    </row>
    <row r="2664" spans="5:5">
      <c r="E2664" t="e">
        <v>#VALUE!</v>
      </c>
    </row>
    <row r="2665" spans="5:5">
      <c r="E2665" t="e">
        <v>#VALUE!</v>
      </c>
    </row>
    <row r="2666" spans="5:5">
      <c r="E2666" t="e">
        <v>#VALUE!</v>
      </c>
    </row>
    <row r="2667" spans="5:5">
      <c r="E2667" t="e">
        <v>#VALUE!</v>
      </c>
    </row>
    <row r="2668" spans="5:5">
      <c r="E2668" t="e">
        <v>#VALUE!</v>
      </c>
    </row>
    <row r="2669" spans="5:5">
      <c r="E2669" t="e">
        <v>#VALUE!</v>
      </c>
    </row>
    <row r="2670" spans="5:5">
      <c r="E2670" t="e">
        <v>#VALUE!</v>
      </c>
    </row>
    <row r="2671" spans="5:5">
      <c r="E2671" t="e">
        <v>#VALUE!</v>
      </c>
    </row>
    <row r="2672" spans="5:5">
      <c r="E2672" t="e">
        <v>#VALUE!</v>
      </c>
    </row>
    <row r="2673" spans="5:5">
      <c r="E2673" t="e">
        <v>#VALUE!</v>
      </c>
    </row>
    <row r="2674" spans="5:5">
      <c r="E2674" t="e">
        <v>#VALUE!</v>
      </c>
    </row>
    <row r="2675" spans="5:5">
      <c r="E2675" t="e">
        <v>#VALUE!</v>
      </c>
    </row>
    <row r="2676" spans="5:5">
      <c r="E2676" t="e">
        <v>#VALUE!</v>
      </c>
    </row>
    <row r="2677" spans="5:5">
      <c r="E2677" t="e">
        <v>#VALUE!</v>
      </c>
    </row>
    <row r="2678" spans="5:5">
      <c r="E2678" t="e">
        <v>#VALUE!</v>
      </c>
    </row>
    <row r="2679" spans="5:5">
      <c r="E2679" t="e">
        <v>#VALUE!</v>
      </c>
    </row>
    <row r="2680" spans="5:5">
      <c r="E2680" t="e">
        <v>#VALUE!</v>
      </c>
    </row>
    <row r="2681" spans="5:5">
      <c r="E2681" t="e">
        <v>#VALUE!</v>
      </c>
    </row>
    <row r="2682" spans="5:5">
      <c r="E2682" t="e">
        <v>#VALUE!</v>
      </c>
    </row>
    <row r="2683" spans="5:5">
      <c r="E2683" t="e">
        <v>#VALUE!</v>
      </c>
    </row>
    <row r="2684" spans="5:5">
      <c r="E2684" t="e">
        <v>#VALUE!</v>
      </c>
    </row>
    <row r="2685" spans="5:5">
      <c r="E2685" t="e">
        <v>#VALUE!</v>
      </c>
    </row>
    <row r="2686" spans="5:5">
      <c r="E2686" t="e">
        <v>#VALUE!</v>
      </c>
    </row>
    <row r="2687" spans="5:5">
      <c r="E2687" t="e">
        <v>#VALUE!</v>
      </c>
    </row>
    <row r="2688" spans="5:5">
      <c r="E2688" t="e">
        <v>#VALUE!</v>
      </c>
    </row>
    <row r="2689" spans="5:5">
      <c r="E2689" t="e">
        <v>#VALUE!</v>
      </c>
    </row>
    <row r="2690" spans="5:5">
      <c r="E2690" t="e">
        <v>#VALUE!</v>
      </c>
    </row>
    <row r="2691" spans="5:5">
      <c r="E2691" t="e">
        <v>#VALUE!</v>
      </c>
    </row>
    <row r="2692" spans="5:5">
      <c r="E2692" t="e">
        <v>#VALUE!</v>
      </c>
    </row>
    <row r="2693" spans="5:5">
      <c r="E2693" t="e">
        <v>#VALUE!</v>
      </c>
    </row>
    <row r="2694" spans="5:5">
      <c r="E2694" t="e">
        <v>#VALUE!</v>
      </c>
    </row>
    <row r="2695" spans="5:5">
      <c r="E2695" t="e">
        <v>#VALUE!</v>
      </c>
    </row>
    <row r="2696" spans="5:5">
      <c r="E2696" t="e">
        <v>#VALUE!</v>
      </c>
    </row>
    <row r="2697" spans="5:5">
      <c r="E2697" t="e">
        <v>#VALUE!</v>
      </c>
    </row>
    <row r="2698" spans="5:5">
      <c r="E2698" t="e">
        <v>#VALUE!</v>
      </c>
    </row>
    <row r="2699" spans="5:5">
      <c r="E2699" t="e">
        <v>#VALUE!</v>
      </c>
    </row>
    <row r="2700" spans="5:5">
      <c r="E2700" t="e">
        <v>#VALUE!</v>
      </c>
    </row>
    <row r="2701" spans="5:5">
      <c r="E2701" t="e">
        <v>#VALUE!</v>
      </c>
    </row>
    <row r="2702" spans="5:5">
      <c r="E2702" t="e">
        <v>#VALUE!</v>
      </c>
    </row>
    <row r="2703" spans="5:5">
      <c r="E2703" t="e">
        <v>#VALUE!</v>
      </c>
    </row>
    <row r="2704" spans="5:5">
      <c r="E2704" t="e">
        <v>#VALUE!</v>
      </c>
    </row>
    <row r="2705" spans="5:5">
      <c r="E2705" t="e">
        <v>#VALUE!</v>
      </c>
    </row>
    <row r="2706" spans="5:5">
      <c r="E2706" t="e">
        <v>#VALUE!</v>
      </c>
    </row>
    <row r="2707" spans="5:5">
      <c r="E2707" t="e">
        <v>#VALUE!</v>
      </c>
    </row>
    <row r="2708" spans="5:5">
      <c r="E2708" t="e">
        <v>#VALUE!</v>
      </c>
    </row>
    <row r="2709" spans="5:5">
      <c r="E2709" t="e">
        <v>#VALUE!</v>
      </c>
    </row>
    <row r="2710" spans="5:5">
      <c r="E2710" t="e">
        <v>#VALUE!</v>
      </c>
    </row>
    <row r="2711" spans="5:5">
      <c r="E2711" t="e">
        <v>#VALUE!</v>
      </c>
    </row>
    <row r="2712" spans="5:5">
      <c r="E2712" t="e">
        <v>#VALUE!</v>
      </c>
    </row>
    <row r="2713" spans="5:5">
      <c r="E2713" t="e">
        <v>#VALUE!</v>
      </c>
    </row>
    <row r="2714" spans="5:5">
      <c r="E2714" t="e">
        <v>#VALUE!</v>
      </c>
    </row>
    <row r="2715" spans="5:5">
      <c r="E2715" t="e">
        <v>#VALUE!</v>
      </c>
    </row>
    <row r="2716" spans="5:5">
      <c r="E2716" t="e">
        <v>#VALUE!</v>
      </c>
    </row>
    <row r="2717" spans="5:5">
      <c r="E2717" t="e">
        <v>#VALUE!</v>
      </c>
    </row>
    <row r="2718" spans="5:5">
      <c r="E2718" t="e">
        <v>#VALUE!</v>
      </c>
    </row>
    <row r="2719" spans="5:5">
      <c r="E2719" t="e">
        <v>#VALUE!</v>
      </c>
    </row>
    <row r="2720" spans="5:5">
      <c r="E2720" t="e">
        <v>#VALUE!</v>
      </c>
    </row>
    <row r="2721" spans="5:5">
      <c r="E2721" t="e">
        <v>#VALUE!</v>
      </c>
    </row>
    <row r="2722" spans="5:5">
      <c r="E2722" t="e">
        <v>#VALUE!</v>
      </c>
    </row>
    <row r="2723" spans="5:5">
      <c r="E2723" t="e">
        <v>#VALUE!</v>
      </c>
    </row>
    <row r="2724" spans="5:5">
      <c r="E2724" t="e">
        <v>#VALUE!</v>
      </c>
    </row>
    <row r="2725" spans="5:5">
      <c r="E2725" t="e">
        <v>#VALUE!</v>
      </c>
    </row>
    <row r="2726" spans="5:5">
      <c r="E2726" t="e">
        <v>#VALUE!</v>
      </c>
    </row>
    <row r="2727" spans="5:5">
      <c r="E2727" t="e">
        <v>#VALUE!</v>
      </c>
    </row>
    <row r="2728" spans="5:5">
      <c r="E2728" t="e">
        <v>#VALUE!</v>
      </c>
    </row>
    <row r="2729" spans="5:5">
      <c r="E2729" t="e">
        <v>#VALUE!</v>
      </c>
    </row>
    <row r="2730" spans="5:5">
      <c r="E2730" t="e">
        <v>#VALUE!</v>
      </c>
    </row>
    <row r="2731" spans="5:5">
      <c r="E2731" t="e">
        <v>#VALUE!</v>
      </c>
    </row>
    <row r="2732" spans="5:5">
      <c r="E2732" t="e">
        <v>#VALUE!</v>
      </c>
    </row>
    <row r="2733" spans="5:5">
      <c r="E2733" t="e">
        <v>#VALUE!</v>
      </c>
    </row>
    <row r="2734" spans="5:5">
      <c r="E2734" t="e">
        <v>#VALUE!</v>
      </c>
    </row>
    <row r="2735" spans="5:5">
      <c r="E2735" t="e">
        <v>#VALUE!</v>
      </c>
    </row>
    <row r="2736" spans="5:5">
      <c r="E2736" t="e">
        <v>#VALUE!</v>
      </c>
    </row>
    <row r="2737" spans="5:5">
      <c r="E2737" t="e">
        <v>#VALUE!</v>
      </c>
    </row>
    <row r="2738" spans="5:5">
      <c r="E2738" t="e">
        <v>#VALUE!</v>
      </c>
    </row>
    <row r="2739" spans="5:5">
      <c r="E2739" t="e">
        <v>#VALUE!</v>
      </c>
    </row>
    <row r="2740" spans="5:5">
      <c r="E2740" t="e">
        <v>#VALUE!</v>
      </c>
    </row>
    <row r="2741" spans="5:5">
      <c r="E2741" t="e">
        <v>#VALUE!</v>
      </c>
    </row>
    <row r="2742" spans="5:5">
      <c r="E2742" t="e">
        <v>#VALUE!</v>
      </c>
    </row>
    <row r="2743" spans="5:5">
      <c r="E2743" t="e">
        <v>#VALUE!</v>
      </c>
    </row>
    <row r="2744" spans="5:5">
      <c r="E2744" t="e">
        <v>#VALUE!</v>
      </c>
    </row>
    <row r="2745" spans="5:5">
      <c r="E2745" t="e">
        <v>#VALUE!</v>
      </c>
    </row>
    <row r="2746" spans="5:5">
      <c r="E2746" t="e">
        <v>#VALUE!</v>
      </c>
    </row>
    <row r="2747" spans="5:5">
      <c r="E2747" t="e">
        <v>#VALUE!</v>
      </c>
    </row>
    <row r="2748" spans="5:5">
      <c r="E2748" t="e">
        <v>#VALUE!</v>
      </c>
    </row>
    <row r="2749" spans="5:5">
      <c r="E2749" t="e">
        <v>#VALUE!</v>
      </c>
    </row>
    <row r="2750" spans="5:5">
      <c r="E2750" t="e">
        <v>#VALUE!</v>
      </c>
    </row>
    <row r="2751" spans="5:5">
      <c r="E2751" t="e">
        <v>#VALUE!</v>
      </c>
    </row>
    <row r="2752" spans="5:5">
      <c r="E2752" t="e">
        <v>#VALUE!</v>
      </c>
    </row>
    <row r="2753" spans="5:5">
      <c r="E2753" t="e">
        <v>#VALUE!</v>
      </c>
    </row>
    <row r="2754" spans="5:5">
      <c r="E2754" t="e">
        <v>#VALUE!</v>
      </c>
    </row>
    <row r="2755" spans="5:5">
      <c r="E2755" t="e">
        <v>#VALUE!</v>
      </c>
    </row>
    <row r="2756" spans="5:5">
      <c r="E2756" t="e">
        <v>#VALUE!</v>
      </c>
    </row>
    <row r="2757" spans="5:5">
      <c r="E2757" t="e">
        <v>#VALUE!</v>
      </c>
    </row>
    <row r="2758" spans="5:5">
      <c r="E2758" t="e">
        <v>#VALUE!</v>
      </c>
    </row>
    <row r="2759" spans="5:5">
      <c r="E2759" t="e">
        <v>#VALUE!</v>
      </c>
    </row>
    <row r="2760" spans="5:5">
      <c r="E2760" t="e">
        <v>#VALUE!</v>
      </c>
    </row>
    <row r="2761" spans="5:5">
      <c r="E2761" t="e">
        <v>#VALUE!</v>
      </c>
    </row>
    <row r="2762" spans="5:5">
      <c r="E2762" t="e">
        <v>#VALUE!</v>
      </c>
    </row>
    <row r="2763" spans="5:5">
      <c r="E2763" t="e">
        <v>#VALUE!</v>
      </c>
    </row>
    <row r="2764" spans="5:5">
      <c r="E2764" t="e">
        <v>#VALUE!</v>
      </c>
    </row>
    <row r="2765" spans="5:5">
      <c r="E2765" t="e">
        <v>#VALUE!</v>
      </c>
    </row>
    <row r="2766" spans="5:5">
      <c r="E2766" t="e">
        <v>#VALUE!</v>
      </c>
    </row>
    <row r="2767" spans="5:5">
      <c r="E2767" t="e">
        <v>#VALUE!</v>
      </c>
    </row>
    <row r="2768" spans="5:5">
      <c r="E2768" t="e">
        <v>#VALUE!</v>
      </c>
    </row>
    <row r="2769" spans="5:5">
      <c r="E2769" t="e">
        <v>#VALUE!</v>
      </c>
    </row>
    <row r="2770" spans="5:5">
      <c r="E2770" t="e">
        <v>#VALUE!</v>
      </c>
    </row>
    <row r="2771" spans="5:5">
      <c r="E2771" t="e">
        <v>#VALUE!</v>
      </c>
    </row>
    <row r="2772" spans="5:5">
      <c r="E2772" t="e">
        <v>#VALUE!</v>
      </c>
    </row>
    <row r="2773" spans="5:5">
      <c r="E2773" t="e">
        <v>#VALUE!</v>
      </c>
    </row>
    <row r="2774" spans="5:5">
      <c r="E2774" t="e">
        <v>#VALUE!</v>
      </c>
    </row>
    <row r="2775" spans="5:5">
      <c r="E2775" t="e">
        <v>#VALUE!</v>
      </c>
    </row>
    <row r="2776" spans="5:5">
      <c r="E2776" t="e">
        <v>#VALUE!</v>
      </c>
    </row>
    <row r="2777" spans="5:5">
      <c r="E2777" t="e">
        <v>#VALUE!</v>
      </c>
    </row>
    <row r="2778" spans="5:5">
      <c r="E2778" t="e">
        <v>#VALUE!</v>
      </c>
    </row>
    <row r="2779" spans="5:5">
      <c r="E2779" t="e">
        <v>#VALUE!</v>
      </c>
    </row>
    <row r="2780" spans="5:5">
      <c r="E2780" t="e">
        <v>#VALUE!</v>
      </c>
    </row>
    <row r="2781" spans="5:5">
      <c r="E2781" t="e">
        <v>#VALUE!</v>
      </c>
    </row>
    <row r="2782" spans="5:5">
      <c r="E2782" t="e">
        <v>#VALUE!</v>
      </c>
    </row>
    <row r="2783" spans="5:5">
      <c r="E2783" t="e">
        <v>#VALUE!</v>
      </c>
    </row>
    <row r="2784" spans="5:5">
      <c r="E2784" t="e">
        <v>#VALUE!</v>
      </c>
    </row>
    <row r="2785" spans="5:5">
      <c r="E2785" t="e">
        <v>#VALUE!</v>
      </c>
    </row>
    <row r="2786" spans="5:5">
      <c r="E2786" t="e">
        <v>#VALUE!</v>
      </c>
    </row>
    <row r="2787" spans="5:5">
      <c r="E2787" t="e">
        <v>#VALUE!</v>
      </c>
    </row>
    <row r="2788" spans="5:5">
      <c r="E2788" t="e">
        <v>#VALUE!</v>
      </c>
    </row>
    <row r="2789" spans="5:5">
      <c r="E2789" t="e">
        <v>#VALUE!</v>
      </c>
    </row>
    <row r="2790" spans="5:5">
      <c r="E2790" t="e">
        <v>#VALUE!</v>
      </c>
    </row>
    <row r="2791" spans="5:5">
      <c r="E2791" t="e">
        <v>#VALUE!</v>
      </c>
    </row>
    <row r="2792" spans="5:5">
      <c r="E2792" t="e">
        <v>#VALUE!</v>
      </c>
    </row>
    <row r="2793" spans="5:5">
      <c r="E2793" t="e">
        <v>#VALUE!</v>
      </c>
    </row>
    <row r="2794" spans="5:5">
      <c r="E2794" t="e">
        <v>#VALUE!</v>
      </c>
    </row>
    <row r="2795" spans="5:5">
      <c r="E2795" t="e">
        <v>#VALUE!</v>
      </c>
    </row>
    <row r="2796" spans="5:5">
      <c r="E2796" t="e">
        <v>#VALUE!</v>
      </c>
    </row>
    <row r="2797" spans="5:5">
      <c r="E2797" t="e">
        <v>#VALUE!</v>
      </c>
    </row>
    <row r="2798" spans="5:5">
      <c r="E2798" t="e">
        <v>#VALUE!</v>
      </c>
    </row>
    <row r="2799" spans="5:5">
      <c r="E2799" t="e">
        <v>#VALUE!</v>
      </c>
    </row>
    <row r="2800" spans="5:5">
      <c r="E2800" t="e">
        <v>#VALUE!</v>
      </c>
    </row>
    <row r="2801" spans="5:5">
      <c r="E2801" t="e">
        <v>#VALUE!</v>
      </c>
    </row>
    <row r="2802" spans="5:5">
      <c r="E2802" t="e">
        <v>#VALUE!</v>
      </c>
    </row>
    <row r="2803" spans="5:5">
      <c r="E2803" t="e">
        <v>#VALUE!</v>
      </c>
    </row>
    <row r="2804" spans="5:5">
      <c r="E2804" t="e">
        <v>#VALUE!</v>
      </c>
    </row>
    <row r="2805" spans="5:5">
      <c r="E2805" t="e">
        <v>#VALUE!</v>
      </c>
    </row>
    <row r="2806" spans="5:5">
      <c r="E2806" t="e">
        <v>#VALUE!</v>
      </c>
    </row>
    <row r="2807" spans="5:5">
      <c r="E2807" t="e">
        <v>#VALUE!</v>
      </c>
    </row>
    <row r="2808" spans="5:5">
      <c r="E2808" t="e">
        <v>#VALUE!</v>
      </c>
    </row>
    <row r="2809" spans="5:5">
      <c r="E2809" t="e">
        <v>#VALUE!</v>
      </c>
    </row>
    <row r="2810" spans="5:5">
      <c r="E2810" t="e">
        <v>#VALUE!</v>
      </c>
    </row>
    <row r="2811" spans="5:5">
      <c r="E2811" t="e">
        <v>#VALUE!</v>
      </c>
    </row>
    <row r="2812" spans="5:5">
      <c r="E2812" t="e">
        <v>#VALUE!</v>
      </c>
    </row>
    <row r="2813" spans="5:5">
      <c r="E2813" t="e">
        <v>#VALUE!</v>
      </c>
    </row>
    <row r="2814" spans="5:5">
      <c r="E2814" t="e">
        <v>#VALUE!</v>
      </c>
    </row>
    <row r="2815" spans="5:5">
      <c r="E2815" t="e">
        <v>#VALUE!</v>
      </c>
    </row>
    <row r="2816" spans="5:5">
      <c r="E2816" t="e">
        <v>#VALUE!</v>
      </c>
    </row>
    <row r="2817" spans="5:5">
      <c r="E2817" t="e">
        <v>#VALUE!</v>
      </c>
    </row>
    <row r="2818" spans="5:5">
      <c r="E2818" t="e">
        <v>#VALUE!</v>
      </c>
    </row>
    <row r="2819" spans="5:5">
      <c r="E2819" t="e">
        <v>#VALUE!</v>
      </c>
    </row>
    <row r="2820" spans="5:5">
      <c r="E2820" t="e">
        <v>#VALUE!</v>
      </c>
    </row>
    <row r="2821" spans="5:5">
      <c r="E2821" t="e">
        <v>#VALUE!</v>
      </c>
    </row>
    <row r="2822" spans="5:5">
      <c r="E2822" t="e">
        <v>#VALUE!</v>
      </c>
    </row>
    <row r="2823" spans="5:5">
      <c r="E2823" t="e">
        <v>#VALUE!</v>
      </c>
    </row>
    <row r="2824" spans="5:5">
      <c r="E2824" t="e">
        <v>#VALUE!</v>
      </c>
    </row>
    <row r="2825" spans="5:5">
      <c r="E2825" t="e">
        <v>#VALUE!</v>
      </c>
    </row>
    <row r="2826" spans="5:5">
      <c r="E2826" t="e">
        <v>#VALUE!</v>
      </c>
    </row>
    <row r="2827" spans="5:5">
      <c r="E2827" t="e">
        <v>#VALUE!</v>
      </c>
    </row>
    <row r="2828" spans="5:5">
      <c r="E2828" t="e">
        <v>#VALUE!</v>
      </c>
    </row>
    <row r="2829" spans="5:5">
      <c r="E2829" t="e">
        <v>#VALUE!</v>
      </c>
    </row>
    <row r="2830" spans="5:5">
      <c r="E2830" t="e">
        <v>#VALUE!</v>
      </c>
    </row>
    <row r="2831" spans="5:5">
      <c r="E2831" t="e">
        <v>#VALUE!</v>
      </c>
    </row>
    <row r="2832" spans="5:5">
      <c r="E2832" t="e">
        <v>#VALUE!</v>
      </c>
    </row>
    <row r="2833" spans="5:5">
      <c r="E2833" t="e">
        <v>#VALUE!</v>
      </c>
    </row>
    <row r="2834" spans="5:5">
      <c r="E2834" t="e">
        <v>#VALUE!</v>
      </c>
    </row>
    <row r="2835" spans="5:5">
      <c r="E2835" t="e">
        <v>#VALUE!</v>
      </c>
    </row>
    <row r="2836" spans="5:5">
      <c r="E2836" t="e">
        <v>#VALUE!</v>
      </c>
    </row>
    <row r="2837" spans="5:5">
      <c r="E2837" t="e">
        <v>#VALUE!</v>
      </c>
    </row>
    <row r="2838" spans="5:5">
      <c r="E2838" t="e">
        <v>#VALUE!</v>
      </c>
    </row>
    <row r="2839" spans="5:5">
      <c r="E2839" t="e">
        <v>#VALUE!</v>
      </c>
    </row>
    <row r="2840" spans="5:5">
      <c r="E2840" t="e">
        <v>#VALUE!</v>
      </c>
    </row>
    <row r="2841" spans="5:5">
      <c r="E2841" t="e">
        <v>#VALUE!</v>
      </c>
    </row>
    <row r="2842" spans="5:5">
      <c r="E2842" t="e">
        <v>#VALUE!</v>
      </c>
    </row>
    <row r="2843" spans="5:5">
      <c r="E2843" t="e">
        <v>#VALUE!</v>
      </c>
    </row>
    <row r="2844" spans="5:5">
      <c r="E2844" t="e">
        <v>#VALUE!</v>
      </c>
    </row>
    <row r="2845" spans="5:5">
      <c r="E2845" t="e">
        <v>#VALUE!</v>
      </c>
    </row>
    <row r="2846" spans="5:5">
      <c r="E2846" t="e">
        <v>#VALUE!</v>
      </c>
    </row>
    <row r="2847" spans="5:5">
      <c r="E2847" t="e">
        <v>#VALUE!</v>
      </c>
    </row>
    <row r="2848" spans="5:5">
      <c r="E2848" t="e">
        <v>#VALUE!</v>
      </c>
    </row>
    <row r="2849" spans="5:5">
      <c r="E2849" t="e">
        <v>#VALUE!</v>
      </c>
    </row>
    <row r="2850" spans="5:5">
      <c r="E2850" t="e">
        <v>#VALUE!</v>
      </c>
    </row>
    <row r="2851" spans="5:5">
      <c r="E2851" t="e">
        <v>#VALUE!</v>
      </c>
    </row>
    <row r="2852" spans="5:5">
      <c r="E2852" t="e">
        <v>#VALUE!</v>
      </c>
    </row>
    <row r="2853" spans="5:5">
      <c r="E2853" t="e">
        <v>#VALUE!</v>
      </c>
    </row>
    <row r="2854" spans="5:5">
      <c r="E2854" t="e">
        <v>#VALUE!</v>
      </c>
    </row>
    <row r="2855" spans="5:5">
      <c r="E2855" t="e">
        <v>#VALUE!</v>
      </c>
    </row>
    <row r="2856" spans="5:5">
      <c r="E2856" t="e">
        <v>#VALUE!</v>
      </c>
    </row>
    <row r="2857" spans="5:5">
      <c r="E2857" t="e">
        <v>#VALUE!</v>
      </c>
    </row>
    <row r="2858" spans="5:5">
      <c r="E2858" t="e">
        <v>#VALUE!</v>
      </c>
    </row>
    <row r="2859" spans="5:5">
      <c r="E2859" t="e">
        <v>#VALUE!</v>
      </c>
    </row>
    <row r="2860" spans="5:5">
      <c r="E2860" t="e">
        <v>#VALUE!</v>
      </c>
    </row>
    <row r="2861" spans="5:5">
      <c r="E2861" t="e">
        <v>#VALUE!</v>
      </c>
    </row>
    <row r="2862" spans="5:5">
      <c r="E2862" t="e">
        <v>#VALUE!</v>
      </c>
    </row>
    <row r="2863" spans="5:5">
      <c r="E2863" t="e">
        <v>#VALUE!</v>
      </c>
    </row>
    <row r="2864" spans="5:5">
      <c r="E2864" t="e">
        <v>#VALUE!</v>
      </c>
    </row>
    <row r="2865" spans="5:5">
      <c r="E2865" t="e">
        <v>#VALUE!</v>
      </c>
    </row>
    <row r="2866" spans="5:5">
      <c r="E2866" t="e">
        <v>#VALUE!</v>
      </c>
    </row>
    <row r="2867" spans="5:5">
      <c r="E2867" t="e">
        <v>#VALUE!</v>
      </c>
    </row>
    <row r="2868" spans="5:5">
      <c r="E2868" t="e">
        <v>#VALUE!</v>
      </c>
    </row>
    <row r="2869" spans="5:5">
      <c r="E2869" t="e">
        <v>#VALUE!</v>
      </c>
    </row>
    <row r="2870" spans="5:5">
      <c r="E2870" t="e">
        <v>#VALUE!</v>
      </c>
    </row>
    <row r="2871" spans="5:5">
      <c r="E2871" t="e">
        <v>#VALUE!</v>
      </c>
    </row>
    <row r="2872" spans="5:5">
      <c r="E2872" t="e">
        <v>#VALUE!</v>
      </c>
    </row>
    <row r="2873" spans="5:5">
      <c r="E2873" t="e">
        <v>#VALUE!</v>
      </c>
    </row>
    <row r="2874" spans="5:5">
      <c r="E2874" t="e">
        <v>#VALUE!</v>
      </c>
    </row>
    <row r="2875" spans="5:5">
      <c r="E2875" t="e">
        <v>#VALUE!</v>
      </c>
    </row>
    <row r="2876" spans="5:5">
      <c r="E2876" t="e">
        <v>#VALUE!</v>
      </c>
    </row>
    <row r="2877" spans="5:5">
      <c r="E2877" t="e">
        <v>#VALUE!</v>
      </c>
    </row>
    <row r="2878" spans="5:5">
      <c r="E2878" t="e">
        <v>#VALUE!</v>
      </c>
    </row>
    <row r="2879" spans="5:5">
      <c r="E2879" t="e">
        <v>#VALUE!</v>
      </c>
    </row>
    <row r="2880" spans="5:5">
      <c r="E2880" t="e">
        <v>#VALUE!</v>
      </c>
    </row>
    <row r="2881" spans="5:5">
      <c r="E2881" t="e">
        <v>#VALUE!</v>
      </c>
    </row>
    <row r="2882" spans="5:5">
      <c r="E2882" t="e">
        <v>#VALUE!</v>
      </c>
    </row>
    <row r="2883" spans="5:5">
      <c r="E2883" t="e">
        <v>#VALUE!</v>
      </c>
    </row>
    <row r="2884" spans="5:5">
      <c r="E2884" t="e">
        <v>#VALUE!</v>
      </c>
    </row>
    <row r="2885" spans="5:5">
      <c r="E2885" t="e">
        <v>#VALUE!</v>
      </c>
    </row>
    <row r="2886" spans="5:5">
      <c r="E2886" t="e">
        <v>#VALUE!</v>
      </c>
    </row>
    <row r="2887" spans="5:5">
      <c r="E2887" t="e">
        <v>#VALUE!</v>
      </c>
    </row>
    <row r="2888" spans="5:5">
      <c r="E2888" t="e">
        <v>#VALUE!</v>
      </c>
    </row>
    <row r="2889" spans="5:5">
      <c r="E2889" t="e">
        <v>#VALUE!</v>
      </c>
    </row>
    <row r="2890" spans="5:5">
      <c r="E2890" t="e">
        <v>#VALUE!</v>
      </c>
    </row>
    <row r="2891" spans="5:5">
      <c r="E2891" t="e">
        <v>#VALUE!</v>
      </c>
    </row>
    <row r="2892" spans="5:5">
      <c r="E2892" t="e">
        <v>#VALUE!</v>
      </c>
    </row>
    <row r="2893" spans="5:5">
      <c r="E2893" t="e">
        <v>#VALUE!</v>
      </c>
    </row>
    <row r="2894" spans="5:5">
      <c r="E2894" t="e">
        <v>#VALUE!</v>
      </c>
    </row>
    <row r="2895" spans="5:5">
      <c r="E2895" t="e">
        <v>#VALUE!</v>
      </c>
    </row>
    <row r="2896" spans="5:5">
      <c r="E2896" t="e">
        <v>#VALUE!</v>
      </c>
    </row>
    <row r="2897" spans="5:5">
      <c r="E2897" t="e">
        <v>#VALUE!</v>
      </c>
    </row>
    <row r="2898" spans="5:5">
      <c r="E2898" t="e">
        <v>#VALUE!</v>
      </c>
    </row>
    <row r="2899" spans="5:5">
      <c r="E2899" t="e">
        <v>#VALUE!</v>
      </c>
    </row>
    <row r="2900" spans="5:5">
      <c r="E2900" t="e">
        <v>#VALUE!</v>
      </c>
    </row>
    <row r="2901" spans="5:5">
      <c r="E2901" t="e">
        <v>#VALUE!</v>
      </c>
    </row>
    <row r="2902" spans="5:5">
      <c r="E2902" t="e">
        <v>#VALUE!</v>
      </c>
    </row>
    <row r="2903" spans="5:5">
      <c r="E2903" t="e">
        <v>#VALUE!</v>
      </c>
    </row>
    <row r="2904" spans="5:5">
      <c r="E2904" t="e">
        <v>#VALUE!</v>
      </c>
    </row>
    <row r="2905" spans="5:5">
      <c r="E2905" t="e">
        <v>#VALUE!</v>
      </c>
    </row>
    <row r="2906" spans="5:5">
      <c r="E2906" t="e">
        <v>#VALUE!</v>
      </c>
    </row>
    <row r="2907" spans="5:5">
      <c r="E2907" t="e">
        <v>#VALUE!</v>
      </c>
    </row>
    <row r="2908" spans="5:5">
      <c r="E2908" t="e">
        <v>#VALUE!</v>
      </c>
    </row>
    <row r="2909" spans="5:5">
      <c r="E2909" t="e">
        <v>#VALUE!</v>
      </c>
    </row>
    <row r="2910" spans="5:5">
      <c r="E2910" t="e">
        <v>#VALUE!</v>
      </c>
    </row>
    <row r="2911" spans="5:5">
      <c r="E2911" t="e">
        <v>#VALUE!</v>
      </c>
    </row>
    <row r="2912" spans="5:5">
      <c r="E2912" t="e">
        <v>#VALUE!</v>
      </c>
    </row>
    <row r="2913" spans="5:5">
      <c r="E2913" t="e">
        <v>#VALUE!</v>
      </c>
    </row>
    <row r="2914" spans="5:5">
      <c r="E2914" t="e">
        <v>#VALUE!</v>
      </c>
    </row>
    <row r="2915" spans="5:5">
      <c r="E2915" t="e">
        <v>#VALUE!</v>
      </c>
    </row>
    <row r="2916" spans="5:5">
      <c r="E2916" t="e">
        <v>#VALUE!</v>
      </c>
    </row>
    <row r="2917" spans="5:5">
      <c r="E2917" t="e">
        <v>#VALUE!</v>
      </c>
    </row>
    <row r="2918" spans="5:5">
      <c r="E2918" t="e">
        <v>#VALUE!</v>
      </c>
    </row>
    <row r="2919" spans="5:5">
      <c r="E2919" t="e">
        <v>#VALUE!</v>
      </c>
    </row>
    <row r="2920" spans="5:5">
      <c r="E2920" t="e">
        <v>#VALUE!</v>
      </c>
    </row>
    <row r="2921" spans="5:5">
      <c r="E2921" t="e">
        <v>#VALUE!</v>
      </c>
    </row>
    <row r="2922" spans="5:5">
      <c r="E2922" t="e">
        <v>#VALUE!</v>
      </c>
    </row>
    <row r="2923" spans="5:5">
      <c r="E2923" t="e">
        <v>#VALUE!</v>
      </c>
    </row>
    <row r="2924" spans="5:5">
      <c r="E2924" t="e">
        <v>#VALUE!</v>
      </c>
    </row>
    <row r="2925" spans="5:5">
      <c r="E2925" t="e">
        <v>#VALUE!</v>
      </c>
    </row>
    <row r="2926" spans="5:5">
      <c r="E2926" t="e">
        <v>#VALUE!</v>
      </c>
    </row>
    <row r="2927" spans="5:5">
      <c r="E2927" t="e">
        <v>#VALUE!</v>
      </c>
    </row>
    <row r="2928" spans="5:5">
      <c r="E2928" t="e">
        <v>#VALUE!</v>
      </c>
    </row>
    <row r="2929" spans="5:5">
      <c r="E2929" t="e">
        <v>#VALUE!</v>
      </c>
    </row>
    <row r="2930" spans="5:5">
      <c r="E2930" t="e">
        <v>#VALUE!</v>
      </c>
    </row>
    <row r="2931" spans="5:5">
      <c r="E2931" t="e">
        <v>#VALUE!</v>
      </c>
    </row>
    <row r="2932" spans="5:5">
      <c r="E2932" t="e">
        <v>#VALUE!</v>
      </c>
    </row>
    <row r="2933" spans="5:5">
      <c r="E2933" t="e">
        <v>#VALUE!</v>
      </c>
    </row>
    <row r="2934" spans="5:5">
      <c r="E2934" t="e">
        <v>#VALUE!</v>
      </c>
    </row>
    <row r="2935" spans="5:5">
      <c r="E2935" t="e">
        <v>#VALUE!</v>
      </c>
    </row>
    <row r="2936" spans="5:5">
      <c r="E2936" t="e">
        <v>#VALUE!</v>
      </c>
    </row>
    <row r="2937" spans="5:5">
      <c r="E2937" t="e">
        <v>#VALUE!</v>
      </c>
    </row>
    <row r="2938" spans="5:5">
      <c r="E2938" t="e">
        <v>#VALUE!</v>
      </c>
    </row>
    <row r="2939" spans="5:5">
      <c r="E2939" t="e">
        <v>#VALUE!</v>
      </c>
    </row>
    <row r="2940" spans="5:5">
      <c r="E2940" t="e">
        <v>#VALUE!</v>
      </c>
    </row>
    <row r="2941" spans="5:5">
      <c r="E2941" t="e">
        <v>#VALUE!</v>
      </c>
    </row>
    <row r="2942" spans="5:5">
      <c r="E2942" t="e">
        <v>#VALUE!</v>
      </c>
    </row>
    <row r="2943" spans="5:5">
      <c r="E2943" t="e">
        <v>#VALUE!</v>
      </c>
    </row>
    <row r="2944" spans="5:5">
      <c r="E2944" t="e">
        <v>#VALUE!</v>
      </c>
    </row>
    <row r="2945" spans="5:5">
      <c r="E2945" t="e">
        <v>#VALUE!</v>
      </c>
    </row>
    <row r="2946" spans="5:5">
      <c r="E2946" t="e">
        <v>#VALUE!</v>
      </c>
    </row>
    <row r="2947" spans="5:5">
      <c r="E2947" t="e">
        <v>#VALUE!</v>
      </c>
    </row>
    <row r="2948" spans="5:5">
      <c r="E2948" t="e">
        <v>#VALUE!</v>
      </c>
    </row>
    <row r="2949" spans="5:5">
      <c r="E2949" t="e">
        <v>#VALUE!</v>
      </c>
    </row>
    <row r="2950" spans="5:5">
      <c r="E2950" t="e">
        <v>#VALUE!</v>
      </c>
    </row>
    <row r="2951" spans="5:5">
      <c r="E2951" t="e">
        <v>#VALUE!</v>
      </c>
    </row>
    <row r="2952" spans="5:5">
      <c r="E2952" t="e">
        <v>#VALUE!</v>
      </c>
    </row>
    <row r="2953" spans="5:5">
      <c r="E2953" t="e">
        <v>#VALUE!</v>
      </c>
    </row>
    <row r="2954" spans="5:5">
      <c r="E2954" t="e">
        <v>#VALUE!</v>
      </c>
    </row>
    <row r="2955" spans="5:5">
      <c r="E2955" t="e">
        <v>#VALUE!</v>
      </c>
    </row>
    <row r="2956" spans="5:5">
      <c r="E2956" t="e">
        <v>#VALUE!</v>
      </c>
    </row>
    <row r="2957" spans="5:5">
      <c r="E2957" t="e">
        <v>#VALUE!</v>
      </c>
    </row>
    <row r="2958" spans="5:5">
      <c r="E2958" t="e">
        <v>#VALUE!</v>
      </c>
    </row>
    <row r="2959" spans="5:5">
      <c r="E2959" t="e">
        <v>#VALUE!</v>
      </c>
    </row>
    <row r="2960" spans="5:5">
      <c r="E2960" t="e">
        <v>#VALUE!</v>
      </c>
    </row>
    <row r="2961" spans="5:5">
      <c r="E2961" t="e">
        <v>#VALUE!</v>
      </c>
    </row>
    <row r="2962" spans="5:5">
      <c r="E2962" t="e">
        <v>#VALUE!</v>
      </c>
    </row>
    <row r="2963" spans="5:5">
      <c r="E2963" t="e">
        <v>#VALUE!</v>
      </c>
    </row>
    <row r="2964" spans="5:5">
      <c r="E2964" t="e">
        <v>#VALUE!</v>
      </c>
    </row>
    <row r="2965" spans="5:5">
      <c r="E2965" t="e">
        <v>#VALUE!</v>
      </c>
    </row>
    <row r="2966" spans="5:5">
      <c r="E2966" t="e">
        <v>#VALUE!</v>
      </c>
    </row>
    <row r="2967" spans="5:5">
      <c r="E2967" t="e">
        <v>#VALUE!</v>
      </c>
    </row>
    <row r="2968" spans="5:5">
      <c r="E2968" t="e">
        <v>#VALUE!</v>
      </c>
    </row>
    <row r="2969" spans="5:5">
      <c r="E2969" t="e">
        <v>#VALUE!</v>
      </c>
    </row>
    <row r="2970" spans="5:5">
      <c r="E2970" t="e">
        <v>#VALUE!</v>
      </c>
    </row>
    <row r="2971" spans="5:5">
      <c r="E2971" t="e">
        <v>#VALUE!</v>
      </c>
    </row>
    <row r="2972" spans="5:5">
      <c r="E2972" t="e">
        <v>#VALUE!</v>
      </c>
    </row>
    <row r="2973" spans="5:5">
      <c r="E2973" t="e">
        <v>#VALUE!</v>
      </c>
    </row>
    <row r="2974" spans="5:5">
      <c r="E2974" t="e">
        <v>#VALUE!</v>
      </c>
    </row>
    <row r="2975" spans="5:5">
      <c r="E2975" t="e">
        <v>#VALUE!</v>
      </c>
    </row>
    <row r="2976" spans="5:5">
      <c r="E2976" t="e">
        <v>#VALUE!</v>
      </c>
    </row>
    <row r="2977" spans="5:5">
      <c r="E2977" t="e">
        <v>#VALUE!</v>
      </c>
    </row>
    <row r="2978" spans="5:5">
      <c r="E2978" t="e">
        <v>#VALUE!</v>
      </c>
    </row>
    <row r="2979" spans="5:5">
      <c r="E2979" t="e">
        <v>#VALUE!</v>
      </c>
    </row>
    <row r="2980" spans="5:5">
      <c r="E2980" t="e">
        <v>#VALUE!</v>
      </c>
    </row>
    <row r="2981" spans="5:5">
      <c r="E2981" t="e">
        <v>#VALUE!</v>
      </c>
    </row>
    <row r="2982" spans="5:5">
      <c r="E2982" t="e">
        <v>#VALUE!</v>
      </c>
    </row>
    <row r="2983" spans="5:5">
      <c r="E2983" t="e">
        <v>#VALUE!</v>
      </c>
    </row>
    <row r="2984" spans="5:5">
      <c r="E2984" t="e">
        <v>#VALUE!</v>
      </c>
    </row>
    <row r="2985" spans="5:5">
      <c r="E2985" t="e">
        <v>#VALUE!</v>
      </c>
    </row>
    <row r="2986" spans="5:5">
      <c r="E2986" t="e">
        <v>#VALUE!</v>
      </c>
    </row>
    <row r="2987" spans="5:5">
      <c r="E2987" t="e">
        <v>#VALUE!</v>
      </c>
    </row>
    <row r="2988" spans="5:5">
      <c r="E2988" t="e">
        <v>#VALUE!</v>
      </c>
    </row>
    <row r="2989" spans="5:5">
      <c r="E2989" t="e">
        <v>#VALUE!</v>
      </c>
    </row>
    <row r="2990" spans="5:5">
      <c r="E2990" t="e">
        <v>#VALUE!</v>
      </c>
    </row>
    <row r="2991" spans="5:5">
      <c r="E2991" t="e">
        <v>#VALUE!</v>
      </c>
    </row>
    <row r="2992" spans="5:5">
      <c r="E2992" t="e">
        <v>#VALUE!</v>
      </c>
    </row>
    <row r="2993" spans="5:5">
      <c r="E2993" t="e">
        <v>#VALUE!</v>
      </c>
    </row>
    <row r="2994" spans="5:5">
      <c r="E2994" t="e">
        <v>#VALUE!</v>
      </c>
    </row>
    <row r="2995" spans="5:5">
      <c r="E2995" t="e">
        <v>#VALUE!</v>
      </c>
    </row>
    <row r="2996" spans="5:5">
      <c r="E2996" t="e">
        <v>#VALUE!</v>
      </c>
    </row>
    <row r="2997" spans="5:5">
      <c r="E2997" t="e">
        <v>#VALUE!</v>
      </c>
    </row>
    <row r="2998" spans="5:5">
      <c r="E2998" t="e">
        <v>#VALUE!</v>
      </c>
    </row>
    <row r="2999" spans="5:5">
      <c r="E2999" t="e">
        <v>#VALUE!</v>
      </c>
    </row>
    <row r="3000" spans="5:5">
      <c r="E3000" t="e">
        <v>#VALUE!</v>
      </c>
    </row>
    <row r="3001" spans="5:5">
      <c r="E3001" t="e">
        <v>#VALUE!</v>
      </c>
    </row>
    <row r="3002" spans="5:5">
      <c r="E3002" t="e">
        <v>#VALUE!</v>
      </c>
    </row>
    <row r="3003" spans="5:5">
      <c r="E3003" t="e">
        <v>#VALUE!</v>
      </c>
    </row>
    <row r="3004" spans="5:5">
      <c r="E3004" t="e">
        <v>#VALUE!</v>
      </c>
    </row>
    <row r="3005" spans="5:5">
      <c r="E3005" t="e">
        <v>#VALUE!</v>
      </c>
    </row>
    <row r="3006" spans="5:5">
      <c r="E3006" t="e">
        <v>#VALUE!</v>
      </c>
    </row>
    <row r="3007" spans="5:5">
      <c r="E3007" t="e">
        <v>#VALUE!</v>
      </c>
    </row>
    <row r="3008" spans="5:5">
      <c r="E3008" t="e">
        <v>#VALUE!</v>
      </c>
    </row>
    <row r="3009" spans="5:5">
      <c r="E3009" t="e">
        <v>#VALUE!</v>
      </c>
    </row>
    <row r="3010" spans="5:5">
      <c r="E3010" t="e">
        <v>#VALUE!</v>
      </c>
    </row>
    <row r="3011" spans="5:5">
      <c r="E3011" t="e">
        <v>#VALUE!</v>
      </c>
    </row>
    <row r="3012" spans="5:5">
      <c r="E3012" t="e">
        <v>#VALUE!</v>
      </c>
    </row>
    <row r="3013" spans="5:5">
      <c r="E3013" t="e">
        <v>#VALUE!</v>
      </c>
    </row>
    <row r="3014" spans="5:5">
      <c r="E3014" t="e">
        <v>#VALUE!</v>
      </c>
    </row>
    <row r="3015" spans="5:5">
      <c r="E3015" t="e">
        <v>#VALUE!</v>
      </c>
    </row>
    <row r="3016" spans="5:5">
      <c r="E3016" t="e">
        <v>#VALUE!</v>
      </c>
    </row>
    <row r="3017" spans="5:5">
      <c r="E3017" t="e">
        <v>#VALUE!</v>
      </c>
    </row>
    <row r="3018" spans="5:5">
      <c r="E3018" t="e">
        <v>#VALUE!</v>
      </c>
    </row>
    <row r="3019" spans="5:5">
      <c r="E3019" t="e">
        <v>#VALUE!</v>
      </c>
    </row>
    <row r="3020" spans="5:5">
      <c r="E3020" t="e">
        <v>#VALUE!</v>
      </c>
    </row>
    <row r="3021" spans="5:5">
      <c r="E3021" t="e">
        <v>#VALUE!</v>
      </c>
    </row>
    <row r="3022" spans="5:5">
      <c r="E3022" t="e">
        <v>#VALUE!</v>
      </c>
    </row>
    <row r="3023" spans="5:5">
      <c r="E3023" t="e">
        <v>#VALUE!</v>
      </c>
    </row>
    <row r="3024" spans="5:5">
      <c r="E3024" t="e">
        <v>#VALUE!</v>
      </c>
    </row>
    <row r="3025" spans="5:5">
      <c r="E3025" t="e">
        <v>#VALUE!</v>
      </c>
    </row>
    <row r="3026" spans="5:5">
      <c r="E3026" t="e">
        <v>#VALUE!</v>
      </c>
    </row>
    <row r="3027" spans="5:5">
      <c r="E3027" t="e">
        <v>#VALUE!</v>
      </c>
    </row>
    <row r="3028" spans="5:5">
      <c r="E3028" t="e">
        <v>#VALUE!</v>
      </c>
    </row>
    <row r="3029" spans="5:5">
      <c r="E3029" t="e">
        <v>#VALUE!</v>
      </c>
    </row>
    <row r="3030" spans="5:5">
      <c r="E3030" t="e">
        <v>#VALUE!</v>
      </c>
    </row>
    <row r="3031" spans="5:5">
      <c r="E3031" t="e">
        <v>#VALUE!</v>
      </c>
    </row>
    <row r="3032" spans="5:5">
      <c r="E3032" t="e">
        <v>#VALUE!</v>
      </c>
    </row>
    <row r="3033" spans="5:5">
      <c r="E3033" t="e">
        <v>#VALUE!</v>
      </c>
    </row>
    <row r="3034" spans="5:5">
      <c r="E3034" t="e">
        <v>#VALUE!</v>
      </c>
    </row>
    <row r="3035" spans="5:5">
      <c r="E3035" t="e">
        <v>#VALUE!</v>
      </c>
    </row>
    <row r="3036" spans="5:5">
      <c r="E3036" t="e">
        <v>#VALUE!</v>
      </c>
    </row>
    <row r="3037" spans="5:5">
      <c r="E3037" t="e">
        <v>#VALUE!</v>
      </c>
    </row>
    <row r="3038" spans="5:5">
      <c r="E3038" t="e">
        <v>#VALUE!</v>
      </c>
    </row>
    <row r="3039" spans="5:5">
      <c r="E3039" t="e">
        <v>#VALUE!</v>
      </c>
    </row>
    <row r="3040" spans="5:5">
      <c r="E3040" t="e">
        <v>#VALUE!</v>
      </c>
    </row>
    <row r="3041" spans="5:5">
      <c r="E3041" t="e">
        <v>#VALUE!</v>
      </c>
    </row>
    <row r="3042" spans="5:5">
      <c r="E3042" t="e">
        <v>#VALUE!</v>
      </c>
    </row>
    <row r="3043" spans="5:5">
      <c r="E3043" t="e">
        <v>#VALUE!</v>
      </c>
    </row>
    <row r="3044" spans="5:5">
      <c r="E3044" t="e">
        <v>#VALUE!</v>
      </c>
    </row>
    <row r="3045" spans="5:5">
      <c r="E3045" t="e">
        <v>#VALUE!</v>
      </c>
    </row>
    <row r="3046" spans="5:5">
      <c r="E3046" t="e">
        <v>#VALUE!</v>
      </c>
    </row>
    <row r="3047" spans="5:5">
      <c r="E3047" t="e">
        <v>#VALUE!</v>
      </c>
    </row>
    <row r="3048" spans="5:5">
      <c r="E3048" t="e">
        <v>#VALUE!</v>
      </c>
    </row>
    <row r="3049" spans="5:5">
      <c r="E3049" t="e">
        <v>#VALUE!</v>
      </c>
    </row>
    <row r="3050" spans="5:5">
      <c r="E3050" t="e">
        <v>#VALUE!</v>
      </c>
    </row>
    <row r="3051" spans="5:5">
      <c r="E3051" t="e">
        <v>#VALUE!</v>
      </c>
    </row>
    <row r="3052" spans="5:5">
      <c r="E3052" t="e">
        <v>#VALUE!</v>
      </c>
    </row>
    <row r="3053" spans="5:5">
      <c r="E3053" t="e">
        <v>#VALUE!</v>
      </c>
    </row>
    <row r="3054" spans="5:5">
      <c r="E3054" t="e">
        <v>#VALUE!</v>
      </c>
    </row>
    <row r="3055" spans="5:5">
      <c r="E3055" t="e">
        <v>#VALUE!</v>
      </c>
    </row>
    <row r="3056" spans="5:5">
      <c r="E3056" t="e">
        <v>#VALUE!</v>
      </c>
    </row>
    <row r="3057" spans="5:5">
      <c r="E3057" t="e">
        <v>#VALUE!</v>
      </c>
    </row>
    <row r="3058" spans="5:5">
      <c r="E3058" t="e">
        <v>#VALUE!</v>
      </c>
    </row>
    <row r="3059" spans="5:5">
      <c r="E3059" t="e">
        <v>#VALUE!</v>
      </c>
    </row>
    <row r="3060" spans="5:5">
      <c r="E3060" t="e">
        <v>#VALUE!</v>
      </c>
    </row>
    <row r="3061" spans="5:5">
      <c r="E3061" t="e">
        <v>#VALUE!</v>
      </c>
    </row>
    <row r="3062" spans="5:5">
      <c r="E3062" t="e">
        <v>#VALUE!</v>
      </c>
    </row>
    <row r="3063" spans="5:5">
      <c r="E3063" t="e">
        <v>#VALUE!</v>
      </c>
    </row>
    <row r="3064" spans="5:5">
      <c r="E3064" t="e">
        <v>#VALUE!</v>
      </c>
    </row>
    <row r="3065" spans="5:5">
      <c r="E3065" t="e">
        <v>#VALUE!</v>
      </c>
    </row>
    <row r="3066" spans="5:5">
      <c r="E3066" t="e">
        <v>#VALUE!</v>
      </c>
    </row>
    <row r="3067" spans="5:5">
      <c r="E3067" t="e">
        <v>#VALUE!</v>
      </c>
    </row>
    <row r="3068" spans="5:5">
      <c r="E3068" t="e">
        <v>#VALUE!</v>
      </c>
    </row>
    <row r="3069" spans="5:5">
      <c r="E3069" t="e">
        <v>#VALUE!</v>
      </c>
    </row>
    <row r="3070" spans="5:5">
      <c r="E3070" t="e">
        <v>#VALUE!</v>
      </c>
    </row>
    <row r="3071" spans="5:5">
      <c r="E3071" t="e">
        <v>#VALUE!</v>
      </c>
    </row>
    <row r="3072" spans="5:5">
      <c r="E3072" t="e">
        <v>#VALUE!</v>
      </c>
    </row>
    <row r="3073" spans="5:5">
      <c r="E3073" t="e">
        <v>#VALUE!</v>
      </c>
    </row>
    <row r="3074" spans="5:5">
      <c r="E3074" t="e">
        <v>#VALUE!</v>
      </c>
    </row>
    <row r="3075" spans="5:5">
      <c r="E3075" t="e">
        <v>#VALUE!</v>
      </c>
    </row>
    <row r="3076" spans="5:5">
      <c r="E3076" t="e">
        <v>#VALUE!</v>
      </c>
    </row>
    <row r="3077" spans="5:5">
      <c r="E3077" t="e">
        <v>#VALUE!</v>
      </c>
    </row>
    <row r="3078" spans="5:5">
      <c r="E3078" t="e">
        <v>#VALUE!</v>
      </c>
    </row>
    <row r="3079" spans="5:5">
      <c r="E3079" t="e">
        <v>#VALUE!</v>
      </c>
    </row>
    <row r="3080" spans="5:5">
      <c r="E3080" t="e">
        <v>#VALUE!</v>
      </c>
    </row>
    <row r="3081" spans="5:5">
      <c r="E3081" t="e">
        <v>#VALUE!</v>
      </c>
    </row>
    <row r="3082" spans="5:5">
      <c r="E3082" t="e">
        <v>#VALUE!</v>
      </c>
    </row>
    <row r="3083" spans="5:5">
      <c r="E3083" t="e">
        <v>#VALUE!</v>
      </c>
    </row>
    <row r="3084" spans="5:5">
      <c r="E3084" t="e">
        <v>#VALUE!</v>
      </c>
    </row>
    <row r="3085" spans="5:5">
      <c r="E3085" t="e">
        <v>#VALUE!</v>
      </c>
    </row>
    <row r="3086" spans="5:5">
      <c r="E3086" t="e">
        <v>#VALUE!</v>
      </c>
    </row>
    <row r="3087" spans="5:5">
      <c r="E3087" t="e">
        <v>#VALUE!</v>
      </c>
    </row>
    <row r="3088" spans="5:5">
      <c r="E3088" t="e">
        <v>#VALUE!</v>
      </c>
    </row>
    <row r="3089" spans="5:5">
      <c r="E3089" t="e">
        <v>#VALUE!</v>
      </c>
    </row>
    <row r="3090" spans="5:5">
      <c r="E3090" t="e">
        <v>#VALUE!</v>
      </c>
    </row>
    <row r="3091" spans="5:5">
      <c r="E3091" t="e">
        <v>#VALUE!</v>
      </c>
    </row>
    <row r="3092" spans="5:5">
      <c r="E3092" t="e">
        <v>#VALUE!</v>
      </c>
    </row>
    <row r="3093" spans="5:5">
      <c r="E3093" t="e">
        <v>#VALUE!</v>
      </c>
    </row>
    <row r="3094" spans="5:5">
      <c r="E3094" t="e">
        <v>#VALUE!</v>
      </c>
    </row>
    <row r="3095" spans="5:5">
      <c r="E3095" t="e">
        <v>#VALUE!</v>
      </c>
    </row>
    <row r="3096" spans="5:5">
      <c r="E3096" t="e">
        <v>#VALUE!</v>
      </c>
    </row>
    <row r="3097" spans="5:5">
      <c r="E3097" t="e">
        <v>#VALUE!</v>
      </c>
    </row>
    <row r="3098" spans="5:5">
      <c r="E3098" t="e">
        <v>#VALUE!</v>
      </c>
    </row>
    <row r="3099" spans="5:5">
      <c r="E3099" t="e">
        <v>#VALUE!</v>
      </c>
    </row>
    <row r="3100" spans="5:5">
      <c r="E3100" t="e">
        <v>#VALUE!</v>
      </c>
    </row>
    <row r="3101" spans="5:5">
      <c r="E3101" t="e">
        <v>#VALUE!</v>
      </c>
    </row>
    <row r="3102" spans="5:5">
      <c r="E3102" t="e">
        <v>#VALUE!</v>
      </c>
    </row>
    <row r="3103" spans="5:5">
      <c r="E3103" t="e">
        <v>#VALUE!</v>
      </c>
    </row>
    <row r="3104" spans="5:5">
      <c r="E3104" t="e">
        <v>#VALUE!</v>
      </c>
    </row>
    <row r="3105" spans="5:5">
      <c r="E3105" t="e">
        <v>#VALUE!</v>
      </c>
    </row>
    <row r="3106" spans="5:5">
      <c r="E3106" t="e">
        <v>#VALUE!</v>
      </c>
    </row>
    <row r="3107" spans="5:5">
      <c r="E3107" t="e">
        <v>#VALUE!</v>
      </c>
    </row>
    <row r="3108" spans="5:5">
      <c r="E3108" t="e">
        <v>#VALUE!</v>
      </c>
    </row>
    <row r="3109" spans="5:5">
      <c r="E3109" t="e">
        <v>#VALUE!</v>
      </c>
    </row>
    <row r="3110" spans="5:5">
      <c r="E3110" t="e">
        <v>#VALUE!</v>
      </c>
    </row>
    <row r="3111" spans="5:5">
      <c r="E3111" t="e">
        <v>#VALUE!</v>
      </c>
    </row>
    <row r="3112" spans="5:5">
      <c r="E3112" t="e">
        <v>#VALUE!</v>
      </c>
    </row>
    <row r="3113" spans="5:5">
      <c r="E3113" t="e">
        <v>#VALUE!</v>
      </c>
    </row>
    <row r="3114" spans="5:5">
      <c r="E3114" t="e">
        <v>#VALUE!</v>
      </c>
    </row>
    <row r="3115" spans="5:5">
      <c r="E3115" t="e">
        <v>#VALUE!</v>
      </c>
    </row>
    <row r="3116" spans="5:5">
      <c r="E3116" t="e">
        <v>#VALUE!</v>
      </c>
    </row>
    <row r="3117" spans="5:5">
      <c r="E3117" t="e">
        <v>#VALUE!</v>
      </c>
    </row>
    <row r="3118" spans="5:5">
      <c r="E3118" t="e">
        <v>#VALUE!</v>
      </c>
    </row>
    <row r="3119" spans="5:5">
      <c r="E3119" t="e">
        <v>#VALUE!</v>
      </c>
    </row>
    <row r="3120" spans="5:5">
      <c r="E3120" t="e">
        <v>#VALUE!</v>
      </c>
    </row>
    <row r="3121" spans="5:5">
      <c r="E3121" t="e">
        <v>#VALUE!</v>
      </c>
    </row>
    <row r="3122" spans="5:5">
      <c r="E3122" t="e">
        <v>#VALUE!</v>
      </c>
    </row>
    <row r="3123" spans="5:5">
      <c r="E3123" t="e">
        <v>#VALUE!</v>
      </c>
    </row>
    <row r="3124" spans="5:5">
      <c r="E3124" t="e">
        <v>#VALUE!</v>
      </c>
    </row>
    <row r="3125" spans="5:5">
      <c r="E3125" t="e">
        <v>#VALUE!</v>
      </c>
    </row>
    <row r="3126" spans="5:5">
      <c r="E3126" t="e">
        <v>#VALUE!</v>
      </c>
    </row>
    <row r="3127" spans="5:5">
      <c r="E3127" t="e">
        <v>#VALUE!</v>
      </c>
    </row>
    <row r="3128" spans="5:5">
      <c r="E3128" t="e">
        <v>#VALUE!</v>
      </c>
    </row>
    <row r="3129" spans="5:5">
      <c r="E3129" t="e">
        <v>#VALUE!</v>
      </c>
    </row>
    <row r="3130" spans="5:5">
      <c r="E3130" t="e">
        <v>#VALUE!</v>
      </c>
    </row>
    <row r="3131" spans="5:5">
      <c r="E3131" t="e">
        <v>#VALUE!</v>
      </c>
    </row>
    <row r="3132" spans="5:5">
      <c r="E3132" t="e">
        <v>#VALUE!</v>
      </c>
    </row>
    <row r="3133" spans="5:5">
      <c r="E3133" t="e">
        <v>#VALUE!</v>
      </c>
    </row>
    <row r="3134" spans="5:5">
      <c r="E3134" t="e">
        <v>#VALUE!</v>
      </c>
    </row>
    <row r="3135" spans="5:5">
      <c r="E3135" t="e">
        <v>#VALUE!</v>
      </c>
    </row>
    <row r="3136" spans="5:5">
      <c r="E3136" t="e">
        <v>#VALUE!</v>
      </c>
    </row>
    <row r="3137" spans="5:5">
      <c r="E3137" t="e">
        <v>#VALUE!</v>
      </c>
    </row>
    <row r="3138" spans="5:5">
      <c r="E3138" t="e">
        <v>#VALUE!</v>
      </c>
    </row>
    <row r="3139" spans="5:5">
      <c r="E3139" t="e">
        <v>#VALUE!</v>
      </c>
    </row>
    <row r="3140" spans="5:5">
      <c r="E3140" t="e">
        <v>#VALUE!</v>
      </c>
    </row>
    <row r="3141" spans="5:5">
      <c r="E3141" t="e">
        <v>#VALUE!</v>
      </c>
    </row>
    <row r="3142" spans="5:5">
      <c r="E3142" t="e">
        <v>#VALUE!</v>
      </c>
    </row>
    <row r="3143" spans="5:5">
      <c r="E3143" t="e">
        <v>#VALUE!</v>
      </c>
    </row>
    <row r="3144" spans="5:5">
      <c r="E3144" t="e">
        <v>#VALUE!</v>
      </c>
    </row>
    <row r="3145" spans="5:5">
      <c r="E3145" t="e">
        <v>#VALUE!</v>
      </c>
    </row>
    <row r="3146" spans="5:5">
      <c r="E3146" t="e">
        <v>#VALUE!</v>
      </c>
    </row>
    <row r="3147" spans="5:5">
      <c r="E3147" t="e">
        <v>#VALUE!</v>
      </c>
    </row>
    <row r="3148" spans="5:5">
      <c r="E3148" t="e">
        <v>#VALUE!</v>
      </c>
    </row>
    <row r="3149" spans="5:5">
      <c r="E3149" t="e">
        <v>#VALUE!</v>
      </c>
    </row>
    <row r="3150" spans="5:5">
      <c r="E3150" t="e">
        <v>#VALUE!</v>
      </c>
    </row>
    <row r="3151" spans="5:5">
      <c r="E3151" t="e">
        <v>#VALUE!</v>
      </c>
    </row>
    <row r="3152" spans="5:5">
      <c r="E3152" t="e">
        <v>#VALUE!</v>
      </c>
    </row>
    <row r="3153" spans="5:5">
      <c r="E3153" t="e">
        <v>#VALUE!</v>
      </c>
    </row>
    <row r="3154" spans="5:5">
      <c r="E3154" t="e">
        <v>#VALUE!</v>
      </c>
    </row>
    <row r="3155" spans="5:5">
      <c r="E3155" t="e">
        <v>#VALUE!</v>
      </c>
    </row>
    <row r="3156" spans="5:5">
      <c r="E3156" t="e">
        <v>#VALUE!</v>
      </c>
    </row>
    <row r="3157" spans="5:5">
      <c r="E3157" t="e">
        <v>#VALUE!</v>
      </c>
    </row>
    <row r="3158" spans="5:5">
      <c r="E3158" t="e">
        <v>#VALUE!</v>
      </c>
    </row>
    <row r="3159" spans="5:5">
      <c r="E3159" t="e">
        <v>#VALUE!</v>
      </c>
    </row>
    <row r="3160" spans="5:5">
      <c r="E3160" t="e">
        <v>#VALUE!</v>
      </c>
    </row>
    <row r="3161" spans="5:5">
      <c r="E3161" t="e">
        <v>#VALUE!</v>
      </c>
    </row>
    <row r="3162" spans="5:5">
      <c r="E3162" t="e">
        <v>#VALUE!</v>
      </c>
    </row>
    <row r="3163" spans="5:5">
      <c r="E3163" t="e">
        <v>#VALUE!</v>
      </c>
    </row>
    <row r="3164" spans="5:5">
      <c r="E3164" t="e">
        <v>#VALUE!</v>
      </c>
    </row>
    <row r="3165" spans="5:5">
      <c r="E3165" t="e">
        <v>#VALUE!</v>
      </c>
    </row>
    <row r="3166" spans="5:5">
      <c r="E3166" t="e">
        <v>#VALUE!</v>
      </c>
    </row>
    <row r="3167" spans="5:5">
      <c r="E3167" t="e">
        <v>#VALUE!</v>
      </c>
    </row>
    <row r="3168" spans="5:5">
      <c r="E3168" t="e">
        <v>#VALUE!</v>
      </c>
    </row>
    <row r="3169" spans="5:5">
      <c r="E3169" t="e">
        <v>#VALUE!</v>
      </c>
    </row>
    <row r="3170" spans="5:5">
      <c r="E3170" t="e">
        <v>#VALUE!</v>
      </c>
    </row>
    <row r="3171" spans="5:5">
      <c r="E3171" t="e">
        <v>#VALUE!</v>
      </c>
    </row>
    <row r="3172" spans="5:5">
      <c r="E3172" t="e">
        <v>#VALUE!</v>
      </c>
    </row>
    <row r="3173" spans="5:5">
      <c r="E3173" t="e">
        <v>#VALUE!</v>
      </c>
    </row>
    <row r="3174" spans="5:5">
      <c r="E3174" t="e">
        <v>#VALUE!</v>
      </c>
    </row>
    <row r="3175" spans="5:5">
      <c r="E3175" t="e">
        <v>#VALUE!</v>
      </c>
    </row>
    <row r="3176" spans="5:5">
      <c r="E3176" t="e">
        <v>#VALUE!</v>
      </c>
    </row>
    <row r="3177" spans="5:5">
      <c r="E3177" t="e">
        <v>#VALUE!</v>
      </c>
    </row>
    <row r="3178" spans="5:5">
      <c r="E3178" t="e">
        <v>#VALUE!</v>
      </c>
    </row>
    <row r="3179" spans="5:5">
      <c r="E3179" t="e">
        <v>#VALUE!</v>
      </c>
    </row>
    <row r="3180" spans="5:5">
      <c r="E3180" t="e">
        <v>#VALUE!</v>
      </c>
    </row>
    <row r="3181" spans="5:5">
      <c r="E3181" t="e">
        <v>#VALUE!</v>
      </c>
    </row>
    <row r="3182" spans="5:5">
      <c r="E3182" t="e">
        <v>#VALUE!</v>
      </c>
    </row>
    <row r="3183" spans="5:5">
      <c r="E3183" t="e">
        <v>#VALUE!</v>
      </c>
    </row>
    <row r="3184" spans="5:5">
      <c r="E3184" t="e">
        <v>#VALUE!</v>
      </c>
    </row>
    <row r="3185" spans="5:5">
      <c r="E3185" t="e">
        <v>#VALUE!</v>
      </c>
    </row>
    <row r="3186" spans="5:5">
      <c r="E3186" t="e">
        <v>#VALUE!</v>
      </c>
    </row>
    <row r="3187" spans="5:5">
      <c r="E3187" t="e">
        <v>#VALUE!</v>
      </c>
    </row>
    <row r="3188" spans="5:5">
      <c r="E3188" t="e">
        <v>#VALUE!</v>
      </c>
    </row>
    <row r="3189" spans="5:5">
      <c r="E3189" t="e">
        <v>#VALUE!</v>
      </c>
    </row>
    <row r="3190" spans="5:5">
      <c r="E3190" t="e">
        <v>#VALUE!</v>
      </c>
    </row>
    <row r="3191" spans="5:5">
      <c r="E3191" t="e">
        <v>#VALUE!</v>
      </c>
    </row>
    <row r="3192" spans="5:5">
      <c r="E3192" t="e">
        <v>#VALUE!</v>
      </c>
    </row>
    <row r="3193" spans="5:5">
      <c r="E3193" t="e">
        <v>#VALUE!</v>
      </c>
    </row>
    <row r="3194" spans="5:5">
      <c r="E3194" t="e">
        <v>#VALUE!</v>
      </c>
    </row>
    <row r="3195" spans="5:5">
      <c r="E3195" t="e">
        <v>#VALUE!</v>
      </c>
    </row>
    <row r="3196" spans="5:5">
      <c r="E3196" t="e">
        <v>#VALUE!</v>
      </c>
    </row>
    <row r="3197" spans="5:5">
      <c r="E3197" t="e">
        <v>#VALUE!</v>
      </c>
    </row>
    <row r="3198" spans="5:5">
      <c r="E3198" t="e">
        <v>#VALUE!</v>
      </c>
    </row>
    <row r="3199" spans="5:5">
      <c r="E3199" t="e">
        <v>#VALUE!</v>
      </c>
    </row>
    <row r="3200" spans="5:5">
      <c r="E3200" t="e">
        <v>#VALUE!</v>
      </c>
    </row>
    <row r="3201" spans="5:5">
      <c r="E3201" t="e">
        <v>#VALUE!</v>
      </c>
    </row>
    <row r="3202" spans="5:5">
      <c r="E3202" t="e">
        <v>#VALUE!</v>
      </c>
    </row>
    <row r="3203" spans="5:5">
      <c r="E3203" t="e">
        <v>#VALUE!</v>
      </c>
    </row>
    <row r="3204" spans="5:5">
      <c r="E3204" t="e">
        <v>#VALUE!</v>
      </c>
    </row>
    <row r="3205" spans="5:5">
      <c r="E3205" t="e">
        <v>#VALUE!</v>
      </c>
    </row>
    <row r="3206" spans="5:5">
      <c r="E3206" t="e">
        <v>#VALUE!</v>
      </c>
    </row>
    <row r="3207" spans="5:5">
      <c r="E3207" t="e">
        <v>#VALUE!</v>
      </c>
    </row>
    <row r="3208" spans="5:5">
      <c r="E3208" t="e">
        <v>#VALUE!</v>
      </c>
    </row>
    <row r="3209" spans="5:5">
      <c r="E3209" t="e">
        <v>#VALUE!</v>
      </c>
    </row>
    <row r="3210" spans="5:5">
      <c r="E3210" t="e">
        <v>#VALUE!</v>
      </c>
    </row>
    <row r="3211" spans="5:5">
      <c r="E3211" t="e">
        <v>#VALUE!</v>
      </c>
    </row>
    <row r="3212" spans="5:5">
      <c r="E3212" t="e">
        <v>#VALUE!</v>
      </c>
    </row>
    <row r="3213" spans="5:5">
      <c r="E3213" t="e">
        <v>#VALUE!</v>
      </c>
    </row>
    <row r="3214" spans="5:5">
      <c r="E3214" t="e">
        <v>#VALUE!</v>
      </c>
    </row>
    <row r="3215" spans="5:5">
      <c r="E3215" t="e">
        <v>#VALUE!</v>
      </c>
    </row>
    <row r="3216" spans="5:5">
      <c r="E3216" t="e">
        <v>#VALUE!</v>
      </c>
    </row>
    <row r="3217" spans="5:5">
      <c r="E3217" t="e">
        <v>#VALUE!</v>
      </c>
    </row>
    <row r="3218" spans="5:5">
      <c r="E3218" t="e">
        <v>#VALUE!</v>
      </c>
    </row>
    <row r="3219" spans="5:5">
      <c r="E3219" t="e">
        <v>#VALUE!</v>
      </c>
    </row>
    <row r="3220" spans="5:5">
      <c r="E3220" t="e">
        <v>#VALUE!</v>
      </c>
    </row>
    <row r="3221" spans="5:5">
      <c r="E3221" t="e">
        <v>#VALUE!</v>
      </c>
    </row>
    <row r="3222" spans="5:5">
      <c r="E3222" t="e">
        <v>#VALUE!</v>
      </c>
    </row>
    <row r="3223" spans="5:5">
      <c r="E3223" t="e">
        <v>#VALUE!</v>
      </c>
    </row>
    <row r="3224" spans="5:5">
      <c r="E3224" t="e">
        <v>#VALUE!</v>
      </c>
    </row>
    <row r="3225" spans="5:5">
      <c r="E3225" t="e">
        <v>#VALUE!</v>
      </c>
    </row>
    <row r="3226" spans="5:5">
      <c r="E3226" t="e">
        <v>#VALUE!</v>
      </c>
    </row>
    <row r="3227" spans="5:5">
      <c r="E3227" t="e">
        <v>#VALUE!</v>
      </c>
    </row>
    <row r="3228" spans="5:5">
      <c r="E3228" t="e">
        <v>#VALUE!</v>
      </c>
    </row>
    <row r="3229" spans="5:5">
      <c r="E3229" t="e">
        <v>#VALUE!</v>
      </c>
    </row>
    <row r="3230" spans="5:5">
      <c r="E3230" t="e">
        <v>#VALUE!</v>
      </c>
    </row>
    <row r="3231" spans="5:5">
      <c r="E3231" t="e">
        <v>#VALUE!</v>
      </c>
    </row>
    <row r="3232" spans="5:5">
      <c r="E3232" t="e">
        <v>#VALUE!</v>
      </c>
    </row>
    <row r="3233" spans="5:5">
      <c r="E3233" t="e">
        <v>#VALUE!</v>
      </c>
    </row>
    <row r="3234" spans="5:5">
      <c r="E3234" t="e">
        <v>#VALUE!</v>
      </c>
    </row>
    <row r="3235" spans="5:5">
      <c r="E3235" t="e">
        <v>#VALUE!</v>
      </c>
    </row>
    <row r="3236" spans="5:5">
      <c r="E3236" t="e">
        <v>#VALUE!</v>
      </c>
    </row>
    <row r="3237" spans="5:5">
      <c r="E3237" t="e">
        <v>#VALUE!</v>
      </c>
    </row>
    <row r="3238" spans="5:5">
      <c r="E3238" t="e">
        <v>#VALUE!</v>
      </c>
    </row>
    <row r="3239" spans="5:5">
      <c r="E3239" t="e">
        <v>#VALUE!</v>
      </c>
    </row>
    <row r="3240" spans="5:5">
      <c r="E3240" t="e">
        <v>#VALUE!</v>
      </c>
    </row>
    <row r="3241" spans="5:5">
      <c r="E3241" t="e">
        <v>#VALUE!</v>
      </c>
    </row>
    <row r="3242" spans="5:5">
      <c r="E3242" t="e">
        <v>#VALUE!</v>
      </c>
    </row>
    <row r="3243" spans="5:5">
      <c r="E3243" t="e">
        <v>#VALUE!</v>
      </c>
    </row>
    <row r="3244" spans="5:5">
      <c r="E3244" t="e">
        <v>#VALUE!</v>
      </c>
    </row>
    <row r="3245" spans="5:5">
      <c r="E3245" t="e">
        <v>#VALUE!</v>
      </c>
    </row>
    <row r="3246" spans="5:5">
      <c r="E3246" t="e">
        <v>#VALUE!</v>
      </c>
    </row>
    <row r="3247" spans="5:5">
      <c r="E3247" t="e">
        <v>#VALUE!</v>
      </c>
    </row>
    <row r="3248" spans="5:5">
      <c r="E3248" t="e">
        <v>#VALUE!</v>
      </c>
    </row>
    <row r="3249" spans="5:5">
      <c r="E3249" t="e">
        <v>#VALUE!</v>
      </c>
    </row>
    <row r="3250" spans="5:5">
      <c r="E3250" t="e">
        <v>#VALUE!</v>
      </c>
    </row>
    <row r="3251" spans="5:5">
      <c r="E3251" t="e">
        <v>#VALUE!</v>
      </c>
    </row>
    <row r="3252" spans="5:5">
      <c r="E3252" t="e">
        <v>#VALUE!</v>
      </c>
    </row>
    <row r="3253" spans="5:5">
      <c r="E3253" t="e">
        <v>#VALUE!</v>
      </c>
    </row>
    <row r="3254" spans="5:5">
      <c r="E3254" t="e">
        <v>#VALUE!</v>
      </c>
    </row>
    <row r="3255" spans="5:5">
      <c r="E3255" t="e">
        <v>#VALUE!</v>
      </c>
    </row>
    <row r="3256" spans="5:5">
      <c r="E3256" t="e">
        <v>#VALUE!</v>
      </c>
    </row>
    <row r="3257" spans="5:5">
      <c r="E3257" t="e">
        <v>#VALUE!</v>
      </c>
    </row>
    <row r="3258" spans="5:5">
      <c r="E3258" t="e">
        <v>#VALUE!</v>
      </c>
    </row>
    <row r="3259" spans="5:5">
      <c r="E3259" t="e">
        <v>#VALUE!</v>
      </c>
    </row>
    <row r="3260" spans="5:5">
      <c r="E3260" t="e">
        <v>#VALUE!</v>
      </c>
    </row>
    <row r="3261" spans="5:5">
      <c r="E3261" t="e">
        <v>#VALUE!</v>
      </c>
    </row>
    <row r="3262" spans="5:5">
      <c r="E3262" t="e">
        <v>#VALUE!</v>
      </c>
    </row>
    <row r="3263" spans="5:5">
      <c r="E3263" t="e">
        <v>#VALUE!</v>
      </c>
    </row>
    <row r="3264" spans="5:5">
      <c r="E3264" t="e">
        <v>#VALUE!</v>
      </c>
    </row>
    <row r="3265" spans="5:5">
      <c r="E3265" t="e">
        <v>#VALUE!</v>
      </c>
    </row>
    <row r="3266" spans="5:5">
      <c r="E3266" t="e">
        <v>#VALUE!</v>
      </c>
    </row>
    <row r="3267" spans="5:5">
      <c r="E3267" t="e">
        <v>#VALUE!</v>
      </c>
    </row>
    <row r="3268" spans="5:5">
      <c r="E3268" t="e">
        <v>#VALUE!</v>
      </c>
    </row>
    <row r="3269" spans="5:5">
      <c r="E3269" t="e">
        <v>#VALUE!</v>
      </c>
    </row>
    <row r="3270" spans="5:5">
      <c r="E3270" t="e">
        <v>#VALUE!</v>
      </c>
    </row>
    <row r="3271" spans="5:5">
      <c r="E3271" t="e">
        <v>#VALUE!</v>
      </c>
    </row>
    <row r="3272" spans="5:5">
      <c r="E3272" t="e">
        <v>#VALUE!</v>
      </c>
    </row>
    <row r="3273" spans="5:5">
      <c r="E3273" t="e">
        <v>#VALUE!</v>
      </c>
    </row>
    <row r="3274" spans="5:5">
      <c r="E3274" t="e">
        <v>#VALUE!</v>
      </c>
    </row>
    <row r="3275" spans="5:5">
      <c r="E3275" t="e">
        <v>#VALUE!</v>
      </c>
    </row>
    <row r="3276" spans="5:5">
      <c r="E3276" t="e">
        <v>#VALUE!</v>
      </c>
    </row>
    <row r="3277" spans="5:5">
      <c r="E3277" t="e">
        <v>#VALUE!</v>
      </c>
    </row>
    <row r="3278" spans="5:5">
      <c r="E3278" t="e">
        <v>#VALUE!</v>
      </c>
    </row>
    <row r="3279" spans="5:5">
      <c r="E3279" t="e">
        <v>#VALUE!</v>
      </c>
    </row>
    <row r="3280" spans="5:5">
      <c r="E3280" t="e">
        <v>#VALUE!</v>
      </c>
    </row>
    <row r="3281" spans="5:5">
      <c r="E3281" t="e">
        <v>#VALUE!</v>
      </c>
    </row>
    <row r="3282" spans="5:5">
      <c r="E3282" t="e">
        <v>#VALUE!</v>
      </c>
    </row>
    <row r="3283" spans="5:5">
      <c r="E3283" t="e">
        <v>#VALUE!</v>
      </c>
    </row>
    <row r="3284" spans="5:5">
      <c r="E3284" t="e">
        <v>#VALUE!</v>
      </c>
    </row>
    <row r="3285" spans="5:5">
      <c r="E3285" t="e">
        <v>#VALUE!</v>
      </c>
    </row>
    <row r="3286" spans="5:5">
      <c r="E3286" t="e">
        <v>#VALUE!</v>
      </c>
    </row>
    <row r="3287" spans="5:5">
      <c r="E3287" t="e">
        <v>#VALUE!</v>
      </c>
    </row>
    <row r="3288" spans="5:5">
      <c r="E3288" t="e">
        <v>#VALUE!</v>
      </c>
    </row>
    <row r="3289" spans="5:5">
      <c r="E3289" t="e">
        <v>#VALUE!</v>
      </c>
    </row>
    <row r="3290" spans="5:5">
      <c r="E3290" t="e">
        <v>#VALUE!</v>
      </c>
    </row>
    <row r="3291" spans="5:5">
      <c r="E3291" t="e">
        <v>#VALUE!</v>
      </c>
    </row>
    <row r="3292" spans="5:5">
      <c r="E3292" t="e">
        <v>#VALUE!</v>
      </c>
    </row>
    <row r="3293" spans="5:5">
      <c r="E3293" t="e">
        <v>#VALUE!</v>
      </c>
    </row>
    <row r="3294" spans="5:5">
      <c r="E3294" t="e">
        <v>#VALUE!</v>
      </c>
    </row>
    <row r="3295" spans="5:5">
      <c r="E3295" t="e">
        <v>#VALUE!</v>
      </c>
    </row>
    <row r="3296" spans="5:5">
      <c r="E3296" t="e">
        <v>#VALUE!</v>
      </c>
    </row>
    <row r="3297" spans="5:5">
      <c r="E3297" t="e">
        <v>#VALUE!</v>
      </c>
    </row>
    <row r="3298" spans="5:5">
      <c r="E3298" t="e">
        <v>#VALUE!</v>
      </c>
    </row>
    <row r="3299" spans="5:5">
      <c r="E3299" t="e">
        <v>#VALUE!</v>
      </c>
    </row>
    <row r="3300" spans="5:5">
      <c r="E3300" t="e">
        <v>#VALUE!</v>
      </c>
    </row>
    <row r="3301" spans="5:5">
      <c r="E3301" t="e">
        <v>#VALUE!</v>
      </c>
    </row>
    <row r="3302" spans="5:5">
      <c r="E3302" t="e">
        <v>#VALUE!</v>
      </c>
    </row>
    <row r="3303" spans="5:5">
      <c r="E3303" t="e">
        <v>#VALUE!</v>
      </c>
    </row>
    <row r="3304" spans="5:5">
      <c r="E3304" t="e">
        <v>#VALUE!</v>
      </c>
    </row>
    <row r="3305" spans="5:5">
      <c r="E3305" t="e">
        <v>#VALUE!</v>
      </c>
    </row>
    <row r="3306" spans="5:5">
      <c r="E3306" t="e">
        <v>#VALUE!</v>
      </c>
    </row>
    <row r="3307" spans="5:5">
      <c r="E3307" t="e">
        <v>#VALUE!</v>
      </c>
    </row>
    <row r="3308" spans="5:5">
      <c r="E3308" t="e">
        <v>#VALUE!</v>
      </c>
    </row>
    <row r="3309" spans="5:5">
      <c r="E3309" t="e">
        <v>#VALUE!</v>
      </c>
    </row>
    <row r="3310" spans="5:5">
      <c r="E3310" t="e">
        <v>#VALUE!</v>
      </c>
    </row>
    <row r="3311" spans="5:5">
      <c r="E3311" t="e">
        <v>#VALUE!</v>
      </c>
    </row>
    <row r="3312" spans="5:5">
      <c r="E3312" t="e">
        <v>#VALUE!</v>
      </c>
    </row>
    <row r="3313" spans="5:5">
      <c r="E3313" t="e">
        <v>#VALUE!</v>
      </c>
    </row>
    <row r="3314" spans="5:5">
      <c r="E3314" t="e">
        <v>#VALUE!</v>
      </c>
    </row>
    <row r="3315" spans="5:5">
      <c r="E3315" t="e">
        <v>#VALUE!</v>
      </c>
    </row>
    <row r="3316" spans="5:5">
      <c r="E3316" t="e">
        <v>#VALUE!</v>
      </c>
    </row>
    <row r="3317" spans="5:5">
      <c r="E3317" t="e">
        <v>#VALUE!</v>
      </c>
    </row>
    <row r="3318" spans="5:5">
      <c r="E3318" t="e">
        <v>#VALUE!</v>
      </c>
    </row>
    <row r="3319" spans="5:5">
      <c r="E3319" t="e">
        <v>#VALUE!</v>
      </c>
    </row>
    <row r="3320" spans="5:5">
      <c r="E3320" t="e">
        <v>#VALUE!</v>
      </c>
    </row>
    <row r="3321" spans="5:5">
      <c r="E3321" t="e">
        <v>#VALUE!</v>
      </c>
    </row>
    <row r="3322" spans="5:5">
      <c r="E3322" t="e">
        <v>#VALUE!</v>
      </c>
    </row>
    <row r="3323" spans="5:5">
      <c r="E3323" t="e">
        <v>#VALUE!</v>
      </c>
    </row>
    <row r="3324" spans="5:5">
      <c r="E3324" t="e">
        <v>#VALUE!</v>
      </c>
    </row>
    <row r="3325" spans="5:5">
      <c r="E3325" t="e">
        <v>#VALUE!</v>
      </c>
    </row>
    <row r="3326" spans="5:5">
      <c r="E3326" t="e">
        <v>#VALUE!</v>
      </c>
    </row>
    <row r="3327" spans="5:5">
      <c r="E3327" t="e">
        <v>#VALUE!</v>
      </c>
    </row>
    <row r="3328" spans="5:5">
      <c r="E3328" t="e">
        <v>#VALUE!</v>
      </c>
    </row>
    <row r="3329" spans="5:5">
      <c r="E3329" t="e">
        <v>#VALUE!</v>
      </c>
    </row>
    <row r="3330" spans="5:5">
      <c r="E3330" t="e">
        <v>#VALUE!</v>
      </c>
    </row>
    <row r="3331" spans="5:5">
      <c r="E3331" t="e">
        <v>#VALUE!</v>
      </c>
    </row>
    <row r="3332" spans="5:5">
      <c r="E3332" t="e">
        <v>#VALUE!</v>
      </c>
    </row>
    <row r="3333" spans="5:5">
      <c r="E3333" t="e">
        <v>#VALUE!</v>
      </c>
    </row>
    <row r="3334" spans="5:5">
      <c r="E3334" t="e">
        <v>#VALUE!</v>
      </c>
    </row>
    <row r="3335" spans="5:5">
      <c r="E3335" t="e">
        <v>#VALUE!</v>
      </c>
    </row>
    <row r="3336" spans="5:5">
      <c r="E3336" t="e">
        <v>#VALUE!</v>
      </c>
    </row>
    <row r="3337" spans="5:5">
      <c r="E3337" t="e">
        <v>#VALUE!</v>
      </c>
    </row>
    <row r="3338" spans="5:5">
      <c r="E3338" t="e">
        <v>#VALUE!</v>
      </c>
    </row>
    <row r="3339" spans="5:5">
      <c r="E3339" t="e">
        <v>#VALUE!</v>
      </c>
    </row>
    <row r="3340" spans="5:5">
      <c r="E3340" t="e">
        <v>#VALUE!</v>
      </c>
    </row>
    <row r="3341" spans="5:5">
      <c r="E3341" t="e">
        <v>#VALUE!</v>
      </c>
    </row>
    <row r="3342" spans="5:5">
      <c r="E3342" t="e">
        <v>#VALUE!</v>
      </c>
    </row>
    <row r="3343" spans="5:5">
      <c r="E3343" t="e">
        <v>#VALUE!</v>
      </c>
    </row>
    <row r="3344" spans="5:5">
      <c r="E3344" t="e">
        <v>#VALUE!</v>
      </c>
    </row>
    <row r="3345" spans="5:5">
      <c r="E3345" t="e">
        <v>#VALUE!</v>
      </c>
    </row>
    <row r="3346" spans="5:5">
      <c r="E3346" t="e">
        <v>#VALUE!</v>
      </c>
    </row>
    <row r="3347" spans="5:5">
      <c r="E3347" t="e">
        <v>#VALUE!</v>
      </c>
    </row>
    <row r="3348" spans="5:5">
      <c r="E3348" t="e">
        <v>#VALUE!</v>
      </c>
    </row>
    <row r="3349" spans="5:5">
      <c r="E3349" t="e">
        <v>#VALUE!</v>
      </c>
    </row>
    <row r="3350" spans="5:5">
      <c r="E3350" t="e">
        <v>#VALUE!</v>
      </c>
    </row>
    <row r="3351" spans="5:5">
      <c r="E3351" t="e">
        <v>#VALUE!</v>
      </c>
    </row>
    <row r="3352" spans="5:5">
      <c r="E3352" t="e">
        <v>#VALUE!</v>
      </c>
    </row>
    <row r="3353" spans="5:5">
      <c r="E3353" t="e">
        <v>#VALUE!</v>
      </c>
    </row>
    <row r="3354" spans="5:5">
      <c r="E3354" t="e">
        <v>#VALUE!</v>
      </c>
    </row>
    <row r="3355" spans="5:5">
      <c r="E3355" t="e">
        <v>#VALUE!</v>
      </c>
    </row>
    <row r="3356" spans="5:5">
      <c r="E3356" t="e">
        <v>#VALUE!</v>
      </c>
    </row>
    <row r="3357" spans="5:5">
      <c r="E3357" t="e">
        <v>#VALUE!</v>
      </c>
    </row>
    <row r="3358" spans="5:5">
      <c r="E3358" t="e">
        <v>#VALUE!</v>
      </c>
    </row>
    <row r="3359" spans="5:5">
      <c r="E3359" t="e">
        <v>#VALUE!</v>
      </c>
    </row>
    <row r="3360" spans="5:5">
      <c r="E3360" t="e">
        <v>#VALUE!</v>
      </c>
    </row>
    <row r="3361" spans="5:5">
      <c r="E3361" t="e">
        <v>#VALUE!</v>
      </c>
    </row>
    <row r="3362" spans="5:5">
      <c r="E3362" t="e">
        <v>#VALUE!</v>
      </c>
    </row>
    <row r="3363" spans="5:5">
      <c r="E3363" t="e">
        <v>#VALUE!</v>
      </c>
    </row>
    <row r="3364" spans="5:5">
      <c r="E3364" t="e">
        <v>#VALUE!</v>
      </c>
    </row>
    <row r="3365" spans="5:5">
      <c r="E3365" t="e">
        <v>#VALUE!</v>
      </c>
    </row>
    <row r="3366" spans="5:5">
      <c r="E3366" t="e">
        <v>#VALUE!</v>
      </c>
    </row>
    <row r="3367" spans="5:5">
      <c r="E3367" t="e">
        <v>#VALUE!</v>
      </c>
    </row>
    <row r="3368" spans="5:5">
      <c r="E3368" t="e">
        <v>#VALUE!</v>
      </c>
    </row>
    <row r="3369" spans="5:5">
      <c r="E3369" t="e">
        <v>#VALUE!</v>
      </c>
    </row>
    <row r="3370" spans="5:5">
      <c r="E3370" t="e">
        <v>#VALUE!</v>
      </c>
    </row>
    <row r="3371" spans="5:5">
      <c r="E3371" t="e">
        <v>#VALUE!</v>
      </c>
    </row>
    <row r="3372" spans="5:5">
      <c r="E3372" t="e">
        <v>#VALUE!</v>
      </c>
    </row>
    <row r="3373" spans="5:5">
      <c r="E3373" t="e">
        <v>#VALUE!</v>
      </c>
    </row>
    <row r="3374" spans="5:5">
      <c r="E3374" t="e">
        <v>#VALUE!</v>
      </c>
    </row>
    <row r="3375" spans="5:5">
      <c r="E3375" t="e">
        <v>#VALUE!</v>
      </c>
    </row>
    <row r="3376" spans="5:5">
      <c r="E3376" t="e">
        <v>#VALUE!</v>
      </c>
    </row>
    <row r="3377" spans="5:5">
      <c r="E3377" t="e">
        <v>#VALUE!</v>
      </c>
    </row>
    <row r="3378" spans="5:5">
      <c r="E3378" t="e">
        <v>#VALUE!</v>
      </c>
    </row>
    <row r="3379" spans="5:5">
      <c r="E3379" t="e">
        <v>#VALUE!</v>
      </c>
    </row>
    <row r="3380" spans="5:5">
      <c r="E3380" t="e">
        <v>#VALUE!</v>
      </c>
    </row>
    <row r="3381" spans="5:5">
      <c r="E3381" t="e">
        <v>#VALUE!</v>
      </c>
    </row>
    <row r="3382" spans="5:5">
      <c r="E3382" t="e">
        <v>#VALUE!</v>
      </c>
    </row>
    <row r="3383" spans="5:5">
      <c r="E3383" t="e">
        <v>#VALUE!</v>
      </c>
    </row>
    <row r="3384" spans="5:5">
      <c r="E3384" t="e">
        <v>#VALUE!</v>
      </c>
    </row>
    <row r="3385" spans="5:5">
      <c r="E3385" t="e">
        <v>#VALUE!</v>
      </c>
    </row>
    <row r="3386" spans="5:5">
      <c r="E3386" t="e">
        <v>#VALUE!</v>
      </c>
    </row>
    <row r="3387" spans="5:5">
      <c r="E3387" t="e">
        <v>#VALUE!</v>
      </c>
    </row>
    <row r="3388" spans="5:5">
      <c r="E3388" t="e">
        <v>#VALUE!</v>
      </c>
    </row>
    <row r="3389" spans="5:5">
      <c r="E3389" t="e">
        <v>#VALUE!</v>
      </c>
    </row>
    <row r="3390" spans="5:5">
      <c r="E3390" t="e">
        <v>#VALUE!</v>
      </c>
    </row>
    <row r="3391" spans="5:5">
      <c r="E3391" t="e">
        <v>#VALUE!</v>
      </c>
    </row>
    <row r="3392" spans="5:5">
      <c r="E3392" t="e">
        <v>#VALUE!</v>
      </c>
    </row>
    <row r="3393" spans="5:5">
      <c r="E3393" t="e">
        <v>#VALUE!</v>
      </c>
    </row>
    <row r="3394" spans="5:5">
      <c r="E3394" t="e">
        <v>#VALUE!</v>
      </c>
    </row>
    <row r="3395" spans="5:5">
      <c r="E3395" t="e">
        <v>#VALUE!</v>
      </c>
    </row>
    <row r="3396" spans="5:5">
      <c r="E3396" t="e">
        <v>#VALUE!</v>
      </c>
    </row>
    <row r="3397" spans="5:5">
      <c r="E3397" t="e">
        <v>#VALUE!</v>
      </c>
    </row>
    <row r="3398" spans="5:5">
      <c r="E3398" t="e">
        <v>#VALUE!</v>
      </c>
    </row>
    <row r="3399" spans="5:5">
      <c r="E3399" t="e">
        <v>#VALUE!</v>
      </c>
    </row>
    <row r="3400" spans="5:5">
      <c r="E3400" t="e">
        <v>#VALUE!</v>
      </c>
    </row>
    <row r="3401" spans="5:5">
      <c r="E3401" t="e">
        <v>#VALUE!</v>
      </c>
    </row>
    <row r="3402" spans="5:5">
      <c r="E3402" t="e">
        <v>#VALUE!</v>
      </c>
    </row>
    <row r="3403" spans="5:5">
      <c r="E3403" t="e">
        <v>#VALUE!</v>
      </c>
    </row>
    <row r="3404" spans="5:5">
      <c r="E3404" t="e">
        <v>#VALUE!</v>
      </c>
    </row>
    <row r="3405" spans="5:5">
      <c r="E3405" t="e">
        <v>#VALUE!</v>
      </c>
    </row>
    <row r="3406" spans="5:5">
      <c r="E3406" t="e">
        <v>#VALUE!</v>
      </c>
    </row>
    <row r="3407" spans="5:5">
      <c r="E3407" t="e">
        <v>#VALUE!</v>
      </c>
    </row>
    <row r="3408" spans="5:5">
      <c r="E3408" t="e">
        <v>#VALUE!</v>
      </c>
    </row>
    <row r="3409" spans="5:5">
      <c r="E3409" t="e">
        <v>#VALUE!</v>
      </c>
    </row>
    <row r="3410" spans="5:5">
      <c r="E3410" t="e">
        <v>#VALUE!</v>
      </c>
    </row>
    <row r="3411" spans="5:5">
      <c r="E3411" t="e">
        <v>#VALUE!</v>
      </c>
    </row>
    <row r="3412" spans="5:5">
      <c r="E3412" t="e">
        <v>#VALUE!</v>
      </c>
    </row>
    <row r="3413" spans="5:5">
      <c r="E3413" t="e">
        <v>#VALUE!</v>
      </c>
    </row>
    <row r="3414" spans="5:5">
      <c r="E3414" t="e">
        <v>#VALUE!</v>
      </c>
    </row>
    <row r="3415" spans="5:5">
      <c r="E3415" t="e">
        <v>#VALUE!</v>
      </c>
    </row>
    <row r="3416" spans="5:5">
      <c r="E3416" t="e">
        <v>#VALUE!</v>
      </c>
    </row>
    <row r="3417" spans="5:5">
      <c r="E3417" t="e">
        <v>#VALUE!</v>
      </c>
    </row>
    <row r="3418" spans="5:5">
      <c r="E3418" t="e">
        <v>#VALUE!</v>
      </c>
    </row>
    <row r="3419" spans="5:5">
      <c r="E3419" t="e">
        <v>#VALUE!</v>
      </c>
    </row>
    <row r="3420" spans="5:5">
      <c r="E3420" t="e">
        <v>#VALUE!</v>
      </c>
    </row>
    <row r="3421" spans="5:5">
      <c r="E3421" t="e">
        <v>#VALUE!</v>
      </c>
    </row>
    <row r="3422" spans="5:5">
      <c r="E3422" t="e">
        <v>#VALUE!</v>
      </c>
    </row>
    <row r="3423" spans="5:5">
      <c r="E3423" t="e">
        <v>#VALUE!</v>
      </c>
    </row>
    <row r="3424" spans="5:5">
      <c r="E3424" t="e">
        <v>#VALUE!</v>
      </c>
    </row>
    <row r="3425" spans="5:5">
      <c r="E3425" t="e">
        <v>#VALUE!</v>
      </c>
    </row>
    <row r="3426" spans="5:5">
      <c r="E3426" t="e">
        <v>#VALUE!</v>
      </c>
    </row>
    <row r="3427" spans="5:5">
      <c r="E3427" t="e">
        <v>#VALUE!</v>
      </c>
    </row>
    <row r="3428" spans="5:5">
      <c r="E3428" t="e">
        <v>#VALUE!</v>
      </c>
    </row>
    <row r="3429" spans="5:5">
      <c r="E3429" t="e">
        <v>#VALUE!</v>
      </c>
    </row>
    <row r="3430" spans="5:5">
      <c r="E3430" t="e">
        <v>#VALUE!</v>
      </c>
    </row>
    <row r="3431" spans="5:5">
      <c r="E3431" t="e">
        <v>#VALUE!</v>
      </c>
    </row>
    <row r="3432" spans="5:5">
      <c r="E3432" t="e">
        <v>#VALUE!</v>
      </c>
    </row>
    <row r="3433" spans="5:5">
      <c r="E3433" t="e">
        <v>#VALUE!</v>
      </c>
    </row>
    <row r="3434" spans="5:5">
      <c r="E3434" t="e">
        <v>#VALUE!</v>
      </c>
    </row>
    <row r="3435" spans="5:5">
      <c r="E3435" t="e">
        <v>#VALUE!</v>
      </c>
    </row>
    <row r="3436" spans="5:5">
      <c r="E3436" t="e">
        <v>#VALUE!</v>
      </c>
    </row>
    <row r="3437" spans="5:5">
      <c r="E3437" t="e">
        <v>#VALUE!</v>
      </c>
    </row>
    <row r="3438" spans="5:5">
      <c r="E3438" t="e">
        <v>#VALUE!</v>
      </c>
    </row>
    <row r="3439" spans="5:5">
      <c r="E3439" t="e">
        <v>#VALUE!</v>
      </c>
    </row>
    <row r="3440" spans="5:5">
      <c r="E3440" t="e">
        <v>#VALUE!</v>
      </c>
    </row>
    <row r="3441" spans="5:5">
      <c r="E3441" t="e">
        <v>#VALUE!</v>
      </c>
    </row>
    <row r="3442" spans="5:5">
      <c r="E3442" t="e">
        <v>#VALUE!</v>
      </c>
    </row>
    <row r="3443" spans="5:5">
      <c r="E3443" t="e">
        <v>#VALUE!</v>
      </c>
    </row>
    <row r="3444" spans="5:5">
      <c r="E3444" t="e">
        <v>#VALUE!</v>
      </c>
    </row>
    <row r="3445" spans="5:5">
      <c r="E3445" t="e">
        <v>#VALUE!</v>
      </c>
    </row>
    <row r="3446" spans="5:5">
      <c r="E3446" t="e">
        <v>#VALUE!</v>
      </c>
    </row>
    <row r="3447" spans="5:5">
      <c r="E3447" t="e">
        <v>#VALUE!</v>
      </c>
    </row>
    <row r="3448" spans="5:5">
      <c r="E3448" t="e">
        <v>#VALUE!</v>
      </c>
    </row>
    <row r="3449" spans="5:5">
      <c r="E3449" t="e">
        <v>#VALUE!</v>
      </c>
    </row>
    <row r="3450" spans="5:5">
      <c r="E3450" t="e">
        <v>#VALUE!</v>
      </c>
    </row>
    <row r="3451" spans="5:5">
      <c r="E3451" t="e">
        <v>#VALUE!</v>
      </c>
    </row>
    <row r="3452" spans="5:5">
      <c r="E3452" t="e">
        <v>#VALUE!</v>
      </c>
    </row>
    <row r="3453" spans="5:5">
      <c r="E3453" t="e">
        <v>#VALUE!</v>
      </c>
    </row>
    <row r="3454" spans="5:5">
      <c r="E3454" t="e">
        <v>#VALUE!</v>
      </c>
    </row>
    <row r="3455" spans="5:5">
      <c r="E3455" t="e">
        <v>#VALUE!</v>
      </c>
    </row>
    <row r="3456" spans="5:5">
      <c r="E3456" t="e">
        <v>#VALUE!</v>
      </c>
    </row>
    <row r="3457" spans="5:5">
      <c r="E3457" t="e">
        <v>#VALUE!</v>
      </c>
    </row>
    <row r="3458" spans="5:5">
      <c r="E3458" t="e">
        <v>#VALUE!</v>
      </c>
    </row>
    <row r="3459" spans="5:5">
      <c r="E3459" t="e">
        <v>#VALUE!</v>
      </c>
    </row>
    <row r="3460" spans="5:5">
      <c r="E3460" t="e">
        <v>#VALUE!</v>
      </c>
    </row>
    <row r="3461" spans="5:5">
      <c r="E3461" t="e">
        <v>#VALUE!</v>
      </c>
    </row>
    <row r="3462" spans="5:5">
      <c r="E3462" t="e">
        <v>#VALUE!</v>
      </c>
    </row>
    <row r="3463" spans="5:5">
      <c r="E3463" t="e">
        <v>#VALUE!</v>
      </c>
    </row>
    <row r="3464" spans="5:5">
      <c r="E3464" t="e">
        <v>#VALUE!</v>
      </c>
    </row>
    <row r="3465" spans="5:5">
      <c r="E3465" t="e">
        <v>#VALUE!</v>
      </c>
    </row>
    <row r="3466" spans="5:5">
      <c r="E3466" t="e">
        <v>#VALUE!</v>
      </c>
    </row>
    <row r="3467" spans="5:5">
      <c r="E3467" t="e">
        <v>#VALUE!</v>
      </c>
    </row>
    <row r="3468" spans="5:5">
      <c r="E3468" t="e">
        <v>#VALUE!</v>
      </c>
    </row>
    <row r="3469" spans="5:5">
      <c r="E3469" t="e">
        <v>#VALUE!</v>
      </c>
    </row>
    <row r="3470" spans="5:5">
      <c r="E3470" t="e">
        <v>#VALUE!</v>
      </c>
    </row>
    <row r="3471" spans="5:5">
      <c r="E3471" t="e">
        <v>#VALUE!</v>
      </c>
    </row>
    <row r="3472" spans="5:5">
      <c r="E3472" t="e">
        <v>#VALUE!</v>
      </c>
    </row>
    <row r="3473" spans="5:5">
      <c r="E3473" t="e">
        <v>#VALUE!</v>
      </c>
    </row>
    <row r="3474" spans="5:5">
      <c r="E3474" t="e">
        <v>#VALUE!</v>
      </c>
    </row>
    <row r="3475" spans="5:5">
      <c r="E3475" t="e">
        <v>#VALUE!</v>
      </c>
    </row>
    <row r="3476" spans="5:5">
      <c r="E3476" t="e">
        <v>#VALUE!</v>
      </c>
    </row>
    <row r="3477" spans="5:5">
      <c r="E3477" t="e">
        <v>#VALUE!</v>
      </c>
    </row>
    <row r="3478" spans="5:5">
      <c r="E3478" t="e">
        <v>#VALUE!</v>
      </c>
    </row>
    <row r="3479" spans="5:5">
      <c r="E3479" t="e">
        <v>#VALUE!</v>
      </c>
    </row>
    <row r="3480" spans="5:5">
      <c r="E3480" t="e">
        <v>#VALUE!</v>
      </c>
    </row>
    <row r="3481" spans="5:5">
      <c r="E3481" t="e">
        <v>#VALUE!</v>
      </c>
    </row>
    <row r="3482" spans="5:5">
      <c r="E3482" t="e">
        <v>#VALUE!</v>
      </c>
    </row>
    <row r="3483" spans="5:5">
      <c r="E3483" t="e">
        <v>#VALUE!</v>
      </c>
    </row>
    <row r="3484" spans="5:5">
      <c r="E3484" t="e">
        <v>#VALUE!</v>
      </c>
    </row>
    <row r="3485" spans="5:5">
      <c r="E3485" t="e">
        <v>#VALUE!</v>
      </c>
    </row>
    <row r="3486" spans="5:5">
      <c r="E3486" t="e">
        <v>#VALUE!</v>
      </c>
    </row>
    <row r="3487" spans="5:5">
      <c r="E3487" t="e">
        <v>#VALUE!</v>
      </c>
    </row>
    <row r="3488" spans="5:5">
      <c r="E3488" t="e">
        <v>#VALUE!</v>
      </c>
    </row>
    <row r="3489" spans="5:5">
      <c r="E3489" t="e">
        <v>#VALUE!</v>
      </c>
    </row>
    <row r="3490" spans="5:5">
      <c r="E3490" t="e">
        <v>#VALUE!</v>
      </c>
    </row>
    <row r="3491" spans="5:5">
      <c r="E3491" t="e">
        <v>#VALUE!</v>
      </c>
    </row>
    <row r="3492" spans="5:5">
      <c r="E3492" t="e">
        <v>#VALUE!</v>
      </c>
    </row>
    <row r="3493" spans="5:5">
      <c r="E3493" t="e">
        <v>#VALUE!</v>
      </c>
    </row>
    <row r="3494" spans="5:5">
      <c r="E3494" t="e">
        <v>#VALUE!</v>
      </c>
    </row>
    <row r="3495" spans="5:5">
      <c r="E3495" t="e">
        <v>#VALUE!</v>
      </c>
    </row>
    <row r="3496" spans="5:5">
      <c r="E3496" t="e">
        <v>#VALUE!</v>
      </c>
    </row>
    <row r="3497" spans="5:5">
      <c r="E3497" t="e">
        <v>#VALUE!</v>
      </c>
    </row>
    <row r="3498" spans="5:5">
      <c r="E3498" t="e">
        <v>#VALUE!</v>
      </c>
    </row>
    <row r="3499" spans="5:5">
      <c r="E3499" t="e">
        <v>#VALUE!</v>
      </c>
    </row>
    <row r="3500" spans="5:5">
      <c r="E3500" t="e">
        <v>#VALUE!</v>
      </c>
    </row>
    <row r="3501" spans="5:5">
      <c r="E3501" t="e">
        <v>#VALUE!</v>
      </c>
    </row>
    <row r="3502" spans="5:5">
      <c r="E3502" t="e">
        <v>#VALUE!</v>
      </c>
    </row>
    <row r="3503" spans="5:5">
      <c r="E3503" t="e">
        <v>#VALUE!</v>
      </c>
    </row>
    <row r="3504" spans="5:5">
      <c r="E3504" t="e">
        <v>#VALUE!</v>
      </c>
    </row>
    <row r="3505" spans="5:5">
      <c r="E3505" t="e">
        <v>#VALUE!</v>
      </c>
    </row>
    <row r="3506" spans="5:5">
      <c r="E3506" t="e">
        <v>#VALUE!</v>
      </c>
    </row>
    <row r="3507" spans="5:5">
      <c r="E3507" t="e">
        <v>#VALUE!</v>
      </c>
    </row>
    <row r="3508" spans="5:5">
      <c r="E3508" t="e">
        <v>#VALUE!</v>
      </c>
    </row>
    <row r="3509" spans="5:5">
      <c r="E3509" t="e">
        <v>#VALUE!</v>
      </c>
    </row>
    <row r="3510" spans="5:5">
      <c r="E3510" t="e">
        <v>#VALUE!</v>
      </c>
    </row>
    <row r="3511" spans="5:5">
      <c r="E3511" t="e">
        <v>#VALUE!</v>
      </c>
    </row>
    <row r="3512" spans="5:5">
      <c r="E3512" t="e">
        <v>#VALUE!</v>
      </c>
    </row>
    <row r="3513" spans="5:5">
      <c r="E3513" t="e">
        <v>#VALUE!</v>
      </c>
    </row>
    <row r="3514" spans="5:5">
      <c r="E3514" t="e">
        <v>#VALUE!</v>
      </c>
    </row>
    <row r="3515" spans="5:5">
      <c r="E3515" t="e">
        <v>#VALUE!</v>
      </c>
    </row>
    <row r="3516" spans="5:5">
      <c r="E3516" t="e">
        <v>#VALUE!</v>
      </c>
    </row>
    <row r="3517" spans="5:5">
      <c r="E3517" t="e">
        <v>#VALUE!</v>
      </c>
    </row>
    <row r="3518" spans="5:5">
      <c r="E3518" t="e">
        <v>#VALUE!</v>
      </c>
    </row>
    <row r="3519" spans="5:5">
      <c r="E3519" t="e">
        <v>#VALUE!</v>
      </c>
    </row>
    <row r="3520" spans="5:5">
      <c r="E3520" t="e">
        <v>#VALUE!</v>
      </c>
    </row>
    <row r="3521" spans="5:5">
      <c r="E3521" t="e">
        <v>#VALUE!</v>
      </c>
    </row>
    <row r="3522" spans="5:5">
      <c r="E3522" t="e">
        <v>#VALUE!</v>
      </c>
    </row>
    <row r="3523" spans="5:5">
      <c r="E3523" t="e">
        <v>#VALUE!</v>
      </c>
    </row>
    <row r="3524" spans="5:5">
      <c r="E3524" t="e">
        <v>#VALUE!</v>
      </c>
    </row>
    <row r="3525" spans="5:5">
      <c r="E3525" t="e">
        <v>#VALUE!</v>
      </c>
    </row>
    <row r="3526" spans="5:5">
      <c r="E3526" t="e">
        <v>#VALUE!</v>
      </c>
    </row>
    <row r="3527" spans="5:5">
      <c r="E3527" t="e">
        <v>#VALUE!</v>
      </c>
    </row>
    <row r="3528" spans="5:5">
      <c r="E3528" t="e">
        <v>#VALUE!</v>
      </c>
    </row>
    <row r="3529" spans="5:5">
      <c r="E3529" t="e">
        <v>#VALUE!</v>
      </c>
    </row>
    <row r="3530" spans="5:5">
      <c r="E3530" t="e">
        <v>#VALUE!</v>
      </c>
    </row>
    <row r="3531" spans="5:5">
      <c r="E3531" t="e">
        <v>#VALUE!</v>
      </c>
    </row>
    <row r="3532" spans="5:5">
      <c r="E3532" t="e">
        <v>#VALUE!</v>
      </c>
    </row>
    <row r="3533" spans="5:5">
      <c r="E3533" t="e">
        <v>#VALUE!</v>
      </c>
    </row>
    <row r="3534" spans="5:5">
      <c r="E3534" t="e">
        <v>#VALUE!</v>
      </c>
    </row>
    <row r="3535" spans="5:5">
      <c r="E3535" t="e">
        <v>#VALUE!</v>
      </c>
    </row>
    <row r="3536" spans="5:5">
      <c r="E3536" t="e">
        <v>#VALUE!</v>
      </c>
    </row>
    <row r="3537" spans="5:5">
      <c r="E3537" t="e">
        <v>#VALUE!</v>
      </c>
    </row>
    <row r="3538" spans="5:5">
      <c r="E3538" t="e">
        <v>#VALUE!</v>
      </c>
    </row>
    <row r="3539" spans="5:5">
      <c r="E3539" t="e">
        <v>#VALUE!</v>
      </c>
    </row>
    <row r="3540" spans="5:5">
      <c r="E3540" t="e">
        <v>#VALUE!</v>
      </c>
    </row>
    <row r="3541" spans="5:5">
      <c r="E3541" t="e">
        <v>#VALUE!</v>
      </c>
    </row>
    <row r="3542" spans="5:5">
      <c r="E3542" t="e">
        <v>#VALUE!</v>
      </c>
    </row>
    <row r="3543" spans="5:5">
      <c r="E3543" t="e">
        <v>#VALUE!</v>
      </c>
    </row>
    <row r="3544" spans="5:5">
      <c r="E3544" t="e">
        <v>#VALUE!</v>
      </c>
    </row>
    <row r="3545" spans="5:5">
      <c r="E3545" t="e">
        <v>#VALUE!</v>
      </c>
    </row>
    <row r="3546" spans="5:5">
      <c r="E3546" t="e">
        <v>#VALUE!</v>
      </c>
    </row>
    <row r="3547" spans="5:5">
      <c r="E3547" t="e">
        <v>#VALUE!</v>
      </c>
    </row>
    <row r="3548" spans="5:5">
      <c r="E3548" t="e">
        <v>#VALUE!</v>
      </c>
    </row>
    <row r="3549" spans="5:5">
      <c r="E3549" t="e">
        <v>#VALUE!</v>
      </c>
    </row>
    <row r="3550" spans="5:5">
      <c r="E3550" t="e">
        <v>#VALUE!</v>
      </c>
    </row>
    <row r="3551" spans="5:5">
      <c r="E3551" t="e">
        <v>#VALUE!</v>
      </c>
    </row>
    <row r="3552" spans="5:5">
      <c r="E3552" t="e">
        <v>#VALUE!</v>
      </c>
    </row>
    <row r="3553" spans="5:5">
      <c r="E3553" t="e">
        <v>#VALUE!</v>
      </c>
    </row>
    <row r="3554" spans="5:5">
      <c r="E3554" t="e">
        <v>#VALUE!</v>
      </c>
    </row>
    <row r="3555" spans="5:5">
      <c r="E3555" t="e">
        <v>#VALUE!</v>
      </c>
    </row>
    <row r="3556" spans="5:5">
      <c r="E3556" t="e">
        <v>#VALUE!</v>
      </c>
    </row>
    <row r="3557" spans="5:5">
      <c r="E3557" t="e">
        <v>#VALUE!</v>
      </c>
    </row>
    <row r="3558" spans="5:5">
      <c r="E3558" t="e">
        <v>#VALUE!</v>
      </c>
    </row>
    <row r="3559" spans="5:5">
      <c r="E3559" t="e">
        <v>#VALUE!</v>
      </c>
    </row>
    <row r="3560" spans="5:5">
      <c r="E3560" t="e">
        <v>#VALUE!</v>
      </c>
    </row>
    <row r="3561" spans="5:5">
      <c r="E3561" t="e">
        <v>#VALUE!</v>
      </c>
    </row>
    <row r="3562" spans="5:5">
      <c r="E3562" t="e">
        <v>#VALUE!</v>
      </c>
    </row>
    <row r="3563" spans="5:5">
      <c r="E3563" t="e">
        <v>#VALUE!</v>
      </c>
    </row>
    <row r="3564" spans="5:5">
      <c r="E3564" t="e">
        <v>#VALUE!</v>
      </c>
    </row>
    <row r="3565" spans="5:5">
      <c r="E3565" t="e">
        <v>#VALUE!</v>
      </c>
    </row>
    <row r="3566" spans="5:5">
      <c r="E3566" t="e">
        <v>#VALUE!</v>
      </c>
    </row>
    <row r="3567" spans="5:5">
      <c r="E3567" t="e">
        <v>#VALUE!</v>
      </c>
    </row>
    <row r="3568" spans="5:5">
      <c r="E3568" t="e">
        <v>#VALUE!</v>
      </c>
    </row>
    <row r="3569" spans="5:5">
      <c r="E3569" t="e">
        <v>#VALUE!</v>
      </c>
    </row>
    <row r="3570" spans="5:5">
      <c r="E3570" t="e">
        <v>#VALUE!</v>
      </c>
    </row>
    <row r="3571" spans="5:5">
      <c r="E3571" t="e">
        <v>#VALUE!</v>
      </c>
    </row>
    <row r="3572" spans="5:5">
      <c r="E3572" t="e">
        <v>#VALUE!</v>
      </c>
    </row>
    <row r="3573" spans="5:5">
      <c r="E3573" t="e">
        <v>#VALUE!</v>
      </c>
    </row>
    <row r="3574" spans="5:5">
      <c r="E3574" t="e">
        <v>#VALUE!</v>
      </c>
    </row>
    <row r="3575" spans="5:5">
      <c r="E3575" t="e">
        <v>#VALUE!</v>
      </c>
    </row>
    <row r="3576" spans="5:5">
      <c r="E3576" t="e">
        <v>#VALUE!</v>
      </c>
    </row>
    <row r="3577" spans="5:5">
      <c r="E3577" t="e">
        <v>#VALUE!</v>
      </c>
    </row>
    <row r="3578" spans="5:5">
      <c r="E3578" t="e">
        <v>#VALUE!</v>
      </c>
    </row>
    <row r="3579" spans="5:5">
      <c r="E3579" t="e">
        <v>#VALUE!</v>
      </c>
    </row>
    <row r="3580" spans="5:5">
      <c r="E3580" t="e">
        <v>#VALUE!</v>
      </c>
    </row>
    <row r="3581" spans="5:5">
      <c r="E3581" t="e">
        <v>#VALUE!</v>
      </c>
    </row>
    <row r="3582" spans="5:5">
      <c r="E3582" t="e">
        <v>#VALUE!</v>
      </c>
    </row>
    <row r="3583" spans="5:5">
      <c r="E3583" t="e">
        <v>#VALUE!</v>
      </c>
    </row>
    <row r="3584" spans="5:5">
      <c r="E3584" t="e">
        <v>#VALUE!</v>
      </c>
    </row>
    <row r="3585" spans="5:5">
      <c r="E3585" t="e">
        <v>#VALUE!</v>
      </c>
    </row>
    <row r="3586" spans="5:5">
      <c r="E3586" t="e">
        <v>#VALUE!</v>
      </c>
    </row>
    <row r="3587" spans="5:5">
      <c r="E3587" t="e">
        <v>#VALUE!</v>
      </c>
    </row>
    <row r="3588" spans="5:5">
      <c r="E3588" t="e">
        <v>#VALUE!</v>
      </c>
    </row>
    <row r="3589" spans="5:5">
      <c r="E3589" t="e">
        <v>#VALUE!</v>
      </c>
    </row>
    <row r="3590" spans="5:5">
      <c r="E3590" t="e">
        <v>#VALUE!</v>
      </c>
    </row>
    <row r="3591" spans="5:5">
      <c r="E3591" t="e">
        <v>#VALUE!</v>
      </c>
    </row>
    <row r="3592" spans="5:5">
      <c r="E3592" t="e">
        <v>#VALUE!</v>
      </c>
    </row>
    <row r="3593" spans="5:5">
      <c r="E3593" t="e">
        <v>#VALUE!</v>
      </c>
    </row>
    <row r="3594" spans="5:5">
      <c r="E3594" t="e">
        <v>#VALUE!</v>
      </c>
    </row>
    <row r="3595" spans="5:5">
      <c r="E3595" t="e">
        <v>#VALUE!</v>
      </c>
    </row>
    <row r="3596" spans="5:5">
      <c r="E3596" t="e">
        <v>#VALUE!</v>
      </c>
    </row>
    <row r="3597" spans="5:5">
      <c r="E3597" t="e">
        <v>#VALUE!</v>
      </c>
    </row>
    <row r="3598" spans="5:5">
      <c r="E3598" t="e">
        <v>#VALUE!</v>
      </c>
    </row>
    <row r="3599" spans="5:5">
      <c r="E3599" t="e">
        <v>#VALUE!</v>
      </c>
    </row>
    <row r="3600" spans="5:5">
      <c r="E3600" t="e">
        <v>#VALUE!</v>
      </c>
    </row>
    <row r="3601" spans="5:5">
      <c r="E3601" t="e">
        <v>#VALUE!</v>
      </c>
    </row>
    <row r="3602" spans="5:5">
      <c r="E3602" t="e">
        <v>#VALUE!</v>
      </c>
    </row>
    <row r="3603" spans="5:5">
      <c r="E3603" t="e">
        <v>#VALUE!</v>
      </c>
    </row>
    <row r="3604" spans="5:5">
      <c r="E3604" t="e">
        <v>#VALUE!</v>
      </c>
    </row>
    <row r="3605" spans="5:5">
      <c r="E3605" t="e">
        <v>#VALUE!</v>
      </c>
    </row>
    <row r="3606" spans="5:5">
      <c r="E3606" t="e">
        <v>#VALUE!</v>
      </c>
    </row>
    <row r="3607" spans="5:5">
      <c r="E3607" t="e">
        <v>#VALUE!</v>
      </c>
    </row>
    <row r="3608" spans="5:5">
      <c r="E3608" t="e">
        <v>#VALUE!</v>
      </c>
    </row>
    <row r="3609" spans="5:5">
      <c r="E3609" t="e">
        <v>#VALUE!</v>
      </c>
    </row>
    <row r="3610" spans="5:5">
      <c r="E3610" t="e">
        <v>#VALUE!</v>
      </c>
    </row>
    <row r="3611" spans="5:5">
      <c r="E3611" t="e">
        <v>#VALUE!</v>
      </c>
    </row>
    <row r="3612" spans="5:5">
      <c r="E3612" t="e">
        <v>#VALUE!</v>
      </c>
    </row>
    <row r="3613" spans="5:5">
      <c r="E3613" t="e">
        <v>#VALUE!</v>
      </c>
    </row>
    <row r="3614" spans="5:5">
      <c r="E3614" t="e">
        <v>#VALUE!</v>
      </c>
    </row>
    <row r="3615" spans="5:5">
      <c r="E3615" t="e">
        <v>#VALUE!</v>
      </c>
    </row>
    <row r="3616" spans="5:5">
      <c r="E3616" t="e">
        <v>#VALUE!</v>
      </c>
    </row>
    <row r="3617" spans="5:5">
      <c r="E3617" t="e">
        <v>#VALUE!</v>
      </c>
    </row>
    <row r="3618" spans="5:5">
      <c r="E3618" t="e">
        <v>#VALUE!</v>
      </c>
    </row>
    <row r="3619" spans="5:5">
      <c r="E3619" t="e">
        <v>#VALUE!</v>
      </c>
    </row>
    <row r="3620" spans="5:5">
      <c r="E3620" t="e">
        <v>#VALUE!</v>
      </c>
    </row>
    <row r="3621" spans="5:5">
      <c r="E3621" t="e">
        <v>#VALUE!</v>
      </c>
    </row>
    <row r="3622" spans="5:5">
      <c r="E3622" t="e">
        <v>#VALUE!</v>
      </c>
    </row>
    <row r="3623" spans="5:5">
      <c r="E3623" t="e">
        <v>#VALUE!</v>
      </c>
    </row>
    <row r="3624" spans="5:5">
      <c r="E3624" t="e">
        <v>#VALUE!</v>
      </c>
    </row>
    <row r="3625" spans="5:5">
      <c r="E3625" t="e">
        <v>#VALUE!</v>
      </c>
    </row>
    <row r="3626" spans="5:5">
      <c r="E3626" t="e">
        <v>#VALUE!</v>
      </c>
    </row>
    <row r="3627" spans="5:5">
      <c r="E3627" t="e">
        <v>#VALUE!</v>
      </c>
    </row>
    <row r="3628" spans="5:5">
      <c r="E3628" t="e">
        <v>#VALUE!</v>
      </c>
    </row>
    <row r="3629" spans="5:5">
      <c r="E3629" t="e">
        <v>#VALUE!</v>
      </c>
    </row>
    <row r="3630" spans="5:5">
      <c r="E3630" t="e">
        <v>#VALUE!</v>
      </c>
    </row>
    <row r="3631" spans="5:5">
      <c r="E3631" t="e">
        <v>#VALUE!</v>
      </c>
    </row>
    <row r="3632" spans="5:5">
      <c r="E3632" t="e">
        <v>#VALUE!</v>
      </c>
    </row>
    <row r="3633" spans="5:5">
      <c r="E3633" t="e">
        <v>#VALUE!</v>
      </c>
    </row>
    <row r="3634" spans="5:5">
      <c r="E3634" t="e">
        <v>#VALUE!</v>
      </c>
    </row>
    <row r="3635" spans="5:5">
      <c r="E3635" t="e">
        <v>#VALUE!</v>
      </c>
    </row>
    <row r="3636" spans="5:5">
      <c r="E3636" t="e">
        <v>#VALUE!</v>
      </c>
    </row>
    <row r="3637" spans="5:5">
      <c r="E3637" t="e">
        <v>#VALUE!</v>
      </c>
    </row>
    <row r="3638" spans="5:5">
      <c r="E3638" t="e">
        <v>#VALUE!</v>
      </c>
    </row>
    <row r="3639" spans="5:5">
      <c r="E3639" t="e">
        <v>#VALUE!</v>
      </c>
    </row>
    <row r="3640" spans="5:5">
      <c r="E3640" t="e">
        <v>#VALUE!</v>
      </c>
    </row>
    <row r="3641" spans="5:5">
      <c r="E3641" t="e">
        <v>#VALUE!</v>
      </c>
    </row>
    <row r="3642" spans="5:5">
      <c r="E3642" t="e">
        <v>#VALUE!</v>
      </c>
    </row>
    <row r="3643" spans="5:5">
      <c r="E3643" t="e">
        <v>#VALUE!</v>
      </c>
    </row>
    <row r="3644" spans="5:5">
      <c r="E3644" t="e">
        <v>#VALUE!</v>
      </c>
    </row>
    <row r="3645" spans="5:5">
      <c r="E3645" t="e">
        <v>#VALUE!</v>
      </c>
    </row>
    <row r="3646" spans="5:5">
      <c r="E3646" t="e">
        <v>#VALUE!</v>
      </c>
    </row>
    <row r="3647" spans="5:5">
      <c r="E3647" t="e">
        <v>#VALUE!</v>
      </c>
    </row>
    <row r="3648" spans="5:5">
      <c r="E3648" t="e">
        <v>#VALUE!</v>
      </c>
    </row>
    <row r="3649" spans="5:5">
      <c r="E3649" t="e">
        <v>#VALUE!</v>
      </c>
    </row>
    <row r="3650" spans="5:5">
      <c r="E3650" t="e">
        <v>#VALUE!</v>
      </c>
    </row>
    <row r="3651" spans="5:5">
      <c r="E3651" t="e">
        <v>#VALUE!</v>
      </c>
    </row>
    <row r="3652" spans="5:5">
      <c r="E3652" t="e">
        <v>#VALUE!</v>
      </c>
    </row>
    <row r="3653" spans="5:5">
      <c r="E3653" t="e">
        <v>#VALUE!</v>
      </c>
    </row>
    <row r="3654" spans="5:5">
      <c r="E3654" t="e">
        <v>#VALUE!</v>
      </c>
    </row>
    <row r="3655" spans="5:5">
      <c r="E3655" t="e">
        <v>#VALUE!</v>
      </c>
    </row>
    <row r="3656" spans="5:5">
      <c r="E3656" t="e">
        <v>#VALUE!</v>
      </c>
    </row>
    <row r="3657" spans="5:5">
      <c r="E3657" t="e">
        <v>#VALUE!</v>
      </c>
    </row>
    <row r="3658" spans="5:5">
      <c r="E3658" t="e">
        <v>#VALUE!</v>
      </c>
    </row>
    <row r="3659" spans="5:5">
      <c r="E3659" t="e">
        <v>#VALUE!</v>
      </c>
    </row>
    <row r="3660" spans="5:5">
      <c r="E3660" t="e">
        <v>#VALUE!</v>
      </c>
    </row>
    <row r="3661" spans="5:5">
      <c r="E3661" t="e">
        <v>#VALUE!</v>
      </c>
    </row>
    <row r="3662" spans="5:5">
      <c r="E3662" t="e">
        <v>#VALUE!</v>
      </c>
    </row>
    <row r="3663" spans="5:5">
      <c r="E3663" t="e">
        <v>#VALUE!</v>
      </c>
    </row>
    <row r="3664" spans="5:5">
      <c r="E3664" t="e">
        <v>#VALUE!</v>
      </c>
    </row>
    <row r="3665" spans="5:5">
      <c r="E3665" t="e">
        <v>#VALUE!</v>
      </c>
    </row>
    <row r="3666" spans="5:5">
      <c r="E3666" t="e">
        <v>#VALUE!</v>
      </c>
    </row>
    <row r="3667" spans="5:5">
      <c r="E3667" t="e">
        <v>#VALUE!</v>
      </c>
    </row>
    <row r="3668" spans="5:5">
      <c r="E3668" t="e">
        <v>#VALUE!</v>
      </c>
    </row>
    <row r="3669" spans="5:5">
      <c r="E3669" t="e">
        <v>#VALUE!</v>
      </c>
    </row>
    <row r="3670" spans="5:5">
      <c r="E3670" t="e">
        <v>#VALUE!</v>
      </c>
    </row>
    <row r="3671" spans="5:5">
      <c r="E3671" t="e">
        <v>#VALUE!</v>
      </c>
    </row>
    <row r="3672" spans="5:5">
      <c r="E3672" t="e">
        <v>#VALUE!</v>
      </c>
    </row>
    <row r="3673" spans="5:5">
      <c r="E3673" t="e">
        <v>#VALUE!</v>
      </c>
    </row>
    <row r="3674" spans="5:5">
      <c r="E3674" t="e">
        <v>#VALUE!</v>
      </c>
    </row>
    <row r="3675" spans="5:5">
      <c r="E3675" t="e">
        <v>#VALUE!</v>
      </c>
    </row>
    <row r="3676" spans="5:5">
      <c r="E3676" t="e">
        <v>#VALUE!</v>
      </c>
    </row>
    <row r="3677" spans="5:5">
      <c r="E3677" t="e">
        <v>#VALUE!</v>
      </c>
    </row>
    <row r="3678" spans="5:5">
      <c r="E3678" t="e">
        <v>#VALUE!</v>
      </c>
    </row>
    <row r="3679" spans="5:5">
      <c r="E3679" t="e">
        <v>#VALUE!</v>
      </c>
    </row>
    <row r="3680" spans="5:5">
      <c r="E3680" t="e">
        <v>#VALUE!</v>
      </c>
    </row>
    <row r="3681" spans="5:5">
      <c r="E3681" t="e">
        <v>#VALUE!</v>
      </c>
    </row>
    <row r="3682" spans="5:5">
      <c r="E3682" t="e">
        <v>#VALUE!</v>
      </c>
    </row>
    <row r="3683" spans="5:5">
      <c r="E3683" t="e">
        <v>#VALUE!</v>
      </c>
    </row>
    <row r="3684" spans="5:5">
      <c r="E3684" t="e">
        <v>#VALUE!</v>
      </c>
    </row>
    <row r="3685" spans="5:5">
      <c r="E3685" t="e">
        <v>#VALUE!</v>
      </c>
    </row>
    <row r="3686" spans="5:5">
      <c r="E3686" t="e">
        <v>#VALUE!</v>
      </c>
    </row>
    <row r="3687" spans="5:5">
      <c r="E3687" t="e">
        <v>#VALUE!</v>
      </c>
    </row>
    <row r="3688" spans="5:5">
      <c r="E3688" t="e">
        <v>#VALUE!</v>
      </c>
    </row>
    <row r="3689" spans="5:5">
      <c r="E3689" t="e">
        <v>#VALUE!</v>
      </c>
    </row>
    <row r="3690" spans="5:5">
      <c r="E3690" t="e">
        <v>#VALUE!</v>
      </c>
    </row>
    <row r="3691" spans="5:5">
      <c r="E3691" t="e">
        <v>#VALUE!</v>
      </c>
    </row>
    <row r="3692" spans="5:5">
      <c r="E3692" t="e">
        <v>#VALUE!</v>
      </c>
    </row>
    <row r="3693" spans="5:5">
      <c r="E3693" t="e">
        <v>#VALUE!</v>
      </c>
    </row>
    <row r="3694" spans="5:5">
      <c r="E3694" t="e">
        <v>#VALUE!</v>
      </c>
    </row>
    <row r="3695" spans="5:5">
      <c r="E3695" t="e">
        <v>#VALUE!</v>
      </c>
    </row>
    <row r="3696" spans="5:5">
      <c r="E3696" t="e">
        <v>#VALUE!</v>
      </c>
    </row>
    <row r="3697" spans="5:5">
      <c r="E3697" t="e">
        <v>#VALUE!</v>
      </c>
    </row>
    <row r="3698" spans="5:5">
      <c r="E3698" t="e">
        <v>#VALUE!</v>
      </c>
    </row>
    <row r="3699" spans="5:5">
      <c r="E3699" t="e">
        <v>#VALUE!</v>
      </c>
    </row>
    <row r="3700" spans="5:5">
      <c r="E3700" t="e">
        <v>#VALUE!</v>
      </c>
    </row>
    <row r="3701" spans="5:5">
      <c r="E3701" t="e">
        <v>#VALUE!</v>
      </c>
    </row>
    <row r="3702" spans="5:5">
      <c r="E3702" t="e">
        <v>#VALUE!</v>
      </c>
    </row>
    <row r="3703" spans="5:5">
      <c r="E3703" t="e">
        <v>#VALUE!</v>
      </c>
    </row>
    <row r="3704" spans="5:5">
      <c r="E3704" t="e">
        <v>#VALUE!</v>
      </c>
    </row>
    <row r="3705" spans="5:5">
      <c r="E3705" t="e">
        <v>#VALUE!</v>
      </c>
    </row>
    <row r="3706" spans="5:5">
      <c r="E3706" t="e">
        <v>#VALUE!</v>
      </c>
    </row>
    <row r="3707" spans="5:5">
      <c r="E3707" t="e">
        <v>#VALUE!</v>
      </c>
    </row>
    <row r="3708" spans="5:5">
      <c r="E3708" t="e">
        <v>#VALUE!</v>
      </c>
    </row>
    <row r="3709" spans="5:5">
      <c r="E3709" t="e">
        <v>#VALUE!</v>
      </c>
    </row>
    <row r="3710" spans="5:5">
      <c r="E3710" t="e">
        <v>#VALUE!</v>
      </c>
    </row>
    <row r="3711" spans="5:5">
      <c r="E3711" t="e">
        <v>#VALUE!</v>
      </c>
    </row>
    <row r="3712" spans="5:5">
      <c r="E3712" t="e">
        <v>#VALUE!</v>
      </c>
    </row>
    <row r="3713" spans="5:5">
      <c r="E3713" t="e">
        <v>#VALUE!</v>
      </c>
    </row>
    <row r="3714" spans="5:5">
      <c r="E3714" t="e">
        <v>#VALUE!</v>
      </c>
    </row>
    <row r="3715" spans="5:5">
      <c r="E3715" t="e">
        <v>#VALUE!</v>
      </c>
    </row>
    <row r="3716" spans="5:5">
      <c r="E3716" t="e">
        <v>#VALUE!</v>
      </c>
    </row>
    <row r="3717" spans="5:5">
      <c r="E3717" t="e">
        <v>#VALUE!</v>
      </c>
    </row>
    <row r="3718" spans="5:5">
      <c r="E3718" t="e">
        <v>#VALUE!</v>
      </c>
    </row>
    <row r="3719" spans="5:5">
      <c r="E3719" t="e">
        <v>#VALUE!</v>
      </c>
    </row>
    <row r="3720" spans="5:5">
      <c r="E3720" t="e">
        <v>#VALUE!</v>
      </c>
    </row>
    <row r="3721" spans="5:5">
      <c r="E3721" t="e">
        <v>#VALUE!</v>
      </c>
    </row>
    <row r="3722" spans="5:5">
      <c r="E3722" t="e">
        <v>#VALUE!</v>
      </c>
    </row>
    <row r="3723" spans="5:5">
      <c r="E3723" t="e">
        <v>#VALUE!</v>
      </c>
    </row>
    <row r="3724" spans="5:5">
      <c r="E3724" t="e">
        <v>#VALUE!</v>
      </c>
    </row>
    <row r="3725" spans="5:5">
      <c r="E3725" t="e">
        <v>#VALUE!</v>
      </c>
    </row>
    <row r="3726" spans="5:5">
      <c r="E3726" t="e">
        <v>#VALUE!</v>
      </c>
    </row>
    <row r="3727" spans="5:5">
      <c r="E3727" t="e">
        <v>#VALUE!</v>
      </c>
    </row>
    <row r="3728" spans="5:5">
      <c r="E3728" t="e">
        <v>#VALUE!</v>
      </c>
    </row>
    <row r="3729" spans="5:5">
      <c r="E3729" t="e">
        <v>#VALUE!</v>
      </c>
    </row>
    <row r="3730" spans="5:5">
      <c r="E3730" t="e">
        <v>#VALUE!</v>
      </c>
    </row>
    <row r="3731" spans="5:5">
      <c r="E3731" t="e">
        <v>#VALUE!</v>
      </c>
    </row>
    <row r="3732" spans="5:5">
      <c r="E3732" t="e">
        <v>#VALUE!</v>
      </c>
    </row>
    <row r="3733" spans="5:5">
      <c r="E3733" t="e">
        <v>#VALUE!</v>
      </c>
    </row>
    <row r="3734" spans="5:5">
      <c r="E3734" t="e">
        <v>#VALUE!</v>
      </c>
    </row>
    <row r="3735" spans="5:5">
      <c r="E3735" t="e">
        <v>#VALUE!</v>
      </c>
    </row>
    <row r="3736" spans="5:5">
      <c r="E3736" t="e">
        <v>#VALUE!</v>
      </c>
    </row>
    <row r="3737" spans="5:5">
      <c r="E3737" t="e">
        <v>#VALUE!</v>
      </c>
    </row>
    <row r="3738" spans="5:5">
      <c r="E3738" t="e">
        <v>#VALUE!</v>
      </c>
    </row>
    <row r="3739" spans="5:5">
      <c r="E3739" t="e">
        <v>#VALUE!</v>
      </c>
    </row>
    <row r="3740" spans="5:5">
      <c r="E3740" t="e">
        <v>#VALUE!</v>
      </c>
    </row>
    <row r="3741" spans="5:5">
      <c r="E3741" t="e">
        <v>#VALUE!</v>
      </c>
    </row>
    <row r="3742" spans="5:5">
      <c r="E3742" t="e">
        <v>#VALUE!</v>
      </c>
    </row>
    <row r="3743" spans="5:5">
      <c r="E3743" t="e">
        <v>#VALUE!</v>
      </c>
    </row>
    <row r="3744" spans="5:5">
      <c r="E3744" t="e">
        <v>#VALUE!</v>
      </c>
    </row>
    <row r="3745" spans="5:5">
      <c r="E3745" t="e">
        <v>#VALUE!</v>
      </c>
    </row>
    <row r="3746" spans="5:5">
      <c r="E3746" t="e">
        <v>#VALUE!</v>
      </c>
    </row>
    <row r="3747" spans="5:5">
      <c r="E3747" t="e">
        <v>#VALUE!</v>
      </c>
    </row>
    <row r="3748" spans="5:5">
      <c r="E3748" t="e">
        <v>#VALUE!</v>
      </c>
    </row>
    <row r="3749" spans="5:5">
      <c r="E3749" t="e">
        <v>#VALUE!</v>
      </c>
    </row>
    <row r="3750" spans="5:5">
      <c r="E3750" t="e">
        <v>#VALUE!</v>
      </c>
    </row>
    <row r="3751" spans="5:5">
      <c r="E3751" t="e">
        <v>#VALUE!</v>
      </c>
    </row>
    <row r="3752" spans="5:5">
      <c r="E3752" t="e">
        <v>#VALUE!</v>
      </c>
    </row>
    <row r="3753" spans="5:5">
      <c r="E3753" t="e">
        <v>#VALUE!</v>
      </c>
    </row>
    <row r="3754" spans="5:5">
      <c r="E3754" t="e">
        <v>#VALUE!</v>
      </c>
    </row>
    <row r="3755" spans="5:5">
      <c r="E3755" t="e">
        <v>#VALUE!</v>
      </c>
    </row>
    <row r="3756" spans="5:5">
      <c r="E3756" t="e">
        <v>#VALUE!</v>
      </c>
    </row>
    <row r="3757" spans="5:5">
      <c r="E3757" t="e">
        <v>#VALUE!</v>
      </c>
    </row>
    <row r="3758" spans="5:5">
      <c r="E3758" t="e">
        <v>#VALUE!</v>
      </c>
    </row>
    <row r="3759" spans="5:5">
      <c r="E3759" t="e">
        <v>#VALUE!</v>
      </c>
    </row>
    <row r="3760" spans="5:5">
      <c r="E3760" t="e">
        <v>#VALUE!</v>
      </c>
    </row>
    <row r="3761" spans="5:5">
      <c r="E3761" t="e">
        <v>#VALUE!</v>
      </c>
    </row>
    <row r="3762" spans="5:5">
      <c r="E3762" t="e">
        <v>#VALUE!</v>
      </c>
    </row>
    <row r="3763" spans="5:5">
      <c r="E3763" t="e">
        <v>#VALUE!</v>
      </c>
    </row>
    <row r="3764" spans="5:5">
      <c r="E3764" t="e">
        <v>#VALUE!</v>
      </c>
    </row>
    <row r="3765" spans="5:5">
      <c r="E3765" t="e">
        <v>#VALUE!</v>
      </c>
    </row>
    <row r="3766" spans="5:5">
      <c r="E3766" t="e">
        <v>#VALUE!</v>
      </c>
    </row>
    <row r="3767" spans="5:5">
      <c r="E3767" t="e">
        <v>#VALUE!</v>
      </c>
    </row>
    <row r="3768" spans="5:5">
      <c r="E3768" t="e">
        <v>#VALUE!</v>
      </c>
    </row>
    <row r="3769" spans="5:5">
      <c r="E3769" t="e">
        <v>#VALUE!</v>
      </c>
    </row>
    <row r="3770" spans="5:5">
      <c r="E3770" t="e">
        <v>#VALUE!</v>
      </c>
    </row>
    <row r="3771" spans="5:5">
      <c r="E3771" t="e">
        <v>#VALUE!</v>
      </c>
    </row>
    <row r="3772" spans="5:5">
      <c r="E3772" t="e">
        <v>#VALUE!</v>
      </c>
    </row>
    <row r="3773" spans="5:5">
      <c r="E3773" t="e">
        <v>#VALUE!</v>
      </c>
    </row>
    <row r="3774" spans="5:5">
      <c r="E3774" t="e">
        <v>#VALUE!</v>
      </c>
    </row>
    <row r="3775" spans="5:5">
      <c r="E3775" t="e">
        <v>#VALUE!</v>
      </c>
    </row>
    <row r="3776" spans="5:5">
      <c r="E3776" t="e">
        <v>#VALUE!</v>
      </c>
    </row>
    <row r="3777" spans="5:5">
      <c r="E3777" t="e">
        <v>#VALUE!</v>
      </c>
    </row>
    <row r="3778" spans="5:5">
      <c r="E3778" t="e">
        <v>#VALUE!</v>
      </c>
    </row>
    <row r="3779" spans="5:5">
      <c r="E3779" t="e">
        <v>#VALUE!</v>
      </c>
    </row>
    <row r="3780" spans="5:5">
      <c r="E3780" t="e">
        <v>#VALUE!</v>
      </c>
    </row>
    <row r="3781" spans="5:5">
      <c r="E3781" t="e">
        <v>#VALUE!</v>
      </c>
    </row>
    <row r="3782" spans="5:5">
      <c r="E3782" t="e">
        <v>#VALUE!</v>
      </c>
    </row>
    <row r="3783" spans="5:5">
      <c r="E3783" t="e">
        <v>#VALUE!</v>
      </c>
    </row>
    <row r="3784" spans="5:5">
      <c r="E3784" t="e">
        <v>#VALUE!</v>
      </c>
    </row>
    <row r="3785" spans="5:5">
      <c r="E3785" t="e">
        <v>#VALUE!</v>
      </c>
    </row>
    <row r="3786" spans="5:5">
      <c r="E3786" t="e">
        <v>#VALUE!</v>
      </c>
    </row>
    <row r="3787" spans="5:5">
      <c r="E3787" t="e">
        <v>#VALUE!</v>
      </c>
    </row>
    <row r="3788" spans="5:5">
      <c r="E3788" t="e">
        <v>#VALUE!</v>
      </c>
    </row>
    <row r="3789" spans="5:5">
      <c r="E3789" t="e">
        <v>#VALUE!</v>
      </c>
    </row>
    <row r="3790" spans="5:5">
      <c r="E3790" t="e">
        <v>#VALUE!</v>
      </c>
    </row>
    <row r="3791" spans="5:5">
      <c r="E3791" t="e">
        <v>#VALUE!</v>
      </c>
    </row>
    <row r="3792" spans="5:5">
      <c r="E3792" t="e">
        <v>#VALUE!</v>
      </c>
    </row>
    <row r="3793" spans="5:5">
      <c r="E3793" t="e">
        <v>#VALUE!</v>
      </c>
    </row>
    <row r="3794" spans="5:5">
      <c r="E3794" t="e">
        <v>#VALUE!</v>
      </c>
    </row>
    <row r="3795" spans="5:5">
      <c r="E3795" t="e">
        <v>#VALUE!</v>
      </c>
    </row>
    <row r="3796" spans="5:5">
      <c r="E3796" t="e">
        <v>#VALUE!</v>
      </c>
    </row>
    <row r="3797" spans="5:5">
      <c r="E3797" t="e">
        <v>#VALUE!</v>
      </c>
    </row>
    <row r="3798" spans="5:5">
      <c r="E3798" t="e">
        <v>#VALUE!</v>
      </c>
    </row>
    <row r="3799" spans="5:5">
      <c r="E3799" t="e">
        <v>#VALUE!</v>
      </c>
    </row>
    <row r="3800" spans="5:5">
      <c r="E3800" t="e">
        <v>#VALUE!</v>
      </c>
    </row>
    <row r="3801" spans="5:5">
      <c r="E3801" t="e">
        <v>#VALUE!</v>
      </c>
    </row>
    <row r="3802" spans="5:5">
      <c r="E3802" t="e">
        <v>#VALUE!</v>
      </c>
    </row>
    <row r="3803" spans="5:5">
      <c r="E3803" t="e">
        <v>#VALUE!</v>
      </c>
    </row>
    <row r="3804" spans="5:5">
      <c r="E3804" t="e">
        <v>#VALUE!</v>
      </c>
    </row>
    <row r="3805" spans="5:5">
      <c r="E3805" t="e">
        <v>#VALUE!</v>
      </c>
    </row>
    <row r="3806" spans="5:5">
      <c r="E3806" t="e">
        <v>#VALUE!</v>
      </c>
    </row>
    <row r="3807" spans="5:5">
      <c r="E3807" t="e">
        <v>#VALUE!</v>
      </c>
    </row>
    <row r="3808" spans="5:5">
      <c r="E3808" t="e">
        <v>#VALUE!</v>
      </c>
    </row>
    <row r="3809" spans="5:5">
      <c r="E3809" t="e">
        <v>#VALUE!</v>
      </c>
    </row>
    <row r="3810" spans="5:5">
      <c r="E3810" t="e">
        <v>#VALUE!</v>
      </c>
    </row>
    <row r="3811" spans="5:5">
      <c r="E3811" t="e">
        <v>#VALUE!</v>
      </c>
    </row>
    <row r="3812" spans="5:5">
      <c r="E3812" t="e">
        <v>#VALUE!</v>
      </c>
    </row>
    <row r="3813" spans="5:5">
      <c r="E3813" t="e">
        <v>#VALUE!</v>
      </c>
    </row>
    <row r="3814" spans="5:5">
      <c r="E3814" t="e">
        <v>#VALUE!</v>
      </c>
    </row>
    <row r="3815" spans="5:5">
      <c r="E3815" t="e">
        <v>#VALUE!</v>
      </c>
    </row>
    <row r="3816" spans="5:5">
      <c r="E3816" t="e">
        <v>#VALUE!</v>
      </c>
    </row>
    <row r="3817" spans="5:5">
      <c r="E3817" t="e">
        <v>#VALUE!</v>
      </c>
    </row>
    <row r="3818" spans="5:5">
      <c r="E3818" t="e">
        <v>#VALUE!</v>
      </c>
    </row>
    <row r="3819" spans="5:5">
      <c r="E3819" t="e">
        <v>#VALUE!</v>
      </c>
    </row>
    <row r="3820" spans="5:5">
      <c r="E3820" t="e">
        <v>#VALUE!</v>
      </c>
    </row>
    <row r="3821" spans="5:5">
      <c r="E3821" t="e">
        <v>#VALUE!</v>
      </c>
    </row>
    <row r="3822" spans="5:5">
      <c r="E3822" t="e">
        <v>#VALUE!</v>
      </c>
    </row>
    <row r="3823" spans="5:5">
      <c r="E3823" t="e">
        <v>#VALUE!</v>
      </c>
    </row>
    <row r="3824" spans="5:5">
      <c r="E3824" t="e">
        <v>#VALUE!</v>
      </c>
    </row>
    <row r="3825" spans="5:5">
      <c r="E3825" t="e">
        <v>#VALUE!</v>
      </c>
    </row>
    <row r="3826" spans="5:5">
      <c r="E3826" t="e">
        <v>#VALUE!</v>
      </c>
    </row>
    <row r="3827" spans="5:5">
      <c r="E3827" t="e">
        <v>#VALUE!</v>
      </c>
    </row>
    <row r="3828" spans="5:5">
      <c r="E3828" t="e">
        <v>#VALUE!</v>
      </c>
    </row>
    <row r="3829" spans="5:5">
      <c r="E3829" t="e">
        <v>#VALUE!</v>
      </c>
    </row>
    <row r="3830" spans="5:5">
      <c r="E3830" t="e">
        <v>#VALUE!</v>
      </c>
    </row>
    <row r="3831" spans="5:5">
      <c r="E3831" t="e">
        <v>#VALUE!</v>
      </c>
    </row>
    <row r="3832" spans="5:5">
      <c r="E3832" t="e">
        <v>#VALUE!</v>
      </c>
    </row>
    <row r="3833" spans="5:5">
      <c r="E3833" t="e">
        <v>#VALUE!</v>
      </c>
    </row>
    <row r="3834" spans="5:5">
      <c r="E3834" t="e">
        <v>#VALUE!</v>
      </c>
    </row>
    <row r="3835" spans="5:5">
      <c r="E3835" t="e">
        <v>#VALUE!</v>
      </c>
    </row>
    <row r="3836" spans="5:5">
      <c r="E3836" t="e">
        <v>#VALUE!</v>
      </c>
    </row>
    <row r="3837" spans="5:5">
      <c r="E3837" t="e">
        <v>#VALUE!</v>
      </c>
    </row>
    <row r="3838" spans="5:5">
      <c r="E3838" t="e">
        <v>#VALUE!</v>
      </c>
    </row>
    <row r="3839" spans="5:5">
      <c r="E3839" t="e">
        <v>#VALUE!</v>
      </c>
    </row>
    <row r="3840" spans="5:5">
      <c r="E3840" t="e">
        <v>#VALUE!</v>
      </c>
    </row>
    <row r="3841" spans="5:5">
      <c r="E3841" t="e">
        <v>#VALUE!</v>
      </c>
    </row>
    <row r="3842" spans="5:5">
      <c r="E3842" t="e">
        <v>#VALUE!</v>
      </c>
    </row>
    <row r="3843" spans="5:5">
      <c r="E3843" t="e">
        <v>#VALUE!</v>
      </c>
    </row>
    <row r="3844" spans="5:5">
      <c r="E3844" t="e">
        <v>#VALUE!</v>
      </c>
    </row>
    <row r="3845" spans="5:5">
      <c r="E3845" t="e">
        <v>#VALUE!</v>
      </c>
    </row>
    <row r="3846" spans="5:5">
      <c r="E3846" t="e">
        <v>#VALUE!</v>
      </c>
    </row>
    <row r="3847" spans="5:5">
      <c r="E3847" t="e">
        <v>#VALUE!</v>
      </c>
    </row>
    <row r="3848" spans="5:5">
      <c r="E3848" t="e">
        <v>#VALUE!</v>
      </c>
    </row>
    <row r="3849" spans="5:5">
      <c r="E3849" t="e">
        <v>#VALUE!</v>
      </c>
    </row>
    <row r="3850" spans="5:5">
      <c r="E3850" t="e">
        <v>#VALUE!</v>
      </c>
    </row>
    <row r="3851" spans="5:5">
      <c r="E3851" t="e">
        <v>#VALUE!</v>
      </c>
    </row>
    <row r="3852" spans="5:5">
      <c r="E3852" t="e">
        <v>#VALUE!</v>
      </c>
    </row>
    <row r="3853" spans="5:5">
      <c r="E3853" t="e">
        <v>#VALUE!</v>
      </c>
    </row>
    <row r="3854" spans="5:5">
      <c r="E3854" t="e">
        <v>#VALUE!</v>
      </c>
    </row>
    <row r="3855" spans="5:5">
      <c r="E3855" t="e">
        <v>#VALUE!</v>
      </c>
    </row>
    <row r="3856" spans="5:5">
      <c r="E3856" t="e">
        <v>#VALUE!</v>
      </c>
    </row>
    <row r="3857" spans="5:5">
      <c r="E3857" t="e">
        <v>#VALUE!</v>
      </c>
    </row>
    <row r="3858" spans="5:5">
      <c r="E3858" t="e">
        <v>#VALUE!</v>
      </c>
    </row>
    <row r="3859" spans="5:5">
      <c r="E3859" t="e">
        <v>#VALUE!</v>
      </c>
    </row>
    <row r="3860" spans="5:5">
      <c r="E3860" t="e">
        <v>#VALUE!</v>
      </c>
    </row>
    <row r="3861" spans="5:5">
      <c r="E3861" t="e">
        <v>#VALUE!</v>
      </c>
    </row>
    <row r="3862" spans="5:5">
      <c r="E3862" t="e">
        <v>#VALUE!</v>
      </c>
    </row>
    <row r="3863" spans="5:5">
      <c r="E3863" t="e">
        <v>#VALUE!</v>
      </c>
    </row>
    <row r="3864" spans="5:5">
      <c r="E3864" t="e">
        <v>#VALUE!</v>
      </c>
    </row>
    <row r="3865" spans="5:5">
      <c r="E3865" t="e">
        <v>#VALUE!</v>
      </c>
    </row>
    <row r="3866" spans="5:5">
      <c r="E3866" t="e">
        <v>#VALUE!</v>
      </c>
    </row>
    <row r="3867" spans="5:5">
      <c r="E3867" t="e">
        <v>#VALUE!</v>
      </c>
    </row>
    <row r="3868" spans="5:5">
      <c r="E3868" t="e">
        <v>#VALUE!</v>
      </c>
    </row>
    <row r="3869" spans="5:5">
      <c r="E3869" t="e">
        <v>#VALUE!</v>
      </c>
    </row>
    <row r="3870" spans="5:5">
      <c r="E3870" t="e">
        <v>#VALUE!</v>
      </c>
    </row>
    <row r="3871" spans="5:5">
      <c r="E3871" t="e">
        <v>#VALUE!</v>
      </c>
    </row>
    <row r="3872" spans="5:5">
      <c r="E3872" t="e">
        <v>#VALUE!</v>
      </c>
    </row>
    <row r="3873" spans="5:5">
      <c r="E3873" t="e">
        <v>#VALUE!</v>
      </c>
    </row>
    <row r="3874" spans="5:5">
      <c r="E3874" t="e">
        <v>#VALUE!</v>
      </c>
    </row>
    <row r="3875" spans="5:5">
      <c r="E3875" t="e">
        <v>#VALUE!</v>
      </c>
    </row>
    <row r="3876" spans="5:5">
      <c r="E3876" t="e">
        <v>#VALUE!</v>
      </c>
    </row>
    <row r="3877" spans="5:5">
      <c r="E3877" t="e">
        <v>#VALUE!</v>
      </c>
    </row>
    <row r="3878" spans="5:5">
      <c r="E3878" t="e">
        <v>#VALUE!</v>
      </c>
    </row>
    <row r="3879" spans="5:5">
      <c r="E3879" t="e">
        <v>#VALUE!</v>
      </c>
    </row>
    <row r="3880" spans="5:5">
      <c r="E3880" t="e">
        <v>#VALUE!</v>
      </c>
    </row>
    <row r="3881" spans="5:5">
      <c r="E3881" t="e">
        <v>#VALUE!</v>
      </c>
    </row>
    <row r="3882" spans="5:5">
      <c r="E3882" t="e">
        <v>#VALUE!</v>
      </c>
    </row>
    <row r="3883" spans="5:5">
      <c r="E3883" t="e">
        <v>#VALUE!</v>
      </c>
    </row>
    <row r="3884" spans="5:5">
      <c r="E3884" t="e">
        <v>#VALUE!</v>
      </c>
    </row>
    <row r="3885" spans="5:5">
      <c r="E3885" t="e">
        <v>#VALUE!</v>
      </c>
    </row>
    <row r="3886" spans="5:5">
      <c r="E3886" t="e">
        <v>#VALUE!</v>
      </c>
    </row>
    <row r="3887" spans="5:5">
      <c r="E3887" t="e">
        <v>#VALUE!</v>
      </c>
    </row>
    <row r="3888" spans="5:5">
      <c r="E3888" t="e">
        <v>#VALUE!</v>
      </c>
    </row>
    <row r="3889" spans="5:5">
      <c r="E3889" t="e">
        <v>#VALUE!</v>
      </c>
    </row>
    <row r="3890" spans="5:5">
      <c r="E3890" t="e">
        <v>#VALUE!</v>
      </c>
    </row>
    <row r="3891" spans="5:5">
      <c r="E3891" t="e">
        <v>#VALUE!</v>
      </c>
    </row>
    <row r="3892" spans="5:5">
      <c r="E3892" t="e">
        <v>#VALUE!</v>
      </c>
    </row>
    <row r="3893" spans="5:5">
      <c r="E3893" t="e">
        <v>#VALUE!</v>
      </c>
    </row>
    <row r="3894" spans="5:5">
      <c r="E3894" t="e">
        <v>#VALUE!</v>
      </c>
    </row>
    <row r="3895" spans="5:5">
      <c r="E3895" t="e">
        <v>#VALUE!</v>
      </c>
    </row>
    <row r="3896" spans="5:5">
      <c r="E3896" t="e">
        <v>#VALUE!</v>
      </c>
    </row>
    <row r="3897" spans="5:5">
      <c r="E3897" t="e">
        <v>#VALUE!</v>
      </c>
    </row>
    <row r="3898" spans="5:5">
      <c r="E3898" t="e">
        <v>#VALUE!</v>
      </c>
    </row>
    <row r="3899" spans="5:5">
      <c r="E3899" t="e">
        <v>#VALUE!</v>
      </c>
    </row>
    <row r="3900" spans="5:5">
      <c r="E3900" t="e">
        <v>#VALUE!</v>
      </c>
    </row>
    <row r="3901" spans="5:5">
      <c r="E3901" t="e">
        <v>#VALUE!</v>
      </c>
    </row>
    <row r="3902" spans="5:5">
      <c r="E3902" t="e">
        <v>#VALUE!</v>
      </c>
    </row>
    <row r="3903" spans="5:5">
      <c r="E3903" t="e">
        <v>#VALUE!</v>
      </c>
    </row>
    <row r="3904" spans="5:5">
      <c r="E3904" t="e">
        <v>#VALUE!</v>
      </c>
    </row>
    <row r="3905" spans="5:5">
      <c r="E3905" t="e">
        <v>#VALUE!</v>
      </c>
    </row>
    <row r="3906" spans="5:5">
      <c r="E3906" t="e">
        <v>#VALUE!</v>
      </c>
    </row>
    <row r="3907" spans="5:5">
      <c r="E3907" t="e">
        <v>#VALUE!</v>
      </c>
    </row>
    <row r="3908" spans="5:5">
      <c r="E3908" t="e">
        <v>#VALUE!</v>
      </c>
    </row>
    <row r="3909" spans="5:5">
      <c r="E3909" t="e">
        <v>#VALUE!</v>
      </c>
    </row>
    <row r="3910" spans="5:5">
      <c r="E3910" t="e">
        <v>#VALUE!</v>
      </c>
    </row>
    <row r="3911" spans="5:5">
      <c r="E3911" t="e">
        <v>#VALUE!</v>
      </c>
    </row>
    <row r="3912" spans="5:5">
      <c r="E3912" t="e">
        <v>#VALUE!</v>
      </c>
    </row>
    <row r="3913" spans="5:5">
      <c r="E3913" t="e">
        <v>#VALUE!</v>
      </c>
    </row>
    <row r="3914" spans="5:5">
      <c r="E3914" t="e">
        <v>#VALUE!</v>
      </c>
    </row>
    <row r="3915" spans="5:5">
      <c r="E3915" t="e">
        <v>#VALUE!</v>
      </c>
    </row>
    <row r="3916" spans="5:5">
      <c r="E3916" t="e">
        <v>#VALUE!</v>
      </c>
    </row>
    <row r="3917" spans="5:5">
      <c r="E3917" t="e">
        <v>#VALUE!</v>
      </c>
    </row>
    <row r="3918" spans="5:5">
      <c r="E3918" t="e">
        <v>#VALUE!</v>
      </c>
    </row>
    <row r="3919" spans="5:5">
      <c r="E3919" t="e">
        <v>#VALUE!</v>
      </c>
    </row>
    <row r="3920" spans="5:5">
      <c r="E3920" t="e">
        <v>#VALUE!</v>
      </c>
    </row>
    <row r="3921" spans="5:5">
      <c r="E3921" t="e">
        <v>#VALUE!</v>
      </c>
    </row>
    <row r="3922" spans="5:5">
      <c r="E3922" t="e">
        <v>#VALUE!</v>
      </c>
    </row>
    <row r="3923" spans="5:5">
      <c r="E3923" t="e">
        <v>#VALUE!</v>
      </c>
    </row>
    <row r="3924" spans="5:5">
      <c r="E3924" t="e">
        <v>#VALUE!</v>
      </c>
    </row>
    <row r="3925" spans="5:5">
      <c r="E3925" t="e">
        <v>#VALUE!</v>
      </c>
    </row>
    <row r="3926" spans="5:5">
      <c r="E3926" t="e">
        <v>#VALUE!</v>
      </c>
    </row>
    <row r="3927" spans="5:5">
      <c r="E3927" t="e">
        <v>#VALUE!</v>
      </c>
    </row>
    <row r="3928" spans="5:5">
      <c r="E3928" t="e">
        <v>#VALUE!</v>
      </c>
    </row>
    <row r="3929" spans="5:5">
      <c r="E3929" t="e">
        <v>#VALUE!</v>
      </c>
    </row>
    <row r="3930" spans="5:5">
      <c r="E3930" t="e">
        <v>#VALUE!</v>
      </c>
    </row>
    <row r="3931" spans="5:5">
      <c r="E3931" t="e">
        <v>#VALUE!</v>
      </c>
    </row>
    <row r="3932" spans="5:5">
      <c r="E3932" t="e">
        <v>#VALUE!</v>
      </c>
    </row>
    <row r="3933" spans="5:5">
      <c r="E3933" t="e">
        <v>#VALUE!</v>
      </c>
    </row>
    <row r="3934" spans="5:5">
      <c r="E3934" t="e">
        <v>#VALUE!</v>
      </c>
    </row>
    <row r="3935" spans="5:5">
      <c r="E3935" t="e">
        <v>#VALUE!</v>
      </c>
    </row>
    <row r="3936" spans="5:5">
      <c r="E3936" t="e">
        <v>#VALUE!</v>
      </c>
    </row>
    <row r="3937" spans="5:5">
      <c r="E3937" t="e">
        <v>#VALUE!</v>
      </c>
    </row>
    <row r="3938" spans="5:5">
      <c r="E3938" t="e">
        <v>#VALUE!</v>
      </c>
    </row>
    <row r="3939" spans="5:5">
      <c r="E3939" t="e">
        <v>#VALUE!</v>
      </c>
    </row>
    <row r="3940" spans="5:5">
      <c r="E3940" t="e">
        <v>#VALUE!</v>
      </c>
    </row>
    <row r="3941" spans="5:5">
      <c r="E3941" t="e">
        <v>#VALUE!</v>
      </c>
    </row>
    <row r="3942" spans="5:5">
      <c r="E3942" t="e">
        <v>#VALUE!</v>
      </c>
    </row>
    <row r="3943" spans="5:5">
      <c r="E3943" t="e">
        <v>#VALUE!</v>
      </c>
    </row>
    <row r="3944" spans="5:5">
      <c r="E3944" t="e">
        <v>#VALUE!</v>
      </c>
    </row>
    <row r="3945" spans="5:5">
      <c r="E3945" t="e">
        <v>#VALUE!</v>
      </c>
    </row>
    <row r="3946" spans="5:5">
      <c r="E3946" t="e">
        <v>#VALUE!</v>
      </c>
    </row>
    <row r="3947" spans="5:5">
      <c r="E3947" t="e">
        <v>#VALUE!</v>
      </c>
    </row>
    <row r="3948" spans="5:5">
      <c r="E3948" t="e">
        <v>#VALUE!</v>
      </c>
    </row>
    <row r="3949" spans="5:5">
      <c r="E3949" t="e">
        <v>#VALUE!</v>
      </c>
    </row>
    <row r="3950" spans="5:5">
      <c r="E3950" t="e">
        <v>#VALUE!</v>
      </c>
    </row>
    <row r="3951" spans="5:5">
      <c r="E3951" t="e">
        <v>#VALUE!</v>
      </c>
    </row>
    <row r="3952" spans="5:5">
      <c r="E3952" t="e">
        <v>#VALUE!</v>
      </c>
    </row>
    <row r="3953" spans="5:5">
      <c r="E3953" t="e">
        <v>#VALUE!</v>
      </c>
    </row>
    <row r="3954" spans="5:5">
      <c r="E3954" t="e">
        <v>#VALUE!</v>
      </c>
    </row>
    <row r="3955" spans="5:5">
      <c r="E3955" t="e">
        <v>#VALUE!</v>
      </c>
    </row>
    <row r="3956" spans="5:5">
      <c r="E3956" t="e">
        <v>#VALUE!</v>
      </c>
    </row>
    <row r="3957" spans="5:5">
      <c r="E3957" t="e">
        <v>#VALUE!</v>
      </c>
    </row>
    <row r="3958" spans="5:5">
      <c r="E3958" t="e">
        <v>#VALUE!</v>
      </c>
    </row>
    <row r="3959" spans="5:5">
      <c r="E3959" t="e">
        <v>#VALUE!</v>
      </c>
    </row>
    <row r="3960" spans="5:5">
      <c r="E3960" t="e">
        <v>#VALUE!</v>
      </c>
    </row>
    <row r="3961" spans="5:5">
      <c r="E3961" t="e">
        <v>#VALUE!</v>
      </c>
    </row>
    <row r="3962" spans="5:5">
      <c r="E3962" t="e">
        <v>#VALUE!</v>
      </c>
    </row>
    <row r="3963" spans="5:5">
      <c r="E3963" t="e">
        <v>#VALUE!</v>
      </c>
    </row>
    <row r="3964" spans="5:5">
      <c r="E3964" t="e">
        <v>#VALUE!</v>
      </c>
    </row>
    <row r="3965" spans="5:5">
      <c r="E3965" t="e">
        <v>#VALUE!</v>
      </c>
    </row>
    <row r="3966" spans="5:5">
      <c r="E3966" t="e">
        <v>#VALUE!</v>
      </c>
    </row>
    <row r="3967" spans="5:5">
      <c r="E3967" t="e">
        <v>#VALUE!</v>
      </c>
    </row>
    <row r="3968" spans="5:5">
      <c r="E3968" t="e">
        <v>#VALUE!</v>
      </c>
    </row>
    <row r="3969" spans="5:5">
      <c r="E3969" t="e">
        <v>#VALUE!</v>
      </c>
    </row>
    <row r="3970" spans="5:5">
      <c r="E3970" t="e">
        <v>#VALUE!</v>
      </c>
    </row>
    <row r="3971" spans="5:5">
      <c r="E3971" t="e">
        <v>#VALUE!</v>
      </c>
    </row>
    <row r="3972" spans="5:5">
      <c r="E3972" t="e">
        <v>#VALUE!</v>
      </c>
    </row>
    <row r="3973" spans="5:5">
      <c r="E3973" t="e">
        <v>#VALUE!</v>
      </c>
    </row>
    <row r="3974" spans="5:5">
      <c r="E3974" t="e">
        <v>#VALUE!</v>
      </c>
    </row>
    <row r="3975" spans="5:5">
      <c r="E3975" t="e">
        <v>#VALUE!</v>
      </c>
    </row>
    <row r="3976" spans="5:5">
      <c r="E3976" t="e">
        <v>#VALUE!</v>
      </c>
    </row>
    <row r="3977" spans="5:5">
      <c r="E3977" t="e">
        <v>#VALUE!</v>
      </c>
    </row>
    <row r="3978" spans="5:5">
      <c r="E3978" t="e">
        <v>#VALUE!</v>
      </c>
    </row>
    <row r="3979" spans="5:5">
      <c r="E3979" t="e">
        <v>#VALUE!</v>
      </c>
    </row>
    <row r="3980" spans="5:5">
      <c r="E3980" t="e">
        <v>#VALUE!</v>
      </c>
    </row>
    <row r="3981" spans="5:5">
      <c r="E3981" t="e">
        <v>#VALUE!</v>
      </c>
    </row>
    <row r="3982" spans="5:5">
      <c r="E3982" t="e">
        <v>#VALUE!</v>
      </c>
    </row>
    <row r="3983" spans="5:5">
      <c r="E3983" t="e">
        <v>#VALUE!</v>
      </c>
    </row>
    <row r="3984" spans="5:5">
      <c r="E3984" t="e">
        <v>#VALUE!</v>
      </c>
    </row>
    <row r="3985" spans="5:5">
      <c r="E3985" t="e">
        <v>#VALUE!</v>
      </c>
    </row>
    <row r="3986" spans="5:5">
      <c r="E3986" t="e">
        <v>#VALUE!</v>
      </c>
    </row>
    <row r="3987" spans="5:5">
      <c r="E3987" t="e">
        <v>#VALUE!</v>
      </c>
    </row>
    <row r="3988" spans="5:5">
      <c r="E3988" t="e">
        <v>#VALUE!</v>
      </c>
    </row>
    <row r="3989" spans="5:5">
      <c r="E3989" t="e">
        <v>#VALUE!</v>
      </c>
    </row>
    <row r="3990" spans="5:5">
      <c r="E3990" t="e">
        <v>#VALUE!</v>
      </c>
    </row>
    <row r="3991" spans="5:5">
      <c r="E3991" t="e">
        <v>#VALUE!</v>
      </c>
    </row>
    <row r="3992" spans="5:5">
      <c r="E3992" t="e">
        <v>#VALUE!</v>
      </c>
    </row>
    <row r="3993" spans="5:5">
      <c r="E3993" t="e">
        <v>#VALUE!</v>
      </c>
    </row>
    <row r="3994" spans="5:5">
      <c r="E3994" t="e">
        <v>#VALUE!</v>
      </c>
    </row>
    <row r="3995" spans="5:5">
      <c r="E3995" t="e">
        <v>#VALUE!</v>
      </c>
    </row>
    <row r="3996" spans="5:5">
      <c r="E3996" t="e">
        <v>#VALUE!</v>
      </c>
    </row>
    <row r="3997" spans="5:5">
      <c r="E3997" t="e">
        <v>#VALUE!</v>
      </c>
    </row>
    <row r="3998" spans="5:5">
      <c r="E3998" t="e">
        <v>#VALUE!</v>
      </c>
    </row>
    <row r="3999" spans="5:5">
      <c r="E3999" t="e">
        <v>#VALUE!</v>
      </c>
    </row>
    <row r="4000" spans="5:5">
      <c r="E4000" t="e">
        <v>#VALUE!</v>
      </c>
    </row>
    <row r="4001" spans="5:5">
      <c r="E4001" t="e">
        <v>#VALUE!</v>
      </c>
    </row>
    <row r="4002" spans="5:5">
      <c r="E4002" t="e">
        <v>#VALUE!</v>
      </c>
    </row>
    <row r="4003" spans="5:5">
      <c r="E4003" t="e">
        <v>#VALUE!</v>
      </c>
    </row>
    <row r="4004" spans="5:5">
      <c r="E4004" t="e">
        <v>#VALUE!</v>
      </c>
    </row>
    <row r="4005" spans="5:5">
      <c r="E4005" t="e">
        <v>#VALUE!</v>
      </c>
    </row>
    <row r="4006" spans="5:5">
      <c r="E4006" t="e">
        <v>#VALUE!</v>
      </c>
    </row>
    <row r="4007" spans="5:5">
      <c r="E4007" t="e">
        <v>#VALUE!</v>
      </c>
    </row>
    <row r="4008" spans="5:5">
      <c r="E4008" t="e">
        <v>#VALUE!</v>
      </c>
    </row>
    <row r="4009" spans="5:5">
      <c r="E4009" t="e">
        <v>#VALUE!</v>
      </c>
    </row>
    <row r="4010" spans="5:5">
      <c r="E4010" t="e">
        <v>#VALUE!</v>
      </c>
    </row>
    <row r="4011" spans="5:5">
      <c r="E4011" t="e">
        <v>#VALUE!</v>
      </c>
    </row>
    <row r="4012" spans="5:5">
      <c r="E4012" t="e">
        <v>#VALUE!</v>
      </c>
    </row>
    <row r="4013" spans="5:5">
      <c r="E4013" t="e">
        <v>#VALUE!</v>
      </c>
    </row>
    <row r="4014" spans="5:5">
      <c r="E4014" t="e">
        <v>#VALUE!</v>
      </c>
    </row>
    <row r="4015" spans="5:5">
      <c r="E4015" t="e">
        <v>#VALUE!</v>
      </c>
    </row>
    <row r="4016" spans="5:5">
      <c r="E4016" t="e">
        <v>#VALUE!</v>
      </c>
    </row>
    <row r="4017" spans="5:5">
      <c r="E4017" t="e">
        <v>#VALUE!</v>
      </c>
    </row>
    <row r="4018" spans="5:5">
      <c r="E4018" t="e">
        <v>#VALUE!</v>
      </c>
    </row>
    <row r="4019" spans="5:5">
      <c r="E4019" t="e">
        <v>#VALUE!</v>
      </c>
    </row>
    <row r="4020" spans="5:5">
      <c r="E4020" t="e">
        <v>#VALUE!</v>
      </c>
    </row>
    <row r="4021" spans="5:5">
      <c r="E4021" t="e">
        <v>#VALUE!</v>
      </c>
    </row>
    <row r="4022" spans="5:5">
      <c r="E4022" t="e">
        <v>#VALUE!</v>
      </c>
    </row>
    <row r="4023" spans="5:5">
      <c r="E4023" t="e">
        <v>#VALUE!</v>
      </c>
    </row>
    <row r="4024" spans="5:5">
      <c r="E4024" t="e">
        <v>#VALUE!</v>
      </c>
    </row>
    <row r="4025" spans="5:5">
      <c r="E4025" t="e">
        <v>#VALUE!</v>
      </c>
    </row>
    <row r="4026" spans="5:5">
      <c r="E4026" t="e">
        <v>#VALUE!</v>
      </c>
    </row>
    <row r="4027" spans="5:5">
      <c r="E4027" t="e">
        <v>#VALUE!</v>
      </c>
    </row>
    <row r="4028" spans="5:5">
      <c r="E4028" t="e">
        <v>#VALUE!</v>
      </c>
    </row>
    <row r="4029" spans="5:5">
      <c r="E4029" t="e">
        <v>#VALUE!</v>
      </c>
    </row>
    <row r="4030" spans="5:5">
      <c r="E4030" t="e">
        <v>#VALUE!</v>
      </c>
    </row>
    <row r="4031" spans="5:5">
      <c r="E4031" t="e">
        <v>#VALUE!</v>
      </c>
    </row>
    <row r="4032" spans="5:5">
      <c r="E4032" t="e">
        <v>#VALUE!</v>
      </c>
    </row>
    <row r="4033" spans="5:5">
      <c r="E4033" t="e">
        <v>#VALUE!</v>
      </c>
    </row>
    <row r="4034" spans="5:5">
      <c r="E4034" t="e">
        <v>#VALUE!</v>
      </c>
    </row>
    <row r="4035" spans="5:5">
      <c r="E4035" t="e">
        <v>#VALUE!</v>
      </c>
    </row>
    <row r="4036" spans="5:5">
      <c r="E4036" t="e">
        <v>#VALUE!</v>
      </c>
    </row>
    <row r="4037" spans="5:5">
      <c r="E4037" t="e">
        <v>#VALUE!</v>
      </c>
    </row>
    <row r="4038" spans="5:5">
      <c r="E4038" t="e">
        <v>#VALUE!</v>
      </c>
    </row>
    <row r="4039" spans="5:5">
      <c r="E4039" t="e">
        <v>#VALUE!</v>
      </c>
    </row>
    <row r="4040" spans="5:5">
      <c r="E4040" t="e">
        <v>#VALUE!</v>
      </c>
    </row>
    <row r="4041" spans="5:5">
      <c r="E4041" t="e">
        <v>#VALUE!</v>
      </c>
    </row>
    <row r="4042" spans="5:5">
      <c r="E4042" t="e">
        <v>#VALUE!</v>
      </c>
    </row>
    <row r="4043" spans="5:5">
      <c r="E4043" t="e">
        <v>#VALUE!</v>
      </c>
    </row>
    <row r="4044" spans="5:5">
      <c r="E4044" t="e">
        <v>#VALUE!</v>
      </c>
    </row>
    <row r="4045" spans="5:5">
      <c r="E4045" t="e">
        <v>#VALUE!</v>
      </c>
    </row>
    <row r="4046" spans="5:5">
      <c r="E4046" t="e">
        <v>#VALUE!</v>
      </c>
    </row>
    <row r="4047" spans="5:5">
      <c r="E4047" t="e">
        <v>#VALUE!</v>
      </c>
    </row>
    <row r="4048" spans="5:5">
      <c r="E4048" t="e">
        <v>#VALUE!</v>
      </c>
    </row>
    <row r="4049" spans="5:5">
      <c r="E4049" t="e">
        <v>#VALUE!</v>
      </c>
    </row>
    <row r="4050" spans="5:5">
      <c r="E4050" t="e">
        <v>#VALUE!</v>
      </c>
    </row>
    <row r="4051" spans="5:5">
      <c r="E4051" t="e">
        <v>#VALUE!</v>
      </c>
    </row>
    <row r="4052" spans="5:5">
      <c r="E4052" t="e">
        <v>#VALUE!</v>
      </c>
    </row>
    <row r="4053" spans="5:5">
      <c r="E4053" t="e">
        <v>#VALUE!</v>
      </c>
    </row>
    <row r="4054" spans="5:5">
      <c r="E4054" t="e">
        <v>#VALUE!</v>
      </c>
    </row>
    <row r="4055" spans="5:5">
      <c r="E4055" t="e">
        <v>#VALUE!</v>
      </c>
    </row>
    <row r="4056" spans="5:5">
      <c r="E4056" t="e">
        <v>#VALUE!</v>
      </c>
    </row>
    <row r="4057" spans="5:5">
      <c r="E4057" t="e">
        <v>#VALUE!</v>
      </c>
    </row>
    <row r="4058" spans="5:5">
      <c r="E4058" t="e">
        <v>#VALUE!</v>
      </c>
    </row>
    <row r="4059" spans="5:5">
      <c r="E4059" t="e">
        <v>#VALUE!</v>
      </c>
    </row>
    <row r="4060" spans="5:5">
      <c r="E4060" t="e">
        <v>#VALUE!</v>
      </c>
    </row>
    <row r="4061" spans="5:5">
      <c r="E4061" t="e">
        <v>#VALUE!</v>
      </c>
    </row>
    <row r="4062" spans="5:5">
      <c r="E4062" t="e">
        <v>#VALUE!</v>
      </c>
    </row>
    <row r="4063" spans="5:5">
      <c r="E4063" t="e">
        <v>#VALUE!</v>
      </c>
    </row>
    <row r="4064" spans="5:5">
      <c r="E4064" t="e">
        <v>#VALUE!</v>
      </c>
    </row>
    <row r="4065" spans="5:5">
      <c r="E4065" t="e">
        <v>#VALUE!</v>
      </c>
    </row>
    <row r="4066" spans="5:5">
      <c r="E4066" t="e">
        <v>#VALUE!</v>
      </c>
    </row>
    <row r="4067" spans="5:5">
      <c r="E4067" t="e">
        <v>#VALUE!</v>
      </c>
    </row>
    <row r="4068" spans="5:5">
      <c r="E4068" t="e">
        <v>#VALUE!</v>
      </c>
    </row>
    <row r="4069" spans="5:5">
      <c r="E4069" t="e">
        <v>#VALUE!</v>
      </c>
    </row>
    <row r="4070" spans="5:5">
      <c r="E4070" t="e">
        <v>#VALUE!</v>
      </c>
    </row>
    <row r="4071" spans="5:5">
      <c r="E4071" t="e">
        <v>#VALUE!</v>
      </c>
    </row>
    <row r="4072" spans="5:5">
      <c r="E4072" t="e">
        <v>#VALUE!</v>
      </c>
    </row>
    <row r="4073" spans="5:5">
      <c r="E4073" t="e">
        <v>#VALUE!</v>
      </c>
    </row>
    <row r="4074" spans="5:5">
      <c r="E4074" t="e">
        <v>#VALUE!</v>
      </c>
    </row>
    <row r="4075" spans="5:5">
      <c r="E4075" t="e">
        <v>#VALUE!</v>
      </c>
    </row>
    <row r="4076" spans="5:5">
      <c r="E4076" t="e">
        <v>#VALUE!</v>
      </c>
    </row>
    <row r="4077" spans="5:5">
      <c r="E4077" t="e">
        <v>#VALUE!</v>
      </c>
    </row>
    <row r="4078" spans="5:5">
      <c r="E4078" t="e">
        <v>#VALUE!</v>
      </c>
    </row>
    <row r="4079" spans="5:5">
      <c r="E4079" t="e">
        <v>#VALUE!</v>
      </c>
    </row>
    <row r="4080" spans="5:5">
      <c r="E4080" t="e">
        <v>#VALUE!</v>
      </c>
    </row>
    <row r="4081" spans="5:5">
      <c r="E4081" t="e">
        <v>#VALUE!</v>
      </c>
    </row>
    <row r="4082" spans="5:5">
      <c r="E4082" t="e">
        <v>#VALUE!</v>
      </c>
    </row>
    <row r="4083" spans="5:5">
      <c r="E4083" t="e">
        <v>#VALUE!</v>
      </c>
    </row>
    <row r="4084" spans="5:5">
      <c r="E4084" t="e">
        <v>#VALUE!</v>
      </c>
    </row>
    <row r="4085" spans="5:5">
      <c r="E4085" t="e">
        <v>#VALUE!</v>
      </c>
    </row>
    <row r="4086" spans="5:5">
      <c r="E4086" t="e">
        <v>#VALUE!</v>
      </c>
    </row>
    <row r="4087" spans="5:5">
      <c r="E4087" t="e">
        <v>#VALUE!</v>
      </c>
    </row>
    <row r="4088" spans="5:5">
      <c r="E4088" t="e">
        <v>#VALUE!</v>
      </c>
    </row>
    <row r="4089" spans="5:5">
      <c r="E4089" t="e">
        <v>#VALUE!</v>
      </c>
    </row>
    <row r="4090" spans="5:5">
      <c r="E4090" t="e">
        <v>#VALUE!</v>
      </c>
    </row>
    <row r="4091" spans="5:5">
      <c r="E4091" t="e">
        <v>#VALUE!</v>
      </c>
    </row>
    <row r="4092" spans="5:5">
      <c r="E4092" t="e">
        <v>#VALUE!</v>
      </c>
    </row>
    <row r="4093" spans="5:5">
      <c r="E4093" t="e">
        <v>#VALUE!</v>
      </c>
    </row>
    <row r="4094" spans="5:5">
      <c r="E4094" t="e">
        <v>#VALUE!</v>
      </c>
    </row>
    <row r="4095" spans="5:5">
      <c r="E4095" t="e">
        <v>#VALUE!</v>
      </c>
    </row>
    <row r="4096" spans="5:5">
      <c r="E4096" t="e">
        <v>#VALUE!</v>
      </c>
    </row>
    <row r="4097" spans="5:5">
      <c r="E4097" t="e">
        <v>#VALUE!</v>
      </c>
    </row>
    <row r="4098" spans="5:5">
      <c r="E4098" t="e">
        <v>#VALUE!</v>
      </c>
    </row>
    <row r="4099" spans="5:5">
      <c r="E4099" t="e">
        <v>#VALUE!</v>
      </c>
    </row>
    <row r="4100" spans="5:5">
      <c r="E4100" t="e">
        <v>#VALUE!</v>
      </c>
    </row>
    <row r="4101" spans="5:5">
      <c r="E4101" t="e">
        <v>#VALUE!</v>
      </c>
    </row>
    <row r="4102" spans="5:5">
      <c r="E4102" t="e">
        <v>#VALUE!</v>
      </c>
    </row>
    <row r="4103" spans="5:5">
      <c r="E4103" t="e">
        <v>#VALUE!</v>
      </c>
    </row>
    <row r="4104" spans="5:5">
      <c r="E4104" t="e">
        <v>#VALUE!</v>
      </c>
    </row>
    <row r="4105" spans="5:5">
      <c r="E4105" t="e">
        <v>#VALUE!</v>
      </c>
    </row>
    <row r="4106" spans="5:5">
      <c r="E4106" t="e">
        <v>#VALUE!</v>
      </c>
    </row>
    <row r="4107" spans="5:5">
      <c r="E4107" t="e">
        <v>#VALUE!</v>
      </c>
    </row>
    <row r="4108" spans="5:5">
      <c r="E4108" t="e">
        <v>#VALUE!</v>
      </c>
    </row>
    <row r="4109" spans="5:5">
      <c r="E4109" t="e">
        <v>#VALUE!</v>
      </c>
    </row>
    <row r="4110" spans="5:5">
      <c r="E4110" t="e">
        <v>#VALUE!</v>
      </c>
    </row>
    <row r="4111" spans="5:5">
      <c r="E4111" t="e">
        <v>#VALUE!</v>
      </c>
    </row>
    <row r="4112" spans="5:5">
      <c r="E4112" t="e">
        <v>#VALUE!</v>
      </c>
    </row>
    <row r="4113" spans="5:5">
      <c r="E4113" t="e">
        <v>#VALUE!</v>
      </c>
    </row>
    <row r="4114" spans="5:5">
      <c r="E4114" t="e">
        <v>#VALUE!</v>
      </c>
    </row>
    <row r="4115" spans="5:5">
      <c r="E4115" t="e">
        <v>#VALUE!</v>
      </c>
    </row>
    <row r="4116" spans="5:5">
      <c r="E4116" t="e">
        <v>#VALUE!</v>
      </c>
    </row>
    <row r="4117" spans="5:5">
      <c r="E4117" t="e">
        <v>#VALUE!</v>
      </c>
    </row>
    <row r="4118" spans="5:5">
      <c r="E4118" t="e">
        <v>#VALUE!</v>
      </c>
    </row>
    <row r="4119" spans="5:5">
      <c r="E4119" t="e">
        <v>#VALUE!</v>
      </c>
    </row>
    <row r="4120" spans="5:5">
      <c r="E4120" t="e">
        <v>#VALUE!</v>
      </c>
    </row>
    <row r="4121" spans="5:5">
      <c r="E4121" t="e">
        <v>#VALUE!</v>
      </c>
    </row>
    <row r="4122" spans="5:5">
      <c r="E4122" t="e">
        <v>#VALUE!</v>
      </c>
    </row>
    <row r="4123" spans="5:5">
      <c r="E4123" t="e">
        <v>#VALUE!</v>
      </c>
    </row>
    <row r="4124" spans="5:5">
      <c r="E4124" t="e">
        <v>#VALUE!</v>
      </c>
    </row>
    <row r="4125" spans="5:5">
      <c r="E4125" t="e">
        <v>#VALUE!</v>
      </c>
    </row>
    <row r="4126" spans="5:5">
      <c r="E4126" t="e">
        <v>#VALUE!</v>
      </c>
    </row>
    <row r="4127" spans="5:5">
      <c r="E4127" t="e">
        <v>#VALUE!</v>
      </c>
    </row>
    <row r="4128" spans="5:5">
      <c r="E4128" t="e">
        <v>#VALUE!</v>
      </c>
    </row>
    <row r="4129" spans="5:5">
      <c r="E4129" t="e">
        <v>#VALUE!</v>
      </c>
    </row>
    <row r="4130" spans="5:5">
      <c r="E4130" t="e">
        <v>#VALUE!</v>
      </c>
    </row>
    <row r="4131" spans="5:5">
      <c r="E4131" t="e">
        <v>#VALUE!</v>
      </c>
    </row>
    <row r="4132" spans="5:5">
      <c r="E4132" t="e">
        <v>#VALUE!</v>
      </c>
    </row>
    <row r="4133" spans="5:5">
      <c r="E4133" t="e">
        <v>#VALUE!</v>
      </c>
    </row>
    <row r="4134" spans="5:5">
      <c r="E4134" t="e">
        <v>#VALUE!</v>
      </c>
    </row>
    <row r="4135" spans="5:5">
      <c r="E4135" t="e">
        <v>#VALUE!</v>
      </c>
    </row>
    <row r="4136" spans="5:5">
      <c r="E4136" t="e">
        <v>#VALUE!</v>
      </c>
    </row>
    <row r="4137" spans="5:5">
      <c r="E4137" t="e">
        <v>#VALUE!</v>
      </c>
    </row>
    <row r="4138" spans="5:5">
      <c r="E4138" t="e">
        <v>#VALUE!</v>
      </c>
    </row>
    <row r="4139" spans="5:5">
      <c r="E4139" t="e">
        <v>#VALUE!</v>
      </c>
    </row>
    <row r="4140" spans="5:5">
      <c r="E4140" t="e">
        <v>#VALUE!</v>
      </c>
    </row>
    <row r="4141" spans="5:5">
      <c r="E4141" t="e">
        <v>#VALUE!</v>
      </c>
    </row>
    <row r="4142" spans="5:5">
      <c r="E4142" t="e">
        <v>#VALUE!</v>
      </c>
    </row>
    <row r="4143" spans="5:5">
      <c r="E4143" t="e">
        <v>#VALUE!</v>
      </c>
    </row>
    <row r="4144" spans="5:5">
      <c r="E4144" t="e">
        <v>#VALUE!</v>
      </c>
    </row>
    <row r="4145" spans="5:5">
      <c r="E4145" t="e">
        <v>#VALUE!</v>
      </c>
    </row>
    <row r="4146" spans="5:5">
      <c r="E4146" t="e">
        <v>#VALUE!</v>
      </c>
    </row>
    <row r="4147" spans="5:5">
      <c r="E4147" t="e">
        <v>#VALUE!</v>
      </c>
    </row>
    <row r="4148" spans="5:5">
      <c r="E4148" t="e">
        <v>#VALUE!</v>
      </c>
    </row>
    <row r="4149" spans="5:5">
      <c r="E4149" t="e">
        <v>#VALUE!</v>
      </c>
    </row>
    <row r="4150" spans="5:5">
      <c r="E4150" t="e">
        <v>#VALUE!</v>
      </c>
    </row>
    <row r="4151" spans="5:5">
      <c r="E4151" t="e">
        <v>#VALUE!</v>
      </c>
    </row>
    <row r="4152" spans="5:5">
      <c r="E4152" t="e">
        <v>#VALUE!</v>
      </c>
    </row>
    <row r="4153" spans="5:5">
      <c r="E4153" t="e">
        <v>#VALUE!</v>
      </c>
    </row>
    <row r="4154" spans="5:5">
      <c r="E4154" t="e">
        <v>#VALUE!</v>
      </c>
    </row>
    <row r="4155" spans="5:5">
      <c r="E4155" t="e">
        <v>#VALUE!</v>
      </c>
    </row>
    <row r="4156" spans="5:5">
      <c r="E4156" t="e">
        <v>#VALUE!</v>
      </c>
    </row>
    <row r="4157" spans="5:5">
      <c r="E4157" t="e">
        <v>#VALUE!</v>
      </c>
    </row>
    <row r="4158" spans="5:5">
      <c r="E4158" t="e">
        <v>#VALUE!</v>
      </c>
    </row>
    <row r="4159" spans="5:5">
      <c r="E4159" t="e">
        <v>#VALUE!</v>
      </c>
    </row>
    <row r="4160" spans="5:5">
      <c r="E4160" t="e">
        <v>#VALUE!</v>
      </c>
    </row>
    <row r="4161" spans="5:5">
      <c r="E4161" t="e">
        <v>#VALUE!</v>
      </c>
    </row>
    <row r="4162" spans="5:5">
      <c r="E4162" t="e">
        <v>#VALUE!</v>
      </c>
    </row>
    <row r="4163" spans="5:5">
      <c r="E4163" t="e">
        <v>#VALUE!</v>
      </c>
    </row>
    <row r="4164" spans="5:5">
      <c r="E4164" t="e">
        <v>#VALUE!</v>
      </c>
    </row>
    <row r="4165" spans="5:5">
      <c r="E4165" t="e">
        <v>#VALUE!</v>
      </c>
    </row>
    <row r="4166" spans="5:5">
      <c r="E4166" t="e">
        <v>#VALUE!</v>
      </c>
    </row>
    <row r="4167" spans="5:5">
      <c r="E4167" t="e">
        <v>#VALUE!</v>
      </c>
    </row>
    <row r="4168" spans="5:5">
      <c r="E4168" t="e">
        <v>#VALUE!</v>
      </c>
    </row>
    <row r="4169" spans="5:5">
      <c r="E4169" t="e">
        <v>#VALUE!</v>
      </c>
    </row>
    <row r="4170" spans="5:5">
      <c r="E4170" t="e">
        <v>#VALUE!</v>
      </c>
    </row>
    <row r="4171" spans="5:5">
      <c r="E4171" t="e">
        <v>#VALUE!</v>
      </c>
    </row>
    <row r="4172" spans="5:5">
      <c r="E4172" t="e">
        <v>#VALUE!</v>
      </c>
    </row>
    <row r="4173" spans="5:5">
      <c r="E4173" t="e">
        <v>#VALUE!</v>
      </c>
    </row>
    <row r="4174" spans="5:5">
      <c r="E4174" t="e">
        <v>#VALUE!</v>
      </c>
    </row>
    <row r="4175" spans="5:5">
      <c r="E4175" t="e">
        <v>#VALUE!</v>
      </c>
    </row>
    <row r="4176" spans="5:5">
      <c r="E4176" t="e">
        <v>#VALUE!</v>
      </c>
    </row>
    <row r="4177" spans="5:5">
      <c r="E4177" t="e">
        <v>#VALUE!</v>
      </c>
    </row>
    <row r="4178" spans="5:5">
      <c r="E4178" t="e">
        <v>#VALUE!</v>
      </c>
    </row>
    <row r="4179" spans="5:5">
      <c r="E4179" t="e">
        <v>#VALUE!</v>
      </c>
    </row>
    <row r="4180" spans="5:5">
      <c r="E4180" t="e">
        <v>#VALUE!</v>
      </c>
    </row>
    <row r="4181" spans="5:5">
      <c r="E4181" t="e">
        <v>#VALUE!</v>
      </c>
    </row>
    <row r="4182" spans="5:5">
      <c r="E4182" t="e">
        <v>#VALUE!</v>
      </c>
    </row>
    <row r="4183" spans="5:5">
      <c r="E4183" t="e">
        <v>#VALUE!</v>
      </c>
    </row>
    <row r="4184" spans="5:5">
      <c r="E4184" t="e">
        <v>#VALUE!</v>
      </c>
    </row>
    <row r="4185" spans="5:5">
      <c r="E4185" t="e">
        <v>#VALUE!</v>
      </c>
    </row>
    <row r="4186" spans="5:5">
      <c r="E4186" t="e">
        <v>#VALUE!</v>
      </c>
    </row>
    <row r="4187" spans="5:5">
      <c r="E4187" t="e">
        <v>#VALUE!</v>
      </c>
    </row>
    <row r="4188" spans="5:5">
      <c r="E4188" t="e">
        <v>#VALUE!</v>
      </c>
    </row>
    <row r="4189" spans="5:5">
      <c r="E4189" t="e">
        <v>#VALUE!</v>
      </c>
    </row>
    <row r="4190" spans="5:5">
      <c r="E4190" t="e">
        <v>#VALUE!</v>
      </c>
    </row>
    <row r="4191" spans="5:5">
      <c r="E4191" t="e">
        <v>#VALUE!</v>
      </c>
    </row>
    <row r="4192" spans="5:5">
      <c r="E4192" t="e">
        <v>#VALUE!</v>
      </c>
    </row>
    <row r="4193" spans="5:5">
      <c r="E4193" t="e">
        <v>#VALUE!</v>
      </c>
    </row>
    <row r="4194" spans="5:5">
      <c r="E4194" t="e">
        <v>#VALUE!</v>
      </c>
    </row>
    <row r="4195" spans="5:5">
      <c r="E4195" t="e">
        <v>#VALUE!</v>
      </c>
    </row>
    <row r="4196" spans="5:5">
      <c r="E4196" t="e">
        <v>#VALUE!</v>
      </c>
    </row>
    <row r="4197" spans="5:5">
      <c r="E4197" t="e">
        <v>#VALUE!</v>
      </c>
    </row>
    <row r="4198" spans="5:5">
      <c r="E4198" t="e">
        <v>#VALUE!</v>
      </c>
    </row>
    <row r="4199" spans="5:5">
      <c r="E4199" t="e">
        <v>#VALUE!</v>
      </c>
    </row>
    <row r="4200" spans="5:5">
      <c r="E4200" t="e">
        <v>#VALUE!</v>
      </c>
    </row>
    <row r="4201" spans="5:5">
      <c r="E4201" t="e">
        <v>#VALUE!</v>
      </c>
    </row>
    <row r="4202" spans="5:5">
      <c r="E4202" t="e">
        <v>#VALUE!</v>
      </c>
    </row>
    <row r="4203" spans="5:5">
      <c r="E4203" t="e">
        <v>#VALUE!</v>
      </c>
    </row>
    <row r="4204" spans="5:5">
      <c r="E4204" t="e">
        <v>#VALUE!</v>
      </c>
    </row>
    <row r="4205" spans="5:5">
      <c r="E4205" t="e">
        <v>#VALUE!</v>
      </c>
    </row>
    <row r="4206" spans="5:5">
      <c r="E4206" t="e">
        <v>#VALUE!</v>
      </c>
    </row>
    <row r="4207" spans="5:5">
      <c r="E4207" t="e">
        <v>#VALUE!</v>
      </c>
    </row>
    <row r="4208" spans="5:5">
      <c r="E4208" t="e">
        <v>#VALUE!</v>
      </c>
    </row>
    <row r="4209" spans="5:5">
      <c r="E4209" t="e">
        <v>#VALUE!</v>
      </c>
    </row>
    <row r="4210" spans="5:5">
      <c r="E4210" t="e">
        <v>#VALUE!</v>
      </c>
    </row>
    <row r="4211" spans="5:5">
      <c r="E4211" t="e">
        <v>#VALUE!</v>
      </c>
    </row>
    <row r="4212" spans="5:5">
      <c r="E4212" t="e">
        <v>#VALUE!</v>
      </c>
    </row>
    <row r="4213" spans="5:5">
      <c r="E4213" t="e">
        <v>#VALUE!</v>
      </c>
    </row>
    <row r="4214" spans="5:5">
      <c r="E4214" t="e">
        <v>#VALUE!</v>
      </c>
    </row>
    <row r="4215" spans="5:5">
      <c r="E4215" t="e">
        <v>#VALUE!</v>
      </c>
    </row>
    <row r="4216" spans="5:5">
      <c r="E4216" t="e">
        <v>#VALUE!</v>
      </c>
    </row>
    <row r="4217" spans="5:5">
      <c r="E4217" t="e">
        <v>#VALUE!</v>
      </c>
    </row>
    <row r="4218" spans="5:5">
      <c r="E4218" t="e">
        <v>#VALUE!</v>
      </c>
    </row>
    <row r="4219" spans="5:5">
      <c r="E4219" t="e">
        <v>#VALUE!</v>
      </c>
    </row>
    <row r="4220" spans="5:5">
      <c r="E4220" t="e">
        <v>#VALUE!</v>
      </c>
    </row>
    <row r="4221" spans="5:5">
      <c r="E4221" t="e">
        <v>#VALUE!</v>
      </c>
    </row>
    <row r="4222" spans="5:5">
      <c r="E4222" t="e">
        <v>#VALUE!</v>
      </c>
    </row>
    <row r="4223" spans="5:5">
      <c r="E4223" t="e">
        <v>#VALUE!</v>
      </c>
    </row>
    <row r="4224" spans="5:5">
      <c r="E4224" t="e">
        <v>#VALUE!</v>
      </c>
    </row>
    <row r="4225" spans="5:5">
      <c r="E4225" t="e">
        <v>#VALUE!</v>
      </c>
    </row>
    <row r="4226" spans="5:5">
      <c r="E4226" t="e">
        <v>#VALUE!</v>
      </c>
    </row>
    <row r="4227" spans="5:5">
      <c r="E4227" t="e">
        <v>#VALUE!</v>
      </c>
    </row>
    <row r="4228" spans="5:5">
      <c r="E4228" t="e">
        <v>#VALUE!</v>
      </c>
    </row>
    <row r="4229" spans="5:5">
      <c r="E4229" t="e">
        <v>#VALUE!</v>
      </c>
    </row>
    <row r="4230" spans="5:5">
      <c r="E4230" t="e">
        <v>#VALUE!</v>
      </c>
    </row>
    <row r="4231" spans="5:5">
      <c r="E4231" t="e">
        <v>#VALUE!</v>
      </c>
    </row>
    <row r="4232" spans="5:5">
      <c r="E4232" t="e">
        <v>#VALUE!</v>
      </c>
    </row>
    <row r="4233" spans="5:5">
      <c r="E4233" t="e">
        <v>#VALUE!</v>
      </c>
    </row>
    <row r="4234" spans="5:5">
      <c r="E4234" t="e">
        <v>#VALUE!</v>
      </c>
    </row>
    <row r="4235" spans="5:5">
      <c r="E4235" t="e">
        <v>#VALUE!</v>
      </c>
    </row>
    <row r="4236" spans="5:5">
      <c r="E4236" t="e">
        <v>#VALUE!</v>
      </c>
    </row>
    <row r="4237" spans="5:5">
      <c r="E4237" t="e">
        <v>#VALUE!</v>
      </c>
    </row>
    <row r="4238" spans="5:5">
      <c r="E4238" t="e">
        <v>#VALUE!</v>
      </c>
    </row>
    <row r="4239" spans="5:5">
      <c r="E4239" t="e">
        <v>#VALUE!</v>
      </c>
    </row>
    <row r="4240" spans="5:5">
      <c r="E4240" t="e">
        <v>#VALUE!</v>
      </c>
    </row>
    <row r="4241" spans="5:5">
      <c r="E4241" t="e">
        <v>#VALUE!</v>
      </c>
    </row>
    <row r="4242" spans="5:5">
      <c r="E4242" t="e">
        <v>#VALUE!</v>
      </c>
    </row>
    <row r="4243" spans="5:5">
      <c r="E4243" t="e">
        <v>#VALUE!</v>
      </c>
    </row>
    <row r="4244" spans="5:5">
      <c r="E4244" t="e">
        <v>#VALUE!</v>
      </c>
    </row>
    <row r="4245" spans="5:5">
      <c r="E4245" t="e">
        <v>#VALUE!</v>
      </c>
    </row>
    <row r="4246" spans="5:5">
      <c r="E4246" t="e">
        <v>#VALUE!</v>
      </c>
    </row>
    <row r="4247" spans="5:5">
      <c r="E4247" t="e">
        <v>#VALUE!</v>
      </c>
    </row>
    <row r="4248" spans="5:5">
      <c r="E4248" t="e">
        <v>#VALUE!</v>
      </c>
    </row>
    <row r="4249" spans="5:5">
      <c r="E4249" t="e">
        <v>#VALUE!</v>
      </c>
    </row>
    <row r="4250" spans="5:5">
      <c r="E4250" t="e">
        <v>#VALUE!</v>
      </c>
    </row>
    <row r="4251" spans="5:5">
      <c r="E4251" t="e">
        <v>#VALUE!</v>
      </c>
    </row>
    <row r="4252" spans="5:5">
      <c r="E4252" t="e">
        <v>#VALUE!</v>
      </c>
    </row>
    <row r="4253" spans="5:5">
      <c r="E4253" t="e">
        <v>#VALUE!</v>
      </c>
    </row>
    <row r="4254" spans="5:5">
      <c r="E4254" t="e">
        <v>#VALUE!</v>
      </c>
    </row>
    <row r="4255" spans="5:5">
      <c r="E4255" t="e">
        <v>#VALUE!</v>
      </c>
    </row>
    <row r="4256" spans="5:5">
      <c r="E4256" t="e">
        <v>#VALUE!</v>
      </c>
    </row>
    <row r="4257" spans="5:5">
      <c r="E4257" t="e">
        <v>#VALUE!</v>
      </c>
    </row>
    <row r="4258" spans="5:5">
      <c r="E4258" t="e">
        <v>#VALUE!</v>
      </c>
    </row>
    <row r="4259" spans="5:5">
      <c r="E4259" t="e">
        <v>#VALUE!</v>
      </c>
    </row>
    <row r="4260" spans="5:5">
      <c r="E4260" t="e">
        <v>#VALUE!</v>
      </c>
    </row>
    <row r="4261" spans="5:5">
      <c r="E4261" t="e">
        <v>#VALUE!</v>
      </c>
    </row>
    <row r="4262" spans="5:5">
      <c r="E4262" t="e">
        <v>#VALUE!</v>
      </c>
    </row>
    <row r="4263" spans="5:5">
      <c r="E4263" t="e">
        <v>#VALUE!</v>
      </c>
    </row>
    <row r="4264" spans="5:5">
      <c r="E4264" t="e">
        <v>#VALUE!</v>
      </c>
    </row>
    <row r="4265" spans="5:5">
      <c r="E4265" t="e">
        <v>#VALUE!</v>
      </c>
    </row>
    <row r="4266" spans="5:5">
      <c r="E4266" t="e">
        <v>#VALUE!</v>
      </c>
    </row>
    <row r="4267" spans="5:5">
      <c r="E4267" t="e">
        <v>#VALUE!</v>
      </c>
    </row>
    <row r="4268" spans="5:5">
      <c r="E4268" t="e">
        <v>#VALUE!</v>
      </c>
    </row>
    <row r="4269" spans="5:5">
      <c r="E4269" t="e">
        <v>#VALUE!</v>
      </c>
    </row>
    <row r="4270" spans="5:5">
      <c r="E4270" t="e">
        <v>#VALUE!</v>
      </c>
    </row>
    <row r="4271" spans="5:5">
      <c r="E4271" t="e">
        <v>#VALUE!</v>
      </c>
    </row>
    <row r="4272" spans="5:5">
      <c r="E4272" t="e">
        <v>#VALUE!</v>
      </c>
    </row>
    <row r="4273" spans="5:5">
      <c r="E4273" t="e">
        <v>#VALUE!</v>
      </c>
    </row>
    <row r="4274" spans="5:5">
      <c r="E4274" t="e">
        <v>#VALUE!</v>
      </c>
    </row>
    <row r="4275" spans="5:5">
      <c r="E4275" t="e">
        <v>#VALUE!</v>
      </c>
    </row>
    <row r="4276" spans="5:5">
      <c r="E4276" t="e">
        <v>#VALUE!</v>
      </c>
    </row>
    <row r="4277" spans="5:5">
      <c r="E4277" t="e">
        <v>#VALUE!</v>
      </c>
    </row>
    <row r="4278" spans="5:5">
      <c r="E4278" t="e">
        <v>#VALUE!</v>
      </c>
    </row>
    <row r="4279" spans="5:5">
      <c r="E4279" t="e">
        <v>#VALUE!</v>
      </c>
    </row>
    <row r="4280" spans="5:5">
      <c r="E4280" t="e">
        <v>#VALUE!</v>
      </c>
    </row>
    <row r="4281" spans="5:5">
      <c r="E4281" t="e">
        <v>#VALUE!</v>
      </c>
    </row>
    <row r="4282" spans="5:5">
      <c r="E4282" t="e">
        <v>#VALUE!</v>
      </c>
    </row>
    <row r="4283" spans="5:5">
      <c r="E4283" t="e">
        <v>#VALUE!</v>
      </c>
    </row>
    <row r="4284" spans="5:5">
      <c r="E4284" t="e">
        <v>#VALUE!</v>
      </c>
    </row>
    <row r="4285" spans="5:5">
      <c r="E4285" t="e">
        <v>#VALUE!</v>
      </c>
    </row>
    <row r="4286" spans="5:5">
      <c r="E4286" t="e">
        <v>#VALUE!</v>
      </c>
    </row>
    <row r="4287" spans="5:5">
      <c r="E4287" t="e">
        <v>#VALUE!</v>
      </c>
    </row>
    <row r="4288" spans="5:5">
      <c r="E4288" t="e">
        <v>#VALUE!</v>
      </c>
    </row>
    <row r="4289" spans="5:5">
      <c r="E4289" t="e">
        <v>#VALUE!</v>
      </c>
    </row>
    <row r="4290" spans="5:5">
      <c r="E4290" t="e">
        <v>#VALUE!</v>
      </c>
    </row>
    <row r="4291" spans="5:5">
      <c r="E4291" t="e">
        <v>#VALUE!</v>
      </c>
    </row>
    <row r="4292" spans="5:5">
      <c r="E4292" t="e">
        <v>#VALUE!</v>
      </c>
    </row>
    <row r="4293" spans="5:5">
      <c r="E4293" t="e">
        <v>#VALUE!</v>
      </c>
    </row>
    <row r="4294" spans="5:5">
      <c r="E4294" t="e">
        <v>#VALUE!</v>
      </c>
    </row>
    <row r="4295" spans="5:5">
      <c r="E4295" t="e">
        <v>#VALUE!</v>
      </c>
    </row>
    <row r="4296" spans="5:5">
      <c r="E4296" t="e">
        <v>#VALUE!</v>
      </c>
    </row>
    <row r="4297" spans="5:5">
      <c r="E4297" t="e">
        <v>#VALUE!</v>
      </c>
    </row>
    <row r="4298" spans="5:5">
      <c r="E4298" t="e">
        <v>#VALUE!</v>
      </c>
    </row>
    <row r="4299" spans="5:5">
      <c r="E4299" t="e">
        <v>#VALUE!</v>
      </c>
    </row>
    <row r="4300" spans="5:5">
      <c r="E4300" t="e">
        <v>#VALUE!</v>
      </c>
    </row>
    <row r="4301" spans="5:5">
      <c r="E4301" t="e">
        <v>#VALUE!</v>
      </c>
    </row>
    <row r="4302" spans="5:5">
      <c r="E4302" t="e">
        <v>#VALUE!</v>
      </c>
    </row>
    <row r="4303" spans="5:5">
      <c r="E4303" t="e">
        <v>#VALUE!</v>
      </c>
    </row>
    <row r="4304" spans="5:5">
      <c r="E4304" t="e">
        <v>#VALUE!</v>
      </c>
    </row>
    <row r="4305" spans="5:5">
      <c r="E4305" t="e">
        <v>#VALUE!</v>
      </c>
    </row>
    <row r="4306" spans="5:5">
      <c r="E4306" t="e">
        <v>#VALUE!</v>
      </c>
    </row>
    <row r="4307" spans="5:5">
      <c r="E4307" t="e">
        <v>#VALUE!</v>
      </c>
    </row>
    <row r="4308" spans="5:5">
      <c r="E4308" t="e">
        <v>#VALUE!</v>
      </c>
    </row>
    <row r="4309" spans="5:5">
      <c r="E4309" t="e">
        <v>#VALUE!</v>
      </c>
    </row>
    <row r="4310" spans="5:5">
      <c r="E4310" t="e">
        <v>#VALUE!</v>
      </c>
    </row>
    <row r="4311" spans="5:5">
      <c r="E4311" t="e">
        <v>#VALUE!</v>
      </c>
    </row>
    <row r="4312" spans="5:5">
      <c r="E4312" t="e">
        <v>#VALUE!</v>
      </c>
    </row>
    <row r="4313" spans="5:5">
      <c r="E4313" t="e">
        <v>#VALUE!</v>
      </c>
    </row>
    <row r="4314" spans="5:5">
      <c r="E4314" t="e">
        <v>#VALUE!</v>
      </c>
    </row>
    <row r="4315" spans="5:5">
      <c r="E4315" t="e">
        <v>#VALUE!</v>
      </c>
    </row>
    <row r="4316" spans="5:5">
      <c r="E4316" t="e">
        <v>#VALUE!</v>
      </c>
    </row>
    <row r="4317" spans="5:5">
      <c r="E4317" t="e">
        <v>#VALUE!</v>
      </c>
    </row>
    <row r="4318" spans="5:5">
      <c r="E4318" t="e">
        <v>#VALUE!</v>
      </c>
    </row>
    <row r="4319" spans="5:5">
      <c r="E4319" t="e">
        <v>#VALUE!</v>
      </c>
    </row>
    <row r="4320" spans="5:5">
      <c r="E4320" t="e">
        <v>#VALUE!</v>
      </c>
    </row>
    <row r="4321" spans="5:5">
      <c r="E4321" t="e">
        <v>#VALUE!</v>
      </c>
    </row>
    <row r="4322" spans="5:5">
      <c r="E4322" t="e">
        <v>#VALUE!</v>
      </c>
    </row>
    <row r="4323" spans="5:5">
      <c r="E4323" t="e">
        <v>#VALUE!</v>
      </c>
    </row>
    <row r="4324" spans="5:5">
      <c r="E4324" t="e">
        <v>#VALUE!</v>
      </c>
    </row>
    <row r="4325" spans="5:5">
      <c r="E4325" t="e">
        <v>#VALUE!</v>
      </c>
    </row>
    <row r="4326" spans="5:5">
      <c r="E4326" t="e">
        <v>#VALUE!</v>
      </c>
    </row>
    <row r="4327" spans="5:5">
      <c r="E4327" t="e">
        <v>#VALUE!</v>
      </c>
    </row>
    <row r="4328" spans="5:5">
      <c r="E4328" t="e">
        <v>#VALUE!</v>
      </c>
    </row>
    <row r="4329" spans="5:5">
      <c r="E4329" t="e">
        <v>#VALUE!</v>
      </c>
    </row>
    <row r="4330" spans="5:5">
      <c r="E4330" t="e">
        <v>#VALUE!</v>
      </c>
    </row>
    <row r="4331" spans="5:5">
      <c r="E4331" t="e">
        <v>#VALUE!</v>
      </c>
    </row>
    <row r="4332" spans="5:5">
      <c r="E4332" t="e">
        <v>#VALUE!</v>
      </c>
    </row>
    <row r="4333" spans="5:5">
      <c r="E4333" t="e">
        <v>#VALUE!</v>
      </c>
    </row>
    <row r="4334" spans="5:5">
      <c r="E4334" t="e">
        <v>#VALUE!</v>
      </c>
    </row>
    <row r="4335" spans="5:5">
      <c r="E4335" t="e">
        <v>#VALUE!</v>
      </c>
    </row>
    <row r="4336" spans="5:5">
      <c r="E4336" t="e">
        <v>#VALUE!</v>
      </c>
    </row>
    <row r="4337" spans="5:5">
      <c r="E4337" t="e">
        <v>#VALUE!</v>
      </c>
    </row>
    <row r="4338" spans="5:5">
      <c r="E4338" t="e">
        <v>#VALUE!</v>
      </c>
    </row>
    <row r="4339" spans="5:5">
      <c r="E4339" t="e">
        <v>#VALUE!</v>
      </c>
    </row>
    <row r="4340" spans="5:5">
      <c r="E4340" t="e">
        <v>#VALUE!</v>
      </c>
    </row>
    <row r="4341" spans="5:5">
      <c r="E4341" t="e">
        <v>#VALUE!</v>
      </c>
    </row>
    <row r="4342" spans="5:5">
      <c r="E4342" t="e">
        <v>#VALUE!</v>
      </c>
    </row>
    <row r="4343" spans="5:5">
      <c r="E4343" t="e">
        <v>#VALUE!</v>
      </c>
    </row>
    <row r="4344" spans="5:5">
      <c r="E4344" t="e">
        <v>#VALUE!</v>
      </c>
    </row>
    <row r="4345" spans="5:5">
      <c r="E4345" t="e">
        <v>#VALUE!</v>
      </c>
    </row>
    <row r="4346" spans="5:5">
      <c r="E4346" t="e">
        <v>#VALUE!</v>
      </c>
    </row>
    <row r="4347" spans="5:5">
      <c r="E4347" t="e">
        <v>#VALUE!</v>
      </c>
    </row>
    <row r="4348" spans="5:5">
      <c r="E4348" t="e">
        <v>#VALUE!</v>
      </c>
    </row>
    <row r="4349" spans="5:5">
      <c r="E4349" t="e">
        <v>#VALUE!</v>
      </c>
    </row>
    <row r="4350" spans="5:5">
      <c r="E4350" t="e">
        <v>#VALUE!</v>
      </c>
    </row>
    <row r="4351" spans="5:5">
      <c r="E4351" t="e">
        <v>#VALUE!</v>
      </c>
    </row>
    <row r="4352" spans="5:5">
      <c r="E4352" t="e">
        <v>#VALUE!</v>
      </c>
    </row>
    <row r="4353" spans="5:5">
      <c r="E4353" t="e">
        <v>#VALUE!</v>
      </c>
    </row>
    <row r="4354" spans="5:5">
      <c r="E4354" t="e">
        <v>#VALUE!</v>
      </c>
    </row>
    <row r="4355" spans="5:5">
      <c r="E4355" t="e">
        <v>#VALUE!</v>
      </c>
    </row>
    <row r="4356" spans="5:5">
      <c r="E4356" t="e">
        <v>#VALUE!</v>
      </c>
    </row>
    <row r="4357" spans="5:5">
      <c r="E4357" t="e">
        <v>#VALUE!</v>
      </c>
    </row>
    <row r="4358" spans="5:5">
      <c r="E4358" t="e">
        <v>#VALUE!</v>
      </c>
    </row>
    <row r="4359" spans="5:5">
      <c r="E4359" t="e">
        <v>#VALUE!</v>
      </c>
    </row>
    <row r="4360" spans="5:5">
      <c r="E4360" t="e">
        <v>#VALUE!</v>
      </c>
    </row>
    <row r="4361" spans="5:5">
      <c r="E4361" t="e">
        <v>#VALUE!</v>
      </c>
    </row>
    <row r="4362" spans="5:5">
      <c r="E4362" t="e">
        <v>#VALUE!</v>
      </c>
    </row>
    <row r="4363" spans="5:5">
      <c r="E4363" t="e">
        <v>#VALUE!</v>
      </c>
    </row>
    <row r="4364" spans="5:5">
      <c r="E4364" t="e">
        <v>#VALUE!</v>
      </c>
    </row>
    <row r="4365" spans="5:5">
      <c r="E4365" t="e">
        <v>#VALUE!</v>
      </c>
    </row>
    <row r="4366" spans="5:5">
      <c r="E4366" t="e">
        <v>#VALUE!</v>
      </c>
    </row>
    <row r="4367" spans="5:5">
      <c r="E4367" t="e">
        <v>#VALUE!</v>
      </c>
    </row>
    <row r="4368" spans="5:5">
      <c r="E4368" t="e">
        <v>#VALUE!</v>
      </c>
    </row>
    <row r="4369" spans="5:5">
      <c r="E4369" t="e">
        <v>#VALUE!</v>
      </c>
    </row>
    <row r="4370" spans="5:5">
      <c r="E4370" t="e">
        <v>#VALUE!</v>
      </c>
    </row>
    <row r="4371" spans="5:5">
      <c r="E4371" t="e">
        <v>#VALUE!</v>
      </c>
    </row>
    <row r="4372" spans="5:5">
      <c r="E4372" t="e">
        <v>#VALUE!</v>
      </c>
    </row>
    <row r="4373" spans="5:5">
      <c r="E4373" t="e">
        <v>#VALUE!</v>
      </c>
    </row>
    <row r="4374" spans="5:5">
      <c r="E4374" t="e">
        <v>#VALUE!</v>
      </c>
    </row>
    <row r="4375" spans="5:5">
      <c r="E4375" t="e">
        <v>#VALUE!</v>
      </c>
    </row>
    <row r="4376" spans="5:5">
      <c r="E4376" t="e">
        <v>#VALUE!</v>
      </c>
    </row>
    <row r="4377" spans="5:5">
      <c r="E4377" t="e">
        <v>#VALUE!</v>
      </c>
    </row>
    <row r="4378" spans="5:5">
      <c r="E4378" t="e">
        <v>#VALUE!</v>
      </c>
    </row>
    <row r="4379" spans="5:5">
      <c r="E4379" t="e">
        <v>#VALUE!</v>
      </c>
    </row>
    <row r="4380" spans="5:5">
      <c r="E4380" t="e">
        <v>#VALUE!</v>
      </c>
    </row>
    <row r="4381" spans="5:5">
      <c r="E4381" t="e">
        <v>#VALUE!</v>
      </c>
    </row>
    <row r="4382" spans="5:5">
      <c r="E4382" t="e">
        <v>#VALUE!</v>
      </c>
    </row>
    <row r="4383" spans="5:5">
      <c r="E4383" t="e">
        <v>#VALUE!</v>
      </c>
    </row>
    <row r="4384" spans="5:5">
      <c r="E4384" t="e">
        <v>#VALUE!</v>
      </c>
    </row>
    <row r="4385" spans="5:5">
      <c r="E4385" t="e">
        <v>#VALUE!</v>
      </c>
    </row>
    <row r="4386" spans="5:5">
      <c r="E4386" t="e">
        <v>#VALUE!</v>
      </c>
    </row>
    <row r="4387" spans="5:5">
      <c r="E4387" t="e">
        <v>#VALUE!</v>
      </c>
    </row>
    <row r="4388" spans="5:5">
      <c r="E4388" t="e">
        <v>#VALUE!</v>
      </c>
    </row>
    <row r="4389" spans="5:5">
      <c r="E4389" t="e">
        <v>#VALUE!</v>
      </c>
    </row>
    <row r="4390" spans="5:5">
      <c r="E4390" t="e">
        <v>#VALUE!</v>
      </c>
    </row>
    <row r="4391" spans="5:5">
      <c r="E4391" t="e">
        <v>#VALUE!</v>
      </c>
    </row>
    <row r="4392" spans="5:5">
      <c r="E4392" t="e">
        <v>#VALUE!</v>
      </c>
    </row>
    <row r="4393" spans="5:5">
      <c r="E4393" t="e">
        <v>#VALUE!</v>
      </c>
    </row>
    <row r="4394" spans="5:5">
      <c r="E4394" t="e">
        <v>#VALUE!</v>
      </c>
    </row>
    <row r="4395" spans="5:5">
      <c r="E4395" t="e">
        <v>#VALUE!</v>
      </c>
    </row>
    <row r="4396" spans="5:5">
      <c r="E4396" t="e">
        <v>#VALUE!</v>
      </c>
    </row>
    <row r="4397" spans="5:5">
      <c r="E4397" t="e">
        <v>#VALUE!</v>
      </c>
    </row>
    <row r="4398" spans="5:5">
      <c r="E4398" t="e">
        <v>#VALUE!</v>
      </c>
    </row>
    <row r="4399" spans="5:5">
      <c r="E4399" t="e">
        <v>#VALUE!</v>
      </c>
    </row>
    <row r="4400" spans="5:5">
      <c r="E4400" t="e">
        <v>#VALUE!</v>
      </c>
    </row>
    <row r="4401" spans="5:5">
      <c r="E4401" t="e">
        <v>#VALUE!</v>
      </c>
    </row>
    <row r="4402" spans="5:5">
      <c r="E4402" t="e">
        <v>#VALUE!</v>
      </c>
    </row>
    <row r="4403" spans="5:5">
      <c r="E4403" t="e">
        <v>#VALUE!</v>
      </c>
    </row>
    <row r="4404" spans="5:5">
      <c r="E4404" t="e">
        <v>#VALUE!</v>
      </c>
    </row>
    <row r="4405" spans="5:5">
      <c r="E4405" t="e">
        <v>#VALUE!</v>
      </c>
    </row>
    <row r="4406" spans="5:5">
      <c r="E4406" t="e">
        <v>#VALUE!</v>
      </c>
    </row>
    <row r="4407" spans="5:5">
      <c r="E4407" t="e">
        <v>#VALUE!</v>
      </c>
    </row>
    <row r="4408" spans="5:5">
      <c r="E4408" t="e">
        <v>#VALUE!</v>
      </c>
    </row>
    <row r="4409" spans="5:5">
      <c r="E4409" t="e">
        <v>#VALUE!</v>
      </c>
    </row>
    <row r="4410" spans="5:5">
      <c r="E4410" t="e">
        <v>#VALUE!</v>
      </c>
    </row>
    <row r="4411" spans="5:5">
      <c r="E4411" t="e">
        <v>#VALUE!</v>
      </c>
    </row>
    <row r="4412" spans="5:5">
      <c r="E4412" t="e">
        <v>#VALUE!</v>
      </c>
    </row>
    <row r="4413" spans="5:5">
      <c r="E4413" t="e">
        <v>#VALUE!</v>
      </c>
    </row>
    <row r="4414" spans="5:5">
      <c r="E4414" t="e">
        <v>#VALUE!</v>
      </c>
    </row>
    <row r="4415" spans="5:5">
      <c r="E4415" t="e">
        <v>#VALUE!</v>
      </c>
    </row>
    <row r="4416" spans="5:5">
      <c r="E4416" t="e">
        <v>#VALUE!</v>
      </c>
    </row>
    <row r="4417" spans="5:5">
      <c r="E4417" t="e">
        <v>#VALUE!</v>
      </c>
    </row>
    <row r="4418" spans="5:5">
      <c r="E4418" t="e">
        <v>#VALUE!</v>
      </c>
    </row>
    <row r="4419" spans="5:5">
      <c r="E4419" t="e">
        <v>#VALUE!</v>
      </c>
    </row>
    <row r="4420" spans="5:5">
      <c r="E4420" t="e">
        <v>#VALUE!</v>
      </c>
    </row>
    <row r="4421" spans="5:5">
      <c r="E4421" t="e">
        <v>#VALUE!</v>
      </c>
    </row>
    <row r="4422" spans="5:5">
      <c r="E4422" t="e">
        <v>#VALUE!</v>
      </c>
    </row>
    <row r="4423" spans="5:5">
      <c r="E4423" t="e">
        <v>#VALUE!</v>
      </c>
    </row>
    <row r="4424" spans="5:5">
      <c r="E4424" t="e">
        <v>#VALUE!</v>
      </c>
    </row>
    <row r="4425" spans="5:5">
      <c r="E4425" t="e">
        <v>#VALUE!</v>
      </c>
    </row>
    <row r="4426" spans="5:5">
      <c r="E4426" t="e">
        <v>#VALUE!</v>
      </c>
    </row>
    <row r="4427" spans="5:5">
      <c r="E4427" t="e">
        <v>#VALUE!</v>
      </c>
    </row>
    <row r="4428" spans="5:5">
      <c r="E4428" t="e">
        <v>#VALUE!</v>
      </c>
    </row>
    <row r="4429" spans="5:5">
      <c r="E4429" t="e">
        <v>#VALUE!</v>
      </c>
    </row>
    <row r="4430" spans="5:5">
      <c r="E4430" t="e">
        <v>#VALUE!</v>
      </c>
    </row>
    <row r="4431" spans="5:5">
      <c r="E4431" t="e">
        <v>#VALUE!</v>
      </c>
    </row>
    <row r="4432" spans="5:5">
      <c r="E4432" t="e">
        <v>#VALUE!</v>
      </c>
    </row>
    <row r="4433" spans="5:5">
      <c r="E4433" t="e">
        <v>#VALUE!</v>
      </c>
    </row>
    <row r="4434" spans="5:5">
      <c r="E4434" t="e">
        <v>#VALUE!</v>
      </c>
    </row>
    <row r="4435" spans="5:5">
      <c r="E4435" t="e">
        <v>#VALUE!</v>
      </c>
    </row>
    <row r="4436" spans="5:5">
      <c r="E4436" t="e">
        <v>#VALUE!</v>
      </c>
    </row>
    <row r="4437" spans="5:5">
      <c r="E4437" t="e">
        <v>#VALUE!</v>
      </c>
    </row>
    <row r="4438" spans="5:5">
      <c r="E4438" t="e">
        <v>#VALUE!</v>
      </c>
    </row>
    <row r="4439" spans="5:5">
      <c r="E4439" t="e">
        <v>#VALUE!</v>
      </c>
    </row>
    <row r="4440" spans="5:5">
      <c r="E4440" t="e">
        <v>#VALUE!</v>
      </c>
    </row>
    <row r="4441" spans="5:5">
      <c r="E4441" t="e">
        <v>#VALUE!</v>
      </c>
    </row>
    <row r="4442" spans="5:5">
      <c r="E4442" t="e">
        <v>#VALUE!</v>
      </c>
    </row>
    <row r="4443" spans="5:5">
      <c r="E4443" t="e">
        <v>#VALUE!</v>
      </c>
    </row>
    <row r="4444" spans="5:5">
      <c r="E4444" t="e">
        <v>#VALUE!</v>
      </c>
    </row>
    <row r="4445" spans="5:5">
      <c r="E4445" t="e">
        <v>#VALUE!</v>
      </c>
    </row>
    <row r="4446" spans="5:5">
      <c r="E4446" t="e">
        <v>#VALUE!</v>
      </c>
    </row>
    <row r="4447" spans="5:5">
      <c r="E4447" t="e">
        <v>#VALUE!</v>
      </c>
    </row>
    <row r="4448" spans="5:5">
      <c r="E4448" t="e">
        <v>#VALUE!</v>
      </c>
    </row>
    <row r="4449" spans="5:5">
      <c r="E4449" t="e">
        <v>#VALUE!</v>
      </c>
    </row>
    <row r="4450" spans="5:5">
      <c r="E4450" t="e">
        <v>#VALUE!</v>
      </c>
    </row>
    <row r="4451" spans="5:5">
      <c r="E4451" t="e">
        <v>#VALUE!</v>
      </c>
    </row>
    <row r="4452" spans="5:5">
      <c r="E4452" t="e">
        <v>#VALUE!</v>
      </c>
    </row>
    <row r="4453" spans="5:5">
      <c r="E4453" t="e">
        <v>#VALUE!</v>
      </c>
    </row>
    <row r="4454" spans="5:5">
      <c r="E4454" t="e">
        <v>#VALUE!</v>
      </c>
    </row>
    <row r="4455" spans="5:5">
      <c r="E4455" t="e">
        <v>#VALUE!</v>
      </c>
    </row>
    <row r="4456" spans="5:5">
      <c r="E4456" t="e">
        <v>#VALUE!</v>
      </c>
    </row>
    <row r="4457" spans="5:5">
      <c r="E4457" t="e">
        <v>#VALUE!</v>
      </c>
    </row>
    <row r="4458" spans="5:5">
      <c r="E4458" t="e">
        <v>#VALUE!</v>
      </c>
    </row>
    <row r="4459" spans="5:5">
      <c r="E4459" t="e">
        <v>#VALUE!</v>
      </c>
    </row>
    <row r="4460" spans="5:5">
      <c r="E4460" t="e">
        <v>#VALUE!</v>
      </c>
    </row>
    <row r="4461" spans="5:5">
      <c r="E4461" t="e">
        <v>#VALUE!</v>
      </c>
    </row>
    <row r="4462" spans="5:5">
      <c r="E4462" t="e">
        <v>#VALUE!</v>
      </c>
    </row>
    <row r="4463" spans="5:5">
      <c r="E4463" t="e">
        <v>#VALUE!</v>
      </c>
    </row>
    <row r="4464" spans="5:5">
      <c r="E4464" t="e">
        <v>#VALUE!</v>
      </c>
    </row>
    <row r="4465" spans="5:5">
      <c r="E4465" t="e">
        <v>#VALUE!</v>
      </c>
    </row>
    <row r="4466" spans="5:5">
      <c r="E4466" t="e">
        <v>#VALUE!</v>
      </c>
    </row>
    <row r="4467" spans="5:5">
      <c r="E4467" t="e">
        <v>#VALUE!</v>
      </c>
    </row>
    <row r="4468" spans="5:5">
      <c r="E4468" t="e">
        <v>#VALUE!</v>
      </c>
    </row>
    <row r="4469" spans="5:5">
      <c r="E4469" t="e">
        <v>#VALUE!</v>
      </c>
    </row>
    <row r="4470" spans="5:5">
      <c r="E4470" t="e">
        <v>#VALUE!</v>
      </c>
    </row>
    <row r="4471" spans="5:5">
      <c r="E4471" t="e">
        <v>#VALUE!</v>
      </c>
    </row>
    <row r="4472" spans="5:5">
      <c r="E4472" t="e">
        <v>#VALUE!</v>
      </c>
    </row>
    <row r="4473" spans="5:5">
      <c r="E4473" t="e">
        <v>#VALUE!</v>
      </c>
    </row>
    <row r="4474" spans="5:5">
      <c r="E4474" t="e">
        <v>#VALUE!</v>
      </c>
    </row>
    <row r="4475" spans="5:5">
      <c r="E4475" t="e">
        <v>#VALUE!</v>
      </c>
    </row>
    <row r="4476" spans="5:5">
      <c r="E4476" t="e">
        <v>#VALUE!</v>
      </c>
    </row>
    <row r="4477" spans="5:5">
      <c r="E4477" t="e">
        <v>#VALUE!</v>
      </c>
    </row>
    <row r="4478" spans="5:5">
      <c r="E4478" t="e">
        <v>#VALUE!</v>
      </c>
    </row>
    <row r="4479" spans="5:5">
      <c r="E4479" t="e">
        <v>#VALUE!</v>
      </c>
    </row>
    <row r="4480" spans="5:5">
      <c r="E4480" t="e">
        <v>#VALUE!</v>
      </c>
    </row>
    <row r="4481" spans="5:5">
      <c r="E4481" t="e">
        <v>#VALUE!</v>
      </c>
    </row>
    <row r="4482" spans="5:5">
      <c r="E4482" t="e">
        <v>#VALUE!</v>
      </c>
    </row>
    <row r="4483" spans="5:5">
      <c r="E4483" t="e">
        <v>#VALUE!</v>
      </c>
    </row>
    <row r="4484" spans="5:5">
      <c r="E4484" t="e">
        <v>#VALUE!</v>
      </c>
    </row>
    <row r="4485" spans="5:5">
      <c r="E4485" t="e">
        <v>#VALUE!</v>
      </c>
    </row>
    <row r="4486" spans="5:5">
      <c r="E4486" t="e">
        <v>#VALUE!</v>
      </c>
    </row>
    <row r="4487" spans="5:5">
      <c r="E4487" t="e">
        <v>#VALUE!</v>
      </c>
    </row>
    <row r="4488" spans="5:5">
      <c r="E4488" t="e">
        <v>#VALUE!</v>
      </c>
    </row>
    <row r="4489" spans="5:5">
      <c r="E4489" t="e">
        <v>#VALUE!</v>
      </c>
    </row>
    <row r="4490" spans="5:5">
      <c r="E4490" t="e">
        <v>#VALUE!</v>
      </c>
    </row>
    <row r="4491" spans="5:5">
      <c r="E4491" t="e">
        <v>#VALUE!</v>
      </c>
    </row>
    <row r="4492" spans="5:5">
      <c r="E4492" t="e">
        <v>#VALUE!</v>
      </c>
    </row>
    <row r="4493" spans="5:5">
      <c r="E4493" t="e">
        <v>#VALUE!</v>
      </c>
    </row>
    <row r="4494" spans="5:5">
      <c r="E4494" t="e">
        <v>#VALUE!</v>
      </c>
    </row>
    <row r="4495" spans="5:5">
      <c r="E4495" t="e">
        <v>#VALUE!</v>
      </c>
    </row>
    <row r="4496" spans="5:5">
      <c r="E4496" t="e">
        <v>#VALUE!</v>
      </c>
    </row>
    <row r="4497" spans="5:5">
      <c r="E4497" t="e">
        <v>#VALUE!</v>
      </c>
    </row>
    <row r="4498" spans="5:5">
      <c r="E4498" t="e">
        <v>#VALUE!</v>
      </c>
    </row>
    <row r="4499" spans="5:5">
      <c r="E4499" t="e">
        <v>#VALUE!</v>
      </c>
    </row>
    <row r="4500" spans="5:5">
      <c r="E4500" t="e">
        <v>#VALUE!</v>
      </c>
    </row>
    <row r="4501" spans="5:5">
      <c r="E4501" t="e">
        <v>#VALUE!</v>
      </c>
    </row>
    <row r="4502" spans="5:5">
      <c r="E4502" t="e">
        <v>#VALUE!</v>
      </c>
    </row>
    <row r="4503" spans="5:5">
      <c r="E4503" t="e">
        <v>#VALUE!</v>
      </c>
    </row>
    <row r="4504" spans="5:5">
      <c r="E4504" t="e">
        <v>#VALUE!</v>
      </c>
    </row>
    <row r="4505" spans="5:5">
      <c r="E4505" t="e">
        <v>#VALUE!</v>
      </c>
    </row>
    <row r="4506" spans="5:5">
      <c r="E4506" t="e">
        <v>#VALUE!</v>
      </c>
    </row>
    <row r="4507" spans="5:5">
      <c r="E4507" t="e">
        <v>#VALUE!</v>
      </c>
    </row>
    <row r="4508" spans="5:5">
      <c r="E4508" t="e">
        <v>#VALUE!</v>
      </c>
    </row>
    <row r="4509" spans="5:5">
      <c r="E4509" t="e">
        <v>#VALUE!</v>
      </c>
    </row>
    <row r="4510" spans="5:5">
      <c r="E4510" t="e">
        <v>#VALUE!</v>
      </c>
    </row>
    <row r="4511" spans="5:5">
      <c r="E4511" t="e">
        <v>#VALUE!</v>
      </c>
    </row>
    <row r="4512" spans="5:5">
      <c r="E4512" t="e">
        <v>#VALUE!</v>
      </c>
    </row>
    <row r="4513" spans="5:5">
      <c r="E4513" t="e">
        <v>#VALUE!</v>
      </c>
    </row>
    <row r="4514" spans="5:5">
      <c r="E4514" t="e">
        <v>#VALUE!</v>
      </c>
    </row>
    <row r="4515" spans="5:5">
      <c r="E4515" t="e">
        <v>#VALUE!</v>
      </c>
    </row>
    <row r="4516" spans="5:5">
      <c r="E4516" t="e">
        <v>#VALUE!</v>
      </c>
    </row>
    <row r="4517" spans="5:5">
      <c r="E4517" t="e">
        <v>#VALUE!</v>
      </c>
    </row>
    <row r="4518" spans="5:5">
      <c r="E4518" t="e">
        <v>#VALUE!</v>
      </c>
    </row>
    <row r="4519" spans="5:5">
      <c r="E4519" t="e">
        <v>#VALUE!</v>
      </c>
    </row>
    <row r="4520" spans="5:5">
      <c r="E4520" t="e">
        <v>#VALUE!</v>
      </c>
    </row>
    <row r="4521" spans="5:5">
      <c r="E4521" t="e">
        <v>#VALUE!</v>
      </c>
    </row>
    <row r="4522" spans="5:5">
      <c r="E4522" t="e">
        <v>#VALUE!</v>
      </c>
    </row>
    <row r="4523" spans="5:5">
      <c r="E4523" t="e">
        <v>#VALUE!</v>
      </c>
    </row>
    <row r="4524" spans="5:5">
      <c r="E4524" t="e">
        <v>#VALUE!</v>
      </c>
    </row>
    <row r="4525" spans="5:5">
      <c r="E4525" t="e">
        <v>#VALUE!</v>
      </c>
    </row>
    <row r="4526" spans="5:5">
      <c r="E4526" t="e">
        <v>#VALUE!</v>
      </c>
    </row>
    <row r="4527" spans="5:5">
      <c r="E4527" t="e">
        <v>#VALUE!</v>
      </c>
    </row>
    <row r="4528" spans="5:5">
      <c r="E4528" t="e">
        <v>#VALUE!</v>
      </c>
    </row>
    <row r="4529" spans="5:5">
      <c r="E4529" t="e">
        <v>#VALUE!</v>
      </c>
    </row>
    <row r="4530" spans="5:5">
      <c r="E4530" t="e">
        <v>#VALUE!</v>
      </c>
    </row>
    <row r="4531" spans="5:5">
      <c r="E4531" t="e">
        <v>#VALUE!</v>
      </c>
    </row>
    <row r="4532" spans="5:5">
      <c r="E4532" t="e">
        <v>#VALUE!</v>
      </c>
    </row>
    <row r="4533" spans="5:5">
      <c r="E4533" t="e">
        <v>#VALUE!</v>
      </c>
    </row>
    <row r="4534" spans="5:5">
      <c r="E4534" t="e">
        <v>#VALUE!</v>
      </c>
    </row>
    <row r="4535" spans="5:5">
      <c r="E4535" t="e">
        <v>#VALUE!</v>
      </c>
    </row>
    <row r="4536" spans="5:5">
      <c r="E4536" t="e">
        <v>#VALUE!</v>
      </c>
    </row>
    <row r="4537" spans="5:5">
      <c r="E4537" t="e">
        <v>#VALUE!</v>
      </c>
    </row>
    <row r="4538" spans="5:5">
      <c r="E4538" t="e">
        <v>#VALUE!</v>
      </c>
    </row>
    <row r="4539" spans="5:5">
      <c r="E4539" t="e">
        <v>#VALUE!</v>
      </c>
    </row>
    <row r="4540" spans="5:5">
      <c r="E4540" t="e">
        <v>#VALUE!</v>
      </c>
    </row>
    <row r="4541" spans="5:5">
      <c r="E4541" t="e">
        <v>#VALUE!</v>
      </c>
    </row>
    <row r="4542" spans="5:5">
      <c r="E4542" t="e">
        <v>#VALUE!</v>
      </c>
    </row>
    <row r="4543" spans="5:5">
      <c r="E4543" t="e">
        <v>#VALUE!</v>
      </c>
    </row>
    <row r="4544" spans="5:5">
      <c r="E4544" t="e">
        <v>#VALUE!</v>
      </c>
    </row>
    <row r="4545" spans="5:5">
      <c r="E4545" t="e">
        <v>#VALUE!</v>
      </c>
    </row>
    <row r="4546" spans="5:5">
      <c r="E4546" t="e">
        <v>#VALUE!</v>
      </c>
    </row>
    <row r="4547" spans="5:5">
      <c r="E4547" t="e">
        <v>#VALUE!</v>
      </c>
    </row>
    <row r="4548" spans="5:5">
      <c r="E4548" t="e">
        <v>#VALUE!</v>
      </c>
    </row>
    <row r="4549" spans="5:5">
      <c r="E4549" t="e">
        <v>#VALUE!</v>
      </c>
    </row>
    <row r="4550" spans="5:5">
      <c r="E4550" t="e">
        <v>#VALUE!</v>
      </c>
    </row>
    <row r="4551" spans="5:5">
      <c r="E4551" t="e">
        <v>#VALUE!</v>
      </c>
    </row>
    <row r="4552" spans="5:5">
      <c r="E4552" t="e">
        <v>#VALUE!</v>
      </c>
    </row>
    <row r="4553" spans="5:5">
      <c r="E4553" t="e">
        <v>#VALUE!</v>
      </c>
    </row>
    <row r="4554" spans="5:5">
      <c r="E4554" t="e">
        <v>#VALUE!</v>
      </c>
    </row>
    <row r="4555" spans="5:5">
      <c r="E4555" t="e">
        <v>#VALUE!</v>
      </c>
    </row>
    <row r="4556" spans="5:5">
      <c r="E4556" t="e">
        <v>#VALUE!</v>
      </c>
    </row>
    <row r="4557" spans="5:5">
      <c r="E4557" t="e">
        <v>#VALUE!</v>
      </c>
    </row>
    <row r="4558" spans="5:5">
      <c r="E4558" t="e">
        <v>#VALUE!</v>
      </c>
    </row>
    <row r="4559" spans="5:5">
      <c r="E4559" t="e">
        <v>#VALUE!</v>
      </c>
    </row>
    <row r="4560" spans="5:5">
      <c r="E4560" t="e">
        <v>#VALUE!</v>
      </c>
    </row>
    <row r="4561" spans="5:5">
      <c r="E4561" t="e">
        <v>#VALUE!</v>
      </c>
    </row>
    <row r="4562" spans="5:5">
      <c r="E4562" t="e">
        <v>#VALUE!</v>
      </c>
    </row>
    <row r="4563" spans="5:5">
      <c r="E4563" t="e">
        <v>#VALUE!</v>
      </c>
    </row>
    <row r="4564" spans="5:5">
      <c r="E4564" t="e">
        <v>#VALUE!</v>
      </c>
    </row>
    <row r="4565" spans="5:5">
      <c r="E4565" t="e">
        <v>#VALUE!</v>
      </c>
    </row>
    <row r="4566" spans="5:5">
      <c r="E4566" t="e">
        <v>#VALUE!</v>
      </c>
    </row>
    <row r="4567" spans="5:5">
      <c r="E4567" t="e">
        <v>#VALUE!</v>
      </c>
    </row>
    <row r="4568" spans="5:5">
      <c r="E4568" t="e">
        <v>#VALUE!</v>
      </c>
    </row>
    <row r="4569" spans="5:5">
      <c r="E4569" t="e">
        <v>#VALUE!</v>
      </c>
    </row>
    <row r="4570" spans="5:5">
      <c r="E4570" t="e">
        <v>#VALUE!</v>
      </c>
    </row>
    <row r="4571" spans="5:5">
      <c r="E4571" t="e">
        <v>#VALUE!</v>
      </c>
    </row>
    <row r="4572" spans="5:5">
      <c r="E4572" t="e">
        <v>#VALUE!</v>
      </c>
    </row>
    <row r="4573" spans="5:5">
      <c r="E4573" t="e">
        <v>#VALUE!</v>
      </c>
    </row>
    <row r="4574" spans="5:5">
      <c r="E4574" t="e">
        <v>#VALUE!</v>
      </c>
    </row>
    <row r="4575" spans="5:5">
      <c r="E4575" t="e">
        <v>#VALUE!</v>
      </c>
    </row>
    <row r="4576" spans="5:5">
      <c r="E4576" t="e">
        <v>#VALUE!</v>
      </c>
    </row>
    <row r="4577" spans="5:5">
      <c r="E4577" t="e">
        <v>#VALUE!</v>
      </c>
    </row>
    <row r="4578" spans="5:5">
      <c r="E4578" t="e">
        <v>#VALUE!</v>
      </c>
    </row>
    <row r="4579" spans="5:5">
      <c r="E4579" t="e">
        <v>#VALUE!</v>
      </c>
    </row>
    <row r="4580" spans="5:5">
      <c r="E4580" t="e">
        <v>#VALUE!</v>
      </c>
    </row>
    <row r="4581" spans="5:5">
      <c r="E4581" t="e">
        <v>#VALUE!</v>
      </c>
    </row>
    <row r="4582" spans="5:5">
      <c r="E4582" t="e">
        <v>#VALUE!</v>
      </c>
    </row>
    <row r="4583" spans="5:5">
      <c r="E4583" t="e">
        <v>#VALUE!</v>
      </c>
    </row>
    <row r="4584" spans="5:5">
      <c r="E4584" t="e">
        <v>#VALUE!</v>
      </c>
    </row>
    <row r="4585" spans="5:5">
      <c r="E4585" t="e">
        <v>#VALUE!</v>
      </c>
    </row>
    <row r="4586" spans="5:5">
      <c r="E4586" t="e">
        <v>#VALUE!</v>
      </c>
    </row>
    <row r="4587" spans="5:5">
      <c r="E4587" t="e">
        <v>#VALUE!</v>
      </c>
    </row>
    <row r="4588" spans="5:5">
      <c r="E4588" t="e">
        <v>#VALUE!</v>
      </c>
    </row>
    <row r="4589" spans="5:5">
      <c r="E4589" t="e">
        <v>#VALUE!</v>
      </c>
    </row>
    <row r="4590" spans="5:5">
      <c r="E4590" t="e">
        <v>#VALUE!</v>
      </c>
    </row>
    <row r="4591" spans="5:5">
      <c r="E4591" t="e">
        <v>#VALUE!</v>
      </c>
    </row>
    <row r="4592" spans="5:5">
      <c r="E4592" t="e">
        <v>#VALUE!</v>
      </c>
    </row>
    <row r="4593" spans="5:5">
      <c r="E4593" t="e">
        <v>#VALUE!</v>
      </c>
    </row>
    <row r="4594" spans="5:5">
      <c r="E4594" t="e">
        <v>#VALUE!</v>
      </c>
    </row>
    <row r="4595" spans="5:5">
      <c r="E4595" t="e">
        <v>#VALUE!</v>
      </c>
    </row>
    <row r="4596" spans="5:5">
      <c r="E4596" t="e">
        <v>#VALUE!</v>
      </c>
    </row>
    <row r="4597" spans="5:5">
      <c r="E4597" t="e">
        <v>#VALUE!</v>
      </c>
    </row>
    <row r="4598" spans="5:5">
      <c r="E4598" t="e">
        <v>#VALUE!</v>
      </c>
    </row>
    <row r="4599" spans="5:5">
      <c r="E4599" t="e">
        <v>#VALUE!</v>
      </c>
    </row>
    <row r="4600" spans="5:5">
      <c r="E4600" t="e">
        <v>#VALUE!</v>
      </c>
    </row>
    <row r="4601" spans="5:5">
      <c r="E4601" t="e">
        <v>#VALUE!</v>
      </c>
    </row>
    <row r="4602" spans="5:5">
      <c r="E4602" t="e">
        <v>#VALUE!</v>
      </c>
    </row>
    <row r="4603" spans="5:5">
      <c r="E4603" t="e">
        <v>#VALUE!</v>
      </c>
    </row>
    <row r="4604" spans="5:5">
      <c r="E4604" t="e">
        <v>#VALUE!</v>
      </c>
    </row>
    <row r="4605" spans="5:5">
      <c r="E4605" t="e">
        <v>#VALUE!</v>
      </c>
    </row>
    <row r="4606" spans="5:5">
      <c r="E4606" t="e">
        <v>#VALUE!</v>
      </c>
    </row>
    <row r="4607" spans="5:5">
      <c r="E4607" t="e">
        <v>#VALUE!</v>
      </c>
    </row>
    <row r="4608" spans="5:5">
      <c r="E4608" t="e">
        <v>#VALUE!</v>
      </c>
    </row>
    <row r="4609" spans="5:5">
      <c r="E4609" t="e">
        <v>#VALUE!</v>
      </c>
    </row>
    <row r="4610" spans="5:5">
      <c r="E4610" t="e">
        <v>#VALUE!</v>
      </c>
    </row>
    <row r="4611" spans="5:5">
      <c r="E4611" t="e">
        <v>#VALUE!</v>
      </c>
    </row>
    <row r="4612" spans="5:5">
      <c r="E4612" t="e">
        <v>#VALUE!</v>
      </c>
    </row>
    <row r="4613" spans="5:5">
      <c r="E4613" t="e">
        <v>#VALUE!</v>
      </c>
    </row>
    <row r="4614" spans="5:5">
      <c r="E4614" t="e">
        <v>#VALUE!</v>
      </c>
    </row>
    <row r="4615" spans="5:5">
      <c r="E4615" t="e">
        <v>#VALUE!</v>
      </c>
    </row>
    <row r="4616" spans="5:5">
      <c r="E4616" t="e">
        <v>#VALUE!</v>
      </c>
    </row>
    <row r="4617" spans="5:5">
      <c r="E4617" t="e">
        <v>#VALUE!</v>
      </c>
    </row>
    <row r="4618" spans="5:5">
      <c r="E4618" t="e">
        <v>#VALUE!</v>
      </c>
    </row>
    <row r="4619" spans="5:5">
      <c r="E4619" t="e">
        <v>#VALUE!</v>
      </c>
    </row>
    <row r="4620" spans="5:5">
      <c r="E4620" t="e">
        <v>#VALUE!</v>
      </c>
    </row>
    <row r="4621" spans="5:5">
      <c r="E4621" t="e">
        <v>#VALUE!</v>
      </c>
    </row>
    <row r="4622" spans="5:5">
      <c r="E4622" t="e">
        <v>#VALUE!</v>
      </c>
    </row>
    <row r="4623" spans="5:5">
      <c r="E4623" t="e">
        <v>#VALUE!</v>
      </c>
    </row>
    <row r="4624" spans="5:5">
      <c r="E4624" t="e">
        <v>#VALUE!</v>
      </c>
    </row>
    <row r="4625" spans="5:5">
      <c r="E4625" t="e">
        <v>#VALUE!</v>
      </c>
    </row>
    <row r="4626" spans="5:5">
      <c r="E4626" t="e">
        <v>#VALUE!</v>
      </c>
    </row>
    <row r="4627" spans="5:5">
      <c r="E4627" t="e">
        <v>#VALUE!</v>
      </c>
    </row>
    <row r="4628" spans="5:5">
      <c r="E4628" t="e">
        <v>#VALUE!</v>
      </c>
    </row>
    <row r="4629" spans="5:5">
      <c r="E4629" t="e">
        <v>#VALUE!</v>
      </c>
    </row>
    <row r="4630" spans="5:5">
      <c r="E4630" t="e">
        <v>#VALUE!</v>
      </c>
    </row>
    <row r="4631" spans="5:5">
      <c r="E4631" t="e">
        <v>#VALUE!</v>
      </c>
    </row>
    <row r="4632" spans="5:5">
      <c r="E4632" t="e">
        <v>#VALUE!</v>
      </c>
    </row>
    <row r="4633" spans="5:5">
      <c r="E4633" t="e">
        <v>#VALUE!</v>
      </c>
    </row>
    <row r="4634" spans="5:5">
      <c r="E4634" t="e">
        <v>#VALUE!</v>
      </c>
    </row>
    <row r="4635" spans="5:5">
      <c r="E4635" t="e">
        <v>#VALUE!</v>
      </c>
    </row>
    <row r="4636" spans="5:5">
      <c r="E4636" t="e">
        <v>#VALUE!</v>
      </c>
    </row>
    <row r="4637" spans="5:5">
      <c r="E4637" t="e">
        <v>#VALUE!</v>
      </c>
    </row>
    <row r="4638" spans="5:5">
      <c r="E4638" t="e">
        <v>#VALUE!</v>
      </c>
    </row>
    <row r="4639" spans="5:5">
      <c r="E4639" t="e">
        <v>#VALUE!</v>
      </c>
    </row>
    <row r="4640" spans="5:5">
      <c r="E4640" t="e">
        <v>#VALUE!</v>
      </c>
    </row>
    <row r="4641" spans="5:5">
      <c r="E4641" t="e">
        <v>#VALUE!</v>
      </c>
    </row>
    <row r="4642" spans="5:5">
      <c r="E4642" t="e">
        <v>#VALUE!</v>
      </c>
    </row>
    <row r="4643" spans="5:5">
      <c r="E4643" t="e">
        <v>#VALUE!</v>
      </c>
    </row>
    <row r="4644" spans="5:5">
      <c r="E4644" t="e">
        <v>#VALUE!</v>
      </c>
    </row>
    <row r="4645" spans="5:5">
      <c r="E4645" t="e">
        <v>#VALUE!</v>
      </c>
    </row>
    <row r="4646" spans="5:5">
      <c r="E4646" t="e">
        <v>#VALUE!</v>
      </c>
    </row>
    <row r="4647" spans="5:5">
      <c r="E4647" t="e">
        <v>#VALUE!</v>
      </c>
    </row>
    <row r="4648" spans="5:5">
      <c r="E4648" t="e">
        <v>#VALUE!</v>
      </c>
    </row>
    <row r="4649" spans="5:5">
      <c r="E4649" t="e">
        <v>#VALUE!</v>
      </c>
    </row>
    <row r="4650" spans="5:5">
      <c r="E4650" t="e">
        <v>#VALUE!</v>
      </c>
    </row>
    <row r="4651" spans="5:5">
      <c r="E4651" t="e">
        <v>#VALUE!</v>
      </c>
    </row>
    <row r="4652" spans="5:5">
      <c r="E4652" t="e">
        <v>#VALUE!</v>
      </c>
    </row>
    <row r="4653" spans="5:5">
      <c r="E4653" t="e">
        <v>#VALUE!</v>
      </c>
    </row>
    <row r="4654" spans="5:5">
      <c r="E4654" t="e">
        <v>#VALUE!</v>
      </c>
    </row>
    <row r="4655" spans="5:5">
      <c r="E4655" t="e">
        <v>#VALUE!</v>
      </c>
    </row>
    <row r="4656" spans="5:5">
      <c r="E4656" t="e">
        <v>#VALUE!</v>
      </c>
    </row>
    <row r="4657" spans="5:5">
      <c r="E4657" t="e">
        <v>#VALUE!</v>
      </c>
    </row>
    <row r="4658" spans="5:5">
      <c r="E4658" t="e">
        <v>#VALUE!</v>
      </c>
    </row>
    <row r="4659" spans="5:5">
      <c r="E4659" t="e">
        <v>#VALUE!</v>
      </c>
    </row>
    <row r="4660" spans="5:5">
      <c r="E4660" t="e">
        <v>#VALUE!</v>
      </c>
    </row>
    <row r="4661" spans="5:5">
      <c r="E4661" t="e">
        <v>#VALUE!</v>
      </c>
    </row>
    <row r="4662" spans="5:5">
      <c r="E4662" t="e">
        <v>#VALUE!</v>
      </c>
    </row>
    <row r="4663" spans="5:5">
      <c r="E4663" t="e">
        <v>#VALUE!</v>
      </c>
    </row>
    <row r="4664" spans="5:5">
      <c r="E4664" t="e">
        <v>#VALUE!</v>
      </c>
    </row>
    <row r="4665" spans="5:5">
      <c r="E4665" t="e">
        <v>#VALUE!</v>
      </c>
    </row>
    <row r="4666" spans="5:5">
      <c r="E4666" t="e">
        <v>#VALUE!</v>
      </c>
    </row>
    <row r="4667" spans="5:5">
      <c r="E4667" t="e">
        <v>#VALUE!</v>
      </c>
    </row>
    <row r="4668" spans="5:5">
      <c r="E4668" t="e">
        <v>#VALUE!</v>
      </c>
    </row>
    <row r="4669" spans="5:5">
      <c r="E4669" t="e">
        <v>#VALUE!</v>
      </c>
    </row>
    <row r="4670" spans="5:5">
      <c r="E4670" t="e">
        <v>#VALUE!</v>
      </c>
    </row>
    <row r="4671" spans="5:5">
      <c r="E4671" t="e">
        <v>#VALUE!</v>
      </c>
    </row>
    <row r="4672" spans="5:5">
      <c r="E4672" t="e">
        <v>#VALUE!</v>
      </c>
    </row>
    <row r="4673" spans="5:5">
      <c r="E4673" t="e">
        <v>#VALUE!</v>
      </c>
    </row>
    <row r="4674" spans="5:5">
      <c r="E4674" t="e">
        <v>#VALUE!</v>
      </c>
    </row>
    <row r="4675" spans="5:5">
      <c r="E4675" t="e">
        <v>#VALUE!</v>
      </c>
    </row>
    <row r="4676" spans="5:5">
      <c r="E4676" t="e">
        <v>#VALUE!</v>
      </c>
    </row>
    <row r="4677" spans="5:5">
      <c r="E4677" t="e">
        <v>#VALUE!</v>
      </c>
    </row>
    <row r="4678" spans="5:5">
      <c r="E4678" t="e">
        <v>#VALUE!</v>
      </c>
    </row>
    <row r="4679" spans="5:5">
      <c r="E4679" t="e">
        <v>#VALUE!</v>
      </c>
    </row>
    <row r="4680" spans="5:5">
      <c r="E4680" t="e">
        <v>#VALUE!</v>
      </c>
    </row>
    <row r="4681" spans="5:5">
      <c r="E4681" t="e">
        <v>#VALUE!</v>
      </c>
    </row>
    <row r="4682" spans="5:5">
      <c r="E4682" t="e">
        <v>#VALUE!</v>
      </c>
    </row>
    <row r="4683" spans="5:5">
      <c r="E4683" t="e">
        <v>#VALUE!</v>
      </c>
    </row>
    <row r="4684" spans="5:5">
      <c r="E4684" t="e">
        <v>#VALUE!</v>
      </c>
    </row>
    <row r="4685" spans="5:5">
      <c r="E4685" t="e">
        <v>#VALUE!</v>
      </c>
    </row>
    <row r="4686" spans="5:5">
      <c r="E4686" t="e">
        <v>#VALUE!</v>
      </c>
    </row>
    <row r="4687" spans="5:5">
      <c r="E4687" t="e">
        <v>#VALUE!</v>
      </c>
    </row>
    <row r="4688" spans="5:5">
      <c r="E4688" t="e">
        <v>#VALUE!</v>
      </c>
    </row>
    <row r="4689" spans="5:5">
      <c r="E4689" t="e">
        <v>#VALUE!</v>
      </c>
    </row>
    <row r="4690" spans="5:5">
      <c r="E4690" t="e">
        <v>#VALUE!</v>
      </c>
    </row>
    <row r="4691" spans="5:5">
      <c r="E4691" t="e">
        <v>#VALUE!</v>
      </c>
    </row>
    <row r="4692" spans="5:5">
      <c r="E4692" t="e">
        <v>#VALUE!</v>
      </c>
    </row>
    <row r="4693" spans="5:5">
      <c r="E4693" t="e">
        <v>#VALUE!</v>
      </c>
    </row>
    <row r="4694" spans="5:5">
      <c r="E4694" t="e">
        <v>#VALUE!</v>
      </c>
    </row>
    <row r="4695" spans="5:5">
      <c r="E4695" t="e">
        <v>#VALUE!</v>
      </c>
    </row>
    <row r="4696" spans="5:5">
      <c r="E4696" t="e">
        <v>#VALUE!</v>
      </c>
    </row>
    <row r="4697" spans="5:5">
      <c r="E4697" t="e">
        <v>#VALUE!</v>
      </c>
    </row>
    <row r="4698" spans="5:5">
      <c r="E4698" t="e">
        <v>#VALUE!</v>
      </c>
    </row>
    <row r="4699" spans="5:5">
      <c r="E4699" t="e">
        <v>#VALUE!</v>
      </c>
    </row>
    <row r="4700" spans="5:5">
      <c r="E4700" t="e">
        <v>#VALUE!</v>
      </c>
    </row>
    <row r="4701" spans="5:5">
      <c r="E4701" t="e">
        <v>#VALUE!</v>
      </c>
    </row>
    <row r="4702" spans="5:5">
      <c r="E4702" t="e">
        <v>#VALUE!</v>
      </c>
    </row>
    <row r="4703" spans="5:5">
      <c r="E4703" t="e">
        <v>#VALUE!</v>
      </c>
    </row>
    <row r="4704" spans="5:5">
      <c r="E4704" t="e">
        <v>#VALUE!</v>
      </c>
    </row>
    <row r="4705" spans="5:5">
      <c r="E4705" t="e">
        <v>#VALUE!</v>
      </c>
    </row>
    <row r="4706" spans="5:5">
      <c r="E4706" t="e">
        <v>#VALUE!</v>
      </c>
    </row>
    <row r="4707" spans="5:5">
      <c r="E4707" t="e">
        <v>#VALUE!</v>
      </c>
    </row>
    <row r="4708" spans="5:5">
      <c r="E4708" t="e">
        <v>#VALUE!</v>
      </c>
    </row>
    <row r="4709" spans="5:5">
      <c r="E4709" t="e">
        <v>#VALUE!</v>
      </c>
    </row>
    <row r="4710" spans="5:5">
      <c r="E4710" t="e">
        <v>#VALUE!</v>
      </c>
    </row>
    <row r="4711" spans="5:5">
      <c r="E4711" t="e">
        <v>#VALUE!</v>
      </c>
    </row>
    <row r="4712" spans="5:5">
      <c r="E4712" t="e">
        <v>#VALUE!</v>
      </c>
    </row>
    <row r="4713" spans="5:5">
      <c r="E4713" t="e">
        <v>#VALUE!</v>
      </c>
    </row>
    <row r="4714" spans="5:5">
      <c r="E4714" t="e">
        <v>#VALUE!</v>
      </c>
    </row>
    <row r="4715" spans="5:5">
      <c r="E4715" t="e">
        <v>#VALUE!</v>
      </c>
    </row>
    <row r="4716" spans="5:5">
      <c r="E4716" t="e">
        <v>#VALUE!</v>
      </c>
    </row>
    <row r="4717" spans="5:5">
      <c r="E4717" t="e">
        <v>#VALUE!</v>
      </c>
    </row>
    <row r="4718" spans="5:5">
      <c r="E4718" t="e">
        <v>#VALUE!</v>
      </c>
    </row>
    <row r="4719" spans="5:5">
      <c r="E4719" t="e">
        <v>#VALUE!</v>
      </c>
    </row>
    <row r="4720" spans="5:5">
      <c r="E4720" t="e">
        <v>#VALUE!</v>
      </c>
    </row>
    <row r="4721" spans="5:5">
      <c r="E4721" t="e">
        <v>#VALUE!</v>
      </c>
    </row>
    <row r="4722" spans="5:5">
      <c r="E4722" t="e">
        <v>#VALUE!</v>
      </c>
    </row>
    <row r="4723" spans="5:5">
      <c r="E4723" t="e">
        <v>#VALUE!</v>
      </c>
    </row>
    <row r="4724" spans="5:5">
      <c r="E4724" t="e">
        <v>#VALUE!</v>
      </c>
    </row>
    <row r="4725" spans="5:5">
      <c r="E4725" t="e">
        <v>#VALUE!</v>
      </c>
    </row>
    <row r="4726" spans="5:5">
      <c r="E4726" t="e">
        <v>#VALUE!</v>
      </c>
    </row>
    <row r="4727" spans="5:5">
      <c r="E4727" t="e">
        <v>#VALUE!</v>
      </c>
    </row>
    <row r="4728" spans="5:5">
      <c r="E4728" t="e">
        <v>#VALUE!</v>
      </c>
    </row>
    <row r="4729" spans="5:5">
      <c r="E4729" t="e">
        <v>#VALUE!</v>
      </c>
    </row>
    <row r="4730" spans="5:5">
      <c r="E4730" t="e">
        <v>#VALUE!</v>
      </c>
    </row>
    <row r="4731" spans="5:5">
      <c r="E4731" t="e">
        <v>#VALUE!</v>
      </c>
    </row>
    <row r="4732" spans="5:5">
      <c r="E4732" t="e">
        <v>#VALUE!</v>
      </c>
    </row>
    <row r="4733" spans="5:5">
      <c r="E4733" t="e">
        <v>#VALUE!</v>
      </c>
    </row>
    <row r="4734" spans="5:5">
      <c r="E4734" t="e">
        <v>#VALUE!</v>
      </c>
    </row>
    <row r="4735" spans="5:5">
      <c r="E4735" t="e">
        <v>#VALUE!</v>
      </c>
    </row>
    <row r="4736" spans="5:5">
      <c r="E4736" t="e">
        <v>#VALUE!</v>
      </c>
    </row>
    <row r="4737" spans="5:5">
      <c r="E4737" t="e">
        <v>#VALUE!</v>
      </c>
    </row>
    <row r="4738" spans="5:5">
      <c r="E4738" t="e">
        <v>#VALUE!</v>
      </c>
    </row>
    <row r="4739" spans="5:5">
      <c r="E4739" t="e">
        <v>#VALUE!</v>
      </c>
    </row>
    <row r="4740" spans="5:5">
      <c r="E4740" t="e">
        <v>#VALUE!</v>
      </c>
    </row>
    <row r="4741" spans="5:5">
      <c r="E4741" t="e">
        <v>#VALUE!</v>
      </c>
    </row>
    <row r="4742" spans="5:5">
      <c r="E4742" t="e">
        <v>#VALUE!</v>
      </c>
    </row>
    <row r="4743" spans="5:5">
      <c r="E4743" t="e">
        <v>#VALUE!</v>
      </c>
    </row>
    <row r="4744" spans="5:5">
      <c r="E4744" t="e">
        <v>#VALUE!</v>
      </c>
    </row>
    <row r="4745" spans="5:5">
      <c r="E4745" t="e">
        <v>#VALUE!</v>
      </c>
    </row>
    <row r="4746" spans="5:5">
      <c r="E4746" t="e">
        <v>#VALUE!</v>
      </c>
    </row>
    <row r="4747" spans="5:5">
      <c r="E4747" t="e">
        <v>#VALUE!</v>
      </c>
    </row>
    <row r="4748" spans="5:5">
      <c r="E4748" t="e">
        <v>#VALUE!</v>
      </c>
    </row>
    <row r="4749" spans="5:5">
      <c r="E4749" t="e">
        <v>#VALUE!</v>
      </c>
    </row>
    <row r="4750" spans="5:5">
      <c r="E4750" t="e">
        <v>#VALUE!</v>
      </c>
    </row>
    <row r="4751" spans="5:5">
      <c r="E4751" t="e">
        <v>#VALUE!</v>
      </c>
    </row>
    <row r="4752" spans="5:5">
      <c r="E4752" t="e">
        <v>#VALUE!</v>
      </c>
    </row>
    <row r="4753" spans="5:5">
      <c r="E4753" t="e">
        <v>#VALUE!</v>
      </c>
    </row>
    <row r="4754" spans="5:5">
      <c r="E4754" t="e">
        <v>#VALUE!</v>
      </c>
    </row>
    <row r="4755" spans="5:5">
      <c r="E4755" t="e">
        <v>#VALUE!</v>
      </c>
    </row>
    <row r="4756" spans="5:5">
      <c r="E4756" t="e">
        <v>#VALUE!</v>
      </c>
    </row>
    <row r="4757" spans="5:5">
      <c r="E4757" t="e">
        <v>#VALUE!</v>
      </c>
    </row>
    <row r="4758" spans="5:5">
      <c r="E4758" t="e">
        <v>#VALUE!</v>
      </c>
    </row>
    <row r="4759" spans="5:5">
      <c r="E4759" t="e">
        <v>#VALUE!</v>
      </c>
    </row>
    <row r="4760" spans="5:5">
      <c r="E4760" t="e">
        <v>#VALUE!</v>
      </c>
    </row>
    <row r="4761" spans="5:5">
      <c r="E4761" t="e">
        <v>#VALUE!</v>
      </c>
    </row>
    <row r="4762" spans="5:5">
      <c r="E4762" t="e">
        <v>#VALUE!</v>
      </c>
    </row>
    <row r="4763" spans="5:5">
      <c r="E4763" t="e">
        <v>#VALUE!</v>
      </c>
    </row>
    <row r="4764" spans="5:5">
      <c r="E4764" t="e">
        <v>#VALUE!</v>
      </c>
    </row>
    <row r="4765" spans="5:5">
      <c r="E4765" t="e">
        <v>#VALUE!</v>
      </c>
    </row>
    <row r="4766" spans="5:5">
      <c r="E4766" t="e">
        <v>#VALUE!</v>
      </c>
    </row>
    <row r="4767" spans="5:5">
      <c r="E4767" t="e">
        <v>#VALUE!</v>
      </c>
    </row>
    <row r="4768" spans="5:5">
      <c r="E4768" t="e">
        <v>#VALUE!</v>
      </c>
    </row>
    <row r="4769" spans="5:5">
      <c r="E4769" t="e">
        <v>#VALUE!</v>
      </c>
    </row>
    <row r="4770" spans="5:5">
      <c r="E4770" t="e">
        <v>#VALUE!</v>
      </c>
    </row>
    <row r="4771" spans="5:5">
      <c r="E4771" t="e">
        <v>#VALUE!</v>
      </c>
    </row>
    <row r="4772" spans="5:5">
      <c r="E4772" t="e">
        <v>#VALUE!</v>
      </c>
    </row>
    <row r="4773" spans="5:5">
      <c r="E4773" t="e">
        <v>#VALUE!</v>
      </c>
    </row>
    <row r="4774" spans="5:5">
      <c r="E4774" t="e">
        <v>#VALUE!</v>
      </c>
    </row>
    <row r="4775" spans="5:5">
      <c r="E4775" t="e">
        <v>#VALUE!</v>
      </c>
    </row>
    <row r="4776" spans="5:5">
      <c r="E4776" t="e">
        <v>#VALUE!</v>
      </c>
    </row>
    <row r="4777" spans="5:5">
      <c r="E4777" t="e">
        <v>#VALUE!</v>
      </c>
    </row>
    <row r="4778" spans="5:5">
      <c r="E4778" t="e">
        <v>#VALUE!</v>
      </c>
    </row>
    <row r="4779" spans="5:5">
      <c r="E4779" t="e">
        <v>#VALUE!</v>
      </c>
    </row>
    <row r="4780" spans="5:5">
      <c r="E4780" t="e">
        <v>#VALUE!</v>
      </c>
    </row>
    <row r="4781" spans="5:5">
      <c r="E4781" t="e">
        <v>#VALUE!</v>
      </c>
    </row>
    <row r="4782" spans="5:5">
      <c r="E4782" t="e">
        <v>#VALUE!</v>
      </c>
    </row>
    <row r="4783" spans="5:5">
      <c r="E4783" t="e">
        <v>#VALUE!</v>
      </c>
    </row>
    <row r="4784" spans="5:5">
      <c r="E4784" t="e">
        <v>#VALUE!</v>
      </c>
    </row>
    <row r="4785" spans="5:5">
      <c r="E4785" t="e">
        <v>#VALUE!</v>
      </c>
    </row>
    <row r="4786" spans="5:5">
      <c r="E4786" t="e">
        <v>#VALUE!</v>
      </c>
    </row>
    <row r="4787" spans="5:5">
      <c r="E4787" t="e">
        <v>#VALUE!</v>
      </c>
    </row>
    <row r="4788" spans="5:5">
      <c r="E4788" t="e">
        <v>#VALUE!</v>
      </c>
    </row>
    <row r="4789" spans="5:5">
      <c r="E4789" t="e">
        <v>#VALUE!</v>
      </c>
    </row>
    <row r="4790" spans="5:5">
      <c r="E4790" t="e">
        <v>#VALUE!</v>
      </c>
    </row>
    <row r="4791" spans="5:5">
      <c r="E4791" t="e">
        <v>#VALUE!</v>
      </c>
    </row>
    <row r="4792" spans="5:5">
      <c r="E4792" t="e">
        <v>#VALUE!</v>
      </c>
    </row>
    <row r="4793" spans="5:5">
      <c r="E4793" t="e">
        <v>#VALUE!</v>
      </c>
    </row>
    <row r="4794" spans="5:5">
      <c r="E4794" t="e">
        <v>#VALUE!</v>
      </c>
    </row>
    <row r="4795" spans="5:5">
      <c r="E4795" t="e">
        <v>#VALUE!</v>
      </c>
    </row>
    <row r="4796" spans="5:5">
      <c r="E4796" t="e">
        <v>#VALUE!</v>
      </c>
    </row>
    <row r="4797" spans="5:5">
      <c r="E4797" t="e">
        <v>#VALUE!</v>
      </c>
    </row>
    <row r="4798" spans="5:5">
      <c r="E4798" t="e">
        <v>#VALUE!</v>
      </c>
    </row>
    <row r="4799" spans="5:5">
      <c r="E4799" t="e">
        <v>#VALUE!</v>
      </c>
    </row>
    <row r="4800" spans="5:5">
      <c r="E4800" t="e">
        <v>#VALUE!</v>
      </c>
    </row>
    <row r="4801" spans="5:5">
      <c r="E4801" t="e">
        <v>#VALUE!</v>
      </c>
    </row>
    <row r="4802" spans="5:5">
      <c r="E4802" t="e">
        <v>#VALUE!</v>
      </c>
    </row>
    <row r="4803" spans="5:5">
      <c r="E4803" t="e">
        <v>#VALUE!</v>
      </c>
    </row>
    <row r="4804" spans="5:5">
      <c r="E4804" t="e">
        <v>#VALUE!</v>
      </c>
    </row>
    <row r="4805" spans="5:5">
      <c r="E4805" t="e">
        <v>#VALUE!</v>
      </c>
    </row>
    <row r="4806" spans="5:5">
      <c r="E4806" t="e">
        <v>#VALUE!</v>
      </c>
    </row>
    <row r="4807" spans="5:5">
      <c r="E4807" t="e">
        <v>#VALUE!</v>
      </c>
    </row>
    <row r="4808" spans="5:5">
      <c r="E4808" t="e">
        <v>#VALUE!</v>
      </c>
    </row>
    <row r="4809" spans="5:5">
      <c r="E4809" t="e">
        <v>#VALUE!</v>
      </c>
    </row>
    <row r="4810" spans="5:5">
      <c r="E4810" t="e">
        <v>#VALUE!</v>
      </c>
    </row>
    <row r="4811" spans="5:5">
      <c r="E4811" t="e">
        <v>#VALUE!</v>
      </c>
    </row>
    <row r="4812" spans="5:5">
      <c r="E4812" t="e">
        <v>#VALUE!</v>
      </c>
    </row>
    <row r="4813" spans="5:5">
      <c r="E4813" t="e">
        <v>#VALUE!</v>
      </c>
    </row>
    <row r="4814" spans="5:5">
      <c r="E4814" t="e">
        <v>#VALUE!</v>
      </c>
    </row>
    <row r="4815" spans="5:5">
      <c r="E4815" t="e">
        <v>#VALUE!</v>
      </c>
    </row>
    <row r="4816" spans="5:5">
      <c r="E4816" t="e">
        <v>#VALUE!</v>
      </c>
    </row>
    <row r="4817" spans="5:5">
      <c r="E4817" t="e">
        <v>#VALUE!</v>
      </c>
    </row>
    <row r="4818" spans="5:5">
      <c r="E4818" t="e">
        <v>#VALUE!</v>
      </c>
    </row>
    <row r="4819" spans="5:5">
      <c r="E4819" t="e">
        <v>#VALUE!</v>
      </c>
    </row>
    <row r="4820" spans="5:5">
      <c r="E4820" t="e">
        <v>#VALUE!</v>
      </c>
    </row>
    <row r="4821" spans="5:5">
      <c r="E4821" t="e">
        <v>#VALUE!</v>
      </c>
    </row>
    <row r="4822" spans="5:5">
      <c r="E4822" t="e">
        <v>#VALUE!</v>
      </c>
    </row>
    <row r="4823" spans="5:5">
      <c r="E4823" t="e">
        <v>#VALUE!</v>
      </c>
    </row>
    <row r="4824" spans="5:5">
      <c r="E4824" t="e">
        <v>#VALUE!</v>
      </c>
    </row>
    <row r="4825" spans="5:5">
      <c r="E4825" t="e">
        <v>#VALUE!</v>
      </c>
    </row>
    <row r="4826" spans="5:5">
      <c r="E4826" t="e">
        <v>#VALUE!</v>
      </c>
    </row>
    <row r="4827" spans="5:5">
      <c r="E4827" t="e">
        <v>#VALUE!</v>
      </c>
    </row>
    <row r="4828" spans="5:5">
      <c r="E4828" t="e">
        <v>#VALUE!</v>
      </c>
    </row>
    <row r="4829" spans="5:5">
      <c r="E4829" t="e">
        <v>#VALUE!</v>
      </c>
    </row>
    <row r="4830" spans="5:5">
      <c r="E4830" t="e">
        <v>#VALUE!</v>
      </c>
    </row>
    <row r="4831" spans="5:5">
      <c r="E4831" t="e">
        <v>#VALUE!</v>
      </c>
    </row>
    <row r="4832" spans="5:5">
      <c r="E4832" t="e">
        <v>#VALUE!</v>
      </c>
    </row>
    <row r="4833" spans="5:5">
      <c r="E4833" t="e">
        <v>#VALUE!</v>
      </c>
    </row>
    <row r="4834" spans="5:5">
      <c r="E4834" t="e">
        <v>#VALUE!</v>
      </c>
    </row>
    <row r="4835" spans="5:5">
      <c r="E4835" t="e">
        <v>#VALUE!</v>
      </c>
    </row>
    <row r="4836" spans="5:5">
      <c r="E4836" t="e">
        <v>#VALUE!</v>
      </c>
    </row>
    <row r="4837" spans="5:5">
      <c r="E4837" t="e">
        <v>#VALUE!</v>
      </c>
    </row>
    <row r="4838" spans="5:5">
      <c r="E4838" t="e">
        <v>#VALUE!</v>
      </c>
    </row>
    <row r="4839" spans="5:5">
      <c r="E4839" t="e">
        <v>#VALUE!</v>
      </c>
    </row>
    <row r="4840" spans="5:5">
      <c r="E4840" t="e">
        <v>#VALUE!</v>
      </c>
    </row>
    <row r="4841" spans="5:5">
      <c r="E4841" t="e">
        <v>#VALUE!</v>
      </c>
    </row>
    <row r="4842" spans="5:5">
      <c r="E4842" t="e">
        <v>#VALUE!</v>
      </c>
    </row>
    <row r="4843" spans="5:5">
      <c r="E4843" t="e">
        <v>#VALUE!</v>
      </c>
    </row>
    <row r="4844" spans="5:5">
      <c r="E4844" t="e">
        <v>#VALUE!</v>
      </c>
    </row>
    <row r="4845" spans="5:5">
      <c r="E4845" t="e">
        <v>#VALUE!</v>
      </c>
    </row>
    <row r="4846" spans="5:5">
      <c r="E4846" t="e">
        <v>#VALUE!</v>
      </c>
    </row>
    <row r="4847" spans="5:5">
      <c r="E4847" t="e">
        <v>#VALUE!</v>
      </c>
    </row>
    <row r="4848" spans="5:5">
      <c r="E4848" t="e">
        <v>#VALUE!</v>
      </c>
    </row>
    <row r="4849" spans="5:5">
      <c r="E4849" t="e">
        <v>#VALUE!</v>
      </c>
    </row>
    <row r="4850" spans="5:5">
      <c r="E4850" t="e">
        <v>#VALUE!</v>
      </c>
    </row>
    <row r="4851" spans="5:5">
      <c r="E4851" t="e">
        <v>#VALUE!</v>
      </c>
    </row>
    <row r="4852" spans="5:5">
      <c r="E4852" t="e">
        <v>#VALUE!</v>
      </c>
    </row>
    <row r="4853" spans="5:5">
      <c r="E4853" t="e">
        <v>#VALUE!</v>
      </c>
    </row>
    <row r="4854" spans="5:5">
      <c r="E4854" t="e">
        <v>#VALUE!</v>
      </c>
    </row>
    <row r="4855" spans="5:5">
      <c r="E4855" t="e">
        <v>#VALUE!</v>
      </c>
    </row>
    <row r="4856" spans="5:5">
      <c r="E4856" t="e">
        <v>#VALUE!</v>
      </c>
    </row>
    <row r="4857" spans="5:5">
      <c r="E4857" t="e">
        <v>#VALUE!</v>
      </c>
    </row>
    <row r="4858" spans="5:5">
      <c r="E4858" t="e">
        <v>#N/A</v>
      </c>
    </row>
    <row r="4859" spans="5:5">
      <c r="E4859" t="e">
        <v>#N/A</v>
      </c>
    </row>
    <row r="4860" spans="5:5">
      <c r="E4860" t="e">
        <v>#N/A</v>
      </c>
    </row>
    <row r="4861" spans="5:5">
      <c r="E4861" t="e">
        <v>#N/A</v>
      </c>
    </row>
    <row r="4862" spans="5:5">
      <c r="E4862" t="e">
        <v>#N/A</v>
      </c>
    </row>
    <row r="4863" spans="5:5">
      <c r="E4863" t="e">
        <v>#N/A</v>
      </c>
    </row>
    <row r="4864" spans="5:5">
      <c r="E4864" t="e">
        <v>#N/A</v>
      </c>
    </row>
    <row r="4865" spans="5:5">
      <c r="E4865" t="e">
        <v>#N/A</v>
      </c>
    </row>
    <row r="4866" spans="5:5">
      <c r="E4866" t="e">
        <v>#N/A</v>
      </c>
    </row>
    <row r="4867" spans="5:5">
      <c r="E4867" t="e">
        <v>#N/A</v>
      </c>
    </row>
    <row r="4868" spans="5:5">
      <c r="E4868" t="e">
        <v>#N/A</v>
      </c>
    </row>
    <row r="4869" spans="5:5">
      <c r="E4869" t="e">
        <v>#N/A</v>
      </c>
    </row>
    <row r="4870" spans="5:5">
      <c r="E4870" t="e">
        <v>#N/A</v>
      </c>
    </row>
    <row r="4871" spans="5:5">
      <c r="E4871" t="e">
        <v>#N/A</v>
      </c>
    </row>
    <row r="4872" spans="5:5">
      <c r="E4872" t="e">
        <v>#N/A</v>
      </c>
    </row>
    <row r="4873" spans="5:5">
      <c r="E4873" t="e">
        <v>#N/A</v>
      </c>
    </row>
    <row r="4874" spans="5:5">
      <c r="E4874" t="e">
        <v>#N/A</v>
      </c>
    </row>
    <row r="4875" spans="5:5">
      <c r="E4875" t="e">
        <v>#N/A</v>
      </c>
    </row>
    <row r="4876" spans="5:5">
      <c r="E4876" t="e">
        <v>#N/A</v>
      </c>
    </row>
    <row r="4877" spans="5:5">
      <c r="E4877" t="e">
        <v>#N/A</v>
      </c>
    </row>
    <row r="4878" spans="5:5">
      <c r="E4878" t="e">
        <v>#N/A</v>
      </c>
    </row>
    <row r="4879" spans="5:5">
      <c r="E4879" t="e">
        <v>#N/A</v>
      </c>
    </row>
    <row r="4880" spans="5:5">
      <c r="E4880" t="e">
        <v>#N/A</v>
      </c>
    </row>
    <row r="4881" spans="5:5">
      <c r="E4881" t="e">
        <v>#N/A</v>
      </c>
    </row>
    <row r="4882" spans="5:5">
      <c r="E4882" t="e">
        <v>#N/A</v>
      </c>
    </row>
    <row r="4883" spans="5:5">
      <c r="E4883" t="e">
        <v>#N/A</v>
      </c>
    </row>
    <row r="4884" spans="5:5">
      <c r="E4884" t="e">
        <v>#N/A</v>
      </c>
    </row>
    <row r="4885" spans="5:5">
      <c r="E4885" t="e">
        <v>#N/A</v>
      </c>
    </row>
    <row r="4886" spans="5:5">
      <c r="E4886" t="e">
        <v>#N/A</v>
      </c>
    </row>
    <row r="4887" spans="5:5">
      <c r="E4887" t="e">
        <v>#N/A</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4:F59">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4:N59">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xr3:uid="{9B253EF2-77E0-53E3-AE26-4D66ECD923F3}">
      <selection activeCell="J9" sqref="J9"/>
    </sheetView>
  </sheetViews>
  <sheetFormatPr defaultColWidth="15" defaultRowHeight="14.6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1147</v>
      </c>
      <c r="C1" s="36" t="s">
        <v>1148</v>
      </c>
      <c r="D1" s="36" t="s">
        <v>1149</v>
      </c>
      <c r="E1" s="36" t="s">
        <v>1150</v>
      </c>
      <c r="F1" s="36" t="s">
        <v>1151</v>
      </c>
      <c r="G1" s="37" t="s">
        <v>1152</v>
      </c>
      <c r="H1" s="12"/>
      <c r="I1" s="12"/>
      <c r="J1" s="12"/>
      <c r="K1" s="12"/>
      <c r="L1" s="13"/>
      <c r="M1" s="1"/>
      <c r="N1" s="11"/>
      <c r="X1" s="11"/>
      <c r="AB1" s="766" t="s">
        <v>1153</v>
      </c>
      <c r="AM1" s="766" t="s">
        <v>1154</v>
      </c>
    </row>
    <row r="2" spans="1:40" s="14" customFormat="1" ht="12">
      <c r="A2" s="35" t="s">
        <v>1155</v>
      </c>
      <c r="B2" s="15">
        <v>42994</v>
      </c>
      <c r="C2" s="15">
        <v>43190</v>
      </c>
      <c r="D2" s="16" t="e">
        <f>#REF!</f>
        <v>#REF!</v>
      </c>
      <c r="E2" s="16" t="e">
        <f>#REF!</f>
        <v>#REF!</v>
      </c>
      <c r="F2" s="16">
        <f>(C2-B2)/7</f>
        <v>28</v>
      </c>
      <c r="G2" s="17" t="e">
        <f>E2/F2</f>
        <v>#REF!</v>
      </c>
      <c r="H2" s="18"/>
      <c r="I2" s="18"/>
      <c r="J2" s="18"/>
      <c r="K2" s="18"/>
      <c r="L2" s="19"/>
      <c r="M2" s="20"/>
      <c r="N2" s="21"/>
      <c r="X2" s="21"/>
      <c r="AB2" s="767"/>
      <c r="AM2" s="76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68" t="s">
        <v>1156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4" thickBot="1">
      <c r="A5" s="769"/>
      <c r="B5" s="47" t="s">
        <v>1157</v>
      </c>
      <c r="C5" s="47" t="s">
        <v>1158</v>
      </c>
      <c r="D5" s="47" t="s">
        <v>1159</v>
      </c>
      <c r="E5" s="47" t="s">
        <v>1160</v>
      </c>
      <c r="F5" s="47" t="s">
        <v>1161</v>
      </c>
      <c r="G5" s="47" t="s">
        <v>1162</v>
      </c>
      <c r="H5" s="47" t="s">
        <v>1163</v>
      </c>
      <c r="I5" s="47" t="s">
        <v>1164</v>
      </c>
      <c r="J5" s="47" t="s">
        <v>1165</v>
      </c>
      <c r="K5" s="47" t="s">
        <v>1166</v>
      </c>
      <c r="L5" s="47" t="s">
        <v>1167</v>
      </c>
      <c r="M5" s="47" t="s">
        <v>1168</v>
      </c>
      <c r="N5" s="47" t="s">
        <v>1169</v>
      </c>
      <c r="O5" s="47" t="s">
        <v>1170</v>
      </c>
      <c r="P5" s="47" t="s">
        <v>1171</v>
      </c>
      <c r="Q5" s="47" t="s">
        <v>1132</v>
      </c>
      <c r="R5" s="47" t="s">
        <v>1136</v>
      </c>
      <c r="S5" s="47" t="s">
        <v>1133</v>
      </c>
      <c r="T5" s="47" t="s">
        <v>1134</v>
      </c>
      <c r="U5" s="47" t="s">
        <v>1137</v>
      </c>
      <c r="V5" s="47" t="s">
        <v>1130</v>
      </c>
      <c r="W5" s="47" t="s">
        <v>1129</v>
      </c>
      <c r="X5" s="47" t="s">
        <v>1131</v>
      </c>
      <c r="Y5" s="47" t="s">
        <v>1172</v>
      </c>
      <c r="Z5" s="47" t="s">
        <v>1173</v>
      </c>
      <c r="AA5" s="47" t="s">
        <v>1174</v>
      </c>
      <c r="AB5" s="47" t="s">
        <v>1175</v>
      </c>
      <c r="AC5" s="47" t="s">
        <v>1176</v>
      </c>
      <c r="AD5" s="47" t="s">
        <v>1177</v>
      </c>
      <c r="AE5" s="47" t="s">
        <v>1178</v>
      </c>
      <c r="AF5" s="47" t="s">
        <v>1179</v>
      </c>
      <c r="AG5" s="47" t="s">
        <v>1180</v>
      </c>
      <c r="AH5" s="47" t="s">
        <v>1181</v>
      </c>
      <c r="AI5" s="47" t="s">
        <v>1182</v>
      </c>
      <c r="AJ5" s="47" t="s">
        <v>1183</v>
      </c>
      <c r="AK5" s="47" t="s">
        <v>1184</v>
      </c>
      <c r="AL5" s="66" t="s">
        <v>1185</v>
      </c>
      <c r="AM5" s="65" t="s">
        <v>1186</v>
      </c>
      <c r="AN5" s="50"/>
    </row>
    <row r="6" spans="1:40" ht="12">
      <c r="A6" s="48" t="s">
        <v>1187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4" thickBot="1">
      <c r="A7" s="27" t="s">
        <v>1188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68" t="s">
        <v>1189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4" thickBot="1">
      <c r="A10" s="770"/>
      <c r="B10" s="32" t="s">
        <v>1157</v>
      </c>
      <c r="C10" s="32" t="s">
        <v>1158</v>
      </c>
      <c r="D10" s="32" t="s">
        <v>1159</v>
      </c>
      <c r="E10" s="32" t="s">
        <v>1160</v>
      </c>
      <c r="F10" s="32" t="s">
        <v>1161</v>
      </c>
      <c r="G10" s="32" t="s">
        <v>1162</v>
      </c>
      <c r="H10" s="32" t="s">
        <v>1163</v>
      </c>
      <c r="I10" s="32" t="s">
        <v>1164</v>
      </c>
      <c r="J10" s="32" t="s">
        <v>1165</v>
      </c>
      <c r="K10" s="32" t="s">
        <v>1166</v>
      </c>
      <c r="L10" s="32" t="s">
        <v>1167</v>
      </c>
      <c r="M10" s="32" t="s">
        <v>1168</v>
      </c>
      <c r="N10" s="32" t="s">
        <v>1169</v>
      </c>
      <c r="O10" s="32" t="s">
        <v>1170</v>
      </c>
      <c r="P10" s="32" t="s">
        <v>1171</v>
      </c>
      <c r="Q10" s="32" t="s">
        <v>1132</v>
      </c>
      <c r="R10" s="32" t="s">
        <v>1136</v>
      </c>
      <c r="S10" s="32" t="s">
        <v>1133</v>
      </c>
      <c r="T10" s="32" t="s">
        <v>1134</v>
      </c>
      <c r="U10" s="32" t="s">
        <v>1137</v>
      </c>
      <c r="V10" s="32" t="s">
        <v>1130</v>
      </c>
      <c r="W10" s="32" t="s">
        <v>1129</v>
      </c>
      <c r="X10" s="32" t="s">
        <v>1131</v>
      </c>
      <c r="Y10" s="32" t="s">
        <v>1172</v>
      </c>
      <c r="Z10" s="32" t="s">
        <v>1173</v>
      </c>
      <c r="AA10" s="32" t="s">
        <v>1174</v>
      </c>
      <c r="AB10" s="32" t="s">
        <v>1175</v>
      </c>
      <c r="AC10" s="32" t="s">
        <v>1176</v>
      </c>
      <c r="AD10" s="32" t="s">
        <v>1177</v>
      </c>
      <c r="AE10" s="32" t="s">
        <v>1178</v>
      </c>
      <c r="AF10" s="32" t="s">
        <v>1179</v>
      </c>
      <c r="AG10" s="32" t="s">
        <v>1180</v>
      </c>
      <c r="AH10" s="32" t="s">
        <v>1181</v>
      </c>
      <c r="AI10" s="32" t="s">
        <v>1182</v>
      </c>
      <c r="AJ10" s="64" t="s">
        <v>1183</v>
      </c>
      <c r="AK10" s="63" t="s">
        <v>1184</v>
      </c>
      <c r="AL10" s="47" t="s">
        <v>1185</v>
      </c>
      <c r="AM10" s="72" t="s">
        <v>1186</v>
      </c>
      <c r="AN10" s="68"/>
    </row>
    <row r="11" spans="1:40">
      <c r="A11" s="42" t="s">
        <v>1187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1188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1190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4" thickBot="1">
      <c r="A14" s="33" t="s">
        <v>1191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xr3:uid="{85D5C41F-068E-5C55-9968-509E7C2A5619}">
      <selection activeCell="T49" sqref="T49"/>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35" thickBot="1">
      <c r="A1" s="156" t="s">
        <v>1192</v>
      </c>
      <c r="B1" s="157" t="s">
        <v>1193</v>
      </c>
      <c r="C1" s="158" t="s">
        <v>1194</v>
      </c>
      <c r="D1" s="158" t="s">
        <v>1195</v>
      </c>
      <c r="E1" s="158" t="s">
        <v>1196</v>
      </c>
      <c r="F1" s="158" t="s">
        <v>1197</v>
      </c>
      <c r="G1" s="158" t="s">
        <v>1198</v>
      </c>
      <c r="H1" s="158" t="s">
        <v>1199</v>
      </c>
      <c r="I1" s="158" t="s">
        <v>1200</v>
      </c>
      <c r="J1" s="158" t="s">
        <v>1201</v>
      </c>
      <c r="K1" s="158" t="s">
        <v>1202</v>
      </c>
      <c r="L1" s="158" t="s">
        <v>1203</v>
      </c>
      <c r="M1" s="158" t="s">
        <v>1204</v>
      </c>
      <c r="N1" s="158" t="s">
        <v>1205</v>
      </c>
      <c r="O1" s="158" t="s">
        <v>1206</v>
      </c>
      <c r="P1" s="158" t="s">
        <v>1207</v>
      </c>
      <c r="Q1" s="158" t="s">
        <v>1208</v>
      </c>
      <c r="R1" s="158" t="s">
        <v>1209</v>
      </c>
      <c r="S1" s="158" t="s">
        <v>1210</v>
      </c>
      <c r="T1" s="158" t="s">
        <v>1211</v>
      </c>
      <c r="U1" s="158" t="s">
        <v>1212</v>
      </c>
      <c r="V1" s="158" t="s">
        <v>1213</v>
      </c>
      <c r="W1" s="158" t="s">
        <v>1214</v>
      </c>
      <c r="X1" s="158" t="s">
        <v>1215</v>
      </c>
      <c r="Y1" s="158" t="s">
        <v>1216</v>
      </c>
      <c r="Z1" s="158" t="s">
        <v>1217</v>
      </c>
      <c r="AA1" s="158" t="s">
        <v>1218</v>
      </c>
      <c r="AB1" s="158" t="s">
        <v>1219</v>
      </c>
      <c r="AC1" s="158" t="s">
        <v>1220</v>
      </c>
      <c r="AD1" s="158" t="s">
        <v>1221</v>
      </c>
      <c r="AE1" s="158" t="s">
        <v>1222</v>
      </c>
      <c r="AF1" s="158" t="s">
        <v>1223</v>
      </c>
      <c r="AG1" s="158" t="s">
        <v>1224</v>
      </c>
      <c r="AH1" s="158" t="s">
        <v>1225</v>
      </c>
      <c r="AI1" s="158" t="s">
        <v>1226</v>
      </c>
      <c r="AJ1" s="158" t="s">
        <v>1227</v>
      </c>
      <c r="AK1" s="158" t="s">
        <v>1228</v>
      </c>
      <c r="AL1" s="158" t="s">
        <v>1229</v>
      </c>
      <c r="AM1" s="158" t="s">
        <v>1230</v>
      </c>
      <c r="AN1" s="158" t="s">
        <v>1231</v>
      </c>
      <c r="AO1" s="158" t="s">
        <v>1232</v>
      </c>
      <c r="AP1" s="158" t="s">
        <v>1233</v>
      </c>
      <c r="AQ1" s="158" t="s">
        <v>1234</v>
      </c>
      <c r="AR1" s="158" t="s">
        <v>1235</v>
      </c>
      <c r="AS1" s="158" t="s">
        <v>1236</v>
      </c>
      <c r="AT1" s="158" t="s">
        <v>1237</v>
      </c>
      <c r="AU1" s="158" t="s">
        <v>1238</v>
      </c>
      <c r="AV1" s="158" t="s">
        <v>1239</v>
      </c>
      <c r="AW1" s="158" t="s">
        <v>1240</v>
      </c>
      <c r="AX1" s="158" t="s">
        <v>1241</v>
      </c>
      <c r="AY1" s="158" t="s">
        <v>1242</v>
      </c>
      <c r="AZ1" s="158" t="s">
        <v>1243</v>
      </c>
      <c r="BA1" s="158" t="s">
        <v>1244</v>
      </c>
      <c r="BB1" s="159" t="s">
        <v>1245</v>
      </c>
    </row>
    <row r="2" spans="1:54" s="135" customFormat="1">
      <c r="A2" s="151" t="s">
        <v>1188</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1191</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1189</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1188</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1190</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xr3:uid="{44B22561-5205-5C8A-B808-2C70100D228F}">
      <selection activeCell="D22" sqref="D22"/>
    </sheetView>
  </sheetViews>
  <sheetFormatPr defaultRowHeight="14.65"/>
  <cols>
    <col min="1" max="1" width="13.140625" bestFit="1" customWidth="1"/>
    <col min="2" max="2" width="13.28515625" bestFit="1" customWidth="1"/>
    <col min="4" max="4" width="9.140625" style="130"/>
  </cols>
  <sheetData>
    <row r="3" spans="1:5">
      <c r="A3" s="129" t="s">
        <v>1246</v>
      </c>
      <c r="B3" s="129" t="s">
        <v>1247</v>
      </c>
      <c r="C3" s="129"/>
      <c r="D3" s="219"/>
      <c r="E3" s="129"/>
    </row>
    <row r="4" spans="1:5">
      <c r="A4" s="79" t="s">
        <v>47</v>
      </c>
      <c r="B4">
        <v>0</v>
      </c>
    </row>
    <row r="5" spans="1:5">
      <c r="A5" s="79" t="s">
        <v>1248</v>
      </c>
      <c r="B5">
        <v>85</v>
      </c>
      <c r="D5" s="130">
        <f>GETPIVOTDATA("#Tests",$A$3,"ETA","wk-1")/GETPIVOTDATA("#Tests",$A$3)</f>
        <v>0.17</v>
      </c>
      <c r="E5" s="131">
        <f>D5</f>
        <v>0.17</v>
      </c>
    </row>
    <row r="6" spans="1:5">
      <c r="A6" s="79" t="s">
        <v>1249</v>
      </c>
      <c r="B6">
        <v>48</v>
      </c>
      <c r="D6" s="130">
        <f>GETPIVOTDATA("#Tests",$A$3,"ETA","wk-2")/GETPIVOTDATA("#Tests",$A$3)</f>
        <v>9.6000000000000002E-2</v>
      </c>
      <c r="E6" s="131">
        <f t="shared" ref="E6:E12" si="0">E5+D6</f>
        <v>0.26600000000000001</v>
      </c>
    </row>
    <row r="7" spans="1:5">
      <c r="A7" s="79" t="s">
        <v>1250</v>
      </c>
      <c r="B7">
        <v>96</v>
      </c>
      <c r="D7" s="130">
        <f>GETPIVOTDATA("#Tests",$A$3,"ETA","wk-3")/GETPIVOTDATA("#Tests",$A$3)</f>
        <v>0.192</v>
      </c>
      <c r="E7" s="131">
        <f t="shared" si="0"/>
        <v>0.45800000000000002</v>
      </c>
    </row>
    <row r="8" spans="1:5">
      <c r="A8" s="79" t="s">
        <v>1251</v>
      </c>
      <c r="B8">
        <v>79</v>
      </c>
      <c r="D8" s="130">
        <f>GETPIVOTDATA("#Tests",$A$3,"ETA","wk-4")/GETPIVOTDATA("#Tests",$A$3)</f>
        <v>0.158</v>
      </c>
      <c r="E8" s="131">
        <f t="shared" si="0"/>
        <v>0.61599999999999999</v>
      </c>
    </row>
    <row r="9" spans="1:5">
      <c r="A9" s="79" t="s">
        <v>1252</v>
      </c>
      <c r="B9">
        <v>82</v>
      </c>
      <c r="D9" s="130">
        <f>GETPIVOTDATA("#Tests",$A$3,"ETA","wk-5")/GETPIVOTDATA("#Tests",$A$3)</f>
        <v>0.16400000000000001</v>
      </c>
      <c r="E9" s="131">
        <f t="shared" si="0"/>
        <v>0.78</v>
      </c>
    </row>
    <row r="10" spans="1:5">
      <c r="A10" s="79" t="s">
        <v>1253</v>
      </c>
      <c r="B10">
        <v>60</v>
      </c>
      <c r="D10" s="130">
        <f>GETPIVOTDATA("#Tests",$A$3,"ETA","wk-6")/GETPIVOTDATA("#Tests",$A$3)</f>
        <v>0.12</v>
      </c>
      <c r="E10" s="131">
        <f t="shared" si="0"/>
        <v>0.9</v>
      </c>
    </row>
    <row r="11" spans="1:5">
      <c r="A11" s="79" t="s">
        <v>1254</v>
      </c>
      <c r="B11">
        <v>30</v>
      </c>
      <c r="D11" s="130">
        <f>GETPIVOTDATA("#Tests",$A$3,"ETA","wk-7")/GETPIVOTDATA("#Tests",$A$3)</f>
        <v>0.06</v>
      </c>
      <c r="E11" s="131">
        <f t="shared" si="0"/>
        <v>0.96</v>
      </c>
    </row>
    <row r="12" spans="1:5">
      <c r="A12" s="79" t="s">
        <v>1255</v>
      </c>
      <c r="B12">
        <v>20</v>
      </c>
      <c r="D12" s="130">
        <f>GETPIVOTDATA("#Tests",$A$3,"ETA","wk-8")/GETPIVOTDATA("#Tests",$A$3)</f>
        <v>0.04</v>
      </c>
      <c r="E12" s="131">
        <f t="shared" si="0"/>
        <v>1</v>
      </c>
    </row>
    <row r="13" spans="1:5">
      <c r="A13" s="79" t="s">
        <v>1143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Zhou, Wenkang</cp:lastModifiedBy>
  <cp:revision/>
  <dcterms:created xsi:type="dcterms:W3CDTF">2013-03-11T21:33:52Z</dcterms:created>
  <dcterms:modified xsi:type="dcterms:W3CDTF">2024-02-05T01:51:38Z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