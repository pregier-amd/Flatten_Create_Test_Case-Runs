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C:\Users\alanh\Downloads\"/>
    </mc:Choice>
  </mc:AlternateContent>
  <xr:revisionPtr revIDLastSave="0" documentId="8_{7EA01C53-BE44-496F-B783-24EF5B66C828}" xr6:coauthVersionLast="36" xr6:coauthVersionMax="47" xr10:uidLastSave="{00000000-0000-0000-0000-000000000000}"/>
  <bookViews>
    <workbookView xWindow="-110" yWindow="-110" windowWidth="38620" windowHeight="2122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Data'!$A$5:$AH$77</definedName>
    <definedName name="_xlnm._FilterDatabase" localSheetId="7" hidden="1">'Feature Raw Data'!$A$2:$E$97</definedName>
    <definedName name="_xlnm._FilterDatabase" localSheetId="8" hidden="1">'Feature Summary'!$A$6:$U$62</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14521" r:id="rId13"/>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G52" i="53" l="1"/>
  <c r="S68" i="53"/>
  <c r="S69" i="53"/>
  <c r="S70" i="53"/>
  <c r="P68" i="53"/>
  <c r="P69" i="53"/>
  <c r="P70" i="53"/>
  <c r="P71" i="53"/>
  <c r="B56" i="55"/>
  <c r="C56" i="55"/>
  <c r="D56" i="55" a="1"/>
  <c r="D56" i="55"/>
  <c r="E56" i="55"/>
  <c r="F56" i="55"/>
  <c r="G56" i="55"/>
  <c r="H56" i="55"/>
  <c r="I56" i="55"/>
  <c r="J56" i="55"/>
  <c r="L77" i="53"/>
  <c r="K77" i="53"/>
  <c r="N77" i="53"/>
  <c r="K56" i="55" a="1"/>
  <c r="K56" i="55"/>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77" i="53"/>
  <c r="L56" i="55" a="1"/>
  <c r="L56" i="55"/>
  <c r="R77" i="53"/>
  <c r="M56" i="55" a="1"/>
  <c r="M56" i="55"/>
  <c r="T77" i="53"/>
  <c r="U77" i="53"/>
  <c r="N56" i="55" a="1"/>
  <c r="N56" i="55"/>
  <c r="O56" i="55"/>
  <c r="Z65" i="53"/>
  <c r="Z66" i="53"/>
  <c r="Z67" i="53"/>
  <c r="Z71" i="53"/>
  <c r="P56" i="55"/>
  <c r="Q56" i="55"/>
  <c r="R56" i="55"/>
  <c r="S56" i="55"/>
  <c r="T56" i="55"/>
  <c r="AG71" i="53"/>
  <c r="AE71" i="53"/>
  <c r="S71" i="53"/>
  <c r="X71" i="53"/>
  <c r="G71" i="53"/>
  <c r="AG67" i="53"/>
  <c r="AE67" i="53"/>
  <c r="S67" i="53"/>
  <c r="X67" i="53"/>
  <c r="G67" i="53"/>
  <c r="AG65" i="53"/>
  <c r="AE65" i="53"/>
  <c r="S65" i="53"/>
  <c r="X65" i="53"/>
  <c r="G65" i="53"/>
  <c r="AG23" i="53"/>
  <c r="AG24" i="53"/>
  <c r="AG10" i="53"/>
  <c r="AG8" i="53"/>
  <c r="AG6" i="53"/>
  <c r="AG58" i="53"/>
  <c r="AG59" i="53"/>
  <c r="AG60" i="53"/>
  <c r="AG61" i="53"/>
  <c r="AG62" i="53"/>
  <c r="AG57" i="53"/>
  <c r="Z58" i="53"/>
  <c r="AE58" i="53"/>
  <c r="Z59" i="53"/>
  <c r="AE59" i="53"/>
  <c r="Z60" i="53"/>
  <c r="AE60" i="53"/>
  <c r="Z61" i="53"/>
  <c r="AE61" i="53"/>
  <c r="Z62" i="53"/>
  <c r="AE62" i="53"/>
  <c r="S58" i="53"/>
  <c r="X58" i="53"/>
  <c r="S59" i="53"/>
  <c r="X59" i="53"/>
  <c r="S60" i="53"/>
  <c r="X60" i="53"/>
  <c r="S61" i="53"/>
  <c r="X61" i="53"/>
  <c r="S62" i="53"/>
  <c r="X62" i="53"/>
  <c r="C49" i="55"/>
  <c r="G58" i="53"/>
  <c r="C50" i="55"/>
  <c r="G59" i="53"/>
  <c r="C51" i="55"/>
  <c r="G60" i="53"/>
  <c r="C52" i="55"/>
  <c r="G61" i="53"/>
  <c r="C53" i="55"/>
  <c r="G62" i="53"/>
  <c r="C54" i="55"/>
  <c r="G63" i="53"/>
  <c r="S63" i="53"/>
  <c r="X63" i="53"/>
  <c r="Z63" i="53"/>
  <c r="AE63" i="53"/>
  <c r="AG63" i="53"/>
  <c r="B49" i="55"/>
  <c r="D49" i="55" a="1"/>
  <c r="D49" i="55"/>
  <c r="E49" i="55"/>
  <c r="F49" i="55"/>
  <c r="I49" i="55"/>
  <c r="J49" i="55"/>
  <c r="P49" i="55"/>
  <c r="S49" i="55"/>
  <c r="Q49" i="55"/>
  <c r="B50" i="55"/>
  <c r="D50" i="55" a="1"/>
  <c r="D50" i="55"/>
  <c r="E50" i="55"/>
  <c r="F50" i="55"/>
  <c r="I50" i="55"/>
  <c r="J50" i="55"/>
  <c r="P50" i="55"/>
  <c r="S50" i="55"/>
  <c r="Q50" i="55"/>
  <c r="B51" i="55"/>
  <c r="D51" i="55" a="1"/>
  <c r="D51" i="55"/>
  <c r="E51" i="55"/>
  <c r="F51" i="55"/>
  <c r="I51" i="55"/>
  <c r="J51" i="55"/>
  <c r="P51" i="55"/>
  <c r="S51" i="55"/>
  <c r="Q51" i="55"/>
  <c r="B52" i="55"/>
  <c r="D52" i="55" a="1"/>
  <c r="D52" i="55"/>
  <c r="E52" i="55"/>
  <c r="F52" i="55"/>
  <c r="I52" i="55"/>
  <c r="J52" i="55"/>
  <c r="M52" i="55" a="1"/>
  <c r="M52" i="55"/>
  <c r="N52" i="55" a="1"/>
  <c r="N52" i="55"/>
  <c r="O52" i="55"/>
  <c r="P52" i="55"/>
  <c r="S52" i="55"/>
  <c r="Q52" i="55"/>
  <c r="B53" i="55"/>
  <c r="D53" i="55" a="1"/>
  <c r="D53" i="55"/>
  <c r="E53" i="55"/>
  <c r="F53" i="55"/>
  <c r="I53" i="55"/>
  <c r="J53" i="55"/>
  <c r="P53" i="55"/>
  <c r="S53" i="55"/>
  <c r="Q53" i="55"/>
  <c r="B54" i="55"/>
  <c r="D54" i="55" a="1"/>
  <c r="D54" i="55"/>
  <c r="E54" i="55"/>
  <c r="F54" i="55"/>
  <c r="I54" i="55"/>
  <c r="J54" i="55"/>
  <c r="P54" i="55"/>
  <c r="S54" i="55"/>
  <c r="Q54" i="55"/>
  <c r="B55" i="55"/>
  <c r="C55" i="55"/>
  <c r="D55" i="55" a="1"/>
  <c r="D55" i="55"/>
  <c r="E55" i="55"/>
  <c r="F55" i="55"/>
  <c r="I55" i="55"/>
  <c r="J55" i="55"/>
  <c r="Z64" i="53"/>
  <c r="P55" i="55"/>
  <c r="S55" i="55"/>
  <c r="Q55" i="55"/>
  <c r="D25" i="55" a="1"/>
  <c r="D25" i="55"/>
  <c r="G6" i="53"/>
  <c r="B7" i="55"/>
  <c r="B4" i="59"/>
  <c r="T2" i="53"/>
  <c r="M50" i="55" a="1"/>
  <c r="M50" i="55"/>
  <c r="N50" i="55" a="1"/>
  <c r="N50" i="55"/>
  <c r="O50" i="55"/>
  <c r="O77" i="53"/>
  <c r="K2" i="53"/>
  <c r="S6" i="53"/>
  <c r="X6" i="53"/>
  <c r="K34" i="59"/>
  <c r="C13" i="59"/>
  <c r="L13" i="59"/>
  <c r="C18" i="59"/>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S16" i="53"/>
  <c r="X16" i="53"/>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L12" i="59"/>
  <c r="B12" i="59"/>
  <c r="S11" i="59"/>
  <c r="R11" i="59"/>
  <c r="Q11" i="59"/>
  <c r="P11" i="59"/>
  <c r="K11" i="59"/>
  <c r="J11" i="59"/>
  <c r="I11" i="59"/>
  <c r="H11" i="59"/>
  <c r="E11" i="59"/>
  <c r="C11" i="59"/>
  <c r="B11" i="59"/>
  <c r="S10" i="59"/>
  <c r="R10" i="59"/>
  <c r="Q10" i="59"/>
  <c r="P10" i="59"/>
  <c r="K10" i="59"/>
  <c r="J10" i="59"/>
  <c r="I10" i="59"/>
  <c r="H10" i="59"/>
  <c r="E10" i="59"/>
  <c r="C10" i="59"/>
  <c r="B10" i="59"/>
  <c r="F10" i="59"/>
  <c r="S9" i="59"/>
  <c r="R9" i="59"/>
  <c r="Q9" i="59"/>
  <c r="P9" i="59"/>
  <c r="K9" i="59"/>
  <c r="J9" i="59"/>
  <c r="I9" i="59"/>
  <c r="H9" i="59"/>
  <c r="E9" i="59"/>
  <c r="C9" i="59"/>
  <c r="B9" i="59"/>
  <c r="V9" i="59"/>
  <c r="S8" i="59"/>
  <c r="R8" i="59"/>
  <c r="Q8" i="59"/>
  <c r="P8" i="59"/>
  <c r="K8" i="59"/>
  <c r="J8" i="59"/>
  <c r="I8" i="59"/>
  <c r="H8" i="59"/>
  <c r="C8" i="59"/>
  <c r="B8" i="59"/>
  <c r="F8" i="59"/>
  <c r="S7" i="59"/>
  <c r="R7" i="59"/>
  <c r="Q7" i="59"/>
  <c r="P7" i="59"/>
  <c r="K7" i="59"/>
  <c r="J7" i="59"/>
  <c r="I7" i="59"/>
  <c r="H7" i="59"/>
  <c r="E7" i="59"/>
  <c r="C7" i="59"/>
  <c r="B7" i="59"/>
  <c r="V7" i="59"/>
  <c r="S6" i="59"/>
  <c r="R6" i="59"/>
  <c r="Q6" i="59"/>
  <c r="P6" i="59"/>
  <c r="K6" i="59"/>
  <c r="J6" i="59"/>
  <c r="I6" i="59"/>
  <c r="H6" i="59"/>
  <c r="E6" i="59"/>
  <c r="C6" i="59"/>
  <c r="B6" i="59"/>
  <c r="V6" i="59"/>
  <c r="S5" i="59"/>
  <c r="R5" i="59"/>
  <c r="Q5" i="59"/>
  <c r="P5" i="59"/>
  <c r="K5" i="59"/>
  <c r="J5" i="59"/>
  <c r="I5" i="59"/>
  <c r="H5" i="59"/>
  <c r="E5" i="59"/>
  <c r="C5" i="59"/>
  <c r="B5" i="59"/>
  <c r="S4" i="59"/>
  <c r="R4" i="59"/>
  <c r="Q4" i="59"/>
  <c r="P4" i="59"/>
  <c r="K4" i="59"/>
  <c r="J4" i="59"/>
  <c r="I4" i="59"/>
  <c r="H4" i="59"/>
  <c r="E4" i="59"/>
  <c r="C4" i="59"/>
  <c r="I46" i="55"/>
  <c r="AG39" i="53"/>
  <c r="AG27" i="53"/>
  <c r="AG28" i="53"/>
  <c r="AG29" i="53"/>
  <c r="AG30" i="53"/>
  <c r="AG31" i="53"/>
  <c r="AG32" i="53"/>
  <c r="AG33" i="53"/>
  <c r="AG34" i="53"/>
  <c r="AG35" i="53"/>
  <c r="AG36" i="53"/>
  <c r="AG37" i="53"/>
  <c r="AG38" i="53"/>
  <c r="AG40" i="53"/>
  <c r="AG41" i="53"/>
  <c r="AG42" i="53"/>
  <c r="AG43" i="53"/>
  <c r="AG44" i="53"/>
  <c r="AG45" i="53"/>
  <c r="AG46" i="53"/>
  <c r="AG47" i="53"/>
  <c r="AG48" i="53"/>
  <c r="AG49" i="53"/>
  <c r="AG50" i="53"/>
  <c r="AG51" i="53"/>
  <c r="AG52" i="53"/>
  <c r="AG53" i="53"/>
  <c r="AG54" i="53"/>
  <c r="AG55" i="53"/>
  <c r="AG56" i="53"/>
  <c r="AG64" i="53"/>
  <c r="AG66" i="53"/>
  <c r="AG9" i="53"/>
  <c r="AG11" i="53"/>
  <c r="AG12" i="53"/>
  <c r="AG13" i="53"/>
  <c r="AG14" i="53"/>
  <c r="AG15" i="53"/>
  <c r="AG16" i="53"/>
  <c r="AG17" i="53"/>
  <c r="AG18" i="53"/>
  <c r="AG19" i="53"/>
  <c r="AG20" i="53"/>
  <c r="AG21" i="53"/>
  <c r="AG22" i="53"/>
  <c r="AG25" i="53"/>
  <c r="AG26" i="53"/>
  <c r="AG7" i="53"/>
  <c r="J16" i="55"/>
  <c r="J17" i="55"/>
  <c r="D16" i="55" a="1"/>
  <c r="D16" i="55"/>
  <c r="H16" i="55"/>
  <c r="D17" i="55" a="1"/>
  <c r="D17" i="55"/>
  <c r="D9" i="55" a="1"/>
  <c r="D9" i="55"/>
  <c r="D10" i="55" a="1"/>
  <c r="D10" i="55"/>
  <c r="D11" i="55" a="1"/>
  <c r="D11" i="55"/>
  <c r="D12" i="55" a="1"/>
  <c r="D12" i="55"/>
  <c r="H12" i="55"/>
  <c r="D13" i="55" a="1"/>
  <c r="D13" i="55"/>
  <c r="D14" i="55" a="1"/>
  <c r="D14" i="55"/>
  <c r="D15" i="55" a="1"/>
  <c r="D15" i="55"/>
  <c r="D18" i="55" a="1"/>
  <c r="D18" i="55"/>
  <c r="D19" i="55" a="1"/>
  <c r="D19" i="55"/>
  <c r="H19" i="55"/>
  <c r="D20" i="55" a="1"/>
  <c r="D20" i="55"/>
  <c r="D21" i="55" a="1"/>
  <c r="D21" i="55"/>
  <c r="D22" i="55" a="1"/>
  <c r="D22" i="55"/>
  <c r="H22" i="55"/>
  <c r="D23" i="55" a="1"/>
  <c r="D23" i="55"/>
  <c r="D24" i="55" a="1"/>
  <c r="D24" i="55"/>
  <c r="D26" i="55" a="1"/>
  <c r="D26" i="55"/>
  <c r="D27" i="55" a="1"/>
  <c r="D27" i="55"/>
  <c r="D28" i="55" a="1"/>
  <c r="D28" i="55"/>
  <c r="D29" i="55" a="1"/>
  <c r="D29" i="55"/>
  <c r="D30" i="55" a="1"/>
  <c r="D30" i="55"/>
  <c r="D31" i="55" a="1"/>
  <c r="D31" i="55"/>
  <c r="D32" i="55" a="1"/>
  <c r="D32" i="55"/>
  <c r="D33" i="55" a="1"/>
  <c r="D33" i="55"/>
  <c r="H33" i="55"/>
  <c r="D34" i="55" a="1"/>
  <c r="D34" i="55"/>
  <c r="H34" i="55"/>
  <c r="D35" i="55" a="1"/>
  <c r="D35" i="55"/>
  <c r="D36" i="55" a="1"/>
  <c r="D36" i="55"/>
  <c r="D37" i="55" a="1"/>
  <c r="D37" i="55"/>
  <c r="D38" i="55" a="1"/>
  <c r="D38" i="55"/>
  <c r="D39" i="55" a="1"/>
  <c r="D39" i="55"/>
  <c r="D40" i="55" a="1"/>
  <c r="D40" i="55"/>
  <c r="D41" i="55" a="1"/>
  <c r="D41" i="55"/>
  <c r="D42" i="55" a="1"/>
  <c r="D42" i="55"/>
  <c r="D43" i="55" a="1"/>
  <c r="D43" i="55"/>
  <c r="D44" i="55" a="1"/>
  <c r="D44" i="55"/>
  <c r="H44" i="55"/>
  <c r="D45" i="55" a="1"/>
  <c r="D45" i="55"/>
  <c r="D46" i="55" a="1"/>
  <c r="D46" i="55"/>
  <c r="D47" i="55" a="1"/>
  <c r="D47" i="55"/>
  <c r="D48" i="55" a="1"/>
  <c r="D48"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8" i="55"/>
  <c r="Q7" i="55"/>
  <c r="P39" i="55"/>
  <c r="S39" i="55"/>
  <c r="J9" i="55"/>
  <c r="J10" i="55"/>
  <c r="J11" i="55"/>
  <c r="J12" i="55"/>
  <c r="J13" i="55"/>
  <c r="J14" i="55"/>
  <c r="J15" i="55"/>
  <c r="J18" i="55"/>
  <c r="J19" i="55"/>
  <c r="J20" i="55"/>
  <c r="J21" i="55"/>
  <c r="J22" i="55"/>
  <c r="J23" i="55"/>
  <c r="J24" i="55"/>
  <c r="J25" i="55"/>
  <c r="J26" i="55"/>
  <c r="J27" i="55"/>
  <c r="J28" i="55"/>
  <c r="J29" i="55"/>
  <c r="J30" i="55"/>
  <c r="J31" i="55"/>
  <c r="J32" i="55"/>
  <c r="J33" i="55"/>
  <c r="J34" i="55"/>
  <c r="J35" i="55"/>
  <c r="J36" i="55"/>
  <c r="R36" i="55"/>
  <c r="J37" i="55"/>
  <c r="J38" i="55"/>
  <c r="R38" i="55"/>
  <c r="J39" i="55"/>
  <c r="R39" i="55"/>
  <c r="J40" i="55"/>
  <c r="J41" i="55"/>
  <c r="J42" i="55"/>
  <c r="J43" i="55"/>
  <c r="J44" i="55"/>
  <c r="J45" i="55"/>
  <c r="J46" i="55"/>
  <c r="J47" i="55"/>
  <c r="J48" i="55"/>
  <c r="J8" i="55"/>
  <c r="J7" i="55"/>
  <c r="R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8" i="55"/>
  <c r="E7" i="55"/>
  <c r="D8" i="55" a="1"/>
  <c r="D8" i="55"/>
  <c r="G8" i="55"/>
  <c r="D7" i="55" a="1"/>
  <c r="D7" i="55"/>
  <c r="K7" i="55" a="1"/>
  <c r="K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9" i="55"/>
  <c r="B10" i="55"/>
  <c r="B11" i="55"/>
  <c r="B12" i="55"/>
  <c r="B8" i="55"/>
  <c r="N43" i="55" a="1"/>
  <c r="N43" i="55"/>
  <c r="I2" i="55"/>
  <c r="C7" i="55"/>
  <c r="F14" i="55"/>
  <c r="F16" i="55"/>
  <c r="F22" i="55"/>
  <c r="F24" i="55"/>
  <c r="F30" i="55"/>
  <c r="F32" i="55"/>
  <c r="F38" i="55"/>
  <c r="F40" i="55"/>
  <c r="F46" i="55"/>
  <c r="F48"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C15" i="55"/>
  <c r="G7" i="53"/>
  <c r="C16" i="55"/>
  <c r="G16" i="53"/>
  <c r="C17" i="55"/>
  <c r="G17" i="53"/>
  <c r="C18" i="55"/>
  <c r="C19" i="55"/>
  <c r="G13" i="53"/>
  <c r="C20" i="55"/>
  <c r="C21" i="55"/>
  <c r="C22" i="55"/>
  <c r="C23" i="55"/>
  <c r="G18" i="53"/>
  <c r="C24" i="55"/>
  <c r="C25" i="55"/>
  <c r="G30" i="53"/>
  <c r="C26" i="55"/>
  <c r="G31" i="53"/>
  <c r="C27" i="55"/>
  <c r="G32" i="53"/>
  <c r="C28" i="55"/>
  <c r="G33" i="53"/>
  <c r="C29" i="55"/>
  <c r="G28" i="53"/>
  <c r="C30" i="55"/>
  <c r="C31" i="55"/>
  <c r="G26" i="53"/>
  <c r="C32" i="55"/>
  <c r="G24" i="53"/>
  <c r="C33" i="55"/>
  <c r="G22" i="53"/>
  <c r="C34" i="55"/>
  <c r="C35" i="55"/>
  <c r="G45" i="53"/>
  <c r="C36" i="55"/>
  <c r="C37" i="55"/>
  <c r="C38" i="55"/>
  <c r="C39" i="55"/>
  <c r="C40" i="55"/>
  <c r="G42" i="53"/>
  <c r="C41" i="55"/>
  <c r="G19" i="53"/>
  <c r="C42" i="55"/>
  <c r="G46" i="53"/>
  <c r="C43" i="55"/>
  <c r="G47" i="53"/>
  <c r="C44" i="55"/>
  <c r="G50" i="53"/>
  <c r="C45" i="55"/>
  <c r="G53" i="53"/>
  <c r="C46" i="55"/>
  <c r="G54" i="53"/>
  <c r="C47" i="55"/>
  <c r="G56" i="53"/>
  <c r="C48" i="55"/>
  <c r="G57" i="53"/>
  <c r="G64" i="53"/>
  <c r="C9" i="55"/>
  <c r="C10" i="55"/>
  <c r="G20" i="53"/>
  <c r="C11" i="55"/>
  <c r="C12" i="55"/>
  <c r="C13" i="55"/>
  <c r="C14" i="55"/>
  <c r="G14" i="53"/>
  <c r="C8" i="55"/>
  <c r="I12" i="52"/>
  <c r="I11" i="52"/>
  <c r="I10" i="52"/>
  <c r="I9" i="52"/>
  <c r="I8" i="52"/>
  <c r="I7" i="52"/>
  <c r="I6" i="52"/>
  <c r="I5" i="52"/>
  <c r="I4" i="52"/>
  <c r="K21" i="59"/>
  <c r="G21" i="53"/>
  <c r="I22" i="59"/>
  <c r="C21" i="59"/>
  <c r="N21" i="59"/>
  <c r="C41" i="59"/>
  <c r="L41" i="59"/>
  <c r="Z8" i="53"/>
  <c r="P13" i="55"/>
  <c r="S13" i="55"/>
  <c r="S8" i="53"/>
  <c r="X8" i="53"/>
  <c r="B33" i="59"/>
  <c r="F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77" i="53"/>
  <c r="AC77" i="53"/>
  <c r="AB77" i="53"/>
  <c r="AA77" i="53"/>
  <c r="W77" i="53"/>
  <c r="V77" i="53"/>
  <c r="J61" i="55"/>
  <c r="M8" i="55" a="1"/>
  <c r="M8" i="55"/>
  <c r="M2" i="55"/>
  <c r="M61" i="55"/>
  <c r="M15" i="55" a="1"/>
  <c r="M15" i="55"/>
  <c r="M21" i="55" a="1"/>
  <c r="M21" i="55"/>
  <c r="M28" i="55" a="1"/>
  <c r="M28" i="55"/>
  <c r="M36" i="55" a="1"/>
  <c r="M36" i="55"/>
  <c r="O36" i="55"/>
  <c r="M44" i="55" a="1"/>
  <c r="M44" i="55"/>
  <c r="M9" i="55" a="1"/>
  <c r="M9" i="55"/>
  <c r="M16" i="55" a="1"/>
  <c r="M16" i="55"/>
  <c r="M22" i="55" a="1"/>
  <c r="M22" i="55"/>
  <c r="M29" i="55" a="1"/>
  <c r="M29" i="55"/>
  <c r="M37" i="55" a="1"/>
  <c r="M37" i="55"/>
  <c r="O37" i="55"/>
  <c r="M45" i="55" a="1"/>
  <c r="M45" i="55"/>
  <c r="M10" i="55" a="1"/>
  <c r="M10" i="55"/>
  <c r="M23" i="55" a="1"/>
  <c r="M23" i="55"/>
  <c r="M30" i="55" a="1"/>
  <c r="M30" i="55"/>
  <c r="O30" i="55"/>
  <c r="M38" i="55" a="1"/>
  <c r="M38" i="55"/>
  <c r="O38" i="55"/>
  <c r="M46" i="55" a="1"/>
  <c r="M46" i="55"/>
  <c r="M7" i="55" a="1"/>
  <c r="M7" i="55"/>
  <c r="O7" i="55"/>
  <c r="M11" i="55" a="1"/>
  <c r="M11" i="55"/>
  <c r="M17" i="55" a="1"/>
  <c r="M17" i="55"/>
  <c r="M24" i="55" a="1"/>
  <c r="M24" i="55"/>
  <c r="M31" i="55" a="1"/>
  <c r="M31" i="55"/>
  <c r="M39" i="55" a="1"/>
  <c r="M39" i="55"/>
  <c r="O39" i="55"/>
  <c r="M47" i="55" a="1"/>
  <c r="M47" i="55"/>
  <c r="M12" i="55" a="1"/>
  <c r="M12" i="55"/>
  <c r="M18" i="55" a="1"/>
  <c r="M18" i="55"/>
  <c r="M32" i="55" a="1"/>
  <c r="M32" i="55"/>
  <c r="M40" i="55" a="1"/>
  <c r="M40" i="55"/>
  <c r="M48" i="55" a="1"/>
  <c r="M48" i="55"/>
  <c r="M19" i="55" a="1"/>
  <c r="M19" i="55"/>
  <c r="M25" i="55" a="1"/>
  <c r="M25" i="55"/>
  <c r="M33" i="55" a="1"/>
  <c r="M33" i="55"/>
  <c r="M41" i="55" a="1"/>
  <c r="M41" i="55"/>
  <c r="M13" i="55" a="1"/>
  <c r="M13" i="55"/>
  <c r="M20" i="55" a="1"/>
  <c r="M20" i="55"/>
  <c r="M26" i="55" a="1"/>
  <c r="M26" i="55"/>
  <c r="M34" i="55" a="1"/>
  <c r="M34" i="55"/>
  <c r="M42" i="55" a="1"/>
  <c r="M42" i="55"/>
  <c r="M14" i="55" a="1"/>
  <c r="M14" i="55"/>
  <c r="M27" i="55" a="1"/>
  <c r="M27" i="55"/>
  <c r="M35" i="55" a="1"/>
  <c r="M35" i="55"/>
  <c r="M43" i="55" a="1"/>
  <c r="M43" i="55"/>
  <c r="P27" i="59"/>
  <c r="H32" i="59"/>
  <c r="C33" i="59"/>
  <c r="N33" i="59"/>
  <c r="C34" i="59"/>
  <c r="S55" i="53"/>
  <c r="S56" i="53"/>
  <c r="G34" i="59"/>
  <c r="L34" i="59"/>
  <c r="C35" i="59"/>
  <c r="L35" i="59"/>
  <c r="C36" i="59"/>
  <c r="L36" i="59"/>
  <c r="C37" i="59"/>
  <c r="L37" i="59"/>
  <c r="C38" i="59"/>
  <c r="L38" i="59"/>
  <c r="C39" i="59"/>
  <c r="N39" i="59"/>
  <c r="C40" i="59"/>
  <c r="N40" i="59"/>
  <c r="C32" i="59"/>
  <c r="L32" i="59"/>
  <c r="C19" i="59"/>
  <c r="C20" i="59"/>
  <c r="C22" i="59"/>
  <c r="N22" i="59"/>
  <c r="C23" i="59"/>
  <c r="N23" i="59"/>
  <c r="C24" i="59"/>
  <c r="L24" i="59"/>
  <c r="C25" i="59"/>
  <c r="N25" i="59"/>
  <c r="C26" i="59"/>
  <c r="N26" i="59"/>
  <c r="C27" i="59"/>
  <c r="L27" i="59"/>
  <c r="B32" i="59"/>
  <c r="V32" i="59"/>
  <c r="B18" i="59"/>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B22" i="59"/>
  <c r="T22" i="59"/>
  <c r="B20" i="59"/>
  <c r="B21" i="59"/>
  <c r="T21" i="59"/>
  <c r="B23" i="59"/>
  <c r="T23" i="59"/>
  <c r="B24" i="59"/>
  <c r="F24" i="59"/>
  <c r="B25" i="59"/>
  <c r="V25" i="59"/>
  <c r="B26" i="59"/>
  <c r="F26" i="59"/>
  <c r="B27" i="59"/>
  <c r="V27" i="59"/>
  <c r="E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4" i="59"/>
  <c r="Z55" i="53"/>
  <c r="Z56" i="53"/>
  <c r="O34" i="59"/>
  <c r="T34" i="59"/>
  <c r="B35" i="59"/>
  <c r="T35" i="59"/>
  <c r="B36" i="59"/>
  <c r="V36" i="59"/>
  <c r="B37" i="59"/>
  <c r="V37" i="59"/>
  <c r="B38" i="59"/>
  <c r="F38" i="59"/>
  <c r="B39" i="59"/>
  <c r="V39" i="59"/>
  <c r="B40" i="59"/>
  <c r="V40" i="59"/>
  <c r="B41" i="59"/>
  <c r="V41" i="59"/>
  <c r="G25" i="59"/>
  <c r="M25" i="59"/>
  <c r="S66" i="53"/>
  <c r="X66" i="53"/>
  <c r="S64" i="53"/>
  <c r="X64" i="53"/>
  <c r="S57" i="53"/>
  <c r="X57" i="53"/>
  <c r="X56" i="53"/>
  <c r="X55" i="53"/>
  <c r="S54" i="53"/>
  <c r="X54" i="53"/>
  <c r="S53" i="53"/>
  <c r="X53" i="53"/>
  <c r="S52" i="53"/>
  <c r="X52" i="53"/>
  <c r="S51" i="53"/>
  <c r="X51" i="53"/>
  <c r="S50" i="53"/>
  <c r="X50" i="53"/>
  <c r="S49" i="53"/>
  <c r="X49" i="53"/>
  <c r="S48" i="53"/>
  <c r="X48" i="53"/>
  <c r="S47" i="53"/>
  <c r="X47" i="53"/>
  <c r="S46" i="53"/>
  <c r="X46" i="53"/>
  <c r="S45" i="53"/>
  <c r="X45" i="53"/>
  <c r="S44" i="53"/>
  <c r="X44" i="53"/>
  <c r="S43" i="53"/>
  <c r="X43" i="53"/>
  <c r="S42" i="53"/>
  <c r="X42" i="53"/>
  <c r="S41" i="53"/>
  <c r="X41" i="53"/>
  <c r="S40" i="53"/>
  <c r="X40" i="53"/>
  <c r="S39" i="53"/>
  <c r="X39" i="53"/>
  <c r="S38" i="53"/>
  <c r="X38" i="53"/>
  <c r="S37" i="53"/>
  <c r="X37" i="53"/>
  <c r="S36" i="53"/>
  <c r="X36" i="53"/>
  <c r="S35" i="53"/>
  <c r="X35" i="53"/>
  <c r="S34" i="53"/>
  <c r="X34" i="53"/>
  <c r="S33" i="53"/>
  <c r="X33" i="53"/>
  <c r="S32" i="53"/>
  <c r="X32" i="53"/>
  <c r="S31" i="53"/>
  <c r="X31" i="53"/>
  <c r="S30" i="53"/>
  <c r="X30" i="53"/>
  <c r="S29" i="53"/>
  <c r="X29" i="53"/>
  <c r="S28" i="53"/>
  <c r="X28" i="53"/>
  <c r="S27" i="53"/>
  <c r="X27" i="53"/>
  <c r="S26" i="53"/>
  <c r="X26" i="53"/>
  <c r="S25" i="53"/>
  <c r="X25" i="53"/>
  <c r="G24" i="59"/>
  <c r="M24" i="59"/>
  <c r="S24" i="53"/>
  <c r="X24" i="53"/>
  <c r="S23" i="53"/>
  <c r="X23" i="53"/>
  <c r="S22" i="53"/>
  <c r="X22" i="53"/>
  <c r="S21" i="53"/>
  <c r="X21" i="53"/>
  <c r="S20" i="53"/>
  <c r="X20" i="53"/>
  <c r="S19" i="53"/>
  <c r="X19" i="53"/>
  <c r="S18" i="53"/>
  <c r="X18" i="53"/>
  <c r="S17" i="53"/>
  <c r="X17" i="53"/>
  <c r="S15" i="53"/>
  <c r="X15" i="53"/>
  <c r="S14" i="53"/>
  <c r="X14" i="53"/>
  <c r="S13" i="53"/>
  <c r="X13" i="53"/>
  <c r="S12" i="53"/>
  <c r="X12" i="53"/>
  <c r="S11" i="53"/>
  <c r="X11" i="53"/>
  <c r="S10" i="53"/>
  <c r="X10" i="53"/>
  <c r="S9" i="53"/>
  <c r="X9" i="53"/>
  <c r="S7" i="53"/>
  <c r="X7" i="53"/>
  <c r="G41" i="59"/>
  <c r="M41" i="59"/>
  <c r="G16" i="55"/>
  <c r="G10" i="55"/>
  <c r="O22" i="59"/>
  <c r="U22" i="59"/>
  <c r="P38" i="55"/>
  <c r="S38" i="55"/>
  <c r="O23" i="59"/>
  <c r="U23" i="59"/>
  <c r="AE66" i="53"/>
  <c r="AE64" i="53"/>
  <c r="Z57" i="53"/>
  <c r="AE57" i="53"/>
  <c r="AE55" i="53"/>
  <c r="Z54" i="53"/>
  <c r="AE54" i="53"/>
  <c r="Z53" i="53"/>
  <c r="AE53" i="53"/>
  <c r="Z52" i="53"/>
  <c r="Z51" i="53"/>
  <c r="AE51" i="53"/>
  <c r="Z50" i="53"/>
  <c r="AE50" i="53"/>
  <c r="Z49" i="53"/>
  <c r="AE49" i="53"/>
  <c r="Z48" i="53"/>
  <c r="AE48" i="53"/>
  <c r="Z47" i="53"/>
  <c r="AE47" i="53"/>
  <c r="Z46" i="53"/>
  <c r="P42" i="55"/>
  <c r="S42" i="55"/>
  <c r="Z45" i="53"/>
  <c r="P35" i="55"/>
  <c r="S35" i="55"/>
  <c r="Z44" i="53"/>
  <c r="AE44" i="53"/>
  <c r="Z43" i="53"/>
  <c r="Z42" i="53"/>
  <c r="AE42" i="53"/>
  <c r="Z41" i="53"/>
  <c r="AE41" i="53"/>
  <c r="Z40" i="53"/>
  <c r="AE40" i="53"/>
  <c r="Z39" i="53"/>
  <c r="AE39" i="53"/>
  <c r="Z38" i="53"/>
  <c r="AE38" i="53"/>
  <c r="Z37" i="53"/>
  <c r="AE37" i="53"/>
  <c r="Z36" i="53"/>
  <c r="AE36" i="53"/>
  <c r="Z35" i="53"/>
  <c r="AE35" i="53"/>
  <c r="Z34" i="53"/>
  <c r="AE34" i="53"/>
  <c r="Z33" i="53"/>
  <c r="AE33" i="53"/>
  <c r="Z32" i="53"/>
  <c r="AE32" i="53"/>
  <c r="Z31" i="53"/>
  <c r="P26" i="55"/>
  <c r="Z30" i="53"/>
  <c r="AE30" i="53"/>
  <c r="Z29" i="53"/>
  <c r="Z28" i="53"/>
  <c r="AE28" i="53"/>
  <c r="Z27" i="53"/>
  <c r="AE27" i="53"/>
  <c r="Z26" i="53"/>
  <c r="AE26" i="53"/>
  <c r="Z25" i="53"/>
  <c r="AE25" i="53"/>
  <c r="Z24" i="53"/>
  <c r="AE24" i="53"/>
  <c r="Z23" i="53"/>
  <c r="Z22" i="53"/>
  <c r="AE22" i="53"/>
  <c r="Z21" i="53"/>
  <c r="AE21" i="53"/>
  <c r="Z20" i="53"/>
  <c r="AE20" i="53"/>
  <c r="Z19" i="53"/>
  <c r="P41" i="55"/>
  <c r="S41" i="55"/>
  <c r="Z18" i="53"/>
  <c r="AE18" i="53"/>
  <c r="Z17" i="53"/>
  <c r="AE17" i="53"/>
  <c r="Z16" i="53"/>
  <c r="P16" i="55"/>
  <c r="R16" i="55"/>
  <c r="Z15" i="53"/>
  <c r="P22" i="55"/>
  <c r="S22" i="55"/>
  <c r="Z14" i="53"/>
  <c r="P14" i="55"/>
  <c r="S14" i="55"/>
  <c r="Z13" i="53"/>
  <c r="P19" i="55"/>
  <c r="S19" i="55"/>
  <c r="Z12" i="53"/>
  <c r="AE12" i="53"/>
  <c r="Z11" i="53"/>
  <c r="Z10" i="53"/>
  <c r="AE10" i="53"/>
  <c r="Z9" i="53"/>
  <c r="Z7" i="53"/>
  <c r="Z6" i="53"/>
  <c r="AE6" i="53"/>
  <c r="C7" i="26"/>
  <c r="D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AJ14" i="26"/>
  <c r="AH14" i="26"/>
  <c r="Q14" i="26"/>
  <c r="H14" i="26"/>
  <c r="R12" i="26"/>
  <c r="AE12" i="26"/>
  <c r="AD12" i="26"/>
  <c r="W14" i="26"/>
  <c r="V14" i="26"/>
  <c r="Z12" i="26"/>
  <c r="O41" i="59"/>
  <c r="U41" i="59"/>
  <c r="T14" i="26"/>
  <c r="AE14" i="26"/>
  <c r="AA12" i="26"/>
  <c r="T12" i="26"/>
  <c r="U12" i="26"/>
  <c r="F7" i="55"/>
  <c r="G37" i="59"/>
  <c r="M37" i="59"/>
  <c r="G27" i="59"/>
  <c r="M27" i="59"/>
  <c r="V13" i="59"/>
  <c r="O27" i="59"/>
  <c r="U27" i="59"/>
  <c r="O13" i="59"/>
  <c r="U13" i="59"/>
  <c r="T13" i="59"/>
  <c r="O26" i="59"/>
  <c r="U26" i="59"/>
  <c r="O40" i="59"/>
  <c r="U40" i="59"/>
  <c r="O37" i="59"/>
  <c r="U37" i="59"/>
  <c r="O39" i="59"/>
  <c r="U39" i="59"/>
  <c r="O38" i="59"/>
  <c r="U38" i="59"/>
  <c r="O21" i="59"/>
  <c r="U21" i="59"/>
  <c r="O35" i="59"/>
  <c r="U35" i="59"/>
  <c r="O24" i="59"/>
  <c r="U24" i="59"/>
  <c r="G11" i="59"/>
  <c r="M11" i="59"/>
  <c r="O7" i="59"/>
  <c r="U7" i="59"/>
  <c r="G23" i="59"/>
  <c r="M23" i="59"/>
  <c r="G39" i="59"/>
  <c r="M39" i="59"/>
  <c r="I14" i="26"/>
  <c r="K14" i="26"/>
  <c r="L14" i="26"/>
  <c r="AL12" i="26"/>
  <c r="O12" i="26"/>
  <c r="D12" i="26"/>
  <c r="AF14" i="26"/>
  <c r="G13" i="59"/>
  <c r="M13" i="59"/>
  <c r="F12" i="59"/>
  <c r="G12" i="53"/>
  <c r="G11" i="53"/>
  <c r="F5" i="59"/>
  <c r="N35" i="55" a="1"/>
  <c r="N35" i="55"/>
  <c r="G9" i="53"/>
  <c r="N33" i="55" a="1"/>
  <c r="N33" i="55"/>
  <c r="G8" i="53"/>
  <c r="L11" i="59"/>
  <c r="N10" i="55" a="1"/>
  <c r="N10" i="55"/>
  <c r="N29" i="55" a="1"/>
  <c r="N29" i="55"/>
  <c r="N27" i="55" a="1"/>
  <c r="N27" i="55"/>
  <c r="N14" i="55" a="1"/>
  <c r="N14" i="55"/>
  <c r="N41" i="55" a="1"/>
  <c r="N41" i="55"/>
  <c r="N11" i="55" a="1"/>
  <c r="N11" i="55"/>
  <c r="N46" i="55" a="1"/>
  <c r="N46" i="55"/>
  <c r="N36" i="55" a="1"/>
  <c r="N36" i="55"/>
  <c r="N16" i="55" a="1"/>
  <c r="N16" i="55"/>
  <c r="N34" i="55" a="1"/>
  <c r="N34" i="55"/>
  <c r="N37" i="55" a="1"/>
  <c r="N37" i="55"/>
  <c r="N18" i="55" a="1"/>
  <c r="N18" i="55"/>
  <c r="N40" i="55" a="1"/>
  <c r="N40" i="55"/>
  <c r="N21" i="55" a="1"/>
  <c r="N21" i="55"/>
  <c r="N39" i="55" a="1"/>
  <c r="N39" i="55"/>
  <c r="N9" i="55" a="1"/>
  <c r="N9" i="55"/>
  <c r="N38" i="55" a="1"/>
  <c r="N38" i="55"/>
  <c r="N48" i="55" a="1"/>
  <c r="N48" i="55"/>
  <c r="N17" i="55" a="1"/>
  <c r="N17" i="55"/>
  <c r="V5" i="59"/>
  <c r="I14" i="59"/>
  <c r="N7" i="59"/>
  <c r="N10" i="59"/>
  <c r="N13" i="59"/>
  <c r="F13" i="59"/>
  <c r="N11" i="59"/>
  <c r="V11" i="59"/>
  <c r="V12" i="59"/>
  <c r="V8" i="59"/>
  <c r="N9" i="59"/>
  <c r="N8" i="59"/>
  <c r="F4" i="59"/>
  <c r="G23" i="53"/>
  <c r="G49" i="53"/>
  <c r="G38" i="53"/>
  <c r="G41" i="53"/>
  <c r="G25" i="53"/>
  <c r="G33" i="59"/>
  <c r="M33" i="59"/>
  <c r="U34" i="59"/>
  <c r="O25" i="59"/>
  <c r="U25" i="59"/>
  <c r="O11" i="59"/>
  <c r="U11" i="59"/>
  <c r="G40" i="59"/>
  <c r="M40" i="59"/>
  <c r="G12" i="59"/>
  <c r="M12" i="59"/>
  <c r="G9" i="59"/>
  <c r="M9" i="59"/>
  <c r="G10" i="59"/>
  <c r="M10" i="59"/>
  <c r="G38" i="59"/>
  <c r="M38" i="59"/>
  <c r="O36" i="59"/>
  <c r="U36" i="59"/>
  <c r="O8" i="59"/>
  <c r="U8" i="59"/>
  <c r="O32" i="59"/>
  <c r="U32" i="59"/>
  <c r="G35" i="59"/>
  <c r="M35" i="59"/>
  <c r="G32" i="59"/>
  <c r="M32" i="59"/>
  <c r="G8" i="59"/>
  <c r="M8" i="59"/>
  <c r="G36" i="59"/>
  <c r="M36" i="59"/>
  <c r="O10" i="59"/>
  <c r="U10" i="59"/>
  <c r="G26" i="59"/>
  <c r="M26" i="59"/>
  <c r="W12" i="26"/>
  <c r="Y14" i="26"/>
  <c r="P7" i="55"/>
  <c r="S7" i="55"/>
  <c r="M12" i="26"/>
  <c r="AK12" i="26"/>
  <c r="N14" i="26"/>
  <c r="AC14" i="26"/>
  <c r="AL14" i="26"/>
  <c r="J12" i="26"/>
  <c r="AI12" i="26"/>
  <c r="AA14" i="26"/>
  <c r="AB12" i="26"/>
  <c r="B6" i="26"/>
  <c r="S14" i="26"/>
  <c r="AG12" i="26"/>
  <c r="AB14" i="26"/>
  <c r="H12" i="26"/>
  <c r="J14" i="26"/>
  <c r="Z14" i="26"/>
  <c r="G14" i="26"/>
  <c r="R14" i="26"/>
  <c r="B12" i="26"/>
  <c r="P11" i="55"/>
  <c r="S11" i="55"/>
  <c r="O12" i="59"/>
  <c r="U12" i="59"/>
  <c r="L12" i="26"/>
  <c r="M14" i="26"/>
  <c r="P30" i="55"/>
  <c r="S30" i="55"/>
  <c r="G22" i="59"/>
  <c r="M22" i="59"/>
  <c r="G21" i="59"/>
  <c r="M21" i="59"/>
  <c r="S12" i="26"/>
  <c r="G12" i="26"/>
  <c r="G2" i="26"/>
  <c r="AH12" i="26"/>
  <c r="K12" i="26"/>
  <c r="G7" i="59"/>
  <c r="M7" i="59"/>
  <c r="AK14" i="26"/>
  <c r="V12" i="26"/>
  <c r="P36" i="55"/>
  <c r="S36" i="55"/>
  <c r="AC12" i="26"/>
  <c r="I12" i="26"/>
  <c r="P12" i="26"/>
  <c r="F14" i="26"/>
  <c r="F12" i="26"/>
  <c r="O9" i="59"/>
  <c r="U9" i="59"/>
  <c r="P37" i="55"/>
  <c r="S37" i="55"/>
  <c r="AJ12" i="26"/>
  <c r="U14" i="26"/>
  <c r="Y12" i="26"/>
  <c r="Q12" i="26"/>
  <c r="P14" i="26"/>
  <c r="X14" i="26"/>
  <c r="N12" i="26"/>
  <c r="AF12" i="26"/>
  <c r="O33" i="59"/>
  <c r="U33" i="59"/>
  <c r="X12" i="26"/>
  <c r="AI14" i="26"/>
  <c r="O14" i="26"/>
  <c r="C12" i="26"/>
  <c r="P17" i="55"/>
  <c r="R17" i="55"/>
  <c r="AD14" i="26"/>
  <c r="E12" i="26"/>
  <c r="AG14" i="26"/>
  <c r="G43" i="53"/>
  <c r="G66" i="53"/>
  <c r="G27" i="53"/>
  <c r="N19" i="55" a="1"/>
  <c r="N19" i="55"/>
  <c r="G15" i="53"/>
  <c r="G39" i="53"/>
  <c r="F11" i="59"/>
  <c r="G29" i="53"/>
  <c r="G40" i="53"/>
  <c r="G10" i="53"/>
  <c r="R37" i="55"/>
  <c r="L8" i="59"/>
  <c r="L7" i="59"/>
  <c r="R30" i="55"/>
  <c r="T8" i="59"/>
  <c r="L10" i="59"/>
  <c r="L21" i="59"/>
  <c r="L9" i="59"/>
  <c r="T11" i="59"/>
  <c r="T12" i="59"/>
  <c r="D8" i="57"/>
  <c r="D7" i="57"/>
  <c r="D9" i="57"/>
  <c r="D5" i="57"/>
  <c r="D6" i="57"/>
  <c r="D10" i="57"/>
  <c r="D12" i="57"/>
  <c r="D11" i="57"/>
  <c r="R52" i="55"/>
  <c r="R50" i="55"/>
  <c r="R55" i="55"/>
  <c r="R53" i="55"/>
  <c r="R51" i="55"/>
  <c r="R54" i="55"/>
  <c r="N37" i="59"/>
  <c r="K2" i="55"/>
  <c r="I61" i="55"/>
  <c r="N2" i="53"/>
  <c r="F22" i="59"/>
  <c r="G44" i="55"/>
  <c r="T33" i="59"/>
  <c r="T9" i="59"/>
  <c r="F9" i="59"/>
  <c r="V33" i="59"/>
  <c r="L40" i="59"/>
  <c r="H14" i="59"/>
  <c r="N5" i="59"/>
  <c r="N4" i="59"/>
  <c r="J14" i="59"/>
  <c r="D14" i="59"/>
  <c r="D28" i="59"/>
  <c r="F23" i="59"/>
  <c r="F32" i="59"/>
  <c r="N36" i="59"/>
  <c r="V22" i="59"/>
  <c r="N32" i="59"/>
  <c r="T25" i="59"/>
  <c r="L39" i="59"/>
  <c r="O21" i="55"/>
  <c r="K14" i="59"/>
  <c r="P12" i="55"/>
  <c r="S12" i="55"/>
  <c r="R14" i="59"/>
  <c r="T41" i="59"/>
  <c r="N34" i="59"/>
  <c r="N45" i="55" a="1"/>
  <c r="N45" i="55"/>
  <c r="O45" i="55"/>
  <c r="N20" i="59"/>
  <c r="T32" i="59"/>
  <c r="V34" i="59"/>
  <c r="AE15" i="53"/>
  <c r="K28" i="55" a="1"/>
  <c r="K28" i="55"/>
  <c r="K9" i="55" a="1"/>
  <c r="K9" i="55"/>
  <c r="B14" i="59"/>
  <c r="J2" i="55"/>
  <c r="F18" i="59"/>
  <c r="N18" i="59"/>
  <c r="K8" i="55" a="1"/>
  <c r="K8" i="55"/>
  <c r="N35" i="59"/>
  <c r="T7" i="59"/>
  <c r="V10" i="59"/>
  <c r="T40" i="59"/>
  <c r="T10" i="59"/>
  <c r="N27" i="59"/>
  <c r="N25" i="55" a="1"/>
  <c r="N25" i="55"/>
  <c r="O25" i="55"/>
  <c r="P10" i="55"/>
  <c r="R10" i="55"/>
  <c r="F7" i="59"/>
  <c r="L33" i="59"/>
  <c r="K21" i="55" a="1"/>
  <c r="K21" i="55"/>
  <c r="F40" i="59"/>
  <c r="K35" i="55" a="1"/>
  <c r="K35" i="55"/>
  <c r="T37" i="59"/>
  <c r="V21" i="59"/>
  <c r="F21" i="59"/>
  <c r="F41" i="59"/>
  <c r="P2" i="53"/>
  <c r="AE16" i="53"/>
  <c r="AE31" i="53"/>
  <c r="F6" i="59"/>
  <c r="C14" i="59"/>
  <c r="L23" i="59"/>
  <c r="N38" i="59"/>
  <c r="P28" i="59"/>
  <c r="N31" i="55" a="1"/>
  <c r="N31" i="55"/>
  <c r="O31" i="55"/>
  <c r="N61" i="55"/>
  <c r="Q2" i="55"/>
  <c r="P14" i="59"/>
  <c r="D42" i="59"/>
  <c r="F39" i="59"/>
  <c r="AE45" i="53"/>
  <c r="T24" i="59"/>
  <c r="N13" i="55" a="1"/>
  <c r="N13" i="55"/>
  <c r="O13" i="55"/>
  <c r="N23" i="55" a="1"/>
  <c r="N23" i="55"/>
  <c r="O23" i="55"/>
  <c r="J28" i="59"/>
  <c r="T36" i="59"/>
  <c r="F36" i="59"/>
  <c r="L26" i="59"/>
  <c r="N44" i="55" a="1"/>
  <c r="N44" i="55"/>
  <c r="O44" i="55"/>
  <c r="T39" i="59"/>
  <c r="F25" i="59"/>
  <c r="N2" i="55"/>
  <c r="N30" i="55" a="1"/>
  <c r="N30" i="55"/>
  <c r="P33" i="55"/>
  <c r="S33" i="55"/>
  <c r="T27" i="59"/>
  <c r="N24" i="55" a="1"/>
  <c r="N24" i="55"/>
  <c r="O24" i="55"/>
  <c r="N26" i="55" a="1"/>
  <c r="N26" i="55"/>
  <c r="O26" i="55"/>
  <c r="N24" i="59"/>
  <c r="O11" i="55"/>
  <c r="N12" i="59"/>
  <c r="AE8" i="53"/>
  <c r="P23" i="55"/>
  <c r="S23" i="55"/>
  <c r="F27" i="59"/>
  <c r="F34" i="59"/>
  <c r="P34" i="55"/>
  <c r="S34" i="55"/>
  <c r="P28" i="55"/>
  <c r="R28" i="55"/>
  <c r="V24" i="59"/>
  <c r="P45" i="55"/>
  <c r="S45" i="55"/>
  <c r="V18" i="59"/>
  <c r="Z2" i="53"/>
  <c r="P27" i="55"/>
  <c r="S27" i="55"/>
  <c r="S77" i="53"/>
  <c r="X2" i="53"/>
  <c r="Q14" i="59"/>
  <c r="E14" i="59"/>
  <c r="C28" i="59"/>
  <c r="K22" i="55" a="1"/>
  <c r="K22" i="55"/>
  <c r="H8" i="55"/>
  <c r="K17" i="55" a="1"/>
  <c r="K17" i="55"/>
  <c r="P42" i="59"/>
  <c r="R42" i="59"/>
  <c r="J42" i="59"/>
  <c r="V38" i="59"/>
  <c r="L22" i="59"/>
  <c r="P43" i="55"/>
  <c r="S43" i="55"/>
  <c r="F37" i="59"/>
  <c r="P15" i="55"/>
  <c r="S15" i="55"/>
  <c r="H28" i="59"/>
  <c r="B42" i="59"/>
  <c r="Q42" i="59"/>
  <c r="V42" i="59"/>
  <c r="Q61" i="55"/>
  <c r="M53" i="55" a="1"/>
  <c r="M53" i="55"/>
  <c r="N53" i="55" a="1"/>
  <c r="N53" i="55"/>
  <c r="O53" i="55"/>
  <c r="T38" i="59"/>
  <c r="AE13" i="53"/>
  <c r="E28" i="59"/>
  <c r="R28" i="59"/>
  <c r="S42" i="59"/>
  <c r="K28" i="59"/>
  <c r="AE14" i="53"/>
  <c r="I42" i="59"/>
  <c r="F19" i="59"/>
  <c r="G18" i="59"/>
  <c r="M18" i="59"/>
  <c r="G19" i="59"/>
  <c r="M19" i="59"/>
  <c r="M54" i="55" a="1"/>
  <c r="M54" i="55"/>
  <c r="N54" i="55" a="1"/>
  <c r="N54" i="55"/>
  <c r="O54" i="55"/>
  <c r="P47" i="55"/>
  <c r="S47" i="55"/>
  <c r="N41" i="59"/>
  <c r="V4" i="59"/>
  <c r="P24" i="55"/>
  <c r="S24" i="55"/>
  <c r="L33" i="55" a="1"/>
  <c r="L33" i="55"/>
  <c r="V20" i="59"/>
  <c r="G42" i="59"/>
  <c r="H42" i="59"/>
  <c r="M42" i="59"/>
  <c r="L25" i="59"/>
  <c r="R26" i="55"/>
  <c r="N32" i="55" a="1"/>
  <c r="N32" i="55"/>
  <c r="O32" i="55"/>
  <c r="O4" i="59"/>
  <c r="T4" i="59"/>
  <c r="N12" i="55" a="1"/>
  <c r="N12" i="55"/>
  <c r="O12" i="55"/>
  <c r="K41" i="55" a="1"/>
  <c r="K41" i="55"/>
  <c r="P32" i="55"/>
  <c r="S32" i="55"/>
  <c r="S14" i="59"/>
  <c r="N51" i="55" a="1"/>
  <c r="N51" i="55"/>
  <c r="O20" i="59"/>
  <c r="G5" i="59"/>
  <c r="M51" i="55" a="1"/>
  <c r="M51" i="55"/>
  <c r="O51" i="55"/>
  <c r="T26" i="59"/>
  <c r="N28" i="55" a="1"/>
  <c r="N28" i="55"/>
  <c r="O28" i="55"/>
  <c r="P31" i="55"/>
  <c r="R31" i="55"/>
  <c r="V19" i="59"/>
  <c r="N47" i="55" a="1"/>
  <c r="N47" i="55"/>
  <c r="O47" i="55"/>
  <c r="E42" i="59"/>
  <c r="AE52" i="53"/>
  <c r="K42" i="59"/>
  <c r="N19" i="59"/>
  <c r="N55" i="55" a="1"/>
  <c r="N55" i="55"/>
  <c r="AE7" i="53"/>
  <c r="AE19" i="53"/>
  <c r="AE29" i="53"/>
  <c r="V26" i="59"/>
  <c r="M55" i="55" a="1"/>
  <c r="M55" i="55"/>
  <c r="O55" i="55"/>
  <c r="N49" i="55" a="1"/>
  <c r="N49" i="55"/>
  <c r="I28" i="59"/>
  <c r="Q28" i="59"/>
  <c r="M49" i="55" a="1"/>
  <c r="M49" i="55"/>
  <c r="O49" i="55"/>
  <c r="S28" i="59"/>
  <c r="AE56" i="53"/>
  <c r="O5" i="59"/>
  <c r="F20" i="59"/>
  <c r="P48" i="55"/>
  <c r="S48" i="55"/>
  <c r="K16" i="55" a="1"/>
  <c r="K16" i="55"/>
  <c r="K44" i="55" a="1"/>
  <c r="K44" i="55"/>
  <c r="N15" i="55" a="1"/>
  <c r="N15" i="55"/>
  <c r="O15" i="55"/>
  <c r="P29" i="55"/>
  <c r="S29" i="55"/>
  <c r="N6" i="59"/>
  <c r="O42" i="59"/>
  <c r="U42" i="59"/>
  <c r="G20" i="59"/>
  <c r="G6" i="59"/>
  <c r="O19" i="59"/>
  <c r="Z77" i="53"/>
  <c r="P2" i="55"/>
  <c r="V23" i="59"/>
  <c r="K29" i="55" a="1"/>
  <c r="K29" i="55"/>
  <c r="N22" i="55" a="1"/>
  <c r="N22" i="55"/>
  <c r="O22" i="55"/>
  <c r="P40" i="55"/>
  <c r="S40" i="55"/>
  <c r="L20" i="55" a="1"/>
  <c r="L20" i="55"/>
  <c r="O40" i="55"/>
  <c r="T52" i="55"/>
  <c r="L7" i="55" a="1"/>
  <c r="L7" i="55"/>
  <c r="R49" i="55"/>
  <c r="T49" i="55"/>
  <c r="T54" i="55"/>
  <c r="K26" i="55" a="1"/>
  <c r="K26" i="55"/>
  <c r="T55" i="55"/>
  <c r="T51" i="55"/>
  <c r="H7" i="55"/>
  <c r="T53" i="55"/>
  <c r="K15" i="55" a="1"/>
  <c r="K15" i="55"/>
  <c r="T50" i="55"/>
  <c r="G55" i="55"/>
  <c r="K55" i="55" a="1"/>
  <c r="K55" i="55"/>
  <c r="H55" i="55"/>
  <c r="L55" i="55" a="1"/>
  <c r="L55" i="55"/>
  <c r="G51" i="55"/>
  <c r="H51" i="55"/>
  <c r="K51" i="55" a="1"/>
  <c r="K51" i="55"/>
  <c r="K50" i="55" a="1"/>
  <c r="K50" i="55"/>
  <c r="G50" i="55"/>
  <c r="H50" i="55"/>
  <c r="K52" i="55" a="1"/>
  <c r="K52" i="55"/>
  <c r="G52" i="55"/>
  <c r="H52" i="55"/>
  <c r="K54" i="55" a="1"/>
  <c r="K54" i="55"/>
  <c r="G54" i="55"/>
  <c r="H54" i="55"/>
  <c r="G53" i="55"/>
  <c r="K53" i="55" a="1"/>
  <c r="K53" i="55"/>
  <c r="H53" i="55"/>
  <c r="G49" i="55"/>
  <c r="H49" i="55"/>
  <c r="K49" i="55" a="1"/>
  <c r="K49" i="55"/>
  <c r="K14" i="55" a="1"/>
  <c r="K14" i="55"/>
  <c r="G34" i="55"/>
  <c r="T36" i="55"/>
  <c r="K34" i="55" a="1"/>
  <c r="K34" i="55"/>
  <c r="R42" i="55"/>
  <c r="T42" i="55"/>
  <c r="G24" i="55"/>
  <c r="H24" i="55"/>
  <c r="S26" i="55"/>
  <c r="S17" i="55"/>
  <c r="T17" i="55"/>
  <c r="K13" i="55" a="1"/>
  <c r="K13" i="55"/>
  <c r="O14" i="55"/>
  <c r="K24" i="55" a="1"/>
  <c r="K24" i="55"/>
  <c r="O61" i="55"/>
  <c r="S16" i="55"/>
  <c r="T16" i="55"/>
  <c r="G40" i="55"/>
  <c r="K40" i="55" a="1"/>
  <c r="K40" i="55"/>
  <c r="H40" i="55"/>
  <c r="O35" i="55"/>
  <c r="K18" i="55" a="1"/>
  <c r="K18" i="55"/>
  <c r="K25" i="55" a="1"/>
  <c r="K25" i="55"/>
  <c r="O17" i="55"/>
  <c r="O19" i="55"/>
  <c r="R14" i="55"/>
  <c r="T14" i="55"/>
  <c r="O48" i="55"/>
  <c r="T30" i="55"/>
  <c r="O2" i="55"/>
  <c r="O43" i="55"/>
  <c r="R41" i="55"/>
  <c r="T41" i="55"/>
  <c r="H37" i="55"/>
  <c r="L37" i="55" a="1"/>
  <c r="L37" i="55"/>
  <c r="G37" i="55"/>
  <c r="K37" i="55" a="1"/>
  <c r="K37" i="55"/>
  <c r="H36" i="55"/>
  <c r="G36" i="55"/>
  <c r="K36" i="55" a="1"/>
  <c r="K36" i="55"/>
  <c r="L36" i="55" a="1"/>
  <c r="L36" i="55"/>
  <c r="O34" i="55"/>
  <c r="G48" i="55"/>
  <c r="H48" i="55"/>
  <c r="K48" i="55" a="1"/>
  <c r="K48" i="55"/>
  <c r="G47" i="55"/>
  <c r="K47" i="55" a="1"/>
  <c r="K47" i="55"/>
  <c r="H47" i="55"/>
  <c r="H46" i="55"/>
  <c r="K46" i="55" a="1"/>
  <c r="K46" i="55"/>
  <c r="G46" i="55"/>
  <c r="L46" i="55" a="1"/>
  <c r="L46" i="55"/>
  <c r="K45" i="55" a="1"/>
  <c r="K45" i="55"/>
  <c r="H45" i="55"/>
  <c r="G45" i="55"/>
  <c r="H30" i="55"/>
  <c r="G30" i="55"/>
  <c r="K30" i="55" a="1"/>
  <c r="K30" i="55"/>
  <c r="L30" i="55" a="1"/>
  <c r="L30" i="55"/>
  <c r="G43" i="55"/>
  <c r="K43" i="55" a="1"/>
  <c r="K43" i="55"/>
  <c r="L43" i="55" a="1"/>
  <c r="L43" i="55"/>
  <c r="H43" i="55"/>
  <c r="G42" i="55"/>
  <c r="K42" i="55" a="1"/>
  <c r="K42" i="55"/>
  <c r="L42" i="55" a="1"/>
  <c r="L42" i="55"/>
  <c r="H42" i="55"/>
  <c r="G27" i="55"/>
  <c r="K27" i="55" a="1"/>
  <c r="K27" i="55"/>
  <c r="H27" i="55"/>
  <c r="L39" i="55" a="1"/>
  <c r="L39" i="55"/>
  <c r="H39" i="55"/>
  <c r="K39" i="55" a="1"/>
  <c r="K39" i="55"/>
  <c r="G39" i="55"/>
  <c r="G23" i="55"/>
  <c r="H23" i="55"/>
  <c r="K23" i="55" a="1"/>
  <c r="K23" i="55"/>
  <c r="G38" i="55"/>
  <c r="K38" i="55" a="1"/>
  <c r="K38" i="55"/>
  <c r="L38" i="55" a="1"/>
  <c r="L38" i="55"/>
  <c r="H38" i="55"/>
  <c r="R12" i="55"/>
  <c r="T12" i="55"/>
  <c r="T37" i="55"/>
  <c r="O46" i="55"/>
  <c r="O33" i="55"/>
  <c r="T39" i="55"/>
  <c r="T7" i="55"/>
  <c r="O27" i="55"/>
  <c r="O41" i="55"/>
  <c r="G35" i="53"/>
  <c r="T38" i="55"/>
  <c r="R13" i="55"/>
  <c r="T13" i="55"/>
  <c r="R45" i="55"/>
  <c r="T45" i="55"/>
  <c r="G51" i="53"/>
  <c r="G55" i="53"/>
  <c r="G48" i="53"/>
  <c r="G34" i="53"/>
  <c r="G44" i="53"/>
  <c r="E5" i="57"/>
  <c r="E6" i="57"/>
  <c r="E7" i="57"/>
  <c r="E8" i="57"/>
  <c r="E9" i="57"/>
  <c r="E10" i="57"/>
  <c r="E11" i="57"/>
  <c r="E12" i="57"/>
  <c r="D13" i="57"/>
  <c r="H41" i="55"/>
  <c r="G41" i="55"/>
  <c r="G15" i="55"/>
  <c r="H15" i="55"/>
  <c r="M34" i="59"/>
  <c r="C42" i="59"/>
  <c r="H14" i="55"/>
  <c r="G14" i="55"/>
  <c r="H29" i="55"/>
  <c r="G29" i="55"/>
  <c r="H13" i="55"/>
  <c r="G13" i="55"/>
  <c r="G4" i="59"/>
  <c r="O29" i="55"/>
  <c r="H28" i="55"/>
  <c r="G28" i="55"/>
  <c r="G12" i="55"/>
  <c r="K12" i="55" a="1"/>
  <c r="K12" i="55"/>
  <c r="S2" i="53"/>
  <c r="O6" i="59"/>
  <c r="P8" i="55"/>
  <c r="R35" i="55"/>
  <c r="T35" i="55"/>
  <c r="R19" i="55"/>
  <c r="T19" i="55"/>
  <c r="K11" i="55" a="1"/>
  <c r="K11" i="55"/>
  <c r="H11" i="55"/>
  <c r="G11" i="55"/>
  <c r="S31" i="55"/>
  <c r="H10" i="55"/>
  <c r="K10" i="55" a="1"/>
  <c r="K10" i="55"/>
  <c r="E7" i="26"/>
  <c r="D6" i="26"/>
  <c r="G26" i="55"/>
  <c r="H26" i="55"/>
  <c r="G9" i="55"/>
  <c r="H9" i="55"/>
  <c r="O18" i="59"/>
  <c r="O16" i="55"/>
  <c r="G7" i="55"/>
  <c r="G17" i="55"/>
  <c r="H17" i="55"/>
  <c r="F35" i="59"/>
  <c r="V35" i="59"/>
  <c r="O9" i="55"/>
  <c r="B28" i="59"/>
  <c r="R22" i="55"/>
  <c r="T22" i="55"/>
  <c r="P21" i="55"/>
  <c r="AE9" i="53"/>
  <c r="H35" i="55"/>
  <c r="G35" i="55"/>
  <c r="L22" i="55" a="1"/>
  <c r="L22" i="55"/>
  <c r="G22" i="55"/>
  <c r="P20" i="55"/>
  <c r="AE11" i="53"/>
  <c r="G21" i="55"/>
  <c r="H21" i="55"/>
  <c r="G33" i="55"/>
  <c r="K33" i="55" a="1"/>
  <c r="K33" i="55"/>
  <c r="G20" i="55"/>
  <c r="H20" i="55"/>
  <c r="K20" i="55" a="1"/>
  <c r="K20" i="55"/>
  <c r="P25" i="55"/>
  <c r="AE43" i="53"/>
  <c r="O18" i="55"/>
  <c r="H32" i="55"/>
  <c r="K32" i="55" a="1"/>
  <c r="K32" i="55"/>
  <c r="G32" i="55"/>
  <c r="G19" i="55"/>
  <c r="K19" i="55" a="1"/>
  <c r="K19" i="55"/>
  <c r="R11" i="55"/>
  <c r="T11" i="55"/>
  <c r="O10" i="55"/>
  <c r="H31" i="55"/>
  <c r="G31" i="55"/>
  <c r="K31" i="55" a="1"/>
  <c r="K31" i="55"/>
  <c r="H18" i="55"/>
  <c r="G18" i="55"/>
  <c r="G25" i="55"/>
  <c r="H25" i="55"/>
  <c r="AE46" i="53"/>
  <c r="N7" i="55" a="1"/>
  <c r="N7" i="55"/>
  <c r="N42" i="55" a="1"/>
  <c r="N42" i="55"/>
  <c r="O42" i="55"/>
  <c r="P18" i="55"/>
  <c r="G36" i="53"/>
  <c r="AE23" i="53"/>
  <c r="P9" i="55"/>
  <c r="N20" i="55" a="1"/>
  <c r="N20" i="55"/>
  <c r="O20" i="55"/>
  <c r="P44" i="55"/>
  <c r="G37" i="53"/>
  <c r="N8" i="55" a="1"/>
  <c r="N8" i="55"/>
  <c r="O8" i="55"/>
  <c r="P46" i="55"/>
  <c r="R23" i="55"/>
  <c r="T23" i="55"/>
  <c r="R27" i="55"/>
  <c r="R32" i="55"/>
  <c r="T32" i="55"/>
  <c r="R33" i="55"/>
  <c r="T33" i="55"/>
  <c r="S10" i="55"/>
  <c r="T10" i="55"/>
  <c r="R43" i="55"/>
  <c r="T43" i="55"/>
  <c r="R47" i="55"/>
  <c r="R24" i="55"/>
  <c r="T24" i="55"/>
  <c r="R15" i="55"/>
  <c r="T15" i="55"/>
  <c r="K61" i="55"/>
  <c r="N14" i="59"/>
  <c r="L18" i="59"/>
  <c r="L19" i="59"/>
  <c r="S28" i="55"/>
  <c r="T28" i="55"/>
  <c r="U4" i="59"/>
  <c r="P61" i="55"/>
  <c r="S2" i="55"/>
  <c r="G28" i="59"/>
  <c r="V14" i="59"/>
  <c r="T26" i="55"/>
  <c r="T42" i="59"/>
  <c r="L41" i="55" a="1"/>
  <c r="L41" i="55"/>
  <c r="L15" i="55" a="1"/>
  <c r="L15" i="55"/>
  <c r="L54" i="55" a="1"/>
  <c r="L54" i="55"/>
  <c r="F42" i="59" a="1"/>
  <c r="F42" i="59"/>
  <c r="L24" i="55" a="1"/>
  <c r="L24" i="55"/>
  <c r="L23" i="55" a="1"/>
  <c r="L23" i="55"/>
  <c r="L32" i="55" a="1"/>
  <c r="L32" i="55"/>
  <c r="L35" i="55" a="1"/>
  <c r="L35" i="55"/>
  <c r="L29" i="55" a="1"/>
  <c r="L29" i="55"/>
  <c r="L49" i="55" a="1"/>
  <c r="L49" i="55"/>
  <c r="L10" i="55" a="1"/>
  <c r="L10" i="55"/>
  <c r="L14" i="55" a="1"/>
  <c r="L14" i="55"/>
  <c r="L48" i="55" a="1"/>
  <c r="L48" i="55"/>
  <c r="L9" i="55" a="1"/>
  <c r="L9" i="55"/>
  <c r="L50" i="55" a="1"/>
  <c r="L50" i="55"/>
  <c r="L27" i="55" a="1"/>
  <c r="L27" i="55"/>
  <c r="L25" i="55" a="1"/>
  <c r="L25" i="55"/>
  <c r="L40" i="55" a="1"/>
  <c r="L40" i="55"/>
  <c r="L45" i="55" a="1"/>
  <c r="L45" i="55"/>
  <c r="L53" i="55" a="1"/>
  <c r="L53" i="55"/>
  <c r="L31" i="55" a="1"/>
  <c r="L31" i="55"/>
  <c r="R48" i="55"/>
  <c r="T48" i="55"/>
  <c r="L51" i="55" a="1"/>
  <c r="L51" i="55"/>
  <c r="L52" i="55" a="1"/>
  <c r="L52" i="55"/>
  <c r="L18" i="55" a="1"/>
  <c r="L18" i="55"/>
  <c r="L34" i="55" a="1"/>
  <c r="L34" i="55"/>
  <c r="X77" i="53"/>
  <c r="L2" i="55"/>
  <c r="L19" i="55" a="1"/>
  <c r="L19" i="55"/>
  <c r="L47" i="55" a="1"/>
  <c r="L47" i="55"/>
  <c r="F14" i="59" a="1"/>
  <c r="F14" i="59"/>
  <c r="L26" i="55" a="1"/>
  <c r="L26" i="55"/>
  <c r="AE2" i="53"/>
  <c r="N28" i="59"/>
  <c r="L21" i="55" a="1"/>
  <c r="L21" i="55"/>
  <c r="R34" i="55"/>
  <c r="T34" i="55"/>
  <c r="L61" i="55"/>
  <c r="L28" i="55" a="1"/>
  <c r="L28" i="55"/>
  <c r="L12" i="55" a="1"/>
  <c r="L12" i="55"/>
  <c r="L13" i="55" a="1"/>
  <c r="L13" i="55"/>
  <c r="L17" i="55" a="1"/>
  <c r="L17" i="55"/>
  <c r="L8" i="55" a="1"/>
  <c r="L8" i="55"/>
  <c r="L16" i="55" a="1"/>
  <c r="L16" i="55"/>
  <c r="L11" i="55" a="1"/>
  <c r="L11" i="55"/>
  <c r="L44" i="55" a="1"/>
  <c r="L44" i="55"/>
  <c r="F28" i="59" a="1"/>
  <c r="F28" i="59"/>
  <c r="R29" i="55"/>
  <c r="T29" i="55"/>
  <c r="AE77" i="53"/>
  <c r="M5" i="59"/>
  <c r="L5" i="59"/>
  <c r="T20" i="59"/>
  <c r="U20" i="59"/>
  <c r="R40" i="55"/>
  <c r="T40" i="55"/>
  <c r="U19" i="59"/>
  <c r="T19" i="59"/>
  <c r="T5" i="59"/>
  <c r="U5" i="59"/>
  <c r="L6" i="59"/>
  <c r="M6" i="59"/>
  <c r="M20" i="59"/>
  <c r="L20" i="59"/>
  <c r="T31" i="55"/>
  <c r="S8" i="55"/>
  <c r="R8" i="55"/>
  <c r="S9" i="55"/>
  <c r="R9" i="55"/>
  <c r="S18" i="55"/>
  <c r="R18" i="55"/>
  <c r="S20" i="55"/>
  <c r="R20" i="55"/>
  <c r="T27" i="55"/>
  <c r="R25" i="55"/>
  <c r="S25" i="55"/>
  <c r="M4" i="59"/>
  <c r="L4" i="59"/>
  <c r="G14" i="59"/>
  <c r="G2" i="55"/>
  <c r="G61" i="55"/>
  <c r="G3" i="55"/>
  <c r="G62" i="55"/>
  <c r="R46" i="55"/>
  <c r="S46" i="55"/>
  <c r="T18" i="59"/>
  <c r="O28" i="59"/>
  <c r="U28" i="59"/>
  <c r="U18" i="59"/>
  <c r="H61" i="55"/>
  <c r="H2" i="55"/>
  <c r="S21" i="55"/>
  <c r="R21" i="55"/>
  <c r="T21" i="55"/>
  <c r="U6" i="59"/>
  <c r="T6" i="59"/>
  <c r="S44" i="55"/>
  <c r="R44" i="55"/>
  <c r="T47" i="55"/>
  <c r="V28" i="59"/>
  <c r="L28" i="59"/>
  <c r="M28" i="59"/>
  <c r="N42" i="59"/>
  <c r="L42" i="59"/>
  <c r="E6" i="26"/>
  <c r="F7" i="26"/>
  <c r="O14" i="59"/>
  <c r="R2" i="55"/>
  <c r="R61" i="55"/>
  <c r="S61" i="55"/>
  <c r="T61" i="55"/>
  <c r="T44" i="55"/>
  <c r="T28" i="59"/>
  <c r="T9" i="55"/>
  <c r="T8" i="55"/>
  <c r="T18" i="55"/>
  <c r="T20" i="55"/>
  <c r="M14" i="59"/>
  <c r="L14" i="59"/>
  <c r="T25" i="55"/>
  <c r="U14" i="59"/>
  <c r="T14" i="59"/>
  <c r="G7" i="26"/>
  <c r="F6" i="26"/>
  <c r="T2" i="55"/>
  <c r="H62" i="55"/>
  <c r="H3" i="55"/>
  <c r="T46" i="55"/>
  <c r="H7" i="26"/>
  <c r="G6" i="26"/>
  <c r="I7" i="26"/>
  <c r="H6" i="26"/>
  <c r="I6" i="26"/>
  <c r="J7" i="26"/>
  <c r="J6" i="26"/>
  <c r="K7" i="26"/>
  <c r="K6" i="26"/>
  <c r="L7" i="26"/>
  <c r="L6" i="26"/>
  <c r="M7" i="26"/>
  <c r="N7" i="26"/>
  <c r="M6" i="26"/>
  <c r="N6" i="26"/>
  <c r="O7" i="26"/>
  <c r="O6" i="26"/>
  <c r="P7" i="26"/>
  <c r="P6" i="26"/>
  <c r="Q7" i="26"/>
  <c r="R7" i="26"/>
  <c r="Q6" i="26"/>
  <c r="S7" i="26"/>
  <c r="R6" i="26"/>
  <c r="T7" i="26"/>
  <c r="S6" i="26"/>
  <c r="U7" i="26"/>
  <c r="T6" i="26"/>
  <c r="V7" i="26"/>
  <c r="U6" i="26"/>
  <c r="V6" i="26"/>
  <c r="W7" i="26"/>
  <c r="X7" i="26"/>
  <c r="W6" i="26"/>
  <c r="X6" i="26"/>
  <c r="Y7" i="26"/>
  <c r="Y6" i="26"/>
  <c r="Z7" i="26"/>
  <c r="AA7" i="26"/>
  <c r="Z6" i="26"/>
  <c r="AB7" i="26"/>
  <c r="AA6" i="26"/>
  <c r="AB6" i="26"/>
  <c r="AC7" i="26"/>
  <c r="AC6" i="26"/>
  <c r="AD7" i="26"/>
  <c r="AE7" i="26"/>
  <c r="AD6" i="26"/>
  <c r="AF7" i="26"/>
  <c r="AE6" i="26"/>
  <c r="AG7" i="26"/>
  <c r="AF6" i="26"/>
  <c r="AH7" i="26"/>
  <c r="AG6" i="26"/>
  <c r="AI7" i="26"/>
  <c r="AH6" i="26"/>
  <c r="AI6" i="26"/>
  <c r="AJ7" i="26"/>
  <c r="AK7" i="26"/>
  <c r="AJ6" i="26"/>
  <c r="AK6" i="26"/>
  <c r="AL7"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<sst xmlns="http://schemas.openxmlformats.org/spreadsheetml/2006/main" count="1865" uniqueCount="702">
  <si>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</si>
  <si>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</si>
  <si>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</si>
  <si>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</si>
  <si>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</si>
  <si>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</si>
  <si>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</si>
  <si>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</si>
  <si>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</si>
  <si>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</si>
  <si>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</si>
  <si>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</si>
  <si>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</si>
  <si>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</si>
  <si>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</si>
  <si>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</si>
  <si>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</si>
  <si>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</si>
  <si>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</si>
  <si>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</si>
  <si>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</si>
  <si>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</si>
  <si>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</si>
  <si>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</si>
  <si>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</si>
  <si>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</si>
  <si>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</si>
  <si>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</si>
  <si>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</si>
  <si>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</si>
  <si>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</si>
  <si>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</si>
  <si>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</si>
  <si>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</si>
  <si>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</si>
  <si>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</si>
  <si>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</si>
  <si>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</si>
  <si>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</si>
  <si>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</si>
  <si>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</si>
  <si>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</si>
  <si>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</si>
  <si>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</si>
  <si>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</si>
  <si>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</si>
  <si>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</si>
  <si>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</si>
  <si>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</si>
  <si>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</si>
  <si>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</si>
  <si>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</si>
  <si>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</si>
  <si>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</si>
  <si>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</si>
  <si>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</si>
  <si>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</si>
  <si>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</si>
  <si>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</si>
  <si>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</si>
  <si>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</si>
  <si>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</si>
  <si>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</si>
  <si>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</si>
  <si>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</si>
  <si>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</si>
  <si>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</si>
  <si>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</si>
  <si>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</si>
  <si>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</si>
  <si>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</si>
  <si>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</si>
  <si>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</si>
  <si>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</si>
  <si>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</si>
  <si>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</si>
  <si>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</si>
  <si>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</si>
  <si>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</si>
  <si>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</si>
  <si>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</si>
  <si>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</si>
  <si>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</si>
  <si>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</si>
  <si>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</si>
  <si>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</si>
  <si>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</si>
  <si>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</si>
  <si>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</si>
  <si>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</si>
  <si>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</si>
  <si>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</si>
  <si>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</si>
  <si>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</si>
  <si>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</si>
  <si>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</si>
  <si>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</si>
  <si>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</si>
  <si>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</si>
  <si>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</si>
  <si>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</si>
  <si>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</si>
  <si>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</si>
  <si>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</si>
  <si>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</si>
  <si>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</si>
  <si>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</si>
  <si>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</si>
  <si>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</si>
  <si>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</si>
  <si>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</si>
  <si>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</si>
  <si>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</si>
  <si>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</si>
  <si>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</si>
  <si>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</si>
  <si>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</si>
  <si>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</si>
  <si>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</si>
  <si>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</si>
  <si>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</si>
  <si>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</si>
  <si>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</si>
  <si>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</si>
  <si>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</si>
  <si>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</si>
  <si>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</si>
  <si>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</si>
  <si>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</si>
  <si>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</si>
  <si>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</si>
  <si>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</si>
  <si>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</si>
  <si>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</si>
  <si>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</si>
  <si>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</si>
  <si>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</si>
  <si>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</si>
  <si>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</si>
  <si>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</si>
  <si>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</si>
  <si>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</si>
  <si>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</si>
  <si>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</si>
  <si>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</si>
  <si>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</si>
  <si>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</si>
  <si>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</si>
  <si>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</si>
  <si>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</si>
  <si>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</si>
  <si>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</si>
  <si>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</si>
  <si>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</si>
  <si>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</si>
  <si>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</si>
  <si>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</si>
  <si>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</si>
  <si>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</si>
  <si>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</si>
  <si>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</si>
  <si>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</si>
  <si>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</si>
  <si>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</si>
  <si>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</si>
  <si>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</si>
  <si>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</si>
  <si>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</si>
  <si>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</si>
  <si>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</si>
  <si>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</si>
  <si>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</si>
  <si>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</si>
  <si>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</si>
  <si>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</si>
  <si>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</si>
  <si>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</si>
  <si>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</si>
  <si>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</si>
  <si>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</si>
  <si>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</si>
  <si>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</si>
  <si>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</si>
  <si>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</si>
  <si>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</si>
  <si>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</si>
  <si>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</si>
  <si>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</si>
  <si>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</si>
  <si>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</si>
  <si>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</si>
  <si>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</si>
  <si>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</si>
  <si>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</si>
  <si>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</si>
  <si>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</si>
  <si>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</si>
  <si>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</si>
  <si>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</si>
  <si>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</si>
  <si>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</si>
  <si>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</si>
  <si>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</si>
  <si>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</si>
  <si>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</si>
  <si>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</si>
  <si>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</si>
  <si>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</si>
  <si>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</si>
  <si>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</si>
  <si>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</si>
  <si>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</si>
  <si>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</si>
  <si>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</si>
  <si>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</si>
  <si>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</si>
  <si>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</si>
  <si>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</si>
  <si>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</si>
  <si>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</si>
  <si>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</si>
  <si>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</si>
  <si>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</si>
  <si>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</si>
  <si>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</si>
  <si>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</si>
  <si>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</si>
  <si>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</si>
  <si>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</si>
  <si>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</si>
  <si>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</si>
  <si>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</si>
  <si>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</si>
  <si>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</si>
  <si>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</si>
  <si>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</si>
  <si>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</si>
  <si>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</si>
  <si>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</si>
  <si>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</si>
  <si>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</si>
  <si>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</si>
  <si>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</si>
  <si>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</si>
  <si>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</si>
  <si>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</si>
  <si>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</si>
  <si>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</si>
  <si>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</si>
  <si>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</si>
  <si>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</si>
  <si>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</si>
  <si>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</si>
  <si>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</si>
  <si>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</si>
  <si>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</si>
  <si>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</si>
  <si>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</si>
  <si>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</si>
  <si>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</si>
  <si>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</si>
  <si>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</si>
  <si>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</si>
  <si>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</si>
  <si>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</si>
  <si>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</si>
  <si>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</si>
  <si>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</si>
  <si>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</si>
  <si>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</si>
  <si>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</si>
  <si>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</si>
  <si>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</si>
  <si>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</si>
  <si>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</si>
  <si>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</si>
  <si>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</si>
  <si>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</si>
  <si>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</si>
  <si>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</si>
  <si>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</si>
  <si>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</si>
  <si>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</si>
  <si>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</si>
  <si>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</si>
  <si>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</si>
  <si>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</si>
  <si>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</si>
  <si>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</si>
  <si>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</si>
  <si>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</si>
  <si>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</si>
  <si>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</si>
  <si>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</si>
  <si>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</si>
  <si>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</si>
  <si>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</si>
  <si>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</si>
  <si>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</si>
  <si>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</si>
  <si>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</si>
  <si>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</si>
  <si>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</si>
  <si>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</si>
  <si>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</si>
  <si>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</si>
  <si>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</si>
  <si>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</si>
  <si>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ASP-009
ASP-012</t>
  </si>
  <si>
    <t>ASP: Security Fencing: MP0 public space, private space, SRAM, ROM
ASP: CRU: C2PMSG and interrupts</t>
  </si>
  <si>
    <t>MPASP</t>
  </si>
  <si>
    <t>Register Access Test</t>
  </si>
  <si>
    <t>asp.basic.register_access</t>
  </si>
  <si>
    <t>ASP-009</t>
  </si>
  <si>
    <t>ASP: Security Fencing: MP0 public space, private space, SRAM, ROM</t>
  </si>
  <si>
    <t>SRAM Access Test</t>
  </si>
  <si>
    <t>asp.basic.sram_access</t>
  </si>
  <si>
    <t>ASP-006
ASP-007</t>
  </si>
  <si>
    <t>ASP: HUBIF TLB mapping
ASP: HUBIF inline AES computation</t>
  </si>
  <si>
    <t>HUBIF Access Test</t>
  </si>
  <si>
    <t>asp.basic.hubif</t>
  </si>
  <si>
    <t>ASP-015</t>
  </si>
  <si>
    <t>ASP: SMNIF TLB Mapping</t>
  </si>
  <si>
    <t>SMNIF Access Test</t>
  </si>
  <si>
    <t>psp1.4</t>
  </si>
  <si>
    <t> Legacy </t>
  </si>
  <si>
    <t>ASP-003
ASP-005</t>
  </si>
  <si>
    <t>ASP DRAM is encrypted and not accessible to any other processors
Security: ASP Private DRAM 8MB area</t>
  </si>
  <si>
    <t>ASP Private Area Access Test</t>
  </si>
  <si>
    <t xml:space="preserve">
psp1.4</t>
  </si>
  <si>
    <t>ASP-014</t>
  </si>
  <si>
    <t>ASP: CRU: ASP SMU conmunication via P2SMSG/S2PMSG and interrupts</t>
  </si>
  <si>
    <t>ASP-SMU Test Message Access Test</t>
  </si>
  <si>
    <t>psp1.7</t>
  </si>
  <si>
    <t>External IP RSMU Access Test</t>
  </si>
  <si>
    <t>psp1.1</t>
  </si>
  <si>
    <t>ASP-013</t>
  </si>
  <si>
    <t>ASP: CRU: A5 interrupt to x86 CPU</t>
  </si>
  <si>
    <t>Interrupt Test</t>
  </si>
  <si>
    <t>psp1.13</t>
  </si>
  <si>
    <t>ASP-008</t>
  </si>
  <si>
    <t>ASP: HUBIF access violation and interrupt</t>
  </si>
  <si>
    <t>HUBIF Access Violation and Interrupt</t>
  </si>
  <si>
    <t>psp1.15</t>
  </si>
  <si>
    <t>ASP-016</t>
  </si>
  <si>
    <t>ASP: RSMU access violation and interrupt</t>
  </si>
  <si>
    <t>RSMU Access Violation and Interrupt</t>
  </si>
  <si>
    <t>psp1.17</t>
  </si>
  <si>
    <t>ASP-010</t>
  </si>
  <si>
    <t>ASP: CRU: Access Violation Interrupt control</t>
  </si>
  <si>
    <t>CRU Access Violation and Interrupt</t>
  </si>
  <si>
    <t>psp1.97</t>
  </si>
  <si>
    <t>ASP-011</t>
  </si>
  <si>
    <t>ASP: CRU: Timer control registers and interrupt</t>
  </si>
  <si>
    <t>Timer Control Registers and Interrupt</t>
  </si>
  <si>
    <t>psp1.21</t>
  </si>
  <si>
    <t>ASP-017</t>
  </si>
  <si>
    <t>ASP: Mutex</t>
  </si>
  <si>
    <t>Mutex Register Access</t>
  </si>
  <si>
    <t>psp1.22</t>
  </si>
  <si>
    <t>ASP-035</t>
  </si>
  <si>
    <t>ASP: SRAM/ROM Disable</t>
  </si>
  <si>
    <t>SRAM/ROM Disable</t>
  </si>
  <si>
    <t>psp103</t>
  </si>
  <si>
    <t> New </t>
  </si>
  <si>
    <t>ASP-004</t>
  </si>
  <si>
    <t>ASP: TRNG Seed is available in public CRU</t>
  </si>
  <si>
    <t>TRNG Seed from Public CRU</t>
  </si>
  <si>
    <t>psp1.26</t>
  </si>
  <si>
    <t>TRNG Stress Test</t>
  </si>
  <si>
    <t>psp1.30</t>
  </si>
  <si>
    <t>ASP-027</t>
  </si>
  <si>
    <t>CCP: Side channel attack countermeasure</t>
  </si>
  <si>
    <t>CCP</t>
  </si>
  <si>
    <t>CCP SCA Countermeasure Test</t>
  </si>
  <si>
    <t>psp2.1</t>
  </si>
  <si>
    <t>ASP-018
ASP-019
ASP-022
ASP-023</t>
  </si>
  <si>
    <t>CCP: AES engine
CCP: SHA engine
CCP: Zlib decompression
CCP: Pass-through</t>
  </si>
  <si>
    <t>CCP Multi-Frame Test</t>
  </si>
  <si>
    <t>psp2.2</t>
  </si>
  <si>
    <t>ASP-026</t>
  </si>
  <si>
    <t>CCP: Memory interface</t>
  </si>
  <si>
    <t>CCP Multi Queue Test</t>
  </si>
  <si>
    <t>psp2.3</t>
  </si>
  <si>
    <t>CCP Job Delete Test</t>
  </si>
  <si>
    <t>psp2.5</t>
  </si>
  <si>
    <t>ASP-025</t>
  </si>
  <si>
    <t>CCP: Interrupts and Status</t>
  </si>
  <si>
    <t>CCP Interrupt Test</t>
  </si>
  <si>
    <t>ccp.basic.interrupt</t>
  </si>
  <si>
    <t>ASP-028</t>
  </si>
  <si>
    <t>CCP: Error handling for all CCP error cases</t>
  </si>
  <si>
    <t>CCP Static/Dynamic Error Test</t>
  </si>
  <si>
    <t>psp2.7</t>
  </si>
  <si>
    <t>ASP-023</t>
  </si>
  <si>
    <t>CCP: Pass-through</t>
  </si>
  <si>
    <t>CCP PT Engine Test</t>
  </si>
  <si>
    <t>ccp.basic.pt</t>
  </si>
  <si>
    <t>ASP-018</t>
  </si>
  <si>
    <t>CCP: AES engine</t>
  </si>
  <si>
    <t>CCP AES Engine Test</t>
  </si>
  <si>
    <t>ccp.basic.aes</t>
  </si>
  <si>
    <t>ASP-019</t>
  </si>
  <si>
    <t>CCP: SHA engine</t>
  </si>
  <si>
    <t>CCP SHA Engine Test</t>
  </si>
  <si>
    <t>psp203.1</t>
  </si>
  <si>
    <t>ASP-020</t>
  </si>
  <si>
    <t>CCP: RSA engine</t>
  </si>
  <si>
    <t>CCP RSA Engine Test</t>
  </si>
  <si>
    <t>psp204.1</t>
  </si>
  <si>
    <t>ASP-021</t>
  </si>
  <si>
    <t>CCP: ECC engine</t>
  </si>
  <si>
    <t>CCP ECC Engine Test</t>
  </si>
  <si>
    <t>psp205.1</t>
  </si>
  <si>
    <t>ASP-022</t>
  </si>
  <si>
    <t>CCP: Zlib decompression</t>
  </si>
  <si>
    <t>CCP ZLIB Engine Test</t>
  </si>
  <si>
    <t>psp206.1</t>
  </si>
  <si>
    <t>ASP-034</t>
  </si>
  <si>
    <t>CCP: Module Reset</t>
  </si>
  <si>
    <t>CCP PT Engine Reset Test</t>
  </si>
  <si>
    <t>psp201.3</t>
  </si>
  <si>
    <t>CCP AES Engine Reset Test</t>
  </si>
  <si>
    <t>psp202.3</t>
  </si>
  <si>
    <t>CCP SHA Engine Reset Test</t>
  </si>
  <si>
    <t>psp203.3</t>
  </si>
  <si>
    <t>CCP RSA Engine Reset Test</t>
  </si>
  <si>
    <t>psp204.3</t>
  </si>
  <si>
    <t>CCP ECC Engine Reset Test</t>
  </si>
  <si>
    <t>psp205.3</t>
  </si>
  <si>
    <t>CCP ZLIB Engine Reset Test</t>
  </si>
  <si>
    <t>psp206.3</t>
  </si>
  <si>
    <t>CCP Queue Reset Test</t>
  </si>
  <si>
    <t>psp2.201</t>
  </si>
  <si>
    <t>CCP IDMA/ODMA Reset Test</t>
  </si>
  <si>
    <t>psp2.202</t>
  </si>
  <si>
    <t>CCP JPM Reset Test</t>
  </si>
  <si>
    <t>psp2.203</t>
  </si>
  <si>
    <t>CCP SHA with PT</t>
  </si>
  <si>
    <t>ccp.basic.sha</t>
  </si>
  <si>
    <t>CCP SHA with SW and HW IV</t>
  </si>
  <si>
    <t>ASP-029</t>
  </si>
  <si>
    <t>CCP: Clock gating</t>
  </si>
  <si>
    <t>CCP Dynamic Clock Gating Test</t>
  </si>
  <si>
    <t>psp2.106;psp2.107</t>
  </si>
  <si>
    <t>ASP-036</t>
  </si>
  <si>
    <t>CCP: Memory range protection</t>
  </si>
  <si>
    <t>CCP Memory Range Protection Test</t>
  </si>
  <si>
    <t>psp2.23</t>
  </si>
  <si>
    <t>ASP-037</t>
  </si>
  <si>
    <t>SIB: KSB functional</t>
  </si>
  <si>
    <t>SIB</t>
  </si>
  <si>
    <t>KSB Access Test</t>
  </si>
  <si>
    <t>sib.basic.ksb_access</t>
  </si>
  <si>
    <t>KSB Attributes Test</t>
  </si>
  <si>
    <t>sib.basic.ksb_attributes</t>
  </si>
  <si>
    <t>ASP-002</t>
  </si>
  <si>
    <t>Keys loaded into CCP are protected (read/write) from active and passive side channels and fault injection attacks</t>
  </si>
  <si>
    <t>KSB RTL-Key Protection Test</t>
  </si>
  <si>
    <t>sib.basic.ksb.rtl_key_protection</t>
  </si>
  <si>
    <t>ASP-038</t>
  </si>
  <si>
    <t>SIB: KSB errors</t>
  </si>
  <si>
    <t>KSB Error Test</t>
  </si>
  <si>
    <t>ASP-039</t>
  </si>
  <si>
    <t>SIB: ISB functional</t>
  </si>
  <si>
    <t>ISB Access Test</t>
  </si>
  <si>
    <t>sib.basic.isb_access</t>
  </si>
  <si>
    <t>ISB PKDB Push Test</t>
  </si>
  <si>
    <t>Waived, unable to cover from our end, indirectly covered by TMZ</t>
  </si>
  <si>
    <t>ISB SRAM Key Clear Test</t>
  </si>
  <si>
    <t>sib.basic.pkdb.isb_sram_clearing</t>
  </si>
  <si>
    <t>ASP-040</t>
  </si>
  <si>
    <t>SIB: ISB errors</t>
  </si>
  <si>
    <t>ISB Error Test</t>
  </si>
  <si>
    <t>TestID.PlaceHolder.49</t>
  </si>
  <si>
    <t>ASP-041</t>
  </si>
  <si>
    <t>SIB: TRNG, Health check function, and DRBG function</t>
  </si>
  <si>
    <t>TRNG Dump</t>
  </si>
  <si>
    <t>psp2.9</t>
  </si>
  <si>
    <t>TRNG Entropy Health Monitor Test</t>
  </si>
  <si>
    <t>psp2.17</t>
  </si>
  <si>
    <t>ASP-042</t>
  </si>
  <si>
    <t>SIB: WDT</t>
  </si>
  <si>
    <t>WDT and EH Test</t>
  </si>
  <si>
    <t>psp1.27</t>
  </si>
  <si>
    <t>ASP-043</t>
  </si>
  <si>
    <t>CCP: SHA3 Frame Size Update</t>
  </si>
  <si>
    <t>CCP SHA3 Frame Size Test</t>
  </si>
  <si>
    <t>psp203.4</t>
  </si>
  <si>
    <t>ASP-044</t>
  </si>
  <si>
    <t>CCP: SHA-PT Destination Address Pointer</t>
  </si>
  <si>
    <t>CCP SHA-PT Dest2 Address Test</t>
  </si>
  <si>
    <t>ASP-045</t>
  </si>
  <si>
    <t>CCP: SHA3 HMAC - Key update - 384/512 bits</t>
  </si>
  <si>
    <t>CCP SHA3 HMAC 384/512 Test</t>
  </si>
  <si>
    <t>TestID.PlaceHolder.55</t>
  </si>
  <si>
    <t>ASP-046</t>
  </si>
  <si>
    <t>CCP: SHAKE128/256 Digest Length</t>
  </si>
  <si>
    <t>CCP SHAKE128/256 Digest Length Test</t>
  </si>
  <si>
    <t>TestID.PlaceHolder.56</t>
  </si>
  <si>
    <t>ASP-047</t>
  </si>
  <si>
    <t>SIB: KSB Errors ASP/CCP Seperation</t>
  </si>
  <si>
    <t>KSB Error ASP/CCP Seperation</t>
  </si>
  <si>
    <t>TestID.PlaceHolder.57</t>
  </si>
  <si>
    <t>ASP-048</t>
  </si>
  <si>
    <t>SIB: KSB Mass Clear</t>
  </si>
  <si>
    <t>KSB Mass Clear Test</t>
  </si>
  <si>
    <t>TestID.PlaceHolder.58</t>
  </si>
  <si>
    <t>ASP-049</t>
  </si>
  <si>
    <t>SIB: KSB Slot Search</t>
  </si>
  <si>
    <t>KSB Slot Search Test</t>
  </si>
  <si>
    <t>TestID.PlaceHolder.59</t>
  </si>
  <si>
    <t>ASP-050</t>
  </si>
  <si>
    <t>ASP: Si-Five Mem Port/Front Port</t>
  </si>
  <si>
    <t>ASP</t>
  </si>
  <si>
    <t>CCP -&gt; NIC400 -&gt; SMNIF-&gt; SoC Registers</t>
  </si>
  <si>
    <t>psp207.1</t>
  </si>
  <si>
    <t>CCP -&gt; MMHUBIF-&gt; FB/System Memory</t>
  </si>
  <si>
    <t>psp207.2</t>
  </si>
  <si>
    <t>CCP -&gt; Front Port -&gt; E6A(riscv) -&gt; Memory Port -&gt; MMHUBIF-&gt; FB/System Memory</t>
  </si>
  <si>
    <t>psp207.3</t>
  </si>
  <si>
    <t>E6A System Port -&gt; NIC400 -&gt; MMHUBIF -&gt; MMHUB</t>
  </si>
  <si>
    <t>psp207.4</t>
  </si>
  <si>
    <t xml:space="preserve"> New </t>
  </si>
  <si>
    <t xml:space="preserve">E6A Memory Port -&gt; NIC400 -&gt; MMHUBIF -&gt; MMHUB </t>
  </si>
  <si>
    <t>psp207.5</t>
  </si>
  <si>
    <t>E6A System Port -&gt; NIC400 -&gt; SMNIF -&gt; SoC Registers</t>
  </si>
  <si>
    <t>psp207.6</t>
  </si>
  <si>
    <t>E6A Memory Port -&gt; NIC400 -&gt; SMNIF -&gt; SoC Registers</t>
  </si>
  <si>
    <t>psp207.7</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</si>
  <si>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</si>
  <si>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</si>
  <si>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</si>
  <si>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</si>
  <si>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</si>
  <si>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</si>
  <si>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</si>
  <si>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</si>
  <si>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</si>
  <si>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ASP-001</t>
  </si>
  <si>
    <t>Only ASP can access HW keys including the device specific ones</t>
  </si>
  <si>
    <t>Total # of Features</t>
  </si>
  <si>
    <t>Total # of P1</t>
  </si>
  <si>
    <t>ASP-003</t>
  </si>
  <si>
    <t>ASP DRAM is encrypted and not accessible to any other processors</t>
  </si>
  <si>
    <t>Total # of P2</t>
  </si>
  <si>
    <t>Total # of P3</t>
  </si>
  <si>
    <t>ASP-005</t>
  </si>
  <si>
    <t>Security: ASP Private DRAM 8MB area</t>
  </si>
  <si>
    <t>Total # of Diagnostics</t>
  </si>
  <si>
    <t>ASP-006</t>
  </si>
  <si>
    <t>ASP: HUBIF TLB mapping</t>
  </si>
  <si>
    <t>Total # of Driver</t>
  </si>
  <si>
    <t>ASP-007</t>
  </si>
  <si>
    <t>ASP: HUBIF inline AES computation</t>
  </si>
  <si>
    <t>Total # of IPSE</t>
  </si>
  <si>
    <t>Total # of N/A</t>
  </si>
  <si>
    <t>Total # of Legacy</t>
  </si>
  <si>
    <t>Total # of New</t>
  </si>
  <si>
    <t>ASP-012</t>
  </si>
  <si>
    <t>ASP: CRU: C2PMSG and interrupts</t>
  </si>
  <si>
    <t>ASP-024</t>
  </si>
  <si>
    <t>CCP: Pass-through AXI burst</t>
  </si>
  <si>
    <t>ASP-030</t>
  </si>
  <si>
    <t>ASP: MP0CLK gating/deep sleep</t>
  </si>
  <si>
    <t>ASP-031</t>
  </si>
  <si>
    <t>ASP: SRAM clock gating/deep sleep</t>
  </si>
  <si>
    <t>ASP-032</t>
  </si>
  <si>
    <t>ASP: Power gating</t>
  </si>
  <si>
    <t>ASP-033</t>
  </si>
  <si>
    <t>ASP: HUBIF clock gating</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</si>
  <si>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</si>
  <si>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</si>
  <si>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</si>
  <si>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Wk3</t>
  </si>
  <si>
    <t>WK2</t>
  </si>
  <si>
    <t>WK3</t>
  </si>
  <si>
    <t>WK5</t>
  </si>
  <si>
    <t>Wk2</t>
  </si>
  <si>
    <t>Wk7</t>
  </si>
  <si>
    <t>Wk4</t>
  </si>
  <si>
    <t>WK4</t>
  </si>
  <si>
    <t>Wk6</t>
  </si>
  <si>
    <t>Wk5</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</si>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</sst>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7"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7" xfId="0" applyFill="1" applyBorder="1"/>
    <xf numFmtId="0" fontId="0" fillId="52" borderId="10" xfId="0" applyFill="1" applyBorder="1"/>
    <xf numFmtId="0" fontId="0" fillId="52" borderId="10" xfId="0" applyFill="1" applyBorder="1" applyAlignment="1">
      <alignment horizontal="center"/>
    </xf>
    <xf numFmtId="0" fontId="0" fillId="52" borderId="17" xfId="0" applyFill="1" applyBorder="1" applyAlignment="1">
      <alignment horizontal="center"/>
    </xf>
    <xf numFmtId="0" fontId="19" fillId="43" borderId="34" xfId="0" applyFont="1" applyFill="1" applyBorder="1" applyAlignment="1">
      <alignment horizontal="left" vertical="center"/>
    </xf>
    <xf numFmtId="0" fontId="0" fillId="52" borderId="10" xfId="0" applyFill="1" applyBorder="1" applyAlignment="1">
      <alignment wrapText="1"/>
    </xf>
    <xf numFmtId="9" fontId="18" fillId="52" borderId="10" xfId="42" applyFont="1" applyFill="1" applyBorder="1" applyAlignment="1" applyProtection="1">
      <alignment horizontal="center" vertical="center"/>
      <protection locked="0"/>
    </xf>
    <xf numFmtId="9" fontId="18" fillId="52" borderId="17" xfId="42" applyFont="1" applyFill="1" applyBorder="1" applyAlignment="1" applyProtection="1">
      <alignment horizontal="center" vertical="center"/>
      <protection locked="0"/>
    </xf>
    <xf numFmtId="0" fontId="18" fillId="52" borderId="10" xfId="0" applyFont="1" applyFill="1" applyBorder="1" applyAlignment="1" applyProtection="1">
      <alignment horizontal="left" vertical="center" wrapText="1"/>
      <protection locked="0"/>
    </xf>
    <xf numFmtId="10" fontId="18" fillId="52" borderId="10" xfId="42" applyNumberFormat="1" applyFont="1" applyFill="1" applyBorder="1" applyAlignment="1" applyProtection="1">
      <alignment horizontal="center" vertic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452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xr3:uid="{78B4E459-6924-5F8B-B7BA-2DD04133E49E}">
      <selection activeCell="K7" sqref="K7"/>
    </sheetView>
  </sheetViews>
  <sheetFormatPr defaultColWidth="8.42578125" defaultRowHeight="14.45"/>
  <cols>
    <col min="1" max="1" width="8.42578125" style="79"/>
    <col min="5" max="5" width="9" style="79" bestFit="1" customWidth="1"/>
    <col min="9" max="9" width="11" bestFit="1" customWidth="1"/>
  </cols>
  <sheetData>
    <row r="1" spans="1:11">
      <c r="A1" s="79" t="s">
        <v>30</v>
      </c>
      <c r="C1" t="s">
        <v>31</v>
      </c>
      <c r="E1" s="79" t="s">
        <v>32</v>
      </c>
      <c r="G1" t="s">
        <v>33</v>
      </c>
      <c r="I1" t="s">
        <v>34</v>
      </c>
      <c r="K1" t="s">
        <v>35</v>
      </c>
    </row>
    <row r="2" spans="1:11">
      <c r="A2" s="79" t="s">
        <v>36</v>
      </c>
      <c r="C2" t="s">
        <v>37</v>
      </c>
      <c r="E2" s="79" t="s">
        <v>38</v>
      </c>
      <c r="G2" t="s">
        <v>39</v>
      </c>
      <c r="I2" t="s">
        <v>40</v>
      </c>
      <c r="K2" t="s">
        <v>41</v>
      </c>
    </row>
    <row r="3" spans="1:11">
      <c r="A3" s="79" t="s">
        <v>42</v>
      </c>
      <c r="E3" s="79" t="s">
        <v>43</v>
      </c>
      <c r="G3" t="s">
        <v>44</v>
      </c>
      <c r="I3" t="s">
        <v>45</v>
      </c>
      <c r="K3" t="s">
        <v>46</v>
      </c>
    </row>
    <row r="4" spans="1:11">
      <c r="A4" s="79" t="s">
        <v>47</v>
      </c>
      <c r="E4" s="79" t="s">
        <v>48</v>
      </c>
      <c r="I4" t="s">
        <v>47</v>
      </c>
      <c r="K4" t="s">
        <v>49</v>
      </c>
    </row>
    <row r="5" spans="1:11">
      <c r="E5" s="79" t="s">
        <v>50</v>
      </c>
      <c r="K5" t="s">
        <v>51</v>
      </c>
    </row>
    <row r="6" spans="1:11">
      <c r="E6" s="79" t="s">
        <v>52</v>
      </c>
      <c r="K6" t="s">
        <v>47</v>
      </c>
    </row>
    <row r="7" spans="1:11">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15" activePane="bottomRight" state="frozen"/>
      <selection pane="bottomRight" activeCell="D9" sqref="D9"/>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53</v>
      </c>
      <c r="B1" s="596" t="s">
        <v>54</v>
      </c>
      <c r="C1" s="597"/>
      <c r="D1" s="597"/>
      <c r="E1" s="167" t="s">
        <v>55</v>
      </c>
      <c r="F1" s="167" t="s">
        <v>56</v>
      </c>
      <c r="G1" s="110" t="s">
        <v>57</v>
      </c>
    </row>
    <row r="2" spans="1:7">
      <c r="A2" s="116" t="s">
        <v>58</v>
      </c>
      <c r="B2" s="598" t="s">
        <v>59</v>
      </c>
      <c r="C2" s="599"/>
      <c r="D2" s="599"/>
      <c r="E2" s="293" t="s">
        <v>60</v>
      </c>
      <c r="F2" s="293" t="s">
        <v>61</v>
      </c>
      <c r="G2" s="325" t="s">
        <v>62</v>
      </c>
    </row>
    <row r="3" spans="1:7" s="81" customFormat="1">
      <c r="A3" s="201" t="s">
        <v>63</v>
      </c>
      <c r="B3" s="605" t="s">
        <v>64</v>
      </c>
      <c r="C3" s="606"/>
      <c r="D3" s="607"/>
      <c r="E3" s="80" t="s">
        <v>60</v>
      </c>
      <c r="F3" s="80" t="s">
        <v>61</v>
      </c>
      <c r="G3" s="326" t="s">
        <v>62</v>
      </c>
    </row>
    <row r="4" spans="1:7">
      <c r="A4" s="201" t="s">
        <v>65</v>
      </c>
      <c r="B4" s="602" t="s">
        <v>66</v>
      </c>
      <c r="C4" s="603"/>
      <c r="D4" s="604"/>
      <c r="E4" s="80" t="s">
        <v>67</v>
      </c>
      <c r="F4" s="80" t="s">
        <v>61</v>
      </c>
      <c r="G4" s="326" t="s">
        <v>62</v>
      </c>
    </row>
    <row r="5" spans="1:7">
      <c r="A5" s="117" t="s">
        <v>68</v>
      </c>
      <c r="B5" s="602" t="s">
        <v>69</v>
      </c>
      <c r="C5" s="603"/>
      <c r="D5" s="604"/>
      <c r="E5" s="80" t="s">
        <v>67</v>
      </c>
      <c r="F5" s="80" t="s">
        <v>61</v>
      </c>
      <c r="G5" s="326" t="s">
        <v>62</v>
      </c>
    </row>
    <row r="6" spans="1:7">
      <c r="A6" s="117" t="s">
        <v>70</v>
      </c>
      <c r="B6" s="602" t="s">
        <v>71</v>
      </c>
      <c r="C6" s="603"/>
      <c r="D6" s="604"/>
      <c r="E6" s="80" t="s">
        <v>72</v>
      </c>
      <c r="F6" s="80" t="s">
        <v>61</v>
      </c>
      <c r="G6" s="85"/>
    </row>
    <row r="7" spans="1:7" ht="15" thickBot="1">
      <c r="A7" s="118" t="s">
        <v>73</v>
      </c>
      <c r="B7" s="600" t="s">
        <v>74</v>
      </c>
      <c r="C7" s="601"/>
      <c r="D7" s="601"/>
      <c r="E7" s="86" t="s">
        <v>72</v>
      </c>
      <c r="F7" s="86"/>
      <c r="G7" s="87"/>
    </row>
    <row r="8" spans="1:7" s="84" customFormat="1" ht="15" thickBot="1">
      <c r="A8" s="115" t="s">
        <v>53</v>
      </c>
      <c r="B8" s="421" t="s">
        <v>1</v>
      </c>
      <c r="C8" s="167" t="s">
        <v>75</v>
      </c>
      <c r="D8" s="167" t="s">
        <v>54</v>
      </c>
      <c r="E8" s="167" t="s">
        <v>55</v>
      </c>
      <c r="F8" s="167" t="s">
        <v>56</v>
      </c>
      <c r="G8" s="110" t="s">
        <v>57</v>
      </c>
    </row>
    <row r="9" spans="1:7" ht="101.45">
      <c r="A9" s="573" t="s">
        <v>58</v>
      </c>
      <c r="B9" s="570" t="s">
        <v>76</v>
      </c>
      <c r="C9" s="332" t="s">
        <v>77</v>
      </c>
      <c r="D9" s="94" t="s">
        <v>78</v>
      </c>
      <c r="E9" s="94" t="s">
        <v>60</v>
      </c>
      <c r="F9" s="94" t="s">
        <v>79</v>
      </c>
      <c r="G9" s="422" t="s">
        <v>80</v>
      </c>
    </row>
    <row r="10" spans="1:7" ht="57.95">
      <c r="A10" s="574"/>
      <c r="B10" s="571"/>
      <c r="C10" s="328" t="s">
        <v>81</v>
      </c>
      <c r="D10" s="82" t="s">
        <v>82</v>
      </c>
      <c r="E10" s="82" t="s">
        <v>60</v>
      </c>
      <c r="F10" s="82" t="s">
        <v>79</v>
      </c>
      <c r="G10" s="320" t="s">
        <v>83</v>
      </c>
    </row>
    <row r="11" spans="1:7" ht="43.5">
      <c r="A11" s="574"/>
      <c r="B11" s="571"/>
      <c r="C11" s="328" t="s">
        <v>84</v>
      </c>
      <c r="D11" s="82" t="s">
        <v>85</v>
      </c>
      <c r="E11" s="82" t="s">
        <v>86</v>
      </c>
      <c r="F11" s="82" t="s">
        <v>79</v>
      </c>
      <c r="G11" s="95" t="s">
        <v>87</v>
      </c>
    </row>
    <row r="12" spans="1:7" ht="116.1">
      <c r="A12" s="574"/>
      <c r="B12" s="571"/>
      <c r="C12" s="328" t="s">
        <v>88</v>
      </c>
      <c r="D12" s="348" t="s">
        <v>89</v>
      </c>
      <c r="E12" s="82" t="s">
        <v>86</v>
      </c>
      <c r="F12" s="82" t="s">
        <v>79</v>
      </c>
      <c r="G12" s="320" t="s">
        <v>90</v>
      </c>
    </row>
    <row r="13" spans="1:7" ht="29.1">
      <c r="A13" s="574"/>
      <c r="B13" s="571"/>
      <c r="C13" s="328" t="s">
        <v>91</v>
      </c>
      <c r="D13" s="82" t="s">
        <v>92</v>
      </c>
      <c r="E13" s="82" t="s">
        <v>86</v>
      </c>
      <c r="F13" s="82" t="s">
        <v>79</v>
      </c>
      <c r="G13" s="95" t="s">
        <v>93</v>
      </c>
    </row>
    <row r="14" spans="1:7" ht="29.1">
      <c r="A14" s="574"/>
      <c r="B14" s="571"/>
      <c r="C14" s="328" t="s">
        <v>94</v>
      </c>
      <c r="D14" s="82" t="s">
        <v>95</v>
      </c>
      <c r="E14" s="82" t="s">
        <v>86</v>
      </c>
      <c r="F14" s="82" t="s">
        <v>79</v>
      </c>
      <c r="G14" s="95" t="s">
        <v>93</v>
      </c>
    </row>
    <row r="15" spans="1:7">
      <c r="A15" s="574"/>
      <c r="B15" s="571"/>
      <c r="C15" s="121" t="s">
        <v>96</v>
      </c>
      <c r="D15" s="82" t="s">
        <v>97</v>
      </c>
      <c r="E15" s="82" t="s">
        <v>60</v>
      </c>
      <c r="F15" s="82" t="s">
        <v>79</v>
      </c>
      <c r="G15" s="95" t="s">
        <v>98</v>
      </c>
    </row>
    <row r="16" spans="1:7" ht="57.95">
      <c r="A16" s="574"/>
      <c r="B16" s="571"/>
      <c r="C16" s="328" t="s">
        <v>99</v>
      </c>
      <c r="D16" s="348" t="s">
        <v>100</v>
      </c>
      <c r="E16" s="82" t="s">
        <v>86</v>
      </c>
      <c r="F16" s="82" t="s">
        <v>79</v>
      </c>
      <c r="G16" s="320" t="s">
        <v>101</v>
      </c>
    </row>
    <row r="17" spans="1:7" ht="29.1">
      <c r="A17" s="574"/>
      <c r="B17" s="571"/>
      <c r="C17" s="328" t="s">
        <v>102</v>
      </c>
      <c r="D17" s="82" t="s">
        <v>103</v>
      </c>
      <c r="E17" s="82" t="s">
        <v>86</v>
      </c>
      <c r="F17" s="82" t="s">
        <v>79</v>
      </c>
      <c r="G17" s="95" t="s">
        <v>104</v>
      </c>
    </row>
    <row r="18" spans="1:7" ht="43.5">
      <c r="A18" s="574"/>
      <c r="B18" s="571"/>
      <c r="C18" s="328" t="s">
        <v>105</v>
      </c>
      <c r="D18" s="82" t="s">
        <v>106</v>
      </c>
      <c r="E18" s="82" t="s">
        <v>86</v>
      </c>
      <c r="F18" s="82" t="s">
        <v>79</v>
      </c>
      <c r="G18" s="95" t="s">
        <v>107</v>
      </c>
    </row>
    <row r="19" spans="1:7">
      <c r="A19" s="574"/>
      <c r="B19" s="571"/>
      <c r="C19" s="328" t="s">
        <v>108</v>
      </c>
      <c r="D19" s="82" t="s">
        <v>109</v>
      </c>
      <c r="E19" s="82" t="s">
        <v>86</v>
      </c>
      <c r="F19" s="82" t="s">
        <v>79</v>
      </c>
      <c r="G19" s="95" t="s">
        <v>110</v>
      </c>
    </row>
    <row r="20" spans="1:7" ht="102" thickBot="1">
      <c r="A20" s="574"/>
      <c r="B20" s="572"/>
      <c r="C20" s="423" t="s">
        <v>1</v>
      </c>
      <c r="D20" s="534" t="s">
        <v>111</v>
      </c>
      <c r="E20" s="392" t="s">
        <v>86</v>
      </c>
      <c r="F20" s="392" t="s">
        <v>79</v>
      </c>
      <c r="G20" s="424" t="s">
        <v>112</v>
      </c>
    </row>
    <row r="21" spans="1:7" ht="43.5">
      <c r="A21" s="574"/>
      <c r="B21" s="587" t="s">
        <v>113</v>
      </c>
      <c r="C21" s="329" t="s">
        <v>114</v>
      </c>
      <c r="D21" s="105" t="s">
        <v>115</v>
      </c>
      <c r="E21" s="105" t="s">
        <v>86</v>
      </c>
      <c r="F21" s="105" t="s">
        <v>116</v>
      </c>
      <c r="G21" s="168" t="s">
        <v>117</v>
      </c>
    </row>
    <row r="22" spans="1:7" ht="29.1">
      <c r="A22" s="574"/>
      <c r="B22" s="588"/>
      <c r="C22" s="330" t="s">
        <v>118</v>
      </c>
      <c r="D22" s="428" t="s">
        <v>119</v>
      </c>
      <c r="E22" s="428" t="s">
        <v>86</v>
      </c>
      <c r="F22" s="428" t="s">
        <v>116</v>
      </c>
      <c r="G22" s="429" t="s">
        <v>120</v>
      </c>
    </row>
    <row r="23" spans="1:7" ht="15" thickBot="1">
      <c r="A23" s="574"/>
      <c r="B23" s="589"/>
      <c r="C23" s="430" t="s">
        <v>121</v>
      </c>
      <c r="D23" s="107" t="s">
        <v>122</v>
      </c>
      <c r="E23" s="107" t="s">
        <v>86</v>
      </c>
      <c r="F23" s="107" t="s">
        <v>116</v>
      </c>
      <c r="G23" s="108" t="s">
        <v>123</v>
      </c>
    </row>
    <row r="24" spans="1:7" ht="30" customHeight="1">
      <c r="A24" s="574"/>
      <c r="B24" s="590" t="s">
        <v>124</v>
      </c>
      <c r="C24" s="425" t="s">
        <v>125</v>
      </c>
      <c r="D24" s="426" t="s">
        <v>126</v>
      </c>
      <c r="E24" s="426" t="s">
        <v>86</v>
      </c>
      <c r="F24" s="426" t="s">
        <v>79</v>
      </c>
      <c r="G24" s="427" t="s">
        <v>127</v>
      </c>
    </row>
    <row r="25" spans="1:7" ht="30" customHeight="1">
      <c r="A25" s="574"/>
      <c r="B25" s="591"/>
      <c r="C25" s="330" t="s">
        <v>128</v>
      </c>
      <c r="D25" s="109" t="s">
        <v>129</v>
      </c>
      <c r="E25" s="109" t="s">
        <v>86</v>
      </c>
      <c r="F25" s="109" t="s">
        <v>130</v>
      </c>
      <c r="G25" s="608" t="s">
        <v>131</v>
      </c>
    </row>
    <row r="26" spans="1:7" ht="29.1">
      <c r="A26" s="574"/>
      <c r="B26" s="591"/>
      <c r="C26" s="274" t="s">
        <v>132</v>
      </c>
      <c r="D26" s="109" t="s">
        <v>133</v>
      </c>
      <c r="E26" s="109" t="s">
        <v>86</v>
      </c>
      <c r="F26" s="109" t="s">
        <v>130</v>
      </c>
      <c r="G26" s="609"/>
    </row>
    <row r="27" spans="1:7">
      <c r="A27" s="574"/>
      <c r="B27" s="591"/>
      <c r="C27" s="330" t="s">
        <v>30</v>
      </c>
      <c r="D27" s="109" t="s">
        <v>134</v>
      </c>
      <c r="E27" s="109" t="s">
        <v>86</v>
      </c>
      <c r="F27" s="109" t="s">
        <v>130</v>
      </c>
      <c r="G27" s="609"/>
    </row>
    <row r="28" spans="1:7">
      <c r="A28" s="574"/>
      <c r="B28" s="591"/>
      <c r="C28" s="330" t="s">
        <v>135</v>
      </c>
      <c r="D28" s="109" t="s">
        <v>136</v>
      </c>
      <c r="E28" s="109" t="s">
        <v>86</v>
      </c>
      <c r="F28" s="109" t="s">
        <v>130</v>
      </c>
      <c r="G28" s="609"/>
    </row>
    <row r="29" spans="1:7">
      <c r="A29" s="574"/>
      <c r="B29" s="591"/>
      <c r="C29" s="330" t="s">
        <v>36</v>
      </c>
      <c r="D29" s="109" t="s">
        <v>137</v>
      </c>
      <c r="E29" s="109" t="s">
        <v>86</v>
      </c>
      <c r="F29" s="109" t="s">
        <v>130</v>
      </c>
      <c r="G29" s="609"/>
    </row>
    <row r="30" spans="1:7">
      <c r="A30" s="574"/>
      <c r="B30" s="591"/>
      <c r="C30" s="330" t="s">
        <v>138</v>
      </c>
      <c r="D30" s="109" t="s">
        <v>139</v>
      </c>
      <c r="E30" s="109" t="s">
        <v>86</v>
      </c>
      <c r="F30" s="109" t="s">
        <v>130</v>
      </c>
      <c r="G30" s="609"/>
    </row>
    <row r="31" spans="1:7">
      <c r="A31" s="574"/>
      <c r="B31" s="591"/>
      <c r="C31" s="274" t="s">
        <v>140</v>
      </c>
      <c r="D31" s="109" t="s">
        <v>141</v>
      </c>
      <c r="E31" s="109" t="s">
        <v>86</v>
      </c>
      <c r="F31" s="109" t="s">
        <v>130</v>
      </c>
      <c r="G31" s="609"/>
    </row>
    <row r="32" spans="1:7" ht="29.45" thickBot="1">
      <c r="A32" s="574"/>
      <c r="B32" s="592"/>
      <c r="C32" s="331" t="s">
        <v>142</v>
      </c>
      <c r="D32" s="104" t="s">
        <v>143</v>
      </c>
      <c r="E32" s="104" t="s">
        <v>86</v>
      </c>
      <c r="F32" s="104" t="s">
        <v>130</v>
      </c>
      <c r="G32" s="610"/>
    </row>
    <row r="33" spans="1:7" ht="29.1">
      <c r="A33" s="574"/>
      <c r="B33" s="593" t="s">
        <v>144</v>
      </c>
      <c r="C33" s="309" t="s">
        <v>132</v>
      </c>
      <c r="D33" s="272" t="s">
        <v>145</v>
      </c>
      <c r="E33" s="272" t="s">
        <v>86</v>
      </c>
      <c r="F33" s="272" t="s">
        <v>146</v>
      </c>
      <c r="G33" s="273" t="s">
        <v>147</v>
      </c>
    </row>
    <row r="34" spans="1:7">
      <c r="A34" s="574"/>
      <c r="B34" s="594"/>
      <c r="C34" s="328" t="s">
        <v>30</v>
      </c>
      <c r="D34" s="83" t="s">
        <v>148</v>
      </c>
      <c r="E34" s="83" t="s">
        <v>86</v>
      </c>
      <c r="F34" s="83" t="s">
        <v>146</v>
      </c>
      <c r="G34" s="99"/>
    </row>
    <row r="35" spans="1:7">
      <c r="A35" s="574"/>
      <c r="B35" s="594"/>
      <c r="C35" s="328" t="s">
        <v>135</v>
      </c>
      <c r="D35" s="83" t="s">
        <v>149</v>
      </c>
      <c r="E35" s="83" t="s">
        <v>86</v>
      </c>
      <c r="F35" s="83" t="s">
        <v>146</v>
      </c>
      <c r="G35" s="99" t="s">
        <v>150</v>
      </c>
    </row>
    <row r="36" spans="1:7">
      <c r="A36" s="574"/>
      <c r="B36" s="594"/>
      <c r="C36" s="328" t="s">
        <v>36</v>
      </c>
      <c r="D36" s="83" t="s">
        <v>151</v>
      </c>
      <c r="E36" s="83" t="s">
        <v>86</v>
      </c>
      <c r="F36" s="83" t="s">
        <v>146</v>
      </c>
      <c r="G36" s="113"/>
    </row>
    <row r="37" spans="1:7">
      <c r="A37" s="574"/>
      <c r="B37" s="594"/>
      <c r="C37" s="328" t="s">
        <v>138</v>
      </c>
      <c r="D37" s="83" t="s">
        <v>152</v>
      </c>
      <c r="E37" s="83" t="s">
        <v>86</v>
      </c>
      <c r="F37" s="83" t="s">
        <v>146</v>
      </c>
      <c r="G37" s="99" t="s">
        <v>153</v>
      </c>
    </row>
    <row r="38" spans="1:7">
      <c r="A38" s="574"/>
      <c r="B38" s="594"/>
      <c r="C38" s="275" t="s">
        <v>140</v>
      </c>
      <c r="D38" s="83" t="s">
        <v>154</v>
      </c>
      <c r="E38" s="83" t="s">
        <v>86</v>
      </c>
      <c r="F38" s="83" t="s">
        <v>146</v>
      </c>
      <c r="G38" s="99"/>
    </row>
    <row r="39" spans="1:7" ht="29.1">
      <c r="A39" s="574"/>
      <c r="B39" s="594"/>
      <c r="C39" s="330" t="s">
        <v>155</v>
      </c>
      <c r="D39" s="83" t="s">
        <v>156</v>
      </c>
      <c r="E39" s="83" t="s">
        <v>86</v>
      </c>
      <c r="F39" s="83" t="s">
        <v>146</v>
      </c>
      <c r="G39" s="99"/>
    </row>
    <row r="40" spans="1:7" ht="29.1">
      <c r="A40" s="574"/>
      <c r="B40" s="594"/>
      <c r="C40" s="275" t="s">
        <v>157</v>
      </c>
      <c r="D40" s="83" t="s">
        <v>158</v>
      </c>
      <c r="E40" s="83" t="s">
        <v>60</v>
      </c>
      <c r="F40" s="83" t="s">
        <v>146</v>
      </c>
      <c r="G40" s="99" t="s">
        <v>159</v>
      </c>
    </row>
    <row r="41" spans="1:7" ht="29.45" thickBot="1">
      <c r="A41" s="574"/>
      <c r="B41" s="595"/>
      <c r="C41" s="327" t="s">
        <v>160</v>
      </c>
      <c r="D41" s="100" t="s">
        <v>161</v>
      </c>
      <c r="E41" s="100" t="s">
        <v>86</v>
      </c>
      <c r="F41" s="100" t="s">
        <v>146</v>
      </c>
      <c r="G41" s="101" t="s">
        <v>162</v>
      </c>
    </row>
    <row r="42" spans="1:7" ht="131.1" thickBot="1">
      <c r="A42" s="573" t="s">
        <v>63</v>
      </c>
      <c r="B42" s="431" t="s">
        <v>163</v>
      </c>
      <c r="C42" s="332" t="s">
        <v>88</v>
      </c>
      <c r="D42" s="432" t="s">
        <v>164</v>
      </c>
      <c r="E42" s="432" t="s">
        <v>86</v>
      </c>
      <c r="F42" s="432" t="s">
        <v>79</v>
      </c>
      <c r="G42" s="433" t="s">
        <v>165</v>
      </c>
    </row>
    <row r="43" spans="1:7" ht="15" customHeight="1">
      <c r="A43" s="574"/>
      <c r="B43" s="578" t="s">
        <v>166</v>
      </c>
      <c r="C43" s="306" t="s">
        <v>167</v>
      </c>
      <c r="D43" s="294" t="s">
        <v>168</v>
      </c>
      <c r="E43" s="294" t="s">
        <v>67</v>
      </c>
      <c r="F43" s="294" t="s">
        <v>79</v>
      </c>
      <c r="G43" s="277" t="s">
        <v>169</v>
      </c>
    </row>
    <row r="44" spans="1:7" ht="29.1">
      <c r="A44" s="574"/>
      <c r="B44" s="579"/>
      <c r="C44" s="307" t="s">
        <v>128</v>
      </c>
      <c r="D44" s="295" t="s">
        <v>170</v>
      </c>
      <c r="E44" s="295" t="s">
        <v>67</v>
      </c>
      <c r="F44" s="295" t="s">
        <v>79</v>
      </c>
      <c r="G44" s="278" t="s">
        <v>169</v>
      </c>
    </row>
    <row r="45" spans="1:7" ht="29.1">
      <c r="A45" s="574"/>
      <c r="B45" s="579"/>
      <c r="C45" s="307" t="s">
        <v>105</v>
      </c>
      <c r="D45" s="295" t="s">
        <v>171</v>
      </c>
      <c r="E45" s="295" t="s">
        <v>67</v>
      </c>
      <c r="F45" s="295" t="s">
        <v>79</v>
      </c>
      <c r="G45" s="278" t="s">
        <v>172</v>
      </c>
    </row>
    <row r="46" spans="1:7">
      <c r="A46" s="574"/>
      <c r="B46" s="579"/>
      <c r="C46" s="307" t="s">
        <v>173</v>
      </c>
      <c r="D46" s="295" t="s">
        <v>174</v>
      </c>
      <c r="E46" s="295" t="s">
        <v>67</v>
      </c>
      <c r="F46" s="295" t="s">
        <v>79</v>
      </c>
      <c r="G46" s="278" t="s">
        <v>169</v>
      </c>
    </row>
    <row r="47" spans="1:7" ht="15" thickBot="1">
      <c r="A47" s="574"/>
      <c r="B47" s="580"/>
      <c r="C47" s="308" t="s">
        <v>175</v>
      </c>
      <c r="D47" s="296" t="s">
        <v>176</v>
      </c>
      <c r="E47" s="295" t="s">
        <v>67</v>
      </c>
      <c r="F47" s="296" t="s">
        <v>79</v>
      </c>
      <c r="G47" s="279" t="s">
        <v>169</v>
      </c>
    </row>
    <row r="48" spans="1:7" ht="29.1">
      <c r="A48" s="574"/>
      <c r="B48" s="581" t="s">
        <v>177</v>
      </c>
      <c r="C48" s="303" t="s">
        <v>132</v>
      </c>
      <c r="D48" s="297" t="s">
        <v>178</v>
      </c>
      <c r="E48" s="297" t="s">
        <v>67</v>
      </c>
      <c r="F48" s="297" t="s">
        <v>130</v>
      </c>
      <c r="G48" s="611" t="s">
        <v>179</v>
      </c>
    </row>
    <row r="49" spans="1:7" ht="29.1">
      <c r="A49" s="574"/>
      <c r="B49" s="581"/>
      <c r="C49" s="304" t="s">
        <v>30</v>
      </c>
      <c r="D49" s="280" t="s">
        <v>180</v>
      </c>
      <c r="E49" s="280" t="s">
        <v>67</v>
      </c>
      <c r="F49" s="280" t="s">
        <v>130</v>
      </c>
      <c r="G49" s="612"/>
    </row>
    <row r="50" spans="1:7" ht="29.1">
      <c r="A50" s="574"/>
      <c r="B50" s="581"/>
      <c r="C50" s="304" t="s">
        <v>135</v>
      </c>
      <c r="D50" s="280" t="s">
        <v>181</v>
      </c>
      <c r="E50" s="280" t="s">
        <v>67</v>
      </c>
      <c r="F50" s="280" t="s">
        <v>130</v>
      </c>
      <c r="G50" s="612"/>
    </row>
    <row r="51" spans="1:7">
      <c r="A51" s="574"/>
      <c r="B51" s="581"/>
      <c r="C51" s="304" t="s">
        <v>36</v>
      </c>
      <c r="D51" s="280" t="s">
        <v>182</v>
      </c>
      <c r="E51" s="280" t="s">
        <v>67</v>
      </c>
      <c r="F51" s="280" t="s">
        <v>130</v>
      </c>
      <c r="G51" s="612"/>
    </row>
    <row r="52" spans="1:7">
      <c r="A52" s="574"/>
      <c r="B52" s="581"/>
      <c r="C52" s="304" t="s">
        <v>138</v>
      </c>
      <c r="D52" s="280" t="s">
        <v>183</v>
      </c>
      <c r="E52" s="280" t="s">
        <v>67</v>
      </c>
      <c r="F52" s="280" t="s">
        <v>130</v>
      </c>
      <c r="G52" s="612"/>
    </row>
    <row r="53" spans="1:7">
      <c r="A53" s="574"/>
      <c r="B53" s="581"/>
      <c r="C53" s="304" t="s">
        <v>184</v>
      </c>
      <c r="D53" s="280" t="s">
        <v>185</v>
      </c>
      <c r="E53" s="280" t="s">
        <v>67</v>
      </c>
      <c r="F53" s="280" t="s">
        <v>130</v>
      </c>
      <c r="G53" s="612"/>
    </row>
    <row r="54" spans="1:7">
      <c r="A54" s="574"/>
      <c r="B54" s="581"/>
      <c r="C54" s="304" t="s">
        <v>140</v>
      </c>
      <c r="D54" s="280" t="s">
        <v>186</v>
      </c>
      <c r="E54" s="280" t="s">
        <v>67</v>
      </c>
      <c r="F54" s="280" t="s">
        <v>130</v>
      </c>
      <c r="G54" s="612"/>
    </row>
    <row r="55" spans="1:7" ht="29.45" thickBot="1">
      <c r="A55" s="574"/>
      <c r="B55" s="582"/>
      <c r="C55" s="305" t="s">
        <v>187</v>
      </c>
      <c r="D55" s="298" t="s">
        <v>188</v>
      </c>
      <c r="E55" s="298" t="s">
        <v>67</v>
      </c>
      <c r="F55" s="298" t="s">
        <v>130</v>
      </c>
      <c r="G55" s="613"/>
    </row>
    <row r="56" spans="1:7" ht="29.1">
      <c r="A56" s="574"/>
      <c r="B56" s="583" t="s">
        <v>144</v>
      </c>
      <c r="C56" s="418" t="s">
        <v>132</v>
      </c>
      <c r="D56" s="419" t="s">
        <v>189</v>
      </c>
      <c r="E56" s="419" t="s">
        <v>67</v>
      </c>
      <c r="F56" s="419" t="s">
        <v>146</v>
      </c>
      <c r="G56" s="420" t="s">
        <v>169</v>
      </c>
    </row>
    <row r="57" spans="1:7">
      <c r="A57" s="574"/>
      <c r="B57" s="584"/>
      <c r="C57" s="301" t="s">
        <v>30</v>
      </c>
      <c r="D57" s="299" t="s">
        <v>190</v>
      </c>
      <c r="E57" s="299" t="s">
        <v>67</v>
      </c>
      <c r="F57" s="299" t="s">
        <v>146</v>
      </c>
      <c r="G57" s="276" t="s">
        <v>169</v>
      </c>
    </row>
    <row r="58" spans="1:7" ht="29.1">
      <c r="A58" s="574"/>
      <c r="B58" s="584"/>
      <c r="C58" s="301" t="s">
        <v>135</v>
      </c>
      <c r="D58" s="299" t="s">
        <v>191</v>
      </c>
      <c r="E58" s="299" t="s">
        <v>67</v>
      </c>
      <c r="F58" s="299" t="s">
        <v>146</v>
      </c>
      <c r="G58" s="276" t="s">
        <v>169</v>
      </c>
    </row>
    <row r="59" spans="1:7">
      <c r="A59" s="574"/>
      <c r="B59" s="584"/>
      <c r="C59" s="301" t="s">
        <v>36</v>
      </c>
      <c r="D59" s="299" t="s">
        <v>192</v>
      </c>
      <c r="E59" s="299" t="s">
        <v>67</v>
      </c>
      <c r="F59" s="299" t="s">
        <v>146</v>
      </c>
      <c r="G59" s="276" t="s">
        <v>169</v>
      </c>
    </row>
    <row r="60" spans="1:7">
      <c r="A60" s="574"/>
      <c r="B60" s="584"/>
      <c r="C60" s="301" t="s">
        <v>138</v>
      </c>
      <c r="D60" s="299" t="s">
        <v>193</v>
      </c>
      <c r="E60" s="299" t="s">
        <v>67</v>
      </c>
      <c r="F60" s="299" t="s">
        <v>146</v>
      </c>
      <c r="G60" s="276" t="s">
        <v>169</v>
      </c>
    </row>
    <row r="61" spans="1:7">
      <c r="A61" s="574"/>
      <c r="B61" s="584"/>
      <c r="C61" s="301" t="s">
        <v>184</v>
      </c>
      <c r="D61" s="299" t="s">
        <v>194</v>
      </c>
      <c r="E61" s="299" t="s">
        <v>67</v>
      </c>
      <c r="F61" s="299" t="s">
        <v>146</v>
      </c>
      <c r="G61" s="276" t="s">
        <v>169</v>
      </c>
    </row>
    <row r="62" spans="1:7">
      <c r="A62" s="574"/>
      <c r="B62" s="584"/>
      <c r="C62" s="301" t="s">
        <v>140</v>
      </c>
      <c r="D62" s="299" t="s">
        <v>195</v>
      </c>
      <c r="E62" s="299" t="s">
        <v>67</v>
      </c>
      <c r="F62" s="299" t="s">
        <v>146</v>
      </c>
      <c r="G62" s="276" t="s">
        <v>169</v>
      </c>
    </row>
    <row r="63" spans="1:7" ht="15" thickBot="1">
      <c r="A63" s="586"/>
      <c r="B63" s="585"/>
      <c r="C63" s="302" t="s">
        <v>187</v>
      </c>
      <c r="D63" s="300" t="s">
        <v>196</v>
      </c>
      <c r="E63" s="300" t="s">
        <v>67</v>
      </c>
      <c r="F63" s="300" t="s">
        <v>146</v>
      </c>
      <c r="G63" s="281" t="s">
        <v>169</v>
      </c>
    </row>
    <row r="64" spans="1:7" ht="116.1">
      <c r="A64" s="574" t="s">
        <v>65</v>
      </c>
      <c r="B64" s="575" t="s">
        <v>197</v>
      </c>
      <c r="C64" s="329" t="s">
        <v>77</v>
      </c>
      <c r="D64" s="283" t="s">
        <v>198</v>
      </c>
      <c r="E64" s="283" t="s">
        <v>60</v>
      </c>
      <c r="F64" s="283" t="s">
        <v>79</v>
      </c>
      <c r="G64" s="434" t="s">
        <v>199</v>
      </c>
    </row>
    <row r="65" spans="1:7" ht="57.95">
      <c r="A65" s="574"/>
      <c r="B65" s="576"/>
      <c r="C65" s="330" t="s">
        <v>81</v>
      </c>
      <c r="D65" s="284" t="s">
        <v>82</v>
      </c>
      <c r="E65" s="284" t="s">
        <v>60</v>
      </c>
      <c r="F65" s="284" t="s">
        <v>79</v>
      </c>
      <c r="G65" s="436" t="s">
        <v>200</v>
      </c>
    </row>
    <row r="66" spans="1:7">
      <c r="A66" s="574"/>
      <c r="B66" s="576"/>
      <c r="C66" s="330" t="s">
        <v>96</v>
      </c>
      <c r="D66" s="284" t="s">
        <v>97</v>
      </c>
      <c r="E66" s="284" t="s">
        <v>60</v>
      </c>
      <c r="F66" s="284" t="s">
        <v>79</v>
      </c>
      <c r="G66" s="285" t="s">
        <v>201</v>
      </c>
    </row>
    <row r="67" spans="1:7" ht="29.1">
      <c r="A67" s="574"/>
      <c r="B67" s="576"/>
      <c r="C67" s="330" t="s">
        <v>202</v>
      </c>
      <c r="D67" s="284" t="s">
        <v>203</v>
      </c>
      <c r="E67" s="284" t="s">
        <v>60</v>
      </c>
      <c r="F67" s="284" t="s">
        <v>79</v>
      </c>
      <c r="G67" s="285" t="s">
        <v>204</v>
      </c>
    </row>
    <row r="68" spans="1:7">
      <c r="A68" s="574"/>
      <c r="B68" s="576"/>
      <c r="C68" s="330" t="s">
        <v>1</v>
      </c>
      <c r="D68" s="284" t="s">
        <v>205</v>
      </c>
      <c r="E68" s="284" t="s">
        <v>60</v>
      </c>
      <c r="F68" s="284" t="s">
        <v>79</v>
      </c>
      <c r="G68" s="285" t="s">
        <v>206</v>
      </c>
    </row>
    <row r="69" spans="1:7" ht="15" thickBot="1">
      <c r="A69" s="574"/>
      <c r="B69" s="577"/>
      <c r="C69" s="331" t="s">
        <v>207</v>
      </c>
      <c r="D69" s="286" t="s">
        <v>208</v>
      </c>
      <c r="E69" s="286" t="s">
        <v>60</v>
      </c>
      <c r="F69" s="286" t="s">
        <v>79</v>
      </c>
      <c r="G69" s="287"/>
    </row>
    <row r="70" spans="1:7" ht="130.5">
      <c r="A70" s="573" t="s">
        <v>68</v>
      </c>
      <c r="B70" s="570" t="s">
        <v>76</v>
      </c>
      <c r="C70" s="340" t="s">
        <v>77</v>
      </c>
      <c r="D70" s="282" t="s">
        <v>209</v>
      </c>
      <c r="E70" s="282" t="s">
        <v>60</v>
      </c>
      <c r="F70" s="282" t="s">
        <v>79</v>
      </c>
      <c r="G70" s="435" t="s">
        <v>210</v>
      </c>
    </row>
    <row r="71" spans="1:7">
      <c r="A71" s="574"/>
      <c r="B71" s="571"/>
      <c r="C71" s="121" t="s">
        <v>81</v>
      </c>
      <c r="D71" s="82" t="s">
        <v>82</v>
      </c>
      <c r="E71" s="82" t="s">
        <v>60</v>
      </c>
      <c r="F71" s="82" t="s">
        <v>79</v>
      </c>
      <c r="G71" s="95" t="s">
        <v>169</v>
      </c>
    </row>
    <row r="72" spans="1:7">
      <c r="A72" s="574"/>
      <c r="B72" s="571"/>
      <c r="C72" s="121" t="s">
        <v>96</v>
      </c>
      <c r="D72" s="82" t="s">
        <v>97</v>
      </c>
      <c r="E72" s="82" t="s">
        <v>60</v>
      </c>
      <c r="F72" s="82" t="s">
        <v>79</v>
      </c>
      <c r="G72" s="95" t="s">
        <v>211</v>
      </c>
    </row>
    <row r="73" spans="1:7">
      <c r="A73" s="574"/>
      <c r="B73" s="571"/>
      <c r="C73" s="121" t="s">
        <v>212</v>
      </c>
      <c r="D73" s="82" t="s">
        <v>213</v>
      </c>
      <c r="E73" s="82" t="s">
        <v>86</v>
      </c>
      <c r="F73" s="82" t="s">
        <v>79</v>
      </c>
      <c r="G73" s="95" t="s">
        <v>169</v>
      </c>
    </row>
    <row r="74" spans="1:7" ht="60" customHeight="1">
      <c r="A74" s="574"/>
      <c r="B74" s="571"/>
      <c r="C74" s="121" t="s">
        <v>88</v>
      </c>
      <c r="D74" s="82" t="s">
        <v>214</v>
      </c>
      <c r="E74" s="82" t="s">
        <v>86</v>
      </c>
      <c r="F74" s="82" t="s">
        <v>79</v>
      </c>
      <c r="G74" s="95" t="s">
        <v>169</v>
      </c>
    </row>
    <row r="75" spans="1:7">
      <c r="A75" s="574"/>
      <c r="B75" s="571"/>
      <c r="C75" s="121" t="s">
        <v>1</v>
      </c>
      <c r="D75" s="82" t="s">
        <v>205</v>
      </c>
      <c r="E75" s="82" t="s">
        <v>86</v>
      </c>
      <c r="F75" s="82" t="s">
        <v>79</v>
      </c>
      <c r="G75" s="95" t="s">
        <v>169</v>
      </c>
    </row>
    <row r="76" spans="1:7" ht="87">
      <c r="A76" s="574"/>
      <c r="B76" s="571"/>
      <c r="C76" s="121" t="s">
        <v>215</v>
      </c>
      <c r="D76" s="82" t="s">
        <v>216</v>
      </c>
      <c r="E76" s="82" t="s">
        <v>60</v>
      </c>
      <c r="F76" s="82" t="s">
        <v>79</v>
      </c>
      <c r="G76" s="320" t="s">
        <v>217</v>
      </c>
    </row>
    <row r="77" spans="1:7" ht="87">
      <c r="A77" s="574"/>
      <c r="B77" s="571"/>
      <c r="C77" s="121" t="s">
        <v>218</v>
      </c>
      <c r="D77" s="82" t="s">
        <v>219</v>
      </c>
      <c r="E77" s="82" t="s">
        <v>60</v>
      </c>
      <c r="F77" s="82" t="s">
        <v>79</v>
      </c>
      <c r="G77" s="320" t="s">
        <v>220</v>
      </c>
    </row>
    <row r="78" spans="1:7" ht="29.1">
      <c r="A78" s="574"/>
      <c r="B78" s="571"/>
      <c r="C78" s="121" t="s">
        <v>105</v>
      </c>
      <c r="D78" s="82" t="s">
        <v>171</v>
      </c>
      <c r="E78" s="82" t="s">
        <v>86</v>
      </c>
      <c r="F78" s="82" t="s">
        <v>79</v>
      </c>
      <c r="G78" s="95" t="s">
        <v>172</v>
      </c>
    </row>
    <row r="79" spans="1:7" ht="29.45" thickBot="1">
      <c r="A79" s="574"/>
      <c r="B79" s="572"/>
      <c r="C79" s="122" t="s">
        <v>221</v>
      </c>
      <c r="D79" s="96" t="s">
        <v>222</v>
      </c>
      <c r="E79" s="96" t="s">
        <v>60</v>
      </c>
      <c r="F79" s="96" t="s">
        <v>79</v>
      </c>
      <c r="G79" s="97" t="s">
        <v>223</v>
      </c>
    </row>
    <row r="80" spans="1:7" ht="29.1">
      <c r="A80" s="574"/>
      <c r="B80" s="614" t="s">
        <v>113</v>
      </c>
      <c r="C80" s="123" t="s">
        <v>114</v>
      </c>
      <c r="D80" s="105" t="s">
        <v>224</v>
      </c>
      <c r="E80" s="105" t="s">
        <v>60</v>
      </c>
      <c r="F80" s="105" t="s">
        <v>225</v>
      </c>
      <c r="G80" s="106" t="s">
        <v>223</v>
      </c>
    </row>
    <row r="81" spans="1:7" ht="29.45" thickBot="1">
      <c r="A81" s="574"/>
      <c r="B81" s="615"/>
      <c r="C81" s="124" t="s">
        <v>121</v>
      </c>
      <c r="D81" s="107" t="s">
        <v>226</v>
      </c>
      <c r="E81" s="107" t="s">
        <v>60</v>
      </c>
      <c r="F81" s="107" t="s">
        <v>225</v>
      </c>
      <c r="G81" s="108" t="s">
        <v>223</v>
      </c>
    </row>
    <row r="82" spans="1:7" ht="29.1">
      <c r="A82" s="574"/>
      <c r="B82" s="616" t="s">
        <v>124</v>
      </c>
      <c r="C82" s="125" t="s">
        <v>227</v>
      </c>
      <c r="D82" s="102" t="s">
        <v>228</v>
      </c>
      <c r="E82" s="102" t="s">
        <v>60</v>
      </c>
      <c r="F82" s="102" t="s">
        <v>79</v>
      </c>
      <c r="G82" s="103" t="s">
        <v>223</v>
      </c>
    </row>
    <row r="83" spans="1:7" ht="29.1">
      <c r="A83" s="574"/>
      <c r="B83" s="617"/>
      <c r="C83" s="127" t="s">
        <v>229</v>
      </c>
      <c r="D83" s="109" t="s">
        <v>230</v>
      </c>
      <c r="E83" s="109" t="s">
        <v>60</v>
      </c>
      <c r="F83" s="109" t="s">
        <v>225</v>
      </c>
      <c r="G83" s="114" t="s">
        <v>223</v>
      </c>
    </row>
    <row r="84" spans="1:7" ht="29.45" thickBot="1">
      <c r="A84" s="574"/>
      <c r="B84" s="618"/>
      <c r="C84" s="128" t="s">
        <v>187</v>
      </c>
      <c r="D84" s="119" t="s">
        <v>231</v>
      </c>
      <c r="E84" s="119" t="s">
        <v>60</v>
      </c>
      <c r="F84" s="119" t="s">
        <v>225</v>
      </c>
      <c r="G84" s="120" t="s">
        <v>223</v>
      </c>
    </row>
    <row r="85" spans="1:7" ht="29.1">
      <c r="A85" s="574"/>
      <c r="B85" s="619" t="s">
        <v>144</v>
      </c>
      <c r="C85" s="126" t="s">
        <v>232</v>
      </c>
      <c r="D85" s="111" t="s">
        <v>233</v>
      </c>
      <c r="E85" s="111" t="s">
        <v>60</v>
      </c>
      <c r="F85" s="111" t="s">
        <v>225</v>
      </c>
      <c r="G85" s="112" t="s">
        <v>223</v>
      </c>
    </row>
    <row r="86" spans="1:7" ht="29.1">
      <c r="A86" s="574"/>
      <c r="B86" s="620"/>
      <c r="C86" s="98" t="s">
        <v>229</v>
      </c>
      <c r="D86" s="83" t="s">
        <v>234</v>
      </c>
      <c r="E86" s="83" t="s">
        <v>60</v>
      </c>
      <c r="F86" s="83" t="s">
        <v>225</v>
      </c>
      <c r="G86" s="99" t="s">
        <v>223</v>
      </c>
    </row>
    <row r="87" spans="1:7" ht="29.1">
      <c r="A87" s="574"/>
      <c r="B87" s="620"/>
      <c r="C87" s="98" t="s">
        <v>184</v>
      </c>
      <c r="D87" s="83" t="s">
        <v>235</v>
      </c>
      <c r="E87" s="83" t="s">
        <v>60</v>
      </c>
      <c r="F87" s="83" t="s">
        <v>225</v>
      </c>
      <c r="G87" s="99" t="s">
        <v>223</v>
      </c>
    </row>
    <row r="88" spans="1:7" ht="29.1">
      <c r="A88" s="574"/>
      <c r="B88" s="620"/>
      <c r="C88" s="98" t="s">
        <v>140</v>
      </c>
      <c r="D88" s="83" t="s">
        <v>236</v>
      </c>
      <c r="E88" s="83" t="s">
        <v>60</v>
      </c>
      <c r="F88" s="83" t="s">
        <v>225</v>
      </c>
      <c r="G88" s="99" t="s">
        <v>223</v>
      </c>
    </row>
    <row r="89" spans="1:7" ht="45" customHeight="1">
      <c r="A89" s="574"/>
      <c r="B89" s="620"/>
      <c r="C89" s="98" t="s">
        <v>187</v>
      </c>
      <c r="D89" s="83" t="s">
        <v>237</v>
      </c>
      <c r="E89" s="83" t="s">
        <v>60</v>
      </c>
      <c r="F89" s="83" t="s">
        <v>225</v>
      </c>
      <c r="G89" s="99" t="s">
        <v>223</v>
      </c>
    </row>
    <row r="90" spans="1:7" ht="29.45" thickBot="1">
      <c r="A90" s="586"/>
      <c r="B90" s="621"/>
      <c r="C90" s="327"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2" workbookViewId="0" xr3:uid="{5945094E-5B0A-5C92-AD52-36A0BCBA7BC1}">
      <selection activeCell="B27" sqref="B27"/>
    </sheetView>
  </sheetViews>
  <sheetFormatPr defaultRowHeight="14.4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622" t="s">
        <v>240</v>
      </c>
      <c r="B2" s="622"/>
      <c r="C2" s="622"/>
      <c r="D2" s="622"/>
      <c r="E2" s="622"/>
      <c r="F2" s="89"/>
      <c r="G2" s="89"/>
      <c r="H2" s="89"/>
      <c r="I2" s="89"/>
      <c r="J2" s="89"/>
      <c r="K2" s="89"/>
      <c r="L2" s="89"/>
      <c r="M2" s="89"/>
      <c r="N2" s="89"/>
      <c r="O2" s="89"/>
      <c r="P2" s="89"/>
      <c r="Q2" s="89"/>
      <c r="R2" s="89"/>
    </row>
    <row r="3" spans="1:19" ht="43.5">
      <c r="A3" s="535" t="s">
        <v>241</v>
      </c>
      <c r="B3" s="535" t="s">
        <v>242</v>
      </c>
      <c r="C3" s="535" t="s">
        <v>243</v>
      </c>
      <c r="D3" s="535" t="s">
        <v>244</v>
      </c>
      <c r="E3" s="535" t="s">
        <v>245</v>
      </c>
    </row>
    <row r="4" spans="1:19">
      <c r="A4" s="536" t="s">
        <v>246</v>
      </c>
      <c r="B4" s="536" t="s">
        <v>247</v>
      </c>
      <c r="C4" s="536" t="s">
        <v>248</v>
      </c>
      <c r="D4" s="536" t="s">
        <v>249</v>
      </c>
      <c r="E4" s="536" t="s">
        <v>248</v>
      </c>
    </row>
    <row r="5" spans="1:19">
      <c r="A5" s="536" t="s">
        <v>250</v>
      </c>
      <c r="B5" s="536" t="s">
        <v>251</v>
      </c>
      <c r="C5" s="536" t="s">
        <v>252</v>
      </c>
      <c r="D5" s="536" t="s">
        <v>249</v>
      </c>
      <c r="E5" s="536" t="s">
        <v>248</v>
      </c>
    </row>
    <row r="6" spans="1:19">
      <c r="A6" s="81"/>
    </row>
    <row r="7" spans="1:19" ht="59.25" customHeight="1">
      <c r="A7" s="622" t="s">
        <v>253</v>
      </c>
      <c r="B7" s="623"/>
      <c r="C7" s="623"/>
      <c r="D7" s="623"/>
      <c r="E7" s="623"/>
      <c r="F7" s="623"/>
      <c r="G7" s="623"/>
      <c r="H7" s="623"/>
      <c r="I7" s="623"/>
      <c r="J7" s="623"/>
      <c r="K7" s="623"/>
      <c r="L7" s="623"/>
      <c r="M7" s="89"/>
      <c r="N7" s="89"/>
      <c r="O7" s="89"/>
      <c r="P7" s="89"/>
      <c r="Q7" s="89"/>
      <c r="R7" s="89"/>
      <c r="S7" s="89"/>
    </row>
    <row r="8" spans="1:19">
      <c r="A8" s="537" t="s">
        <v>254</v>
      </c>
      <c r="B8" s="538"/>
      <c r="C8" s="538"/>
      <c r="D8" s="538"/>
      <c r="E8" s="538"/>
      <c r="F8" s="538"/>
      <c r="G8" s="538"/>
      <c r="H8" s="538"/>
      <c r="I8" s="538"/>
      <c r="J8" s="538"/>
      <c r="K8" s="538"/>
      <c r="L8" s="538"/>
      <c r="M8" s="89"/>
      <c r="N8" s="89"/>
      <c r="O8" s="89"/>
      <c r="P8" s="89"/>
      <c r="Q8" s="89"/>
      <c r="R8" s="89"/>
      <c r="S8" s="89"/>
    </row>
    <row r="9" spans="1:19">
      <c r="A9" s="539" t="s">
        <v>77</v>
      </c>
      <c r="B9" s="540" t="s">
        <v>81</v>
      </c>
      <c r="C9" s="540" t="s">
        <v>84</v>
      </c>
      <c r="D9" s="541" t="s">
        <v>88</v>
      </c>
      <c r="E9" s="540" t="s">
        <v>91</v>
      </c>
      <c r="F9" s="540" t="s">
        <v>94</v>
      </c>
      <c r="G9" s="540" t="s">
        <v>96</v>
      </c>
      <c r="H9" s="540" t="s">
        <v>99</v>
      </c>
      <c r="I9" s="540" t="s">
        <v>102</v>
      </c>
      <c r="J9" s="542" t="s">
        <v>105</v>
      </c>
      <c r="K9" s="542" t="s">
        <v>108</v>
      </c>
      <c r="L9" s="543" t="s">
        <v>1</v>
      </c>
    </row>
    <row r="10" spans="1:19">
      <c r="A10" s="544" t="s">
        <v>255</v>
      </c>
      <c r="B10" s="545" t="s">
        <v>256</v>
      </c>
      <c r="C10" s="545"/>
      <c r="D10" s="546" t="s">
        <v>257</v>
      </c>
      <c r="E10" s="547"/>
      <c r="F10" s="545" t="s">
        <v>258</v>
      </c>
      <c r="G10" s="546" t="s">
        <v>259</v>
      </c>
      <c r="H10" s="545" t="s">
        <v>260</v>
      </c>
      <c r="I10" s="545"/>
      <c r="J10" s="546">
        <v>1</v>
      </c>
      <c r="K10" s="546">
        <v>1</v>
      </c>
      <c r="L10" s="546" t="s">
        <v>261</v>
      </c>
    </row>
    <row r="11" spans="1:19">
      <c r="A11" s="544" t="s">
        <v>262</v>
      </c>
      <c r="B11" s="545" t="s">
        <v>263</v>
      </c>
      <c r="C11" s="545"/>
      <c r="D11" s="546" t="s">
        <v>264</v>
      </c>
      <c r="E11" s="547"/>
      <c r="F11" s="545" t="s">
        <v>265</v>
      </c>
      <c r="G11" s="546" t="s">
        <v>259</v>
      </c>
      <c r="H11" s="545" t="s">
        <v>266</v>
      </c>
      <c r="I11" s="545"/>
      <c r="J11" s="546">
        <v>1</v>
      </c>
      <c r="K11" s="546">
        <v>1</v>
      </c>
      <c r="L11" s="546" t="s">
        <v>267</v>
      </c>
    </row>
    <row r="12" spans="1:19" ht="29.1">
      <c r="A12" s="544" t="s">
        <v>268</v>
      </c>
      <c r="B12" s="544" t="s">
        <v>269</v>
      </c>
      <c r="C12" s="545"/>
      <c r="D12" s="546" t="s">
        <v>247</v>
      </c>
      <c r="E12" s="547"/>
      <c r="F12" s="545" t="s">
        <v>270</v>
      </c>
      <c r="G12" s="546" t="e">
        <v>#N/A</v>
      </c>
      <c r="H12" s="545" t="s">
        <v>249</v>
      </c>
      <c r="I12" s="545"/>
      <c r="J12" s="546">
        <v>1</v>
      </c>
      <c r="K12" s="546">
        <v>1</v>
      </c>
      <c r="L12" s="546" t="s">
        <v>261</v>
      </c>
    </row>
    <row r="13" spans="1:19">
      <c r="A13" s="548" t="s">
        <v>271</v>
      </c>
    </row>
    <row r="14" spans="1:19">
      <c r="A14" s="539" t="s">
        <v>77</v>
      </c>
      <c r="B14" s="540" t="s">
        <v>81</v>
      </c>
      <c r="C14" s="540" t="s">
        <v>84</v>
      </c>
      <c r="D14" s="541" t="s">
        <v>88</v>
      </c>
      <c r="E14" s="540" t="s">
        <v>91</v>
      </c>
      <c r="F14" s="540" t="s">
        <v>94</v>
      </c>
      <c r="G14" s="540" t="s">
        <v>96</v>
      </c>
      <c r="H14" s="540" t="s">
        <v>99</v>
      </c>
      <c r="I14" s="540" t="s">
        <v>102</v>
      </c>
      <c r="J14" s="542" t="s">
        <v>105</v>
      </c>
      <c r="K14" s="542" t="s">
        <v>108</v>
      </c>
      <c r="L14" s="549" t="s">
        <v>1</v>
      </c>
      <c r="M14" s="542" t="s">
        <v>114</v>
      </c>
      <c r="N14" s="542" t="s">
        <v>118</v>
      </c>
      <c r="O14" s="542" t="s">
        <v>121</v>
      </c>
      <c r="P14" s="542" t="s">
        <v>125</v>
      </c>
      <c r="Q14" s="542" t="s">
        <v>128</v>
      </c>
      <c r="R14" s="542" t="s">
        <v>132</v>
      </c>
      <c r="S14" s="542" t="s">
        <v>157</v>
      </c>
    </row>
    <row r="15" spans="1:19">
      <c r="A15" s="544" t="s">
        <v>272</v>
      </c>
      <c r="B15" s="545" t="s">
        <v>273</v>
      </c>
      <c r="C15" s="545"/>
      <c r="D15" s="546" t="s">
        <v>252</v>
      </c>
      <c r="E15" s="545"/>
      <c r="F15" s="545" t="s">
        <v>274</v>
      </c>
      <c r="G15" s="546" t="s">
        <v>259</v>
      </c>
      <c r="H15" s="545" t="s">
        <v>275</v>
      </c>
      <c r="I15" s="545"/>
      <c r="J15" s="546">
        <v>1</v>
      </c>
      <c r="K15" s="546">
        <v>1</v>
      </c>
      <c r="L15" s="546" t="s">
        <v>276</v>
      </c>
      <c r="M15" s="550">
        <v>0</v>
      </c>
      <c r="N15" s="546"/>
      <c r="O15" s="550">
        <v>0</v>
      </c>
      <c r="P15" s="545" t="s">
        <v>48</v>
      </c>
      <c r="Q15" s="546">
        <v>1</v>
      </c>
      <c r="R15" s="546">
        <v>0</v>
      </c>
      <c r="S15" s="545" t="s">
        <v>277</v>
      </c>
    </row>
    <row r="16" spans="1:19">
      <c r="A16" s="544" t="s">
        <v>250</v>
      </c>
      <c r="B16" s="545" t="s">
        <v>278</v>
      </c>
      <c r="C16" s="545"/>
      <c r="D16" s="551" t="s">
        <v>247</v>
      </c>
      <c r="E16" s="545"/>
      <c r="F16" s="545" t="s">
        <v>279</v>
      </c>
      <c r="G16" s="546" t="s">
        <v>280</v>
      </c>
      <c r="H16" s="552" t="s">
        <v>249</v>
      </c>
      <c r="I16" s="545"/>
      <c r="J16" s="546">
        <v>1</v>
      </c>
      <c r="K16" s="546">
        <v>1</v>
      </c>
      <c r="L16" s="546" t="s">
        <v>261</v>
      </c>
      <c r="M16" s="550">
        <v>0</v>
      </c>
      <c r="N16" s="546"/>
      <c r="O16" s="550">
        <v>0</v>
      </c>
      <c r="P16" s="545" t="s">
        <v>48</v>
      </c>
      <c r="Q16" s="546">
        <v>1</v>
      </c>
      <c r="R16" s="546">
        <v>0</v>
      </c>
      <c r="S16" s="545" t="s">
        <v>277</v>
      </c>
    </row>
    <row r="17" spans="1:19">
      <c r="A17" s="544" t="s">
        <v>281</v>
      </c>
      <c r="B17" s="545" t="s">
        <v>282</v>
      </c>
      <c r="C17" s="545"/>
      <c r="D17" s="546" t="s">
        <v>252</v>
      </c>
      <c r="E17" s="545"/>
      <c r="F17" s="545" t="s">
        <v>283</v>
      </c>
      <c r="G17" s="546" t="s">
        <v>284</v>
      </c>
      <c r="H17" s="545" t="s">
        <v>285</v>
      </c>
      <c r="I17" s="545"/>
      <c r="J17" s="546">
        <v>1</v>
      </c>
      <c r="K17" s="546">
        <v>1</v>
      </c>
      <c r="L17" s="546" t="s">
        <v>276</v>
      </c>
      <c r="M17" s="550">
        <v>0</v>
      </c>
      <c r="N17" s="546"/>
      <c r="O17" s="550">
        <v>0</v>
      </c>
      <c r="P17" s="545" t="s">
        <v>48</v>
      </c>
      <c r="Q17" s="546">
        <v>1</v>
      </c>
      <c r="R17" s="546">
        <v>0</v>
      </c>
      <c r="S17" s="545" t="s">
        <v>286</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xr3:uid="{EAA6BE0F-A623-5FC0-AFD2-9CA7079ED315}">
      <pane xSplit="1" ySplit="1" topLeftCell="B9" activePane="bottomRight" state="frozen"/>
      <selection pane="bottomRight" activeCell="B14" sqref="B14"/>
      <selection pane="bottomLeft" activeCell="A2" sqref="A2"/>
      <selection pane="topRight" activeCell="B1" sqref="B1"/>
    </sheetView>
  </sheetViews>
  <sheetFormatPr defaultColWidth="9.140625" defaultRowHeight="14.45"/>
  <cols>
    <col min="1" max="1" width="9.7109375" style="169" bestFit="1" customWidth="1"/>
    <col min="2" max="2" width="123" style="81" bestFit="1" customWidth="1"/>
    <col min="3" max="3" width="7.140625" style="81" bestFit="1" customWidth="1"/>
    <col min="4" max="16384" width="9.140625" style="81"/>
  </cols>
  <sheetData>
    <row r="1" spans="1:3">
      <c r="A1" s="553" t="s">
        <v>0</v>
      </c>
      <c r="B1" s="554" t="s">
        <v>287</v>
      </c>
      <c r="C1" s="554" t="s">
        <v>288</v>
      </c>
    </row>
    <row r="2" spans="1:3">
      <c r="A2" s="555">
        <v>43807</v>
      </c>
      <c r="B2" s="556" t="s">
        <v>289</v>
      </c>
      <c r="C2" s="556" t="s">
        <v>11</v>
      </c>
    </row>
    <row r="3" spans="1:3" ht="29.1">
      <c r="A3" s="555">
        <v>43937</v>
      </c>
      <c r="B3" s="80" t="s">
        <v>290</v>
      </c>
      <c r="C3" s="556" t="s">
        <v>11</v>
      </c>
    </row>
    <row r="4" spans="1:3">
      <c r="A4" s="555">
        <v>43941</v>
      </c>
      <c r="B4" s="556" t="s">
        <v>291</v>
      </c>
      <c r="C4" s="556" t="s">
        <v>11</v>
      </c>
    </row>
    <row r="5" spans="1:3">
      <c r="A5" s="555">
        <v>43942</v>
      </c>
      <c r="B5" s="556" t="s">
        <v>292</v>
      </c>
      <c r="C5" s="556" t="s">
        <v>11</v>
      </c>
    </row>
    <row r="6" spans="1:3">
      <c r="A6" s="555">
        <v>43963</v>
      </c>
      <c r="B6" s="556" t="s">
        <v>293</v>
      </c>
      <c r="C6" s="556" t="s">
        <v>11</v>
      </c>
    </row>
    <row r="7" spans="1:3">
      <c r="A7" s="555">
        <v>43990</v>
      </c>
      <c r="B7" s="556" t="s">
        <v>294</v>
      </c>
      <c r="C7" s="556" t="s">
        <v>11</v>
      </c>
    </row>
    <row r="8" spans="1:3" ht="29.1">
      <c r="A8" s="555">
        <v>44104</v>
      </c>
      <c r="B8" s="80" t="s">
        <v>295</v>
      </c>
      <c r="C8" s="556" t="s">
        <v>296</v>
      </c>
    </row>
    <row r="9" spans="1:3" ht="144.94999999999999">
      <c r="A9" s="555">
        <v>44128</v>
      </c>
      <c r="B9" s="80" t="s">
        <v>297</v>
      </c>
      <c r="C9" s="556" t="s">
        <v>296</v>
      </c>
    </row>
    <row r="10" spans="1:3">
      <c r="A10" s="555">
        <v>44361</v>
      </c>
      <c r="B10" s="556" t="s">
        <v>298</v>
      </c>
      <c r="C10" s="556" t="s">
        <v>299</v>
      </c>
    </row>
    <row r="11" spans="1:3">
      <c r="A11" s="555">
        <v>44813</v>
      </c>
      <c r="B11" s="556" t="s">
        <v>300</v>
      </c>
      <c r="C11" s="556"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80"/>
  <sheetViews>
    <sheetView tabSelected="1" workbookViewId="0" xr3:uid="{842E5F09-E766-5B8D-85AF-A39847EA96FD}">
      <pane xSplit="2" ySplit="5" topLeftCell="L23" activePane="bottomRight" state="frozen"/>
      <selection pane="bottomRight" activeCell="T59" sqref="T59"/>
      <selection pane="bottomLeft" activeCell="A4" sqref="A4"/>
      <selection pane="topRight" activeCell="C1" sqref="C1"/>
    </sheetView>
  </sheetViews>
  <sheetFormatPr defaultColWidth="9.140625" defaultRowHeight="14.45"/>
  <cols>
    <col min="1" max="1" width="16.85546875" style="172" bestFit="1" customWidth="1"/>
    <col min="2" max="2" width="80.7109375" style="170" customWidth="1"/>
    <col min="3" max="3" width="9.28515625" style="170" bestFit="1" customWidth="1"/>
    <col min="4" max="4" width="14.140625" style="173" bestFit="1" customWidth="1"/>
    <col min="5" max="5" width="25.7109375" style="170" customWidth="1"/>
    <col min="6" max="6" width="50.7109375" style="170" customWidth="1"/>
    <col min="7" max="7" width="9.85546875" style="170" bestFit="1" customWidth="1"/>
    <col min="8" max="8" width="20.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34" ht="18.95" thickBot="1">
      <c r="A1" s="630" t="s">
        <v>301</v>
      </c>
      <c r="B1" s="631"/>
      <c r="C1" s="631"/>
      <c r="D1" s="631"/>
      <c r="E1" s="631"/>
      <c r="F1" s="631"/>
      <c r="G1" s="631"/>
      <c r="H1" s="631"/>
      <c r="I1" s="631"/>
      <c r="J1" s="631"/>
      <c r="K1" s="631"/>
      <c r="L1" s="631"/>
      <c r="M1" s="631"/>
      <c r="N1" s="631"/>
      <c r="O1" s="631"/>
      <c r="P1" s="631"/>
      <c r="Q1" s="631"/>
      <c r="R1" s="631"/>
      <c r="S1" s="631"/>
      <c r="T1" s="631"/>
      <c r="U1" s="631"/>
      <c r="V1" s="631"/>
      <c r="W1" s="631"/>
      <c r="X1" s="631"/>
      <c r="Y1" s="631"/>
      <c r="Z1" s="631"/>
      <c r="AA1" s="631"/>
      <c r="AB1" s="631"/>
      <c r="AC1" s="631"/>
      <c r="AD1" s="631"/>
      <c r="AE1" s="631"/>
      <c r="AF1" s="631"/>
      <c r="AG1" s="631"/>
      <c r="AH1" s="632"/>
    </row>
    <row r="2" spans="1:34" ht="18.95" thickBot="1">
      <c r="A2" s="633" t="s">
        <v>302</v>
      </c>
      <c r="B2" s="634"/>
      <c r="C2" s="634"/>
      <c r="D2" s="634"/>
      <c r="E2" s="634"/>
      <c r="F2" s="634"/>
      <c r="G2" s="634"/>
      <c r="H2" s="634"/>
      <c r="I2" s="634"/>
      <c r="J2" s="635"/>
      <c r="K2" s="397">
        <f>SUM(K6:K74)</f>
        <v>2272</v>
      </c>
      <c r="L2" s="397">
        <f>SUM(L6:L74)</f>
        <v>66</v>
      </c>
      <c r="M2" s="398"/>
      <c r="N2" s="466">
        <f>SUMPRODUCT(K6:K74,N6:N74)/K77</f>
        <v>1</v>
      </c>
      <c r="O2" s="467">
        <f>SUM(O6:O74)</f>
        <v>61.15</v>
      </c>
      <c r="P2" s="468">
        <f>SUMPRODUCT(K6:K74,P6:P74)/K77</f>
        <v>0.94524647887323943</v>
      </c>
      <c r="Q2" s="399"/>
      <c r="R2" s="400">
        <f>SUM(R6:R74)</f>
        <v>58</v>
      </c>
      <c r="S2" s="469">
        <f>SUM(S6:S74)</f>
        <v>52</v>
      </c>
      <c r="T2" s="469">
        <f>SUM(T6:T74)</f>
        <v>52</v>
      </c>
      <c r="U2" s="469">
        <f>SUM(U6:U74)</f>
        <v>0</v>
      </c>
      <c r="V2" s="469">
        <f>SUM(V6:V74)</f>
        <v>0</v>
      </c>
      <c r="W2" s="469">
        <f>SUM(W6:W74)</f>
        <v>0</v>
      </c>
      <c r="X2" s="470">
        <f>IF((S77=0),0,((T77+U77)/S77*100%))</f>
        <v>1</v>
      </c>
      <c r="Y2" s="401"/>
      <c r="Z2" s="486">
        <f>SUM(Z6:Z74)</f>
        <v>0</v>
      </c>
      <c r="AA2" s="487">
        <f>SUM(AA6:AA74)</f>
        <v>0</v>
      </c>
      <c r="AB2" s="487">
        <f>SUM(AB6:AB74)</f>
        <v>0</v>
      </c>
      <c r="AC2" s="487">
        <f>SUM(AC6:AC74)</f>
        <v>0</v>
      </c>
      <c r="AD2" s="487">
        <f>SUM(AD6:AD74)</f>
        <v>0</v>
      </c>
      <c r="AE2" s="473">
        <f>IF((Z77=0),0,((AA77+AB77)/Z77*100%))</f>
        <v>0</v>
      </c>
      <c r="AF2" s="402"/>
      <c r="AG2" s="402"/>
      <c r="AH2" s="403"/>
    </row>
    <row r="3" spans="1:34" ht="19.5" customHeight="1" thickBot="1">
      <c r="A3" s="630" t="s">
        <v>303</v>
      </c>
      <c r="B3" s="631"/>
      <c r="C3" s="631"/>
      <c r="D3" s="631"/>
      <c r="E3" s="631"/>
      <c r="F3" s="631"/>
      <c r="G3" s="631"/>
      <c r="H3" s="631"/>
      <c r="I3" s="631"/>
      <c r="J3" s="631"/>
      <c r="K3" s="631"/>
      <c r="L3" s="631"/>
      <c r="M3" s="631"/>
      <c r="N3" s="631"/>
      <c r="O3" s="631"/>
      <c r="P3" s="631"/>
      <c r="Q3" s="631"/>
      <c r="R3" s="631"/>
      <c r="S3" s="631"/>
      <c r="T3" s="631"/>
      <c r="U3" s="631"/>
      <c r="V3" s="631"/>
      <c r="W3" s="631"/>
      <c r="X3" s="631"/>
      <c r="Y3" s="631"/>
      <c r="Z3" s="631"/>
      <c r="AA3" s="631"/>
      <c r="AB3" s="631"/>
      <c r="AC3" s="631"/>
      <c r="AD3" s="631"/>
      <c r="AE3" s="631"/>
      <c r="AF3" s="631"/>
      <c r="AG3" s="631"/>
      <c r="AH3" s="632"/>
    </row>
    <row r="4" spans="1:34" ht="31.5" customHeight="1" thickBot="1">
      <c r="A4" s="636" t="s">
        <v>76</v>
      </c>
      <c r="B4" s="637"/>
      <c r="C4" s="637"/>
      <c r="D4" s="637"/>
      <c r="E4" s="637"/>
      <c r="F4" s="637"/>
      <c r="G4" s="637"/>
      <c r="H4" s="637"/>
      <c r="I4" s="637"/>
      <c r="J4" s="637"/>
      <c r="K4" s="637"/>
      <c r="L4" s="637"/>
      <c r="M4" s="638"/>
      <c r="N4" s="639" t="s">
        <v>304</v>
      </c>
      <c r="O4" s="640"/>
      <c r="P4" s="641"/>
      <c r="Q4" s="646" t="s">
        <v>305</v>
      </c>
      <c r="R4" s="647"/>
      <c r="S4" s="647"/>
      <c r="T4" s="647"/>
      <c r="U4" s="647"/>
      <c r="V4" s="647"/>
      <c r="W4" s="647"/>
      <c r="X4" s="647"/>
      <c r="Y4" s="648"/>
      <c r="Z4" s="642" t="s">
        <v>306</v>
      </c>
      <c r="AA4" s="643"/>
      <c r="AB4" s="643"/>
      <c r="AC4" s="643"/>
      <c r="AD4" s="643"/>
      <c r="AE4" s="644"/>
      <c r="AF4" s="644"/>
      <c r="AG4" s="644"/>
      <c r="AH4" s="645"/>
    </row>
    <row r="5" spans="1:34" s="171" customFormat="1" ht="15" thickBot="1">
      <c r="A5" s="349" t="s">
        <v>77</v>
      </c>
      <c r="B5" s="350" t="s">
        <v>81</v>
      </c>
      <c r="C5" s="350" t="s">
        <v>84</v>
      </c>
      <c r="D5" s="351" t="s">
        <v>88</v>
      </c>
      <c r="E5" s="350" t="s">
        <v>91</v>
      </c>
      <c r="F5" s="350" t="s">
        <v>94</v>
      </c>
      <c r="G5" s="350" t="s">
        <v>96</v>
      </c>
      <c r="H5" s="350" t="s">
        <v>99</v>
      </c>
      <c r="I5" s="350" t="s">
        <v>307</v>
      </c>
      <c r="J5" s="350" t="s">
        <v>102</v>
      </c>
      <c r="K5" s="352" t="s">
        <v>105</v>
      </c>
      <c r="L5" s="352" t="s">
        <v>108</v>
      </c>
      <c r="M5" s="533" t="s">
        <v>1</v>
      </c>
      <c r="N5" s="361" t="s">
        <v>114</v>
      </c>
      <c r="O5" s="354" t="s">
        <v>118</v>
      </c>
      <c r="P5" s="362" t="s">
        <v>121</v>
      </c>
      <c r="Q5" s="360" t="s">
        <v>125</v>
      </c>
      <c r="R5" s="355" t="s">
        <v>128</v>
      </c>
      <c r="S5" s="355" t="s">
        <v>132</v>
      </c>
      <c r="T5" s="356" t="s">
        <v>30</v>
      </c>
      <c r="U5" s="356" t="s">
        <v>135</v>
      </c>
      <c r="V5" s="356" t="s">
        <v>36</v>
      </c>
      <c r="W5" s="356" t="s">
        <v>138</v>
      </c>
      <c r="X5" s="356" t="s">
        <v>140</v>
      </c>
      <c r="Y5" s="357" t="s">
        <v>142</v>
      </c>
      <c r="Z5" s="358" t="s">
        <v>132</v>
      </c>
      <c r="AA5" s="356" t="s">
        <v>30</v>
      </c>
      <c r="AB5" s="356" t="s">
        <v>135</v>
      </c>
      <c r="AC5" s="356" t="s">
        <v>36</v>
      </c>
      <c r="AD5" s="356" t="s">
        <v>138</v>
      </c>
      <c r="AE5" s="356" t="s">
        <v>140</v>
      </c>
      <c r="AF5" s="350" t="s">
        <v>155</v>
      </c>
      <c r="AG5" s="350" t="s">
        <v>157</v>
      </c>
      <c r="AH5" s="353" t="s">
        <v>160</v>
      </c>
    </row>
    <row r="6" spans="1:34" ht="44.1" thickBot="1">
      <c r="A6" s="565" t="s">
        <v>308</v>
      </c>
      <c r="B6" s="565" t="s">
        <v>309</v>
      </c>
      <c r="C6" s="437"/>
      <c r="D6" s="323" t="s">
        <v>310</v>
      </c>
      <c r="E6" s="437"/>
      <c r="F6" s="437" t="s">
        <v>311</v>
      </c>
      <c r="G6" s="241" t="e">
        <f>VLOOKUP(A6,'Feature Summary'!$A$7:$C$3954,3,FALSE)</f>
        <v>#N/A</v>
      </c>
      <c r="H6" s="412" t="s">
        <v>312</v>
      </c>
      <c r="I6" s="438" t="s">
        <v>35</v>
      </c>
      <c r="J6" s="437"/>
      <c r="K6" s="359">
        <v>24</v>
      </c>
      <c r="L6" s="359">
        <v>1</v>
      </c>
      <c r="M6" s="415" t="s">
        <v>44</v>
      </c>
      <c r="N6" s="457">
        <v>1</v>
      </c>
      <c r="O6" s="567">
        <v>1</v>
      </c>
      <c r="P6" s="458">
        <f>IF((O6=0),0,(O6/L6))</f>
        <v>1</v>
      </c>
      <c r="Q6" s="438" t="s">
        <v>32</v>
      </c>
      <c r="R6" s="359">
        <v>1</v>
      </c>
      <c r="S6" s="488">
        <f>SUM(T6:W6)</f>
        <v>1</v>
      </c>
      <c r="T6" s="475">
        <v>1</v>
      </c>
      <c r="U6" s="475"/>
      <c r="V6" s="475"/>
      <c r="W6" s="475"/>
      <c r="X6" s="489">
        <f t="shared" ref="X6:X66" si="0">IF((S6=0),0,((T6+U6)/S6*100%))</f>
        <v>1</v>
      </c>
      <c r="Y6" s="439"/>
      <c r="Z6" s="474">
        <f>SUM(AA6:AD6)</f>
        <v>0</v>
      </c>
      <c r="AA6" s="475"/>
      <c r="AB6" s="475"/>
      <c r="AC6" s="475"/>
      <c r="AD6" s="475"/>
      <c r="AE6" s="476">
        <f>IF((Z6=0),0,((AA6+AB6)/Z6*100%))</f>
        <v>0</v>
      </c>
      <c r="AF6" s="437"/>
      <c r="AG6" s="440" t="str">
        <f>VLOOKUP("ASP-012",'Feature Summary'!$A$7:$U$3954,21,FALSE)</f>
        <v>Wk2</v>
      </c>
      <c r="AH6" s="441"/>
    </row>
    <row r="7" spans="1:34" ht="15" thickBot="1">
      <c r="A7" s="561" t="s">
        <v>313</v>
      </c>
      <c r="B7" s="561" t="s">
        <v>314</v>
      </c>
      <c r="C7" s="322"/>
      <c r="D7" s="323" t="s">
        <v>310</v>
      </c>
      <c r="E7" s="322"/>
      <c r="F7" s="322" t="s">
        <v>315</v>
      </c>
      <c r="G7" s="241" t="str">
        <f>VLOOKUP(A7,'Feature Summary'!$A$7:$C$3954,3,FALSE)</f>
        <v>P2</v>
      </c>
      <c r="H7" s="412" t="s">
        <v>316</v>
      </c>
      <c r="I7" s="442" t="s">
        <v>35</v>
      </c>
      <c r="J7" s="322"/>
      <c r="K7" s="323">
        <v>24</v>
      </c>
      <c r="L7" s="323">
        <v>1</v>
      </c>
      <c r="M7" s="416" t="s">
        <v>44</v>
      </c>
      <c r="N7" s="459">
        <v>1</v>
      </c>
      <c r="O7" s="566">
        <v>1</v>
      </c>
      <c r="P7" s="460">
        <f>IF((O7=0),0,(O7/L7))</f>
        <v>1</v>
      </c>
      <c r="Q7" s="438" t="s">
        <v>48</v>
      </c>
      <c r="R7" s="323">
        <v>1</v>
      </c>
      <c r="S7" s="490">
        <f t="shared" ref="S7:S66" si="1">SUM(T7:W7)</f>
        <v>1</v>
      </c>
      <c r="T7" s="478">
        <v>1</v>
      </c>
      <c r="U7" s="478"/>
      <c r="V7" s="478"/>
      <c r="W7" s="478"/>
      <c r="X7" s="491">
        <f>IF((S7=0),0,((T7+U7)/S7*100%))</f>
        <v>1</v>
      </c>
      <c r="Y7" s="443"/>
      <c r="Z7" s="477">
        <f t="shared" ref="Z7:Z66" si="2">SUM(AA7:AD7)</f>
        <v>0</v>
      </c>
      <c r="AA7" s="478"/>
      <c r="AB7" s="478"/>
      <c r="AC7" s="478"/>
      <c r="AD7" s="478"/>
      <c r="AE7" s="479">
        <f>IF((Z7=0),0,((AA7+AB7)/Z7*100%))</f>
        <v>0</v>
      </c>
      <c r="AF7" s="322"/>
      <c r="AG7" s="444" t="str">
        <f>VLOOKUP(A7,'Feature Summary'!$A$7:$U$3954,21,FALSE)</f>
        <v>WK2</v>
      </c>
      <c r="AH7" s="324"/>
    </row>
    <row r="8" spans="1:34" ht="29.45" thickBot="1">
      <c r="A8" s="565" t="s">
        <v>317</v>
      </c>
      <c r="B8" s="565" t="s">
        <v>318</v>
      </c>
      <c r="C8" s="322"/>
      <c r="D8" s="323" t="s">
        <v>310</v>
      </c>
      <c r="E8" s="322"/>
      <c r="F8" s="322" t="s">
        <v>319</v>
      </c>
      <c r="G8" s="241" t="e">
        <f>VLOOKUP(A8,'Feature Summary'!$A$7:$C$3954,3,FALSE)</f>
        <v>#N/A</v>
      </c>
      <c r="H8" s="412" t="s">
        <v>320</v>
      </c>
      <c r="I8" s="442" t="s">
        <v>35</v>
      </c>
      <c r="J8" s="322"/>
      <c r="K8" s="323">
        <v>40</v>
      </c>
      <c r="L8" s="323">
        <v>1</v>
      </c>
      <c r="M8" s="416" t="s">
        <v>44</v>
      </c>
      <c r="N8" s="459">
        <v>1</v>
      </c>
      <c r="O8" s="566">
        <v>1</v>
      </c>
      <c r="P8" s="460">
        <f>IF((O8=0),0,(O8/L8))</f>
        <v>1</v>
      </c>
      <c r="Q8" s="438" t="s">
        <v>32</v>
      </c>
      <c r="R8" s="323">
        <v>1</v>
      </c>
      <c r="S8" s="490">
        <f>SUM(T8:W8)</f>
        <v>1</v>
      </c>
      <c r="T8" s="478">
        <v>1</v>
      </c>
      <c r="U8" s="478"/>
      <c r="V8" s="478"/>
      <c r="W8" s="478"/>
      <c r="X8" s="491">
        <f>IF((S8=0),0,((T8+U8)/S8*100%))</f>
        <v>1</v>
      </c>
      <c r="Y8" s="443"/>
      <c r="Z8" s="477">
        <f>SUM(AA8:AD8)</f>
        <v>0</v>
      </c>
      <c r="AA8" s="478"/>
      <c r="AB8" s="478"/>
      <c r="AC8" s="478"/>
      <c r="AD8" s="478"/>
      <c r="AE8" s="479">
        <f>IF((Z8=0),0,((AA8+AB8)/Z8*100%))</f>
        <v>0</v>
      </c>
      <c r="AF8" s="322"/>
      <c r="AG8" s="444" t="str">
        <f>VLOOKUP("ASP-007",'Feature Summary'!$A$7:$U$3954,21,FALSE)</f>
        <v>WK3</v>
      </c>
      <c r="AH8" s="324"/>
    </row>
    <row r="9" spans="1:34" ht="15" thickBot="1">
      <c r="A9" s="561" t="s">
        <v>321</v>
      </c>
      <c r="B9" s="561" t="s">
        <v>322</v>
      </c>
      <c r="C9" s="322"/>
      <c r="D9" s="323" t="s">
        <v>310</v>
      </c>
      <c r="E9" s="322"/>
      <c r="F9" s="322" t="s">
        <v>323</v>
      </c>
      <c r="G9" s="241" t="str">
        <f>VLOOKUP(A9,'Feature Summary'!$A$7:$C$3954,3,FALSE)</f>
        <v>P3</v>
      </c>
      <c r="H9" s="412" t="s">
        <v>324</v>
      </c>
      <c r="I9" s="442" t="s">
        <v>41</v>
      </c>
      <c r="J9" s="322"/>
      <c r="K9" s="323">
        <v>32</v>
      </c>
      <c r="L9" s="323">
        <v>1</v>
      </c>
      <c r="M9" s="416" t="s">
        <v>325</v>
      </c>
      <c r="N9" s="459">
        <v>1</v>
      </c>
      <c r="O9" s="566">
        <v>1</v>
      </c>
      <c r="P9" s="460">
        <f t="shared" ref="P9:P66" si="3">IF((O9=0),0,(O9/L9))</f>
        <v>1</v>
      </c>
      <c r="Q9" s="438" t="s">
        <v>32</v>
      </c>
      <c r="R9" s="323">
        <v>1</v>
      </c>
      <c r="S9" s="490">
        <f t="shared" si="1"/>
        <v>1</v>
      </c>
      <c r="T9" s="478">
        <v>1</v>
      </c>
      <c r="U9" s="478"/>
      <c r="V9" s="478"/>
      <c r="W9" s="478"/>
      <c r="X9" s="491">
        <f>IF((S9=0),0,((T9+U9)/S9*100%))</f>
        <v>1</v>
      </c>
      <c r="Y9" s="443"/>
      <c r="Z9" s="477">
        <f t="shared" si="2"/>
        <v>0</v>
      </c>
      <c r="AA9" s="478"/>
      <c r="AB9" s="478"/>
      <c r="AC9" s="478"/>
      <c r="AD9" s="478"/>
      <c r="AE9" s="479">
        <f t="shared" ref="AE9:AE66" si="4">IF((Z9=0),0,((AA9+AB9)/Z9*100%))</f>
        <v>0</v>
      </c>
      <c r="AF9" s="322"/>
      <c r="AG9" s="444" t="str">
        <f>VLOOKUP(A9,'Feature Summary'!$A$7:$U$3954,21,FALSE)</f>
        <v>WK5</v>
      </c>
      <c r="AH9" s="324"/>
    </row>
    <row r="10" spans="1:34" ht="45">
      <c r="A10" s="565" t="s">
        <v>326</v>
      </c>
      <c r="B10" s="565" t="s">
        <v>327</v>
      </c>
      <c r="C10" s="322"/>
      <c r="D10" s="323" t="s">
        <v>310</v>
      </c>
      <c r="E10" s="322"/>
      <c r="F10" s="322" t="s">
        <v>328</v>
      </c>
      <c r="G10" s="241" t="e">
        <f>VLOOKUP(A10,'Feature Summary'!$A$7:$C$3954,3,FALSE)</f>
        <v>#N/A</v>
      </c>
      <c r="H10" s="568" t="s">
        <v>329</v>
      </c>
      <c r="I10" s="442" t="s">
        <v>41</v>
      </c>
      <c r="J10" s="322"/>
      <c r="K10" s="323">
        <v>24</v>
      </c>
      <c r="L10" s="323">
        <v>1</v>
      </c>
      <c r="M10" s="416" t="s">
        <v>325</v>
      </c>
      <c r="N10" s="459">
        <v>1</v>
      </c>
      <c r="O10" s="566">
        <v>1</v>
      </c>
      <c r="P10" s="460">
        <f t="shared" si="3"/>
        <v>1</v>
      </c>
      <c r="Q10" s="438" t="s">
        <v>47</v>
      </c>
      <c r="R10" s="323">
        <v>0</v>
      </c>
      <c r="S10" s="490">
        <f t="shared" si="1"/>
        <v>0</v>
      </c>
      <c r="T10" s="478"/>
      <c r="U10" s="478"/>
      <c r="V10" s="478"/>
      <c r="W10" s="478"/>
      <c r="X10" s="491">
        <f t="shared" si="0"/>
        <v>0</v>
      </c>
      <c r="Y10" s="443"/>
      <c r="Z10" s="477">
        <f t="shared" si="2"/>
        <v>0</v>
      </c>
      <c r="AA10" s="478"/>
      <c r="AB10" s="478"/>
      <c r="AC10" s="478"/>
      <c r="AD10" s="478"/>
      <c r="AE10" s="479">
        <f>IF((Z10=0),0,((AA10+AB10)/Z10*100%))</f>
        <v>0</v>
      </c>
      <c r="AF10" s="322"/>
      <c r="AG10" s="444" t="str">
        <f>VLOOKUP("ASP-005",'Feature Summary'!$A$7:$U$3954,21,FALSE)</f>
        <v>Wk3</v>
      </c>
      <c r="AH10" s="324"/>
    </row>
    <row r="11" spans="1:34" ht="15">
      <c r="A11" s="561" t="s">
        <v>330</v>
      </c>
      <c r="B11" s="561" t="s">
        <v>331</v>
      </c>
      <c r="C11" s="322"/>
      <c r="D11" s="323" t="s">
        <v>310</v>
      </c>
      <c r="E11" s="322"/>
      <c r="F11" s="322" t="s">
        <v>332</v>
      </c>
      <c r="G11" s="241" t="str">
        <f>VLOOKUP(A11,'Feature Summary'!$A$7:$C$3954,3,FALSE)</f>
        <v>P2</v>
      </c>
      <c r="H11" s="412" t="s">
        <v>333</v>
      </c>
      <c r="I11" s="442" t="s">
        <v>41</v>
      </c>
      <c r="J11" s="322"/>
      <c r="K11" s="323">
        <v>24</v>
      </c>
      <c r="L11" s="323">
        <v>1</v>
      </c>
      <c r="M11" s="416" t="s">
        <v>325</v>
      </c>
      <c r="N11" s="459">
        <v>1</v>
      </c>
      <c r="O11" s="566">
        <v>1</v>
      </c>
      <c r="P11" s="460">
        <f>IF((O11=0),0,(O11/L11))</f>
        <v>1</v>
      </c>
      <c r="Q11" s="438" t="s">
        <v>32</v>
      </c>
      <c r="R11" s="323">
        <v>1</v>
      </c>
      <c r="S11" s="490">
        <f t="shared" si="1"/>
        <v>1</v>
      </c>
      <c r="T11" s="478">
        <v>1</v>
      </c>
      <c r="U11" s="478"/>
      <c r="V11" s="478"/>
      <c r="W11" s="478"/>
      <c r="X11" s="491">
        <f>IF((S11=0),0,((T11+U11)/S11*100%))</f>
        <v>1</v>
      </c>
      <c r="Y11" s="443"/>
      <c r="Z11" s="477">
        <f t="shared" si="2"/>
        <v>0</v>
      </c>
      <c r="AA11" s="478"/>
      <c r="AB11" s="478"/>
      <c r="AC11" s="478"/>
      <c r="AD11" s="478"/>
      <c r="AE11" s="479">
        <f>IF((Z11=0),0,((AA11+AB11)/Z11*100%))</f>
        <v>0</v>
      </c>
      <c r="AF11" s="322"/>
      <c r="AG11" s="444" t="str">
        <f>VLOOKUP(A11,'Feature Summary'!$A$7:$U$3954,21,FALSE)</f>
        <v>Wk4</v>
      </c>
      <c r="AH11" s="324"/>
    </row>
    <row r="12" spans="1:34" ht="15" thickBot="1">
      <c r="A12" s="321"/>
      <c r="B12" s="322"/>
      <c r="C12" s="322"/>
      <c r="D12" s="323" t="s">
        <v>310</v>
      </c>
      <c r="E12" s="322"/>
      <c r="F12" s="322" t="s">
        <v>334</v>
      </c>
      <c r="G12" s="241" t="e">
        <f>VLOOKUP(A12,'Feature Summary'!$A$7:$C$3954,3,FALSE)</f>
        <v>#N/A</v>
      </c>
      <c r="H12" s="412" t="s">
        <v>335</v>
      </c>
      <c r="I12" s="442" t="s">
        <v>41</v>
      </c>
      <c r="J12" s="322"/>
      <c r="K12" s="323">
        <v>24</v>
      </c>
      <c r="L12" s="323">
        <v>1</v>
      </c>
      <c r="M12" s="416" t="s">
        <v>325</v>
      </c>
      <c r="N12" s="459">
        <v>1</v>
      </c>
      <c r="O12" s="566">
        <v>1</v>
      </c>
      <c r="P12" s="460">
        <f t="shared" si="3"/>
        <v>1</v>
      </c>
      <c r="Q12" s="438" t="s">
        <v>32</v>
      </c>
      <c r="R12" s="323">
        <v>1</v>
      </c>
      <c r="S12" s="490">
        <f t="shared" si="1"/>
        <v>1</v>
      </c>
      <c r="T12" s="478">
        <v>1</v>
      </c>
      <c r="U12" s="478"/>
      <c r="V12" s="478"/>
      <c r="W12" s="478"/>
      <c r="X12" s="491">
        <f>IF((S12=0),0,((T12+U12)/S12*100%))</f>
        <v>1</v>
      </c>
      <c r="Y12" s="443"/>
      <c r="Z12" s="477">
        <f t="shared" si="2"/>
        <v>0</v>
      </c>
      <c r="AA12" s="478"/>
      <c r="AB12" s="478"/>
      <c r="AC12" s="478"/>
      <c r="AD12" s="478"/>
      <c r="AE12" s="479">
        <f t="shared" si="4"/>
        <v>0</v>
      </c>
      <c r="AF12" s="322"/>
      <c r="AG12" s="444" t="e">
        <f>VLOOKUP(A12,'Feature Summary'!$A$7:$U$3954,21,FALSE)</f>
        <v>#N/A</v>
      </c>
      <c r="AH12" s="324"/>
    </row>
    <row r="13" spans="1:34" ht="15" thickBot="1">
      <c r="A13" s="561" t="s">
        <v>336</v>
      </c>
      <c r="B13" s="561" t="s">
        <v>337</v>
      </c>
      <c r="C13" s="322"/>
      <c r="D13" s="323" t="s">
        <v>310</v>
      </c>
      <c r="E13" s="322"/>
      <c r="F13" s="322" t="s">
        <v>338</v>
      </c>
      <c r="G13" s="241" t="str">
        <f>VLOOKUP(A13,'Feature Summary'!$A$7:$C$3954,3,FALSE)</f>
        <v>P3</v>
      </c>
      <c r="H13" s="412" t="s">
        <v>339</v>
      </c>
      <c r="I13" s="442" t="s">
        <v>41</v>
      </c>
      <c r="J13" s="322"/>
      <c r="K13" s="323">
        <v>40</v>
      </c>
      <c r="L13" s="323">
        <v>1</v>
      </c>
      <c r="M13" s="416" t="s">
        <v>325</v>
      </c>
      <c r="N13" s="459">
        <v>1</v>
      </c>
      <c r="O13" s="566">
        <v>1</v>
      </c>
      <c r="P13" s="460">
        <f t="shared" si="3"/>
        <v>1</v>
      </c>
      <c r="Q13" s="438" t="s">
        <v>47</v>
      </c>
      <c r="R13" s="323">
        <v>0</v>
      </c>
      <c r="S13" s="490">
        <f t="shared" si="1"/>
        <v>0</v>
      </c>
      <c r="T13" s="478"/>
      <c r="U13" s="478"/>
      <c r="V13" s="478"/>
      <c r="W13" s="478"/>
      <c r="X13" s="491">
        <f t="shared" si="0"/>
        <v>0</v>
      </c>
      <c r="Y13" s="443"/>
      <c r="Z13" s="477">
        <f t="shared" si="2"/>
        <v>0</v>
      </c>
      <c r="AA13" s="478"/>
      <c r="AB13" s="478"/>
      <c r="AC13" s="478"/>
      <c r="AD13" s="478"/>
      <c r="AE13" s="479">
        <f>IF((Z13=0),0,((AA13+AB13)/Z13*100%))</f>
        <v>0</v>
      </c>
      <c r="AF13" s="322"/>
      <c r="AG13" s="444" t="str">
        <f>VLOOKUP(A13,'Feature Summary'!$A$7:$U$3954,21,FALSE)</f>
        <v>Wk7</v>
      </c>
      <c r="AH13" s="324"/>
    </row>
    <row r="14" spans="1:34" ht="15" thickBot="1">
      <c r="A14" s="561" t="s">
        <v>340</v>
      </c>
      <c r="B14" s="561" t="s">
        <v>341</v>
      </c>
      <c r="C14" s="322"/>
      <c r="D14" s="323" t="s">
        <v>310</v>
      </c>
      <c r="E14" s="322"/>
      <c r="F14" s="322" t="s">
        <v>342</v>
      </c>
      <c r="G14" s="241" t="str">
        <f>VLOOKUP(A14,'Feature Summary'!$A$7:$C$3954,3,FALSE)</f>
        <v>P3</v>
      </c>
      <c r="H14" s="412" t="s">
        <v>343</v>
      </c>
      <c r="I14" s="442" t="s">
        <v>41</v>
      </c>
      <c r="J14" s="322"/>
      <c r="K14" s="323">
        <v>32</v>
      </c>
      <c r="L14" s="323">
        <v>1</v>
      </c>
      <c r="M14" s="416" t="s">
        <v>325</v>
      </c>
      <c r="N14" s="459">
        <v>1</v>
      </c>
      <c r="O14" s="566">
        <v>1</v>
      </c>
      <c r="P14" s="460">
        <f t="shared" si="3"/>
        <v>1</v>
      </c>
      <c r="Q14" s="438" t="s">
        <v>47</v>
      </c>
      <c r="R14" s="323">
        <v>0</v>
      </c>
      <c r="S14" s="490">
        <f t="shared" si="1"/>
        <v>0</v>
      </c>
      <c r="T14" s="478"/>
      <c r="U14" s="478"/>
      <c r="V14" s="478"/>
      <c r="W14" s="478"/>
      <c r="X14" s="491">
        <f t="shared" si="0"/>
        <v>0</v>
      </c>
      <c r="Y14" s="443"/>
      <c r="Z14" s="477">
        <f t="shared" si="2"/>
        <v>0</v>
      </c>
      <c r="AA14" s="478"/>
      <c r="AB14" s="478"/>
      <c r="AC14" s="478"/>
      <c r="AD14" s="478"/>
      <c r="AE14" s="479">
        <f t="shared" si="4"/>
        <v>0</v>
      </c>
      <c r="AF14" s="322"/>
      <c r="AG14" s="444" t="str">
        <f>VLOOKUP(A14,'Feature Summary'!$A$7:$U$3954,21,FALSE)</f>
        <v>WK6</v>
      </c>
      <c r="AH14" s="324"/>
    </row>
    <row r="15" spans="1:34" ht="15" thickBot="1">
      <c r="A15" s="561" t="s">
        <v>344</v>
      </c>
      <c r="B15" s="561" t="s">
        <v>345</v>
      </c>
      <c r="C15" s="322"/>
      <c r="D15" s="323" t="s">
        <v>310</v>
      </c>
      <c r="E15" s="322"/>
      <c r="F15" s="322" t="s">
        <v>346</v>
      </c>
      <c r="G15" s="241" t="str">
        <f>VLOOKUP(A15,'Feature Summary'!$A$7:$C$3954,3,FALSE)</f>
        <v>P3</v>
      </c>
      <c r="H15" s="412" t="s">
        <v>347</v>
      </c>
      <c r="I15" s="442" t="s">
        <v>41</v>
      </c>
      <c r="J15" s="322"/>
      <c r="K15" s="323">
        <v>40</v>
      </c>
      <c r="L15" s="323">
        <v>1</v>
      </c>
      <c r="M15" s="416" t="s">
        <v>325</v>
      </c>
      <c r="N15" s="459">
        <v>1</v>
      </c>
      <c r="O15" s="566">
        <v>1</v>
      </c>
      <c r="P15" s="460">
        <f t="shared" si="3"/>
        <v>1</v>
      </c>
      <c r="Q15" s="438" t="s">
        <v>47</v>
      </c>
      <c r="R15" s="323">
        <v>0</v>
      </c>
      <c r="S15" s="490">
        <f t="shared" si="1"/>
        <v>0</v>
      </c>
      <c r="T15" s="478"/>
      <c r="U15" s="478"/>
      <c r="V15" s="478"/>
      <c r="W15" s="478"/>
      <c r="X15" s="491">
        <f t="shared" si="0"/>
        <v>0</v>
      </c>
      <c r="Y15" s="443"/>
      <c r="Z15" s="477">
        <f t="shared" si="2"/>
        <v>0</v>
      </c>
      <c r="AA15" s="478"/>
      <c r="AB15" s="478"/>
      <c r="AC15" s="478"/>
      <c r="AD15" s="478"/>
      <c r="AE15" s="479">
        <f t="shared" si="4"/>
        <v>0</v>
      </c>
      <c r="AF15" s="322"/>
      <c r="AG15" s="444" t="str">
        <f>VLOOKUP(A15,'Feature Summary'!$A$7:$U$3954,21,FALSE)</f>
        <v>WK6</v>
      </c>
      <c r="AH15" s="324"/>
    </row>
    <row r="16" spans="1:34" ht="15" thickBot="1">
      <c r="A16" s="561" t="s">
        <v>348</v>
      </c>
      <c r="B16" s="561" t="s">
        <v>349</v>
      </c>
      <c r="C16" s="322"/>
      <c r="D16" s="323" t="s">
        <v>310</v>
      </c>
      <c r="E16" s="322"/>
      <c r="F16" s="322" t="s">
        <v>350</v>
      </c>
      <c r="G16" s="241" t="str">
        <f>VLOOKUP(A16,'Feature Summary'!$A$7:$C$3954,3,FALSE)</f>
        <v>P3</v>
      </c>
      <c r="H16" s="412" t="s">
        <v>351</v>
      </c>
      <c r="I16" s="442" t="s">
        <v>41</v>
      </c>
      <c r="J16" s="322"/>
      <c r="K16" s="323">
        <v>32</v>
      </c>
      <c r="L16" s="323">
        <v>1</v>
      </c>
      <c r="M16" s="416" t="s">
        <v>325</v>
      </c>
      <c r="N16" s="459">
        <v>1</v>
      </c>
      <c r="O16" s="566">
        <v>1</v>
      </c>
      <c r="P16" s="460">
        <f>IF((O16=0),0,(O16/L16))</f>
        <v>1</v>
      </c>
      <c r="Q16" s="438" t="s">
        <v>47</v>
      </c>
      <c r="R16" s="323">
        <v>0</v>
      </c>
      <c r="S16" s="490">
        <f>SUM(T16:W16)</f>
        <v>0</v>
      </c>
      <c r="T16" s="478"/>
      <c r="U16" s="478"/>
      <c r="V16" s="478"/>
      <c r="W16" s="478"/>
      <c r="X16" s="491">
        <f>IF((S16=0),0,((T16+U16)/S16*100%))</f>
        <v>0</v>
      </c>
      <c r="Y16" s="443"/>
      <c r="Z16" s="477">
        <f t="shared" si="2"/>
        <v>0</v>
      </c>
      <c r="AA16" s="478"/>
      <c r="AB16" s="478"/>
      <c r="AC16" s="478"/>
      <c r="AD16" s="478"/>
      <c r="AE16" s="479">
        <f t="shared" si="4"/>
        <v>0</v>
      </c>
      <c r="AF16" s="322"/>
      <c r="AG16" s="444" t="str">
        <f>VLOOKUP(A16,'Feature Summary'!$A$7:$U$3954,21,FALSE)</f>
        <v>WK6</v>
      </c>
      <c r="AH16" s="324"/>
    </row>
    <row r="17" spans="1:34" ht="15" thickBot="1">
      <c r="A17" s="561" t="s">
        <v>352</v>
      </c>
      <c r="B17" s="561" t="s">
        <v>353</v>
      </c>
      <c r="C17" s="322"/>
      <c r="D17" s="323" t="s">
        <v>310</v>
      </c>
      <c r="E17" s="322"/>
      <c r="F17" s="322" t="s">
        <v>354</v>
      </c>
      <c r="G17" s="241" t="str">
        <f>VLOOKUP(A17,'Feature Summary'!$A$7:$C$3954,3,FALSE)</f>
        <v>P3</v>
      </c>
      <c r="H17" s="412" t="s">
        <v>355</v>
      </c>
      <c r="I17" s="442" t="s">
        <v>41</v>
      </c>
      <c r="J17" s="322"/>
      <c r="K17" s="323">
        <v>32</v>
      </c>
      <c r="L17" s="323">
        <v>1</v>
      </c>
      <c r="M17" s="416" t="s">
        <v>325</v>
      </c>
      <c r="N17" s="459">
        <v>1</v>
      </c>
      <c r="O17" s="566">
        <v>1</v>
      </c>
      <c r="P17" s="460">
        <f t="shared" si="3"/>
        <v>1</v>
      </c>
      <c r="Q17" s="438" t="s">
        <v>47</v>
      </c>
      <c r="R17" s="323">
        <v>0</v>
      </c>
      <c r="S17" s="490">
        <f t="shared" si="1"/>
        <v>0</v>
      </c>
      <c r="T17" s="478"/>
      <c r="U17" s="478"/>
      <c r="V17" s="478"/>
      <c r="W17" s="478"/>
      <c r="X17" s="491">
        <f t="shared" si="0"/>
        <v>0</v>
      </c>
      <c r="Y17" s="443"/>
      <c r="Z17" s="477">
        <f t="shared" si="2"/>
        <v>0</v>
      </c>
      <c r="AA17" s="478"/>
      <c r="AB17" s="478"/>
      <c r="AC17" s="478"/>
      <c r="AD17" s="478"/>
      <c r="AE17" s="479">
        <f t="shared" si="4"/>
        <v>0</v>
      </c>
      <c r="AF17" s="322"/>
      <c r="AG17" s="444" t="str">
        <f>VLOOKUP(A17,'Feature Summary'!$A$7:$U$3954,21,FALSE)</f>
        <v>WK5</v>
      </c>
      <c r="AH17" s="324"/>
    </row>
    <row r="18" spans="1:34" ht="15" thickBot="1">
      <c r="A18" s="561" t="s">
        <v>356</v>
      </c>
      <c r="B18" s="561" t="s">
        <v>357</v>
      </c>
      <c r="C18" s="322"/>
      <c r="D18" s="323" t="s">
        <v>310</v>
      </c>
      <c r="E18" s="322"/>
      <c r="F18" s="322" t="s">
        <v>358</v>
      </c>
      <c r="G18" s="241" t="str">
        <f>VLOOKUP(A18,'Feature Summary'!$A$7:$C$3954,3,FALSE)</f>
        <v>P3</v>
      </c>
      <c r="H18" s="412" t="s">
        <v>359</v>
      </c>
      <c r="I18" s="442" t="s">
        <v>41</v>
      </c>
      <c r="J18" s="322"/>
      <c r="K18" s="323">
        <v>32</v>
      </c>
      <c r="L18" s="323">
        <v>1</v>
      </c>
      <c r="M18" s="416" t="s">
        <v>325</v>
      </c>
      <c r="N18" s="459">
        <v>1</v>
      </c>
      <c r="O18" s="566">
        <v>1</v>
      </c>
      <c r="P18" s="460">
        <f t="shared" si="3"/>
        <v>1</v>
      </c>
      <c r="Q18" s="438" t="s">
        <v>47</v>
      </c>
      <c r="R18" s="323">
        <v>0</v>
      </c>
      <c r="S18" s="490">
        <f t="shared" si="1"/>
        <v>0</v>
      </c>
      <c r="T18" s="478"/>
      <c r="U18" s="478"/>
      <c r="V18" s="478"/>
      <c r="W18" s="478"/>
      <c r="X18" s="491">
        <f t="shared" si="0"/>
        <v>0</v>
      </c>
      <c r="Y18" s="443"/>
      <c r="Z18" s="477">
        <f t="shared" si="2"/>
        <v>0</v>
      </c>
      <c r="AA18" s="478"/>
      <c r="AB18" s="478"/>
      <c r="AC18" s="478"/>
      <c r="AD18" s="478"/>
      <c r="AE18" s="479">
        <f t="shared" si="4"/>
        <v>0</v>
      </c>
      <c r="AF18" s="322"/>
      <c r="AG18" s="444" t="str">
        <f>VLOOKUP(A18,'Feature Summary'!$A$7:$U$3954,21,FALSE)</f>
        <v>WK5</v>
      </c>
      <c r="AH18" s="324"/>
    </row>
    <row r="19" spans="1:34" ht="15" thickBot="1">
      <c r="A19" s="561" t="s">
        <v>360</v>
      </c>
      <c r="B19" s="336" t="s">
        <v>361</v>
      </c>
      <c r="C19" s="322"/>
      <c r="D19" s="323" t="s">
        <v>310</v>
      </c>
      <c r="E19" s="322"/>
      <c r="F19" s="322" t="s">
        <v>362</v>
      </c>
      <c r="G19" s="241" t="str">
        <f>VLOOKUP(A19,'Feature Summary'!$A$7:$C$3954,3,FALSE)</f>
        <v>P1</v>
      </c>
      <c r="H19" s="412" t="s">
        <v>363</v>
      </c>
      <c r="I19" s="442" t="s">
        <v>41</v>
      </c>
      <c r="J19" s="322"/>
      <c r="K19" s="323">
        <v>32</v>
      </c>
      <c r="L19" s="323">
        <v>1</v>
      </c>
      <c r="M19" s="416" t="s">
        <v>364</v>
      </c>
      <c r="N19" s="459">
        <v>1</v>
      </c>
      <c r="O19" s="566">
        <v>1</v>
      </c>
      <c r="P19" s="460">
        <f t="shared" si="3"/>
        <v>1</v>
      </c>
      <c r="Q19" s="438" t="s">
        <v>48</v>
      </c>
      <c r="R19" s="323">
        <v>1</v>
      </c>
      <c r="S19" s="490">
        <f t="shared" si="1"/>
        <v>1</v>
      </c>
      <c r="T19" s="478">
        <v>1</v>
      </c>
      <c r="U19" s="478"/>
      <c r="V19" s="478"/>
      <c r="W19" s="478"/>
      <c r="X19" s="491">
        <f t="shared" si="0"/>
        <v>1</v>
      </c>
      <c r="Y19" s="443"/>
      <c r="Z19" s="477">
        <f t="shared" si="2"/>
        <v>0</v>
      </c>
      <c r="AA19" s="478"/>
      <c r="AB19" s="478"/>
      <c r="AC19" s="478"/>
      <c r="AD19" s="478"/>
      <c r="AE19" s="479">
        <f t="shared" si="4"/>
        <v>0</v>
      </c>
      <c r="AF19" s="322"/>
      <c r="AG19" s="444" t="str">
        <f>VLOOKUP(A19,'Feature Summary'!$A$7:$U$3954,21,FALSE)</f>
        <v>WK4</v>
      </c>
      <c r="AH19" s="324"/>
    </row>
    <row r="20" spans="1:34" ht="15" thickBot="1">
      <c r="A20" s="561" t="s">
        <v>365</v>
      </c>
      <c r="B20" s="561" t="s">
        <v>366</v>
      </c>
      <c r="C20" s="322"/>
      <c r="D20" s="323" t="s">
        <v>310</v>
      </c>
      <c r="E20" s="322"/>
      <c r="F20" s="322" t="s">
        <v>367</v>
      </c>
      <c r="G20" s="241" t="str">
        <f>VLOOKUP(A20,'Feature Summary'!$A$7:$C$3954,3,FALSE)</f>
        <v>P1</v>
      </c>
      <c r="H20" s="412" t="s">
        <v>368</v>
      </c>
      <c r="I20" s="442" t="s">
        <v>41</v>
      </c>
      <c r="J20" s="322"/>
      <c r="K20" s="323">
        <v>24</v>
      </c>
      <c r="L20" s="323">
        <v>1</v>
      </c>
      <c r="M20" s="416" t="s">
        <v>364</v>
      </c>
      <c r="N20" s="459">
        <v>1</v>
      </c>
      <c r="O20" s="566">
        <v>1</v>
      </c>
      <c r="P20" s="460">
        <f t="shared" si="3"/>
        <v>1</v>
      </c>
      <c r="Q20" s="438" t="s">
        <v>48</v>
      </c>
      <c r="R20" s="323">
        <v>1</v>
      </c>
      <c r="S20" s="490">
        <f t="shared" si="1"/>
        <v>1</v>
      </c>
      <c r="T20" s="478">
        <v>1</v>
      </c>
      <c r="U20" s="478"/>
      <c r="V20" s="478"/>
      <c r="W20" s="478"/>
      <c r="X20" s="491">
        <f t="shared" si="0"/>
        <v>1</v>
      </c>
      <c r="Y20" s="443"/>
      <c r="Z20" s="477">
        <f t="shared" si="2"/>
        <v>0</v>
      </c>
      <c r="AA20" s="478"/>
      <c r="AB20" s="478"/>
      <c r="AC20" s="478"/>
      <c r="AD20" s="478"/>
      <c r="AE20" s="479">
        <f t="shared" si="4"/>
        <v>0</v>
      </c>
      <c r="AF20" s="322"/>
      <c r="AG20" s="444" t="str">
        <f>VLOOKUP(A20,'Feature Summary'!$A$7:$U$3954,21,FALSE)</f>
        <v>WK3</v>
      </c>
      <c r="AH20" s="324"/>
    </row>
    <row r="21" spans="1:34" ht="15">
      <c r="A21" s="321"/>
      <c r="B21" s="322"/>
      <c r="C21" s="322"/>
      <c r="D21" s="323" t="s">
        <v>310</v>
      </c>
      <c r="E21" s="322"/>
      <c r="F21" s="322" t="s">
        <v>369</v>
      </c>
      <c r="G21" s="241" t="e">
        <f>VLOOKUP(A21,'Feature Summary'!$A$7:$C$3954,3,FALSE)</f>
        <v>#N/A</v>
      </c>
      <c r="H21" s="412" t="s">
        <v>370</v>
      </c>
      <c r="I21" s="442" t="s">
        <v>41</v>
      </c>
      <c r="J21" s="322"/>
      <c r="K21" s="323">
        <v>32</v>
      </c>
      <c r="L21" s="323">
        <v>1</v>
      </c>
      <c r="M21" s="416" t="s">
        <v>364</v>
      </c>
      <c r="N21" s="459">
        <v>1</v>
      </c>
      <c r="O21" s="566">
        <v>1</v>
      </c>
      <c r="P21" s="460">
        <f>IF((O21=0),0,(O21/L21))</f>
        <v>1</v>
      </c>
      <c r="Q21" s="438" t="s">
        <v>48</v>
      </c>
      <c r="R21" s="323">
        <v>1</v>
      </c>
      <c r="S21" s="490">
        <f t="shared" si="1"/>
        <v>1</v>
      </c>
      <c r="T21" s="478">
        <v>1</v>
      </c>
      <c r="U21" s="478"/>
      <c r="V21" s="478"/>
      <c r="W21" s="478"/>
      <c r="X21" s="491">
        <f t="shared" si="0"/>
        <v>1</v>
      </c>
      <c r="Y21" s="443"/>
      <c r="Z21" s="477">
        <f t="shared" si="2"/>
        <v>0</v>
      </c>
      <c r="AA21" s="478"/>
      <c r="AB21" s="478"/>
      <c r="AC21" s="478"/>
      <c r="AD21" s="478"/>
      <c r="AE21" s="479">
        <f t="shared" si="4"/>
        <v>0</v>
      </c>
      <c r="AF21" s="322"/>
      <c r="AG21" s="444" t="e">
        <f>VLOOKUP(A21,'Feature Summary'!$A$7:$U$3954,21,FALSE)</f>
        <v>#N/A</v>
      </c>
      <c r="AH21" s="324"/>
    </row>
    <row r="22" spans="1:34" ht="15">
      <c r="A22" s="561" t="s">
        <v>371</v>
      </c>
      <c r="B22" s="561" t="s">
        <v>372</v>
      </c>
      <c r="C22" s="322"/>
      <c r="D22" s="323" t="s">
        <v>373</v>
      </c>
      <c r="E22" s="322"/>
      <c r="F22" s="322" t="s">
        <v>374</v>
      </c>
      <c r="G22" s="241" t="str">
        <f>VLOOKUP(A22,'Feature Summary'!$A$7:$C$3954,3,FALSE)</f>
        <v>P1</v>
      </c>
      <c r="H22" s="412" t="s">
        <v>375</v>
      </c>
      <c r="I22" s="442" t="s">
        <v>41</v>
      </c>
      <c r="J22" s="322"/>
      <c r="K22" s="323">
        <v>32</v>
      </c>
      <c r="L22" s="323">
        <v>1</v>
      </c>
      <c r="M22" s="416" t="s">
        <v>325</v>
      </c>
      <c r="N22" s="459">
        <v>1</v>
      </c>
      <c r="O22" s="566">
        <v>1</v>
      </c>
      <c r="P22" s="460">
        <f>IF((O22=0),0,(O22/L22))</f>
        <v>1</v>
      </c>
      <c r="Q22" s="438" t="s">
        <v>48</v>
      </c>
      <c r="R22" s="323">
        <v>1</v>
      </c>
      <c r="S22" s="490">
        <f t="shared" si="1"/>
        <v>1</v>
      </c>
      <c r="T22" s="478">
        <v>1</v>
      </c>
      <c r="U22" s="478"/>
      <c r="V22" s="478"/>
      <c r="W22" s="478"/>
      <c r="X22" s="491">
        <f t="shared" si="0"/>
        <v>1</v>
      </c>
      <c r="Y22" s="443"/>
      <c r="Z22" s="477">
        <f t="shared" si="2"/>
        <v>0</v>
      </c>
      <c r="AA22" s="478"/>
      <c r="AB22" s="478"/>
      <c r="AC22" s="478"/>
      <c r="AD22" s="478"/>
      <c r="AE22" s="479">
        <f t="shared" si="4"/>
        <v>0</v>
      </c>
      <c r="AF22" s="322"/>
      <c r="AG22" s="444" t="str">
        <f>VLOOKUP(A22,'Feature Summary'!$A$7:$U$3954,21,FALSE)</f>
        <v>WK4</v>
      </c>
      <c r="AH22" s="324"/>
    </row>
    <row r="23" spans="1:34" ht="60">
      <c r="A23" s="565" t="s">
        <v>376</v>
      </c>
      <c r="B23" s="445" t="s">
        <v>377</v>
      </c>
      <c r="C23" s="322"/>
      <c r="D23" s="323" t="s">
        <v>373</v>
      </c>
      <c r="E23" s="322"/>
      <c r="F23" s="322" t="s">
        <v>378</v>
      </c>
      <c r="G23" s="241" t="e">
        <f>VLOOKUP(A23,'Feature Summary'!$A$7:$C$3954,3,FALSE)</f>
        <v>#N/A</v>
      </c>
      <c r="H23" s="412" t="s">
        <v>379</v>
      </c>
      <c r="I23" s="442" t="s">
        <v>41</v>
      </c>
      <c r="J23" s="322"/>
      <c r="K23" s="323">
        <v>80</v>
      </c>
      <c r="L23" s="323">
        <v>1</v>
      </c>
      <c r="M23" s="416" t="s">
        <v>325</v>
      </c>
      <c r="N23" s="459">
        <v>1</v>
      </c>
      <c r="O23" s="566">
        <v>1</v>
      </c>
      <c r="P23" s="460">
        <f>IF((O23=0),0,(O23/L23))</f>
        <v>1</v>
      </c>
      <c r="Q23" s="438" t="s">
        <v>48</v>
      </c>
      <c r="R23" s="323">
        <v>1</v>
      </c>
      <c r="S23" s="490">
        <f t="shared" si="1"/>
        <v>1</v>
      </c>
      <c r="T23" s="478">
        <v>1</v>
      </c>
      <c r="U23" s="478"/>
      <c r="V23" s="478"/>
      <c r="W23" s="478"/>
      <c r="X23" s="491">
        <f t="shared" si="0"/>
        <v>1</v>
      </c>
      <c r="Y23" s="443"/>
      <c r="Z23" s="477">
        <f t="shared" si="2"/>
        <v>0</v>
      </c>
      <c r="AA23" s="478"/>
      <c r="AB23" s="478"/>
      <c r="AC23" s="478"/>
      <c r="AD23" s="478"/>
      <c r="AE23" s="479">
        <f t="shared" si="4"/>
        <v>0</v>
      </c>
      <c r="AF23" s="322"/>
      <c r="AG23" s="444" t="str">
        <f>VLOOKUP("ASP-018",'Feature Summary'!$A$7:$U$3954,21,FALSE)</f>
        <v>WK3</v>
      </c>
      <c r="AH23" s="324"/>
    </row>
    <row r="24" spans="1:34" ht="15">
      <c r="A24" s="561" t="s">
        <v>380</v>
      </c>
      <c r="B24" s="561" t="s">
        <v>381</v>
      </c>
      <c r="C24" s="322"/>
      <c r="D24" s="323" t="s">
        <v>373</v>
      </c>
      <c r="E24" s="322"/>
      <c r="F24" s="322" t="s">
        <v>382</v>
      </c>
      <c r="G24" s="241" t="str">
        <f>VLOOKUP(A24,'Feature Summary'!$A$7:$C$3954,3,FALSE)</f>
        <v>P1</v>
      </c>
      <c r="H24" s="412" t="s">
        <v>383</v>
      </c>
      <c r="I24" s="442" t="s">
        <v>41</v>
      </c>
      <c r="J24" s="322"/>
      <c r="K24" s="323">
        <v>120</v>
      </c>
      <c r="L24" s="323">
        <v>1</v>
      </c>
      <c r="M24" s="416" t="s">
        <v>325</v>
      </c>
      <c r="N24" s="459">
        <v>1</v>
      </c>
      <c r="O24" s="566">
        <v>1</v>
      </c>
      <c r="P24" s="460">
        <f>IF((O24=0),0,(O24/L24))</f>
        <v>1</v>
      </c>
      <c r="Q24" s="438" t="s">
        <v>48</v>
      </c>
      <c r="R24" s="323">
        <v>1</v>
      </c>
      <c r="S24" s="490">
        <f t="shared" si="1"/>
        <v>1</v>
      </c>
      <c r="T24" s="478">
        <v>1</v>
      </c>
      <c r="U24" s="478"/>
      <c r="V24" s="478"/>
      <c r="W24" s="478"/>
      <c r="X24" s="491">
        <f t="shared" si="0"/>
        <v>1</v>
      </c>
      <c r="Y24" s="443"/>
      <c r="Z24" s="477">
        <f t="shared" si="2"/>
        <v>0</v>
      </c>
      <c r="AA24" s="478"/>
      <c r="AB24" s="478"/>
      <c r="AC24" s="478"/>
      <c r="AD24" s="478"/>
      <c r="AE24" s="479">
        <f t="shared" si="4"/>
        <v>0</v>
      </c>
      <c r="AF24" s="322"/>
      <c r="AG24" s="444" t="str">
        <f>VLOOKUP(A24,'Feature Summary'!$A$7:$U$3954,21,FALSE)</f>
        <v>WK3</v>
      </c>
      <c r="AH24" s="324"/>
    </row>
    <row r="25" spans="1:34" ht="15" thickBot="1">
      <c r="A25" s="321"/>
      <c r="B25" s="322"/>
      <c r="C25" s="322"/>
      <c r="D25" s="323" t="s">
        <v>373</v>
      </c>
      <c r="E25" s="322"/>
      <c r="F25" s="322" t="s">
        <v>384</v>
      </c>
      <c r="G25" s="241" t="e">
        <f>VLOOKUP(A25,'Feature Summary'!$A$7:$C$3954,3,FALSE)</f>
        <v>#N/A</v>
      </c>
      <c r="H25" s="412" t="s">
        <v>385</v>
      </c>
      <c r="I25" s="442" t="s">
        <v>41</v>
      </c>
      <c r="J25" s="322"/>
      <c r="K25" s="323">
        <v>40</v>
      </c>
      <c r="L25" s="323">
        <v>1</v>
      </c>
      <c r="M25" s="416" t="s">
        <v>364</v>
      </c>
      <c r="N25" s="459">
        <v>1</v>
      </c>
      <c r="O25" s="566">
        <v>1</v>
      </c>
      <c r="P25" s="460">
        <f t="shared" si="3"/>
        <v>1</v>
      </c>
      <c r="Q25" s="438" t="s">
        <v>48</v>
      </c>
      <c r="R25" s="323">
        <v>1</v>
      </c>
      <c r="S25" s="490">
        <f t="shared" si="1"/>
        <v>1</v>
      </c>
      <c r="T25" s="478">
        <v>1</v>
      </c>
      <c r="U25" s="478"/>
      <c r="V25" s="478"/>
      <c r="W25" s="478"/>
      <c r="X25" s="491">
        <f t="shared" si="0"/>
        <v>1</v>
      </c>
      <c r="Y25" s="443"/>
      <c r="Z25" s="477">
        <f t="shared" si="2"/>
        <v>0</v>
      </c>
      <c r="AA25" s="478"/>
      <c r="AB25" s="478"/>
      <c r="AC25" s="478"/>
      <c r="AD25" s="478"/>
      <c r="AE25" s="479">
        <f t="shared" si="4"/>
        <v>0</v>
      </c>
      <c r="AF25" s="322"/>
      <c r="AG25" s="444" t="e">
        <f>VLOOKUP(A25,'Feature Summary'!$A$7:$U$3954,21,FALSE)</f>
        <v>#N/A</v>
      </c>
      <c r="AH25" s="324"/>
    </row>
    <row r="26" spans="1:34" ht="15" thickBot="1">
      <c r="A26" s="561" t="s">
        <v>386</v>
      </c>
      <c r="B26" s="561" t="s">
        <v>387</v>
      </c>
      <c r="C26" s="322"/>
      <c r="D26" s="323" t="s">
        <v>373</v>
      </c>
      <c r="E26" s="322"/>
      <c r="F26" s="322" t="s">
        <v>388</v>
      </c>
      <c r="G26" s="241" t="str">
        <f>VLOOKUP(A26,'Feature Summary'!$A$7:$C$3954,3,FALSE)</f>
        <v>P1</v>
      </c>
      <c r="H26" s="412" t="s">
        <v>389</v>
      </c>
      <c r="I26" s="442" t="s">
        <v>35</v>
      </c>
      <c r="J26" s="322"/>
      <c r="K26" s="323">
        <v>40</v>
      </c>
      <c r="L26" s="323">
        <v>1</v>
      </c>
      <c r="M26" s="416" t="s">
        <v>325</v>
      </c>
      <c r="N26" s="459">
        <v>1</v>
      </c>
      <c r="O26" s="566">
        <v>1</v>
      </c>
      <c r="P26" s="460">
        <f t="shared" si="3"/>
        <v>1</v>
      </c>
      <c r="Q26" s="438" t="s">
        <v>48</v>
      </c>
      <c r="R26" s="323">
        <v>1</v>
      </c>
      <c r="S26" s="490">
        <f t="shared" si="1"/>
        <v>1</v>
      </c>
      <c r="T26" s="478">
        <v>1</v>
      </c>
      <c r="U26" s="478"/>
      <c r="V26" s="478"/>
      <c r="W26" s="478"/>
      <c r="X26" s="491">
        <f t="shared" si="0"/>
        <v>1</v>
      </c>
      <c r="Y26" s="443"/>
      <c r="Z26" s="477">
        <f t="shared" si="2"/>
        <v>0</v>
      </c>
      <c r="AA26" s="478"/>
      <c r="AB26" s="478"/>
      <c r="AC26" s="478"/>
      <c r="AD26" s="478"/>
      <c r="AE26" s="479">
        <f t="shared" si="4"/>
        <v>0</v>
      </c>
      <c r="AF26" s="322"/>
      <c r="AG26" s="444" t="str">
        <f>VLOOKUP(A26,'Feature Summary'!$A$7:$U$3954,21,FALSE)</f>
        <v>WK3</v>
      </c>
      <c r="AH26" s="324"/>
    </row>
    <row r="27" spans="1:34" ht="15" thickBot="1">
      <c r="A27" s="561" t="s">
        <v>390</v>
      </c>
      <c r="B27" s="561" t="s">
        <v>391</v>
      </c>
      <c r="C27" s="322"/>
      <c r="D27" s="323" t="s">
        <v>373</v>
      </c>
      <c r="E27" s="322"/>
      <c r="F27" s="322" t="s">
        <v>392</v>
      </c>
      <c r="G27" s="241" t="str">
        <f>VLOOKUP(A27,'Feature Summary'!$A$7:$C$3954,3,FALSE)</f>
        <v>P3</v>
      </c>
      <c r="H27" s="412" t="s">
        <v>393</v>
      </c>
      <c r="I27" s="442" t="s">
        <v>41</v>
      </c>
      <c r="J27" s="322"/>
      <c r="K27" s="323">
        <v>120</v>
      </c>
      <c r="L27" s="323">
        <v>1</v>
      </c>
      <c r="M27" s="416" t="s">
        <v>325</v>
      </c>
      <c r="N27" s="459">
        <v>1</v>
      </c>
      <c r="O27" s="566">
        <v>1</v>
      </c>
      <c r="P27" s="460">
        <f t="shared" si="3"/>
        <v>1</v>
      </c>
      <c r="Q27" s="438" t="s">
        <v>48</v>
      </c>
      <c r="R27" s="323">
        <v>1</v>
      </c>
      <c r="S27" s="490">
        <f t="shared" si="1"/>
        <v>1</v>
      </c>
      <c r="T27" s="478">
        <v>1</v>
      </c>
      <c r="U27" s="478"/>
      <c r="V27" s="478"/>
      <c r="W27" s="478"/>
      <c r="X27" s="491">
        <f t="shared" si="0"/>
        <v>1</v>
      </c>
      <c r="Y27" s="443"/>
      <c r="Z27" s="477">
        <f t="shared" si="2"/>
        <v>0</v>
      </c>
      <c r="AA27" s="478"/>
      <c r="AB27" s="478"/>
      <c r="AC27" s="478"/>
      <c r="AD27" s="478"/>
      <c r="AE27" s="479">
        <f t="shared" si="4"/>
        <v>0</v>
      </c>
      <c r="AF27" s="322"/>
      <c r="AG27" s="444" t="str">
        <f>VLOOKUP(A27,'Feature Summary'!$A$7:$U$3954,21,FALSE)</f>
        <v>Wk6</v>
      </c>
      <c r="AH27" s="324"/>
    </row>
    <row r="28" spans="1:34" ht="15" thickBot="1">
      <c r="A28" s="561" t="s">
        <v>394</v>
      </c>
      <c r="B28" s="561" t="s">
        <v>395</v>
      </c>
      <c r="C28" s="322"/>
      <c r="D28" s="323" t="s">
        <v>373</v>
      </c>
      <c r="E28" s="322"/>
      <c r="F28" s="322" t="s">
        <v>396</v>
      </c>
      <c r="G28" s="241" t="str">
        <f>VLOOKUP(A28,'Feature Summary'!$A$7:$C$3954,3,FALSE)</f>
        <v>P1</v>
      </c>
      <c r="H28" s="412" t="s">
        <v>397</v>
      </c>
      <c r="I28" s="442" t="s">
        <v>35</v>
      </c>
      <c r="J28" s="322"/>
      <c r="K28" s="323">
        <v>40</v>
      </c>
      <c r="L28" s="323">
        <v>1</v>
      </c>
      <c r="M28" s="416" t="s">
        <v>364</v>
      </c>
      <c r="N28" s="459">
        <v>1</v>
      </c>
      <c r="O28" s="566">
        <v>1</v>
      </c>
      <c r="P28" s="460">
        <f t="shared" si="3"/>
        <v>1</v>
      </c>
      <c r="Q28" s="438" t="s">
        <v>32</v>
      </c>
      <c r="R28" s="323">
        <v>1</v>
      </c>
      <c r="S28" s="490">
        <f t="shared" si="1"/>
        <v>1</v>
      </c>
      <c r="T28" s="478">
        <v>1</v>
      </c>
      <c r="U28" s="478"/>
      <c r="V28" s="478"/>
      <c r="W28" s="478"/>
      <c r="X28" s="491">
        <f t="shared" si="0"/>
        <v>1</v>
      </c>
      <c r="Y28" s="443"/>
      <c r="Z28" s="477">
        <f t="shared" si="2"/>
        <v>0</v>
      </c>
      <c r="AA28" s="478"/>
      <c r="AB28" s="478"/>
      <c r="AC28" s="478"/>
      <c r="AD28" s="478"/>
      <c r="AE28" s="479">
        <f t="shared" si="4"/>
        <v>0</v>
      </c>
      <c r="AF28" s="322"/>
      <c r="AG28" s="444" t="str">
        <f>VLOOKUP(A28,'Feature Summary'!$A$7:$U$3954,21,FALSE)</f>
        <v>WK3</v>
      </c>
      <c r="AH28" s="324"/>
    </row>
    <row r="29" spans="1:34" ht="15" thickBot="1">
      <c r="A29" s="561" t="s">
        <v>398</v>
      </c>
      <c r="B29" s="561" t="s">
        <v>399</v>
      </c>
      <c r="C29" s="322"/>
      <c r="D29" s="323" t="s">
        <v>373</v>
      </c>
      <c r="E29" s="322"/>
      <c r="F29" s="322" t="s">
        <v>400</v>
      </c>
      <c r="G29" s="241" t="str">
        <f>VLOOKUP(A29,'Feature Summary'!$A$7:$C$3954,3,FALSE)</f>
        <v>P1</v>
      </c>
      <c r="H29" s="412" t="s">
        <v>401</v>
      </c>
      <c r="I29" s="442" t="s">
        <v>35</v>
      </c>
      <c r="J29" s="322"/>
      <c r="K29" s="323">
        <v>40</v>
      </c>
      <c r="L29" s="323">
        <v>1</v>
      </c>
      <c r="M29" s="416" t="s">
        <v>364</v>
      </c>
      <c r="N29" s="459">
        <v>1</v>
      </c>
      <c r="O29" s="566">
        <v>1</v>
      </c>
      <c r="P29" s="460">
        <f t="shared" si="3"/>
        <v>1</v>
      </c>
      <c r="Q29" s="438" t="s">
        <v>32</v>
      </c>
      <c r="R29" s="323">
        <v>1</v>
      </c>
      <c r="S29" s="490">
        <f t="shared" si="1"/>
        <v>1</v>
      </c>
      <c r="T29" s="478">
        <v>1</v>
      </c>
      <c r="U29" s="478"/>
      <c r="V29" s="478"/>
      <c r="W29" s="478"/>
      <c r="X29" s="491">
        <f t="shared" si="0"/>
        <v>1</v>
      </c>
      <c r="Y29" s="443"/>
      <c r="Z29" s="477">
        <f t="shared" si="2"/>
        <v>0</v>
      </c>
      <c r="AA29" s="478"/>
      <c r="AB29" s="478"/>
      <c r="AC29" s="478"/>
      <c r="AD29" s="478"/>
      <c r="AE29" s="479">
        <f t="shared" si="4"/>
        <v>0</v>
      </c>
      <c r="AF29" s="322"/>
      <c r="AG29" s="444" t="str">
        <f>VLOOKUP(A29,'Feature Summary'!$A$7:$U$3954,21,FALSE)</f>
        <v>WK3</v>
      </c>
      <c r="AH29" s="324"/>
    </row>
    <row r="30" spans="1:34" ht="15" thickBot="1">
      <c r="A30" s="561" t="s">
        <v>402</v>
      </c>
      <c r="B30" s="561" t="s">
        <v>403</v>
      </c>
      <c r="C30" s="322"/>
      <c r="D30" s="323" t="s">
        <v>373</v>
      </c>
      <c r="E30" s="322"/>
      <c r="F30" s="322" t="s">
        <v>404</v>
      </c>
      <c r="G30" s="241" t="str">
        <f>VLOOKUP(A30,'Feature Summary'!$A$7:$C$3954,3,FALSE)</f>
        <v>P1</v>
      </c>
      <c r="H30" s="412" t="s">
        <v>405</v>
      </c>
      <c r="I30" s="442" t="s">
        <v>41</v>
      </c>
      <c r="J30" s="322"/>
      <c r="K30" s="323">
        <v>40</v>
      </c>
      <c r="L30" s="323">
        <v>1</v>
      </c>
      <c r="M30" s="416" t="s">
        <v>325</v>
      </c>
      <c r="N30" s="459">
        <v>1</v>
      </c>
      <c r="O30" s="566">
        <v>1</v>
      </c>
      <c r="P30" s="460">
        <f t="shared" si="3"/>
        <v>1</v>
      </c>
      <c r="Q30" s="438" t="s">
        <v>32</v>
      </c>
      <c r="R30" s="323">
        <v>1</v>
      </c>
      <c r="S30" s="490">
        <f t="shared" si="1"/>
        <v>1</v>
      </c>
      <c r="T30" s="478">
        <v>1</v>
      </c>
      <c r="U30" s="478"/>
      <c r="V30" s="478"/>
      <c r="W30" s="478"/>
      <c r="X30" s="491">
        <f t="shared" si="0"/>
        <v>1</v>
      </c>
      <c r="Y30" s="443"/>
      <c r="Z30" s="477">
        <f t="shared" si="2"/>
        <v>0</v>
      </c>
      <c r="AA30" s="478"/>
      <c r="AB30" s="478"/>
      <c r="AC30" s="478"/>
      <c r="AD30" s="478"/>
      <c r="AE30" s="479">
        <f t="shared" si="4"/>
        <v>0</v>
      </c>
      <c r="AF30" s="322"/>
      <c r="AG30" s="444" t="str">
        <f>VLOOKUP(A30,'Feature Summary'!$A$7:$U$3954,21,FALSE)</f>
        <v>WK3</v>
      </c>
      <c r="AH30" s="324"/>
    </row>
    <row r="31" spans="1:34" ht="15" thickBot="1">
      <c r="A31" s="561" t="s">
        <v>406</v>
      </c>
      <c r="B31" s="561" t="s">
        <v>407</v>
      </c>
      <c r="C31" s="322"/>
      <c r="D31" s="323" t="s">
        <v>373</v>
      </c>
      <c r="E31" s="322"/>
      <c r="F31" s="322" t="s">
        <v>408</v>
      </c>
      <c r="G31" s="241" t="str">
        <f>VLOOKUP(A31,'Feature Summary'!$A$7:$C$3954,3,FALSE)</f>
        <v>P1</v>
      </c>
      <c r="H31" s="412" t="s">
        <v>409</v>
      </c>
      <c r="I31" s="442" t="s">
        <v>41</v>
      </c>
      <c r="J31" s="322"/>
      <c r="K31" s="323">
        <v>40</v>
      </c>
      <c r="L31" s="323">
        <v>1</v>
      </c>
      <c r="M31" s="416" t="s">
        <v>325</v>
      </c>
      <c r="N31" s="459">
        <v>1</v>
      </c>
      <c r="O31" s="566">
        <v>1</v>
      </c>
      <c r="P31" s="460">
        <f t="shared" si="3"/>
        <v>1</v>
      </c>
      <c r="Q31" s="438" t="s">
        <v>32</v>
      </c>
      <c r="R31" s="323">
        <v>1</v>
      </c>
      <c r="S31" s="490">
        <f t="shared" si="1"/>
        <v>1</v>
      </c>
      <c r="T31" s="478">
        <v>1</v>
      </c>
      <c r="U31" s="478"/>
      <c r="V31" s="478"/>
      <c r="W31" s="478"/>
      <c r="X31" s="491">
        <f t="shared" si="0"/>
        <v>1</v>
      </c>
      <c r="Y31" s="443"/>
      <c r="Z31" s="477">
        <f t="shared" si="2"/>
        <v>0</v>
      </c>
      <c r="AA31" s="478"/>
      <c r="AB31" s="478"/>
      <c r="AC31" s="478"/>
      <c r="AD31" s="478"/>
      <c r="AE31" s="479">
        <f t="shared" si="4"/>
        <v>0</v>
      </c>
      <c r="AF31" s="322"/>
      <c r="AG31" s="444" t="str">
        <f>VLOOKUP(A31,'Feature Summary'!$A$7:$U$3954,21,FALSE)</f>
        <v>WK3</v>
      </c>
      <c r="AH31" s="324"/>
    </row>
    <row r="32" spans="1:34" ht="15" thickBot="1">
      <c r="A32" s="561" t="s">
        <v>410</v>
      </c>
      <c r="B32" s="561" t="s">
        <v>411</v>
      </c>
      <c r="C32" s="322"/>
      <c r="D32" s="323" t="s">
        <v>373</v>
      </c>
      <c r="E32" s="322"/>
      <c r="F32" s="322" t="s">
        <v>412</v>
      </c>
      <c r="G32" s="241" t="str">
        <f>VLOOKUP(A32,'Feature Summary'!$A$7:$C$3954,3,FALSE)</f>
        <v>P1</v>
      </c>
      <c r="H32" s="412" t="s">
        <v>413</v>
      </c>
      <c r="I32" s="442" t="s">
        <v>41</v>
      </c>
      <c r="J32" s="322"/>
      <c r="K32" s="323">
        <v>40</v>
      </c>
      <c r="L32" s="323">
        <v>1</v>
      </c>
      <c r="M32" s="416" t="s">
        <v>325</v>
      </c>
      <c r="N32" s="459">
        <v>1</v>
      </c>
      <c r="O32" s="566">
        <v>1</v>
      </c>
      <c r="P32" s="460">
        <f t="shared" si="3"/>
        <v>1</v>
      </c>
      <c r="Q32" s="438" t="s">
        <v>32</v>
      </c>
      <c r="R32" s="323">
        <v>1</v>
      </c>
      <c r="S32" s="490">
        <f t="shared" si="1"/>
        <v>1</v>
      </c>
      <c r="T32" s="478">
        <v>1</v>
      </c>
      <c r="U32" s="478"/>
      <c r="V32" s="478"/>
      <c r="W32" s="478"/>
      <c r="X32" s="491">
        <f t="shared" si="0"/>
        <v>1</v>
      </c>
      <c r="Y32" s="443"/>
      <c r="Z32" s="477">
        <f t="shared" si="2"/>
        <v>0</v>
      </c>
      <c r="AA32" s="478"/>
      <c r="AB32" s="478"/>
      <c r="AC32" s="478"/>
      <c r="AD32" s="478"/>
      <c r="AE32" s="479">
        <f t="shared" si="4"/>
        <v>0</v>
      </c>
      <c r="AF32" s="322"/>
      <c r="AG32" s="444" t="str">
        <f>VLOOKUP(A32,'Feature Summary'!$A$7:$U$3954,21,FALSE)</f>
        <v>WK3</v>
      </c>
      <c r="AH32" s="324"/>
    </row>
    <row r="33" spans="1:34" ht="15">
      <c r="A33" s="561" t="s">
        <v>414</v>
      </c>
      <c r="B33" s="561" t="s">
        <v>415</v>
      </c>
      <c r="C33" s="322"/>
      <c r="D33" s="323" t="s">
        <v>373</v>
      </c>
      <c r="E33" s="322"/>
      <c r="F33" s="322" t="s">
        <v>416</v>
      </c>
      <c r="G33" s="241" t="str">
        <f>VLOOKUP(A33,'Feature Summary'!$A$7:$C$3954,3,FALSE)</f>
        <v>P1</v>
      </c>
      <c r="H33" s="412" t="s">
        <v>417</v>
      </c>
      <c r="I33" s="442" t="s">
        <v>41</v>
      </c>
      <c r="J33" s="322"/>
      <c r="K33" s="323">
        <v>40</v>
      </c>
      <c r="L33" s="323">
        <v>1</v>
      </c>
      <c r="M33" s="416" t="s">
        <v>325</v>
      </c>
      <c r="N33" s="459">
        <v>1</v>
      </c>
      <c r="O33" s="566">
        <v>1</v>
      </c>
      <c r="P33" s="460">
        <f>IF((O33=0),0,(O33/L33))</f>
        <v>1</v>
      </c>
      <c r="Q33" s="438" t="s">
        <v>32</v>
      </c>
      <c r="R33" s="323">
        <v>1</v>
      </c>
      <c r="S33" s="490">
        <f t="shared" si="1"/>
        <v>1</v>
      </c>
      <c r="T33" s="478">
        <v>1</v>
      </c>
      <c r="U33" s="478"/>
      <c r="V33" s="478"/>
      <c r="W33" s="478"/>
      <c r="X33" s="491">
        <f t="shared" si="0"/>
        <v>1</v>
      </c>
      <c r="Y33" s="443"/>
      <c r="Z33" s="477">
        <f t="shared" si="2"/>
        <v>0</v>
      </c>
      <c r="AA33" s="478"/>
      <c r="AB33" s="478"/>
      <c r="AC33" s="478"/>
      <c r="AD33" s="478"/>
      <c r="AE33" s="479">
        <f t="shared" si="4"/>
        <v>0</v>
      </c>
      <c r="AF33" s="322"/>
      <c r="AG33" s="444" t="str">
        <f>VLOOKUP(A33,'Feature Summary'!$A$7:$U$3954,21,FALSE)</f>
        <v>WK3</v>
      </c>
      <c r="AH33" s="324"/>
    </row>
    <row r="34" spans="1:34" ht="15">
      <c r="A34" s="561" t="s">
        <v>418</v>
      </c>
      <c r="B34" s="561" t="s">
        <v>419</v>
      </c>
      <c r="C34" s="322"/>
      <c r="D34" s="323" t="s">
        <v>373</v>
      </c>
      <c r="E34" s="322"/>
      <c r="F34" s="322" t="s">
        <v>420</v>
      </c>
      <c r="G34" s="241" t="str">
        <f>VLOOKUP(A34,'Feature Summary'!$A$7:$C$3954,3,FALSE)</f>
        <v>P2</v>
      </c>
      <c r="H34" s="412" t="s">
        <v>421</v>
      </c>
      <c r="I34" s="442" t="s">
        <v>41</v>
      </c>
      <c r="J34" s="322"/>
      <c r="K34" s="323">
        <v>24</v>
      </c>
      <c r="L34" s="323">
        <v>1</v>
      </c>
      <c r="M34" s="416" t="s">
        <v>325</v>
      </c>
      <c r="N34" s="459">
        <v>1</v>
      </c>
      <c r="O34" s="566">
        <v>1</v>
      </c>
      <c r="P34" s="460">
        <f>IF((O34=0),0,(O34/L34))</f>
        <v>1</v>
      </c>
      <c r="Q34" s="438" t="s">
        <v>48</v>
      </c>
      <c r="R34" s="323">
        <v>1</v>
      </c>
      <c r="S34" s="490">
        <f t="shared" si="1"/>
        <v>1</v>
      </c>
      <c r="T34" s="478">
        <v>1</v>
      </c>
      <c r="U34" s="478"/>
      <c r="V34" s="478"/>
      <c r="W34" s="478"/>
      <c r="X34" s="491">
        <f t="shared" si="0"/>
        <v>1</v>
      </c>
      <c r="Y34" s="443"/>
      <c r="Z34" s="477">
        <f t="shared" si="2"/>
        <v>0</v>
      </c>
      <c r="AA34" s="478"/>
      <c r="AB34" s="478"/>
      <c r="AC34" s="478"/>
      <c r="AD34" s="478"/>
      <c r="AE34" s="479">
        <f t="shared" si="4"/>
        <v>0</v>
      </c>
      <c r="AF34" s="322"/>
      <c r="AG34" s="444" t="str">
        <f>VLOOKUP(A34,'Feature Summary'!$A$7:$U$3954,21,FALSE)</f>
        <v>WK3</v>
      </c>
      <c r="AH34" s="324"/>
    </row>
    <row r="35" spans="1:34" ht="15" thickBot="1">
      <c r="A35" s="561" t="s">
        <v>418</v>
      </c>
      <c r="B35" s="561" t="s">
        <v>419</v>
      </c>
      <c r="C35" s="322"/>
      <c r="D35" s="323" t="s">
        <v>373</v>
      </c>
      <c r="E35" s="322"/>
      <c r="F35" s="322" t="s">
        <v>422</v>
      </c>
      <c r="G35" s="241" t="str">
        <f>VLOOKUP(A35,'Feature Summary'!$A$7:$C$3954,3,FALSE)</f>
        <v>P2</v>
      </c>
      <c r="H35" s="412" t="s">
        <v>423</v>
      </c>
      <c r="I35" s="442" t="s">
        <v>41</v>
      </c>
      <c r="J35" s="322"/>
      <c r="K35" s="323">
        <v>24</v>
      </c>
      <c r="L35" s="323">
        <v>1</v>
      </c>
      <c r="M35" s="416" t="s">
        <v>325</v>
      </c>
      <c r="N35" s="459">
        <v>1</v>
      </c>
      <c r="O35" s="566">
        <v>1</v>
      </c>
      <c r="P35" s="460">
        <f t="shared" si="3"/>
        <v>1</v>
      </c>
      <c r="Q35" s="438" t="s">
        <v>48</v>
      </c>
      <c r="R35" s="323">
        <v>1</v>
      </c>
      <c r="S35" s="490">
        <f t="shared" si="1"/>
        <v>1</v>
      </c>
      <c r="T35" s="478">
        <v>1</v>
      </c>
      <c r="U35" s="478"/>
      <c r="V35" s="478"/>
      <c r="W35" s="478"/>
      <c r="X35" s="491">
        <f t="shared" si="0"/>
        <v>1</v>
      </c>
      <c r="Y35" s="443"/>
      <c r="Z35" s="477">
        <f t="shared" si="2"/>
        <v>0</v>
      </c>
      <c r="AA35" s="478"/>
      <c r="AB35" s="478"/>
      <c r="AC35" s="478"/>
      <c r="AD35" s="478"/>
      <c r="AE35" s="479">
        <f t="shared" si="4"/>
        <v>0</v>
      </c>
      <c r="AF35" s="322"/>
      <c r="AG35" s="444" t="str">
        <f>VLOOKUP(A35,'Feature Summary'!$A$7:$U$3954,21,FALSE)</f>
        <v>WK3</v>
      </c>
      <c r="AH35" s="324"/>
    </row>
    <row r="36" spans="1:34" ht="15" thickBot="1">
      <c r="A36" s="561" t="s">
        <v>418</v>
      </c>
      <c r="B36" s="561" t="s">
        <v>419</v>
      </c>
      <c r="C36" s="322"/>
      <c r="D36" s="323" t="s">
        <v>373</v>
      </c>
      <c r="E36" s="322"/>
      <c r="F36" s="322" t="s">
        <v>424</v>
      </c>
      <c r="G36" s="241" t="str">
        <f>VLOOKUP(A36,'Feature Summary'!$A$7:$C$3954,3,FALSE)</f>
        <v>P2</v>
      </c>
      <c r="H36" s="412" t="s">
        <v>425</v>
      </c>
      <c r="I36" s="442" t="s">
        <v>41</v>
      </c>
      <c r="J36" s="322"/>
      <c r="K36" s="323">
        <v>24</v>
      </c>
      <c r="L36" s="323">
        <v>1</v>
      </c>
      <c r="M36" s="416" t="s">
        <v>325</v>
      </c>
      <c r="N36" s="459">
        <v>1</v>
      </c>
      <c r="O36" s="566">
        <v>1</v>
      </c>
      <c r="P36" s="460">
        <f t="shared" si="3"/>
        <v>1</v>
      </c>
      <c r="Q36" s="438" t="s">
        <v>48</v>
      </c>
      <c r="R36" s="323">
        <v>1</v>
      </c>
      <c r="S36" s="490">
        <f t="shared" si="1"/>
        <v>1</v>
      </c>
      <c r="T36" s="478">
        <v>1</v>
      </c>
      <c r="U36" s="478"/>
      <c r="V36" s="478"/>
      <c r="W36" s="478"/>
      <c r="X36" s="491">
        <f t="shared" si="0"/>
        <v>1</v>
      </c>
      <c r="Y36" s="443"/>
      <c r="Z36" s="477">
        <f t="shared" si="2"/>
        <v>0</v>
      </c>
      <c r="AA36" s="478"/>
      <c r="AB36" s="478"/>
      <c r="AC36" s="478"/>
      <c r="AD36" s="478"/>
      <c r="AE36" s="479">
        <f t="shared" si="4"/>
        <v>0</v>
      </c>
      <c r="AF36" s="322"/>
      <c r="AG36" s="444" t="str">
        <f>VLOOKUP(A36,'Feature Summary'!$A$7:$U$3954,21,FALSE)</f>
        <v>WK3</v>
      </c>
      <c r="AH36" s="324"/>
    </row>
    <row r="37" spans="1:34" ht="15" thickBot="1">
      <c r="A37" s="561" t="s">
        <v>418</v>
      </c>
      <c r="B37" s="561" t="s">
        <v>419</v>
      </c>
      <c r="C37" s="322"/>
      <c r="D37" s="323" t="s">
        <v>373</v>
      </c>
      <c r="E37" s="322"/>
      <c r="F37" s="322" t="s">
        <v>426</v>
      </c>
      <c r="G37" s="241" t="str">
        <f>VLOOKUP(A37,'Feature Summary'!$A$7:$C$3954,3,FALSE)</f>
        <v>P2</v>
      </c>
      <c r="H37" s="412" t="s">
        <v>427</v>
      </c>
      <c r="I37" s="442" t="s">
        <v>41</v>
      </c>
      <c r="J37" s="322"/>
      <c r="K37" s="323">
        <v>24</v>
      </c>
      <c r="L37" s="323">
        <v>1</v>
      </c>
      <c r="M37" s="416" t="s">
        <v>325</v>
      </c>
      <c r="N37" s="459">
        <v>1</v>
      </c>
      <c r="O37" s="566">
        <v>1</v>
      </c>
      <c r="P37" s="460">
        <f t="shared" si="3"/>
        <v>1</v>
      </c>
      <c r="Q37" s="438" t="s">
        <v>48</v>
      </c>
      <c r="R37" s="323">
        <v>1</v>
      </c>
      <c r="S37" s="490">
        <f t="shared" si="1"/>
        <v>1</v>
      </c>
      <c r="T37" s="478">
        <v>1</v>
      </c>
      <c r="U37" s="478"/>
      <c r="V37" s="478"/>
      <c r="W37" s="478"/>
      <c r="X37" s="491">
        <f t="shared" si="0"/>
        <v>1</v>
      </c>
      <c r="Y37" s="443"/>
      <c r="Z37" s="477">
        <f t="shared" si="2"/>
        <v>0</v>
      </c>
      <c r="AA37" s="478"/>
      <c r="AB37" s="478"/>
      <c r="AC37" s="478"/>
      <c r="AD37" s="478"/>
      <c r="AE37" s="479">
        <f t="shared" si="4"/>
        <v>0</v>
      </c>
      <c r="AF37" s="322"/>
      <c r="AG37" s="444" t="str">
        <f>VLOOKUP(A37,'Feature Summary'!$A$7:$U$3954,21,FALSE)</f>
        <v>WK3</v>
      </c>
      <c r="AH37" s="324"/>
    </row>
    <row r="38" spans="1:34" ht="15" thickBot="1">
      <c r="A38" s="561" t="s">
        <v>418</v>
      </c>
      <c r="B38" s="561" t="s">
        <v>419</v>
      </c>
      <c r="C38" s="322"/>
      <c r="D38" s="323" t="s">
        <v>373</v>
      </c>
      <c r="E38" s="322"/>
      <c r="F38" s="322" t="s">
        <v>428</v>
      </c>
      <c r="G38" s="241" t="str">
        <f>VLOOKUP(A38,'Feature Summary'!$A$7:$C$3954,3,FALSE)</f>
        <v>P2</v>
      </c>
      <c r="H38" s="412" t="s">
        <v>429</v>
      </c>
      <c r="I38" s="442" t="s">
        <v>41</v>
      </c>
      <c r="J38" s="322"/>
      <c r="K38" s="323">
        <v>24</v>
      </c>
      <c r="L38" s="323">
        <v>1</v>
      </c>
      <c r="M38" s="416" t="s">
        <v>325</v>
      </c>
      <c r="N38" s="459">
        <v>1</v>
      </c>
      <c r="O38" s="566">
        <v>1</v>
      </c>
      <c r="P38" s="460">
        <f t="shared" si="3"/>
        <v>1</v>
      </c>
      <c r="Q38" s="438" t="s">
        <v>48</v>
      </c>
      <c r="R38" s="323">
        <v>1</v>
      </c>
      <c r="S38" s="490">
        <f t="shared" si="1"/>
        <v>1</v>
      </c>
      <c r="T38" s="478">
        <v>1</v>
      </c>
      <c r="U38" s="478"/>
      <c r="V38" s="478"/>
      <c r="W38" s="478"/>
      <c r="X38" s="491">
        <f t="shared" si="0"/>
        <v>1</v>
      </c>
      <c r="Y38" s="443"/>
      <c r="Z38" s="477">
        <f t="shared" si="2"/>
        <v>0</v>
      </c>
      <c r="AA38" s="478"/>
      <c r="AB38" s="478"/>
      <c r="AC38" s="478"/>
      <c r="AD38" s="478"/>
      <c r="AE38" s="479">
        <f t="shared" si="4"/>
        <v>0</v>
      </c>
      <c r="AF38" s="322"/>
      <c r="AG38" s="444" t="str">
        <f>VLOOKUP(A38,'Feature Summary'!$A$7:$U$3954,21,FALSE)</f>
        <v>WK3</v>
      </c>
      <c r="AH38" s="324"/>
    </row>
    <row r="39" spans="1:34" ht="15" thickBot="1">
      <c r="A39" s="561" t="s">
        <v>418</v>
      </c>
      <c r="B39" s="561" t="s">
        <v>419</v>
      </c>
      <c r="C39" s="322"/>
      <c r="D39" s="323" t="s">
        <v>373</v>
      </c>
      <c r="E39" s="322"/>
      <c r="F39" s="322" t="s">
        <v>430</v>
      </c>
      <c r="G39" s="241" t="str">
        <f>VLOOKUP(A39,'Feature Summary'!$A$7:$C$3954,3,FALSE)</f>
        <v>P2</v>
      </c>
      <c r="H39" s="412" t="s">
        <v>431</v>
      </c>
      <c r="I39" s="442" t="s">
        <v>41</v>
      </c>
      <c r="J39" s="322"/>
      <c r="K39" s="323">
        <v>24</v>
      </c>
      <c r="L39" s="323">
        <v>1</v>
      </c>
      <c r="M39" s="416" t="s">
        <v>325</v>
      </c>
      <c r="N39" s="459">
        <v>1</v>
      </c>
      <c r="O39" s="566">
        <v>1</v>
      </c>
      <c r="P39" s="460">
        <f t="shared" si="3"/>
        <v>1</v>
      </c>
      <c r="Q39" s="438" t="s">
        <v>48</v>
      </c>
      <c r="R39" s="323">
        <v>1</v>
      </c>
      <c r="S39" s="490">
        <f t="shared" si="1"/>
        <v>1</v>
      </c>
      <c r="T39" s="478">
        <v>1</v>
      </c>
      <c r="U39" s="478"/>
      <c r="V39" s="478"/>
      <c r="W39" s="478"/>
      <c r="X39" s="491">
        <f t="shared" si="0"/>
        <v>1</v>
      </c>
      <c r="Y39" s="443"/>
      <c r="Z39" s="477">
        <f t="shared" si="2"/>
        <v>0</v>
      </c>
      <c r="AA39" s="478"/>
      <c r="AB39" s="478"/>
      <c r="AC39" s="478"/>
      <c r="AD39" s="478"/>
      <c r="AE39" s="479">
        <f t="shared" si="4"/>
        <v>0</v>
      </c>
      <c r="AF39" s="322"/>
      <c r="AG39" s="444" t="str">
        <f>VLOOKUP(A39,'Feature Summary'!$A$7:$U$3954,21,FALSE)</f>
        <v>WK3</v>
      </c>
      <c r="AH39" s="324"/>
    </row>
    <row r="40" spans="1:34" ht="15">
      <c r="A40" s="561" t="s">
        <v>418</v>
      </c>
      <c r="B40" s="561" t="s">
        <v>419</v>
      </c>
      <c r="C40" s="322"/>
      <c r="D40" s="323" t="s">
        <v>373</v>
      </c>
      <c r="E40" s="322"/>
      <c r="F40" s="322" t="s">
        <v>432</v>
      </c>
      <c r="G40" s="241" t="str">
        <f>VLOOKUP(A40,'Feature Summary'!$A$7:$C$3954,3,FALSE)</f>
        <v>P2</v>
      </c>
      <c r="H40" s="412" t="s">
        <v>433</v>
      </c>
      <c r="I40" s="442" t="s">
        <v>41</v>
      </c>
      <c r="J40" s="322"/>
      <c r="K40" s="323">
        <v>24</v>
      </c>
      <c r="L40" s="323">
        <v>1</v>
      </c>
      <c r="M40" s="416" t="s">
        <v>325</v>
      </c>
      <c r="N40" s="459">
        <v>1</v>
      </c>
      <c r="O40" s="566">
        <v>1</v>
      </c>
      <c r="P40" s="460">
        <f>IF((O40=0),0,(O40/L40))</f>
        <v>1</v>
      </c>
      <c r="Q40" s="438" t="s">
        <v>48</v>
      </c>
      <c r="R40" s="323">
        <v>1</v>
      </c>
      <c r="S40" s="490">
        <f t="shared" si="1"/>
        <v>1</v>
      </c>
      <c r="T40" s="478">
        <v>1</v>
      </c>
      <c r="U40" s="478"/>
      <c r="V40" s="478"/>
      <c r="W40" s="478"/>
      <c r="X40" s="491">
        <f t="shared" si="0"/>
        <v>1</v>
      </c>
      <c r="Y40" s="443"/>
      <c r="Z40" s="477">
        <f t="shared" si="2"/>
        <v>0</v>
      </c>
      <c r="AA40" s="478"/>
      <c r="AB40" s="478"/>
      <c r="AC40" s="478"/>
      <c r="AD40" s="478"/>
      <c r="AE40" s="479">
        <f t="shared" si="4"/>
        <v>0</v>
      </c>
      <c r="AF40" s="322"/>
      <c r="AG40" s="444" t="str">
        <f>VLOOKUP(A40,'Feature Summary'!$A$7:$U$3954,21,FALSE)</f>
        <v>WK3</v>
      </c>
      <c r="AH40" s="324"/>
    </row>
    <row r="41" spans="1:34" ht="15">
      <c r="A41" s="561" t="s">
        <v>418</v>
      </c>
      <c r="B41" s="561" t="s">
        <v>419</v>
      </c>
      <c r="C41" s="322"/>
      <c r="D41" s="323" t="s">
        <v>373</v>
      </c>
      <c r="E41" s="322"/>
      <c r="F41" s="322" t="s">
        <v>434</v>
      </c>
      <c r="G41" s="241" t="str">
        <f>VLOOKUP(A41,'Feature Summary'!$A$7:$C$3954,3,FALSE)</f>
        <v>P2</v>
      </c>
      <c r="H41" s="412" t="s">
        <v>435</v>
      </c>
      <c r="I41" s="442" t="s">
        <v>41</v>
      </c>
      <c r="J41" s="322"/>
      <c r="K41" s="323">
        <v>24</v>
      </c>
      <c r="L41" s="323">
        <v>1</v>
      </c>
      <c r="M41" s="416" t="s">
        <v>325</v>
      </c>
      <c r="N41" s="459">
        <v>1</v>
      </c>
      <c r="O41" s="566">
        <v>1</v>
      </c>
      <c r="P41" s="460">
        <f>IF((O41=0),0,(O41/L41))</f>
        <v>1</v>
      </c>
      <c r="Q41" s="438" t="s">
        <v>48</v>
      </c>
      <c r="R41" s="323">
        <v>1</v>
      </c>
      <c r="S41" s="490">
        <f t="shared" si="1"/>
        <v>1</v>
      </c>
      <c r="T41" s="478">
        <v>1</v>
      </c>
      <c r="U41" s="478"/>
      <c r="V41" s="478"/>
      <c r="W41" s="478"/>
      <c r="X41" s="491">
        <f t="shared" si="0"/>
        <v>1</v>
      </c>
      <c r="Y41" s="443"/>
      <c r="Z41" s="477">
        <f t="shared" si="2"/>
        <v>0</v>
      </c>
      <c r="AA41" s="478"/>
      <c r="AB41" s="478"/>
      <c r="AC41" s="478"/>
      <c r="AD41" s="478"/>
      <c r="AE41" s="479">
        <f t="shared" si="4"/>
        <v>0</v>
      </c>
      <c r="AF41" s="322"/>
      <c r="AG41" s="444" t="str">
        <f>VLOOKUP(A41,'Feature Summary'!$A$7:$U$3954,21,FALSE)</f>
        <v>WK3</v>
      </c>
      <c r="AH41" s="324"/>
    </row>
    <row r="42" spans="1:34" ht="15" thickBot="1">
      <c r="A42" s="561" t="s">
        <v>418</v>
      </c>
      <c r="B42" s="561" t="s">
        <v>419</v>
      </c>
      <c r="C42" s="322"/>
      <c r="D42" s="323" t="s">
        <v>373</v>
      </c>
      <c r="E42" s="322"/>
      <c r="F42" s="322" t="s">
        <v>436</v>
      </c>
      <c r="G42" s="241" t="str">
        <f>VLOOKUP(A42,'Feature Summary'!$A$7:$C$3954,3,FALSE)</f>
        <v>P2</v>
      </c>
      <c r="H42" s="412" t="s">
        <v>437</v>
      </c>
      <c r="I42" s="442" t="s">
        <v>41</v>
      </c>
      <c r="J42" s="322"/>
      <c r="K42" s="323">
        <v>24</v>
      </c>
      <c r="L42" s="323">
        <v>1</v>
      </c>
      <c r="M42" s="416" t="s">
        <v>325</v>
      </c>
      <c r="N42" s="459">
        <v>1</v>
      </c>
      <c r="O42" s="566">
        <v>1</v>
      </c>
      <c r="P42" s="460">
        <f t="shared" si="3"/>
        <v>1</v>
      </c>
      <c r="Q42" s="438" t="s">
        <v>48</v>
      </c>
      <c r="R42" s="323">
        <v>1</v>
      </c>
      <c r="S42" s="490">
        <f t="shared" si="1"/>
        <v>1</v>
      </c>
      <c r="T42" s="478">
        <v>1</v>
      </c>
      <c r="U42" s="478"/>
      <c r="V42" s="478"/>
      <c r="W42" s="478"/>
      <c r="X42" s="491">
        <f t="shared" si="0"/>
        <v>1</v>
      </c>
      <c r="Y42" s="443"/>
      <c r="Z42" s="477">
        <f t="shared" si="2"/>
        <v>0</v>
      </c>
      <c r="AA42" s="478"/>
      <c r="AB42" s="478"/>
      <c r="AC42" s="478"/>
      <c r="AD42" s="478"/>
      <c r="AE42" s="479">
        <f t="shared" si="4"/>
        <v>0</v>
      </c>
      <c r="AF42" s="322"/>
      <c r="AG42" s="444" t="str">
        <f>VLOOKUP(A42,'Feature Summary'!$A$7:$U$3954,21,FALSE)</f>
        <v>WK3</v>
      </c>
      <c r="AH42" s="324"/>
    </row>
    <row r="43" spans="1:34" ht="15" thickBot="1">
      <c r="A43" s="561" t="s">
        <v>402</v>
      </c>
      <c r="B43" s="561" t="s">
        <v>403</v>
      </c>
      <c r="C43" s="322"/>
      <c r="D43" s="323" t="s">
        <v>373</v>
      </c>
      <c r="E43" s="322"/>
      <c r="F43" s="322" t="s">
        <v>438</v>
      </c>
      <c r="G43" s="241" t="str">
        <f>VLOOKUP(A43,'Feature Summary'!$A$7:$C$3954,3,FALSE)</f>
        <v>P1</v>
      </c>
      <c r="H43" s="412" t="s">
        <v>439</v>
      </c>
      <c r="I43" s="442" t="s">
        <v>35</v>
      </c>
      <c r="J43" s="322"/>
      <c r="K43" s="323">
        <v>40</v>
      </c>
      <c r="L43" s="323">
        <v>1</v>
      </c>
      <c r="M43" s="416" t="s">
        <v>364</v>
      </c>
      <c r="N43" s="459">
        <v>1</v>
      </c>
      <c r="O43" s="566">
        <v>1</v>
      </c>
      <c r="P43" s="460">
        <f t="shared" si="3"/>
        <v>1</v>
      </c>
      <c r="Q43" s="438" t="s">
        <v>48</v>
      </c>
      <c r="R43" s="323">
        <v>1</v>
      </c>
      <c r="S43" s="490">
        <f t="shared" si="1"/>
        <v>1</v>
      </c>
      <c r="T43" s="478">
        <v>1</v>
      </c>
      <c r="U43" s="478"/>
      <c r="V43" s="478"/>
      <c r="W43" s="478"/>
      <c r="X43" s="491">
        <f t="shared" si="0"/>
        <v>1</v>
      </c>
      <c r="Y43" s="443"/>
      <c r="Z43" s="477">
        <f t="shared" si="2"/>
        <v>0</v>
      </c>
      <c r="AA43" s="478"/>
      <c r="AB43" s="478"/>
      <c r="AC43" s="478"/>
      <c r="AD43" s="478"/>
      <c r="AE43" s="479">
        <f t="shared" si="4"/>
        <v>0</v>
      </c>
      <c r="AF43" s="322"/>
      <c r="AG43" s="444" t="str">
        <f>VLOOKUP(A43,'Feature Summary'!$A$7:$U$3954,21,FALSE)</f>
        <v>WK3</v>
      </c>
      <c r="AH43" s="324"/>
    </row>
    <row r="44" spans="1:34" ht="15" thickBot="1">
      <c r="A44" s="561" t="s">
        <v>402</v>
      </c>
      <c r="B44" s="561" t="s">
        <v>403</v>
      </c>
      <c r="C44" s="322"/>
      <c r="D44" s="323" t="s">
        <v>373</v>
      </c>
      <c r="E44" s="322"/>
      <c r="F44" s="322" t="s">
        <v>440</v>
      </c>
      <c r="G44" s="241" t="str">
        <f>VLOOKUP(A44,'Feature Summary'!$A$7:$C$3954,3,FALSE)</f>
        <v>P1</v>
      </c>
      <c r="H44" s="412" t="s">
        <v>439</v>
      </c>
      <c r="I44" s="442" t="s">
        <v>35</v>
      </c>
      <c r="J44" s="322"/>
      <c r="K44" s="323">
        <v>40</v>
      </c>
      <c r="L44" s="323">
        <v>1</v>
      </c>
      <c r="M44" s="416" t="s">
        <v>364</v>
      </c>
      <c r="N44" s="459">
        <v>1</v>
      </c>
      <c r="O44" s="566">
        <v>1</v>
      </c>
      <c r="P44" s="460">
        <f t="shared" si="3"/>
        <v>1</v>
      </c>
      <c r="Q44" s="438" t="s">
        <v>48</v>
      </c>
      <c r="R44" s="323">
        <v>1</v>
      </c>
      <c r="S44" s="490">
        <f t="shared" si="1"/>
        <v>1</v>
      </c>
      <c r="T44" s="478">
        <v>1</v>
      </c>
      <c r="U44" s="478"/>
      <c r="V44" s="478"/>
      <c r="W44" s="478"/>
      <c r="X44" s="491">
        <f t="shared" si="0"/>
        <v>1</v>
      </c>
      <c r="Y44" s="443"/>
      <c r="Z44" s="477">
        <f t="shared" si="2"/>
        <v>0</v>
      </c>
      <c r="AA44" s="478"/>
      <c r="AB44" s="478"/>
      <c r="AC44" s="478"/>
      <c r="AD44" s="478"/>
      <c r="AE44" s="479">
        <f t="shared" si="4"/>
        <v>0</v>
      </c>
      <c r="AF44" s="322"/>
      <c r="AG44" s="444" t="str">
        <f>VLOOKUP(A44,'Feature Summary'!$A$7:$U$3954,21,FALSE)</f>
        <v>WK3</v>
      </c>
      <c r="AH44" s="324"/>
    </row>
    <row r="45" spans="1:34" ht="15" thickBot="1">
      <c r="A45" s="561" t="s">
        <v>441</v>
      </c>
      <c r="B45" s="561" t="s">
        <v>442</v>
      </c>
      <c r="C45" s="322"/>
      <c r="D45" s="323" t="s">
        <v>373</v>
      </c>
      <c r="E45" s="322"/>
      <c r="F45" s="322" t="s">
        <v>443</v>
      </c>
      <c r="G45" s="241" t="str">
        <f>VLOOKUP(A45,'Feature Summary'!$A$7:$C$3954,3,FALSE)</f>
        <v>P3</v>
      </c>
      <c r="H45" s="412" t="s">
        <v>444</v>
      </c>
      <c r="I45" s="442" t="s">
        <v>41</v>
      </c>
      <c r="J45" s="322"/>
      <c r="K45" s="323">
        <v>40</v>
      </c>
      <c r="L45" s="323">
        <v>1</v>
      </c>
      <c r="M45" s="416" t="s">
        <v>325</v>
      </c>
      <c r="N45" s="459">
        <v>1</v>
      </c>
      <c r="O45" s="566">
        <v>1</v>
      </c>
      <c r="P45" s="460">
        <f t="shared" si="3"/>
        <v>1</v>
      </c>
      <c r="Q45" s="438" t="s">
        <v>48</v>
      </c>
      <c r="R45" s="323">
        <v>1</v>
      </c>
      <c r="S45" s="490">
        <f t="shared" si="1"/>
        <v>1</v>
      </c>
      <c r="T45" s="478">
        <v>1</v>
      </c>
      <c r="U45" s="478"/>
      <c r="V45" s="478"/>
      <c r="W45" s="478"/>
      <c r="X45" s="491">
        <f t="shared" si="0"/>
        <v>1</v>
      </c>
      <c r="Y45" s="443"/>
      <c r="Z45" s="477">
        <f t="shared" si="2"/>
        <v>0</v>
      </c>
      <c r="AA45" s="478"/>
      <c r="AB45" s="478"/>
      <c r="AC45" s="478"/>
      <c r="AD45" s="478"/>
      <c r="AE45" s="479">
        <f t="shared" si="4"/>
        <v>0</v>
      </c>
      <c r="AF45" s="322"/>
      <c r="AG45" s="444" t="str">
        <f>VLOOKUP(A45,'Feature Summary'!$A$7:$U$3954,21,FALSE)</f>
        <v>Wk6</v>
      </c>
      <c r="AH45" s="324"/>
    </row>
    <row r="46" spans="1:34" ht="15" thickBot="1">
      <c r="A46" s="561" t="s">
        <v>445</v>
      </c>
      <c r="B46" s="336" t="s">
        <v>446</v>
      </c>
      <c r="C46" s="322"/>
      <c r="D46" s="323" t="s">
        <v>373</v>
      </c>
      <c r="E46" s="322"/>
      <c r="F46" s="322" t="s">
        <v>447</v>
      </c>
      <c r="G46" s="241" t="str">
        <f>VLOOKUP(A46,'Feature Summary'!$A$7:$C$3954,3,FALSE)</f>
        <v>P1</v>
      </c>
      <c r="H46" s="412" t="s">
        <v>448</v>
      </c>
      <c r="I46" s="442" t="s">
        <v>41</v>
      </c>
      <c r="J46" s="322"/>
      <c r="K46" s="323">
        <v>40</v>
      </c>
      <c r="L46" s="323">
        <v>1</v>
      </c>
      <c r="M46" s="416" t="s">
        <v>325</v>
      </c>
      <c r="N46" s="459">
        <v>1</v>
      </c>
      <c r="O46" s="566">
        <v>1</v>
      </c>
      <c r="P46" s="460">
        <f t="shared" si="3"/>
        <v>1</v>
      </c>
      <c r="Q46" s="438" t="s">
        <v>48</v>
      </c>
      <c r="R46" s="323">
        <v>1</v>
      </c>
      <c r="S46" s="490">
        <f t="shared" si="1"/>
        <v>1</v>
      </c>
      <c r="T46" s="478">
        <v>1</v>
      </c>
      <c r="U46" s="478"/>
      <c r="V46" s="478"/>
      <c r="W46" s="478"/>
      <c r="X46" s="491">
        <f t="shared" si="0"/>
        <v>1</v>
      </c>
      <c r="Y46" s="443"/>
      <c r="Z46" s="477">
        <f t="shared" si="2"/>
        <v>0</v>
      </c>
      <c r="AA46" s="478"/>
      <c r="AB46" s="478"/>
      <c r="AC46" s="478"/>
      <c r="AD46" s="478"/>
      <c r="AE46" s="479">
        <f t="shared" si="4"/>
        <v>0</v>
      </c>
      <c r="AF46" s="322"/>
      <c r="AG46" s="444" t="str">
        <f>VLOOKUP(A46,'Feature Summary'!$A$7:$U$3954,21,FALSE)</f>
        <v>Wk3</v>
      </c>
      <c r="AH46" s="324"/>
    </row>
    <row r="47" spans="1:34" ht="15" thickBot="1">
      <c r="A47" s="561" t="s">
        <v>449</v>
      </c>
      <c r="B47" s="336" t="s">
        <v>450</v>
      </c>
      <c r="C47" s="322"/>
      <c r="D47" s="323" t="s">
        <v>451</v>
      </c>
      <c r="E47" s="322"/>
      <c r="F47" s="322" t="s">
        <v>452</v>
      </c>
      <c r="G47" s="241" t="str">
        <f>VLOOKUP(A47,'Feature Summary'!$A$7:$C$3954,3,FALSE)</f>
        <v>P1</v>
      </c>
      <c r="H47" s="412" t="s">
        <v>453</v>
      </c>
      <c r="I47" s="442" t="s">
        <v>35</v>
      </c>
      <c r="J47" s="322"/>
      <c r="K47" s="323">
        <v>40</v>
      </c>
      <c r="L47" s="323">
        <v>1</v>
      </c>
      <c r="M47" s="416" t="s">
        <v>44</v>
      </c>
      <c r="N47" s="459">
        <v>1</v>
      </c>
      <c r="O47" s="566">
        <v>1</v>
      </c>
      <c r="P47" s="460">
        <f t="shared" si="3"/>
        <v>1</v>
      </c>
      <c r="Q47" s="438" t="s">
        <v>48</v>
      </c>
      <c r="R47" s="323">
        <v>1</v>
      </c>
      <c r="S47" s="490">
        <f t="shared" si="1"/>
        <v>1</v>
      </c>
      <c r="T47" s="478">
        <v>1</v>
      </c>
      <c r="U47" s="478"/>
      <c r="V47" s="478"/>
      <c r="W47" s="478"/>
      <c r="X47" s="491">
        <f t="shared" si="0"/>
        <v>1</v>
      </c>
      <c r="Y47" s="443"/>
      <c r="Z47" s="477">
        <f t="shared" si="2"/>
        <v>0</v>
      </c>
      <c r="AA47" s="478"/>
      <c r="AB47" s="478"/>
      <c r="AC47" s="478"/>
      <c r="AD47" s="478"/>
      <c r="AE47" s="479">
        <f t="shared" si="4"/>
        <v>0</v>
      </c>
      <c r="AF47" s="322"/>
      <c r="AG47" s="444" t="str">
        <f>VLOOKUP(A47,'Feature Summary'!$A$7:$U$3954,21,FALSE)</f>
        <v>Wk3</v>
      </c>
      <c r="AH47" s="324"/>
    </row>
    <row r="48" spans="1:34" ht="15" thickBot="1">
      <c r="A48" s="561" t="s">
        <v>449</v>
      </c>
      <c r="B48" s="336" t="s">
        <v>450</v>
      </c>
      <c r="C48" s="322"/>
      <c r="D48" s="323" t="s">
        <v>451</v>
      </c>
      <c r="E48" s="322"/>
      <c r="F48" s="322" t="s">
        <v>454</v>
      </c>
      <c r="G48" s="241" t="str">
        <f>VLOOKUP(A48,'Feature Summary'!$A$7:$C$3954,3,FALSE)</f>
        <v>P1</v>
      </c>
      <c r="H48" s="412" t="s">
        <v>455</v>
      </c>
      <c r="I48" s="442" t="s">
        <v>35</v>
      </c>
      <c r="J48" s="322"/>
      <c r="K48" s="323">
        <v>40</v>
      </c>
      <c r="L48" s="323">
        <v>1</v>
      </c>
      <c r="M48" s="416" t="s">
        <v>44</v>
      </c>
      <c r="N48" s="459">
        <v>1</v>
      </c>
      <c r="O48" s="566">
        <v>1</v>
      </c>
      <c r="P48" s="460">
        <f t="shared" si="3"/>
        <v>1</v>
      </c>
      <c r="Q48" s="438" t="s">
        <v>48</v>
      </c>
      <c r="R48" s="323">
        <v>1</v>
      </c>
      <c r="S48" s="490">
        <f t="shared" si="1"/>
        <v>1</v>
      </c>
      <c r="T48" s="478">
        <v>1</v>
      </c>
      <c r="U48" s="478"/>
      <c r="V48" s="478"/>
      <c r="W48" s="478"/>
      <c r="X48" s="491">
        <f t="shared" si="0"/>
        <v>1</v>
      </c>
      <c r="Y48" s="443"/>
      <c r="Z48" s="477">
        <f t="shared" si="2"/>
        <v>0</v>
      </c>
      <c r="AA48" s="478"/>
      <c r="AB48" s="478"/>
      <c r="AC48" s="478"/>
      <c r="AD48" s="478"/>
      <c r="AE48" s="479">
        <f t="shared" si="4"/>
        <v>0</v>
      </c>
      <c r="AF48" s="322"/>
      <c r="AG48" s="444" t="str">
        <f>VLOOKUP(A48,'Feature Summary'!$A$7:$U$3954,21,FALSE)</f>
        <v>Wk3</v>
      </c>
      <c r="AH48" s="324"/>
    </row>
    <row r="49" spans="1:34" ht="15" thickBot="1">
      <c r="A49" s="561" t="s">
        <v>456</v>
      </c>
      <c r="B49" s="561" t="s">
        <v>457</v>
      </c>
      <c r="C49" s="322"/>
      <c r="D49" s="323" t="s">
        <v>451</v>
      </c>
      <c r="E49" s="322"/>
      <c r="F49" s="322" t="s">
        <v>458</v>
      </c>
      <c r="G49" s="241" t="str">
        <f>VLOOKUP(A49,'Feature Summary'!$A$7:$C$3954,3,FALSE)</f>
        <v>P1</v>
      </c>
      <c r="H49" s="412" t="s">
        <v>459</v>
      </c>
      <c r="I49" s="442" t="s">
        <v>35</v>
      </c>
      <c r="J49" s="322"/>
      <c r="K49" s="323">
        <v>24</v>
      </c>
      <c r="L49" s="323">
        <v>1</v>
      </c>
      <c r="M49" s="416" t="s">
        <v>44</v>
      </c>
      <c r="N49" s="459">
        <v>1</v>
      </c>
      <c r="O49" s="566">
        <v>1</v>
      </c>
      <c r="P49" s="460">
        <f t="shared" si="3"/>
        <v>1</v>
      </c>
      <c r="Q49" s="438" t="s">
        <v>48</v>
      </c>
      <c r="R49" s="323">
        <v>1</v>
      </c>
      <c r="S49" s="490">
        <f t="shared" si="1"/>
        <v>1</v>
      </c>
      <c r="T49" s="478">
        <v>1</v>
      </c>
      <c r="U49" s="478"/>
      <c r="V49" s="478"/>
      <c r="W49" s="478"/>
      <c r="X49" s="491">
        <f t="shared" si="0"/>
        <v>1</v>
      </c>
      <c r="Y49" s="443"/>
      <c r="Z49" s="477">
        <f t="shared" si="2"/>
        <v>0</v>
      </c>
      <c r="AA49" s="478"/>
      <c r="AB49" s="478"/>
      <c r="AC49" s="478"/>
      <c r="AD49" s="478"/>
      <c r="AE49" s="479">
        <f t="shared" si="4"/>
        <v>0</v>
      </c>
      <c r="AF49" s="322"/>
      <c r="AG49" s="444" t="str">
        <f>VLOOKUP(A49,'Feature Summary'!$A$7:$U$3954,21,FALSE)</f>
        <v>Wk3</v>
      </c>
      <c r="AH49" s="324"/>
    </row>
    <row r="50" spans="1:34" ht="15" thickBot="1">
      <c r="A50" s="561" t="s">
        <v>460</v>
      </c>
      <c r="B50" s="336" t="s">
        <v>461</v>
      </c>
      <c r="C50" s="322"/>
      <c r="D50" s="323" t="s">
        <v>451</v>
      </c>
      <c r="E50" s="322"/>
      <c r="F50" s="322" t="s">
        <v>462</v>
      </c>
      <c r="G50" s="241" t="str">
        <f>VLOOKUP(A50,'Feature Summary'!$A$7:$C$3954,3,FALSE)</f>
        <v>P2</v>
      </c>
      <c r="H50" s="412" t="s">
        <v>455</v>
      </c>
      <c r="I50" s="442" t="s">
        <v>35</v>
      </c>
      <c r="J50" s="322"/>
      <c r="K50" s="323">
        <v>40</v>
      </c>
      <c r="L50" s="323">
        <v>1</v>
      </c>
      <c r="M50" s="416" t="s">
        <v>44</v>
      </c>
      <c r="N50" s="459">
        <v>1</v>
      </c>
      <c r="O50" s="566">
        <v>1</v>
      </c>
      <c r="P50" s="460">
        <f t="shared" si="3"/>
        <v>1</v>
      </c>
      <c r="Q50" s="438" t="s">
        <v>48</v>
      </c>
      <c r="R50" s="323">
        <v>1</v>
      </c>
      <c r="S50" s="490">
        <f t="shared" si="1"/>
        <v>1</v>
      </c>
      <c r="T50" s="478">
        <v>1</v>
      </c>
      <c r="U50" s="478"/>
      <c r="V50" s="478"/>
      <c r="W50" s="478"/>
      <c r="X50" s="491">
        <f t="shared" si="0"/>
        <v>1</v>
      </c>
      <c r="Y50" s="443"/>
      <c r="Z50" s="477">
        <f t="shared" si="2"/>
        <v>0</v>
      </c>
      <c r="AA50" s="478"/>
      <c r="AB50" s="478"/>
      <c r="AC50" s="478"/>
      <c r="AD50" s="478"/>
      <c r="AE50" s="479">
        <f t="shared" si="4"/>
        <v>0</v>
      </c>
      <c r="AF50" s="322"/>
      <c r="AG50" s="444" t="str">
        <f>VLOOKUP(A50,'Feature Summary'!$A$7:$U$3954,21,FALSE)</f>
        <v>Wk5</v>
      </c>
      <c r="AH50" s="324"/>
    </row>
    <row r="51" spans="1:34" ht="15" thickBot="1">
      <c r="A51" s="561" t="s">
        <v>463</v>
      </c>
      <c r="B51" s="336" t="s">
        <v>464</v>
      </c>
      <c r="C51" s="322"/>
      <c r="D51" s="323" t="s">
        <v>451</v>
      </c>
      <c r="E51" s="322"/>
      <c r="F51" s="322" t="s">
        <v>465</v>
      </c>
      <c r="G51" s="241" t="str">
        <f>VLOOKUP(A51,'Feature Summary'!$A$7:$C$3954,3,FALSE)</f>
        <v>P1</v>
      </c>
      <c r="H51" s="412" t="s">
        <v>466</v>
      </c>
      <c r="I51" s="442" t="s">
        <v>35</v>
      </c>
      <c r="J51" s="322"/>
      <c r="K51" s="323">
        <v>40</v>
      </c>
      <c r="L51" s="323">
        <v>1</v>
      </c>
      <c r="M51" s="416" t="s">
        <v>44</v>
      </c>
      <c r="N51" s="459">
        <v>1</v>
      </c>
      <c r="O51" s="566">
        <v>1</v>
      </c>
      <c r="P51" s="460">
        <f t="shared" si="3"/>
        <v>1</v>
      </c>
      <c r="Q51" s="438" t="s">
        <v>48</v>
      </c>
      <c r="R51" s="323">
        <v>1</v>
      </c>
      <c r="S51" s="490">
        <f t="shared" si="1"/>
        <v>1</v>
      </c>
      <c r="T51" s="478">
        <v>1</v>
      </c>
      <c r="U51" s="478"/>
      <c r="V51" s="478"/>
      <c r="W51" s="478"/>
      <c r="X51" s="491">
        <f t="shared" si="0"/>
        <v>1</v>
      </c>
      <c r="Y51" s="443"/>
      <c r="Z51" s="477">
        <f t="shared" si="2"/>
        <v>0</v>
      </c>
      <c r="AA51" s="478"/>
      <c r="AB51" s="478"/>
      <c r="AC51" s="478"/>
      <c r="AD51" s="478"/>
      <c r="AE51" s="479">
        <f t="shared" si="4"/>
        <v>0</v>
      </c>
      <c r="AF51" s="322"/>
      <c r="AG51" s="444" t="str">
        <f>VLOOKUP(A51,'Feature Summary'!$A$7:$U$3954,21,FALSE)</f>
        <v>Wk3</v>
      </c>
      <c r="AH51" s="324"/>
    </row>
    <row r="52" spans="1:34" ht="15" thickBot="1">
      <c r="A52" s="561" t="s">
        <v>463</v>
      </c>
      <c r="B52" s="336" t="s">
        <v>464</v>
      </c>
      <c r="C52" s="322"/>
      <c r="D52" s="323" t="s">
        <v>451</v>
      </c>
      <c r="E52" s="322"/>
      <c r="F52" s="322" t="s">
        <v>467</v>
      </c>
      <c r="G52" s="241" t="str">
        <f>VLOOKUP(A52,'Feature Summary'!$A$7:$C$3954,3,FALSE)</f>
        <v>P1</v>
      </c>
      <c r="H52" s="412" t="s">
        <v>47</v>
      </c>
      <c r="I52" s="442" t="s">
        <v>35</v>
      </c>
      <c r="J52" s="322"/>
      <c r="K52" s="323">
        <v>40</v>
      </c>
      <c r="L52" s="323">
        <v>1</v>
      </c>
      <c r="M52" s="416" t="s">
        <v>44</v>
      </c>
      <c r="N52" s="459">
        <v>1</v>
      </c>
      <c r="O52" s="566">
        <v>1</v>
      </c>
      <c r="P52" s="460">
        <f t="shared" si="3"/>
        <v>1</v>
      </c>
      <c r="Q52" s="438" t="s">
        <v>47</v>
      </c>
      <c r="R52" s="323">
        <v>0</v>
      </c>
      <c r="S52" s="490">
        <f t="shared" si="1"/>
        <v>0</v>
      </c>
      <c r="T52" s="478"/>
      <c r="U52" s="478"/>
      <c r="V52" s="478"/>
      <c r="W52" s="478"/>
      <c r="X52" s="491">
        <f t="shared" si="0"/>
        <v>0</v>
      </c>
      <c r="Y52" s="443"/>
      <c r="Z52" s="477">
        <f t="shared" si="2"/>
        <v>0</v>
      </c>
      <c r="AA52" s="478"/>
      <c r="AB52" s="478"/>
      <c r="AC52" s="478"/>
      <c r="AD52" s="478"/>
      <c r="AE52" s="479">
        <f t="shared" si="4"/>
        <v>0</v>
      </c>
      <c r="AF52" s="322"/>
      <c r="AG52" s="444" t="str">
        <f>VLOOKUP(A52,'Feature Summary'!$A$7:$U$3954,21,FALSE)</f>
        <v>Wk3</v>
      </c>
      <c r="AH52" s="324" t="s">
        <v>468</v>
      </c>
    </row>
    <row r="53" spans="1:34" ht="15" thickBot="1">
      <c r="A53" s="561" t="s">
        <v>463</v>
      </c>
      <c r="B53" s="336" t="s">
        <v>464</v>
      </c>
      <c r="C53" s="322"/>
      <c r="D53" s="323" t="s">
        <v>451</v>
      </c>
      <c r="E53" s="322"/>
      <c r="F53" s="322" t="s">
        <v>469</v>
      </c>
      <c r="G53" s="241" t="str">
        <f>VLOOKUP(A53,'Feature Summary'!$A$7:$C$3954,3,FALSE)</f>
        <v>P1</v>
      </c>
      <c r="H53" s="412" t="s">
        <v>470</v>
      </c>
      <c r="I53" s="442" t="s">
        <v>35</v>
      </c>
      <c r="J53" s="322"/>
      <c r="K53" s="323">
        <v>24</v>
      </c>
      <c r="L53" s="323">
        <v>1</v>
      </c>
      <c r="M53" s="416" t="s">
        <v>44</v>
      </c>
      <c r="N53" s="459">
        <v>1</v>
      </c>
      <c r="O53" s="566">
        <v>1</v>
      </c>
      <c r="P53" s="460">
        <f t="shared" si="3"/>
        <v>1</v>
      </c>
      <c r="Q53" s="438" t="s">
        <v>48</v>
      </c>
      <c r="R53" s="323">
        <v>1</v>
      </c>
      <c r="S53" s="490">
        <f t="shared" si="1"/>
        <v>1</v>
      </c>
      <c r="T53" s="478">
        <v>1</v>
      </c>
      <c r="U53" s="478"/>
      <c r="V53" s="478"/>
      <c r="W53" s="478"/>
      <c r="X53" s="491">
        <f t="shared" si="0"/>
        <v>1</v>
      </c>
      <c r="Y53" s="443"/>
      <c r="Z53" s="477">
        <f t="shared" si="2"/>
        <v>0</v>
      </c>
      <c r="AA53" s="478"/>
      <c r="AB53" s="478"/>
      <c r="AC53" s="478"/>
      <c r="AD53" s="478"/>
      <c r="AE53" s="479">
        <f t="shared" si="4"/>
        <v>0</v>
      </c>
      <c r="AF53" s="322"/>
      <c r="AG53" s="444" t="str">
        <f>VLOOKUP(A53,'Feature Summary'!$A$7:$U$3954,21,FALSE)</f>
        <v>Wk3</v>
      </c>
      <c r="AH53" s="324"/>
    </row>
    <row r="54" spans="1:34" ht="15" thickBot="1">
      <c r="A54" s="561" t="s">
        <v>471</v>
      </c>
      <c r="B54" s="336" t="s">
        <v>472</v>
      </c>
      <c r="C54" s="322"/>
      <c r="D54" s="323" t="s">
        <v>451</v>
      </c>
      <c r="E54" s="322"/>
      <c r="F54" s="322" t="s">
        <v>473</v>
      </c>
      <c r="G54" s="241" t="str">
        <f>VLOOKUP(A54,'Feature Summary'!$A$7:$C$3954,3,FALSE)</f>
        <v>P2</v>
      </c>
      <c r="H54" s="412" t="s">
        <v>474</v>
      </c>
      <c r="I54" s="442" t="s">
        <v>35</v>
      </c>
      <c r="J54" s="322"/>
      <c r="K54" s="323">
        <v>24</v>
      </c>
      <c r="L54" s="323">
        <v>1</v>
      </c>
      <c r="M54" s="416" t="s">
        <v>44</v>
      </c>
      <c r="N54" s="459">
        <v>1</v>
      </c>
      <c r="O54" s="566">
        <v>0</v>
      </c>
      <c r="P54" s="460">
        <f t="shared" si="3"/>
        <v>0</v>
      </c>
      <c r="Q54" s="438" t="s">
        <v>48</v>
      </c>
      <c r="R54" s="323">
        <v>1</v>
      </c>
      <c r="S54" s="490">
        <f t="shared" si="1"/>
        <v>0</v>
      </c>
      <c r="T54" s="478"/>
      <c r="U54" s="478"/>
      <c r="V54" s="478"/>
      <c r="W54" s="478"/>
      <c r="X54" s="491">
        <f t="shared" si="0"/>
        <v>0</v>
      </c>
      <c r="Y54" s="443"/>
      <c r="Z54" s="477">
        <f t="shared" si="2"/>
        <v>0</v>
      </c>
      <c r="AA54" s="478"/>
      <c r="AB54" s="478"/>
      <c r="AC54" s="478"/>
      <c r="AD54" s="478"/>
      <c r="AE54" s="479">
        <f t="shared" si="4"/>
        <v>0</v>
      </c>
      <c r="AF54" s="322"/>
      <c r="AG54" s="444" t="str">
        <f>VLOOKUP(A54,'Feature Summary'!$A$7:$U$3954,21,FALSE)</f>
        <v>Wk5</v>
      </c>
      <c r="AH54" s="324"/>
    </row>
    <row r="55" spans="1:34" ht="15" thickBot="1">
      <c r="A55" s="561" t="s">
        <v>475</v>
      </c>
      <c r="B55" s="336" t="s">
        <v>476</v>
      </c>
      <c r="C55" s="322"/>
      <c r="D55" s="323" t="s">
        <v>451</v>
      </c>
      <c r="E55" s="322"/>
      <c r="F55" s="322" t="s">
        <v>477</v>
      </c>
      <c r="G55" s="241" t="str">
        <f>VLOOKUP(A55,'Feature Summary'!$A$7:$C$3954,3,FALSE)</f>
        <v>P1</v>
      </c>
      <c r="H55" s="412" t="s">
        <v>478</v>
      </c>
      <c r="I55" s="442" t="s">
        <v>41</v>
      </c>
      <c r="J55" s="322"/>
      <c r="K55" s="323">
        <v>40</v>
      </c>
      <c r="L55" s="323">
        <v>1</v>
      </c>
      <c r="M55" s="416" t="s">
        <v>33</v>
      </c>
      <c r="N55" s="459">
        <v>1</v>
      </c>
      <c r="O55" s="566">
        <v>1</v>
      </c>
      <c r="P55" s="460">
        <f t="shared" si="3"/>
        <v>1</v>
      </c>
      <c r="Q55" s="438" t="s">
        <v>48</v>
      </c>
      <c r="R55" s="323">
        <v>1</v>
      </c>
      <c r="S55" s="490">
        <f t="shared" si="1"/>
        <v>1</v>
      </c>
      <c r="T55" s="478">
        <v>1</v>
      </c>
      <c r="U55" s="478"/>
      <c r="V55" s="478"/>
      <c r="W55" s="478"/>
      <c r="X55" s="491">
        <f t="shared" si="0"/>
        <v>1</v>
      </c>
      <c r="Y55" s="443"/>
      <c r="Z55" s="477">
        <f t="shared" si="2"/>
        <v>0</v>
      </c>
      <c r="AA55" s="478"/>
      <c r="AB55" s="478"/>
      <c r="AC55" s="478"/>
      <c r="AD55" s="478"/>
      <c r="AE55" s="479">
        <f t="shared" si="4"/>
        <v>0</v>
      </c>
      <c r="AF55" s="322"/>
      <c r="AG55" s="444" t="str">
        <f>VLOOKUP(A55,'Feature Summary'!$A$7:$U$3954,21,FALSE)</f>
        <v>Wk3</v>
      </c>
      <c r="AH55" s="324"/>
    </row>
    <row r="56" spans="1:34" ht="15" thickBot="1">
      <c r="A56" s="561" t="s">
        <v>475</v>
      </c>
      <c r="B56" s="336" t="s">
        <v>476</v>
      </c>
      <c r="C56" s="322"/>
      <c r="D56" s="323" t="s">
        <v>451</v>
      </c>
      <c r="E56" s="322"/>
      <c r="F56" s="322" t="s">
        <v>479</v>
      </c>
      <c r="G56" s="241" t="str">
        <f>VLOOKUP(A56,'Feature Summary'!$A$7:$C$3954,3,FALSE)</f>
        <v>P1</v>
      </c>
      <c r="H56" s="412" t="s">
        <v>480</v>
      </c>
      <c r="I56" s="442" t="s">
        <v>41</v>
      </c>
      <c r="J56" s="322"/>
      <c r="K56" s="323">
        <v>24</v>
      </c>
      <c r="L56" s="323">
        <v>1</v>
      </c>
      <c r="M56" s="416" t="s">
        <v>33</v>
      </c>
      <c r="N56" s="459">
        <v>1</v>
      </c>
      <c r="O56" s="566">
        <v>1</v>
      </c>
      <c r="P56" s="460">
        <f t="shared" si="3"/>
        <v>1</v>
      </c>
      <c r="Q56" s="438" t="s">
        <v>48</v>
      </c>
      <c r="R56" s="323">
        <v>1</v>
      </c>
      <c r="S56" s="490">
        <f t="shared" si="1"/>
        <v>1</v>
      </c>
      <c r="T56" s="478">
        <v>1</v>
      </c>
      <c r="U56" s="478"/>
      <c r="V56" s="478"/>
      <c r="W56" s="478"/>
      <c r="X56" s="491">
        <f t="shared" si="0"/>
        <v>1</v>
      </c>
      <c r="Y56" s="443"/>
      <c r="Z56" s="477">
        <f t="shared" si="2"/>
        <v>0</v>
      </c>
      <c r="AA56" s="478"/>
      <c r="AB56" s="478"/>
      <c r="AC56" s="478"/>
      <c r="AD56" s="478"/>
      <c r="AE56" s="479">
        <f t="shared" si="4"/>
        <v>0</v>
      </c>
      <c r="AF56" s="322"/>
      <c r="AG56" s="444" t="str">
        <f>VLOOKUP(A56,'Feature Summary'!$A$7:$U$3954,21,FALSE)</f>
        <v>Wk3</v>
      </c>
      <c r="AH56" s="324"/>
    </row>
    <row r="57" spans="1:34" ht="15" thickBot="1">
      <c r="A57" s="561" t="s">
        <v>481</v>
      </c>
      <c r="B57" s="336" t="s">
        <v>482</v>
      </c>
      <c r="C57" s="322"/>
      <c r="D57" s="323" t="s">
        <v>451</v>
      </c>
      <c r="E57" s="322"/>
      <c r="F57" s="322" t="s">
        <v>483</v>
      </c>
      <c r="G57" s="241" t="str">
        <f>VLOOKUP(A57,'Feature Summary'!$A$7:$C$3954,3,FALSE)</f>
        <v>P2</v>
      </c>
      <c r="H57" s="412" t="s">
        <v>484</v>
      </c>
      <c r="I57" s="442" t="s">
        <v>41</v>
      </c>
      <c r="J57" s="322"/>
      <c r="K57" s="323">
        <v>32</v>
      </c>
      <c r="L57" s="323">
        <v>1</v>
      </c>
      <c r="M57" s="416" t="s">
        <v>44</v>
      </c>
      <c r="N57" s="459">
        <v>1</v>
      </c>
      <c r="O57" s="566">
        <v>1</v>
      </c>
      <c r="P57" s="460">
        <f t="shared" si="3"/>
        <v>1</v>
      </c>
      <c r="Q57" s="438" t="s">
        <v>48</v>
      </c>
      <c r="R57" s="323">
        <v>1</v>
      </c>
      <c r="S57" s="490">
        <f t="shared" si="1"/>
        <v>1</v>
      </c>
      <c r="T57" s="478">
        <v>1</v>
      </c>
      <c r="U57" s="478"/>
      <c r="V57" s="478"/>
      <c r="W57" s="478"/>
      <c r="X57" s="491">
        <f t="shared" si="0"/>
        <v>1</v>
      </c>
      <c r="Y57" s="443"/>
      <c r="Z57" s="477">
        <f t="shared" si="2"/>
        <v>0</v>
      </c>
      <c r="AA57" s="478"/>
      <c r="AB57" s="478"/>
      <c r="AC57" s="478"/>
      <c r="AD57" s="478"/>
      <c r="AE57" s="479">
        <f t="shared" si="4"/>
        <v>0</v>
      </c>
      <c r="AF57" s="322"/>
      <c r="AG57" s="444" t="str">
        <f>VLOOKUP(A57,'Feature Summary'!$A$7:$U$3954,21,FALSE)</f>
        <v>Wk4</v>
      </c>
      <c r="AH57" s="324"/>
    </row>
    <row r="58" spans="1:34" ht="15" thickBot="1">
      <c r="A58" s="561" t="s">
        <v>485</v>
      </c>
      <c r="B58" s="336" t="s">
        <v>486</v>
      </c>
      <c r="C58" s="322"/>
      <c r="D58" s="323" t="s">
        <v>373</v>
      </c>
      <c r="E58" s="322"/>
      <c r="F58" s="322" t="s">
        <v>487</v>
      </c>
      <c r="G58" s="241" t="str">
        <f>VLOOKUP(A58,'Feature Summary'!$A$7:$C$3954,3,FALSE)</f>
        <v>P2</v>
      </c>
      <c r="H58" s="412" t="s">
        <v>488</v>
      </c>
      <c r="I58" s="442" t="s">
        <v>41</v>
      </c>
      <c r="J58" s="322"/>
      <c r="K58" s="323">
        <v>32</v>
      </c>
      <c r="L58" s="323">
        <v>1</v>
      </c>
      <c r="M58" s="416" t="s">
        <v>44</v>
      </c>
      <c r="N58" s="459">
        <v>1</v>
      </c>
      <c r="O58" s="566">
        <v>1</v>
      </c>
      <c r="P58" s="460">
        <f t="shared" si="3"/>
        <v>1</v>
      </c>
      <c r="Q58" s="438" t="s">
        <v>48</v>
      </c>
      <c r="R58" s="323">
        <v>1</v>
      </c>
      <c r="S58" s="490">
        <f t="shared" si="1"/>
        <v>1</v>
      </c>
      <c r="T58" s="478">
        <v>1</v>
      </c>
      <c r="U58" s="478"/>
      <c r="V58" s="478"/>
      <c r="W58" s="478"/>
      <c r="X58" s="491">
        <f t="shared" si="0"/>
        <v>1</v>
      </c>
      <c r="Y58" s="443"/>
      <c r="Z58" s="477">
        <f t="shared" si="2"/>
        <v>0</v>
      </c>
      <c r="AA58" s="478"/>
      <c r="AB58" s="478"/>
      <c r="AC58" s="478"/>
      <c r="AD58" s="478"/>
      <c r="AE58" s="479">
        <f t="shared" si="4"/>
        <v>0</v>
      </c>
      <c r="AF58" s="322"/>
      <c r="AG58" s="444" t="str">
        <f>VLOOKUP(A58,'Feature Summary'!$A$7:$U$3954,21,FALSE)</f>
        <v>Wk3</v>
      </c>
      <c r="AH58" s="324"/>
    </row>
    <row r="59" spans="1:34" ht="15" thickBot="1">
      <c r="A59" s="561" t="s">
        <v>489</v>
      </c>
      <c r="B59" s="336" t="s">
        <v>490</v>
      </c>
      <c r="C59" s="322"/>
      <c r="D59" s="323" t="s">
        <v>373</v>
      </c>
      <c r="E59" s="322"/>
      <c r="F59" s="322" t="s">
        <v>491</v>
      </c>
      <c r="G59" s="241" t="str">
        <f>VLOOKUP(A59,'Feature Summary'!$A$7:$C$3954,3,FALSE)</f>
        <v>P2</v>
      </c>
      <c r="H59" s="412" t="s">
        <v>439</v>
      </c>
      <c r="I59" s="442" t="s">
        <v>35</v>
      </c>
      <c r="J59" s="322"/>
      <c r="K59" s="323">
        <v>32</v>
      </c>
      <c r="L59" s="323">
        <v>1</v>
      </c>
      <c r="M59" s="416" t="s">
        <v>44</v>
      </c>
      <c r="N59" s="459">
        <v>1</v>
      </c>
      <c r="O59" s="566">
        <v>1</v>
      </c>
      <c r="P59" s="460">
        <f t="shared" si="3"/>
        <v>1</v>
      </c>
      <c r="Q59" s="438" t="s">
        <v>48</v>
      </c>
      <c r="R59" s="323">
        <v>1</v>
      </c>
      <c r="S59" s="490">
        <f t="shared" si="1"/>
        <v>1</v>
      </c>
      <c r="T59" s="478">
        <v>1</v>
      </c>
      <c r="U59" s="478"/>
      <c r="V59" s="478"/>
      <c r="W59" s="478"/>
      <c r="X59" s="491">
        <f t="shared" si="0"/>
        <v>1</v>
      </c>
      <c r="Y59" s="443"/>
      <c r="Z59" s="477">
        <f t="shared" si="2"/>
        <v>0</v>
      </c>
      <c r="AA59" s="478"/>
      <c r="AB59" s="478"/>
      <c r="AC59" s="478"/>
      <c r="AD59" s="478"/>
      <c r="AE59" s="479">
        <f t="shared" si="4"/>
        <v>0</v>
      </c>
      <c r="AF59" s="322"/>
      <c r="AG59" s="444" t="str">
        <f>VLOOKUP(A59,'Feature Summary'!$A$7:$U$3954,21,FALSE)</f>
        <v>Wk3</v>
      </c>
      <c r="AH59" s="324"/>
    </row>
    <row r="60" spans="1:34" ht="15" thickBot="1">
      <c r="A60" s="561" t="s">
        <v>492</v>
      </c>
      <c r="B60" s="336" t="s">
        <v>493</v>
      </c>
      <c r="C60" s="322"/>
      <c r="D60" s="323" t="s">
        <v>373</v>
      </c>
      <c r="E60" s="322"/>
      <c r="F60" s="322" t="s">
        <v>494</v>
      </c>
      <c r="G60" s="241" t="str">
        <f>VLOOKUP(A60,'Feature Summary'!$A$7:$C$3954,3,FALSE)</f>
        <v>P2</v>
      </c>
      <c r="H60" s="412" t="s">
        <v>495</v>
      </c>
      <c r="I60" s="442" t="s">
        <v>35</v>
      </c>
      <c r="J60" s="322"/>
      <c r="K60" s="323">
        <v>32</v>
      </c>
      <c r="L60" s="323">
        <v>1</v>
      </c>
      <c r="M60" s="416" t="s">
        <v>44</v>
      </c>
      <c r="N60" s="459">
        <v>1</v>
      </c>
      <c r="O60" s="566">
        <v>0.5</v>
      </c>
      <c r="P60" s="460">
        <f t="shared" si="3"/>
        <v>0.5</v>
      </c>
      <c r="Q60" s="438" t="s">
        <v>32</v>
      </c>
      <c r="R60" s="323">
        <v>1</v>
      </c>
      <c r="S60" s="490">
        <f t="shared" si="1"/>
        <v>0</v>
      </c>
      <c r="T60" s="478"/>
      <c r="U60" s="478"/>
      <c r="V60" s="478"/>
      <c r="W60" s="478"/>
      <c r="X60" s="491">
        <f t="shared" si="0"/>
        <v>0</v>
      </c>
      <c r="Y60" s="443"/>
      <c r="Z60" s="477">
        <f t="shared" si="2"/>
        <v>0</v>
      </c>
      <c r="AA60" s="478"/>
      <c r="AB60" s="478"/>
      <c r="AC60" s="478"/>
      <c r="AD60" s="478"/>
      <c r="AE60" s="479">
        <f t="shared" si="4"/>
        <v>0</v>
      </c>
      <c r="AF60" s="322"/>
      <c r="AG60" s="444" t="str">
        <f>VLOOKUP(A60,'Feature Summary'!$A$7:$U$3954,21,FALSE)</f>
        <v>Wk3</v>
      </c>
      <c r="AH60" s="324"/>
    </row>
    <row r="61" spans="1:34" ht="15" thickBot="1">
      <c r="A61" s="561" t="s">
        <v>496</v>
      </c>
      <c r="B61" s="336" t="s">
        <v>497</v>
      </c>
      <c r="C61" s="322"/>
      <c r="D61" s="323" t="s">
        <v>373</v>
      </c>
      <c r="E61" s="322"/>
      <c r="F61" s="322" t="s">
        <v>498</v>
      </c>
      <c r="G61" s="241" t="str">
        <f>VLOOKUP(A61,'Feature Summary'!$A$7:$C$3954,3,FALSE)</f>
        <v>P2</v>
      </c>
      <c r="H61" s="412" t="s">
        <v>499</v>
      </c>
      <c r="I61" s="442" t="s">
        <v>35</v>
      </c>
      <c r="J61" s="322"/>
      <c r="K61" s="323">
        <v>32</v>
      </c>
      <c r="L61" s="323">
        <v>1</v>
      </c>
      <c r="M61" s="416" t="s">
        <v>44</v>
      </c>
      <c r="N61" s="459">
        <v>1</v>
      </c>
      <c r="O61" s="566">
        <v>0.5</v>
      </c>
      <c r="P61" s="460">
        <f t="shared" si="3"/>
        <v>0.5</v>
      </c>
      <c r="Q61" s="438" t="s">
        <v>32</v>
      </c>
      <c r="R61" s="323">
        <v>1</v>
      </c>
      <c r="S61" s="490">
        <f t="shared" si="1"/>
        <v>0</v>
      </c>
      <c r="T61" s="478"/>
      <c r="U61" s="478"/>
      <c r="V61" s="478"/>
      <c r="W61" s="478"/>
      <c r="X61" s="491">
        <f t="shared" si="0"/>
        <v>0</v>
      </c>
      <c r="Y61" s="443"/>
      <c r="Z61" s="477">
        <f t="shared" si="2"/>
        <v>0</v>
      </c>
      <c r="AA61" s="478"/>
      <c r="AB61" s="478"/>
      <c r="AC61" s="478"/>
      <c r="AD61" s="478"/>
      <c r="AE61" s="479">
        <f t="shared" si="4"/>
        <v>0</v>
      </c>
      <c r="AF61" s="322"/>
      <c r="AG61" s="444" t="str">
        <f>VLOOKUP(A61,'Feature Summary'!$A$7:$U$3954,21,FALSE)</f>
        <v>Wk3</v>
      </c>
      <c r="AH61" s="324"/>
    </row>
    <row r="62" spans="1:34" ht="15" thickBot="1">
      <c r="A62" s="561" t="s">
        <v>500</v>
      </c>
      <c r="B62" s="336" t="s">
        <v>501</v>
      </c>
      <c r="C62" s="322"/>
      <c r="D62" s="323" t="s">
        <v>451</v>
      </c>
      <c r="E62" s="322"/>
      <c r="F62" s="322" t="s">
        <v>502</v>
      </c>
      <c r="G62" s="241" t="str">
        <f>VLOOKUP(A62,'Feature Summary'!$A$7:$C$3954,3,FALSE)</f>
        <v>P3</v>
      </c>
      <c r="H62" s="412" t="s">
        <v>503</v>
      </c>
      <c r="I62" s="442" t="s">
        <v>35</v>
      </c>
      <c r="J62" s="322"/>
      <c r="K62" s="323">
        <v>24</v>
      </c>
      <c r="L62" s="323">
        <v>1</v>
      </c>
      <c r="M62" s="416" t="s">
        <v>44</v>
      </c>
      <c r="N62" s="459">
        <v>1</v>
      </c>
      <c r="O62" s="566">
        <v>0.15</v>
      </c>
      <c r="P62" s="460">
        <f t="shared" si="3"/>
        <v>0.15</v>
      </c>
      <c r="Q62" s="438" t="s">
        <v>32</v>
      </c>
      <c r="R62" s="323">
        <v>1</v>
      </c>
      <c r="S62" s="490">
        <f t="shared" si="1"/>
        <v>0</v>
      </c>
      <c r="T62" s="478"/>
      <c r="U62" s="478"/>
      <c r="V62" s="478"/>
      <c r="W62" s="478"/>
      <c r="X62" s="491">
        <f t="shared" si="0"/>
        <v>0</v>
      </c>
      <c r="Y62" s="443"/>
      <c r="Z62" s="477">
        <f t="shared" si="2"/>
        <v>0</v>
      </c>
      <c r="AA62" s="478"/>
      <c r="AB62" s="478"/>
      <c r="AC62" s="478"/>
      <c r="AD62" s="478"/>
      <c r="AE62" s="479">
        <f t="shared" si="4"/>
        <v>0</v>
      </c>
      <c r="AF62" s="322"/>
      <c r="AG62" s="444" t="str">
        <f>VLOOKUP(A62,'Feature Summary'!$A$7:$U$3954,21,FALSE)</f>
        <v>Wk6</v>
      </c>
      <c r="AH62" s="324"/>
    </row>
    <row r="63" spans="1:34" ht="15" thickBot="1">
      <c r="A63" s="561" t="s">
        <v>504</v>
      </c>
      <c r="B63" s="336" t="s">
        <v>505</v>
      </c>
      <c r="C63" s="322"/>
      <c r="D63" s="323" t="s">
        <v>451</v>
      </c>
      <c r="E63" s="322"/>
      <c r="F63" s="322" t="s">
        <v>506</v>
      </c>
      <c r="G63" s="241" t="str">
        <f>VLOOKUP(A63,'Feature Summary'!$A$7:$C$3954,3,FALSE)</f>
        <v>P3</v>
      </c>
      <c r="H63" s="412" t="s">
        <v>507</v>
      </c>
      <c r="I63" s="442" t="s">
        <v>35</v>
      </c>
      <c r="J63" s="322"/>
      <c r="K63" s="323">
        <v>24</v>
      </c>
      <c r="L63" s="323">
        <v>1</v>
      </c>
      <c r="M63" s="416" t="s">
        <v>44</v>
      </c>
      <c r="N63" s="459">
        <v>1</v>
      </c>
      <c r="O63" s="566">
        <v>0</v>
      </c>
      <c r="P63" s="460">
        <f t="shared" si="3"/>
        <v>0</v>
      </c>
      <c r="Q63" s="438" t="s">
        <v>32</v>
      </c>
      <c r="R63" s="323">
        <v>1</v>
      </c>
      <c r="S63" s="490">
        <f t="shared" si="1"/>
        <v>0</v>
      </c>
      <c r="T63" s="478"/>
      <c r="U63" s="478"/>
      <c r="V63" s="478"/>
      <c r="W63" s="478"/>
      <c r="X63" s="491">
        <f t="shared" si="0"/>
        <v>0</v>
      </c>
      <c r="Y63" s="443"/>
      <c r="Z63" s="477">
        <f t="shared" si="2"/>
        <v>0</v>
      </c>
      <c r="AA63" s="478"/>
      <c r="AB63" s="478"/>
      <c r="AC63" s="478"/>
      <c r="AD63" s="478"/>
      <c r="AE63" s="479">
        <f t="shared" si="4"/>
        <v>0</v>
      </c>
      <c r="AF63" s="322"/>
      <c r="AG63" s="444" t="str">
        <f>VLOOKUP(A63,'Feature Summary'!$A$7:$U$3954,21,FALSE)</f>
        <v>Wk6</v>
      </c>
      <c r="AH63" s="324"/>
    </row>
    <row r="64" spans="1:34">
      <c r="A64" s="561" t="s">
        <v>508</v>
      </c>
      <c r="B64" s="336" t="s">
        <v>509</v>
      </c>
      <c r="C64" s="322"/>
      <c r="D64" s="323" t="s">
        <v>451</v>
      </c>
      <c r="E64" s="322"/>
      <c r="F64" s="322" t="s">
        <v>510</v>
      </c>
      <c r="G64" s="241" t="str">
        <f>VLOOKUP(A64,'Feature Summary'!$A$7:$C$3954,3,FALSE)</f>
        <v>P3</v>
      </c>
      <c r="H64" s="412" t="s">
        <v>511</v>
      </c>
      <c r="I64" s="442" t="s">
        <v>35</v>
      </c>
      <c r="J64" s="322"/>
      <c r="K64" s="323">
        <v>24</v>
      </c>
      <c r="L64" s="323">
        <v>1</v>
      </c>
      <c r="M64" s="416" t="s">
        <v>44</v>
      </c>
      <c r="N64" s="459">
        <v>1</v>
      </c>
      <c r="O64" s="566">
        <v>0</v>
      </c>
      <c r="P64" s="460">
        <f t="shared" si="3"/>
        <v>0</v>
      </c>
      <c r="Q64" s="438" t="s">
        <v>32</v>
      </c>
      <c r="R64" s="323">
        <v>1</v>
      </c>
      <c r="S64" s="490">
        <f t="shared" si="1"/>
        <v>0</v>
      </c>
      <c r="T64" s="478"/>
      <c r="U64" s="478"/>
      <c r="V64" s="478"/>
      <c r="W64" s="478"/>
      <c r="X64" s="491">
        <f t="shared" si="0"/>
        <v>0</v>
      </c>
      <c r="Y64" s="443"/>
      <c r="Z64" s="477">
        <f t="shared" si="2"/>
        <v>0</v>
      </c>
      <c r="AA64" s="478"/>
      <c r="AB64" s="478"/>
      <c r="AC64" s="478"/>
      <c r="AD64" s="478"/>
      <c r="AE64" s="479">
        <f t="shared" si="4"/>
        <v>0</v>
      </c>
      <c r="AF64" s="322"/>
      <c r="AG64" s="444" t="str">
        <f>VLOOKUP(A64,'Feature Summary'!$A$7:$U$3954,21,FALSE)</f>
        <v>Wk6</v>
      </c>
      <c r="AH64" s="324"/>
    </row>
    <row r="65" spans="1:34" ht="15">
      <c r="A65" s="321" t="s">
        <v>512</v>
      </c>
      <c r="B65" s="336" t="s">
        <v>513</v>
      </c>
      <c r="C65" s="322"/>
      <c r="D65" s="323" t="s">
        <v>514</v>
      </c>
      <c r="E65" s="322"/>
      <c r="F65" s="322" t="s">
        <v>515</v>
      </c>
      <c r="G65" s="241" t="str">
        <f>VLOOKUP(A65,'Feature Summary'!$A$7:$C$3954,3,FALSE)</f>
        <v>P1</v>
      </c>
      <c r="H65" s="412" t="s">
        <v>516</v>
      </c>
      <c r="I65" s="442" t="s">
        <v>41</v>
      </c>
      <c r="J65" s="322"/>
      <c r="K65" s="323">
        <v>24</v>
      </c>
      <c r="L65" s="323">
        <v>1</v>
      </c>
      <c r="M65" s="416" t="s">
        <v>44</v>
      </c>
      <c r="N65" s="459">
        <v>1</v>
      </c>
      <c r="O65" s="569">
        <v>1</v>
      </c>
      <c r="P65" s="460">
        <f t="shared" ref="P65" si="5">IF((O65=0),0,(O65/L65))</f>
        <v>1</v>
      </c>
      <c r="Q65" s="442" t="s">
        <v>32</v>
      </c>
      <c r="R65" s="323">
        <v>1</v>
      </c>
      <c r="S65" s="490">
        <f t="shared" ref="S65" si="6">SUM(T65:W65)</f>
        <v>1</v>
      </c>
      <c r="T65" s="478">
        <v>1</v>
      </c>
      <c r="U65" s="478"/>
      <c r="V65" s="478"/>
      <c r="W65" s="478"/>
      <c r="X65" s="491">
        <f t="shared" ref="X65" si="7">IF((S65=0),0,((T65+U65)/S65*100%))</f>
        <v>1</v>
      </c>
      <c r="Y65" s="443"/>
      <c r="Z65" s="477">
        <f t="shared" ref="Z65" si="8">SUM(AA65:AD65)</f>
        <v>0</v>
      </c>
      <c r="AA65" s="478"/>
      <c r="AB65" s="478"/>
      <c r="AC65" s="478"/>
      <c r="AD65" s="478"/>
      <c r="AE65" s="479">
        <f t="shared" ref="AE65" si="9">IF((Z65=0),0,((AA65+AB65)/Z65*100%))</f>
        <v>0</v>
      </c>
      <c r="AF65" s="322"/>
      <c r="AG65" s="444" t="str">
        <f>VLOOKUP(A65,'Feature Summary'!$A$7:$U$3954,21,FALSE)</f>
        <v>Wk7</v>
      </c>
      <c r="AH65" s="324"/>
    </row>
    <row r="66" spans="1:34" ht="15">
      <c r="A66" s="321" t="s">
        <v>512</v>
      </c>
      <c r="B66" s="336" t="s">
        <v>513</v>
      </c>
      <c r="C66" s="322"/>
      <c r="D66" s="323" t="s">
        <v>514</v>
      </c>
      <c r="E66" s="322"/>
      <c r="F66" s="322" t="s">
        <v>517</v>
      </c>
      <c r="G66" s="241" t="str">
        <f>VLOOKUP(A66,'Feature Summary'!$A$7:$C$3954,3,FALSE)</f>
        <v>P1</v>
      </c>
      <c r="H66" s="412" t="s">
        <v>518</v>
      </c>
      <c r="I66" s="442" t="s">
        <v>41</v>
      </c>
      <c r="J66" s="322"/>
      <c r="K66" s="323">
        <v>24</v>
      </c>
      <c r="L66" s="323">
        <v>1</v>
      </c>
      <c r="M66" s="416" t="s">
        <v>44</v>
      </c>
      <c r="N66" s="459">
        <v>1</v>
      </c>
      <c r="O66" s="569">
        <v>1</v>
      </c>
      <c r="P66" s="460">
        <f t="shared" si="3"/>
        <v>1</v>
      </c>
      <c r="Q66" s="442" t="s">
        <v>32</v>
      </c>
      <c r="R66" s="323">
        <v>1</v>
      </c>
      <c r="S66" s="490">
        <f t="shared" si="1"/>
        <v>1</v>
      </c>
      <c r="T66" s="478">
        <v>1</v>
      </c>
      <c r="U66" s="478"/>
      <c r="V66" s="478"/>
      <c r="W66" s="478"/>
      <c r="X66" s="491">
        <f t="shared" si="0"/>
        <v>1</v>
      </c>
      <c r="Y66" s="443"/>
      <c r="Z66" s="477">
        <f t="shared" si="2"/>
        <v>0</v>
      </c>
      <c r="AA66" s="478"/>
      <c r="AB66" s="478"/>
      <c r="AC66" s="478"/>
      <c r="AD66" s="478"/>
      <c r="AE66" s="479">
        <f t="shared" si="4"/>
        <v>0</v>
      </c>
      <c r="AF66" s="322"/>
      <c r="AG66" s="444" t="str">
        <f>VLOOKUP(A66,'Feature Summary'!$A$7:$U$3954,21,FALSE)</f>
        <v>Wk7</v>
      </c>
      <c r="AH66" s="324"/>
    </row>
    <row r="67" spans="1:34" ht="15">
      <c r="A67" s="321" t="s">
        <v>512</v>
      </c>
      <c r="B67" s="336" t="s">
        <v>513</v>
      </c>
      <c r="C67" s="322"/>
      <c r="D67" s="323" t="s">
        <v>514</v>
      </c>
      <c r="E67" s="322"/>
      <c r="F67" s="322" t="s">
        <v>519</v>
      </c>
      <c r="G67" s="241" t="str">
        <f>VLOOKUP(A67,'Feature Summary'!$A$7:$C$3954,3,FALSE)</f>
        <v>P1</v>
      </c>
      <c r="H67" s="412" t="s">
        <v>520</v>
      </c>
      <c r="I67" s="442" t="s">
        <v>41</v>
      </c>
      <c r="J67" s="322"/>
      <c r="K67" s="323">
        <v>24</v>
      </c>
      <c r="L67" s="323">
        <v>1</v>
      </c>
      <c r="M67" s="416" t="s">
        <v>44</v>
      </c>
      <c r="N67" s="459">
        <v>1</v>
      </c>
      <c r="O67" s="569">
        <v>1</v>
      </c>
      <c r="P67" s="460">
        <f t="shared" ref="P67:P71" si="10">IF((O67=0),0,(O67/L67))</f>
        <v>1</v>
      </c>
      <c r="Q67" s="442" t="s">
        <v>32</v>
      </c>
      <c r="R67" s="323">
        <v>1</v>
      </c>
      <c r="S67" s="490">
        <f t="shared" ref="S67:S70" si="11">SUM(T67:W67)</f>
        <v>1</v>
      </c>
      <c r="T67" s="478">
        <v>1</v>
      </c>
      <c r="U67" s="478"/>
      <c r="V67" s="478"/>
      <c r="W67" s="478"/>
      <c r="X67" s="491">
        <f t="shared" ref="X67" si="12">IF((S67=0),0,((T67+U67)/S67*100%))</f>
        <v>1</v>
      </c>
      <c r="Y67" s="443"/>
      <c r="Z67" s="477">
        <f t="shared" ref="Z67" si="13">SUM(AA67:AD67)</f>
        <v>0</v>
      </c>
      <c r="AA67" s="478"/>
      <c r="AB67" s="478"/>
      <c r="AC67" s="478"/>
      <c r="AD67" s="478"/>
      <c r="AE67" s="479">
        <f t="shared" ref="AE67" si="14">IF((Z67=0),0,((AA67+AB67)/Z67*100%))</f>
        <v>0</v>
      </c>
      <c r="AF67" s="322"/>
      <c r="AG67" s="444" t="str">
        <f>VLOOKUP(A67,'Feature Summary'!$A$7:$U$3954,21,FALSE)</f>
        <v>Wk7</v>
      </c>
      <c r="AH67" s="324"/>
    </row>
    <row r="68" spans="1:34" ht="15">
      <c r="A68" s="321" t="s">
        <v>512</v>
      </c>
      <c r="B68" s="336" t="s">
        <v>513</v>
      </c>
      <c r="C68" s="322"/>
      <c r="D68" s="323" t="s">
        <v>514</v>
      </c>
      <c r="E68" s="322"/>
      <c r="F68" s="322" t="s">
        <v>521</v>
      </c>
      <c r="G68" s="241" t="e">
        <v>#N/A</v>
      </c>
      <c r="H68" s="412" t="s">
        <v>522</v>
      </c>
      <c r="I68" s="442" t="s">
        <v>41</v>
      </c>
      <c r="J68" s="322"/>
      <c r="K68" s="323">
        <v>24</v>
      </c>
      <c r="L68" s="323">
        <v>1</v>
      </c>
      <c r="M68" s="416" t="s">
        <v>523</v>
      </c>
      <c r="N68" s="459">
        <v>1</v>
      </c>
      <c r="O68" s="569">
        <v>1</v>
      </c>
      <c r="P68" s="460">
        <f t="shared" si="10"/>
        <v>1</v>
      </c>
      <c r="Q68" s="442" t="s">
        <v>32</v>
      </c>
      <c r="R68" s="323">
        <v>1</v>
      </c>
      <c r="S68" s="490">
        <f t="shared" si="11"/>
        <v>1</v>
      </c>
      <c r="T68" s="478">
        <v>1</v>
      </c>
      <c r="U68" s="478"/>
      <c r="V68" s="478"/>
      <c r="W68" s="478"/>
      <c r="X68" s="491">
        <v>0</v>
      </c>
      <c r="Y68" s="443"/>
      <c r="Z68" s="477">
        <v>0</v>
      </c>
      <c r="AA68" s="478"/>
      <c r="AB68" s="478"/>
      <c r="AC68" s="478"/>
      <c r="AD68" s="478"/>
      <c r="AE68" s="479">
        <v>0</v>
      </c>
      <c r="AF68" s="322"/>
      <c r="AG68" s="444" t="e">
        <v>#N/A</v>
      </c>
      <c r="AH68" s="324"/>
    </row>
    <row r="69" spans="1:34" ht="15">
      <c r="A69" s="321" t="s">
        <v>512</v>
      </c>
      <c r="B69" s="336" t="s">
        <v>513</v>
      </c>
      <c r="C69" s="322"/>
      <c r="D69" s="323" t="s">
        <v>514</v>
      </c>
      <c r="E69" s="322"/>
      <c r="F69" s="322" t="s">
        <v>524</v>
      </c>
      <c r="G69" s="241" t="e">
        <v>#N/A</v>
      </c>
      <c r="H69" s="412" t="s">
        <v>525</v>
      </c>
      <c r="I69" s="442" t="s">
        <v>41</v>
      </c>
      <c r="J69" s="322"/>
      <c r="K69" s="323">
        <v>24</v>
      </c>
      <c r="L69" s="323">
        <v>1</v>
      </c>
      <c r="M69" s="416" t="s">
        <v>523</v>
      </c>
      <c r="N69" s="459">
        <v>1</v>
      </c>
      <c r="O69" s="569">
        <v>1</v>
      </c>
      <c r="P69" s="460">
        <f t="shared" si="10"/>
        <v>1</v>
      </c>
      <c r="Q69" s="442" t="s">
        <v>32</v>
      </c>
      <c r="R69" s="323">
        <v>1</v>
      </c>
      <c r="S69" s="490">
        <f t="shared" si="11"/>
        <v>1</v>
      </c>
      <c r="T69" s="478">
        <v>1</v>
      </c>
      <c r="U69" s="478"/>
      <c r="V69" s="478"/>
      <c r="W69" s="478"/>
      <c r="X69" s="491">
        <v>0</v>
      </c>
      <c r="Y69" s="443"/>
      <c r="Z69" s="477">
        <v>0</v>
      </c>
      <c r="AA69" s="478"/>
      <c r="AB69" s="478"/>
      <c r="AC69" s="478"/>
      <c r="AD69" s="478"/>
      <c r="AE69" s="479">
        <v>0</v>
      </c>
      <c r="AF69" s="322"/>
      <c r="AG69" s="444" t="e">
        <v>#N/A</v>
      </c>
      <c r="AH69" s="324"/>
    </row>
    <row r="70" spans="1:34" ht="15">
      <c r="A70" s="321" t="s">
        <v>512</v>
      </c>
      <c r="B70" s="336" t="s">
        <v>513</v>
      </c>
      <c r="C70" s="322"/>
      <c r="D70" s="323" t="s">
        <v>514</v>
      </c>
      <c r="E70" s="322"/>
      <c r="F70" s="322" t="s">
        <v>526</v>
      </c>
      <c r="G70" s="241" t="e">
        <v>#N/A</v>
      </c>
      <c r="H70" s="412" t="s">
        <v>527</v>
      </c>
      <c r="I70" s="442" t="s">
        <v>41</v>
      </c>
      <c r="J70" s="322"/>
      <c r="K70" s="323">
        <v>24</v>
      </c>
      <c r="L70" s="323">
        <v>1</v>
      </c>
      <c r="M70" s="416" t="s">
        <v>523</v>
      </c>
      <c r="N70" s="459">
        <v>1</v>
      </c>
      <c r="O70" s="569">
        <v>1</v>
      </c>
      <c r="P70" s="460">
        <f t="shared" si="10"/>
        <v>1</v>
      </c>
      <c r="Q70" s="442" t="s">
        <v>32</v>
      </c>
      <c r="R70" s="323">
        <v>1</v>
      </c>
      <c r="S70" s="490">
        <f t="shared" si="11"/>
        <v>1</v>
      </c>
      <c r="T70" s="478">
        <v>1</v>
      </c>
      <c r="U70" s="478"/>
      <c r="V70" s="478"/>
      <c r="W70" s="478"/>
      <c r="X70" s="491">
        <v>0</v>
      </c>
      <c r="Y70" s="443"/>
      <c r="Z70" s="477">
        <v>0</v>
      </c>
      <c r="AA70" s="478"/>
      <c r="AB70" s="478"/>
      <c r="AC70" s="478"/>
      <c r="AD70" s="478"/>
      <c r="AE70" s="479">
        <v>0</v>
      </c>
      <c r="AF70" s="322"/>
      <c r="AG70" s="444" t="e">
        <v>#N/A</v>
      </c>
      <c r="AH70" s="324"/>
    </row>
    <row r="71" spans="1:34" ht="15">
      <c r="A71" s="321" t="s">
        <v>512</v>
      </c>
      <c r="B71" s="336" t="s">
        <v>513</v>
      </c>
      <c r="C71" s="322"/>
      <c r="D71" s="323" t="s">
        <v>514</v>
      </c>
      <c r="E71" s="322"/>
      <c r="F71" s="322" t="s">
        <v>528</v>
      </c>
      <c r="G71" s="241" t="str">
        <f>VLOOKUP(A71,'Feature Summary'!$A$7:$C$3954,3,FALSE)</f>
        <v>P1</v>
      </c>
      <c r="H71" s="412" t="s">
        <v>529</v>
      </c>
      <c r="I71" s="442" t="s">
        <v>41</v>
      </c>
      <c r="J71" s="322"/>
      <c r="K71" s="323">
        <v>24</v>
      </c>
      <c r="L71" s="323">
        <v>1</v>
      </c>
      <c r="M71" s="416" t="s">
        <v>44</v>
      </c>
      <c r="N71" s="459">
        <v>1</v>
      </c>
      <c r="O71" s="569">
        <v>1</v>
      </c>
      <c r="P71" s="460">
        <f t="shared" si="10"/>
        <v>1</v>
      </c>
      <c r="Q71" s="442" t="s">
        <v>32</v>
      </c>
      <c r="R71" s="323">
        <v>1</v>
      </c>
      <c r="S71" s="490">
        <f t="shared" ref="S71" si="15">SUM(T71:W71)</f>
        <v>1</v>
      </c>
      <c r="T71" s="478">
        <v>1</v>
      </c>
      <c r="U71" s="478"/>
      <c r="V71" s="478"/>
      <c r="W71" s="478"/>
      <c r="X71" s="491">
        <f t="shared" ref="X71" si="16">IF((S71=0),0,((T71+U71)/S71*100%))</f>
        <v>1</v>
      </c>
      <c r="Y71" s="443"/>
      <c r="Z71" s="477">
        <f t="shared" ref="Z71" si="17">SUM(AA71:AD71)</f>
        <v>0</v>
      </c>
      <c r="AA71" s="478"/>
      <c r="AB71" s="478"/>
      <c r="AC71" s="478"/>
      <c r="AD71" s="478"/>
      <c r="AE71" s="479">
        <f t="shared" ref="AE71" si="18">IF((Z71=0),0,((AA71+AB71)/Z71*100%))</f>
        <v>0</v>
      </c>
      <c r="AF71" s="322"/>
      <c r="AG71" s="444" t="str">
        <f>VLOOKUP(A71,'Feature Summary'!$A$7:$U$3954,21,FALSE)</f>
        <v>Wk7</v>
      </c>
      <c r="AH71" s="324"/>
    </row>
    <row r="72" spans="1:34">
      <c r="A72" s="366"/>
      <c r="B72" s="367"/>
      <c r="C72" s="367"/>
      <c r="D72" s="368"/>
      <c r="E72" s="367"/>
      <c r="F72" s="367"/>
      <c r="G72" s="368"/>
      <c r="H72" s="413"/>
      <c r="I72" s="559"/>
      <c r="J72" s="367"/>
      <c r="K72" s="367"/>
      <c r="L72" s="369"/>
      <c r="M72" s="370"/>
      <c r="N72" s="461"/>
      <c r="O72" s="462"/>
      <c r="P72" s="460"/>
      <c r="Q72" s="376"/>
      <c r="R72" s="377"/>
      <c r="S72" s="492"/>
      <c r="T72" s="493"/>
      <c r="U72" s="493"/>
      <c r="V72" s="493"/>
      <c r="W72" s="493"/>
      <c r="X72" s="494"/>
      <c r="Y72" s="378"/>
      <c r="Z72" s="480"/>
      <c r="AA72" s="481"/>
      <c r="AB72" s="481"/>
      <c r="AC72" s="481"/>
      <c r="AD72" s="481"/>
      <c r="AE72" s="482"/>
      <c r="AF72" s="382"/>
      <c r="AG72" s="382"/>
      <c r="AH72" s="384"/>
    </row>
    <row r="73" spans="1:34">
      <c r="A73" s="366"/>
      <c r="B73" s="367"/>
      <c r="C73" s="367"/>
      <c r="D73" s="368"/>
      <c r="E73" s="367"/>
      <c r="F73" s="367"/>
      <c r="G73" s="368"/>
      <c r="H73" s="413"/>
      <c r="I73" s="559"/>
      <c r="J73" s="367"/>
      <c r="K73" s="367"/>
      <c r="L73" s="369"/>
      <c r="M73" s="370"/>
      <c r="N73" s="461"/>
      <c r="O73" s="462"/>
      <c r="P73" s="460"/>
      <c r="Q73" s="376"/>
      <c r="R73" s="377"/>
      <c r="S73" s="492"/>
      <c r="T73" s="493"/>
      <c r="U73" s="493"/>
      <c r="V73" s="493"/>
      <c r="W73" s="493"/>
      <c r="X73" s="494"/>
      <c r="Y73" s="378"/>
      <c r="Z73" s="480"/>
      <c r="AA73" s="481"/>
      <c r="AB73" s="481"/>
      <c r="AC73" s="481"/>
      <c r="AD73" s="481"/>
      <c r="AE73" s="482"/>
      <c r="AF73" s="382"/>
      <c r="AG73" s="382"/>
      <c r="AH73" s="384"/>
    </row>
    <row r="74" spans="1:34" ht="15" thickBot="1">
      <c r="A74" s="371"/>
      <c r="B74" s="372"/>
      <c r="C74" s="372"/>
      <c r="D74" s="373"/>
      <c r="E74" s="372"/>
      <c r="F74" s="372"/>
      <c r="G74" s="373"/>
      <c r="H74" s="414"/>
      <c r="I74" s="559"/>
      <c r="J74" s="372"/>
      <c r="K74" s="372"/>
      <c r="L74" s="374"/>
      <c r="M74" s="375"/>
      <c r="N74" s="463"/>
      <c r="O74" s="464"/>
      <c r="P74" s="465"/>
      <c r="Q74" s="379"/>
      <c r="R74" s="380"/>
      <c r="S74" s="495"/>
      <c r="T74" s="496"/>
      <c r="U74" s="496"/>
      <c r="V74" s="496"/>
      <c r="W74" s="496"/>
      <c r="X74" s="497"/>
      <c r="Y74" s="381"/>
      <c r="Z74" s="483"/>
      <c r="AA74" s="484"/>
      <c r="AB74" s="484"/>
      <c r="AC74" s="484"/>
      <c r="AD74" s="484"/>
      <c r="AE74" s="485"/>
      <c r="AF74" s="383"/>
      <c r="AG74" s="383"/>
      <c r="AH74" s="385"/>
    </row>
    <row r="75" spans="1:34">
      <c r="A75" s="624" t="s">
        <v>530</v>
      </c>
      <c r="B75" s="625"/>
      <c r="C75" s="625"/>
      <c r="D75" s="625"/>
      <c r="E75" s="625"/>
      <c r="F75" s="625"/>
      <c r="G75" s="625"/>
      <c r="H75" s="625"/>
      <c r="I75" s="625"/>
      <c r="J75" s="625"/>
      <c r="K75" s="625"/>
      <c r="L75" s="625"/>
      <c r="M75" s="625"/>
      <c r="N75" s="625"/>
      <c r="O75" s="625"/>
      <c r="P75" s="625"/>
      <c r="Q75" s="625"/>
      <c r="R75" s="625"/>
      <c r="S75" s="625"/>
      <c r="T75" s="625"/>
      <c r="U75" s="625"/>
      <c r="V75" s="625"/>
      <c r="W75" s="625"/>
      <c r="X75" s="625"/>
      <c r="Y75" s="625"/>
      <c r="Z75" s="625"/>
      <c r="AA75" s="625"/>
      <c r="AB75" s="625"/>
      <c r="AC75" s="625"/>
      <c r="AD75" s="625"/>
      <c r="AE75" s="625"/>
      <c r="AF75" s="625"/>
      <c r="AG75" s="625"/>
      <c r="AH75" s="626"/>
    </row>
    <row r="76" spans="1:34" ht="15" thickBot="1">
      <c r="A76" s="627"/>
      <c r="B76" s="628"/>
      <c r="C76" s="628"/>
      <c r="D76" s="628"/>
      <c r="E76" s="628"/>
      <c r="F76" s="628"/>
      <c r="G76" s="628"/>
      <c r="H76" s="628"/>
      <c r="I76" s="628"/>
      <c r="J76" s="628"/>
      <c r="K76" s="628"/>
      <c r="L76" s="628"/>
      <c r="M76" s="628"/>
      <c r="N76" s="628"/>
      <c r="O76" s="628"/>
      <c r="P76" s="628"/>
      <c r="Q76" s="628"/>
      <c r="R76" s="628"/>
      <c r="S76" s="628"/>
      <c r="T76" s="628"/>
      <c r="U76" s="628"/>
      <c r="V76" s="628"/>
      <c r="W76" s="628"/>
      <c r="X76" s="628"/>
      <c r="Y76" s="628"/>
      <c r="Z76" s="628"/>
      <c r="AA76" s="628"/>
      <c r="AB76" s="628"/>
      <c r="AC76" s="628"/>
      <c r="AD76" s="628"/>
      <c r="AE76" s="628"/>
      <c r="AF76" s="628"/>
      <c r="AG76" s="628"/>
      <c r="AH76" s="629"/>
    </row>
    <row r="77" spans="1:34" ht="18.95" thickBot="1">
      <c r="A77" s="633" t="s">
        <v>302</v>
      </c>
      <c r="B77" s="634"/>
      <c r="C77" s="634"/>
      <c r="D77" s="634"/>
      <c r="E77" s="634"/>
      <c r="F77" s="634"/>
      <c r="G77" s="634"/>
      <c r="H77" s="634"/>
      <c r="I77" s="634"/>
      <c r="J77" s="635"/>
      <c r="K77" s="397">
        <f>SUM(K6:K74)</f>
        <v>2272</v>
      </c>
      <c r="L77" s="397">
        <f>SUM(L6:L74)</f>
        <v>66</v>
      </c>
      <c r="M77" s="398"/>
      <c r="N77" s="466">
        <f>SUMPRODUCT(K6:K74,N6:N74)/K77</f>
        <v>1</v>
      </c>
      <c r="O77" s="467">
        <f>SUM(O6:O74)</f>
        <v>61.15</v>
      </c>
      <c r="P77" s="468">
        <f>SUMPRODUCT(K6:K74,P6:P74)/K77</f>
        <v>0.94524647887323943</v>
      </c>
      <c r="Q77" s="399"/>
      <c r="R77" s="400">
        <f>SUM(R6:R74)</f>
        <v>58</v>
      </c>
      <c r="S77" s="469">
        <f>SUM(S6:S74)</f>
        <v>52</v>
      </c>
      <c r="T77" s="469">
        <f>SUM(T6:T74)</f>
        <v>52</v>
      </c>
      <c r="U77" s="400">
        <f t="shared" ref="U77:W77" si="19">SUM(U6:U74)</f>
        <v>0</v>
      </c>
      <c r="V77" s="400">
        <f t="shared" si="19"/>
        <v>0</v>
      </c>
      <c r="W77" s="400">
        <f t="shared" si="19"/>
        <v>0</v>
      </c>
      <c r="X77" s="470">
        <f>IF((S77=0),0,((T77+U77)/S77*100%))</f>
        <v>1</v>
      </c>
      <c r="Y77" s="401"/>
      <c r="Z77" s="471">
        <f>SUM(Z6:Z74)</f>
        <v>0</v>
      </c>
      <c r="AA77" s="472">
        <f>SUM(AA6:AA74)</f>
        <v>0</v>
      </c>
      <c r="AB77" s="472">
        <f>SUM(AB6:AB74)</f>
        <v>0</v>
      </c>
      <c r="AC77" s="472">
        <f>SUM(AC6:AC74)</f>
        <v>0</v>
      </c>
      <c r="AD77" s="472">
        <f>SUM(AD6:AD74)</f>
        <v>0</v>
      </c>
      <c r="AE77" s="473">
        <f>IF((Z77=0),0,((AA77+AB77)/Z77*100%))</f>
        <v>0</v>
      </c>
      <c r="AF77" s="402"/>
      <c r="AG77" s="402"/>
      <c r="AH77" s="403"/>
    </row>
    <row r="79" spans="1:34">
      <c r="L79" s="170" t="s">
        <v>531</v>
      </c>
    </row>
    <row r="80" spans="1:34" ht="15"/>
  </sheetData>
  <sheetProtection insertColumns="0" insertRows="0" deleteRows="0" sort="0"/>
  <autoFilter ref="A5:AH77" xr:uid="{00000000-0009-0000-0000-000002000000}"/>
  <mergeCells count="9">
    <mergeCell ref="A75:AH76"/>
    <mergeCell ref="A1:AH1"/>
    <mergeCell ref="A3:AH3"/>
    <mergeCell ref="A2:J2"/>
    <mergeCell ref="A77:J77"/>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Q72:Q74</xm:sqref>
        </x14:dataValidation>
        <x14:dataValidation type="list" allowBlank="1" showInputMessage="1" showErrorMessage="1" xr:uid="{237AC15D-702E-46B4-89E7-DAB1EF5DAEB1}">
          <x14:formula1>
            <xm:f>'List Options'!$E$1:$E$7</xm:f>
          </x14:formula1>
          <xm:sqref>Q6:Q71</xm:sqref>
        </x14:dataValidation>
        <x14:dataValidation type="list" allowBlank="1" showInputMessage="1" showErrorMessage="1" xr:uid="{5513F172-4253-4807-A8CE-34D720193895}">
          <x14:formula1>
            <xm:f>'List Options'!$G$1:$G$3</xm:f>
          </x14:formula1>
          <xm:sqref>M6:M74</xm:sqref>
        </x14:dataValidation>
        <x14:dataValidation type="list" allowBlank="1" showInputMessage="1" showErrorMessage="1" xr:uid="{8B92A7F6-7ABF-446A-A0A1-23D59ABEAA7C}">
          <x14:formula1>
            <xm:f>'List Options'!$K$1:$K$6</xm:f>
          </x14:formula1>
          <xm:sqref>I6:I74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B33" activePane="bottomRight" state="frozen"/>
      <selection pane="bottomRight" activeCell="G54" sqref="G54"/>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49" t="s">
        <v>532</v>
      </c>
      <c r="B1" s="650"/>
      <c r="C1" s="650"/>
      <c r="D1" s="650"/>
      <c r="E1" s="650"/>
      <c r="F1" s="650"/>
      <c r="G1" s="650"/>
      <c r="H1" s="650"/>
      <c r="I1" s="650"/>
      <c r="J1" s="650"/>
      <c r="K1" s="650"/>
      <c r="L1" s="650"/>
      <c r="M1" s="650"/>
      <c r="N1" s="650"/>
      <c r="O1" s="650"/>
      <c r="P1" s="650"/>
      <c r="Q1" s="650"/>
      <c r="R1" s="650"/>
      <c r="S1" s="650"/>
      <c r="T1" s="650"/>
      <c r="U1" s="650"/>
      <c r="V1" s="651"/>
    </row>
    <row r="2" spans="1:22" ht="15" thickBot="1">
      <c r="A2" s="216" t="s">
        <v>533</v>
      </c>
      <c r="B2" s="652" t="s">
        <v>166</v>
      </c>
      <c r="C2" s="652"/>
      <c r="D2" s="652"/>
      <c r="E2" s="652"/>
      <c r="F2" s="652"/>
      <c r="G2" s="653" t="s">
        <v>177</v>
      </c>
      <c r="H2" s="654"/>
      <c r="I2" s="654"/>
      <c r="J2" s="654"/>
      <c r="K2" s="654"/>
      <c r="L2" s="654"/>
      <c r="M2" s="654"/>
      <c r="N2" s="655"/>
      <c r="O2" s="656" t="s">
        <v>144</v>
      </c>
      <c r="P2" s="657"/>
      <c r="Q2" s="657"/>
      <c r="R2" s="657"/>
      <c r="S2" s="657"/>
      <c r="T2" s="657"/>
      <c r="U2" s="657"/>
      <c r="V2" s="658"/>
    </row>
    <row r="3" spans="1:22" s="249" customFormat="1" ht="15" thickBot="1">
      <c r="A3" s="253" t="s">
        <v>88</v>
      </c>
      <c r="B3" s="310" t="s">
        <v>167</v>
      </c>
      <c r="C3" s="311" t="s">
        <v>128</v>
      </c>
      <c r="D3" s="312" t="s">
        <v>105</v>
      </c>
      <c r="E3" s="312" t="s">
        <v>173</v>
      </c>
      <c r="F3" s="313" t="s">
        <v>175</v>
      </c>
      <c r="G3" s="314" t="s">
        <v>132</v>
      </c>
      <c r="H3" s="315" t="s">
        <v>30</v>
      </c>
      <c r="I3" s="315" t="s">
        <v>135</v>
      </c>
      <c r="J3" s="315" t="s">
        <v>36</v>
      </c>
      <c r="K3" s="315" t="s">
        <v>138</v>
      </c>
      <c r="L3" s="315" t="s">
        <v>184</v>
      </c>
      <c r="M3" s="315" t="s">
        <v>140</v>
      </c>
      <c r="N3" s="316" t="s">
        <v>187</v>
      </c>
      <c r="O3" s="317" t="s">
        <v>132</v>
      </c>
      <c r="P3" s="318" t="s">
        <v>30</v>
      </c>
      <c r="Q3" s="318" t="s">
        <v>135</v>
      </c>
      <c r="R3" s="318" t="s">
        <v>36</v>
      </c>
      <c r="S3" s="318" t="s">
        <v>138</v>
      </c>
      <c r="T3" s="318" t="s">
        <v>184</v>
      </c>
      <c r="U3" s="318" t="s">
        <v>140</v>
      </c>
      <c r="V3" s="319" t="s">
        <v>187</v>
      </c>
    </row>
    <row r="4" spans="1:22">
      <c r="A4" s="333" t="s">
        <v>310</v>
      </c>
      <c r="B4" s="250">
        <f>SUMIFS('Diags Raw Data'!$L$6:$L$4691,'Diags Raw Data'!$D$6:$D$4691,$A4)</f>
        <v>16</v>
      </c>
      <c r="C4" s="240">
        <f>SUMIFS('Diags Raw Data'!$R$6:$R$4691,'Diags Raw Data'!$D$6:$D$4691,$A4)</f>
        <v>9</v>
      </c>
      <c r="D4" s="240">
        <f>SUMIFS('Diags Raw Data'!$K$6:$K$4691,'Diags Raw Data'!$D$6:$D$4691,$A4)</f>
        <v>488</v>
      </c>
      <c r="E4" s="240">
        <f>SUMIFS('Diags Raw Data'!$O$6:$O$4691,'Diags Raw Data'!$D$6:$D$4691,$A4)</f>
        <v>16</v>
      </c>
      <c r="F4" s="246">
        <f>IF(NOT($B4=0), E4/$B4, "---")</f>
        <v>1</v>
      </c>
      <c r="G4" s="218">
        <f>SUMIFS('Diags Raw Data'!$S$6:$S$4691,'Diags Raw Data'!$D$6:$D$4691,$A4)</f>
        <v>9</v>
      </c>
      <c r="H4" s="219">
        <f>SUMIFS('Diags Raw Data'!$T$6:$T$4691,'Diags Raw Data'!$D$6:$D$4691,$A4)</f>
        <v>9</v>
      </c>
      <c r="I4" s="221">
        <f>SUMIFS('Diags Raw Data'!$U$6:$U$4691,'Diags Raw Data'!$D$6:$D$4691,$A4)</f>
        <v>0</v>
      </c>
      <c r="J4" s="219">
        <f>SUMIFS('Diags Raw Data'!$V$6:$V$4691,'Diags Raw Data'!$D$6:$D$4691,$A4)</f>
        <v>0</v>
      </c>
      <c r="K4" s="221">
        <f>SUMIFS('Diags Raw Data'!$W$6:$W$4691,'Diags Raw Data'!$D$6:$D$4691,$A4)</f>
        <v>0</v>
      </c>
      <c r="L4" s="220">
        <f>IF(NOT($C4=0), G4/$C4, "---")</f>
        <v>1</v>
      </c>
      <c r="M4" s="222">
        <f>IF(NOT($G4=0), (H4+I4)/$G4, "---")</f>
        <v>1</v>
      </c>
      <c r="N4" s="224">
        <f>IF(NOT($C4=0), (H4+I4)/$C4, "---")</f>
        <v>1</v>
      </c>
      <c r="O4" s="211">
        <f>SUMIFS('Diags Raw Data'!$Z$6:$Z$4691,'Diags Raw Data'!$D$6:$D$4691,$A4)</f>
        <v>0</v>
      </c>
      <c r="P4" s="208">
        <f>SUMIFS('Diags Raw Data'!$AA$6:$AA$4691,'Diags Raw Data'!$D$6:$D$4691,$A4)</f>
        <v>0</v>
      </c>
      <c r="Q4" s="210">
        <f>SUMIFS('Diags Raw Data'!$AB$6:$AB$4691,'Diags Raw Data'!$D$6:$D$4691,$A4)</f>
        <v>0</v>
      </c>
      <c r="R4" s="208">
        <f>SUMIFS('Diags Raw Data'!$AC$6:$AC$4691,'Diags Raw Data'!$D$6:$D$4691,$A4)</f>
        <v>0</v>
      </c>
      <c r="S4" s="210">
        <f>SUMIFS('Diags Raw Data'!$AD$6:$AD$4691,'Diags Raw Data'!$D$6:$D$4691,$A4)</f>
        <v>0</v>
      </c>
      <c r="T4" s="209">
        <f>IF(NOT($B4=0), O4/$B4, "---")</f>
        <v>0</v>
      </c>
      <c r="U4" s="223" t="str">
        <f>IF(NOT($O4=0), (P4+Q4)/$O4, "---")</f>
        <v>---</v>
      </c>
      <c r="V4" s="239">
        <f>IF(NOT($B4=0), (P4+Q4)/$B4, "---")</f>
        <v>0</v>
      </c>
    </row>
    <row r="5" spans="1:22">
      <c r="A5" s="333" t="s">
        <v>373</v>
      </c>
      <c r="B5" s="251">
        <f>SUMIFS('Diags Raw Data'!$L$6:$L$4691,'Diags Raw Data'!$D$6:$D$4691,$A5)</f>
        <v>29</v>
      </c>
      <c r="C5" s="241">
        <f>SUMIFS('Diags Raw Data'!$R$6:$R$4691,'Diags Raw Data'!$D$6:$D$4691,$A5)</f>
        <v>29</v>
      </c>
      <c r="D5" s="241">
        <f>SUMIFS('Diags Raw Data'!$K$6:$K$4691,'Diags Raw Data'!$D$6:$D$4691,$A5)</f>
        <v>1176</v>
      </c>
      <c r="E5" s="241">
        <f>SUMIFS('Diags Raw Data'!$O$6:$O$4691,'Diags Raw Data'!$D$6:$D$4691,$A5)</f>
        <v>28</v>
      </c>
      <c r="F5" s="247">
        <f t="shared" ref="F5:F12" si="0">IF(NOT($B5=0), E5/$B5, "---")</f>
        <v>0.96551724137931039</v>
      </c>
      <c r="G5" s="229">
        <f>SUMIFS('Diags Raw Data'!$S$6:$S$4691,'Diags Raw Data'!$D$6:$D$4691,$A5)</f>
        <v>27</v>
      </c>
      <c r="H5" s="225">
        <f>SUMIFS('Diags Raw Data'!$T$6:$T$4691,'Diags Raw Data'!$D$6:$D$4691,$A5)</f>
        <v>27</v>
      </c>
      <c r="I5" s="226">
        <f>SUMIFS('Diags Raw Data'!$U$6:$U$4691,'Diags Raw Data'!$D$6:$D$4691,$A5)</f>
        <v>0</v>
      </c>
      <c r="J5" s="225">
        <f>SUMIFS('Diags Raw Data'!$V$6:$V$4691,'Diags Raw Data'!$D$6:$D$4691,$A5)</f>
        <v>0</v>
      </c>
      <c r="K5" s="226">
        <f>SUMIFS('Diags Raw Data'!$W$6:$W$4691,'Diags Raw Data'!$D$6:$D$4691,$A5)</f>
        <v>0</v>
      </c>
      <c r="L5" s="242">
        <f t="shared" ref="L5:L13" si="1">IF(NOT($C5=0), G5/$C5, "---")</f>
        <v>0.93103448275862066</v>
      </c>
      <c r="M5" s="227">
        <f t="shared" ref="M5:M13" si="2">IF(NOT($G5=0), (H5+I5)/$G5, "---")</f>
        <v>1</v>
      </c>
      <c r="N5" s="236">
        <f t="shared" ref="N5:N12" si="3">IF(NOT($C5=0), (H5+I5)/$C5, "---")</f>
        <v>0.93103448275862066</v>
      </c>
      <c r="O5" s="212">
        <f>SUMIFS('Diags Raw Data'!$Z$6:$Z$4691,'Diags Raw Data'!$D$6:$D$4691,$A5)</f>
        <v>0</v>
      </c>
      <c r="P5" s="202">
        <f>SUMIFS('Diags Raw Data'!$AA$6:$AA$4691,'Diags Raw Data'!$D$6:$D$4691,$A5)</f>
        <v>0</v>
      </c>
      <c r="Q5" s="204">
        <f>SUMIFS('Diags Raw Data'!$AB$6:$AB$4691,'Diags Raw Data'!$D$6:$D$4691,$A5)</f>
        <v>0</v>
      </c>
      <c r="R5" s="202">
        <f>SUMIFS('Diags Raw Data'!$AC$6:$AC$4691,'Diags Raw Data'!$D$6:$D$4691,$A5)</f>
        <v>0</v>
      </c>
      <c r="S5" s="204">
        <f>SUMIFS('Diags Raw Data'!$AD$6:$AD$4691,'Diags Raw Data'!$D$6:$D$4691,$A5)</f>
        <v>0</v>
      </c>
      <c r="T5" s="203">
        <f t="shared" ref="T5:T13" si="4">IF(NOT($B5=0), O5/$B5, "---")</f>
        <v>0</v>
      </c>
      <c r="U5" s="228" t="str">
        <f t="shared" ref="U5:U8" si="5">IF(NOT($O5=0), (P5+Q5)/$O5, "---")</f>
        <v>---</v>
      </c>
      <c r="V5" s="230">
        <f t="shared" ref="V5:V13" si="6">IF(NOT($B5=0), (P5+Q5)/$B5, "---")</f>
        <v>0</v>
      </c>
    </row>
    <row r="6" spans="1:22">
      <c r="A6" s="333" t="s">
        <v>451</v>
      </c>
      <c r="B6" s="251">
        <f>SUMIFS('Diags Raw Data'!$L$6:$L$4691,'Diags Raw Data'!$D$6:$D$4691,$A6)</f>
        <v>14</v>
      </c>
      <c r="C6" s="241">
        <f>SUMIFS('Diags Raw Data'!$R$6:$R$4691,'Diags Raw Data'!$D$6:$D$4691,$A6)</f>
        <v>13</v>
      </c>
      <c r="D6" s="241">
        <f>SUMIFS('Diags Raw Data'!$K$6:$K$4691,'Diags Raw Data'!$D$6:$D$4691,$A6)</f>
        <v>440</v>
      </c>
      <c r="E6" s="241">
        <f>SUMIFS('Diags Raw Data'!$O$6:$O$4691,'Diags Raw Data'!$D$6:$D$4691,$A6)</f>
        <v>10.15</v>
      </c>
      <c r="F6" s="247">
        <f t="shared" si="0"/>
        <v>0.72499999999999998</v>
      </c>
      <c r="G6" s="229">
        <f>SUMIFS('Diags Raw Data'!$S$6:$S$4691,'Diags Raw Data'!$D$6:$D$4691,$A6)</f>
        <v>9</v>
      </c>
      <c r="H6" s="225">
        <f>SUMIFS('Diags Raw Data'!$T$6:$T$4691,'Diags Raw Data'!$D$6:$D$4691,$A6)</f>
        <v>9</v>
      </c>
      <c r="I6" s="226">
        <f>SUMIFS('Diags Raw Data'!$U$6:$U$4691,'Diags Raw Data'!$D$6:$D$4691,$A6)</f>
        <v>0</v>
      </c>
      <c r="J6" s="225">
        <f>SUMIFS('Diags Raw Data'!$V$6:$V$4691,'Diags Raw Data'!$D$6:$D$4691,$A6)</f>
        <v>0</v>
      </c>
      <c r="K6" s="226">
        <f>SUMIFS('Diags Raw Data'!$W$6:$W$4691,'Diags Raw Data'!$D$6:$D$4691,$A6)</f>
        <v>0</v>
      </c>
      <c r="L6" s="242">
        <f t="shared" si="1"/>
        <v>0.69230769230769229</v>
      </c>
      <c r="M6" s="227">
        <f t="shared" si="2"/>
        <v>1</v>
      </c>
      <c r="N6" s="236">
        <f t="shared" si="3"/>
        <v>0.69230769230769229</v>
      </c>
      <c r="O6" s="212">
        <f>SUMIFS('Diags Raw Data'!$Z$6:$Z$4691,'Diags Raw Data'!$D$6:$D$4691,$A6)</f>
        <v>0</v>
      </c>
      <c r="P6" s="202">
        <f>SUMIFS('Diags Raw Data'!$AA$6:$AA$4691,'Diags Raw Data'!$D$6:$D$4691,$A6)</f>
        <v>0</v>
      </c>
      <c r="Q6" s="204">
        <f>SUMIFS('Diags Raw Data'!$AB$6:$AB$4691,'Diags Raw Data'!$D$6:$D$4691,$A6)</f>
        <v>0</v>
      </c>
      <c r="R6" s="202">
        <f>SUMIFS('Diags Raw Data'!$AC$6:$AC$4691,'Diags Raw Data'!$D$6:$D$4691,$A6)</f>
        <v>0</v>
      </c>
      <c r="S6" s="204">
        <f>SUMIFS('Diags Raw Data'!$AD$6:$AD$4691,'Diags Raw Data'!$D$6:$D$4691,$A6)</f>
        <v>0</v>
      </c>
      <c r="T6" s="203">
        <f t="shared" si="4"/>
        <v>0</v>
      </c>
      <c r="U6" s="228" t="str">
        <f t="shared" si="5"/>
        <v>---</v>
      </c>
      <c r="V6" s="230">
        <f t="shared" si="6"/>
        <v>0</v>
      </c>
    </row>
    <row r="7" spans="1:22">
      <c r="A7" s="333"/>
      <c r="B7" s="251">
        <f>SUMIFS('Diags Raw Data'!$L$6:$L$4691,'Diags Raw Data'!$D$6:$D$4691,$A7)</f>
        <v>0</v>
      </c>
      <c r="C7" s="241">
        <f>SUMIFS('Diags Raw Data'!$R$6:$R$4691,'Diags Raw Data'!$D$6:$D$4691,$A7)</f>
        <v>0</v>
      </c>
      <c r="D7" s="241">
        <f>SUMIFS('Diags Raw Data'!$K$6:$K$4691,'Diags Raw Data'!$D$6:$D$4691,$A7)</f>
        <v>0</v>
      </c>
      <c r="E7" s="241">
        <f>SUMIFS('Diags Raw Data'!$O$6:$O$4691,'Diags Raw Data'!$D$6:$D$4691,$A7)</f>
        <v>0</v>
      </c>
      <c r="F7" s="247" t="str">
        <f t="shared" si="0"/>
        <v>---</v>
      </c>
      <c r="G7" s="229">
        <f>SUMIFS('Diags Raw Data'!$S$6:$S$4691,'Diags Raw Data'!$D$6:$D$4691,$A7)</f>
        <v>0</v>
      </c>
      <c r="H7" s="225">
        <f>SUMIFS('Diags Raw Data'!$T$6:$T$4691,'Diags Raw Data'!$D$6:$D$4691,$A7)</f>
        <v>0</v>
      </c>
      <c r="I7" s="226">
        <f>SUMIFS('Diags Raw Data'!$U$6:$U$4691,'Diags Raw Data'!$D$6:$D$4691,$A7)</f>
        <v>0</v>
      </c>
      <c r="J7" s="225">
        <f>SUMIFS('Diags Raw Data'!$V$6:$V$4691,'Diags Raw Data'!$D$6:$D$4691,$A7)</f>
        <v>0</v>
      </c>
      <c r="K7" s="226">
        <f>SUMIFS('Diags Raw Data'!$W$6:$W$4691,'Diags Raw Data'!$D$6:$D$4691,$A7)</f>
        <v>0</v>
      </c>
      <c r="L7" s="242" t="str">
        <f t="shared" si="1"/>
        <v>---</v>
      </c>
      <c r="M7" s="227" t="str">
        <f t="shared" si="2"/>
        <v>---</v>
      </c>
      <c r="N7" s="236" t="str">
        <f t="shared" si="3"/>
        <v>---</v>
      </c>
      <c r="O7" s="212">
        <f>SUMIFS('Diags Raw Data'!$Z$6:$Z$4691,'Diags Raw Data'!$D$6:$D$4691,$A7)</f>
        <v>0</v>
      </c>
      <c r="P7" s="202">
        <f>SUMIFS('Diags Raw Data'!$AA$6:$AA$4691,'Diags Raw Data'!$D$6:$D$4691,$A7)</f>
        <v>0</v>
      </c>
      <c r="Q7" s="204">
        <f>SUMIFS('Diags Raw Data'!$AB$6:$AB$4691,'Diags Raw Data'!$D$6:$D$4691,$A7)</f>
        <v>0</v>
      </c>
      <c r="R7" s="202">
        <f>SUMIFS('Diags Raw Data'!$AC$6:$AC$4691,'Diags Raw Data'!$D$6:$D$4691,$A7)</f>
        <v>0</v>
      </c>
      <c r="S7" s="204">
        <f>SUMIFS('Diags Raw Data'!$AD$6:$AD$4691,'Diags Raw Data'!$D$6:$D$4691,$A7)</f>
        <v>0</v>
      </c>
      <c r="T7" s="203" t="str">
        <f t="shared" si="4"/>
        <v>---</v>
      </c>
      <c r="U7" s="228" t="str">
        <f t="shared" si="5"/>
        <v>---</v>
      </c>
      <c r="V7" s="230" t="str">
        <f t="shared" si="6"/>
        <v>---</v>
      </c>
    </row>
    <row r="8" spans="1:22">
      <c r="A8" s="333"/>
      <c r="B8" s="251">
        <f>SUMIFS('Diags Raw Data'!$L$6:$L$4691,'Diags Raw Data'!$D$6:$D$4691,$A8)</f>
        <v>0</v>
      </c>
      <c r="C8" s="241">
        <f>SUMIFS('Diags Raw Data'!$R$6:$R$4691,'Diags Raw Data'!$D$6:$D$4691,$A8)</f>
        <v>0</v>
      </c>
      <c r="D8" s="241">
        <f>SUMIFS('Diags Raw Data'!$K$6:$K$4691,'Diags Raw Data'!$D$6:$D$4691,$A8)</f>
        <v>0</v>
      </c>
      <c r="E8" s="241">
        <f>SUMIFS('Diags Raw Data'!$O$6:$O$4691,'Diags Raw Data'!$D$6:$D$4691,$A8)</f>
        <v>0</v>
      </c>
      <c r="F8" s="247" t="str">
        <f t="shared" si="0"/>
        <v>---</v>
      </c>
      <c r="G8" s="229">
        <f>SUMIFS('Diags Raw Data'!$S$6:$S$4691,'Diags Raw Data'!$D$6:$D$4691,$A8)</f>
        <v>0</v>
      </c>
      <c r="H8" s="225">
        <f>SUMIFS('Diags Raw Data'!$T$6:$T$4691,'Diags Raw Data'!$D$6:$D$4691,$A8)</f>
        <v>0</v>
      </c>
      <c r="I8" s="226">
        <f>SUMIFS('Diags Raw Data'!$U$6:$U$4691,'Diags Raw Data'!$D$6:$D$4691,$A8)</f>
        <v>0</v>
      </c>
      <c r="J8" s="225">
        <f>SUMIFS('Diags Raw Data'!$V$6:$V$4691,'Diags Raw Data'!$D$6:$D$4691,$A8)</f>
        <v>0</v>
      </c>
      <c r="K8" s="226">
        <f>SUMIFS('Diags Raw Data'!$W$6:$W$4691,'Diags Raw Data'!$D$6:$D$4691,$A8)</f>
        <v>0</v>
      </c>
      <c r="L8" s="242" t="str">
        <f t="shared" si="1"/>
        <v>---</v>
      </c>
      <c r="M8" s="227" t="str">
        <f t="shared" si="2"/>
        <v>---</v>
      </c>
      <c r="N8" s="236" t="str">
        <f t="shared" si="3"/>
        <v>---</v>
      </c>
      <c r="O8" s="212">
        <f>SUMIFS('Diags Raw Data'!$Z$6:$Z$4691,'Diags Raw Data'!$D$6:$D$4691,$A8)</f>
        <v>0</v>
      </c>
      <c r="P8" s="202">
        <f>SUMIFS('Diags Raw Data'!$AA$6:$AA$4691,'Diags Raw Data'!$D$6:$D$4691,$A8)</f>
        <v>0</v>
      </c>
      <c r="Q8" s="204">
        <f>SUMIFS('Diags Raw Data'!$AB$6:$AB$4691,'Diags Raw Data'!$D$6:$D$4691,$A8)</f>
        <v>0</v>
      </c>
      <c r="R8" s="202">
        <f>SUMIFS('Diags Raw Data'!$AC$6:$AC$4691,'Diags Raw Data'!$D$6:$D$4691,$A8)</f>
        <v>0</v>
      </c>
      <c r="S8" s="204">
        <f>SUMIFS('Diags Raw Data'!$AD$6:$AD$4691,'Diags Raw Data'!$D$6:$D$4691,$A8)</f>
        <v>0</v>
      </c>
      <c r="T8" s="203" t="str">
        <f t="shared" si="4"/>
        <v>---</v>
      </c>
      <c r="U8" s="228" t="str">
        <f t="shared" si="5"/>
        <v>---</v>
      </c>
      <c r="V8" s="230" t="str">
        <f t="shared" si="6"/>
        <v>---</v>
      </c>
    </row>
    <row r="9" spans="1:22">
      <c r="A9" s="333"/>
      <c r="B9" s="251">
        <f>SUMIFS('Diags Raw Data'!$L$6:$L$4691,'Diags Raw Data'!$D$6:$D$4691,$A9)</f>
        <v>0</v>
      </c>
      <c r="C9" s="241">
        <f>SUMIFS('Diags Raw Data'!$R$6:$R$4691,'Diags Raw Data'!$D$6:$D$4691,$A9)</f>
        <v>0</v>
      </c>
      <c r="D9" s="241">
        <f>SUMIFS('Diags Raw Data'!$K$6:$K$4691,'Diags Raw Data'!$D$6:$D$4691,$A9)</f>
        <v>0</v>
      </c>
      <c r="E9" s="241">
        <f>SUMIFS('Diags Raw Data'!$O$6:$O$4691,'Diags Raw Data'!$D$6:$D$4691,$A9)</f>
        <v>0</v>
      </c>
      <c r="F9" s="247" t="str">
        <f t="shared" si="0"/>
        <v>---</v>
      </c>
      <c r="G9" s="229">
        <f>SUMIFS('Diags Raw Data'!$S$6:$S$4691,'Diags Raw Data'!$D$6:$D$4691,$A9)</f>
        <v>0</v>
      </c>
      <c r="H9" s="225">
        <f>SUMIFS('Diags Raw Data'!$T$6:$T$4691,'Diags Raw Data'!$D$6:$D$4691,$A9)</f>
        <v>0</v>
      </c>
      <c r="I9" s="226">
        <f>SUMIFS('Diags Raw Data'!$U$6:$U$4691,'Diags Raw Data'!$D$6:$D$4691,$A9)</f>
        <v>0</v>
      </c>
      <c r="J9" s="225">
        <f>SUMIFS('Diags Raw Data'!$V$6:$V$4691,'Diags Raw Data'!$D$6:$D$4691,$A9)</f>
        <v>0</v>
      </c>
      <c r="K9" s="226">
        <f>SUMIFS('Diags Raw Data'!$W$6:$W$4691,'Diags Raw Data'!$D$6:$D$4691,$A9)</f>
        <v>0</v>
      </c>
      <c r="L9" s="242" t="str">
        <f t="shared" si="1"/>
        <v>---</v>
      </c>
      <c r="M9" s="227" t="str">
        <f t="shared" si="2"/>
        <v>---</v>
      </c>
      <c r="N9" s="236" t="str">
        <f t="shared" si="3"/>
        <v>---</v>
      </c>
      <c r="O9" s="212">
        <f>SUMIFS('Diags Raw Data'!$Z$6:$Z$4691,'Diags Raw Data'!$D$6:$D$4691,$A9)</f>
        <v>0</v>
      </c>
      <c r="P9" s="202">
        <f>SUMIFS('Diags Raw Data'!$AA$6:$AA$4691,'Diags Raw Data'!$D$6:$D$4691,$A9)</f>
        <v>0</v>
      </c>
      <c r="Q9" s="204">
        <f>SUMIFS('Diags Raw Data'!$AB$6:$AB$4691,'Diags Raw Data'!$D$6:$D$4691,$A9)</f>
        <v>0</v>
      </c>
      <c r="R9" s="202">
        <f>SUMIFS('Diags Raw Data'!$AC$6:$AC$4691,'Diags Raw Data'!$D$6:$D$4691,$A9)</f>
        <v>0</v>
      </c>
      <c r="S9" s="204">
        <f>SUMIFS('Diags Raw Data'!$AD$6:$AD$4691,'Diags Raw Data'!$D$6:$D$4691,$A9)</f>
        <v>0</v>
      </c>
      <c r="T9" s="203" t="str">
        <f t="shared" si="4"/>
        <v>---</v>
      </c>
      <c r="U9" s="228" t="str">
        <f>IF(NOT($O9=0), (P9+Q9)/$O9, "---")</f>
        <v>---</v>
      </c>
      <c r="V9" s="230" t="str">
        <f t="shared" si="6"/>
        <v>---</v>
      </c>
    </row>
    <row r="10" spans="1:22">
      <c r="A10" s="333"/>
      <c r="B10" s="251">
        <f>SUMIFS('Diags Raw Data'!$L$6:$L$4691,'Diags Raw Data'!$D$6:$D$4691,$A10)</f>
        <v>0</v>
      </c>
      <c r="C10" s="241">
        <f>SUMIFS('Diags Raw Data'!$R$6:$R$4691,'Diags Raw Data'!$D$6:$D$4691,$A10)</f>
        <v>0</v>
      </c>
      <c r="D10" s="241">
        <f>SUMIFS('Diags Raw Data'!$K$6:$K$4691,'Diags Raw Data'!$D$6:$D$4691,$A10)</f>
        <v>0</v>
      </c>
      <c r="E10" s="241">
        <f>SUMIFS('Diags Raw Data'!$O$6:$O$4691,'Diags Raw Data'!$D$6:$D$4691,$A10)</f>
        <v>0</v>
      </c>
      <c r="F10" s="247" t="str">
        <f>IF(NOT($B10=0), E10/$B10, "---")</f>
        <v>---</v>
      </c>
      <c r="G10" s="229">
        <f>SUMIFS('Diags Raw Data'!$S$6:$S$4691,'Diags Raw Data'!$D$6:$D$4691,$A10)</f>
        <v>0</v>
      </c>
      <c r="H10" s="225">
        <f>SUMIFS('Diags Raw Data'!$T$6:$T$4691,'Diags Raw Data'!$D$6:$D$4691,$A10)</f>
        <v>0</v>
      </c>
      <c r="I10" s="226">
        <f>SUMIFS('Diags Raw Data'!$U$6:$U$4691,'Diags Raw Data'!$D$6:$D$4691,$A10)</f>
        <v>0</v>
      </c>
      <c r="J10" s="225">
        <f>SUMIFS('Diags Raw Data'!$V$6:$V$4691,'Diags Raw Data'!$D$6:$D$4691,$A10)</f>
        <v>0</v>
      </c>
      <c r="K10" s="226">
        <f>SUMIFS('Diags Raw Data'!$W$6:$W$4691,'Diags Raw Data'!$D$6:$D$4691,$A10)</f>
        <v>0</v>
      </c>
      <c r="L10" s="242" t="str">
        <f t="shared" si="1"/>
        <v>---</v>
      </c>
      <c r="M10" s="227" t="str">
        <f t="shared" si="2"/>
        <v>---</v>
      </c>
      <c r="N10" s="236" t="str">
        <f t="shared" si="3"/>
        <v>---</v>
      </c>
      <c r="O10" s="212">
        <f>SUMIFS('Diags Raw Data'!$Z$6:$Z$4691,'Diags Raw Data'!$D$6:$D$4691,$A10)</f>
        <v>0</v>
      </c>
      <c r="P10" s="202">
        <f>SUMIFS('Diags Raw Data'!$AA$6:$AA$4691,'Diags Raw Data'!$D$6:$D$4691,$A10)</f>
        <v>0</v>
      </c>
      <c r="Q10" s="204">
        <f>SUMIFS('Diags Raw Data'!$AB$6:$AB$4691,'Diags Raw Data'!$D$6:$D$4691,$A10)</f>
        <v>0</v>
      </c>
      <c r="R10" s="202">
        <f>SUMIFS('Diags Raw Data'!$AC$6:$AC$4691,'Diags Raw Data'!$D$6:$D$4691,$A10)</f>
        <v>0</v>
      </c>
      <c r="S10" s="204">
        <f>SUMIFS('Diags Raw Data'!$AD$6:$AD$4691,'Diags Raw Data'!$D$6:$D$4691,$A10)</f>
        <v>0</v>
      </c>
      <c r="T10" s="203" t="str">
        <f t="shared" si="4"/>
        <v>---</v>
      </c>
      <c r="U10" s="228" t="str">
        <f t="shared" ref="U10:U13" si="7">IF(NOT($O10=0), (P10+Q10)/$O10, "---")</f>
        <v>---</v>
      </c>
      <c r="V10" s="230" t="str">
        <f t="shared" si="6"/>
        <v>---</v>
      </c>
    </row>
    <row r="11" spans="1:22">
      <c r="A11" s="333"/>
      <c r="B11" s="251">
        <f>SUMIFS('Diags Raw Data'!$L$6:$L$4691,'Diags Raw Data'!$D$6:$D$4691,$A11)</f>
        <v>0</v>
      </c>
      <c r="C11" s="241">
        <f>SUMIFS('Diags Raw Data'!$R$6:$R$4691,'Diags Raw Data'!$D$6:$D$4691,$A11)</f>
        <v>0</v>
      </c>
      <c r="D11" s="241">
        <f>SUMIFS('Diags Raw Data'!$K$6:$K$4691,'Diags Raw Data'!$D$6:$D$4691,$A11)</f>
        <v>0</v>
      </c>
      <c r="E11" s="241">
        <f>SUMIFS('Diags Raw Data'!$O$6:$O$4691,'Diags Raw Data'!$D$6:$D$4691,$A11)</f>
        <v>0</v>
      </c>
      <c r="F11" s="247" t="str">
        <f t="shared" si="0"/>
        <v>---</v>
      </c>
      <c r="G11" s="229">
        <f>SUMIFS('Diags Raw Data'!$S$6:$S$4691,'Diags Raw Data'!$D$6:$D$4691,$A11)</f>
        <v>0</v>
      </c>
      <c r="H11" s="225">
        <f>SUMIFS('Diags Raw Data'!$T$6:$T$4691,'Diags Raw Data'!$D$6:$D$4691,$A11)</f>
        <v>0</v>
      </c>
      <c r="I11" s="226">
        <f>SUMIFS('Diags Raw Data'!$U$6:$U$4691,'Diags Raw Data'!$D$6:$D$4691,$A11)</f>
        <v>0</v>
      </c>
      <c r="J11" s="225">
        <f>SUMIFS('Diags Raw Data'!$V$6:$V$4691,'Diags Raw Data'!$D$6:$D$4691,$A11)</f>
        <v>0</v>
      </c>
      <c r="K11" s="226">
        <f>SUMIFS('Diags Raw Data'!$W$6:$W$4691,'Diags Raw Data'!$D$6:$D$4691,$A11)</f>
        <v>0</v>
      </c>
      <c r="L11" s="242" t="str">
        <f t="shared" si="1"/>
        <v>---</v>
      </c>
      <c r="M11" s="227" t="str">
        <f t="shared" si="2"/>
        <v>---</v>
      </c>
      <c r="N11" s="236" t="str">
        <f t="shared" si="3"/>
        <v>---</v>
      </c>
      <c r="O11" s="212">
        <f>SUMIFS('Diags Raw Data'!$Z$6:$Z$4691,'Diags Raw Data'!$D$6:$D$4691,$A11)</f>
        <v>0</v>
      </c>
      <c r="P11" s="202">
        <f>SUMIFS('Diags Raw Data'!$AA$6:$AA$4691,'Diags Raw Data'!$D$6:$D$4691,$A11)</f>
        <v>0</v>
      </c>
      <c r="Q11" s="204">
        <f>SUMIFS('Diags Raw Data'!$AB$6:$AB$4691,'Diags Raw Data'!$D$6:$D$4691,$A11)</f>
        <v>0</v>
      </c>
      <c r="R11" s="202">
        <f>SUMIFS('Diags Raw Data'!$AC$6:$AC$4691,'Diags Raw Data'!$D$6:$D$4691,$A11)</f>
        <v>0</v>
      </c>
      <c r="S11" s="204">
        <f>SUMIFS('Diags Raw Data'!$AD$6:$AD$4691,'Diags Raw Data'!$D$6:$D$4691,$A11)</f>
        <v>0</v>
      </c>
      <c r="T11" s="203" t="str">
        <f t="shared" si="4"/>
        <v>---</v>
      </c>
      <c r="U11" s="228" t="str">
        <f t="shared" si="7"/>
        <v>---</v>
      </c>
      <c r="V11" s="230" t="str">
        <f t="shared" si="6"/>
        <v>---</v>
      </c>
    </row>
    <row r="12" spans="1:22">
      <c r="A12" s="333"/>
      <c r="B12" s="251">
        <f>SUMIFS('Diags Raw Data'!$L$6:$L$4691,'Diags Raw Data'!$D$6:$D$4691,$A12)</f>
        <v>0</v>
      </c>
      <c r="C12" s="241">
        <f>SUMIFS('Diags Raw Data'!$R$6:$R$4691,'Diags Raw Data'!$D$6:$D$4691,$A12)</f>
        <v>0</v>
      </c>
      <c r="D12" s="241">
        <f>SUMIFS('Diags Raw Data'!$K$6:$K$4691,'Diags Raw Data'!$D$6:$D$4691,$A12)</f>
        <v>0</v>
      </c>
      <c r="E12" s="241">
        <f>SUMIFS('Diags Raw Data'!$O$6:$O$4691,'Diags Raw Data'!$D$6:$D$4691,$A12)</f>
        <v>0</v>
      </c>
      <c r="F12" s="247" t="str">
        <f t="shared" si="0"/>
        <v>---</v>
      </c>
      <c r="G12" s="229">
        <f>SUMIFS('Diags Raw Data'!$S$6:$S$4691,'Diags Raw Data'!$D$6:$D$4691,$A12)</f>
        <v>0</v>
      </c>
      <c r="H12" s="225">
        <f>SUMIFS('Diags Raw Data'!$T$6:$T$4691,'Diags Raw Data'!$D$6:$D$4691,$A12)</f>
        <v>0</v>
      </c>
      <c r="I12" s="226">
        <f>SUMIFS('Diags Raw Data'!$U$6:$U$4691,'Diags Raw Data'!$D$6:$D$4691,$A12)</f>
        <v>0</v>
      </c>
      <c r="J12" s="225">
        <f>SUMIFS('Diags Raw Data'!$V$6:$V$4691,'Diags Raw Data'!$D$6:$D$4691,$A12)</f>
        <v>0</v>
      </c>
      <c r="K12" s="226">
        <f>SUMIFS('Diags Raw Data'!$W$6:$W$4691,'Diags Raw Data'!$D$6:$D$4691,$A12)</f>
        <v>0</v>
      </c>
      <c r="L12" s="242" t="str">
        <f t="shared" si="1"/>
        <v>---</v>
      </c>
      <c r="M12" s="227" t="str">
        <f t="shared" si="2"/>
        <v>---</v>
      </c>
      <c r="N12" s="236" t="str">
        <f t="shared" si="3"/>
        <v>---</v>
      </c>
      <c r="O12" s="212">
        <f>SUMIFS('Diags Raw Data'!$Z$6:$Z$4691,'Diags Raw Data'!$D$6:$D$4691,$A12)</f>
        <v>0</v>
      </c>
      <c r="P12" s="202">
        <f>SUMIFS('Diags Raw Data'!$AA$6:$AA$4691,'Diags Raw Data'!$D$6:$D$4691,$A12)</f>
        <v>0</v>
      </c>
      <c r="Q12" s="204">
        <f>SUMIFS('Diags Raw Data'!$AB$6:$AB$4691,'Diags Raw Data'!$D$6:$D$4691,$A12)</f>
        <v>0</v>
      </c>
      <c r="R12" s="202">
        <f>SUMIFS('Diags Raw Data'!$AC$6:$AC$4691,'Diags Raw Data'!$D$6:$D$4691,$A12)</f>
        <v>0</v>
      </c>
      <c r="S12" s="204">
        <f>SUMIFS('Diags Raw Data'!$AD$6:$AD$4691,'Diags Raw Data'!$D$6:$D$4691,$A12)</f>
        <v>0</v>
      </c>
      <c r="T12" s="203" t="str">
        <f t="shared" si="4"/>
        <v>---</v>
      </c>
      <c r="U12" s="228" t="str">
        <f t="shared" si="7"/>
        <v>---</v>
      </c>
      <c r="V12" s="230" t="str">
        <f t="shared" si="6"/>
        <v>---</v>
      </c>
    </row>
    <row r="13" spans="1:22" ht="15" thickBot="1">
      <c r="A13" s="334"/>
      <c r="B13" s="252">
        <f>SUMIFS('Diags Raw Data'!$L$6:$L$4691,'Diags Raw Data'!$D$6:$D$4691,$A13)</f>
        <v>0</v>
      </c>
      <c r="C13" s="243">
        <f>SUMIFS('Diags Raw Data'!$R$6:$R$4691,'Diags Raw Data'!$D$6:$D$4691,$A13)</f>
        <v>0</v>
      </c>
      <c r="D13" s="243">
        <f>SUMIFS('Diags Raw Data'!$K$6:$K$4691,'Diags Raw Data'!$D$6:$D$4691,$A13)</f>
        <v>0</v>
      </c>
      <c r="E13" s="243">
        <f>SUMIFS('Diags Raw Data'!$O$6:$O$4691,'Diags Raw Data'!$D$6:$D$4691,$A13)</f>
        <v>0</v>
      </c>
      <c r="F13" s="248" t="str">
        <f>IF(NOT($B13=0), E13/$B13, "---")</f>
        <v>---</v>
      </c>
      <c r="G13" s="231">
        <f>SUMIFS('Diags Raw Data'!$S$6:$S$4691,'Diags Raw Data'!$D$6:$D$4691,$A13)</f>
        <v>0</v>
      </c>
      <c r="H13" s="232">
        <f>SUMIFS('Diags Raw Data'!$T$6:$T$4691,'Diags Raw Data'!$D$6:$D$4691,$A13)</f>
        <v>0</v>
      </c>
      <c r="I13" s="233">
        <f>SUMIFS('Diags Raw Data'!$U$6:$U$4691,'Diags Raw Data'!$D$6:$D$4691,$A13)</f>
        <v>0</v>
      </c>
      <c r="J13" s="232">
        <f>SUMIFS('Diags Raw Data'!$V$6:$V$4691,'Diags Raw Data'!$D$6:$D$4691,$A13)</f>
        <v>0</v>
      </c>
      <c r="K13" s="233">
        <f>SUMIFS('Diags Raw Data'!$W$6:$W$4691,'Diags Raw Data'!$D$6:$D$4691,$A13)</f>
        <v>0</v>
      </c>
      <c r="L13" s="244" t="str">
        <f t="shared" si="1"/>
        <v>---</v>
      </c>
      <c r="M13" s="234" t="str">
        <f t="shared" si="2"/>
        <v>---</v>
      </c>
      <c r="N13" s="237" t="str">
        <f>IF(NOT($C13=0), (H13+I13)/$C13, "---")</f>
        <v>---</v>
      </c>
      <c r="O13" s="213">
        <f>SUMIFS('Diags Raw Data'!$Z$6:$Z$4691,'Diags Raw Data'!$D$6:$D$4691,$A13)</f>
        <v>0</v>
      </c>
      <c r="P13" s="205">
        <f>SUMIFS('Diags Raw Data'!$AA$6:$AA$4691,'Diags Raw Data'!$D$6:$D$4691,$A13)</f>
        <v>0</v>
      </c>
      <c r="Q13" s="207">
        <f>SUMIFS('Diags Raw Data'!$AB$6:$AB$4691,'Diags Raw Data'!$D$6:$D$4691,$A13)</f>
        <v>0</v>
      </c>
      <c r="R13" s="205">
        <f>SUMIFS('Diags Raw Data'!$AC$6:$AC$4691,'Diags Raw Data'!$D$6:$D$4691,$A13)</f>
        <v>0</v>
      </c>
      <c r="S13" s="207">
        <f>SUMIFS('Diags Raw Data'!$AD$6:$AD$4691,'Diags Raw Data'!$D$6:$D$4691,$A13)</f>
        <v>0</v>
      </c>
      <c r="T13" s="206" t="str">
        <f t="shared" si="4"/>
        <v>---</v>
      </c>
      <c r="U13" s="238" t="str">
        <f t="shared" si="7"/>
        <v>---</v>
      </c>
      <c r="V13" s="235" t="str">
        <f t="shared" si="6"/>
        <v>---</v>
      </c>
    </row>
    <row r="14" spans="1:22" ht="15.95" thickBot="1">
      <c r="A14" s="271" t="s">
        <v>534</v>
      </c>
      <c r="B14" s="255">
        <f>SUM(B4:B13)</f>
        <v>59</v>
      </c>
      <c r="C14" s="256">
        <f>SUM(C4:C13)</f>
        <v>51</v>
      </c>
      <c r="D14" s="256">
        <f>SUM(D4:D13)</f>
        <v>2104</v>
      </c>
      <c r="E14" s="256">
        <f>SUM(E4:E13)</f>
        <v>54.15</v>
      </c>
      <c r="F14" s="257" cm="1">
        <f t="array" ref="F14">SUMPRODUCT(--(ISNUMBER(SEARCH("New",'Diags Raw Data'!$M$6:$M$4691))),'Diags Raw Data'!$K$6:$K$4691,'Diags Raw Data'!$P$6:$P$4691)/D14+SUMPRODUCT(--(ISNUMBER(SEARCH("Delta",'Diags Raw Data'!$M$6:$M$4691))),'Diags Raw Data'!$K$6:$K$4691,'Diags Raw Data'!$P$6:$P$4691)/D14+SUMPRODUCT(--(ISNUMBER(SEARCH("Legacy",'Diags Raw Data'!$M$6:$M$4691))),'Diags Raw Data'!$K$6:$K$4691,'Diags Raw Data'!$P$6:$P$4691)/D14</f>
        <v>1.020722433460076</v>
      </c>
      <c r="G14" s="258">
        <f>SUM(G4:G13)</f>
        <v>45</v>
      </c>
      <c r="H14" s="259">
        <f>SUM(H4:H13)</f>
        <v>45</v>
      </c>
      <c r="I14" s="260">
        <f>SUM(I4:I13)</f>
        <v>0</v>
      </c>
      <c r="J14" s="259">
        <f>SUM(J4:J13)</f>
        <v>0</v>
      </c>
      <c r="K14" s="260">
        <f>SUM(K4:K13)</f>
        <v>0</v>
      </c>
      <c r="L14" s="261">
        <f>IF(NOT($C14=0), G14/$C14, "---")</f>
        <v>0.88235294117647056</v>
      </c>
      <c r="M14" s="262">
        <f>IF(NOT($G14=0), (H14+I14)/$G14, "---")</f>
        <v>1</v>
      </c>
      <c r="N14" s="263">
        <f>IF(NOT($C14=0), (H14+I14)/$C14, "---")</f>
        <v>0.88235294117647056</v>
      </c>
      <c r="O14" s="264">
        <f>SUM(O4:O13)</f>
        <v>0</v>
      </c>
      <c r="P14" s="265">
        <f>SUM(P4:P13)</f>
        <v>0</v>
      </c>
      <c r="Q14" s="266">
        <f>SUM(Q4:Q13)</f>
        <v>0</v>
      </c>
      <c r="R14" s="265">
        <f>SUM(R4:R13)</f>
        <v>0</v>
      </c>
      <c r="S14" s="266">
        <f>SUM(S4:S13)</f>
        <v>0</v>
      </c>
      <c r="T14" s="267">
        <f>IF(NOT($B14=0), O14/$B14, "---")</f>
        <v>0</v>
      </c>
      <c r="U14" s="268" t="str">
        <f>IF(NOT($O14=0), (P14+Q14)/$O14, "---")</f>
        <v>---</v>
      </c>
      <c r="V14" s="269">
        <f>IF(NOT($B14=0), (P14+Q14)/$B14, "---")</f>
        <v>0</v>
      </c>
    </row>
    <row r="15" spans="1:22" ht="15" thickBot="1"/>
    <row r="16" spans="1:22" ht="15" thickBot="1">
      <c r="A16" s="214" t="s">
        <v>535</v>
      </c>
      <c r="B16" s="652" t="s">
        <v>166</v>
      </c>
      <c r="C16" s="652"/>
      <c r="D16" s="652"/>
      <c r="E16" s="652"/>
      <c r="F16" s="652"/>
      <c r="G16" s="653" t="s">
        <v>177</v>
      </c>
      <c r="H16" s="654"/>
      <c r="I16" s="654"/>
      <c r="J16" s="654"/>
      <c r="K16" s="654"/>
      <c r="L16" s="654"/>
      <c r="M16" s="654"/>
      <c r="N16" s="655"/>
      <c r="O16" s="656" t="s">
        <v>144</v>
      </c>
      <c r="P16" s="657"/>
      <c r="Q16" s="657"/>
      <c r="R16" s="657"/>
      <c r="S16" s="657"/>
      <c r="T16" s="657"/>
      <c r="U16" s="657"/>
      <c r="V16" s="658"/>
    </row>
    <row r="17" spans="1:22" s="249" customFormat="1" ht="15" thickBot="1">
      <c r="A17" s="253" t="s">
        <v>88</v>
      </c>
      <c r="B17" s="310" t="s">
        <v>167</v>
      </c>
      <c r="C17" s="311" t="s">
        <v>128</v>
      </c>
      <c r="D17" s="312" t="s">
        <v>105</v>
      </c>
      <c r="E17" s="312" t="s">
        <v>173</v>
      </c>
      <c r="F17" s="313" t="s">
        <v>175</v>
      </c>
      <c r="G17" s="314" t="s">
        <v>132</v>
      </c>
      <c r="H17" s="315" t="s">
        <v>30</v>
      </c>
      <c r="I17" s="315" t="s">
        <v>135</v>
      </c>
      <c r="J17" s="315" t="s">
        <v>36</v>
      </c>
      <c r="K17" s="315" t="s">
        <v>138</v>
      </c>
      <c r="L17" s="315" t="s">
        <v>184</v>
      </c>
      <c r="M17" s="315" t="s">
        <v>140</v>
      </c>
      <c r="N17" s="316" t="s">
        <v>187</v>
      </c>
      <c r="O17" s="317" t="s">
        <v>132</v>
      </c>
      <c r="P17" s="318" t="s">
        <v>30</v>
      </c>
      <c r="Q17" s="318" t="s">
        <v>135</v>
      </c>
      <c r="R17" s="318" t="s">
        <v>36</v>
      </c>
      <c r="S17" s="318" t="s">
        <v>138</v>
      </c>
      <c r="T17" s="318" t="s">
        <v>184</v>
      </c>
      <c r="U17" s="318" t="s">
        <v>140</v>
      </c>
      <c r="V17" s="319" t="s">
        <v>187</v>
      </c>
    </row>
    <row r="18" spans="1:22">
      <c r="A18" s="333" t="s">
        <v>310</v>
      </c>
      <c r="B18" s="250">
        <f>SUMIFS('Diags Raw Data'!$L$6:$L$4691,'Diags Raw Data'!$D$6:$D$4691,$A18,'Diags Raw Data'!$M$6:$M$4691,"New")+SUMIFS('Diags Raw Data'!$L$6:$L$4691,'Diags Raw Data'!$D$6:$D$4691,$A18,'Diags Raw Data'!$M$6:$M$4691,"Delta")</f>
        <v>3</v>
      </c>
      <c r="C18" s="240">
        <f>SUMIFS('Diags Raw Data'!$R$6:$R$4691,'Diags Raw Data'!$D$6:$D$4691,$A18,'Diags Raw Data'!$M$6:$M$4691,"New")+SUMIFS('Diags Raw Data'!$R$6:$R$4691,'Diags Raw Data'!$D$6:$D$4691,$A18,'Diags Raw Data'!$M$6:$M$4691,"Delta")</f>
        <v>3</v>
      </c>
      <c r="D18" s="240">
        <f>SUMIFS('Diags Raw Data'!$K$6:$K$4691,'Diags Raw Data'!$D$6:$D$4691,$A18,'Diags Raw Data'!$M$6:$M$4691,"New")+SUMIFS('Diags Raw Data'!$K$6:$K$4691,'Diags Raw Data'!$D$6:$D$4691,$A18,'Diags Raw Data'!$M$6:$M$4691,"Delta")</f>
        <v>88</v>
      </c>
      <c r="E18" s="240">
        <f>SUMIFS('Diags Raw Data'!$O$6:$O$4691,'Diags Raw Data'!$D$6:$D$4691,$A18,'Diags Raw Data'!$M$6:$M$4691,"New")+SUMIFS('Diags Raw Data'!$O$6:$O$4691,'Diags Raw Data'!$D$6:$D$4691,$A18,'Diags Raw Data'!$M$6:$M$4691,"Delta")</f>
        <v>3</v>
      </c>
      <c r="F18" s="246">
        <f t="shared" ref="F18:F27" si="8">IF(NOT($B18=0), E18/$B18, "---")</f>
        <v>1</v>
      </c>
      <c r="G18" s="218">
        <f>SUMIFS('Diags Raw Data'!$S$6:$S$4691,'Diags Raw Data'!$D$6:$D$4691,$A18,'Diags Raw Data'!$M$6:$M$4691,"New")+SUMIFS('Diags Raw Data'!$S$6:$S$4691,'Diags Raw Data'!$D$6:$D$4691,$A18,'Diags Raw Data'!$M$6:$M$4691,"Delta")</f>
        <v>3</v>
      </c>
      <c r="H18" s="219">
        <f>SUMIFS('Diags Raw Data'!$T$6:$T$4691,'Diags Raw Data'!$D$6:$D$4691,$A18,'Diags Raw Data'!$M$6:$M$4691,"New")+SUMIFS('Diags Raw Data'!$T$6:$T$4691,'Diags Raw Data'!$D$6:$D$4691,$A18,'Diags Raw Data'!$M$6:$M$4691,"Delta")</f>
        <v>3</v>
      </c>
      <c r="I18" s="219">
        <f>SUMIFS('Diags Raw Data'!$U$6:$U$4691,'Diags Raw Data'!$D$6:$D$4691,$A18,'Diags Raw Data'!$M$6:$M$4691,"New")+SUMIFS('Diags Raw Data'!$U$6:$U$4691,'Diags Raw Data'!$D$6:$D$4691,$A18,'Diags Raw Data'!$M$6:$M$4691,"Delta")</f>
        <v>0</v>
      </c>
      <c r="J18" s="219">
        <f>SUMIFS('Diags Raw Data'!$V$6:$V$4691,'Diags Raw Data'!$D$6:$D$4691,$A18,'Diags Raw Data'!$M$6:$M$4691,"New")+SUMIFS('Diags Raw Data'!$V$6:$V$4691,'Diags Raw Data'!$D$6:$D$4691,$A18,'Diags Raw Data'!$M$6:$M$4691,"Delta")</f>
        <v>0</v>
      </c>
      <c r="K18" s="219">
        <f>SUMIFS('Diags Raw Data'!$W$6:$W$4691,'Diags Raw Data'!$D$6:$D$4691,$A18,'Diags Raw Data'!$M$6:$M$4691,"New")+SUMIFS('Diags Raw Data'!$W$6:$W$4691,'Diags Raw Data'!$D$6:$D$4691,$A18,'Diags Raw Data'!$M$6:$M$4691,"Delta")</f>
        <v>0</v>
      </c>
      <c r="L18" s="220">
        <f>IF(NOT($C18=0), G18/$C18, "---")</f>
        <v>1</v>
      </c>
      <c r="M18" s="222">
        <f>IF(NOT($G18=0), (H18+I18)/$G18, "---")</f>
        <v>1</v>
      </c>
      <c r="N18" s="224">
        <f>IF(NOT($C18=0), (H18+I18)/$C18, "---")</f>
        <v>1</v>
      </c>
      <c r="O18" s="211">
        <f>SUMIFS('Diags Raw Data'!$Z$6:$Z$4691,'Diags Raw Data'!$D$6:$D$4691,$A18,'Diags Raw Data'!$M$6:$M$4691,"New")+SUMIFS('Diags Raw Data'!$Z$6:$Z$4691,'Diags Raw Data'!$D$6:$D$4691,$A18,'Diags Raw Data'!$M$6:$M$4691,"Delta")</f>
        <v>0</v>
      </c>
      <c r="P18" s="208">
        <f>SUMIFS('Diags Raw Data'!$AA$6:$AA$4691,'Diags Raw Data'!$D$6:$D$4691,$A18,'Diags Raw Data'!$M$6:$M$4691,"New")+SUMIFS('Diags Raw Data'!$AA$6:$AA$4691,'Diags Raw Data'!$D$6:$D$4691,$A18,'Diags Raw Data'!$M$6:$M$4691,"Delta")</f>
        <v>0</v>
      </c>
      <c r="Q18" s="208">
        <f>SUMIFS('Diags Raw Data'!$AB$6:$AB$4691,'Diags Raw Data'!$D$6:$D$4691,$A18,'Diags Raw Data'!$M$6:$M$4691,"New")+SUMIFS('Diags Raw Data'!$AB$6:$AB$4691,'Diags Raw Data'!$D$6:$D$4691,$A18,'Diags Raw Data'!$M$6:$M$4691,"Delta")</f>
        <v>0</v>
      </c>
      <c r="R18" s="208">
        <f>SUMIFS('Diags Raw Data'!$AC$6:$AC$4691,'Diags Raw Data'!$D$6:$D$4691,$A18,'Diags Raw Data'!$M$6:$M$4691,"New")+SUMIFS('Diags Raw Data'!$AC$6:$AC$4691,'Diags Raw Data'!$D$6:$D$4691,$A18,'Diags Raw Data'!$M$6:$M$4691,"Delta")</f>
        <v>0</v>
      </c>
      <c r="S18" s="208">
        <f>SUMIFS('Diags Raw Data'!$AD$6:$AD$4691,'Diags Raw Data'!$D$6:$D$4691,$A18,'Diags Raw Data'!$M$6:$M$4691,"New")+SUMIFS('Diags Raw Data'!$AD$6:$AD$4691,'Diags Raw Data'!$D$6:$D$4691,$A18,'Diags Raw Data'!$M$6:$M$4691,"Delta")</f>
        <v>0</v>
      </c>
      <c r="T18" s="209">
        <f>IF(NOT($B18=0), O18/$B18, "---")</f>
        <v>0</v>
      </c>
      <c r="U18" s="223" t="str">
        <f>IF(NOT($O18=0), (P18+Q18)/$O18, "---")</f>
        <v>---</v>
      </c>
      <c r="V18" s="239">
        <f>IF(NOT($B18=0), (P18+Q18)/$B18, "---")</f>
        <v>0</v>
      </c>
    </row>
    <row r="19" spans="1:22">
      <c r="A19" s="333" t="s">
        <v>373</v>
      </c>
      <c r="B19" s="251">
        <f>SUMIFS('Diags Raw Data'!$L$6:$L$4691,'Diags Raw Data'!$D$6:$D$4691,$A19,'Diags Raw Data'!$M$6:$M$4691,"New")+SUMIFS('Diags Raw Data'!$L$6:$L$4691,'Diags Raw Data'!$D$6:$D$4691,$A19,'Diags Raw Data'!$M$6:$M$4691,"Delta")</f>
        <v>4</v>
      </c>
      <c r="C19" s="241">
        <f>SUMIFS('Diags Raw Data'!$R$6:$R$4691,'Diags Raw Data'!$D$6:$D$4691,$A19,'Diags Raw Data'!$M$6:$M$4691,"New")+SUMIFS('Diags Raw Data'!$R$6:$R$4691,'Diags Raw Data'!$D$6:$D$4691,$A19,'Diags Raw Data'!$M$6:$M$4691,"Delta")</f>
        <v>4</v>
      </c>
      <c r="D19" s="241">
        <f>SUMIFS('Diags Raw Data'!$K$6:$K$4691,'Diags Raw Data'!$D$6:$D$4691,$A19,'Diags Raw Data'!$M$6:$M$4691,"New")+SUMIFS('Diags Raw Data'!$K$6:$K$4691,'Diags Raw Data'!$D$6:$D$4691,$A19,'Diags Raw Data'!$M$6:$M$4691,"Delta")</f>
        <v>128</v>
      </c>
      <c r="E19" s="241">
        <f>SUMIFS('Diags Raw Data'!$O$6:$O$4691,'Diags Raw Data'!$D$6:$D$4691,$A19,'Diags Raw Data'!$M$6:$M$4691,"New")+SUMIFS('Diags Raw Data'!$O$6:$O$4691,'Diags Raw Data'!$D$6:$D$4691,$A19,'Diags Raw Data'!$M$6:$M$4691,"Delta")</f>
        <v>3</v>
      </c>
      <c r="F19" s="247">
        <f t="shared" si="8"/>
        <v>0.75</v>
      </c>
      <c r="G19" s="229">
        <f>SUMIFS('Diags Raw Data'!$S$6:$S$4691,'Diags Raw Data'!$D$6:$D$4691,$A19,'Diags Raw Data'!$M$6:$M$4691,"New")+SUMIFS('Diags Raw Data'!$S$6:$S$4691,'Diags Raw Data'!$D$6:$D$4691,$A19,'Diags Raw Data'!$M$6:$M$4691,"Delta")</f>
        <v>2</v>
      </c>
      <c r="H19" s="225">
        <f>SUMIFS('Diags Raw Data'!$T$6:$T$4691,'Diags Raw Data'!$D$6:$D$4691,$A19,'Diags Raw Data'!$M$6:$M$4691,"New")+SUMIFS('Diags Raw Data'!$T$6:$T$4691,'Diags Raw Data'!$D$6:$D$4691,$A19,'Diags Raw Data'!$M$6:$M$4691,"Delta")</f>
        <v>2</v>
      </c>
      <c r="I19" s="225">
        <f>SUMIFS('Diags Raw Data'!$U$6:$U$4691,'Diags Raw Data'!$D$6:$D$4691,$A19,'Diags Raw Data'!$M$6:$M$4691,"New")+SUMIFS('Diags Raw Data'!$U$6:$U$4691,'Diags Raw Data'!$D$6:$D$4691,$A19,'Diags Raw Data'!$M$6:$M$4691,"Delta")</f>
        <v>0</v>
      </c>
      <c r="J19" s="225">
        <f>SUMIFS('Diags Raw Data'!$V$6:$V$4691,'Diags Raw Data'!$D$6:$D$4691,$A19,'Diags Raw Data'!$M$6:$M$4691,"New")+SUMIFS('Diags Raw Data'!$V$6:$V$4691,'Diags Raw Data'!$D$6:$D$4691,$A19,'Diags Raw Data'!$M$6:$M$4691,"Delta")</f>
        <v>0</v>
      </c>
      <c r="K19" s="225">
        <f>SUMIFS('Diags Raw Data'!$W$6:$W$4691,'Diags Raw Data'!$D$6:$D$4691,$A19,'Diags Raw Data'!$M$6:$M$4691,"New")+SUMIFS('Diags Raw Data'!$W$6:$W$4691,'Diags Raw Data'!$D$6:$D$4691,$A19,'Diags Raw Data'!$M$6:$M$4691,"Delta")</f>
        <v>0</v>
      </c>
      <c r="L19" s="242">
        <f>IF(NOT($C19=0), G19/$C19, "---")</f>
        <v>0.5</v>
      </c>
      <c r="M19" s="227">
        <f>IF(NOT($G19=0), (H19+I19)/$G19, "---")</f>
        <v>1</v>
      </c>
      <c r="N19" s="236">
        <f>IF(NOT($C19=0), (H19+I19)/$C19, "---")</f>
        <v>0.5</v>
      </c>
      <c r="O19" s="212">
        <f>SUMIFS('Diags Raw Data'!$Z$6:$Z$4691,'Diags Raw Data'!$D$6:$D$4691,$A19,'Diags Raw Data'!$M$6:$M$4691,"New")+SUMIFS('Diags Raw Data'!$Z$6:$Z$4691,'Diags Raw Data'!$D$6:$D$4691,$A19,'Diags Raw Data'!$M$6:$M$4691,"Delta")</f>
        <v>0</v>
      </c>
      <c r="P19" s="202">
        <f>SUMIFS('Diags Raw Data'!$AA$6:$AA$4691,'Diags Raw Data'!$D$6:$D$4691,$A19,'Diags Raw Data'!$M$6:$M$4691,"New")+SUMIFS('Diags Raw Data'!$AA$6:$AA$4691,'Diags Raw Data'!$D$6:$D$4691,$A19,'Diags Raw Data'!$M$6:$M$4691,"Delta")</f>
        <v>0</v>
      </c>
      <c r="Q19" s="202">
        <f>SUMIFS('Diags Raw Data'!$AB$6:$AB$4691,'Diags Raw Data'!$D$6:$D$4691,$A19,'Diags Raw Data'!$M$6:$M$4691,"New")+SUMIFS('Diags Raw Data'!$AB$6:$AB$4691,'Diags Raw Data'!$D$6:$D$4691,$A19,'Diags Raw Data'!$M$6:$M$4691,"Delta")</f>
        <v>0</v>
      </c>
      <c r="R19" s="202">
        <f>SUMIFS('Diags Raw Data'!$AC$6:$AC$4691,'Diags Raw Data'!$D$6:$D$4691,$A19,'Diags Raw Data'!$M$6:$M$4691,"New")+SUMIFS('Diags Raw Data'!$AC$6:$AC$4691,'Diags Raw Data'!$D$6:$D$4691,$A19,'Diags Raw Data'!$M$6:$M$4691,"Delta")</f>
        <v>0</v>
      </c>
      <c r="S19" s="202">
        <f>SUMIFS('Diags Raw Data'!$AD$6:$AD$4691,'Diags Raw Data'!$D$6:$D$4691,$A19,'Diags Raw Data'!$M$6:$M$4691,"New")+SUMIFS('Diags Raw Data'!$AD$6:$AD$4691,'Diags Raw Data'!$D$6:$D$4691,$A19,'Diags Raw Data'!$M$6:$M$4691,"Delta")</f>
        <v>0</v>
      </c>
      <c r="T19" s="203">
        <f>IF(NOT($B19=0), O19/$B19, "---")</f>
        <v>0</v>
      </c>
      <c r="U19" s="228" t="str">
        <f>IF(NOT($O19=0), (P19+Q19)/$O19, "---")</f>
        <v>---</v>
      </c>
      <c r="V19" s="230">
        <f t="shared" ref="V19:V28" si="9">IF(NOT($B19=0), (P19+Q19)/$B19, "---")</f>
        <v>0</v>
      </c>
    </row>
    <row r="20" spans="1:22">
      <c r="A20" s="333" t="s">
        <v>451</v>
      </c>
      <c r="B20" s="251">
        <f>SUMIFS('Diags Raw Data'!$L$6:$L$4691,'Diags Raw Data'!$D$6:$D$4691,$A20,'Diags Raw Data'!$M$6:$M$4691,"New")+SUMIFS('Diags Raw Data'!$L$6:$L$4691,'Diags Raw Data'!$D$6:$D$4691,$A20,'Diags Raw Data'!$M$6:$M$4691,"Delta")</f>
        <v>12</v>
      </c>
      <c r="C20" s="241">
        <f>SUMIFS('Diags Raw Data'!$R$6:$R$4691,'Diags Raw Data'!$D$6:$D$4691,$A20,'Diags Raw Data'!$M$6:$M$4691,"New")+SUMIFS('Diags Raw Data'!$R$6:$R$4691,'Diags Raw Data'!$D$6:$D$4691,$A20,'Diags Raw Data'!$M$6:$M$4691,"Delta")</f>
        <v>11</v>
      </c>
      <c r="D20" s="241">
        <f>SUMIFS('Diags Raw Data'!$K$6:$K$4691,'Diags Raw Data'!$D$6:$D$4691,$A20,'Diags Raw Data'!$M$6:$M$4691,"New")+SUMIFS('Diags Raw Data'!$K$6:$K$4691,'Diags Raw Data'!$D$6:$D$4691,$A20,'Diags Raw Data'!$M$6:$M$4691,"Delta")</f>
        <v>376</v>
      </c>
      <c r="E20" s="241">
        <f>SUMIFS('Diags Raw Data'!$O$6:$O$4691,'Diags Raw Data'!$D$6:$D$4691,$A20,'Diags Raw Data'!$M$6:$M$4691,"New")+SUMIFS('Diags Raw Data'!$O$6:$O$4691,'Diags Raw Data'!$D$6:$D$4691,$A20,'Diags Raw Data'!$M$6:$M$4691,"Delta")</f>
        <v>8.15</v>
      </c>
      <c r="F20" s="247">
        <f>IF(NOT($B20=0), E20/$B20, "---")</f>
        <v>0.6791666666666667</v>
      </c>
      <c r="G20" s="229">
        <f>SUMIFS('Diags Raw Data'!$S$6:$S$4691,'Diags Raw Data'!$D$6:$D$4691,$A20,'Diags Raw Data'!$M$6:$M$4691,"New")+SUMIFS('Diags Raw Data'!$S$6:$S$4691,'Diags Raw Data'!$D$6:$D$4691,$A20,'Diags Raw Data'!$M$6:$M$4691,"Delta")</f>
        <v>7</v>
      </c>
      <c r="H20" s="225">
        <f>SUMIFS('Diags Raw Data'!$T$6:$T$4691,'Diags Raw Data'!$D$6:$D$4691,$A20,'Diags Raw Data'!$M$6:$M$4691,"New")+SUMIFS('Diags Raw Data'!$T$6:$T$4691,'Diags Raw Data'!$D$6:$D$4691,$A20,'Diags Raw Data'!$M$6:$M$4691,"Delta")</f>
        <v>7</v>
      </c>
      <c r="I20" s="225">
        <f>SUMIFS('Diags Raw Data'!$U$6:$U$4691,'Diags Raw Data'!$D$6:$D$4691,$A20,'Diags Raw Data'!$M$6:$M$4691,"New")+SUMIFS('Diags Raw Data'!$U$6:$U$4691,'Diags Raw Data'!$D$6:$D$4691,$A20,'Diags Raw Data'!$M$6:$M$4691,"Delta")</f>
        <v>0</v>
      </c>
      <c r="J20" s="225">
        <f>SUMIFS('Diags Raw Data'!$V$6:$V$4691,'Diags Raw Data'!$D$6:$D$4691,$A20,'Diags Raw Data'!$M$6:$M$4691,"New")+SUMIFS('Diags Raw Data'!$V$6:$V$4691,'Diags Raw Data'!$D$6:$D$4691,$A20,'Diags Raw Data'!$M$6:$M$4691,"Delta")</f>
        <v>0</v>
      </c>
      <c r="K20" s="225">
        <f>SUMIFS('Diags Raw Data'!$W$6:$W$4691,'Diags Raw Data'!$D$6:$D$4691,$A20,'Diags Raw Data'!$M$6:$M$4691,"New")+SUMIFS('Diags Raw Data'!$W$6:$W$4691,'Diags Raw Data'!$D$6:$D$4691,$A20,'Diags Raw Data'!$M$6:$M$4691,"Delta")</f>
        <v>0</v>
      </c>
      <c r="L20" s="242">
        <f t="shared" ref="L20:L27" si="10">IF(NOT($C20=0), G20/$C20, "---")</f>
        <v>0.63636363636363635</v>
      </c>
      <c r="M20" s="227">
        <f>IF(NOT($G20=0), (H20+I20)/$G20, "---")</f>
        <v>1</v>
      </c>
      <c r="N20" s="236">
        <f t="shared" ref="N20:N27" si="11">IF(NOT($C20=0), (H20+I20)/$C20, "---")</f>
        <v>0.63636363636363635</v>
      </c>
      <c r="O20" s="212">
        <f>SUMIFS('Diags Raw Data'!$Z$6:$Z$4691,'Diags Raw Data'!$D$6:$D$4691,$A20,'Diags Raw Data'!$M$6:$M$4691,"New")+SUMIFS('Diags Raw Data'!$Z$6:$Z$4691,'Diags Raw Data'!$D$6:$D$4691,$A20,'Diags Raw Data'!$M$6:$M$4691,"Delta")</f>
        <v>0</v>
      </c>
      <c r="P20" s="202">
        <f>SUMIFS('Diags Raw Data'!$AA$6:$AA$4691,'Diags Raw Data'!$D$6:$D$4691,$A20,'Diags Raw Data'!$M$6:$M$4691,"New")+SUMIFS('Diags Raw Data'!$AA$6:$AA$4691,'Diags Raw Data'!$D$6:$D$4691,$A20,'Diags Raw Data'!$M$6:$M$4691,"Delta")</f>
        <v>0</v>
      </c>
      <c r="Q20" s="202">
        <f>SUMIFS('Diags Raw Data'!$AB$6:$AB$4691,'Diags Raw Data'!$D$6:$D$4691,$A20,'Diags Raw Data'!$M$6:$M$4691,"New")+SUMIFS('Diags Raw Data'!$AB$6:$AB$4691,'Diags Raw Data'!$D$6:$D$4691,$A20,'Diags Raw Data'!$M$6:$M$4691,"Delta")</f>
        <v>0</v>
      </c>
      <c r="R20" s="202">
        <f>SUMIFS('Diags Raw Data'!$AC$6:$AC$4691,'Diags Raw Data'!$D$6:$D$4691,$A20,'Diags Raw Data'!$M$6:$M$4691,"New")+SUMIFS('Diags Raw Data'!$AC$6:$AC$4691,'Diags Raw Data'!$D$6:$D$4691,$A20,'Diags Raw Data'!$M$6:$M$4691,"Delta")</f>
        <v>0</v>
      </c>
      <c r="S20" s="202">
        <f>SUMIFS('Diags Raw Data'!$AD$6:$AD$4691,'Diags Raw Data'!$D$6:$D$4691,$A20,'Diags Raw Data'!$M$6:$M$4691,"New")+SUMIFS('Diags Raw Data'!$AD$6:$AD$4691,'Diags Raw Data'!$D$6:$D$4691,$A20,'Diags Raw Data'!$M$6:$M$4691,"Delta")</f>
        <v>0</v>
      </c>
      <c r="T20" s="203">
        <f t="shared" ref="T20:T27" si="12">IF(NOT($B20=0), O20/$B20, "---")</f>
        <v>0</v>
      </c>
      <c r="U20" s="228" t="str">
        <f t="shared" ref="U20:U28" si="13">IF(NOT($O20=0), (P20+Q20)/$O20, "---")</f>
        <v>---</v>
      </c>
      <c r="V20" s="230">
        <f>IF(NOT($B20=0), (P20+Q20)/$B20, "---")</f>
        <v>0</v>
      </c>
    </row>
    <row r="21" spans="1:22">
      <c r="A21" s="333"/>
      <c r="B21" s="251">
        <f>SUMIFS('Diags Raw Data'!$L$6:$L$4691,'Diags Raw Data'!$D$6:$D$4691,$A21,'Diags Raw Data'!$M$6:$M$4691,"New")+SUMIFS('Diags Raw Data'!$L$6:$L$4691,'Diags Raw Data'!$D$6:$D$4691,$A21,'Diags Raw Data'!$M$6:$M$4691,"Delta")</f>
        <v>0</v>
      </c>
      <c r="C21" s="241">
        <f>SUMIFS('Diags Raw Data'!$R$6:$R$4691,'Diags Raw Data'!$D$6:$D$4691,$A21,'Diags Raw Data'!$M$6:$M$4691,"New")+SUMIFS('Diags Raw Data'!$R$6:$R$4691,'Diags Raw Data'!$D$6:$D$4691,$A21,'Diags Raw Data'!$M$6:$M$4691,"Delta")</f>
        <v>0</v>
      </c>
      <c r="D21" s="241">
        <f>SUMIFS('Diags Raw Data'!$K$6:$K$4691,'Diags Raw Data'!$D$6:$D$4691,$A21,'Diags Raw Data'!$M$6:$M$4691,"New")+SUMIFS('Diags Raw Data'!$K$6:$K$4691,'Diags Raw Data'!$D$6:$D$4691,$A21,'Diags Raw Data'!$M$6:$M$4691,"Delta")</f>
        <v>0</v>
      </c>
      <c r="E21" s="241">
        <f>SUMIFS('Diags Raw Data'!$O$6:$O$4691,'Diags Raw Data'!$D$6:$D$4691,$A21,'Diags Raw Data'!$M$6:$M$4691,"New")+SUMIFS('Diags Raw Data'!$O$6:$O$4691,'Diags Raw Data'!$D$6:$D$4691,$A21,'Diags Raw Data'!$M$6:$M$4691,"Delta")</f>
        <v>0</v>
      </c>
      <c r="F21" s="247" t="str">
        <f t="shared" si="8"/>
        <v>---</v>
      </c>
      <c r="G21" s="229">
        <f>SUMIFS('Diags Raw Data'!$S$6:$S$4691,'Diags Raw Data'!$D$6:$D$4691,$A21,'Diags Raw Data'!$M$6:$M$4691,"New")+SUMIFS('Diags Raw Data'!$S$6:$S$4691,'Diags Raw Data'!$D$6:$D$4691,$A21,'Diags Raw Data'!$M$6:$M$4691,"Delta")</f>
        <v>0</v>
      </c>
      <c r="H21" s="225">
        <f>SUMIFS('Diags Raw Data'!$T$6:$T$4691,'Diags Raw Data'!$D$6:$D$4691,$A21,'Diags Raw Data'!$M$6:$M$4691,"New")+SUMIFS('Diags Raw Data'!$T$6:$T$4691,'Diags Raw Data'!$D$6:$D$4691,$A21,'Diags Raw Data'!$M$6:$M$4691,"Delta")</f>
        <v>0</v>
      </c>
      <c r="I21" s="225">
        <f>SUMIFS('Diags Raw Data'!$U$6:$U$4691,'Diags Raw Data'!$D$6:$D$4691,$A21,'Diags Raw Data'!$M$6:$M$4691,"New")+SUMIFS('Diags Raw Data'!$U$6:$U$4691,'Diags Raw Data'!$D$6:$D$4691,$A21,'Diags Raw Data'!$M$6:$M$4691,"Delta")</f>
        <v>0</v>
      </c>
      <c r="J21" s="225">
        <f>SUMIFS('Diags Raw Data'!$V$6:$V$4691,'Diags Raw Data'!$D$6:$D$4691,$A21,'Diags Raw Data'!$M$6:$M$4691,"New")+SUMIFS('Diags Raw Data'!$V$6:$V$4691,'Diags Raw Data'!$D$6:$D$4691,$A21,'Diags Raw Data'!$M$6:$M$4691,"Delta")</f>
        <v>0</v>
      </c>
      <c r="K21" s="225">
        <f>SUMIFS('Diags Raw Data'!$W$6:$W$4691,'Diags Raw Data'!$D$6:$D$4691,$A21,'Diags Raw Data'!$M$6:$M$4691,"New")+SUMIFS('Diags Raw Data'!$W$6:$W$4691,'Diags Raw Data'!$D$6:$D$4691,$A21,'Diags Raw Data'!$M$6:$M$4691,"Delta")</f>
        <v>0</v>
      </c>
      <c r="L21" s="242" t="str">
        <f t="shared" si="10"/>
        <v>---</v>
      </c>
      <c r="M21" s="227" t="str">
        <f t="shared" ref="M21:M28" si="14">IF(NOT($G21=0), (H21+I21)/$G21, "---")</f>
        <v>---</v>
      </c>
      <c r="N21" s="236" t="str">
        <f>IF(NOT($C21=0), (H21+I21)/$C21, "---")</f>
        <v>---</v>
      </c>
      <c r="O21" s="212">
        <f>SUMIFS('Diags Raw Data'!$Z$6:$Z$4691,'Diags Raw Data'!$D$6:$D$4691,$A21,'Diags Raw Data'!$M$6:$M$4691,"New")+SUMIFS('Diags Raw Data'!$Z$6:$Z$4691,'Diags Raw Data'!$D$6:$D$4691,$A21,'Diags Raw Data'!$M$6:$M$4691,"Delta")</f>
        <v>0</v>
      </c>
      <c r="P21" s="202">
        <f>SUMIFS('Diags Raw Data'!$AA$6:$AA$4691,'Diags Raw Data'!$D$6:$D$4691,$A21,'Diags Raw Data'!$M$6:$M$4691,"New")+SUMIFS('Diags Raw Data'!$AA$6:$AA$4691,'Diags Raw Data'!$D$6:$D$4691,$A21,'Diags Raw Data'!$M$6:$M$4691,"Delta")</f>
        <v>0</v>
      </c>
      <c r="Q21" s="202">
        <f>SUMIFS('Diags Raw Data'!$AB$6:$AB$4691,'Diags Raw Data'!$D$6:$D$4691,$A21,'Diags Raw Data'!$M$6:$M$4691,"New")+SUMIFS('Diags Raw Data'!$AB$6:$AB$4691,'Diags Raw Data'!$D$6:$D$4691,$A21,'Diags Raw Data'!$M$6:$M$4691,"Delta")</f>
        <v>0</v>
      </c>
      <c r="R21" s="202">
        <f>SUMIFS('Diags Raw Data'!$AC$6:$AC$4691,'Diags Raw Data'!$D$6:$D$4691,$A21,'Diags Raw Data'!$M$6:$M$4691,"New")+SUMIFS('Diags Raw Data'!$AC$6:$AC$4691,'Diags Raw Data'!$D$6:$D$4691,$A21,'Diags Raw Data'!$M$6:$M$4691,"Delta")</f>
        <v>0</v>
      </c>
      <c r="S21" s="202">
        <f>SUMIFS('Diags Raw Data'!$AD$6:$AD$4691,'Diags Raw Data'!$D$6:$D$4691,$A21,'Diags Raw Data'!$M$6:$M$4691,"New")+SUMIFS('Diags Raw Data'!$AD$6:$AD$4691,'Diags Raw Data'!$D$6:$D$4691,$A21,'Diags Raw Data'!$M$6:$M$4691,"Delta")</f>
        <v>0</v>
      </c>
      <c r="T21" s="203" t="str">
        <f t="shared" si="12"/>
        <v>---</v>
      </c>
      <c r="U21" s="228" t="str">
        <f t="shared" si="13"/>
        <v>---</v>
      </c>
      <c r="V21" s="230" t="str">
        <f>IF(NOT($B21=0), (P21+Q21)/$B21, "---")</f>
        <v>---</v>
      </c>
    </row>
    <row r="22" spans="1:22">
      <c r="A22" s="333"/>
      <c r="B22" s="251">
        <f>SUMIFS('Diags Raw Data'!$L$6:$L$4691,'Diags Raw Data'!$D$6:$D$4691,$A22,'Diags Raw Data'!$M$6:$M$4691,"New")+SUMIFS('Diags Raw Data'!$L$6:$L$4691,'Diags Raw Data'!$D$6:$D$4691,$A22,'Diags Raw Data'!$M$6:$M$4691,"Delta")</f>
        <v>0</v>
      </c>
      <c r="C22" s="241">
        <f>SUMIFS('Diags Raw Data'!$R$6:$R$4691,'Diags Raw Data'!$D$6:$D$4691,$A22,'Diags Raw Data'!$M$6:$M$4691,"New")+SUMIFS('Diags Raw Data'!$R$6:$R$4691,'Diags Raw Data'!$D$6:$D$4691,$A22,'Diags Raw Data'!$M$6:$M$4691,"Delta")</f>
        <v>0</v>
      </c>
      <c r="D22" s="241">
        <f>SUMIFS('Diags Raw Data'!$K$6:$K$4691,'Diags Raw Data'!$D$6:$D$4691,$A22,'Diags Raw Data'!$M$6:$M$4691,"New")+SUMIFS('Diags Raw Data'!$K$6:$K$4691,'Diags Raw Data'!$D$6:$D$4691,$A22,'Diags Raw Data'!$M$6:$M$4691,"Delta")</f>
        <v>0</v>
      </c>
      <c r="E22" s="241">
        <f>SUMIFS('Diags Raw Data'!$O$6:$O$4691,'Diags Raw Data'!$D$6:$D$4691,$A22,'Diags Raw Data'!$M$6:$M$4691,"New")+SUMIFS('Diags Raw Data'!$O$6:$O$4691,'Diags Raw Data'!$D$6:$D$4691,$A22,'Diags Raw Data'!$M$6:$M$4691,"Delta")</f>
        <v>0</v>
      </c>
      <c r="F22" s="247" t="str">
        <f>IF(NOT($B22=0), E22/$B22, "---")</f>
        <v>---</v>
      </c>
      <c r="G22" s="229">
        <f>SUMIFS('Diags Raw Data'!$S$6:$S$4691,'Diags Raw Data'!$D$6:$D$4691,$A22,'Diags Raw Data'!$M$6:$M$4691,"New")+SUMIFS('Diags Raw Data'!$S$6:$S$4691,'Diags Raw Data'!$D$6:$D$4691,$A22,'Diags Raw Data'!$M$6:$M$4691,"Delta")</f>
        <v>0</v>
      </c>
      <c r="H22" s="225">
        <f>SUMIFS('Diags Raw Data'!$T$6:$T$4691,'Diags Raw Data'!$D$6:$D$4691,$A22,'Diags Raw Data'!$M$6:$M$4691,"New")+SUMIFS('Diags Raw Data'!$T$6:$T$4691,'Diags Raw Data'!$D$6:$D$4691,$A22,'Diags Raw Data'!$M$6:$M$4691,"Delta")</f>
        <v>0</v>
      </c>
      <c r="I22" s="225">
        <f>SUMIFS('Diags Raw Data'!$U$6:$U$4691,'Diags Raw Data'!$D$6:$D$4691,$A22,'Diags Raw Data'!$M$6:$M$4691,"New")+SUMIFS('Diags Raw Data'!$U$6:$U$4691,'Diags Raw Data'!$D$6:$D$4691,$A22,'Diags Raw Data'!$M$6:$M$4691,"Delta")</f>
        <v>0</v>
      </c>
      <c r="J22" s="225">
        <f>SUMIFS('Diags Raw Data'!$V$6:$V$4691,'Diags Raw Data'!$D$6:$D$4691,$A22,'Diags Raw Data'!$M$6:$M$4691,"New")+SUMIFS('Diags Raw Data'!$V$6:$V$4691,'Diags Raw Data'!$D$6:$D$4691,$A22,'Diags Raw Data'!$M$6:$M$4691,"Delta")</f>
        <v>0</v>
      </c>
      <c r="K22" s="225">
        <f>SUMIFS('Diags Raw Data'!$W$6:$W$4691,'Diags Raw Data'!$D$6:$D$4691,$A22,'Diags Raw Data'!$M$6:$M$4691,"New")+SUMIFS('Diags Raw Data'!$W$6:$W$4691,'Diags Raw Data'!$D$6:$D$4691,$A22,'Diags Raw Data'!$M$6:$M$4691,"Delta")</f>
        <v>0</v>
      </c>
      <c r="L22" s="242" t="str">
        <f t="shared" si="10"/>
        <v>---</v>
      </c>
      <c r="M22" s="227" t="str">
        <f t="shared" si="14"/>
        <v>---</v>
      </c>
      <c r="N22" s="236" t="str">
        <f t="shared" si="11"/>
        <v>---</v>
      </c>
      <c r="O22" s="212">
        <f>SUMIFS('Diags Raw Data'!$Z$6:$Z$4691,'Diags Raw Data'!$D$6:$D$4691,$A22,'Diags Raw Data'!$M$6:$M$4691,"New")+SUMIFS('Diags Raw Data'!$Z$6:$Z$4691,'Diags Raw Data'!$D$6:$D$4691,$A22,'Diags Raw Data'!$M$6:$M$4691,"Delta")</f>
        <v>0</v>
      </c>
      <c r="P22" s="202">
        <f>SUMIFS('Diags Raw Data'!$AA$6:$AA$4691,'Diags Raw Data'!$D$6:$D$4691,$A22,'Diags Raw Data'!$M$6:$M$4691,"New")+SUMIFS('Diags Raw Data'!$AA$6:$AA$4691,'Diags Raw Data'!$D$6:$D$4691,$A22,'Diags Raw Data'!$M$6:$M$4691,"Delta")</f>
        <v>0</v>
      </c>
      <c r="Q22" s="202">
        <f>SUMIFS('Diags Raw Data'!$AB$6:$AB$4691,'Diags Raw Data'!$D$6:$D$4691,$A22,'Diags Raw Data'!$M$6:$M$4691,"New")+SUMIFS('Diags Raw Data'!$AB$6:$AB$4691,'Diags Raw Data'!$D$6:$D$4691,$A22,'Diags Raw Data'!$M$6:$M$4691,"Delta")</f>
        <v>0</v>
      </c>
      <c r="R22" s="202">
        <f>SUMIFS('Diags Raw Data'!$AC$6:$AC$4691,'Diags Raw Data'!$D$6:$D$4691,$A22,'Diags Raw Data'!$M$6:$M$4691,"New")+SUMIFS('Diags Raw Data'!$AC$6:$AC$4691,'Diags Raw Data'!$D$6:$D$4691,$A22,'Diags Raw Data'!$M$6:$M$4691,"Delta")</f>
        <v>0</v>
      </c>
      <c r="S22" s="202">
        <f>SUMIFS('Diags Raw Data'!$AD$6:$AD$4691,'Diags Raw Data'!$D$6:$D$4691,$A22,'Diags Raw Data'!$M$6:$M$4691,"New")+SUMIFS('Diags Raw Data'!$AD$6:$AD$4691,'Diags Raw Data'!$D$6:$D$4691,$A22,'Diags Raw Data'!$M$6:$M$4691,"Delta")</f>
        <v>0</v>
      </c>
      <c r="T22" s="203" t="str">
        <f t="shared" si="12"/>
        <v>---</v>
      </c>
      <c r="U22" s="228" t="str">
        <f t="shared" si="13"/>
        <v>---</v>
      </c>
      <c r="V22" s="230" t="str">
        <f t="shared" si="9"/>
        <v>---</v>
      </c>
    </row>
    <row r="23" spans="1:22">
      <c r="A23" s="333"/>
      <c r="B23" s="251">
        <f>SUMIFS('Diags Raw Data'!$L$6:$L$4691,'Diags Raw Data'!$D$6:$D$4691,$A23,'Diags Raw Data'!$M$6:$M$4691,"New")+SUMIFS('Diags Raw Data'!$L$6:$L$4691,'Diags Raw Data'!$D$6:$D$4691,$A23,'Diags Raw Data'!$M$6:$M$4691,"Delta")</f>
        <v>0</v>
      </c>
      <c r="C23" s="241">
        <f>SUMIFS('Diags Raw Data'!$R$6:$R$4691,'Diags Raw Data'!$D$6:$D$4691,$A23,'Diags Raw Data'!$M$6:$M$4691,"New")+SUMIFS('Diags Raw Data'!$R$6:$R$4691,'Diags Raw Data'!$D$6:$D$4691,$A23,'Diags Raw Data'!$M$6:$M$4691,"Delta")</f>
        <v>0</v>
      </c>
      <c r="D23" s="241">
        <f>SUMIFS('Diags Raw Data'!$K$6:$K$4691,'Diags Raw Data'!$D$6:$D$4691,$A23,'Diags Raw Data'!$M$6:$M$4691,"New")+SUMIFS('Diags Raw Data'!$K$6:$K$4691,'Diags Raw Data'!$D$6:$D$4691,$A23,'Diags Raw Data'!$M$6:$M$4691,"Delta")</f>
        <v>0</v>
      </c>
      <c r="E23" s="241">
        <f>SUMIFS('Diags Raw Data'!$O$6:$O$4691,'Diags Raw Data'!$D$6:$D$4691,$A23,'Diags Raw Data'!$M$6:$M$4691,"New")+SUMIFS('Diags Raw Data'!$O$6:$O$4691,'Diags Raw Data'!$D$6:$D$4691,$A23,'Diags Raw Data'!$M$6:$M$4691,"Delta")</f>
        <v>0</v>
      </c>
      <c r="F23" s="247" t="str">
        <f t="shared" si="8"/>
        <v>---</v>
      </c>
      <c r="G23" s="229">
        <f>SUMIFS('Diags Raw Data'!$S$6:$S$4691,'Diags Raw Data'!$D$6:$D$4691,$A23,'Diags Raw Data'!$M$6:$M$4691,"New")+SUMIFS('Diags Raw Data'!$S$6:$S$4691,'Diags Raw Data'!$D$6:$D$4691,$A23,'Diags Raw Data'!$M$6:$M$4691,"Delta")</f>
        <v>0</v>
      </c>
      <c r="H23" s="225">
        <f>SUMIFS('Diags Raw Data'!$T$6:$T$4691,'Diags Raw Data'!$D$6:$D$4691,$A23,'Diags Raw Data'!$M$6:$M$4691,"New")+SUMIFS('Diags Raw Data'!$T$6:$T$4691,'Diags Raw Data'!$D$6:$D$4691,$A23,'Diags Raw Data'!$M$6:$M$4691,"Delta")</f>
        <v>0</v>
      </c>
      <c r="I23" s="225">
        <f>SUMIFS('Diags Raw Data'!$U$6:$U$4691,'Diags Raw Data'!$D$6:$D$4691,$A23,'Diags Raw Data'!$M$6:$M$4691,"New")+SUMIFS('Diags Raw Data'!$U$6:$U$4691,'Diags Raw Data'!$D$6:$D$4691,$A23,'Diags Raw Data'!$M$6:$M$4691,"Delta")</f>
        <v>0</v>
      </c>
      <c r="J23" s="225">
        <f>SUMIFS('Diags Raw Data'!$V$6:$V$4691,'Diags Raw Data'!$D$6:$D$4691,$A23,'Diags Raw Data'!$M$6:$M$4691,"New")+SUMIFS('Diags Raw Data'!$V$6:$V$4691,'Diags Raw Data'!$D$6:$D$4691,$A23,'Diags Raw Data'!$M$6:$M$4691,"Delta")</f>
        <v>0</v>
      </c>
      <c r="K23" s="225">
        <f>SUMIFS('Diags Raw Data'!$W$6:$W$4691,'Diags Raw Data'!$D$6:$D$4691,$A23,'Diags Raw Data'!$M$6:$M$4691,"New")+SUMIFS('Diags Raw Data'!$W$6:$W$4691,'Diags Raw Data'!$D$6:$D$4691,$A23,'Diags Raw Data'!$M$6:$M$4691,"Delta")</f>
        <v>0</v>
      </c>
      <c r="L23" s="242" t="str">
        <f t="shared" si="10"/>
        <v>---</v>
      </c>
      <c r="M23" s="227" t="str">
        <f t="shared" si="14"/>
        <v>---</v>
      </c>
      <c r="N23" s="236" t="str">
        <f t="shared" si="11"/>
        <v>---</v>
      </c>
      <c r="O23" s="212">
        <f>SUMIFS('Diags Raw Data'!$Z$6:$Z$4691,'Diags Raw Data'!$D$6:$D$4691,$A23,'Diags Raw Data'!$M$6:$M$4691,"New")+SUMIFS('Diags Raw Data'!$Z$6:$Z$4691,'Diags Raw Data'!$D$6:$D$4691,$A23,'Diags Raw Data'!$M$6:$M$4691,"Delta")</f>
        <v>0</v>
      </c>
      <c r="P23" s="202">
        <f>SUMIFS('Diags Raw Data'!$AA$6:$AA$4691,'Diags Raw Data'!$D$6:$D$4691,$A23,'Diags Raw Data'!$M$6:$M$4691,"New")+SUMIFS('Diags Raw Data'!$AA$6:$AA$4691,'Diags Raw Data'!$D$6:$D$4691,$A23,'Diags Raw Data'!$M$6:$M$4691,"Delta")</f>
        <v>0</v>
      </c>
      <c r="Q23" s="202">
        <f>SUMIFS('Diags Raw Data'!$AB$6:$AB$4691,'Diags Raw Data'!$D$6:$D$4691,$A23,'Diags Raw Data'!$M$6:$M$4691,"New")+SUMIFS('Diags Raw Data'!$AB$6:$AB$4691,'Diags Raw Data'!$D$6:$D$4691,$A23,'Diags Raw Data'!$M$6:$M$4691,"Delta")</f>
        <v>0</v>
      </c>
      <c r="R23" s="202">
        <f>SUMIFS('Diags Raw Data'!$AC$6:$AC$4691,'Diags Raw Data'!$D$6:$D$4691,$A23,'Diags Raw Data'!$M$6:$M$4691,"New")+SUMIFS('Diags Raw Data'!$AC$6:$AC$4691,'Diags Raw Data'!$D$6:$D$4691,$A23,'Diags Raw Data'!$M$6:$M$4691,"Delta")</f>
        <v>0</v>
      </c>
      <c r="S23" s="202">
        <f>SUMIFS('Diags Raw Data'!$AD$6:$AD$4691,'Diags Raw Data'!$D$6:$D$4691,$A23,'Diags Raw Data'!$M$6:$M$4691,"New")+SUMIFS('Diags Raw Data'!$AD$6:$AD$4691,'Diags Raw Data'!$D$6:$D$4691,$A23,'Diags Raw Data'!$M$6:$M$4691,"Delta")</f>
        <v>0</v>
      </c>
      <c r="T23" s="203" t="str">
        <f t="shared" si="12"/>
        <v>---</v>
      </c>
      <c r="U23" s="228" t="str">
        <f t="shared" si="13"/>
        <v>---</v>
      </c>
      <c r="V23" s="230" t="str">
        <f t="shared" si="9"/>
        <v>---</v>
      </c>
    </row>
    <row r="24" spans="1:22">
      <c r="A24" s="333"/>
      <c r="B24" s="251">
        <f>SUMIFS('Diags Raw Data'!$L$6:$L$4691,'Diags Raw Data'!$D$6:$D$4691,$A24,'Diags Raw Data'!$M$6:$M$4691,"New")+SUMIFS('Diags Raw Data'!$L$6:$L$4691,'Diags Raw Data'!$D$6:$D$4691,$A24,'Diags Raw Data'!$M$6:$M$4691,"Delta")</f>
        <v>0</v>
      </c>
      <c r="C24" s="241">
        <f>SUMIFS('Diags Raw Data'!$R$6:$R$4691,'Diags Raw Data'!$D$6:$D$4691,$A24,'Diags Raw Data'!$M$6:$M$4691,"New")+SUMIFS('Diags Raw Data'!$R$6:$R$4691,'Diags Raw Data'!$D$6:$D$4691,$A24,'Diags Raw Data'!$M$6:$M$4691,"Delta")</f>
        <v>0</v>
      </c>
      <c r="D24" s="241">
        <f>SUMIFS('Diags Raw Data'!$K$6:$K$4691,'Diags Raw Data'!$D$6:$D$4691,$A24,'Diags Raw Data'!$M$6:$M$4691,"New")+SUMIFS('Diags Raw Data'!$K$6:$K$4691,'Diags Raw Data'!$D$6:$D$4691,$A24,'Diags Raw Data'!$M$6:$M$4691,"Delta")</f>
        <v>0</v>
      </c>
      <c r="E24" s="241">
        <f>SUMIFS('Diags Raw Data'!$O$6:$O$4691,'Diags Raw Data'!$D$6:$D$4691,$A24,'Diags Raw Data'!$M$6:$M$4691,"New")+SUMIFS('Diags Raw Data'!$O$6:$O$4691,'Diags Raw Data'!$D$6:$D$4691,$A24,'Diags Raw Data'!$M$6:$M$4691,"Delta")</f>
        <v>0</v>
      </c>
      <c r="F24" s="247" t="str">
        <f t="shared" si="8"/>
        <v>---</v>
      </c>
      <c r="G24" s="229">
        <f>SUMIFS('Diags Raw Data'!$S$6:$S$4691,'Diags Raw Data'!$D$6:$D$4691,$A24,'Diags Raw Data'!$M$6:$M$4691,"New")+SUMIFS('Diags Raw Data'!$S$6:$S$4691,'Diags Raw Data'!$D$6:$D$4691,$A24,'Diags Raw Data'!$M$6:$M$4691,"Delta")</f>
        <v>0</v>
      </c>
      <c r="H24" s="225">
        <f>SUMIFS('Diags Raw Data'!$T$6:$T$4691,'Diags Raw Data'!$D$6:$D$4691,$A24,'Diags Raw Data'!$M$6:$M$4691,"New")+SUMIFS('Diags Raw Data'!$T$6:$T$4691,'Diags Raw Data'!$D$6:$D$4691,$A24,'Diags Raw Data'!$M$6:$M$4691,"Delta")</f>
        <v>0</v>
      </c>
      <c r="I24" s="225">
        <f>SUMIFS('Diags Raw Data'!$U$6:$U$4691,'Diags Raw Data'!$D$6:$D$4691,$A24,'Diags Raw Data'!$M$6:$M$4691,"New")+SUMIFS('Diags Raw Data'!$U$6:$U$4691,'Diags Raw Data'!$D$6:$D$4691,$A24,'Diags Raw Data'!$M$6:$M$4691,"Delta")</f>
        <v>0</v>
      </c>
      <c r="J24" s="225">
        <f>SUMIFS('Diags Raw Data'!$V$6:$V$4691,'Diags Raw Data'!$D$6:$D$4691,$A24,'Diags Raw Data'!$M$6:$M$4691,"New")+SUMIFS('Diags Raw Data'!$V$6:$V$4691,'Diags Raw Data'!$D$6:$D$4691,$A24,'Diags Raw Data'!$M$6:$M$4691,"Delta")</f>
        <v>0</v>
      </c>
      <c r="K24" s="225">
        <f>SUMIFS('Diags Raw Data'!$W$6:$W$4691,'Diags Raw Data'!$D$6:$D$4691,$A24,'Diags Raw Data'!$M$6:$M$4691,"New")+SUMIFS('Diags Raw Data'!$W$6:$W$4691,'Diags Raw Data'!$D$6:$D$4691,$A24,'Diags Raw Data'!$M$6:$M$4691,"Delta")</f>
        <v>0</v>
      </c>
      <c r="L24" s="242" t="str">
        <f t="shared" si="10"/>
        <v>---</v>
      </c>
      <c r="M24" s="227" t="str">
        <f t="shared" si="14"/>
        <v>---</v>
      </c>
      <c r="N24" s="236" t="str">
        <f t="shared" si="11"/>
        <v>---</v>
      </c>
      <c r="O24" s="212">
        <f>SUMIFS('Diags Raw Data'!$Z$6:$Z$4691,'Diags Raw Data'!$D$6:$D$4691,$A24,'Diags Raw Data'!$M$6:$M$4691,"New")+SUMIFS('Diags Raw Data'!$Z$6:$Z$4691,'Diags Raw Data'!$D$6:$D$4691,$A24,'Diags Raw Data'!$M$6:$M$4691,"Delta")</f>
        <v>0</v>
      </c>
      <c r="P24" s="202">
        <f>SUMIFS('Diags Raw Data'!$AA$6:$AA$4691,'Diags Raw Data'!$D$6:$D$4691,$A24,'Diags Raw Data'!$M$6:$M$4691,"New")+SUMIFS('Diags Raw Data'!$AA$6:$AA$4691,'Diags Raw Data'!$D$6:$D$4691,$A24,'Diags Raw Data'!$M$6:$M$4691,"Delta")</f>
        <v>0</v>
      </c>
      <c r="Q24" s="202">
        <f>SUMIFS('Diags Raw Data'!$AB$6:$AB$4691,'Diags Raw Data'!$D$6:$D$4691,$A24,'Diags Raw Data'!$M$6:$M$4691,"New")+SUMIFS('Diags Raw Data'!$AB$6:$AB$4691,'Diags Raw Data'!$D$6:$D$4691,$A24,'Diags Raw Data'!$M$6:$M$4691,"Delta")</f>
        <v>0</v>
      </c>
      <c r="R24" s="202">
        <f>SUMIFS('Diags Raw Data'!$AC$6:$AC$4691,'Diags Raw Data'!$D$6:$D$4691,$A24,'Diags Raw Data'!$M$6:$M$4691,"New")+SUMIFS('Diags Raw Data'!$AC$6:$AC$4691,'Diags Raw Data'!$D$6:$D$4691,$A24,'Diags Raw Data'!$M$6:$M$4691,"Delta")</f>
        <v>0</v>
      </c>
      <c r="S24" s="202">
        <f>SUMIFS('Diags Raw Data'!$AD$6:$AD$4691,'Diags Raw Data'!$D$6:$D$4691,$A24,'Diags Raw Data'!$M$6:$M$4691,"New")+SUMIFS('Diags Raw Data'!$AD$6:$AD$4691,'Diags Raw Data'!$D$6:$D$4691,$A24,'Diags Raw Data'!$M$6:$M$4691,"Delta")</f>
        <v>0</v>
      </c>
      <c r="T24" s="203" t="str">
        <f t="shared" si="12"/>
        <v>---</v>
      </c>
      <c r="U24" s="228" t="str">
        <f t="shared" si="13"/>
        <v>---</v>
      </c>
      <c r="V24" s="230" t="str">
        <f t="shared" si="9"/>
        <v>---</v>
      </c>
    </row>
    <row r="25" spans="1:22">
      <c r="A25" s="333"/>
      <c r="B25" s="251">
        <f>SUMIFS('Diags Raw Data'!$L$6:$L$4691,'Diags Raw Data'!$D$6:$D$4691,$A25,'Diags Raw Data'!$M$6:$M$4691,"New")+SUMIFS('Diags Raw Data'!$L$6:$L$4691,'Diags Raw Data'!$D$6:$D$4691,$A25,'Diags Raw Data'!$M$6:$M$4691,"Delta")</f>
        <v>0</v>
      </c>
      <c r="C25" s="241">
        <f>SUMIFS('Diags Raw Data'!$R$6:$R$4691,'Diags Raw Data'!$D$6:$D$4691,$A25,'Diags Raw Data'!$M$6:$M$4691,"New")+SUMIFS('Diags Raw Data'!$R$6:$R$4691,'Diags Raw Data'!$D$6:$D$4691,$A25,'Diags Raw Data'!$M$6:$M$4691,"Delta")</f>
        <v>0</v>
      </c>
      <c r="D25" s="241">
        <f>SUMIFS('Diags Raw Data'!$K$6:$K$4691,'Diags Raw Data'!$D$6:$D$4691,$A25,'Diags Raw Data'!$M$6:$M$4691,"New")+SUMIFS('Diags Raw Data'!$K$6:$K$4691,'Diags Raw Data'!$D$6:$D$4691,$A25,'Diags Raw Data'!$M$6:$M$4691,"Delta")</f>
        <v>0</v>
      </c>
      <c r="E25" s="241">
        <f>SUMIFS('Diags Raw Data'!$O$6:$O$4691,'Diags Raw Data'!$D$6:$D$4691,$A25,'Diags Raw Data'!$M$6:$M$4691,"New")+SUMIFS('Diags Raw Data'!$O$6:$O$4691,'Diags Raw Data'!$D$6:$D$4691,$A25,'Diags Raw Data'!$M$6:$M$4691,"Delta")</f>
        <v>0</v>
      </c>
      <c r="F25" s="247" t="str">
        <f t="shared" si="8"/>
        <v>---</v>
      </c>
      <c r="G25" s="229">
        <f>SUMIFS('Diags Raw Data'!$S$6:$S$4691,'Diags Raw Data'!$D$6:$D$4691,$A25,'Diags Raw Data'!$M$6:$M$4691,"New")+SUMIFS('Diags Raw Data'!$S$6:$S$4691,'Diags Raw Data'!$D$6:$D$4691,$A25,'Diags Raw Data'!$M$6:$M$4691,"Delta")</f>
        <v>0</v>
      </c>
      <c r="H25" s="225">
        <f>SUMIFS('Diags Raw Data'!$T$6:$T$4691,'Diags Raw Data'!$D$6:$D$4691,$A25,'Diags Raw Data'!$M$6:$M$4691,"New")+SUMIFS('Diags Raw Data'!$T$6:$T$4691,'Diags Raw Data'!$D$6:$D$4691,$A25,'Diags Raw Data'!$M$6:$M$4691,"Delta")</f>
        <v>0</v>
      </c>
      <c r="I25" s="225">
        <f>SUMIFS('Diags Raw Data'!$U$6:$U$4691,'Diags Raw Data'!$D$6:$D$4691,$A25,'Diags Raw Data'!$M$6:$M$4691,"New")+SUMIFS('Diags Raw Data'!$U$6:$U$4691,'Diags Raw Data'!$D$6:$D$4691,$A25,'Diags Raw Data'!$M$6:$M$4691,"Delta")</f>
        <v>0</v>
      </c>
      <c r="J25" s="225">
        <f>SUMIFS('Diags Raw Data'!$V$6:$V$4691,'Diags Raw Data'!$D$6:$D$4691,$A25,'Diags Raw Data'!$M$6:$M$4691,"New")+SUMIFS('Diags Raw Data'!$V$6:$V$4691,'Diags Raw Data'!$D$6:$D$4691,$A25,'Diags Raw Data'!$M$6:$M$4691,"Delta")</f>
        <v>0</v>
      </c>
      <c r="K25" s="225">
        <f>SUMIFS('Diags Raw Data'!$W$6:$W$4691,'Diags Raw Data'!$D$6:$D$4691,$A25,'Diags Raw Data'!$M$6:$M$4691,"New")+SUMIFS('Diags Raw Data'!$W$6:$W$4691,'Diags Raw Data'!$D$6:$D$4691,$A25,'Diags Raw Data'!$M$6:$M$4691,"Delta")</f>
        <v>0</v>
      </c>
      <c r="L25" s="242" t="str">
        <f t="shared" si="10"/>
        <v>---</v>
      </c>
      <c r="M25" s="227" t="str">
        <f>IF(NOT($G25=0), (H25+I25)/$G25, "---")</f>
        <v>---</v>
      </c>
      <c r="N25" s="236" t="str">
        <f t="shared" si="11"/>
        <v>---</v>
      </c>
      <c r="O25" s="212">
        <f>SUMIFS('Diags Raw Data'!$Z$6:$Z$4691,'Diags Raw Data'!$D$6:$D$4691,$A25,'Diags Raw Data'!$M$6:$M$4691,"New")+SUMIFS('Diags Raw Data'!$Z$6:$Z$4691,'Diags Raw Data'!$D$6:$D$4691,$A25,'Diags Raw Data'!$M$6:$M$4691,"Delta")</f>
        <v>0</v>
      </c>
      <c r="P25" s="202">
        <f>SUMIFS('Diags Raw Data'!$AA$6:$AA$4691,'Diags Raw Data'!$D$6:$D$4691,$A25,'Diags Raw Data'!$M$6:$M$4691,"New")+SUMIFS('Diags Raw Data'!$AA$6:$AA$4691,'Diags Raw Data'!$D$6:$D$4691,$A25,'Diags Raw Data'!$M$6:$M$4691,"Delta")</f>
        <v>0</v>
      </c>
      <c r="Q25" s="202">
        <f>SUMIFS('Diags Raw Data'!$AB$6:$AB$4691,'Diags Raw Data'!$D$6:$D$4691,$A25,'Diags Raw Data'!$M$6:$M$4691,"New")+SUMIFS('Diags Raw Data'!$AB$6:$AB$4691,'Diags Raw Data'!$D$6:$D$4691,$A25,'Diags Raw Data'!$M$6:$M$4691,"Delta")</f>
        <v>0</v>
      </c>
      <c r="R25" s="202">
        <f>SUMIFS('Diags Raw Data'!$AC$6:$AC$4691,'Diags Raw Data'!$D$6:$D$4691,$A25,'Diags Raw Data'!$M$6:$M$4691,"New")+SUMIFS('Diags Raw Data'!$AC$6:$AC$4691,'Diags Raw Data'!$D$6:$D$4691,$A25,'Diags Raw Data'!$M$6:$M$4691,"Delta")</f>
        <v>0</v>
      </c>
      <c r="S25" s="202">
        <f>SUMIFS('Diags Raw Data'!$AD$6:$AD$4691,'Diags Raw Data'!$D$6:$D$4691,$A25,'Diags Raw Data'!$M$6:$M$4691,"New")+SUMIFS('Diags Raw Data'!$AD$6:$AD$4691,'Diags Raw Data'!$D$6:$D$4691,$A25,'Diags Raw Data'!$M$6:$M$4691,"Delta")</f>
        <v>0</v>
      </c>
      <c r="T25" s="203" t="str">
        <f t="shared" si="12"/>
        <v>---</v>
      </c>
      <c r="U25" s="228" t="str">
        <f t="shared" si="13"/>
        <v>---</v>
      </c>
      <c r="V25" s="230" t="str">
        <f t="shared" si="9"/>
        <v>---</v>
      </c>
    </row>
    <row r="26" spans="1:22">
      <c r="A26" s="333"/>
      <c r="B26" s="251">
        <f>SUMIFS('Diags Raw Data'!$L$6:$L$4691,'Diags Raw Data'!$D$6:$D$4691,$A26,'Diags Raw Data'!$M$6:$M$4691,"New")+SUMIFS('Diags Raw Data'!$L$6:$L$4691,'Diags Raw Data'!$D$6:$D$4691,$A26,'Diags Raw Data'!$M$6:$M$4691,"Delta")</f>
        <v>0</v>
      </c>
      <c r="C26" s="241">
        <f>SUMIFS('Diags Raw Data'!$R$6:$R$4691,'Diags Raw Data'!$D$6:$D$4691,$A26,'Diags Raw Data'!$M$6:$M$4691,"New")+SUMIFS('Diags Raw Data'!$R$6:$R$4691,'Diags Raw Data'!$D$6:$D$4691,$A26,'Diags Raw Data'!$M$6:$M$4691,"Delta")</f>
        <v>0</v>
      </c>
      <c r="D26" s="241">
        <f>SUMIFS('Diags Raw Data'!$K$6:$K$4691,'Diags Raw Data'!$D$6:$D$4691,$A26,'Diags Raw Data'!$M$6:$M$4691,"New")+SUMIFS('Diags Raw Data'!$K$6:$K$4691,'Diags Raw Data'!$D$6:$D$4691,$A26,'Diags Raw Data'!$M$6:$M$4691,"Delta")</f>
        <v>0</v>
      </c>
      <c r="E26" s="241">
        <f>SUMIFS('Diags Raw Data'!$O$6:$O$4691,'Diags Raw Data'!$D$6:$D$4691,$A26,'Diags Raw Data'!$M$6:$M$4691,"New")+SUMIFS('Diags Raw Data'!$O$6:$O$4691,'Diags Raw Data'!$D$6:$D$4691,$A26,'Diags Raw Data'!$M$6:$M$4691,"Delta")</f>
        <v>0</v>
      </c>
      <c r="F26" s="247" t="str">
        <f t="shared" si="8"/>
        <v>---</v>
      </c>
      <c r="G26" s="229">
        <f>SUMIFS('Diags Raw Data'!$S$6:$S$4691,'Diags Raw Data'!$D$6:$D$4691,$A26,'Diags Raw Data'!$M$6:$M$4691,"New")+SUMIFS('Diags Raw Data'!$S$6:$S$4691,'Diags Raw Data'!$D$6:$D$4691,$A26,'Diags Raw Data'!$M$6:$M$4691,"Delta")</f>
        <v>0</v>
      </c>
      <c r="H26" s="225">
        <f>SUMIFS('Diags Raw Data'!$T$6:$T$4691,'Diags Raw Data'!$D$6:$D$4691,$A26,'Diags Raw Data'!$M$6:$M$4691,"New")+SUMIFS('Diags Raw Data'!$T$6:$T$4691,'Diags Raw Data'!$D$6:$D$4691,$A26,'Diags Raw Data'!$M$6:$M$4691,"Delta")</f>
        <v>0</v>
      </c>
      <c r="I26" s="225">
        <f>SUMIFS('Diags Raw Data'!$U$6:$U$4691,'Diags Raw Data'!$D$6:$D$4691,$A26,'Diags Raw Data'!$M$6:$M$4691,"New")+SUMIFS('Diags Raw Data'!$U$6:$U$4691,'Diags Raw Data'!$D$6:$D$4691,$A26,'Diags Raw Data'!$M$6:$M$4691,"Delta")</f>
        <v>0</v>
      </c>
      <c r="J26" s="225">
        <f>SUMIFS('Diags Raw Data'!$V$6:$V$4691,'Diags Raw Data'!$D$6:$D$4691,$A26,'Diags Raw Data'!$M$6:$M$4691,"New")+SUMIFS('Diags Raw Data'!$V$6:$V$4691,'Diags Raw Data'!$D$6:$D$4691,$A26,'Diags Raw Data'!$M$6:$M$4691,"Delta")</f>
        <v>0</v>
      </c>
      <c r="K26" s="225">
        <f>SUMIFS('Diags Raw Data'!$W$6:$W$4691,'Diags Raw Data'!$D$6:$D$4691,$A26,'Diags Raw Data'!$M$6:$M$4691,"New")+SUMIFS('Diags Raw Data'!$W$6:$W$4691,'Diags Raw Data'!$D$6:$D$4691,$A26,'Diags Raw Data'!$M$6:$M$4691,"Delta")</f>
        <v>0</v>
      </c>
      <c r="L26" s="242" t="str">
        <f t="shared" si="10"/>
        <v>---</v>
      </c>
      <c r="M26" s="227" t="str">
        <f t="shared" si="14"/>
        <v>---</v>
      </c>
      <c r="N26" s="236" t="str">
        <f t="shared" si="11"/>
        <v>---</v>
      </c>
      <c r="O26" s="212">
        <f>SUMIFS('Diags Raw Data'!$Z$6:$Z$4691,'Diags Raw Data'!$D$6:$D$4691,$A26,'Diags Raw Data'!$M$6:$M$4691,"New")+SUMIFS('Diags Raw Data'!$Z$6:$Z$4691,'Diags Raw Data'!$D$6:$D$4691,$A26,'Diags Raw Data'!$M$6:$M$4691,"Delta")</f>
        <v>0</v>
      </c>
      <c r="P26" s="202">
        <f>SUMIFS('Diags Raw Data'!$AA$6:$AA$4691,'Diags Raw Data'!$D$6:$D$4691,$A26,'Diags Raw Data'!$M$6:$M$4691,"New")+SUMIFS('Diags Raw Data'!$AA$6:$AA$4691,'Diags Raw Data'!$D$6:$D$4691,$A26,'Diags Raw Data'!$M$6:$M$4691,"Delta")</f>
        <v>0</v>
      </c>
      <c r="Q26" s="202">
        <f>SUMIFS('Diags Raw Data'!$AB$6:$AB$4691,'Diags Raw Data'!$D$6:$D$4691,$A26,'Diags Raw Data'!$M$6:$M$4691,"New")+SUMIFS('Diags Raw Data'!$AB$6:$AB$4691,'Diags Raw Data'!$D$6:$D$4691,$A26,'Diags Raw Data'!$M$6:$M$4691,"Delta")</f>
        <v>0</v>
      </c>
      <c r="R26" s="202">
        <f>SUMIFS('Diags Raw Data'!$AC$6:$AC$4691,'Diags Raw Data'!$D$6:$D$4691,$A26,'Diags Raw Data'!$M$6:$M$4691,"New")+SUMIFS('Diags Raw Data'!$AC$6:$AC$4691,'Diags Raw Data'!$D$6:$D$4691,$A26,'Diags Raw Data'!$M$6:$M$4691,"Delta")</f>
        <v>0</v>
      </c>
      <c r="S26" s="202">
        <f>SUMIFS('Diags Raw Data'!$AD$6:$AD$4691,'Diags Raw Data'!$D$6:$D$4691,$A26,'Diags Raw Data'!$M$6:$M$4691,"New")+SUMIFS('Diags Raw Data'!$AD$6:$AD$4691,'Diags Raw Data'!$D$6:$D$4691,$A26,'Diags Raw Data'!$M$6:$M$4691,"Delta")</f>
        <v>0</v>
      </c>
      <c r="T26" s="203" t="str">
        <f t="shared" si="12"/>
        <v>---</v>
      </c>
      <c r="U26" s="228" t="str">
        <f t="shared" si="13"/>
        <v>---</v>
      </c>
      <c r="V26" s="230" t="str">
        <f t="shared" si="9"/>
        <v>---</v>
      </c>
    </row>
    <row r="27" spans="1:22" ht="15" thickBot="1">
      <c r="A27" s="334"/>
      <c r="B27" s="252">
        <f>SUMIFS('Diags Raw Data'!$L$6:$L$4691,'Diags Raw Data'!$D$6:$D$4691,$A27,'Diags Raw Data'!$M$6:$M$4691,"New")+SUMIFS('Diags Raw Data'!$L$6:$L$4691,'Diags Raw Data'!$D$6:$D$4691,$A27,'Diags Raw Data'!$M$6:$M$4691,"Delta")</f>
        <v>0</v>
      </c>
      <c r="C27" s="243">
        <f>SUMIFS('Diags Raw Data'!$R$6:$R$4691,'Diags Raw Data'!$D$6:$D$4691,$A27,'Diags Raw Data'!$M$6:$M$4691,"New")+SUMIFS('Diags Raw Data'!$R$6:$R$4691,'Diags Raw Data'!$D$6:$D$4691,$A27,'Diags Raw Data'!$M$6:$M$4691,"Delta")</f>
        <v>0</v>
      </c>
      <c r="D27" s="243">
        <f>SUMIFS('Diags Raw Data'!$K$6:$K$4691,'Diags Raw Data'!$D$6:$D$4691,$A27,'Diags Raw Data'!$M$6:$M$4691,"New")+SUMIFS('Diags Raw Data'!$K$6:$K$4691,'Diags Raw Data'!$D$6:$D$4691,$A27,'Diags Raw Data'!$M$6:$M$4691,"Delta")</f>
        <v>0</v>
      </c>
      <c r="E27" s="243">
        <f>SUMIFS('Diags Raw Data'!$O$6:$O$4691,'Diags Raw Data'!$D$6:$D$4691,$A27,'Diags Raw Data'!$M$6:$M$4691,"New")+SUMIFS('Diags Raw Data'!$O$6:$O$4691,'Diags Raw Data'!$D$6:$D$4691,$A27,'Diags Raw Data'!$M$6:$M$4691,"Delta")</f>
        <v>0</v>
      </c>
      <c r="F27" s="248" t="str">
        <f t="shared" si="8"/>
        <v>---</v>
      </c>
      <c r="G27" s="231">
        <f>SUMIFS('Diags Raw Data'!$S$6:$S$4691,'Diags Raw Data'!$D$6:$D$4691,$A27,'Diags Raw Data'!$M$6:$M$4691,"New")+SUMIFS('Diags Raw Data'!$S$6:$S$4691,'Diags Raw Data'!$D$6:$D$4691,$A27,'Diags Raw Data'!$M$6:$M$4691,"Delta")</f>
        <v>0</v>
      </c>
      <c r="H27" s="232">
        <f>SUMIFS('Diags Raw Data'!$T$6:$T$4691,'Diags Raw Data'!$D$6:$D$4691,$A27,'Diags Raw Data'!$M$6:$M$4691,"New")+SUMIFS('Diags Raw Data'!$T$6:$T$4691,'Diags Raw Data'!$D$6:$D$4691,$A27,'Diags Raw Data'!$M$6:$M$4691,"Delta")</f>
        <v>0</v>
      </c>
      <c r="I27" s="232">
        <f>SUMIFS('Diags Raw Data'!$U$6:$U$4691,'Diags Raw Data'!$D$6:$D$4691,$A27,'Diags Raw Data'!$M$6:$M$4691,"New")+SUMIFS('Diags Raw Data'!$U$6:$U$4691,'Diags Raw Data'!$D$6:$D$4691,$A27,'Diags Raw Data'!$M$6:$M$4691,"Delta")</f>
        <v>0</v>
      </c>
      <c r="J27" s="232">
        <f>SUMIFS('Diags Raw Data'!$V$6:$V$4691,'Diags Raw Data'!$D$6:$D$4691,$A27,'Diags Raw Data'!$M$6:$M$4691,"New")+SUMIFS('Diags Raw Data'!$V$6:$V$4691,'Diags Raw Data'!$D$6:$D$4691,$A27,'Diags Raw Data'!$M$6:$M$4691,"Delta")</f>
        <v>0</v>
      </c>
      <c r="K27" s="232">
        <f>SUMIFS('Diags Raw Data'!$W$6:$W$4691,'Diags Raw Data'!$D$6:$D$4691,$A27,'Diags Raw Data'!$M$6:$M$4691,"New")+SUMIFS('Diags Raw Data'!$W$6:$W$4691,'Diags Raw Data'!$D$6:$D$4691,$A27,'Diags Raw Data'!$M$6:$M$4691,"Delta")</f>
        <v>0</v>
      </c>
      <c r="L27" s="244" t="str">
        <f t="shared" si="10"/>
        <v>---</v>
      </c>
      <c r="M27" s="234" t="str">
        <f t="shared" si="14"/>
        <v>---</v>
      </c>
      <c r="N27" s="237" t="str">
        <f t="shared" si="11"/>
        <v>---</v>
      </c>
      <c r="O27" s="213">
        <f>SUMIFS('Diags Raw Data'!$Z$6:$Z$4691,'Diags Raw Data'!$D$6:$D$4691,$A27,'Diags Raw Data'!$M$6:$M$4691,"New")+SUMIFS('Diags Raw Data'!$Z$6:$Z$4691,'Diags Raw Data'!$D$6:$D$4691,$A27,'Diags Raw Data'!$M$6:$M$4691,"Delta")</f>
        <v>0</v>
      </c>
      <c r="P27" s="205">
        <f>SUMIFS('Diags Raw Data'!$AA$6:$AA$4691,'Diags Raw Data'!$D$6:$D$4691,$A27,'Diags Raw Data'!$M$6:$M$4691,"New")+SUMIFS('Diags Raw Data'!$AA$6:$AA$4691,'Diags Raw Data'!$D$6:$D$4691,$A27,'Diags Raw Data'!$M$6:$M$4691,"Delta")</f>
        <v>0</v>
      </c>
      <c r="Q27" s="205">
        <f>SUMIFS('Diags Raw Data'!$AB$6:$AB$4691,'Diags Raw Data'!$D$6:$D$4691,$A27,'Diags Raw Data'!$M$6:$M$4691,"New")+SUMIFS('Diags Raw Data'!$AB$6:$AB$4691,'Diags Raw Data'!$D$6:$D$4691,$A27,'Diags Raw Data'!$M$6:$M$4691,"Delta")</f>
        <v>0</v>
      </c>
      <c r="R27" s="205">
        <f>SUMIFS('Diags Raw Data'!$AC$6:$AC$4691,'Diags Raw Data'!$D$6:$D$4691,$A27,'Diags Raw Data'!$M$6:$M$4691,"New")+SUMIFS('Diags Raw Data'!$AC$6:$AC$4691,'Diags Raw Data'!$D$6:$D$4691,$A27,'Diags Raw Data'!$M$6:$M$4691,"Delta")</f>
        <v>0</v>
      </c>
      <c r="S27" s="205">
        <f>SUMIFS('Diags Raw Data'!$AD$6:$AD$4691,'Diags Raw Data'!$D$6:$D$4691,$A27,'Diags Raw Data'!$M$6:$M$4691,"New")+SUMIFS('Diags Raw Data'!$AD$6:$AD$4691,'Diags Raw Data'!$D$6:$D$4691,$A27,'Diags Raw Data'!$M$6:$M$4691,"Delta")</f>
        <v>0</v>
      </c>
      <c r="T27" s="206" t="str">
        <f t="shared" si="12"/>
        <v>---</v>
      </c>
      <c r="U27" s="238" t="str">
        <f t="shared" si="13"/>
        <v>---</v>
      </c>
      <c r="V27" s="235" t="str">
        <f t="shared" si="9"/>
        <v>---</v>
      </c>
    </row>
    <row r="28" spans="1:22" ht="15.95" thickBot="1">
      <c r="A28" s="254" t="s">
        <v>536</v>
      </c>
      <c r="B28" s="255">
        <f>SUM(B18:B27)</f>
        <v>19</v>
      </c>
      <c r="C28" s="256">
        <f>SUM(C18:C27)</f>
        <v>18</v>
      </c>
      <c r="D28" s="256">
        <f>SUM(D18:D27)</f>
        <v>592</v>
      </c>
      <c r="E28" s="256">
        <f>SUM(E18:E27)</f>
        <v>14.15</v>
      </c>
      <c r="F28" s="257" cm="1">
        <f t="array" ref="F28">SUMPRODUCT(--(ISNUMBER(SEARCH("New",'Diags Raw Data'!$M$6:$M$4691))),'Diags Raw Data'!$K$6:$K$4691,'Diags Raw Data'!$P$6:$P$4691)/D28+SUMPRODUCT(--(ISNUMBER(SEARCH("Delta",'Diags Raw Data'!$M$6:$M$4691))),'Diags Raw Data'!$K$6:$K$4691,'Diags Raw Data'!$P$6:$P$4691)/D28</f>
        <v>1.5601351351351351</v>
      </c>
      <c r="G28" s="258">
        <f>SUM(G18:G27)</f>
        <v>12</v>
      </c>
      <c r="H28" s="259">
        <f>SUM(H18:H27)</f>
        <v>12</v>
      </c>
      <c r="I28" s="260">
        <f>SUM(I18:I27)</f>
        <v>0</v>
      </c>
      <c r="J28" s="259">
        <f>SUM(J18:J27)</f>
        <v>0</v>
      </c>
      <c r="K28" s="260">
        <f>SUM(K18:K27)</f>
        <v>0</v>
      </c>
      <c r="L28" s="261">
        <f>IF(NOT($C28=0), G28/$C28, "---")</f>
        <v>0.66666666666666663</v>
      </c>
      <c r="M28" s="262">
        <f t="shared" si="14"/>
        <v>1</v>
      </c>
      <c r="N28" s="263">
        <f>IF(NOT($C28=0), (H28+I28)/$C28, "---")</f>
        <v>0.66666666666666663</v>
      </c>
      <c r="O28" s="264">
        <f>SUM(O18:O27)</f>
        <v>0</v>
      </c>
      <c r="P28" s="265">
        <f>SUM(P18:P27)</f>
        <v>0</v>
      </c>
      <c r="Q28" s="266">
        <f>SUM(Q18:Q27)</f>
        <v>0</v>
      </c>
      <c r="R28" s="265">
        <f>SUM(R18:R27)</f>
        <v>0</v>
      </c>
      <c r="S28" s="266">
        <f>SUM(S18:S27)</f>
        <v>0</v>
      </c>
      <c r="T28" s="267">
        <f>IF(NOT($B28=0), O28/$B28, "---")</f>
        <v>0</v>
      </c>
      <c r="U28" s="268" t="str">
        <f t="shared" si="13"/>
        <v>---</v>
      </c>
      <c r="V28" s="269">
        <f t="shared" si="9"/>
        <v>0</v>
      </c>
    </row>
    <row r="29" spans="1:22" ht="15" thickBot="1">
      <c r="A29" s="245"/>
      <c r="B29" s="245"/>
      <c r="C29" s="245"/>
      <c r="D29" s="245"/>
      <c r="E29" s="245"/>
      <c r="F29" s="245"/>
      <c r="G29" s="245"/>
      <c r="H29" s="245"/>
      <c r="I29" s="245"/>
      <c r="J29" s="245"/>
      <c r="K29" s="245"/>
      <c r="L29" s="245"/>
      <c r="M29" s="245"/>
      <c r="N29" s="245"/>
      <c r="O29" s="245"/>
      <c r="P29" s="245"/>
      <c r="Q29" s="245"/>
      <c r="R29" s="245"/>
      <c r="S29" s="245"/>
      <c r="T29" s="245"/>
      <c r="U29" s="245"/>
      <c r="V29" s="245"/>
    </row>
    <row r="30" spans="1:22" ht="15" thickBot="1">
      <c r="A30" s="215" t="s">
        <v>33</v>
      </c>
      <c r="B30" s="652" t="s">
        <v>166</v>
      </c>
      <c r="C30" s="652"/>
      <c r="D30" s="652"/>
      <c r="E30" s="652"/>
      <c r="F30" s="652"/>
      <c r="G30" s="653" t="s">
        <v>177</v>
      </c>
      <c r="H30" s="654"/>
      <c r="I30" s="654"/>
      <c r="J30" s="654"/>
      <c r="K30" s="654"/>
      <c r="L30" s="654"/>
      <c r="M30" s="654"/>
      <c r="N30" s="655"/>
      <c r="O30" s="656" t="s">
        <v>144</v>
      </c>
      <c r="P30" s="657"/>
      <c r="Q30" s="657"/>
      <c r="R30" s="657"/>
      <c r="S30" s="657"/>
      <c r="T30" s="657"/>
      <c r="U30" s="657"/>
      <c r="V30" s="658"/>
    </row>
    <row r="31" spans="1:22" s="249" customFormat="1" ht="15" thickBot="1">
      <c r="A31" s="253" t="s">
        <v>88</v>
      </c>
      <c r="B31" s="310" t="s">
        <v>167</v>
      </c>
      <c r="C31" s="311" t="s">
        <v>128</v>
      </c>
      <c r="D31" s="312" t="s">
        <v>105</v>
      </c>
      <c r="E31" s="312" t="s">
        <v>173</v>
      </c>
      <c r="F31" s="313" t="s">
        <v>175</v>
      </c>
      <c r="G31" s="314" t="s">
        <v>132</v>
      </c>
      <c r="H31" s="315" t="s">
        <v>30</v>
      </c>
      <c r="I31" s="315" t="s">
        <v>135</v>
      </c>
      <c r="J31" s="315" t="s">
        <v>36</v>
      </c>
      <c r="K31" s="315" t="s">
        <v>138</v>
      </c>
      <c r="L31" s="315" t="s">
        <v>184</v>
      </c>
      <c r="M31" s="315" t="s">
        <v>140</v>
      </c>
      <c r="N31" s="316" t="s">
        <v>187</v>
      </c>
      <c r="O31" s="317" t="s">
        <v>132</v>
      </c>
      <c r="P31" s="318" t="s">
        <v>30</v>
      </c>
      <c r="Q31" s="318" t="s">
        <v>135</v>
      </c>
      <c r="R31" s="318" t="s">
        <v>36</v>
      </c>
      <c r="S31" s="318" t="s">
        <v>138</v>
      </c>
      <c r="T31" s="318" t="s">
        <v>184</v>
      </c>
      <c r="U31" s="318" t="s">
        <v>140</v>
      </c>
      <c r="V31" s="319" t="s">
        <v>187</v>
      </c>
    </row>
    <row r="32" spans="1:22">
      <c r="A32" s="333" t="s">
        <v>310</v>
      </c>
      <c r="B32" s="250">
        <f>SUMIFS('Diags Raw Data'!$L$6:$L$4691,'Diags Raw Data'!$D$6:$D$4691,$A32,'Diags Raw Data'!$M$6:$M$4691,"Legacy")</f>
        <v>0</v>
      </c>
      <c r="C32" s="240">
        <f>SUMIFS('Diags Raw Data'!$R$6:$R$4691,'Diags Raw Data'!$D$6:$D$4691,$A32,'Diags Raw Data'!$M$6:$M$4691,"Legacy")</f>
        <v>0</v>
      </c>
      <c r="D32" s="240">
        <f>SUMIFS('Diags Raw Data'!$K$6:$K$4691,'Diags Raw Data'!$D$6:$D$4691,$A32,'Diags Raw Data'!$M$6:$M$4691,"Legacy")</f>
        <v>0</v>
      </c>
      <c r="E32" s="240">
        <f>SUMIFS('Diags Raw Data'!$O$6:$O$4691,'Diags Raw Data'!$D$6:$D$4691,$A32,'Diags Raw Data'!$M$6:$M$4691,"Legacy")</f>
        <v>0</v>
      </c>
      <c r="F32" s="246" t="str">
        <f>IF(NOT($B32=0), E32/$B32, "---")</f>
        <v>---</v>
      </c>
      <c r="G32" s="218">
        <f>SUMIFS('Diags Raw Data'!$S$6:$S$4691,'Diags Raw Data'!$D$6:$D$4691,$A32,'Diags Raw Data'!$M$6:$M$4691,"Legacy")</f>
        <v>0</v>
      </c>
      <c r="H32" s="219">
        <f>SUMIFS('Diags Raw Data'!$T$6:$T$4691,'Diags Raw Data'!$D$6:$D$4691,$A32,'Diags Raw Data'!$M$6:$M$4691,"Legacy")</f>
        <v>0</v>
      </c>
      <c r="I32" s="221">
        <f>SUMIFS('Diags Raw Data'!$U$6:$U$4691,'Diags Raw Data'!$D$6:$D$4691,$A32,'Diags Raw Data'!$M$6:$M$4691,"Legacy")</f>
        <v>0</v>
      </c>
      <c r="J32" s="219">
        <f>SUMIFS('Diags Raw Data'!$V$6:$V$4691,'Diags Raw Data'!$D$6:$D$4691,$A32,'Diags Raw Data'!$M$6:$M$4691,"Legacy")</f>
        <v>0</v>
      </c>
      <c r="K32" s="221">
        <f>SUMIFS('Diags Raw Data'!$W$6:$W$4691,'Diags Raw Data'!$D$6:$D$4691,$A32,'Diags Raw Data'!$M$6:$M$4691,"Legacy")</f>
        <v>0</v>
      </c>
      <c r="L32" s="220" t="str">
        <f>IF(NOT($C32=0), G32/$C32, "---")</f>
        <v>---</v>
      </c>
      <c r="M32" s="222" t="str">
        <f>IF(NOT($G32=0), (H32+I32)/$G32, "---")</f>
        <v>---</v>
      </c>
      <c r="N32" s="224" t="str">
        <f>IF(NOT($C32=0), (H32+I32)/$C32, "---")</f>
        <v>---</v>
      </c>
      <c r="O32" s="211">
        <f>SUMIFS('Diags Raw Data'!$Z$6:$Z$4691,'Diags Raw Data'!$D$6:$D$4691,$A32,'Diags Raw Data'!$M$6:$M$4691,"Legacy")</f>
        <v>0</v>
      </c>
      <c r="P32" s="208">
        <f>SUMIFS('Diags Raw Data'!$AA$6:$AA$4691,'Diags Raw Data'!$D$6:$D$4691,$A32,'Diags Raw Data'!$M$6:$M$4691,"Legacy")</f>
        <v>0</v>
      </c>
      <c r="Q32" s="210">
        <f>SUMIFS('Diags Raw Data'!$AB$6:$AB$4691,'Diags Raw Data'!$D$6:$D$4691,$A32,'Diags Raw Data'!$M$6:$M$4691,"Legacy")</f>
        <v>0</v>
      </c>
      <c r="R32" s="208">
        <f>SUMIFS('Diags Raw Data'!$AC$6:$AC$4691,'Diags Raw Data'!$D$6:$D$4691,$A32,'Diags Raw Data'!$M$6:$M$4691,"Legacy")</f>
        <v>0</v>
      </c>
      <c r="S32" s="210">
        <f>SUMIFS('Diags Raw Data'!$AD$6:$AD$4691,'Diags Raw Data'!$D$6:$D$4691,$A32,'Diags Raw Data'!$M$6:$M$4691,"Legacy")</f>
        <v>0</v>
      </c>
      <c r="T32" s="209" t="str">
        <f>IF(NOT($B32=0), O32/$B32, "---")</f>
        <v>---</v>
      </c>
      <c r="U32" s="223" t="str">
        <f>IF(NOT($O32=0), (P32+Q32)/$O32, "---")</f>
        <v>---</v>
      </c>
      <c r="V32" s="239" t="str">
        <f>IF(NOT($B32=0), (P32+Q32)/$B32, "---")</f>
        <v>---</v>
      </c>
    </row>
    <row r="33" spans="1:22">
      <c r="A33" s="333" t="s">
        <v>373</v>
      </c>
      <c r="B33" s="251">
        <f>SUMIFS('Diags Raw Data'!$L$6:$L$4691,'Diags Raw Data'!$D$6:$D$4691,$A33,'Diags Raw Data'!$M$6:$M$4691,"Legacy")</f>
        <v>0</v>
      </c>
      <c r="C33" s="241">
        <f>SUMIFS('Diags Raw Data'!$R$6:$R$4691,'Diags Raw Data'!$D$6:$D$4691,$A33,'Diags Raw Data'!$M$6:$M$4691,"Legacy")</f>
        <v>0</v>
      </c>
      <c r="D33" s="241">
        <f>SUMIFS('Diags Raw Data'!$K$6:$K$4691,'Diags Raw Data'!$D$6:$D$4691,$A33,'Diags Raw Data'!$M$6:$M$4691,"Legacy")</f>
        <v>0</v>
      </c>
      <c r="E33" s="241">
        <f>SUMIFS('Diags Raw Data'!$O$6:$O$4691,'Diags Raw Data'!$D$6:$D$4691,$A33,'Diags Raw Data'!$M$6:$M$4691,"Legacy")</f>
        <v>0</v>
      </c>
      <c r="F33" s="247" t="str">
        <f t="shared" ref="F33:F41" si="15">IF(NOT($B33=0), E33/$B33, "---")</f>
        <v>---</v>
      </c>
      <c r="G33" s="229">
        <f>SUMIFS('Diags Raw Data'!$S$6:$S$4691,'Diags Raw Data'!$D$6:$D$4691,$A33,'Diags Raw Data'!$M$6:$M$4691,"Legacy")</f>
        <v>0</v>
      </c>
      <c r="H33" s="225">
        <f>SUMIFS('Diags Raw Data'!$T$6:$T$4691,'Diags Raw Data'!$D$6:$D$4691,$A33,'Diags Raw Data'!$M$6:$M$4691,"Legacy")</f>
        <v>0</v>
      </c>
      <c r="I33" s="226">
        <f>SUMIFS('Diags Raw Data'!$U$6:$U$4691,'Diags Raw Data'!$D$6:$D$4691,$A33,'Diags Raw Data'!$M$6:$M$4691,"Legacy")</f>
        <v>0</v>
      </c>
      <c r="J33" s="225">
        <f>SUMIFS('Diags Raw Data'!$V$6:$V$4691,'Diags Raw Data'!$D$6:$D$4691,$A33,'Diags Raw Data'!$M$6:$M$4691,"Legacy")</f>
        <v>0</v>
      </c>
      <c r="K33" s="226">
        <f>SUMIFS('Diags Raw Data'!$W$6:$W$4691,'Diags Raw Data'!$D$6:$D$4691,$A33,'Diags Raw Data'!$M$6:$M$4691,"Legacy")</f>
        <v>0</v>
      </c>
      <c r="L33" s="242" t="str">
        <f t="shared" ref="L33:L41" si="16">IF(NOT($C33=0), G33/$C33, "---")</f>
        <v>---</v>
      </c>
      <c r="M33" s="227" t="str">
        <f t="shared" ref="M33:M42" si="17">IF(NOT($G33=0), (H33+I33)/$G33, "---")</f>
        <v>---</v>
      </c>
      <c r="N33" s="236" t="str">
        <f t="shared" ref="N33:N42" si="18">IF(NOT($C33=0), (H33+I33)/$C33, "---")</f>
        <v>---</v>
      </c>
      <c r="O33" s="212">
        <f>SUMIFS('Diags Raw Data'!$Z$6:$Z$4691,'Diags Raw Data'!$D$6:$D$4691,$A33,'Diags Raw Data'!$M$6:$M$4691,"Legacy")</f>
        <v>0</v>
      </c>
      <c r="P33" s="202">
        <f>SUMIFS('Diags Raw Data'!$AA$6:$AA$4691,'Diags Raw Data'!$D$6:$D$4691,$A33,'Diags Raw Data'!$M$6:$M$4691,"Legacy")</f>
        <v>0</v>
      </c>
      <c r="Q33" s="204">
        <f>SUMIFS('Diags Raw Data'!$AB$6:$AB$4691,'Diags Raw Data'!$D$6:$D$4691,$A33,'Diags Raw Data'!$M$6:$M$4691,"Legacy")</f>
        <v>0</v>
      </c>
      <c r="R33" s="202">
        <f>SUMIFS('Diags Raw Data'!$AC$6:$AC$4691,'Diags Raw Data'!$D$6:$D$4691,$A33,'Diags Raw Data'!$M$6:$M$4691,"Legacy")</f>
        <v>0</v>
      </c>
      <c r="S33" s="204">
        <f>SUMIFS('Diags Raw Data'!$AD$6:$AD$4691,'Diags Raw Data'!$D$6:$D$4691,$A33,'Diags Raw Data'!$M$6:$M$4691,"Legacy")</f>
        <v>0</v>
      </c>
      <c r="T33" s="203" t="str">
        <f t="shared" ref="T33:T41" si="19">IF(NOT($B33=0), O33/$B33, "---")</f>
        <v>---</v>
      </c>
      <c r="U33" s="228" t="str">
        <f t="shared" ref="U33:U42" si="20">IF(NOT($O33=0), (P33+Q33)/$O33, "---")</f>
        <v>---</v>
      </c>
      <c r="V33" s="230" t="str">
        <f t="shared" ref="V33:V41" si="21">IF(NOT($B33=0), (P33+Q33)/$B33, "---")</f>
        <v>---</v>
      </c>
    </row>
    <row r="34" spans="1:22">
      <c r="A34" s="333" t="s">
        <v>451</v>
      </c>
      <c r="B34" s="251">
        <f>SUMIFS('Diags Raw Data'!$L$6:$L$4691,'Diags Raw Data'!$D$6:$D$4691,$A34,'Diags Raw Data'!$M$6:$M$4691,"Legacy")</f>
        <v>2</v>
      </c>
      <c r="C34" s="241">
        <f>SUMIFS('Diags Raw Data'!$R$6:$R$4691,'Diags Raw Data'!$D$6:$D$4691,$A34,'Diags Raw Data'!$M$6:$M$4691,"Legacy")</f>
        <v>2</v>
      </c>
      <c r="D34" s="241">
        <f>SUMIFS('Diags Raw Data'!$K$6:$K$4691,'Diags Raw Data'!$D$6:$D$4691,$A34,'Diags Raw Data'!$M$6:$M$4691,"Legacy")</f>
        <v>64</v>
      </c>
      <c r="E34" s="241">
        <f>SUMIFS('Diags Raw Data'!$O$6:$O$4691,'Diags Raw Data'!$D$6:$D$4691,$A34,'Diags Raw Data'!$M$6:$M$4691,"Legacy")</f>
        <v>2</v>
      </c>
      <c r="F34" s="247">
        <f t="shared" si="15"/>
        <v>1</v>
      </c>
      <c r="G34" s="229">
        <f>SUMIFS('Diags Raw Data'!$S$6:$S$4691,'Diags Raw Data'!$D$6:$D$4691,$A34,'Diags Raw Data'!$M$6:$M$4691,"Legacy")</f>
        <v>2</v>
      </c>
      <c r="H34" s="225">
        <f>SUMIFS('Diags Raw Data'!$T$6:$T$4691,'Diags Raw Data'!$D$6:$D$4691,$A34,'Diags Raw Data'!$M$6:$M$4691,"Legacy")</f>
        <v>2</v>
      </c>
      <c r="I34" s="226">
        <f>SUMIFS('Diags Raw Data'!$U$6:$U$4691,'Diags Raw Data'!$D$6:$D$4691,$A34,'Diags Raw Data'!$M$6:$M$4691,"Legacy")</f>
        <v>0</v>
      </c>
      <c r="J34" s="225">
        <f>SUMIFS('Diags Raw Data'!$V$6:$V$4691,'Diags Raw Data'!$D$6:$D$4691,$A34,'Diags Raw Data'!$M$6:$M$4691,"Legacy")</f>
        <v>0</v>
      </c>
      <c r="K34" s="226">
        <f>SUMIFS('Diags Raw Data'!$W$6:$W$4691,'Diags Raw Data'!$D$6:$D$4691,$A34,'Diags Raw Data'!$M$6:$M$4691,"Legacy")</f>
        <v>0</v>
      </c>
      <c r="L34" s="242">
        <f t="shared" si="16"/>
        <v>1</v>
      </c>
      <c r="M34" s="227">
        <f t="shared" si="17"/>
        <v>1</v>
      </c>
      <c r="N34" s="236">
        <f t="shared" si="18"/>
        <v>1</v>
      </c>
      <c r="O34" s="212">
        <f>SUMIFS('Diags Raw Data'!$Z$6:$Z$4691,'Diags Raw Data'!$D$6:$D$4691,$A34,'Diags Raw Data'!$M$6:$M$4691,"Legacy")</f>
        <v>0</v>
      </c>
      <c r="P34" s="202">
        <f>SUMIFS('Diags Raw Data'!$AA$6:$AA$4691,'Diags Raw Data'!$D$6:$D$4691,$A34,'Diags Raw Data'!$M$6:$M$4691,"Legacy")</f>
        <v>0</v>
      </c>
      <c r="Q34" s="204">
        <f>SUMIFS('Diags Raw Data'!$AB$6:$AB$4691,'Diags Raw Data'!$D$6:$D$4691,$A34,'Diags Raw Data'!$M$6:$M$4691,"Legacy")</f>
        <v>0</v>
      </c>
      <c r="R34" s="202">
        <f>SUMIFS('Diags Raw Data'!$AC$6:$AC$4691,'Diags Raw Data'!$D$6:$D$4691,$A34,'Diags Raw Data'!$M$6:$M$4691,"Legacy")</f>
        <v>0</v>
      </c>
      <c r="S34" s="204">
        <f>SUMIFS('Diags Raw Data'!$AD$6:$AD$4691,'Diags Raw Data'!$D$6:$D$4691,$A34,'Diags Raw Data'!$M$6:$M$4691,"Legacy")</f>
        <v>0</v>
      </c>
      <c r="T34" s="203">
        <f t="shared" si="19"/>
        <v>0</v>
      </c>
      <c r="U34" s="228" t="str">
        <f t="shared" si="20"/>
        <v>---</v>
      </c>
      <c r="V34" s="230">
        <f t="shared" si="21"/>
        <v>0</v>
      </c>
    </row>
    <row r="35" spans="1:22">
      <c r="A35" s="333"/>
      <c r="B35" s="251">
        <f>SUMIFS('Diags Raw Data'!$L$6:$L$4691,'Diags Raw Data'!$D$6:$D$4691,$A35,'Diags Raw Data'!$M$6:$M$4691,"Legacy")</f>
        <v>0</v>
      </c>
      <c r="C35" s="241">
        <f>SUMIFS('Diags Raw Data'!$R$6:$R$4691,'Diags Raw Data'!$D$6:$D$4691,$A35,'Diags Raw Data'!$M$6:$M$4691,"Legacy")</f>
        <v>0</v>
      </c>
      <c r="D35" s="241">
        <f>SUMIFS('Diags Raw Data'!$K$6:$K$4691,'Diags Raw Data'!$D$6:$D$4691,$A35,'Diags Raw Data'!$M$6:$M$4691,"Legacy")</f>
        <v>0</v>
      </c>
      <c r="E35" s="241">
        <f>SUMIFS('Diags Raw Data'!$O$6:$O$4691,'Diags Raw Data'!$D$6:$D$4691,$A35,'Diags Raw Data'!$M$6:$M$4691,"Legacy")</f>
        <v>0</v>
      </c>
      <c r="F35" s="247" t="str">
        <f t="shared" si="15"/>
        <v>---</v>
      </c>
      <c r="G35" s="229">
        <f>SUMIFS('Diags Raw Data'!$S$6:$S$4691,'Diags Raw Data'!$D$6:$D$4691,$A35,'Diags Raw Data'!$M$6:$M$4691,"Legacy")</f>
        <v>0</v>
      </c>
      <c r="H35" s="225">
        <f>SUMIFS('Diags Raw Data'!$T$6:$T$4691,'Diags Raw Data'!$D$6:$D$4691,$A35,'Diags Raw Data'!$M$6:$M$4691,"Legacy")</f>
        <v>0</v>
      </c>
      <c r="I35" s="226">
        <f>SUMIFS('Diags Raw Data'!$U$6:$U$4691,'Diags Raw Data'!$D$6:$D$4691,$A35,'Diags Raw Data'!$M$6:$M$4691,"Legacy")</f>
        <v>0</v>
      </c>
      <c r="J35" s="225">
        <f>SUMIFS('Diags Raw Data'!$V$6:$V$4691,'Diags Raw Data'!$D$6:$D$4691,$A35,'Diags Raw Data'!$M$6:$M$4691,"Legacy")</f>
        <v>0</v>
      </c>
      <c r="K35" s="226">
        <f>SUMIFS('Diags Raw Data'!$W$6:$W$4691,'Diags Raw Data'!$D$6:$D$4691,$A35,'Diags Raw Data'!$M$6:$M$4691,"Legacy")</f>
        <v>0</v>
      </c>
      <c r="L35" s="242" t="str">
        <f t="shared" si="16"/>
        <v>---</v>
      </c>
      <c r="M35" s="227" t="str">
        <f t="shared" si="17"/>
        <v>---</v>
      </c>
      <c r="N35" s="236" t="str">
        <f t="shared" si="18"/>
        <v>---</v>
      </c>
      <c r="O35" s="212">
        <f>SUMIFS('Diags Raw Data'!$Z$6:$Z$4691,'Diags Raw Data'!$D$6:$D$4691,$A35,'Diags Raw Data'!$M$6:$M$4691,"Legacy")</f>
        <v>0</v>
      </c>
      <c r="P35" s="202">
        <f>SUMIFS('Diags Raw Data'!$AA$6:$AA$4691,'Diags Raw Data'!$D$6:$D$4691,$A35,'Diags Raw Data'!$M$6:$M$4691,"Legacy")</f>
        <v>0</v>
      </c>
      <c r="Q35" s="204">
        <f>SUMIFS('Diags Raw Data'!$AB$6:$AB$4691,'Diags Raw Data'!$D$6:$D$4691,$A35,'Diags Raw Data'!$M$6:$M$4691,"Legacy")</f>
        <v>0</v>
      </c>
      <c r="R35" s="202">
        <f>SUMIFS('Diags Raw Data'!$AC$6:$AC$4691,'Diags Raw Data'!$D$6:$D$4691,$A35,'Diags Raw Data'!$M$6:$M$4691,"Legacy")</f>
        <v>0</v>
      </c>
      <c r="S35" s="204">
        <f>SUMIFS('Diags Raw Data'!$AD$6:$AD$4691,'Diags Raw Data'!$D$6:$D$4691,$A35,'Diags Raw Data'!$M$6:$M$4691,"Legacy")</f>
        <v>0</v>
      </c>
      <c r="T35" s="203" t="str">
        <f t="shared" si="19"/>
        <v>---</v>
      </c>
      <c r="U35" s="228" t="str">
        <f t="shared" si="20"/>
        <v>---</v>
      </c>
      <c r="V35" s="230" t="str">
        <f t="shared" si="21"/>
        <v>---</v>
      </c>
    </row>
    <row r="36" spans="1:22">
      <c r="A36" s="333"/>
      <c r="B36" s="251">
        <f>SUMIFS('Diags Raw Data'!$L$6:$L$4691,'Diags Raw Data'!$D$6:$D$4691,$A36,'Diags Raw Data'!$M$6:$M$4691,"Legacy")</f>
        <v>0</v>
      </c>
      <c r="C36" s="241">
        <f>SUMIFS('Diags Raw Data'!$R$6:$R$4691,'Diags Raw Data'!$D$6:$D$4691,$A36,'Diags Raw Data'!$M$6:$M$4691,"Legacy")</f>
        <v>0</v>
      </c>
      <c r="D36" s="241">
        <f>SUMIFS('Diags Raw Data'!$K$6:$K$4691,'Diags Raw Data'!$D$6:$D$4691,$A36,'Diags Raw Data'!$M$6:$M$4691,"Legacy")</f>
        <v>0</v>
      </c>
      <c r="E36" s="241">
        <f>SUMIFS('Diags Raw Data'!$O$6:$O$4691,'Diags Raw Data'!$D$6:$D$4691,$A36,'Diags Raw Data'!$M$6:$M$4691,"Legacy")</f>
        <v>0</v>
      </c>
      <c r="F36" s="247" t="str">
        <f t="shared" si="15"/>
        <v>---</v>
      </c>
      <c r="G36" s="229">
        <f>SUMIFS('Diags Raw Data'!$S$6:$S$4691,'Diags Raw Data'!$D$6:$D$4691,$A36,'Diags Raw Data'!$M$6:$M$4691,"Legacy")</f>
        <v>0</v>
      </c>
      <c r="H36" s="225">
        <f>SUMIFS('Diags Raw Data'!$T$6:$T$4691,'Diags Raw Data'!$D$6:$D$4691,$A36,'Diags Raw Data'!$M$6:$M$4691,"Legacy")</f>
        <v>0</v>
      </c>
      <c r="I36" s="226">
        <f>SUMIFS('Diags Raw Data'!$U$6:$U$4691,'Diags Raw Data'!$D$6:$D$4691,$A36,'Diags Raw Data'!$M$6:$M$4691,"Legacy")</f>
        <v>0</v>
      </c>
      <c r="J36" s="225">
        <f>SUMIFS('Diags Raw Data'!$V$6:$V$4691,'Diags Raw Data'!$D$6:$D$4691,$A36,'Diags Raw Data'!$M$6:$M$4691,"Legacy")</f>
        <v>0</v>
      </c>
      <c r="K36" s="226">
        <f>SUMIFS('Diags Raw Data'!$W$6:$W$4691,'Diags Raw Data'!$D$6:$D$4691,$A36,'Diags Raw Data'!$M$6:$M$4691,"Legacy")</f>
        <v>0</v>
      </c>
      <c r="L36" s="242" t="str">
        <f t="shared" si="16"/>
        <v>---</v>
      </c>
      <c r="M36" s="227" t="str">
        <f t="shared" si="17"/>
        <v>---</v>
      </c>
      <c r="N36" s="236" t="str">
        <f t="shared" si="18"/>
        <v>---</v>
      </c>
      <c r="O36" s="212">
        <f>SUMIFS('Diags Raw Data'!$Z$6:$Z$4691,'Diags Raw Data'!$D$6:$D$4691,$A36,'Diags Raw Data'!$M$6:$M$4691,"Legacy")</f>
        <v>0</v>
      </c>
      <c r="P36" s="202">
        <f>SUMIFS('Diags Raw Data'!$AA$6:$AA$4691,'Diags Raw Data'!$D$6:$D$4691,$A36,'Diags Raw Data'!$M$6:$M$4691,"Legacy")</f>
        <v>0</v>
      </c>
      <c r="Q36" s="204">
        <f>SUMIFS('Diags Raw Data'!$AB$6:$AB$4691,'Diags Raw Data'!$D$6:$D$4691,$A36,'Diags Raw Data'!$M$6:$M$4691,"Legacy")</f>
        <v>0</v>
      </c>
      <c r="R36" s="202">
        <f>SUMIFS('Diags Raw Data'!$AC$6:$AC$4691,'Diags Raw Data'!$D$6:$D$4691,$A36,'Diags Raw Data'!$M$6:$M$4691,"Legacy")</f>
        <v>0</v>
      </c>
      <c r="S36" s="204">
        <f>SUMIFS('Diags Raw Data'!$AD$6:$AD$4691,'Diags Raw Data'!$D$6:$D$4691,$A36,'Diags Raw Data'!$M$6:$M$4691,"Legacy")</f>
        <v>0</v>
      </c>
      <c r="T36" s="203" t="str">
        <f t="shared" si="19"/>
        <v>---</v>
      </c>
      <c r="U36" s="228" t="str">
        <f t="shared" si="20"/>
        <v>---</v>
      </c>
      <c r="V36" s="230" t="str">
        <f t="shared" si="21"/>
        <v>---</v>
      </c>
    </row>
    <row r="37" spans="1:22">
      <c r="A37" s="333"/>
      <c r="B37" s="251">
        <f>SUMIFS('Diags Raw Data'!$L$6:$L$4691,'Diags Raw Data'!$D$6:$D$4691,$A37,'Diags Raw Data'!$M$6:$M$4691,"Legacy")</f>
        <v>0</v>
      </c>
      <c r="C37" s="241">
        <f>SUMIFS('Diags Raw Data'!$R$6:$R$4691,'Diags Raw Data'!$D$6:$D$4691,$A37,'Diags Raw Data'!$M$6:$M$4691,"Legacy")</f>
        <v>0</v>
      </c>
      <c r="D37" s="241">
        <f>SUMIFS('Diags Raw Data'!$K$6:$K$4691,'Diags Raw Data'!$D$6:$D$4691,$A37,'Diags Raw Data'!$M$6:$M$4691,"Legacy")</f>
        <v>0</v>
      </c>
      <c r="E37" s="241">
        <f>SUMIFS('Diags Raw Data'!$O$6:$O$4691,'Diags Raw Data'!$D$6:$D$4691,$A37,'Diags Raw Data'!$M$6:$M$4691,"Legacy")</f>
        <v>0</v>
      </c>
      <c r="F37" s="247" t="str">
        <f t="shared" si="15"/>
        <v>---</v>
      </c>
      <c r="G37" s="229">
        <f>SUMIFS('Diags Raw Data'!$S$6:$S$4691,'Diags Raw Data'!$D$6:$D$4691,$A37,'Diags Raw Data'!$M$6:$M$4691,"Legacy")</f>
        <v>0</v>
      </c>
      <c r="H37" s="225">
        <f>SUMIFS('Diags Raw Data'!$T$6:$T$4691,'Diags Raw Data'!$D$6:$D$4691,$A37,'Diags Raw Data'!$M$6:$M$4691,"Legacy")</f>
        <v>0</v>
      </c>
      <c r="I37" s="226">
        <f>SUMIFS('Diags Raw Data'!$U$6:$U$4691,'Diags Raw Data'!$D$6:$D$4691,$A37,'Diags Raw Data'!$M$6:$M$4691,"Legacy")</f>
        <v>0</v>
      </c>
      <c r="J37" s="225">
        <f>SUMIFS('Diags Raw Data'!$V$6:$V$4691,'Diags Raw Data'!$D$6:$D$4691,$A37,'Diags Raw Data'!$M$6:$M$4691,"Legacy")</f>
        <v>0</v>
      </c>
      <c r="K37" s="226">
        <f>SUMIFS('Diags Raw Data'!$W$6:$W$4691,'Diags Raw Data'!$D$6:$D$4691,$A37,'Diags Raw Data'!$M$6:$M$4691,"Legacy")</f>
        <v>0</v>
      </c>
      <c r="L37" s="242" t="str">
        <f t="shared" si="16"/>
        <v>---</v>
      </c>
      <c r="M37" s="227" t="str">
        <f t="shared" si="17"/>
        <v>---</v>
      </c>
      <c r="N37" s="236" t="str">
        <f t="shared" si="18"/>
        <v>---</v>
      </c>
      <c r="O37" s="212">
        <f>SUMIFS('Diags Raw Data'!$Z$6:$Z$4691,'Diags Raw Data'!$D$6:$D$4691,$A37,'Diags Raw Data'!$M$6:$M$4691,"Legacy")</f>
        <v>0</v>
      </c>
      <c r="P37" s="202">
        <f>SUMIFS('Diags Raw Data'!$AA$6:$AA$4691,'Diags Raw Data'!$D$6:$D$4691,$A37,'Diags Raw Data'!$M$6:$M$4691,"Legacy")</f>
        <v>0</v>
      </c>
      <c r="Q37" s="204">
        <f>SUMIFS('Diags Raw Data'!$AB$6:$AB$4691,'Diags Raw Data'!$D$6:$D$4691,$A37,'Diags Raw Data'!$M$6:$M$4691,"Legacy")</f>
        <v>0</v>
      </c>
      <c r="R37" s="202">
        <f>SUMIFS('Diags Raw Data'!$AC$6:$AC$4691,'Diags Raw Data'!$D$6:$D$4691,$A37,'Diags Raw Data'!$M$6:$M$4691,"Legacy")</f>
        <v>0</v>
      </c>
      <c r="S37" s="204">
        <f>SUMIFS('Diags Raw Data'!$AD$6:$AD$4691,'Diags Raw Data'!$D$6:$D$4691,$A37,'Diags Raw Data'!$M$6:$M$4691,"Legacy")</f>
        <v>0</v>
      </c>
      <c r="T37" s="203" t="str">
        <f t="shared" si="19"/>
        <v>---</v>
      </c>
      <c r="U37" s="228" t="str">
        <f t="shared" si="20"/>
        <v>---</v>
      </c>
      <c r="V37" s="230" t="str">
        <f t="shared" si="21"/>
        <v>---</v>
      </c>
    </row>
    <row r="38" spans="1:22">
      <c r="A38" s="333"/>
      <c r="B38" s="251">
        <f>SUMIFS('Diags Raw Data'!$L$6:$L$4691,'Diags Raw Data'!$D$6:$D$4691,$A38,'Diags Raw Data'!$M$6:$M$4691,"Legacy")</f>
        <v>0</v>
      </c>
      <c r="C38" s="241">
        <f>SUMIFS('Diags Raw Data'!$R$6:$R$4691,'Diags Raw Data'!$D$6:$D$4691,$A38,'Diags Raw Data'!$M$6:$M$4691,"Legacy")</f>
        <v>0</v>
      </c>
      <c r="D38" s="241">
        <f>SUMIFS('Diags Raw Data'!$K$6:$K$4691,'Diags Raw Data'!$D$6:$D$4691,$A38,'Diags Raw Data'!$M$6:$M$4691,"Legacy")</f>
        <v>0</v>
      </c>
      <c r="E38" s="241">
        <f>SUMIFS('Diags Raw Data'!$O$6:$O$4691,'Diags Raw Data'!$D$6:$D$4691,$A38,'Diags Raw Data'!$M$6:$M$4691,"Legacy")</f>
        <v>0</v>
      </c>
      <c r="F38" s="247" t="str">
        <f t="shared" si="15"/>
        <v>---</v>
      </c>
      <c r="G38" s="229">
        <f>SUMIFS('Diags Raw Data'!$S$6:$S$4691,'Diags Raw Data'!$D$6:$D$4691,$A38,'Diags Raw Data'!$M$6:$M$4691,"Legacy")</f>
        <v>0</v>
      </c>
      <c r="H38" s="225">
        <f>SUMIFS('Diags Raw Data'!$T$6:$T$4691,'Diags Raw Data'!$D$6:$D$4691,$A38,'Diags Raw Data'!$M$6:$M$4691,"Legacy")</f>
        <v>0</v>
      </c>
      <c r="I38" s="226">
        <f>SUMIFS('Diags Raw Data'!$U$6:$U$4691,'Diags Raw Data'!$D$6:$D$4691,$A38,'Diags Raw Data'!$M$6:$M$4691,"Legacy")</f>
        <v>0</v>
      </c>
      <c r="J38" s="225">
        <f>SUMIFS('Diags Raw Data'!$V$6:$V$4691,'Diags Raw Data'!$D$6:$D$4691,$A38,'Diags Raw Data'!$M$6:$M$4691,"Legacy")</f>
        <v>0</v>
      </c>
      <c r="K38" s="226">
        <f>SUMIFS('Diags Raw Data'!$W$6:$W$4691,'Diags Raw Data'!$D$6:$D$4691,$A38,'Diags Raw Data'!$M$6:$M$4691,"Legacy")</f>
        <v>0</v>
      </c>
      <c r="L38" s="242" t="str">
        <f t="shared" si="16"/>
        <v>---</v>
      </c>
      <c r="M38" s="227" t="str">
        <f t="shared" si="17"/>
        <v>---</v>
      </c>
      <c r="N38" s="236" t="str">
        <f t="shared" si="18"/>
        <v>---</v>
      </c>
      <c r="O38" s="212">
        <f>SUMIFS('Diags Raw Data'!$Z$6:$Z$4691,'Diags Raw Data'!$D$6:$D$4691,$A38,'Diags Raw Data'!$M$6:$M$4691,"Legacy")</f>
        <v>0</v>
      </c>
      <c r="P38" s="202">
        <f>SUMIFS('Diags Raw Data'!$AA$6:$AA$4691,'Diags Raw Data'!$D$6:$D$4691,$A38,'Diags Raw Data'!$M$6:$M$4691,"Legacy")</f>
        <v>0</v>
      </c>
      <c r="Q38" s="204">
        <f>SUMIFS('Diags Raw Data'!$AB$6:$AB$4691,'Diags Raw Data'!$D$6:$D$4691,$A38,'Diags Raw Data'!$M$6:$M$4691,"Legacy")</f>
        <v>0</v>
      </c>
      <c r="R38" s="202">
        <f>SUMIFS('Diags Raw Data'!$AC$6:$AC$4691,'Diags Raw Data'!$D$6:$D$4691,$A38,'Diags Raw Data'!$M$6:$M$4691,"Legacy")</f>
        <v>0</v>
      </c>
      <c r="S38" s="204">
        <f>SUMIFS('Diags Raw Data'!$AD$6:$AD$4691,'Diags Raw Data'!$D$6:$D$4691,$A38,'Diags Raw Data'!$M$6:$M$4691,"Legacy")</f>
        <v>0</v>
      </c>
      <c r="T38" s="203" t="str">
        <f t="shared" si="19"/>
        <v>---</v>
      </c>
      <c r="U38" s="228" t="str">
        <f t="shared" si="20"/>
        <v>---</v>
      </c>
      <c r="V38" s="230" t="str">
        <f t="shared" si="21"/>
        <v>---</v>
      </c>
    </row>
    <row r="39" spans="1:22">
      <c r="A39" s="333"/>
      <c r="B39" s="251">
        <f>SUMIFS('Diags Raw Data'!$L$6:$L$4691,'Diags Raw Data'!$D$6:$D$4691,$A39,'Diags Raw Data'!$M$6:$M$4691,"Legacy")</f>
        <v>0</v>
      </c>
      <c r="C39" s="241">
        <f>SUMIFS('Diags Raw Data'!$R$6:$R$4691,'Diags Raw Data'!$D$6:$D$4691,$A39,'Diags Raw Data'!$M$6:$M$4691,"Legacy")</f>
        <v>0</v>
      </c>
      <c r="D39" s="241">
        <f>SUMIFS('Diags Raw Data'!$K$6:$K$4691,'Diags Raw Data'!$D$6:$D$4691,$A39,'Diags Raw Data'!$M$6:$M$4691,"Legacy")</f>
        <v>0</v>
      </c>
      <c r="E39" s="241">
        <f>SUMIFS('Diags Raw Data'!$O$6:$O$4691,'Diags Raw Data'!$D$6:$D$4691,$A39,'Diags Raw Data'!$M$6:$M$4691,"Legacy")</f>
        <v>0</v>
      </c>
      <c r="F39" s="247" t="str">
        <f t="shared" si="15"/>
        <v>---</v>
      </c>
      <c r="G39" s="229">
        <f>SUMIFS('Diags Raw Data'!$S$6:$S$4691,'Diags Raw Data'!$D$6:$D$4691,$A39,'Diags Raw Data'!$M$6:$M$4691,"Legacy")</f>
        <v>0</v>
      </c>
      <c r="H39" s="225">
        <f>SUMIFS('Diags Raw Data'!$T$6:$T$4691,'Diags Raw Data'!$D$6:$D$4691,$A39,'Diags Raw Data'!$M$6:$M$4691,"Legacy")</f>
        <v>0</v>
      </c>
      <c r="I39" s="226">
        <f>SUMIFS('Diags Raw Data'!$U$6:$U$4691,'Diags Raw Data'!$D$6:$D$4691,$A39,'Diags Raw Data'!$M$6:$M$4691,"Legacy")</f>
        <v>0</v>
      </c>
      <c r="J39" s="225">
        <f>SUMIFS('Diags Raw Data'!$V$6:$V$4691,'Diags Raw Data'!$D$6:$D$4691,$A39,'Diags Raw Data'!$M$6:$M$4691,"Legacy")</f>
        <v>0</v>
      </c>
      <c r="K39" s="226">
        <f>SUMIFS('Diags Raw Data'!$W$6:$W$4691,'Diags Raw Data'!$D$6:$D$4691,$A39,'Diags Raw Data'!$M$6:$M$4691,"Legacy")</f>
        <v>0</v>
      </c>
      <c r="L39" s="242" t="str">
        <f t="shared" si="16"/>
        <v>---</v>
      </c>
      <c r="M39" s="227" t="str">
        <f t="shared" si="17"/>
        <v>---</v>
      </c>
      <c r="N39" s="236" t="str">
        <f t="shared" si="18"/>
        <v>---</v>
      </c>
      <c r="O39" s="212">
        <f>SUMIFS('Diags Raw Data'!$Z$6:$Z$4691,'Diags Raw Data'!$D$6:$D$4691,$A39,'Diags Raw Data'!$M$6:$M$4691,"Legacy")</f>
        <v>0</v>
      </c>
      <c r="P39" s="202">
        <f>SUMIFS('Diags Raw Data'!$AA$6:$AA$4691,'Diags Raw Data'!$D$6:$D$4691,$A39,'Diags Raw Data'!$M$6:$M$4691,"Legacy")</f>
        <v>0</v>
      </c>
      <c r="Q39" s="204">
        <f>SUMIFS('Diags Raw Data'!$AB$6:$AB$4691,'Diags Raw Data'!$D$6:$D$4691,$A39,'Diags Raw Data'!$M$6:$M$4691,"Legacy")</f>
        <v>0</v>
      </c>
      <c r="R39" s="202">
        <f>SUMIFS('Diags Raw Data'!$AC$6:$AC$4691,'Diags Raw Data'!$D$6:$D$4691,$A39,'Diags Raw Data'!$M$6:$M$4691,"Legacy")</f>
        <v>0</v>
      </c>
      <c r="S39" s="204">
        <f>SUMIFS('Diags Raw Data'!$AD$6:$AD$4691,'Diags Raw Data'!$D$6:$D$4691,$A39,'Diags Raw Data'!$M$6:$M$4691,"Legacy")</f>
        <v>0</v>
      </c>
      <c r="T39" s="203" t="str">
        <f t="shared" si="19"/>
        <v>---</v>
      </c>
      <c r="U39" s="228" t="str">
        <f t="shared" si="20"/>
        <v>---</v>
      </c>
      <c r="V39" s="230" t="str">
        <f t="shared" si="21"/>
        <v>---</v>
      </c>
    </row>
    <row r="40" spans="1:22">
      <c r="A40" s="333"/>
      <c r="B40" s="251">
        <f>SUMIFS('Diags Raw Data'!$L$6:$L$4691,'Diags Raw Data'!$D$6:$D$4691,$A40,'Diags Raw Data'!$M$6:$M$4691,"Legacy")</f>
        <v>0</v>
      </c>
      <c r="C40" s="241">
        <f>SUMIFS('Diags Raw Data'!$R$6:$R$4691,'Diags Raw Data'!$D$6:$D$4691,$A40,'Diags Raw Data'!$M$6:$M$4691,"Legacy")</f>
        <v>0</v>
      </c>
      <c r="D40" s="241">
        <f>SUMIFS('Diags Raw Data'!$K$6:$K$4691,'Diags Raw Data'!$D$6:$D$4691,$A40,'Diags Raw Data'!$M$6:$M$4691,"Legacy")</f>
        <v>0</v>
      </c>
      <c r="E40" s="241">
        <f>SUMIFS('Diags Raw Data'!$O$6:$O$4691,'Diags Raw Data'!$D$6:$D$4691,$A40,'Diags Raw Data'!$M$6:$M$4691,"Legacy")</f>
        <v>0</v>
      </c>
      <c r="F40" s="247" t="str">
        <f t="shared" si="15"/>
        <v>---</v>
      </c>
      <c r="G40" s="229">
        <f>SUMIFS('Diags Raw Data'!$S$6:$S$4691,'Diags Raw Data'!$D$6:$D$4691,$A40,'Diags Raw Data'!$M$6:$M$4691,"Legacy")</f>
        <v>0</v>
      </c>
      <c r="H40" s="225">
        <f>SUMIFS('Diags Raw Data'!$T$6:$T$4691,'Diags Raw Data'!$D$6:$D$4691,$A40,'Diags Raw Data'!$M$6:$M$4691,"Legacy")</f>
        <v>0</v>
      </c>
      <c r="I40" s="226">
        <f>SUMIFS('Diags Raw Data'!$U$6:$U$4691,'Diags Raw Data'!$D$6:$D$4691,$A40,'Diags Raw Data'!$M$6:$M$4691,"Legacy")</f>
        <v>0</v>
      </c>
      <c r="J40" s="225">
        <f>SUMIFS('Diags Raw Data'!$V$6:$V$4691,'Diags Raw Data'!$D$6:$D$4691,$A40,'Diags Raw Data'!$M$6:$M$4691,"Legacy")</f>
        <v>0</v>
      </c>
      <c r="K40" s="226">
        <f>SUMIFS('Diags Raw Data'!$W$6:$W$4691,'Diags Raw Data'!$D$6:$D$4691,$A40,'Diags Raw Data'!$M$6:$M$4691,"Legacy")</f>
        <v>0</v>
      </c>
      <c r="L40" s="242" t="str">
        <f t="shared" si="16"/>
        <v>---</v>
      </c>
      <c r="M40" s="227" t="str">
        <f t="shared" si="17"/>
        <v>---</v>
      </c>
      <c r="N40" s="236" t="str">
        <f t="shared" si="18"/>
        <v>---</v>
      </c>
      <c r="O40" s="212">
        <f>SUMIFS('Diags Raw Data'!$Z$6:$Z$4691,'Diags Raw Data'!$D$6:$D$4691,$A40,'Diags Raw Data'!$M$6:$M$4691,"Legacy")</f>
        <v>0</v>
      </c>
      <c r="P40" s="202">
        <f>SUMIFS('Diags Raw Data'!$AA$6:$AA$4691,'Diags Raw Data'!$D$6:$D$4691,$A40,'Diags Raw Data'!$M$6:$M$4691,"Legacy")</f>
        <v>0</v>
      </c>
      <c r="Q40" s="204">
        <f>SUMIFS('Diags Raw Data'!$AB$6:$AB$4691,'Diags Raw Data'!$D$6:$D$4691,$A40,'Diags Raw Data'!$M$6:$M$4691,"Legacy")</f>
        <v>0</v>
      </c>
      <c r="R40" s="202">
        <f>SUMIFS('Diags Raw Data'!$AC$6:$AC$4691,'Diags Raw Data'!$D$6:$D$4691,$A40,'Diags Raw Data'!$M$6:$M$4691,"Legacy")</f>
        <v>0</v>
      </c>
      <c r="S40" s="204">
        <f>SUMIFS('Diags Raw Data'!$AD$6:$AD$4691,'Diags Raw Data'!$D$6:$D$4691,$A40,'Diags Raw Data'!$M$6:$M$4691,"Legacy")</f>
        <v>0</v>
      </c>
      <c r="T40" s="203" t="str">
        <f t="shared" si="19"/>
        <v>---</v>
      </c>
      <c r="U40" s="228" t="str">
        <f t="shared" si="20"/>
        <v>---</v>
      </c>
      <c r="V40" s="230" t="str">
        <f t="shared" si="21"/>
        <v>---</v>
      </c>
    </row>
    <row r="41" spans="1:22" ht="15" thickBot="1">
      <c r="A41" s="334"/>
      <c r="B41" s="252">
        <f>SUMIFS('Diags Raw Data'!$L$6:$L$4691,'Diags Raw Data'!$D$6:$D$4691,$A41,'Diags Raw Data'!$M$6:$M$4691,"Legacy")</f>
        <v>0</v>
      </c>
      <c r="C41" s="243">
        <f>SUMIFS('Diags Raw Data'!$R$6:$R$4691,'Diags Raw Data'!$D$6:$D$4691,$A41,'Diags Raw Data'!$M$6:$M$4691,"Legacy")</f>
        <v>0</v>
      </c>
      <c r="D41" s="243">
        <f>SUMIFS('Diags Raw Data'!$K$6:$K$4691,'Diags Raw Data'!$D$6:$D$4691,$A41,'Diags Raw Data'!$M$6:$M$4691,"Legacy")</f>
        <v>0</v>
      </c>
      <c r="E41" s="243">
        <f>SUMIFS('Diags Raw Data'!$O$6:$O$4691,'Diags Raw Data'!$D$6:$D$4691,$A41,'Diags Raw Data'!$M$6:$M$4691,"Legacy")</f>
        <v>0</v>
      </c>
      <c r="F41" s="248" t="str">
        <f t="shared" si="15"/>
        <v>---</v>
      </c>
      <c r="G41" s="231">
        <f>SUMIFS('Diags Raw Data'!$S$6:$S$4691,'Diags Raw Data'!$D$6:$D$4691,$A41,'Diags Raw Data'!$M$6:$M$4691,"Legacy")</f>
        <v>0</v>
      </c>
      <c r="H41" s="232">
        <f>SUMIFS('Diags Raw Data'!$T$6:$T$4691,'Diags Raw Data'!$D$6:$D$4691,$A41,'Diags Raw Data'!$M$6:$M$4691,"Legacy")</f>
        <v>0</v>
      </c>
      <c r="I41" s="233">
        <f>SUMIFS('Diags Raw Data'!$U$6:$U$4691,'Diags Raw Data'!$D$6:$D$4691,$A41,'Diags Raw Data'!$M$6:$M$4691,"Legacy")</f>
        <v>0</v>
      </c>
      <c r="J41" s="232">
        <f>SUMIFS('Diags Raw Data'!$V$6:$V$4691,'Diags Raw Data'!$D$6:$D$4691,$A41,'Diags Raw Data'!$M$6:$M$4691,"Legacy")</f>
        <v>0</v>
      </c>
      <c r="K41" s="233">
        <f>SUMIFS('Diags Raw Data'!$W$6:$W$4691,'Diags Raw Data'!$D$6:$D$4691,$A41,'Diags Raw Data'!$M$6:$M$4691,"Legacy")</f>
        <v>0</v>
      </c>
      <c r="L41" s="244" t="str">
        <f t="shared" si="16"/>
        <v>---</v>
      </c>
      <c r="M41" s="234" t="str">
        <f t="shared" si="17"/>
        <v>---</v>
      </c>
      <c r="N41" s="237" t="str">
        <f t="shared" si="18"/>
        <v>---</v>
      </c>
      <c r="O41" s="213">
        <f>SUMIFS('Diags Raw Data'!$Z$6:$Z$4691,'Diags Raw Data'!$D$6:$D$4691,$A41,'Diags Raw Data'!$M$6:$M$4691,"Legacy")</f>
        <v>0</v>
      </c>
      <c r="P41" s="205">
        <f>SUMIFS('Diags Raw Data'!$AA$6:$AA$4691,'Diags Raw Data'!$D$6:$D$4691,$A41,'Diags Raw Data'!$M$6:$M$4691,"Legacy")</f>
        <v>0</v>
      </c>
      <c r="Q41" s="207">
        <f>SUMIFS('Diags Raw Data'!$AB$6:$AB$4691,'Diags Raw Data'!$D$6:$D$4691,$A41,'Diags Raw Data'!$M$6:$M$4691,"Legacy")</f>
        <v>0</v>
      </c>
      <c r="R41" s="205">
        <f>SUMIFS('Diags Raw Data'!$AC$6:$AC$4691,'Diags Raw Data'!$D$6:$D$4691,$A41,'Diags Raw Data'!$M$6:$M$4691,"Legacy")</f>
        <v>0</v>
      </c>
      <c r="S41" s="207">
        <f>SUMIFS('Diags Raw Data'!$AD$6:$AD$4691,'Diags Raw Data'!$D$6:$D$4691,$A41,'Diags Raw Data'!$M$6:$M$4691,"Legacy")</f>
        <v>0</v>
      </c>
      <c r="T41" s="206" t="str">
        <f t="shared" si="19"/>
        <v>---</v>
      </c>
      <c r="U41" s="238" t="str">
        <f t="shared" si="20"/>
        <v>---</v>
      </c>
      <c r="V41" s="235" t="str">
        <f t="shared" si="21"/>
        <v>---</v>
      </c>
    </row>
    <row r="42" spans="1:22" ht="15.95" thickBot="1">
      <c r="A42" s="270" t="s">
        <v>537</v>
      </c>
      <c r="B42" s="255">
        <f>SUM(B32:B41)</f>
        <v>2</v>
      </c>
      <c r="C42" s="256">
        <f>SUM(C32:C41)</f>
        <v>2</v>
      </c>
      <c r="D42" s="256">
        <f>SUM(D32:D41)</f>
        <v>64</v>
      </c>
      <c r="E42" s="256">
        <f>SUM(E32:E41)</f>
        <v>2</v>
      </c>
      <c r="F42" s="257" cm="1">
        <f t="array" ref="F42">SUMPRODUCT(--(ISNUMBER(SEARCH("Legacy",'Diags Raw Data'!$M$6:$M$4691))),'Diags Raw Data'!$K$6:$K$4691,'Diags Raw Data'!$P$6:$P$4691)/D42</f>
        <v>19.125</v>
      </c>
      <c r="G42" s="258">
        <f>SUM(G32:G41)</f>
        <v>2</v>
      </c>
      <c r="H42" s="259">
        <f>SUM(H32:H41)</f>
        <v>2</v>
      </c>
      <c r="I42" s="260">
        <f>SUM(I32:I41)</f>
        <v>0</v>
      </c>
      <c r="J42" s="259">
        <f>SUM(J32:J41)</f>
        <v>0</v>
      </c>
      <c r="K42" s="260">
        <f>SUM(K32:K41)</f>
        <v>0</v>
      </c>
      <c r="L42" s="261">
        <f>IF(NOT($C42=0), G42/$C42, "---")</f>
        <v>1</v>
      </c>
      <c r="M42" s="262">
        <f t="shared" si="17"/>
        <v>1</v>
      </c>
      <c r="N42" s="263">
        <f t="shared" si="18"/>
        <v>1</v>
      </c>
      <c r="O42" s="264">
        <f>SUM(O32:O41)</f>
        <v>0</v>
      </c>
      <c r="P42" s="265">
        <f>SUM(P32:P41)</f>
        <v>0</v>
      </c>
      <c r="Q42" s="266">
        <f>SUM(Q32:Q41)</f>
        <v>0</v>
      </c>
      <c r="R42" s="265">
        <f>SUM(R32:R41)</f>
        <v>0</v>
      </c>
      <c r="S42" s="266">
        <f>SUM(S32:S41)</f>
        <v>0</v>
      </c>
      <c r="T42" s="267">
        <f>IF(NOT($B42=0), O42/$B42, "---")</f>
        <v>0</v>
      </c>
      <c r="U42" s="268" t="str">
        <f t="shared" si="20"/>
        <v>---</v>
      </c>
      <c r="V42" s="269">
        <f>IF(NOT($B42=0), (P42+Q42)/$B42, "---")</f>
        <v>0</v>
      </c>
    </row>
    <row r="43" spans="1:22">
      <c r="A43" s="245"/>
      <c r="B43" s="245"/>
      <c r="C43" s="245"/>
      <c r="D43" s="245"/>
      <c r="E43" s="245"/>
      <c r="F43" s="245"/>
      <c r="G43" s="245"/>
      <c r="H43" s="245"/>
      <c r="I43" s="245"/>
      <c r="J43" s="245"/>
      <c r="K43" s="245"/>
      <c r="L43" s="245"/>
      <c r="M43" s="245"/>
      <c r="N43" s="245"/>
      <c r="O43" s="245"/>
      <c r="P43" s="245"/>
      <c r="Q43" s="245"/>
      <c r="R43" s="245"/>
      <c r="S43" s="245"/>
      <c r="T43" s="245"/>
      <c r="U43" s="245"/>
      <c r="V43" s="245"/>
    </row>
    <row r="45" spans="1:22">
      <c r="F45" s="130"/>
    </row>
    <row r="48" spans="1:22">
      <c r="F48" s="411"/>
    </row>
    <row r="49" spans="6:6">
      <c r="F49" s="410"/>
    </row>
    <row r="50" spans="6:6">
      <c r="F50" s="410"/>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97"/>
  <sheetViews>
    <sheetView workbookViewId="0" xr3:uid="{51F8DEE0-4D01-5F28-A812-FC0BD7CAC4A5}">
      <pane ySplit="2" topLeftCell="A32" activePane="bottomLeft" state="frozen"/>
      <selection pane="bottomLeft" activeCell="B52" sqref="B52"/>
    </sheetView>
  </sheetViews>
  <sheetFormatPr defaultRowHeight="14.45"/>
  <cols>
    <col min="1" max="1" width="16.85546875" bestFit="1" customWidth="1"/>
    <col min="2" max="2" width="68.5703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67" t="s">
        <v>538</v>
      </c>
      <c r="B1" s="668"/>
      <c r="C1" s="668"/>
      <c r="D1" s="668"/>
      <c r="E1" s="668"/>
      <c r="F1" s="668"/>
      <c r="G1" s="668"/>
      <c r="H1" s="668"/>
      <c r="I1" s="669"/>
    </row>
    <row r="2" spans="1:9" s="79" customFormat="1" ht="15" thickBot="1">
      <c r="A2" s="564" t="s">
        <v>77</v>
      </c>
      <c r="B2" s="406" t="s">
        <v>81</v>
      </c>
      <c r="C2" s="407" t="s">
        <v>96</v>
      </c>
      <c r="D2" s="407" t="s">
        <v>202</v>
      </c>
      <c r="E2" s="408" t="s">
        <v>1</v>
      </c>
    </row>
    <row r="3" spans="1:9" ht="15" thickBot="1">
      <c r="A3" s="561" t="s">
        <v>539</v>
      </c>
      <c r="B3" s="560" t="s">
        <v>540</v>
      </c>
      <c r="C3" s="563" t="s">
        <v>259</v>
      </c>
      <c r="D3" s="529" t="s">
        <v>45</v>
      </c>
      <c r="E3" s="531" t="s">
        <v>33</v>
      </c>
      <c r="G3" s="288" t="s">
        <v>77</v>
      </c>
      <c r="H3" s="289" t="s">
        <v>541</v>
      </c>
      <c r="I3" s="525">
        <f>COUNTA(A3:A3996)</f>
        <v>50</v>
      </c>
    </row>
    <row r="4" spans="1:9">
      <c r="A4" s="561" t="s">
        <v>456</v>
      </c>
      <c r="B4" s="561" t="s">
        <v>457</v>
      </c>
      <c r="C4" s="562" t="s">
        <v>259</v>
      </c>
      <c r="D4" s="529" t="s">
        <v>34</v>
      </c>
      <c r="E4" s="531" t="s">
        <v>39</v>
      </c>
      <c r="G4" s="659" t="s">
        <v>96</v>
      </c>
      <c r="H4" s="290" t="s">
        <v>542</v>
      </c>
      <c r="I4" s="526">
        <f>COUNTIFS($C3:$C3996,"P1")</f>
        <v>20</v>
      </c>
    </row>
    <row r="5" spans="1:9">
      <c r="A5" s="561" t="s">
        <v>543</v>
      </c>
      <c r="B5" s="561" t="s">
        <v>544</v>
      </c>
      <c r="C5" s="562" t="s">
        <v>280</v>
      </c>
      <c r="D5" s="529" t="s">
        <v>34</v>
      </c>
      <c r="E5" s="531" t="s">
        <v>33</v>
      </c>
      <c r="G5" s="660"/>
      <c r="H5" s="291" t="s">
        <v>545</v>
      </c>
      <c r="I5" s="527">
        <f>COUNTIFS($C3:$C3996,"P2")</f>
        <v>13</v>
      </c>
    </row>
    <row r="6" spans="1:9" ht="15" thickBot="1">
      <c r="A6" s="561" t="s">
        <v>365</v>
      </c>
      <c r="B6" s="561" t="s">
        <v>366</v>
      </c>
      <c r="C6" s="562" t="s">
        <v>259</v>
      </c>
      <c r="D6" s="529" t="s">
        <v>34</v>
      </c>
      <c r="E6" s="531" t="s">
        <v>44</v>
      </c>
      <c r="G6" s="661"/>
      <c r="H6" s="292" t="s">
        <v>546</v>
      </c>
      <c r="I6" s="528">
        <f>COUNTIFS($C3:$C3996,"P3")</f>
        <v>17</v>
      </c>
    </row>
    <row r="7" spans="1:9">
      <c r="A7" s="561" t="s">
        <v>547</v>
      </c>
      <c r="B7" s="561" t="s">
        <v>548</v>
      </c>
      <c r="C7" s="562" t="s">
        <v>280</v>
      </c>
      <c r="D7" s="529" t="s">
        <v>34</v>
      </c>
      <c r="E7" s="531" t="s">
        <v>33</v>
      </c>
      <c r="G7" s="662" t="s">
        <v>202</v>
      </c>
      <c r="H7" s="290" t="s">
        <v>549</v>
      </c>
      <c r="I7" s="526">
        <f>COUNTIFS($D3:$D3996,"Diagnostics")</f>
        <v>44</v>
      </c>
    </row>
    <row r="8" spans="1:9">
      <c r="A8" s="561" t="s">
        <v>550</v>
      </c>
      <c r="B8" s="561" t="s">
        <v>551</v>
      </c>
      <c r="C8" s="562" t="s">
        <v>259</v>
      </c>
      <c r="D8" s="529" t="s">
        <v>34</v>
      </c>
      <c r="E8" s="531" t="s">
        <v>33</v>
      </c>
      <c r="G8" s="663"/>
      <c r="H8" s="291" t="s">
        <v>552</v>
      </c>
      <c r="I8" s="527">
        <f>COUNTIFS($D3:$D3996,"Driver")</f>
        <v>1</v>
      </c>
    </row>
    <row r="9" spans="1:9">
      <c r="A9" s="561" t="s">
        <v>553</v>
      </c>
      <c r="B9" s="561" t="s">
        <v>554</v>
      </c>
      <c r="C9" s="562" t="s">
        <v>280</v>
      </c>
      <c r="D9" s="529" t="s">
        <v>34</v>
      </c>
      <c r="E9" s="531" t="s">
        <v>33</v>
      </c>
      <c r="G9" s="663"/>
      <c r="H9" s="291" t="s">
        <v>555</v>
      </c>
      <c r="I9" s="527">
        <f>COUNTIFS($D3:$D3996,"IPSE")</f>
        <v>5</v>
      </c>
    </row>
    <row r="10" spans="1:9" ht="15" thickBot="1">
      <c r="A10" s="561" t="s">
        <v>340</v>
      </c>
      <c r="B10" s="561" t="s">
        <v>341</v>
      </c>
      <c r="C10" s="562" t="s">
        <v>284</v>
      </c>
      <c r="D10" s="529" t="s">
        <v>34</v>
      </c>
      <c r="E10" s="531" t="s">
        <v>33</v>
      </c>
      <c r="G10" s="664"/>
      <c r="H10" s="292" t="s">
        <v>556</v>
      </c>
      <c r="I10" s="528">
        <f>COUNTIFS($D3:$D3996,"N/A")</f>
        <v>0</v>
      </c>
    </row>
    <row r="11" spans="1:9">
      <c r="A11" s="561" t="s">
        <v>313</v>
      </c>
      <c r="B11" s="561" t="s">
        <v>314</v>
      </c>
      <c r="C11" s="562" t="s">
        <v>280</v>
      </c>
      <c r="D11" s="529" t="s">
        <v>34</v>
      </c>
      <c r="E11" s="531" t="s">
        <v>33</v>
      </c>
      <c r="G11" s="662" t="s">
        <v>1</v>
      </c>
      <c r="H11" s="290" t="s">
        <v>557</v>
      </c>
      <c r="I11" s="526">
        <f>COUNTIFS($E3:$E3996,"Legacy")</f>
        <v>19</v>
      </c>
    </row>
    <row r="12" spans="1:9" ht="15" thickBot="1">
      <c r="A12" s="561" t="s">
        <v>348</v>
      </c>
      <c r="B12" s="561" t="s">
        <v>349</v>
      </c>
      <c r="C12" s="562" t="s">
        <v>284</v>
      </c>
      <c r="D12" s="529" t="s">
        <v>34</v>
      </c>
      <c r="E12" s="531" t="s">
        <v>33</v>
      </c>
      <c r="G12" s="664"/>
      <c r="H12" s="292" t="s">
        <v>558</v>
      </c>
      <c r="I12" s="528">
        <f>COUNTIFS($E3:$E3996,"New")</f>
        <v>9</v>
      </c>
    </row>
    <row r="13" spans="1:9" ht="15" thickBot="1">
      <c r="A13" s="561" t="s">
        <v>352</v>
      </c>
      <c r="B13" s="561" t="s">
        <v>353</v>
      </c>
      <c r="C13" s="562" t="s">
        <v>284</v>
      </c>
      <c r="D13" s="529" t="s">
        <v>34</v>
      </c>
      <c r="E13" s="531" t="s">
        <v>33</v>
      </c>
      <c r="G13" s="409" t="s">
        <v>207</v>
      </c>
      <c r="H13" s="665"/>
      <c r="I13" s="666"/>
    </row>
    <row r="14" spans="1:9">
      <c r="A14" s="561" t="s">
        <v>559</v>
      </c>
      <c r="B14" s="561" t="s">
        <v>560</v>
      </c>
      <c r="C14" s="562" t="s">
        <v>259</v>
      </c>
      <c r="D14" s="529" t="s">
        <v>34</v>
      </c>
      <c r="E14" s="531" t="s">
        <v>33</v>
      </c>
    </row>
    <row r="15" spans="1:9">
      <c r="A15" s="561" t="s">
        <v>336</v>
      </c>
      <c r="B15" s="561" t="s">
        <v>337</v>
      </c>
      <c r="C15" s="562" t="s">
        <v>284</v>
      </c>
      <c r="D15" s="529" t="s">
        <v>34</v>
      </c>
      <c r="E15" s="531" t="s">
        <v>33</v>
      </c>
    </row>
    <row r="16" spans="1:9">
      <c r="A16" s="561" t="s">
        <v>330</v>
      </c>
      <c r="B16" s="561" t="s">
        <v>331</v>
      </c>
      <c r="C16" s="562" t="s">
        <v>280</v>
      </c>
      <c r="D16" s="529" t="s">
        <v>34</v>
      </c>
      <c r="E16" s="531" t="s">
        <v>33</v>
      </c>
    </row>
    <row r="17" spans="1:5">
      <c r="A17" s="561" t="s">
        <v>321</v>
      </c>
      <c r="B17" s="561" t="s">
        <v>322</v>
      </c>
      <c r="C17" s="562" t="s">
        <v>284</v>
      </c>
      <c r="D17" s="529" t="s">
        <v>34</v>
      </c>
      <c r="E17" s="531" t="s">
        <v>33</v>
      </c>
    </row>
    <row r="18" spans="1:5">
      <c r="A18" s="561" t="s">
        <v>344</v>
      </c>
      <c r="B18" s="561" t="s">
        <v>345</v>
      </c>
      <c r="C18" s="562" t="s">
        <v>284</v>
      </c>
      <c r="D18" s="529" t="s">
        <v>34</v>
      </c>
      <c r="E18" s="531" t="s">
        <v>33</v>
      </c>
    </row>
    <row r="19" spans="1:5">
      <c r="A19" s="561" t="s">
        <v>356</v>
      </c>
      <c r="B19" s="561" t="s">
        <v>357</v>
      </c>
      <c r="C19" s="562" t="s">
        <v>284</v>
      </c>
      <c r="D19" s="529" t="s">
        <v>34</v>
      </c>
      <c r="E19" s="531" t="s">
        <v>33</v>
      </c>
    </row>
    <row r="20" spans="1:5">
      <c r="A20" s="561" t="s">
        <v>398</v>
      </c>
      <c r="B20" s="561" t="s">
        <v>399</v>
      </c>
      <c r="C20" s="562" t="s">
        <v>259</v>
      </c>
      <c r="D20" s="529" t="s">
        <v>34</v>
      </c>
      <c r="E20" s="531" t="s">
        <v>39</v>
      </c>
    </row>
    <row r="21" spans="1:5">
      <c r="A21" s="561" t="s">
        <v>402</v>
      </c>
      <c r="B21" s="561" t="s">
        <v>403</v>
      </c>
      <c r="C21" s="562" t="s">
        <v>259</v>
      </c>
      <c r="D21" s="529" t="s">
        <v>34</v>
      </c>
      <c r="E21" s="531" t="s">
        <v>39</v>
      </c>
    </row>
    <row r="22" spans="1:5">
      <c r="A22" s="561" t="s">
        <v>406</v>
      </c>
      <c r="B22" s="561" t="s">
        <v>407</v>
      </c>
      <c r="C22" s="562" t="s">
        <v>259</v>
      </c>
      <c r="D22" s="529" t="s">
        <v>34</v>
      </c>
      <c r="E22" s="531" t="s">
        <v>39</v>
      </c>
    </row>
    <row r="23" spans="1:5">
      <c r="A23" s="561" t="s">
        <v>410</v>
      </c>
      <c r="B23" s="561" t="s">
        <v>411</v>
      </c>
      <c r="C23" s="562" t="s">
        <v>259</v>
      </c>
      <c r="D23" s="529" t="s">
        <v>34</v>
      </c>
      <c r="E23" s="531" t="s">
        <v>39</v>
      </c>
    </row>
    <row r="24" spans="1:5">
      <c r="A24" s="561" t="s">
        <v>414</v>
      </c>
      <c r="B24" s="561" t="s">
        <v>415</v>
      </c>
      <c r="C24" s="562" t="s">
        <v>259</v>
      </c>
      <c r="D24" s="529" t="s">
        <v>34</v>
      </c>
      <c r="E24" s="531" t="s">
        <v>39</v>
      </c>
    </row>
    <row r="25" spans="1:5">
      <c r="A25" s="561" t="s">
        <v>394</v>
      </c>
      <c r="B25" s="561" t="s">
        <v>395</v>
      </c>
      <c r="C25" s="562" t="s">
        <v>259</v>
      </c>
      <c r="D25" s="529" t="s">
        <v>34</v>
      </c>
      <c r="E25" s="531" t="s">
        <v>39</v>
      </c>
    </row>
    <row r="26" spans="1:5">
      <c r="A26" s="561" t="s">
        <v>561</v>
      </c>
      <c r="B26" s="561" t="s">
        <v>562</v>
      </c>
      <c r="C26" s="562" t="s">
        <v>284</v>
      </c>
      <c r="D26" s="529" t="s">
        <v>40</v>
      </c>
      <c r="E26" s="531" t="s">
        <v>39</v>
      </c>
    </row>
    <row r="27" spans="1:5">
      <c r="A27" s="561" t="s">
        <v>386</v>
      </c>
      <c r="B27" s="561" t="s">
        <v>387</v>
      </c>
      <c r="C27" s="562" t="s">
        <v>259</v>
      </c>
      <c r="D27" s="529" t="s">
        <v>34</v>
      </c>
      <c r="E27" s="531" t="s">
        <v>39</v>
      </c>
    </row>
    <row r="28" spans="1:5">
      <c r="A28" s="561" t="s">
        <v>380</v>
      </c>
      <c r="B28" s="561" t="s">
        <v>381</v>
      </c>
      <c r="C28" s="562" t="s">
        <v>259</v>
      </c>
      <c r="D28" s="529" t="s">
        <v>34</v>
      </c>
      <c r="E28" s="531" t="s">
        <v>39</v>
      </c>
    </row>
    <row r="29" spans="1:5">
      <c r="A29" s="561" t="s">
        <v>371</v>
      </c>
      <c r="B29" s="561" t="s">
        <v>372</v>
      </c>
      <c r="C29" s="562" t="s">
        <v>259</v>
      </c>
      <c r="D29" s="529" t="s">
        <v>34</v>
      </c>
      <c r="E29" s="531" t="s">
        <v>39</v>
      </c>
    </row>
    <row r="30" spans="1:5">
      <c r="A30" s="561" t="s">
        <v>390</v>
      </c>
      <c r="B30" s="561" t="s">
        <v>391</v>
      </c>
      <c r="C30" s="562" t="s">
        <v>284</v>
      </c>
      <c r="D30" s="529" t="s">
        <v>34</v>
      </c>
      <c r="E30" s="531" t="s">
        <v>39</v>
      </c>
    </row>
    <row r="31" spans="1:5">
      <c r="A31" s="561" t="s">
        <v>441</v>
      </c>
      <c r="B31" s="561" t="s">
        <v>442</v>
      </c>
      <c r="C31" s="562" t="s">
        <v>284</v>
      </c>
      <c r="D31" s="529" t="s">
        <v>34</v>
      </c>
      <c r="E31" s="531" t="s">
        <v>39</v>
      </c>
    </row>
    <row r="32" spans="1:5">
      <c r="A32" s="561" t="s">
        <v>563</v>
      </c>
      <c r="B32" s="561" t="s">
        <v>564</v>
      </c>
      <c r="C32" s="562" t="s">
        <v>284</v>
      </c>
      <c r="D32" s="529" t="s">
        <v>45</v>
      </c>
      <c r="E32" s="531" t="s">
        <v>33</v>
      </c>
    </row>
    <row r="33" spans="1:5">
      <c r="A33" s="561" t="s">
        <v>565</v>
      </c>
      <c r="B33" s="561" t="s">
        <v>566</v>
      </c>
      <c r="C33" s="562" t="s">
        <v>284</v>
      </c>
      <c r="D33" s="529" t="s">
        <v>45</v>
      </c>
      <c r="E33" s="531" t="s">
        <v>33</v>
      </c>
    </row>
    <row r="34" spans="1:5">
      <c r="A34" s="561" t="s">
        <v>567</v>
      </c>
      <c r="B34" s="561" t="s">
        <v>568</v>
      </c>
      <c r="C34" s="562" t="s">
        <v>284</v>
      </c>
      <c r="D34" s="529" t="s">
        <v>45</v>
      </c>
      <c r="E34" s="531" t="s">
        <v>33</v>
      </c>
    </row>
    <row r="35" spans="1:5">
      <c r="A35" s="561" t="s">
        <v>569</v>
      </c>
      <c r="B35" s="561" t="s">
        <v>570</v>
      </c>
      <c r="C35" s="562" t="s">
        <v>284</v>
      </c>
      <c r="D35" s="529" t="s">
        <v>45</v>
      </c>
      <c r="E35" s="531" t="s">
        <v>33</v>
      </c>
    </row>
    <row r="36" spans="1:5">
      <c r="A36" s="561" t="s">
        <v>418</v>
      </c>
      <c r="B36" s="561" t="s">
        <v>419</v>
      </c>
      <c r="C36" s="562" t="s">
        <v>280</v>
      </c>
      <c r="D36" s="529" t="s">
        <v>34</v>
      </c>
      <c r="E36" s="531" t="s">
        <v>39</v>
      </c>
    </row>
    <row r="37" spans="1:5">
      <c r="A37" s="561" t="s">
        <v>360</v>
      </c>
      <c r="B37" s="336" t="s">
        <v>361</v>
      </c>
      <c r="C37" s="529" t="s">
        <v>259</v>
      </c>
      <c r="D37" s="529" t="s">
        <v>34</v>
      </c>
      <c r="E37" s="531" t="s">
        <v>44</v>
      </c>
    </row>
    <row r="38" spans="1:5">
      <c r="A38" s="561" t="s">
        <v>445</v>
      </c>
      <c r="B38" s="336" t="s">
        <v>446</v>
      </c>
      <c r="C38" s="529" t="s">
        <v>259</v>
      </c>
      <c r="D38" s="529" t="s">
        <v>34</v>
      </c>
      <c r="E38" s="531" t="s">
        <v>44</v>
      </c>
    </row>
    <row r="39" spans="1:5">
      <c r="A39" s="561" t="s">
        <v>449</v>
      </c>
      <c r="B39" s="336" t="s">
        <v>450</v>
      </c>
      <c r="C39" s="529" t="s">
        <v>259</v>
      </c>
      <c r="D39" s="529" t="s">
        <v>34</v>
      </c>
      <c r="E39" s="531" t="s">
        <v>44</v>
      </c>
    </row>
    <row r="40" spans="1:5">
      <c r="A40" s="561" t="s">
        <v>460</v>
      </c>
      <c r="B40" s="336" t="s">
        <v>461</v>
      </c>
      <c r="C40" s="529" t="s">
        <v>280</v>
      </c>
      <c r="D40" s="529" t="s">
        <v>34</v>
      </c>
      <c r="E40" s="531" t="s">
        <v>44</v>
      </c>
    </row>
    <row r="41" spans="1:5">
      <c r="A41" s="561" t="s">
        <v>463</v>
      </c>
      <c r="B41" s="336" t="s">
        <v>464</v>
      </c>
      <c r="C41" s="529" t="s">
        <v>259</v>
      </c>
      <c r="D41" s="529" t="s">
        <v>34</v>
      </c>
      <c r="E41" s="531" t="s">
        <v>44</v>
      </c>
    </row>
    <row r="42" spans="1:5">
      <c r="A42" s="561" t="s">
        <v>471</v>
      </c>
      <c r="B42" s="336" t="s">
        <v>472</v>
      </c>
      <c r="C42" s="529" t="s">
        <v>280</v>
      </c>
      <c r="D42" s="529" t="s">
        <v>34</v>
      </c>
      <c r="E42" s="531" t="s">
        <v>44</v>
      </c>
    </row>
    <row r="43" spans="1:5">
      <c r="A43" s="561" t="s">
        <v>475</v>
      </c>
      <c r="B43" s="336" t="s">
        <v>476</v>
      </c>
      <c r="C43" s="529" t="s">
        <v>259</v>
      </c>
      <c r="D43" s="529" t="s">
        <v>34</v>
      </c>
      <c r="E43" s="531" t="s">
        <v>39</v>
      </c>
    </row>
    <row r="44" spans="1:5">
      <c r="A44" s="561" t="s">
        <v>481</v>
      </c>
      <c r="B44" s="336" t="s">
        <v>482</v>
      </c>
      <c r="C44" s="529" t="s">
        <v>280</v>
      </c>
      <c r="D44" s="529" t="s">
        <v>34</v>
      </c>
      <c r="E44" s="531" t="s">
        <v>44</v>
      </c>
    </row>
    <row r="45" spans="1:5">
      <c r="A45" s="561" t="s">
        <v>485</v>
      </c>
      <c r="B45" s="336" t="s">
        <v>486</v>
      </c>
      <c r="C45" s="529" t="s">
        <v>280</v>
      </c>
      <c r="D45" s="529" t="s">
        <v>34</v>
      </c>
      <c r="E45" s="531" t="s">
        <v>39</v>
      </c>
    </row>
    <row r="46" spans="1:5">
      <c r="A46" s="561" t="s">
        <v>489</v>
      </c>
      <c r="B46" s="336" t="s">
        <v>490</v>
      </c>
      <c r="C46" s="529" t="s">
        <v>280</v>
      </c>
      <c r="D46" s="529" t="s">
        <v>34</v>
      </c>
      <c r="E46" s="531" t="s">
        <v>39</v>
      </c>
    </row>
    <row r="47" spans="1:5">
      <c r="A47" s="561" t="s">
        <v>492</v>
      </c>
      <c r="B47" s="336" t="s">
        <v>493</v>
      </c>
      <c r="C47" s="529" t="s">
        <v>280</v>
      </c>
      <c r="D47" s="529" t="s">
        <v>34</v>
      </c>
      <c r="E47" s="531" t="s">
        <v>39</v>
      </c>
    </row>
    <row r="48" spans="1:5">
      <c r="A48" s="561" t="s">
        <v>496</v>
      </c>
      <c r="B48" s="336" t="s">
        <v>497</v>
      </c>
      <c r="C48" s="529" t="s">
        <v>280</v>
      </c>
      <c r="D48" s="529" t="s">
        <v>34</v>
      </c>
      <c r="E48" s="531" t="s">
        <v>39</v>
      </c>
    </row>
    <row r="49" spans="1:5">
      <c r="A49" s="561" t="s">
        <v>500</v>
      </c>
      <c r="B49" s="336" t="s">
        <v>501</v>
      </c>
      <c r="C49" s="529" t="s">
        <v>284</v>
      </c>
      <c r="D49" s="529" t="s">
        <v>34</v>
      </c>
      <c r="E49" s="531" t="s">
        <v>39</v>
      </c>
    </row>
    <row r="50" spans="1:5">
      <c r="A50" s="561" t="s">
        <v>504</v>
      </c>
      <c r="B50" s="336" t="s">
        <v>505</v>
      </c>
      <c r="C50" s="529" t="s">
        <v>284</v>
      </c>
      <c r="D50" s="529" t="s">
        <v>34</v>
      </c>
      <c r="E50" s="531" t="s">
        <v>39</v>
      </c>
    </row>
    <row r="51" spans="1:5">
      <c r="A51" s="561" t="s">
        <v>508</v>
      </c>
      <c r="B51" s="336" t="s">
        <v>509</v>
      </c>
      <c r="C51" s="529" t="s">
        <v>284</v>
      </c>
      <c r="D51" s="529" t="s">
        <v>34</v>
      </c>
      <c r="E51" s="531" t="s">
        <v>39</v>
      </c>
    </row>
    <row r="52" spans="1:5">
      <c r="A52" s="561" t="s">
        <v>512</v>
      </c>
      <c r="B52" s="336" t="s">
        <v>513</v>
      </c>
      <c r="C52" s="529" t="s">
        <v>259</v>
      </c>
      <c r="D52" s="529" t="s">
        <v>34</v>
      </c>
      <c r="E52" s="531" t="s">
        <v>44</v>
      </c>
    </row>
    <row r="53" spans="1:5">
      <c r="A53" s="561"/>
      <c r="B53" s="336"/>
      <c r="C53" s="529"/>
      <c r="D53" s="529"/>
      <c r="E53" s="531"/>
    </row>
    <row r="54" spans="1:5">
      <c r="A54" s="561"/>
      <c r="B54" s="336"/>
      <c r="C54" s="529"/>
      <c r="D54" s="529"/>
      <c r="E54" s="531"/>
    </row>
    <row r="55" spans="1:5">
      <c r="A55" s="561"/>
      <c r="B55" s="336"/>
      <c r="C55" s="529"/>
      <c r="D55" s="529"/>
      <c r="E55" s="531"/>
    </row>
    <row r="56" spans="1:5">
      <c r="A56" s="561"/>
      <c r="B56" s="336"/>
      <c r="C56" s="529"/>
      <c r="D56" s="529"/>
      <c r="E56" s="531"/>
    </row>
    <row r="57" spans="1:5">
      <c r="A57" s="561"/>
      <c r="B57" s="336"/>
      <c r="C57" s="529"/>
      <c r="D57" s="529"/>
      <c r="E57" s="531"/>
    </row>
    <row r="58" spans="1:5">
      <c r="A58" s="561"/>
      <c r="B58" s="336"/>
      <c r="C58" s="529"/>
      <c r="D58" s="529"/>
      <c r="E58" s="531"/>
    </row>
    <row r="59" spans="1:5">
      <c r="A59" s="335"/>
      <c r="B59" s="336"/>
      <c r="C59" s="529"/>
      <c r="D59" s="529"/>
      <c r="E59" s="531"/>
    </row>
    <row r="60" spans="1:5">
      <c r="A60" s="335"/>
      <c r="B60" s="336"/>
      <c r="C60" s="529"/>
      <c r="D60" s="529"/>
      <c r="E60" s="531"/>
    </row>
    <row r="61" spans="1:5">
      <c r="A61" s="335"/>
      <c r="B61" s="336"/>
      <c r="C61" s="529"/>
      <c r="D61" s="529"/>
      <c r="E61" s="531"/>
    </row>
    <row r="62" spans="1:5">
      <c r="A62" s="335"/>
      <c r="B62" s="336"/>
      <c r="C62" s="529"/>
      <c r="D62" s="529"/>
      <c r="E62" s="531"/>
    </row>
    <row r="63" spans="1:5">
      <c r="A63" s="335"/>
      <c r="B63" s="336"/>
      <c r="C63" s="529"/>
      <c r="D63" s="529"/>
      <c r="E63" s="531"/>
    </row>
    <row r="64" spans="1:5">
      <c r="A64" s="335"/>
      <c r="B64" s="336"/>
      <c r="C64" s="529"/>
      <c r="D64" s="529"/>
      <c r="E64" s="531"/>
    </row>
    <row r="65" spans="1:5">
      <c r="A65" s="335"/>
      <c r="B65" s="336"/>
      <c r="C65" s="529"/>
      <c r="D65" s="529"/>
      <c r="E65" s="531"/>
    </row>
    <row r="66" spans="1:5">
      <c r="A66" s="335"/>
      <c r="B66" s="336"/>
      <c r="C66" s="529"/>
      <c r="D66" s="529"/>
      <c r="E66" s="531"/>
    </row>
    <row r="67" spans="1:5">
      <c r="A67" s="335"/>
      <c r="B67" s="336"/>
      <c r="C67" s="529"/>
      <c r="D67" s="529"/>
      <c r="E67" s="531"/>
    </row>
    <row r="68" spans="1:5">
      <c r="A68" s="335"/>
      <c r="B68" s="336"/>
      <c r="C68" s="529"/>
      <c r="D68" s="529"/>
      <c r="E68" s="531"/>
    </row>
    <row r="69" spans="1:5">
      <c r="A69" s="335"/>
      <c r="B69" s="336"/>
      <c r="C69" s="529"/>
      <c r="D69" s="529"/>
      <c r="E69" s="531"/>
    </row>
    <row r="70" spans="1:5">
      <c r="A70" s="335"/>
      <c r="B70" s="336"/>
      <c r="C70" s="529"/>
      <c r="D70" s="529"/>
      <c r="E70" s="531"/>
    </row>
    <row r="71" spans="1:5">
      <c r="A71" s="335"/>
      <c r="B71" s="336"/>
      <c r="C71" s="529"/>
      <c r="D71" s="529"/>
      <c r="E71" s="531"/>
    </row>
    <row r="72" spans="1:5">
      <c r="A72" s="335"/>
      <c r="B72" s="336"/>
      <c r="C72" s="529"/>
      <c r="D72" s="529"/>
      <c r="E72" s="531"/>
    </row>
    <row r="73" spans="1:5">
      <c r="A73" s="335"/>
      <c r="B73" s="336"/>
      <c r="C73" s="529"/>
      <c r="D73" s="529"/>
      <c r="E73" s="531"/>
    </row>
    <row r="74" spans="1:5">
      <c r="A74" s="335"/>
      <c r="B74" s="336"/>
      <c r="C74" s="529"/>
      <c r="D74" s="529"/>
      <c r="E74" s="531"/>
    </row>
    <row r="75" spans="1:5">
      <c r="A75" s="335"/>
      <c r="B75" s="336"/>
      <c r="C75" s="529"/>
      <c r="D75" s="529"/>
      <c r="E75" s="531"/>
    </row>
    <row r="76" spans="1:5">
      <c r="A76" s="335"/>
      <c r="B76" s="336"/>
      <c r="C76" s="529"/>
      <c r="D76" s="529"/>
      <c r="E76" s="531"/>
    </row>
    <row r="77" spans="1:5">
      <c r="A77" s="335"/>
      <c r="B77" s="336"/>
      <c r="C77" s="529"/>
      <c r="D77" s="529"/>
      <c r="E77" s="531"/>
    </row>
    <row r="78" spans="1:5">
      <c r="A78" s="335"/>
      <c r="B78" s="336"/>
      <c r="C78" s="529"/>
      <c r="D78" s="529"/>
      <c r="E78" s="531"/>
    </row>
    <row r="79" spans="1:5">
      <c r="A79" s="335"/>
      <c r="B79" s="336"/>
      <c r="C79" s="529"/>
      <c r="D79" s="529"/>
      <c r="E79" s="531"/>
    </row>
    <row r="80" spans="1:5">
      <c r="A80" s="335"/>
      <c r="B80" s="336"/>
      <c r="C80" s="529"/>
      <c r="D80" s="529"/>
      <c r="E80" s="531"/>
    </row>
    <row r="81" spans="1:5">
      <c r="A81" s="335"/>
      <c r="B81" s="336"/>
      <c r="C81" s="529"/>
      <c r="D81" s="529"/>
      <c r="E81" s="531"/>
    </row>
    <row r="82" spans="1:5">
      <c r="A82" s="335"/>
      <c r="B82" s="336"/>
      <c r="C82" s="529"/>
      <c r="D82" s="529"/>
      <c r="E82" s="531"/>
    </row>
    <row r="83" spans="1:5">
      <c r="A83" s="335"/>
      <c r="B83" s="336"/>
      <c r="C83" s="529"/>
      <c r="D83" s="529"/>
      <c r="E83" s="531"/>
    </row>
    <row r="84" spans="1:5">
      <c r="A84" s="335"/>
      <c r="B84" s="336"/>
      <c r="C84" s="529"/>
      <c r="D84" s="529"/>
      <c r="E84" s="531"/>
    </row>
    <row r="85" spans="1:5">
      <c r="A85" s="335"/>
      <c r="B85" s="336"/>
      <c r="C85" s="529"/>
      <c r="D85" s="529"/>
      <c r="E85" s="531"/>
    </row>
    <row r="86" spans="1:5">
      <c r="A86" s="335"/>
      <c r="B86" s="336"/>
      <c r="C86" s="529"/>
      <c r="D86" s="529"/>
      <c r="E86" s="531"/>
    </row>
    <row r="87" spans="1:5">
      <c r="A87" s="335"/>
      <c r="B87" s="336"/>
      <c r="C87" s="529"/>
      <c r="D87" s="529"/>
      <c r="E87" s="531"/>
    </row>
    <row r="88" spans="1:5">
      <c r="A88" s="335"/>
      <c r="B88" s="336"/>
      <c r="C88" s="529"/>
      <c r="D88" s="529"/>
      <c r="E88" s="531"/>
    </row>
    <row r="89" spans="1:5">
      <c r="A89" s="335"/>
      <c r="B89" s="336"/>
      <c r="C89" s="529"/>
      <c r="D89" s="529"/>
      <c r="E89" s="531"/>
    </row>
    <row r="90" spans="1:5">
      <c r="A90" s="335"/>
      <c r="B90" s="336"/>
      <c r="C90" s="529"/>
      <c r="D90" s="529"/>
      <c r="E90" s="531"/>
    </row>
    <row r="91" spans="1:5">
      <c r="A91" s="335"/>
      <c r="B91" s="336"/>
      <c r="C91" s="529"/>
      <c r="D91" s="529"/>
      <c r="E91" s="531"/>
    </row>
    <row r="92" spans="1:5">
      <c r="A92" s="335"/>
      <c r="B92" s="336"/>
      <c r="C92" s="529"/>
      <c r="D92" s="529"/>
      <c r="E92" s="531"/>
    </row>
    <row r="93" spans="1:5">
      <c r="A93" s="335"/>
      <c r="B93" s="336"/>
      <c r="C93" s="529"/>
      <c r="D93" s="529"/>
      <c r="E93" s="531"/>
    </row>
    <row r="94" spans="1:5">
      <c r="A94" s="335"/>
      <c r="B94" s="336"/>
      <c r="C94" s="529"/>
      <c r="D94" s="529"/>
      <c r="E94" s="531"/>
    </row>
    <row r="95" spans="1:5">
      <c r="A95" s="335"/>
      <c r="B95" s="336"/>
      <c r="C95" s="529"/>
      <c r="D95" s="529"/>
      <c r="E95" s="531"/>
    </row>
    <row r="96" spans="1:5">
      <c r="A96" s="335"/>
      <c r="B96" s="336"/>
      <c r="C96" s="529"/>
      <c r="D96" s="529"/>
      <c r="E96" s="531"/>
    </row>
    <row r="97" spans="1:5" ht="15" thickBot="1">
      <c r="A97" s="337"/>
      <c r="B97" s="338"/>
      <c r="C97" s="530"/>
      <c r="D97" s="530"/>
      <c r="E97" s="532"/>
    </row>
  </sheetData>
  <autoFilter ref="A2:E97" xr:uid="{2E753270-8E41-4CC5-97C2-EE4540C41FD1}"/>
  <mergeCells count="5">
    <mergeCell ref="G4:G6"/>
    <mergeCell ref="G7:G10"/>
    <mergeCell ref="G11:G12"/>
    <mergeCell ref="H13:I13"/>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D3:D97</xm:sqref>
        </x14:dataValidation>
        <x14:dataValidation type="list" allowBlank="1" showInputMessage="1" showErrorMessage="1" xr:uid="{AA1AC074-A7B7-4C8D-9132-118B458773B2}">
          <x14:formula1>
            <xm:f>'List Options'!$G$1:$G$3</xm:f>
          </x14:formula1>
          <xm:sqref>E3:E97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63"/>
  <sheetViews>
    <sheetView zoomScaleNormal="100" workbookViewId="0" xr3:uid="{F9CF3CF3-643B-5BE6-8B46-32C596A47465}">
      <pane xSplit="4" ySplit="6" topLeftCell="E9" activePane="bottomRight" state="frozen"/>
      <selection pane="bottomRight" activeCell="M61" sqref="M61:M62"/>
      <selection pane="bottomLeft" activeCell="A3" sqref="A3"/>
      <selection pane="topRight" activeCell="D1" sqref="D1"/>
    </sheetView>
  </sheetViews>
  <sheetFormatPr defaultColWidth="8.5703125" defaultRowHeight="14.45"/>
  <cols>
    <col min="1" max="1" width="16.85546875" style="181" bestFit="1" customWidth="1"/>
    <col min="2" max="2" width="28.28515625" style="190" bestFit="1" customWidth="1"/>
    <col min="3" max="3" width="9.85546875" style="190" bestFit="1" customWidth="1"/>
    <col min="4" max="4" width="34" style="181"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1" bestFit="1" customWidth="1"/>
    <col min="22" max="22" width="45.7109375" style="181" customWidth="1"/>
    <col min="23" max="16384" width="8.5703125" style="181"/>
  </cols>
  <sheetData>
    <row r="1" spans="1:23" s="177" customFormat="1" ht="18.95" thickBot="1">
      <c r="A1" s="624" t="s">
        <v>571</v>
      </c>
      <c r="B1" s="625"/>
      <c r="C1" s="625"/>
      <c r="D1" s="625"/>
      <c r="E1" s="625"/>
      <c r="F1" s="625"/>
      <c r="G1" s="625"/>
      <c r="H1" s="625"/>
      <c r="I1" s="625"/>
      <c r="J1" s="625"/>
      <c r="K1" s="625"/>
      <c r="L1" s="625"/>
      <c r="M1" s="625"/>
      <c r="N1" s="625"/>
      <c r="O1" s="625"/>
      <c r="P1" s="625"/>
      <c r="Q1" s="625"/>
      <c r="R1" s="625"/>
      <c r="S1" s="625"/>
      <c r="T1" s="625"/>
      <c r="U1" s="626"/>
      <c r="V1" s="557"/>
    </row>
    <row r="2" spans="1:23" s="187" customFormat="1" ht="18.600000000000001">
      <c r="A2" s="672" t="s">
        <v>302</v>
      </c>
      <c r="B2" s="673"/>
      <c r="C2" s="673"/>
      <c r="D2" s="673"/>
      <c r="E2" s="673"/>
      <c r="F2" s="674"/>
      <c r="G2" s="404">
        <f>COUNTIF(G7:G58,"Yes")</f>
        <v>44</v>
      </c>
      <c r="H2" s="404">
        <f>COUNTIF(H7:H58,"Yes")</f>
        <v>44</v>
      </c>
      <c r="I2" s="670">
        <f>'Diags Raw Data'!K77</f>
        <v>2272</v>
      </c>
      <c r="J2" s="684">
        <f>'Diags Raw Data'!L77</f>
        <v>66</v>
      </c>
      <c r="K2" s="686">
        <f>'Diags Raw Data'!N77</f>
        <v>1</v>
      </c>
      <c r="L2" s="688">
        <f>'Diags Raw Data'!P77</f>
        <v>0.94524647887323943</v>
      </c>
      <c r="M2" s="690">
        <f>'Diags Raw Data'!R77</f>
        <v>58</v>
      </c>
      <c r="N2" s="692">
        <f>SUM('Diags Raw Data'!T77+'Diags Raw Data'!U77)</f>
        <v>52</v>
      </c>
      <c r="O2" s="678">
        <f>IF((M61=0),0,N61/M61)</f>
        <v>0.89655172413793105</v>
      </c>
      <c r="P2" s="680">
        <f>'Diags Raw Data'!Z77</f>
        <v>0</v>
      </c>
      <c r="Q2" s="682">
        <f>SUM('Diags Raw Data'!AA77+'Diags Raw Data'!AB77)</f>
        <v>0</v>
      </c>
      <c r="R2" s="702">
        <f>IF((J61=0),0,P61/J61)</f>
        <v>0</v>
      </c>
      <c r="S2" s="702">
        <f>IF((P61=0),0,Q61/P61)</f>
        <v>0</v>
      </c>
      <c r="T2" s="702">
        <f>R61*S61</f>
        <v>0</v>
      </c>
      <c r="U2" s="704"/>
      <c r="V2" s="694" t="s">
        <v>572</v>
      </c>
      <c r="W2" s="186"/>
    </row>
    <row r="3" spans="1:23" ht="18.95" thickBot="1">
      <c r="A3" s="675"/>
      <c r="B3" s="676"/>
      <c r="C3" s="676"/>
      <c r="D3" s="676"/>
      <c r="E3" s="676"/>
      <c r="F3" s="677"/>
      <c r="G3" s="405">
        <f>COUNTIF(G7:G58,"Yes")/COUNTA(A7:A58)</f>
        <v>0.88</v>
      </c>
      <c r="H3" s="405">
        <f>(COUNTIF(H7:H58,"Yes")/G61)</f>
        <v>1</v>
      </c>
      <c r="I3" s="671"/>
      <c r="J3" s="685"/>
      <c r="K3" s="687"/>
      <c r="L3" s="689"/>
      <c r="M3" s="691"/>
      <c r="N3" s="693"/>
      <c r="O3" s="679"/>
      <c r="P3" s="681"/>
      <c r="Q3" s="683"/>
      <c r="R3" s="703"/>
      <c r="S3" s="703"/>
      <c r="T3" s="703"/>
      <c r="U3" s="705"/>
      <c r="V3" s="695"/>
      <c r="W3" s="180"/>
    </row>
    <row r="4" spans="1:23" ht="18.95" thickBot="1">
      <c r="A4" s="627" t="s">
        <v>573</v>
      </c>
      <c r="B4" s="628"/>
      <c r="C4" s="628"/>
      <c r="D4" s="628"/>
      <c r="E4" s="628"/>
      <c r="F4" s="628"/>
      <c r="G4" s="628"/>
      <c r="H4" s="628"/>
      <c r="I4" s="628"/>
      <c r="J4" s="628"/>
      <c r="K4" s="628"/>
      <c r="L4" s="628"/>
      <c r="M4" s="628"/>
      <c r="N4" s="628"/>
      <c r="O4" s="628"/>
      <c r="P4" s="628"/>
      <c r="Q4" s="628"/>
      <c r="R4" s="628"/>
      <c r="S4" s="628"/>
      <c r="T4" s="628"/>
      <c r="U4" s="629"/>
      <c r="V4" s="558"/>
    </row>
    <row r="5" spans="1:23" s="177" customFormat="1" ht="31.5" customHeight="1" thickBot="1">
      <c r="A5" s="710" t="s">
        <v>76</v>
      </c>
      <c r="B5" s="711"/>
      <c r="C5" s="711"/>
      <c r="D5" s="711"/>
      <c r="E5" s="711"/>
      <c r="F5" s="711"/>
      <c r="G5" s="711"/>
      <c r="H5" s="711"/>
      <c r="I5" s="711"/>
      <c r="J5" s="712"/>
      <c r="K5" s="708" t="s">
        <v>113</v>
      </c>
      <c r="L5" s="709"/>
      <c r="M5" s="713" t="s">
        <v>124</v>
      </c>
      <c r="N5" s="714"/>
      <c r="O5" s="715"/>
      <c r="P5" s="716" t="s">
        <v>144</v>
      </c>
      <c r="Q5" s="717"/>
      <c r="R5" s="717"/>
      <c r="S5" s="717"/>
      <c r="T5" s="717"/>
      <c r="U5" s="718"/>
      <c r="V5" s="176"/>
    </row>
    <row r="6" spans="1:23" s="179" customFormat="1" ht="15" thickBot="1">
      <c r="A6" s="349" t="s">
        <v>77</v>
      </c>
      <c r="B6" s="387" t="s">
        <v>81</v>
      </c>
      <c r="C6" s="387" t="s">
        <v>96</v>
      </c>
      <c r="D6" s="387" t="s">
        <v>212</v>
      </c>
      <c r="E6" s="387" t="s">
        <v>88</v>
      </c>
      <c r="F6" s="387" t="s">
        <v>1</v>
      </c>
      <c r="G6" s="388" t="s">
        <v>215</v>
      </c>
      <c r="H6" s="388" t="s">
        <v>218</v>
      </c>
      <c r="I6" s="389" t="s">
        <v>105</v>
      </c>
      <c r="J6" s="389" t="s">
        <v>221</v>
      </c>
      <c r="K6" s="363" t="s">
        <v>114</v>
      </c>
      <c r="L6" s="364" t="s">
        <v>121</v>
      </c>
      <c r="M6" s="342" t="s">
        <v>227</v>
      </c>
      <c r="N6" s="343" t="s">
        <v>229</v>
      </c>
      <c r="O6" s="341" t="s">
        <v>187</v>
      </c>
      <c r="P6" s="365" t="s">
        <v>232</v>
      </c>
      <c r="Q6" s="344" t="s">
        <v>229</v>
      </c>
      <c r="R6" s="345" t="s">
        <v>184</v>
      </c>
      <c r="S6" s="345" t="s">
        <v>140</v>
      </c>
      <c r="T6" s="346" t="s">
        <v>187</v>
      </c>
      <c r="U6" s="347" t="s">
        <v>157</v>
      </c>
      <c r="V6" s="178"/>
    </row>
    <row r="7" spans="1:23" ht="15">
      <c r="A7" s="561" t="s">
        <v>539</v>
      </c>
      <c r="B7" s="446" t="str">
        <f>VLOOKUP(A7,'Feature Raw Data'!$A$3:$B$3996,2,FALSE)</f>
        <v>Only ASP can access HW keys including the device specific ones</v>
      </c>
      <c r="C7" s="447" t="str">
        <f>VLOOKUP(A7,'Feature Raw Data'!$A$3:$C$3996,3,FALSE)</f>
        <v>P1</v>
      </c>
      <c r="D7" s="448" t="str" cm="1">
        <f t="array" ref="D7">_xlfn.TEXTJOIN("",TRUE,IF(ISNUMBER(SEARCH($A7,'Diags Raw Data'!$A$6:$A$3687)),CONCATENATE('Diags Raw Data'!$H$6:$H$3687,", "),""))</f>
        <v/>
      </c>
      <c r="E7" s="449" t="e">
        <f>VLOOKUP(A7,'Diags Raw Data'!$A$6:$D$3687,4,FALSE)</f>
        <v>#N/A</v>
      </c>
      <c r="F7" s="449" t="str">
        <f>VLOOKUP(A7,'Feature Raw Data'!$A$3:$E$3996,5,FALSE)</f>
        <v>Legacy</v>
      </c>
      <c r="G7" s="449" t="str">
        <f t="shared" ref="G7:G38" si="0">IF(D7="","No","Yes")</f>
        <v>No</v>
      </c>
      <c r="H7" s="449" t="str">
        <f t="shared" ref="H7:H38" si="1">IF(D7="","No","Yes")</f>
        <v>No</v>
      </c>
      <c r="I7" s="447">
        <f>SUMIF('Diags Raw Data'!$A$6:$A$3687,"*"&amp;$A7&amp;"*",'Diags Raw Data'!$K$6:$K$3687)</f>
        <v>0</v>
      </c>
      <c r="J7" s="450">
        <f>SUMIF('Diags Raw Data'!$A$6:$A$3687,"*"&amp;$A7&amp;"*",'Diags Raw Data'!$L$6:$L$3687)</f>
        <v>0</v>
      </c>
      <c r="K7" s="498" cm="1">
        <f t="array" ref="K7">IF(D7="",0, SUMPRODUCT(--(ISNUMBER(SEARCH($A7,'Diags Raw Data'!$A$6:$A$3687))),'Diags Raw Data'!$L$6:$L$3687,'Diags Raw Data'!$N$6:$N$3687)/J7)</f>
        <v>0</v>
      </c>
      <c r="L7" s="499" cm="1">
        <f t="array" ref="L7">IF(D7="",0, SUMPRODUCT(--(ISNUMBER(SEARCH($A7,'Diags Raw Data'!$A$6:$A$3687))),'Diags Raw Data'!$L$6:$L$3687,'Diags Raw Data'!$P$6:$P$3687)/J7)</f>
        <v>0</v>
      </c>
      <c r="M7" s="500" cm="1">
        <f t="array" ref="M7">SUMPRODUCT(--(ISNUMBER(SEARCH($A7,'Diags Raw Data'!$A$6:$A$3687))),--('Diags Raw Data'!$Q$6:$Q$3687&lt;&gt;"N/A"),'Diags Raw Data'!$R$6:$R$3687)</f>
        <v>0</v>
      </c>
      <c r="N7" s="501" cm="1">
        <f t="array" ref="N7">SUMPRODUCT(--(ISNUMBER(SEARCH($A7,'Diags Raw Data'!$A$6:$A$3687))),--('Diags Raw Data'!$Q$6:$Q$3687&lt;&gt;"N/A"),'Diags Raw Data'!$T$6:$T$3687)+SUMPRODUCT(--(ISNUMBER(SEARCH($A7,'Diags Raw Data'!$A$6:$A$3687))),--('Diags Raw Data'!$Q$6:$Q$3687&lt;&gt;"N/A"),'Diags Raw Data'!$U$6:$U$3687)</f>
        <v>0</v>
      </c>
      <c r="O7" s="502">
        <f>IF((M7=0),0,N7/M7)</f>
        <v>0</v>
      </c>
      <c r="P7" s="503">
        <f>SUMIF('Diags Raw Data'!$A$6:$A$3687,"*"&amp;$A7&amp;"*",'Diags Raw Data'!$Z$6:$Z$3687)</f>
        <v>0</v>
      </c>
      <c r="Q7" s="504">
        <f>SUM(SUMIF('Diags Raw Data'!$A$6:$A$3687,"*"&amp;$A7&amp;"*",'Diags Raw Data'!$AA$6:$AA$3687),SUMIF('Diags Raw Data'!$A$6:$A$3687,"*"&amp;$A7&amp;"*",'Diags Raw Data'!$AB$6:$AB$3687))</f>
        <v>0</v>
      </c>
      <c r="R7" s="505">
        <f>IF((J7=0),0,P7/J7)</f>
        <v>0</v>
      </c>
      <c r="S7" s="505">
        <f>IF((P7=0),0,Q7/P7)</f>
        <v>0</v>
      </c>
      <c r="T7" s="506">
        <f>R7*S7</f>
        <v>0</v>
      </c>
      <c r="U7" s="451" t="s">
        <v>47</v>
      </c>
      <c r="V7" s="180"/>
    </row>
    <row r="8" spans="1:23" ht="57.95">
      <c r="A8" s="561" t="s">
        <v>456</v>
      </c>
      <c r="B8" s="452" t="str">
        <f>VLOOKUP(A8,'Feature Raw Data'!$A$3:$B$3996,2,FALSE)</f>
        <v>Keys loaded into CCP are protected (read/write) from active and passive side channels and fault injection attacks</v>
      </c>
      <c r="C8" s="453" t="str">
        <f>VLOOKUP(A8,'Feature Raw Data'!$A$3:$C$3996,3,FALSE)</f>
        <v>P1</v>
      </c>
      <c r="D8" s="454" t="str" cm="1">
        <f t="array" ref="D8">_xlfn.TEXTJOIN("",TRUE,IF(ISNUMBER(SEARCH($A8,'Diags Raw Data'!$A$6:$A$3687)),CONCATENATE('Diags Raw Data'!$H$6:$H$3687,", "),""))</f>
        <v xml:space="preserve">sib.basic.ksb.rtl_key_protection, </v>
      </c>
      <c r="E8" s="339" t="str">
        <f>VLOOKUP(A8,'Diags Raw Data'!$A$6:$D$3687,4,FALSE)</f>
        <v>SIB</v>
      </c>
      <c r="F8" s="339" t="str">
        <f>VLOOKUP(A8,'Feature Raw Data'!$A$3:$E$3996,5,FALSE)</f>
        <v>Delta</v>
      </c>
      <c r="G8" s="339" t="str">
        <f t="shared" si="0"/>
        <v>Yes</v>
      </c>
      <c r="H8" s="339" t="str">
        <f t="shared" si="1"/>
        <v>Yes</v>
      </c>
      <c r="I8" s="453">
        <f>SUMIF('Diags Raw Data'!$A$6:$A$3687,"*"&amp;$A8&amp;"*",'Diags Raw Data'!$K$6:$K$3687)</f>
        <v>24</v>
      </c>
      <c r="J8" s="455">
        <f>SUMIF('Diags Raw Data'!$A$6:$A$3687,"*"&amp;$A8&amp;"*",'Diags Raw Data'!$L$6:$L$3687)</f>
        <v>1</v>
      </c>
      <c r="K8" s="507" cm="1">
        <f t="array" ref="K8">IF(D8="",0, SUMPRODUCT(--(ISNUMBER(SEARCH($A8,'Diags Raw Data'!$A$6:$A$3687))),'Diags Raw Data'!$L$6:$L$3687,'Diags Raw Data'!$N$6:$N$3687)/J8)</f>
        <v>1</v>
      </c>
      <c r="L8" s="508" cm="1">
        <f t="array" ref="L8">IF(D8="",0, SUMPRODUCT(--(ISNUMBER(SEARCH($A8,'Diags Raw Data'!$A$6:$A$3687))),'Diags Raw Data'!$L$6:$L$3687,'Diags Raw Data'!$P$6:$P$3687)/J8)</f>
        <v>1</v>
      </c>
      <c r="M8" s="509" cm="1">
        <f t="array" ref="M8">SUMPRODUCT(--(ISNUMBER(SEARCH($A8,'Diags Raw Data'!$A$6:$A$3687))),--('Diags Raw Data'!$Q$6:$Q$3687&lt;&gt;"N/A"),'Diags Raw Data'!$R$6:$R$3687)</f>
        <v>1</v>
      </c>
      <c r="N8" s="510" cm="1">
        <f t="array" ref="N8">SUMPRODUCT(--(ISNUMBER(SEARCH($A8,'Diags Raw Data'!$A$6:$A$3687))),--('Diags Raw Data'!$Q$6:$Q$3687&lt;&gt;"N/A"),'Diags Raw Data'!$T$6:$T$3687)+SUMPRODUCT(--(ISNUMBER(SEARCH($A8,'Diags Raw Data'!$A$6:$A$3687))),--('Diags Raw Data'!$Q$6:$Q$3687&lt;&gt;"N/A"),'Diags Raw Data'!$U$6:$U$3687)</f>
        <v>1</v>
      </c>
      <c r="O8" s="511">
        <f t="shared" ref="O8:O48" si="2">IF((M8=0),0,N8/M8)</f>
        <v>1</v>
      </c>
      <c r="P8" s="512">
        <f>SUMIF('Diags Raw Data'!$A$6:$A$3687,"*"&amp;$A8&amp;"*",'Diags Raw Data'!$Z$6:$Z$3687)</f>
        <v>0</v>
      </c>
      <c r="Q8" s="513">
        <f>SUM(SUMIF('Diags Raw Data'!$A$6:$A$3687,"*"&amp;$A8&amp;"*",'Diags Raw Data'!$AA$6:$AA$3687),SUMIF('Diags Raw Data'!$A$6:$A$3687,"*"&amp;$A8&amp;"*",'Diags Raw Data'!$AB$6:$AB$3687))</f>
        <v>0</v>
      </c>
      <c r="R8" s="514">
        <f t="shared" ref="R8:R48" si="3">IF((J8=0),0,P8/J8)</f>
        <v>0</v>
      </c>
      <c r="S8" s="514">
        <f t="shared" ref="S8:S48" si="4">IF((P8=0),0,Q8/P8)</f>
        <v>0</v>
      </c>
      <c r="T8" s="515">
        <f t="shared" ref="T8:T48" si="5">R8*S8</f>
        <v>0</v>
      </c>
      <c r="U8" s="456" t="s">
        <v>574</v>
      </c>
      <c r="V8" s="180"/>
    </row>
    <row r="9" spans="1:23" ht="43.5">
      <c r="A9" s="561" t="s">
        <v>543</v>
      </c>
      <c r="B9" s="452" t="str">
        <f>VLOOKUP(A9,'Feature Raw Data'!$A$3:$B$3996,2,FALSE)</f>
        <v>ASP DRAM is encrypted and not accessible to any other processors</v>
      </c>
      <c r="C9" s="453" t="str">
        <f>VLOOKUP(A9,'Feature Raw Data'!$A$3:$C$3996,3,FALSE)</f>
        <v>P2</v>
      </c>
      <c r="D9" s="454" t="str" cm="1">
        <f t="array" ref="D9">_xlfn.TEXTJOIN("",TRUE,IF(ISNUMBER(SEARCH($A9,'Diags Raw Data'!$A$6:$A$3687)),CONCATENATE('Diags Raw Data'!$H$6:$H$3687,", "),""))</f>
        <v xml:space="preserve">
psp1.4, </v>
      </c>
      <c r="E9" s="339" t="e">
        <f>VLOOKUP(A9,'Diags Raw Data'!$A$6:$D$3687,4,FALSE)</f>
        <v>#N/A</v>
      </c>
      <c r="F9" s="339" t="str">
        <f>VLOOKUP(A9,'Feature Raw Data'!$A$3:$E$3996,5,FALSE)</f>
        <v>Legacy</v>
      </c>
      <c r="G9" s="339" t="str">
        <f t="shared" si="0"/>
        <v>Yes</v>
      </c>
      <c r="H9" s="339" t="str">
        <f t="shared" si="1"/>
        <v>Yes</v>
      </c>
      <c r="I9" s="453">
        <f>SUMIF('Diags Raw Data'!$A$6:$A$3687,"*"&amp;$A9&amp;"*",'Diags Raw Data'!$K$6:$K$3687)</f>
        <v>24</v>
      </c>
      <c r="J9" s="455">
        <f>SUMIF('Diags Raw Data'!$A$6:$A$3687,"*"&amp;$A9&amp;"*",'Diags Raw Data'!$L$6:$L$3687)</f>
        <v>1</v>
      </c>
      <c r="K9" s="507" cm="1">
        <f t="array" ref="K9">IF(D9="",0, SUMPRODUCT(--(ISNUMBER(SEARCH($A9,'Diags Raw Data'!$A$6:$A$3687))),'Diags Raw Data'!$L$6:$L$3687,'Diags Raw Data'!$N$6:$N$3687)/J9)</f>
        <v>1</v>
      </c>
      <c r="L9" s="508" cm="1">
        <f t="array" ref="L9">IF(D9="",0, SUMPRODUCT(--(ISNUMBER(SEARCH($A9,'Diags Raw Data'!$A$6:$A$3687))),'Diags Raw Data'!$L$6:$L$3687,'Diags Raw Data'!$P$6:$P$3687)/J9)</f>
        <v>1</v>
      </c>
      <c r="M9" s="509" cm="1">
        <f t="array" ref="M9">SUMPRODUCT(--(ISNUMBER(SEARCH($A9,'Diags Raw Data'!$A$6:$A$3687))),--('Diags Raw Data'!$Q$6:$Q$3687&lt;&gt;"N/A"),'Diags Raw Data'!$R$6:$R$3687)</f>
        <v>0</v>
      </c>
      <c r="N9" s="510" cm="1">
        <f t="array" ref="N9">SUMPRODUCT(--(ISNUMBER(SEARCH($A9,'Diags Raw Data'!$A$6:$A$3687))),--('Diags Raw Data'!$Q$6:$Q$3687&lt;&gt;"N/A"),'Diags Raw Data'!$T$6:$T$3687)+SUMPRODUCT(--(ISNUMBER(SEARCH($A9,'Diags Raw Data'!$A$6:$A$3687))),--('Diags Raw Data'!$Q$6:$Q$3687&lt;&gt;"N/A"),'Diags Raw Data'!$U$6:$U$3687)</f>
        <v>0</v>
      </c>
      <c r="O9" s="511">
        <f t="shared" si="2"/>
        <v>0</v>
      </c>
      <c r="P9" s="512">
        <f>SUMIF('Diags Raw Data'!$A$6:$A$3687,"*"&amp;$A9&amp;"*",'Diags Raw Data'!$Z$6:$Z$3687)</f>
        <v>0</v>
      </c>
      <c r="Q9" s="513">
        <f>SUM(SUMIF('Diags Raw Data'!$A$6:$A$3687,"*"&amp;$A9&amp;"*",'Diags Raw Data'!$AA$6:$AA$3687),SUMIF('Diags Raw Data'!$A$6:$A$3687,"*"&amp;$A9&amp;"*",'Diags Raw Data'!$AB$6:$AB$3687))</f>
        <v>0</v>
      </c>
      <c r="R9" s="514">
        <f t="shared" si="3"/>
        <v>0</v>
      </c>
      <c r="S9" s="514">
        <f t="shared" si="4"/>
        <v>0</v>
      </c>
      <c r="T9" s="515">
        <f t="shared" si="5"/>
        <v>0</v>
      </c>
      <c r="U9" s="456" t="s">
        <v>575</v>
      </c>
      <c r="V9" s="180"/>
    </row>
    <row r="10" spans="1:23" ht="29.1">
      <c r="A10" s="561" t="s">
        <v>365</v>
      </c>
      <c r="B10" s="452" t="str">
        <f>VLOOKUP(A10,'Feature Raw Data'!$A$3:$B$3996,2,FALSE)</f>
        <v>ASP: TRNG Seed is available in public CRU</v>
      </c>
      <c r="C10" s="453" t="str">
        <f>VLOOKUP(A10,'Feature Raw Data'!$A$3:$C$3996,3,FALSE)</f>
        <v>P1</v>
      </c>
      <c r="D10" s="454" t="str" cm="1">
        <f t="array" ref="D10">_xlfn.TEXTJOIN("",TRUE,IF(ISNUMBER(SEARCH($A10,'Diags Raw Data'!$A$6:$A$3687)),CONCATENATE('Diags Raw Data'!$H$6:$H$3687,", "),""))</f>
        <v xml:space="preserve">psp1.26, </v>
      </c>
      <c r="E10" s="339" t="str">
        <f>VLOOKUP(A10,'Diags Raw Data'!$A$6:$D$3687,4,FALSE)</f>
        <v>MPASP</v>
      </c>
      <c r="F10" s="339" t="str">
        <f>VLOOKUP(A10,'Feature Raw Data'!$A$3:$E$3996,5,FALSE)</f>
        <v>New</v>
      </c>
      <c r="G10" s="339" t="str">
        <f t="shared" si="0"/>
        <v>Yes</v>
      </c>
      <c r="H10" s="339" t="str">
        <f t="shared" si="1"/>
        <v>Yes</v>
      </c>
      <c r="I10" s="453">
        <f>SUMIF('Diags Raw Data'!$A$6:$A$3687,"*"&amp;$A10&amp;"*",'Diags Raw Data'!$K$6:$K$3687)</f>
        <v>24</v>
      </c>
      <c r="J10" s="455">
        <f>SUMIF('Diags Raw Data'!$A$6:$A$3687,"*"&amp;$A10&amp;"*",'Diags Raw Data'!$L$6:$L$3687)</f>
        <v>1</v>
      </c>
      <c r="K10" s="507" cm="1">
        <f t="array" ref="K10">IF(D10="",0, SUMPRODUCT(--(ISNUMBER(SEARCH($A10,'Diags Raw Data'!$A$6:$A$3687))),'Diags Raw Data'!$L$6:$L$3687,'Diags Raw Data'!$N$6:$N$3687)/J10)</f>
        <v>1</v>
      </c>
      <c r="L10" s="508" cm="1">
        <f t="array" ref="L10">IF(D10="",0, SUMPRODUCT(--(ISNUMBER(SEARCH($A10,'Diags Raw Data'!$A$6:$A$3687))),'Diags Raw Data'!$L$6:$L$3687,'Diags Raw Data'!$P$6:$P$3687)/J10)</f>
        <v>1</v>
      </c>
      <c r="M10" s="509" cm="1">
        <f t="array" ref="M10">SUMPRODUCT(--(ISNUMBER(SEARCH($A10,'Diags Raw Data'!$A$6:$A$3687))),--('Diags Raw Data'!$Q$6:$Q$3687&lt;&gt;"N/A"),'Diags Raw Data'!$R$6:$R$3687)</f>
        <v>1</v>
      </c>
      <c r="N10" s="510" cm="1">
        <f t="array" ref="N10">SUMPRODUCT(--(ISNUMBER(SEARCH($A10,'Diags Raw Data'!$A$6:$A$3687))),--('Diags Raw Data'!$Q$6:$Q$3687&lt;&gt;"N/A"),'Diags Raw Data'!$T$6:$T$3687)+SUMPRODUCT(--(ISNUMBER(SEARCH($A10,'Diags Raw Data'!$A$6:$A$3687))),--('Diags Raw Data'!$Q$6:$Q$3687&lt;&gt;"N/A"),'Diags Raw Data'!$U$6:$U$3687)</f>
        <v>1</v>
      </c>
      <c r="O10" s="511">
        <f t="shared" si="2"/>
        <v>1</v>
      </c>
      <c r="P10" s="512">
        <f>SUMIF('Diags Raw Data'!$A$6:$A$3687,"*"&amp;$A10&amp;"*",'Diags Raw Data'!$Z$6:$Z$3687)</f>
        <v>0</v>
      </c>
      <c r="Q10" s="513">
        <f>SUM(SUMIF('Diags Raw Data'!$A$6:$A$3687,"*"&amp;$A10&amp;"*",'Diags Raw Data'!$AA$6:$AA$3687),SUMIF('Diags Raw Data'!$A$6:$A$3687,"*"&amp;$A10&amp;"*",'Diags Raw Data'!$AB$6:$AB$3687))</f>
        <v>0</v>
      </c>
      <c r="R10" s="514">
        <f t="shared" si="3"/>
        <v>0</v>
      </c>
      <c r="S10" s="514">
        <f t="shared" si="4"/>
        <v>0</v>
      </c>
      <c r="T10" s="515">
        <f t="shared" si="5"/>
        <v>0</v>
      </c>
      <c r="U10" s="456" t="s">
        <v>576</v>
      </c>
      <c r="V10" s="180"/>
    </row>
    <row r="11" spans="1:23" ht="29.1">
      <c r="A11" s="561" t="s">
        <v>547</v>
      </c>
      <c r="B11" s="452" t="str">
        <f>VLOOKUP(A11,'Feature Raw Data'!$A$3:$B$3996,2,FALSE)</f>
        <v>Security: ASP Private DRAM 8MB area</v>
      </c>
      <c r="C11" s="453" t="str">
        <f>VLOOKUP(A11,'Feature Raw Data'!$A$3:$C$3996,3,FALSE)</f>
        <v>P2</v>
      </c>
      <c r="D11" s="454" t="str" cm="1">
        <f t="array" ref="D11">_xlfn.TEXTJOIN("",TRUE,IF(ISNUMBER(SEARCH($A11,'Diags Raw Data'!$A$6:$A$3687)),CONCATENATE('Diags Raw Data'!$H$6:$H$3687,", "),""))</f>
        <v xml:space="preserve">
psp1.4, </v>
      </c>
      <c r="E11" s="339" t="e">
        <f>VLOOKUP(A11,'Diags Raw Data'!$A$6:$D$3687,4,FALSE)</f>
        <v>#N/A</v>
      </c>
      <c r="F11" s="339" t="str">
        <f>VLOOKUP(A11,'Feature Raw Data'!$A$3:$E$3996,5,FALSE)</f>
        <v>Legacy</v>
      </c>
      <c r="G11" s="339" t="str">
        <f t="shared" si="0"/>
        <v>Yes</v>
      </c>
      <c r="H11" s="339" t="str">
        <f t="shared" si="1"/>
        <v>Yes</v>
      </c>
      <c r="I11" s="453">
        <f>SUMIF('Diags Raw Data'!$A$6:$A$3687,"*"&amp;$A11&amp;"*",'Diags Raw Data'!$K$6:$K$3687)</f>
        <v>24</v>
      </c>
      <c r="J11" s="455">
        <f>SUMIF('Diags Raw Data'!$A$6:$A$3687,"*"&amp;$A11&amp;"*",'Diags Raw Data'!$L$6:$L$3687)</f>
        <v>1</v>
      </c>
      <c r="K11" s="507" cm="1">
        <f t="array" ref="K11">IF(D11="",0, SUMPRODUCT(--(ISNUMBER(SEARCH($A11,'Diags Raw Data'!$A$6:$A$3687))),'Diags Raw Data'!$L$6:$L$3687,'Diags Raw Data'!$N$6:$N$3687)/J11)</f>
        <v>1</v>
      </c>
      <c r="L11" s="508" cm="1">
        <f t="array" ref="L11">IF(D11="",0, SUMPRODUCT(--(ISNUMBER(SEARCH($A11,'Diags Raw Data'!$A$6:$A$3687))),'Diags Raw Data'!$L$6:$L$3687,'Diags Raw Data'!$P$6:$P$3687)/J11)</f>
        <v>1</v>
      </c>
      <c r="M11" s="509" cm="1">
        <f t="array" ref="M11">SUMPRODUCT(--(ISNUMBER(SEARCH($A11,'Diags Raw Data'!$A$6:$A$3687))),--('Diags Raw Data'!$Q$6:$Q$3687&lt;&gt;"N/A"),'Diags Raw Data'!$R$6:$R$3687)</f>
        <v>0</v>
      </c>
      <c r="N11" s="510" cm="1">
        <f t="array" ref="N11">SUMPRODUCT(--(ISNUMBER(SEARCH($A11,'Diags Raw Data'!$A$6:$A$3687))),--('Diags Raw Data'!$Q$6:$Q$3687&lt;&gt;"N/A"),'Diags Raw Data'!$T$6:$T$3687)+SUMPRODUCT(--(ISNUMBER(SEARCH($A11,'Diags Raw Data'!$A$6:$A$3687))),--('Diags Raw Data'!$Q$6:$Q$3687&lt;&gt;"N/A"),'Diags Raw Data'!$U$6:$U$3687)</f>
        <v>0</v>
      </c>
      <c r="O11" s="511">
        <f t="shared" si="2"/>
        <v>0</v>
      </c>
      <c r="P11" s="512">
        <f>SUMIF('Diags Raw Data'!$A$6:$A$3687,"*"&amp;$A11&amp;"*",'Diags Raw Data'!$Z$6:$Z$3687)</f>
        <v>0</v>
      </c>
      <c r="Q11" s="513">
        <f>SUM(SUMIF('Diags Raw Data'!$A$6:$A$3687,"*"&amp;$A11&amp;"*",'Diags Raw Data'!$AA$6:$AA$3687),SUMIF('Diags Raw Data'!$A$6:$A$3687,"*"&amp;$A11&amp;"*",'Diags Raw Data'!$AB$6:$AB$3687))</f>
        <v>0</v>
      </c>
      <c r="R11" s="514">
        <f t="shared" si="3"/>
        <v>0</v>
      </c>
      <c r="S11" s="514">
        <f t="shared" si="4"/>
        <v>0</v>
      </c>
      <c r="T11" s="515">
        <f t="shared" si="5"/>
        <v>0</v>
      </c>
      <c r="U11" s="456" t="s">
        <v>574</v>
      </c>
      <c r="V11" s="180"/>
    </row>
    <row r="12" spans="1:23">
      <c r="A12" s="561" t="s">
        <v>550</v>
      </c>
      <c r="B12" s="452" t="str">
        <f>VLOOKUP(A12,'Feature Raw Data'!$A$3:$B$3996,2,FALSE)</f>
        <v>ASP: HUBIF TLB mapping</v>
      </c>
      <c r="C12" s="453" t="str">
        <f>VLOOKUP(A12,'Feature Raw Data'!$A$3:$C$3996,3,FALSE)</f>
        <v>P1</v>
      </c>
      <c r="D12" s="454" t="str" cm="1">
        <f t="array" ref="D12">_xlfn.TEXTJOIN("",TRUE,IF(ISNUMBER(SEARCH($A12,'Diags Raw Data'!$A$6:$A$3687)),CONCATENATE('Diags Raw Data'!$H$6:$H$3687,", "),""))</f>
        <v xml:space="preserve">asp.basic.hubif, </v>
      </c>
      <c r="E12" s="339" t="e">
        <f>VLOOKUP(A12,'Diags Raw Data'!$A$6:$D$3687,4,FALSE)</f>
        <v>#N/A</v>
      </c>
      <c r="F12" s="339" t="str">
        <f>VLOOKUP(A12,'Feature Raw Data'!$A$3:$E$3996,5,FALSE)</f>
        <v>Legacy</v>
      </c>
      <c r="G12" s="339" t="str">
        <f t="shared" si="0"/>
        <v>Yes</v>
      </c>
      <c r="H12" s="339" t="str">
        <f t="shared" si="1"/>
        <v>Yes</v>
      </c>
      <c r="I12" s="453">
        <f>SUMIF('Diags Raw Data'!$A$6:$A$3687,"*"&amp;$A12&amp;"*",'Diags Raw Data'!$K$6:$K$3687)</f>
        <v>40</v>
      </c>
      <c r="J12" s="455">
        <f>SUMIF('Diags Raw Data'!$A$6:$A$3687,"*"&amp;$A12&amp;"*",'Diags Raw Data'!$L$6:$L$3687)</f>
        <v>1</v>
      </c>
      <c r="K12" s="507" cm="1">
        <f t="array" ref="K12">IF(D12="",0, SUMPRODUCT(--(ISNUMBER(SEARCH($A12,'Diags Raw Data'!$A$6:$A$3687))),'Diags Raw Data'!$L$6:$L$3687,'Diags Raw Data'!$N$6:$N$3687)/J12)</f>
        <v>1</v>
      </c>
      <c r="L12" s="508" cm="1">
        <f t="array" ref="L12">IF(D12="",0, SUMPRODUCT(--(ISNUMBER(SEARCH($A12,'Diags Raw Data'!$A$6:$A$3687))),'Diags Raw Data'!$L$6:$L$3687,'Diags Raw Data'!$P$6:$P$3687)/J12)</f>
        <v>1</v>
      </c>
      <c r="M12" s="509" cm="1">
        <f t="array" ref="M12">SUMPRODUCT(--(ISNUMBER(SEARCH($A12,'Diags Raw Data'!$A$6:$A$3687))),--('Diags Raw Data'!$Q$6:$Q$3687&lt;&gt;"N/A"),'Diags Raw Data'!$R$6:$R$3687)</f>
        <v>1</v>
      </c>
      <c r="N12" s="510" cm="1">
        <f t="array" ref="N12">SUMPRODUCT(--(ISNUMBER(SEARCH($A12,'Diags Raw Data'!$A$6:$A$3687))),--('Diags Raw Data'!$Q$6:$Q$3687&lt;&gt;"N/A"),'Diags Raw Data'!$T$6:$T$3687)+SUMPRODUCT(--(ISNUMBER(SEARCH($A12,'Diags Raw Data'!$A$6:$A$3687))),--('Diags Raw Data'!$Q$6:$Q$3687&lt;&gt;"N/A"),'Diags Raw Data'!$U$6:$U$3687)</f>
        <v>1</v>
      </c>
      <c r="O12" s="511">
        <f t="shared" si="2"/>
        <v>1</v>
      </c>
      <c r="P12" s="512">
        <f>SUMIF('Diags Raw Data'!$A$6:$A$3687,"*"&amp;$A12&amp;"*",'Diags Raw Data'!$Z$6:$Z$3687)</f>
        <v>0</v>
      </c>
      <c r="Q12" s="513">
        <f>SUM(SUMIF('Diags Raw Data'!$A$6:$A$3687,"*"&amp;$A12&amp;"*",'Diags Raw Data'!$AA$6:$AA$3687),SUMIF('Diags Raw Data'!$A$6:$A$3687,"*"&amp;$A12&amp;"*",'Diags Raw Data'!$AB$6:$AB$3687))</f>
        <v>0</v>
      </c>
      <c r="R12" s="514">
        <f t="shared" si="3"/>
        <v>0</v>
      </c>
      <c r="S12" s="514">
        <f t="shared" si="4"/>
        <v>0</v>
      </c>
      <c r="T12" s="515">
        <f t="shared" si="5"/>
        <v>0</v>
      </c>
      <c r="U12" s="456" t="s">
        <v>575</v>
      </c>
      <c r="V12" s="180"/>
    </row>
    <row r="13" spans="1:23" ht="29.1">
      <c r="A13" s="561" t="s">
        <v>553</v>
      </c>
      <c r="B13" s="452" t="str">
        <f>VLOOKUP(A13,'Feature Raw Data'!$A$3:$B$3996,2,FALSE)</f>
        <v>ASP: HUBIF inline AES computation</v>
      </c>
      <c r="C13" s="453" t="str">
        <f>VLOOKUP(A13,'Feature Raw Data'!$A$3:$C$3996,3,FALSE)</f>
        <v>P2</v>
      </c>
      <c r="D13" s="454" t="str" cm="1">
        <f t="array" ref="D13">_xlfn.TEXTJOIN("",TRUE,IF(ISNUMBER(SEARCH($A13,'Diags Raw Data'!$A$6:$A$3687)),CONCATENATE('Diags Raw Data'!$H$6:$H$3687,", "),""))</f>
        <v xml:space="preserve">asp.basic.hubif, </v>
      </c>
      <c r="E13" s="339" t="e">
        <f>VLOOKUP(A13,'Diags Raw Data'!$A$6:$D$3687,4,FALSE)</f>
        <v>#N/A</v>
      </c>
      <c r="F13" s="339" t="str">
        <f>VLOOKUP(A13,'Feature Raw Data'!$A$3:$E$3996,5,FALSE)</f>
        <v>Legacy</v>
      </c>
      <c r="G13" s="339" t="str">
        <f t="shared" si="0"/>
        <v>Yes</v>
      </c>
      <c r="H13" s="339" t="str">
        <f t="shared" si="1"/>
        <v>Yes</v>
      </c>
      <c r="I13" s="453">
        <f>SUMIF('Diags Raw Data'!$A$6:$A$3687,"*"&amp;$A13&amp;"*",'Diags Raw Data'!$K$6:$K$3687)</f>
        <v>40</v>
      </c>
      <c r="J13" s="455">
        <f>SUMIF('Diags Raw Data'!$A$6:$A$3687,"*"&amp;$A13&amp;"*",'Diags Raw Data'!$L$6:$L$3687)</f>
        <v>1</v>
      </c>
      <c r="K13" s="507" cm="1">
        <f t="array" ref="K13">IF(D13="",0, SUMPRODUCT(--(ISNUMBER(SEARCH($A13,'Diags Raw Data'!$A$6:$A$3687))),'Diags Raw Data'!$L$6:$L$3687,'Diags Raw Data'!$N$6:$N$3687)/J13)</f>
        <v>1</v>
      </c>
      <c r="L13" s="508" cm="1">
        <f t="array" ref="L13">IF(D13="",0, SUMPRODUCT(--(ISNUMBER(SEARCH($A13,'Diags Raw Data'!$A$6:$A$3687))),'Diags Raw Data'!$L$6:$L$3687,'Diags Raw Data'!$P$6:$P$3687)/J13)</f>
        <v>1</v>
      </c>
      <c r="M13" s="509" cm="1">
        <f t="array" ref="M13">SUMPRODUCT(--(ISNUMBER(SEARCH($A13,'Diags Raw Data'!$A$6:$A$3687))),--('Diags Raw Data'!$Q$6:$Q$3687&lt;&gt;"N/A"),'Diags Raw Data'!$R$6:$R$3687)</f>
        <v>1</v>
      </c>
      <c r="N13" s="510" cm="1">
        <f t="array" ref="N13">SUMPRODUCT(--(ISNUMBER(SEARCH($A13,'Diags Raw Data'!$A$6:$A$3687))),--('Diags Raw Data'!$Q$6:$Q$3687&lt;&gt;"N/A"),'Diags Raw Data'!$T$6:$T$3687)+SUMPRODUCT(--(ISNUMBER(SEARCH($A13,'Diags Raw Data'!$A$6:$A$3687))),--('Diags Raw Data'!$Q$6:$Q$3687&lt;&gt;"N/A"),'Diags Raw Data'!$U$6:$U$3687)</f>
        <v>1</v>
      </c>
      <c r="O13" s="511">
        <f>IF((M13=0),0,N13/M13)</f>
        <v>1</v>
      </c>
      <c r="P13" s="512">
        <f>SUMIF('Diags Raw Data'!$A$6:$A$3687,"*"&amp;$A13&amp;"*",'Diags Raw Data'!$Z$6:$Z$3687)</f>
        <v>0</v>
      </c>
      <c r="Q13" s="513">
        <f>SUM(SUMIF('Diags Raw Data'!$A$6:$A$3687,"*"&amp;$A13&amp;"*",'Diags Raw Data'!$AA$6:$AA$3687),SUMIF('Diags Raw Data'!$A$6:$A$3687,"*"&amp;$A13&amp;"*",'Diags Raw Data'!$AB$6:$AB$3687))</f>
        <v>0</v>
      </c>
      <c r="R13" s="514">
        <f t="shared" si="3"/>
        <v>0</v>
      </c>
      <c r="S13" s="514">
        <f t="shared" si="4"/>
        <v>0</v>
      </c>
      <c r="T13" s="515">
        <f t="shared" si="5"/>
        <v>0</v>
      </c>
      <c r="U13" s="456" t="s">
        <v>576</v>
      </c>
      <c r="V13" s="180"/>
    </row>
    <row r="14" spans="1:23" ht="29.1">
      <c r="A14" s="561" t="s">
        <v>340</v>
      </c>
      <c r="B14" s="452" t="str">
        <f>VLOOKUP(A14,'Feature Raw Data'!$A$3:$B$3996,2,FALSE)</f>
        <v>ASP: HUBIF access violation and interrupt</v>
      </c>
      <c r="C14" s="453" t="str">
        <f>VLOOKUP(A14,'Feature Raw Data'!$A$3:$C$3996,3,FALSE)</f>
        <v>P3</v>
      </c>
      <c r="D14" s="454" t="str" cm="1">
        <f t="array" ref="D14">_xlfn.TEXTJOIN("",TRUE,IF(ISNUMBER(SEARCH($A14,'Diags Raw Data'!$A$6:$A$3687)),CONCATENATE('Diags Raw Data'!$H$6:$H$3687,", "),""))</f>
        <v xml:space="preserve">psp1.15, </v>
      </c>
      <c r="E14" s="339" t="str">
        <f>VLOOKUP(A14,'Diags Raw Data'!$A$6:$D$3687,4,FALSE)</f>
        <v>MPASP</v>
      </c>
      <c r="F14" s="339" t="str">
        <f>VLOOKUP(A14,'Feature Raw Data'!$A$3:$E$3996,5,FALSE)</f>
        <v>Legacy</v>
      </c>
      <c r="G14" s="339" t="str">
        <f t="shared" si="0"/>
        <v>Yes</v>
      </c>
      <c r="H14" s="339" t="str">
        <f t="shared" si="1"/>
        <v>Yes</v>
      </c>
      <c r="I14" s="453">
        <f>SUMIF('Diags Raw Data'!$A$6:$A$3687,"*"&amp;$A14&amp;"*",'Diags Raw Data'!$K$6:$K$3687)</f>
        <v>32</v>
      </c>
      <c r="J14" s="455">
        <f>SUMIF('Diags Raw Data'!$A$6:$A$3687,"*"&amp;$A14&amp;"*",'Diags Raw Data'!$L$6:$L$3687)</f>
        <v>1</v>
      </c>
      <c r="K14" s="507" cm="1">
        <f t="array" ref="K14">IF(D14="",0, SUMPRODUCT(--(ISNUMBER(SEARCH($A14,'Diags Raw Data'!$A$6:$A$3687))),'Diags Raw Data'!$L$6:$L$3687,'Diags Raw Data'!$N$6:$N$3687)/J14)</f>
        <v>1</v>
      </c>
      <c r="L14" s="508" cm="1">
        <f t="array" ref="L14">IF(D14="",0, SUMPRODUCT(--(ISNUMBER(SEARCH($A14,'Diags Raw Data'!$A$6:$A$3687))),'Diags Raw Data'!$L$6:$L$3687,'Diags Raw Data'!$P$6:$P$3687)/J14)</f>
        <v>1</v>
      </c>
      <c r="M14" s="509" cm="1">
        <f t="array" ref="M14">SUMPRODUCT(--(ISNUMBER(SEARCH($A14,'Diags Raw Data'!$A$6:$A$3687))),--('Diags Raw Data'!$Q$6:$Q$3687&lt;&gt;"N/A"),'Diags Raw Data'!$R$6:$R$3687)</f>
        <v>0</v>
      </c>
      <c r="N14" s="510" cm="1">
        <f t="array" ref="N14">SUMPRODUCT(--(ISNUMBER(SEARCH($A14,'Diags Raw Data'!$A$6:$A$3687))),--('Diags Raw Data'!$Q$6:$Q$3687&lt;&gt;"N/A"),'Diags Raw Data'!$T$6:$T$3687)+SUMPRODUCT(--(ISNUMBER(SEARCH($A14,'Diags Raw Data'!$A$6:$A$3687))),--('Diags Raw Data'!$Q$6:$Q$3687&lt;&gt;"N/A"),'Diags Raw Data'!$U$6:$U$3687)</f>
        <v>0</v>
      </c>
      <c r="O14" s="511">
        <f t="shared" si="2"/>
        <v>0</v>
      </c>
      <c r="P14" s="512">
        <f>SUMIF('Diags Raw Data'!$A$6:$A$3687,"*"&amp;$A14&amp;"*",'Diags Raw Data'!$Z$6:$Z$3687)</f>
        <v>0</v>
      </c>
      <c r="Q14" s="513">
        <f>SUM(SUMIF('Diags Raw Data'!$A$6:$A$3687,"*"&amp;$A14&amp;"*",'Diags Raw Data'!$AA$6:$AA$3687),SUMIF('Diags Raw Data'!$A$6:$A$3687,"*"&amp;$A14&amp;"*",'Diags Raw Data'!$AB$6:$AB$3687))</f>
        <v>0</v>
      </c>
      <c r="R14" s="514">
        <f t="shared" si="3"/>
        <v>0</v>
      </c>
      <c r="S14" s="514">
        <f t="shared" si="4"/>
        <v>0</v>
      </c>
      <c r="T14" s="515">
        <f t="shared" si="5"/>
        <v>0</v>
      </c>
      <c r="U14" s="456" t="s">
        <v>286</v>
      </c>
      <c r="V14" s="180"/>
    </row>
    <row r="15" spans="1:23" ht="43.5">
      <c r="A15" s="561" t="s">
        <v>313</v>
      </c>
      <c r="B15" s="452" t="str">
        <f>VLOOKUP(A15,'Feature Raw Data'!$A$3:$B$3996,2,FALSE)</f>
        <v>ASP: Security Fencing: MP0 public space, private space, SRAM, ROM</v>
      </c>
      <c r="C15" s="453" t="str">
        <f>VLOOKUP(A15,'Feature Raw Data'!$A$3:$C$3996,3,FALSE)</f>
        <v>P2</v>
      </c>
      <c r="D15" s="454" t="str" cm="1">
        <f t="array" ref="D15">_xlfn.TEXTJOIN("",TRUE,IF(ISNUMBER(SEARCH($A15,'Diags Raw Data'!$A$6:$A$3687)),CONCATENATE('Diags Raw Data'!$H$6:$H$3687,", "),""))</f>
        <v xml:space="preserve">asp.basic.register_access, asp.basic.sram_access, </v>
      </c>
      <c r="E15" s="339" t="str">
        <f>VLOOKUP(A15,'Diags Raw Data'!$A$6:$D$3687,4,FALSE)</f>
        <v>MPASP</v>
      </c>
      <c r="F15" s="339" t="str">
        <f>VLOOKUP(A15,'Feature Raw Data'!$A$3:$E$3996,5,FALSE)</f>
        <v>Legacy</v>
      </c>
      <c r="G15" s="339" t="str">
        <f t="shared" si="0"/>
        <v>Yes</v>
      </c>
      <c r="H15" s="339" t="str">
        <f t="shared" si="1"/>
        <v>Yes</v>
      </c>
      <c r="I15" s="453">
        <f>SUMIF('Diags Raw Data'!$A$6:$A$3687,"*"&amp;$A15&amp;"*",'Diags Raw Data'!$K$6:$K$3687)</f>
        <v>48</v>
      </c>
      <c r="J15" s="455">
        <f>SUMIF('Diags Raw Data'!$A$6:$A$3687,"*"&amp;$A15&amp;"*",'Diags Raw Data'!$L$6:$L$3687)</f>
        <v>2</v>
      </c>
      <c r="K15" s="507" cm="1">
        <f t="array" ref="K15">IF(D15="",0, SUMPRODUCT(--(ISNUMBER(SEARCH($A15,'Diags Raw Data'!$A$6:$A$3687))),'Diags Raw Data'!$L$6:$L$3687,'Diags Raw Data'!$N$6:$N$3687)/J15)</f>
        <v>1</v>
      </c>
      <c r="L15" s="508" cm="1">
        <f t="array" ref="L15">IF(D15="",0, SUMPRODUCT(--(ISNUMBER(SEARCH($A15,'Diags Raw Data'!$A$6:$A$3687))),'Diags Raw Data'!$L$6:$L$3687,'Diags Raw Data'!$P$6:$P$3687)/J15)</f>
        <v>1</v>
      </c>
      <c r="M15" s="509" cm="1">
        <f t="array" ref="M15">SUMPRODUCT(--(ISNUMBER(SEARCH($A15,'Diags Raw Data'!$A$6:$A$3687))),--('Diags Raw Data'!$Q$6:$Q$3687&lt;&gt;"N/A"),'Diags Raw Data'!$R$6:$R$3687)</f>
        <v>2</v>
      </c>
      <c r="N15" s="510" cm="1">
        <f t="array" ref="N15">SUMPRODUCT(--(ISNUMBER(SEARCH($A15,'Diags Raw Data'!$A$6:$A$3687))),--('Diags Raw Data'!$Q$6:$Q$3687&lt;&gt;"N/A"),'Diags Raw Data'!$T$6:$T$3687)+SUMPRODUCT(--(ISNUMBER(SEARCH($A15,'Diags Raw Data'!$A$6:$A$3687))),--('Diags Raw Data'!$Q$6:$Q$3687&lt;&gt;"N/A"),'Diags Raw Data'!$U$6:$U$3687)</f>
        <v>2</v>
      </c>
      <c r="O15" s="511">
        <f t="shared" si="2"/>
        <v>1</v>
      </c>
      <c r="P15" s="512">
        <f>SUMIF('Diags Raw Data'!$A$6:$A$3687,"*"&amp;$A15&amp;"*",'Diags Raw Data'!$Z$6:$Z$3687)</f>
        <v>0</v>
      </c>
      <c r="Q15" s="513">
        <f>SUM(SUMIF('Diags Raw Data'!$A$6:$A$3687,"*"&amp;$A15&amp;"*",'Diags Raw Data'!$AA$6:$AA$3687),SUMIF('Diags Raw Data'!$A$6:$A$3687,"*"&amp;$A15&amp;"*",'Diags Raw Data'!$AB$6:$AB$3687))</f>
        <v>0</v>
      </c>
      <c r="R15" s="514">
        <f t="shared" si="3"/>
        <v>0</v>
      </c>
      <c r="S15" s="514">
        <f t="shared" si="4"/>
        <v>0</v>
      </c>
      <c r="T15" s="515">
        <f t="shared" si="5"/>
        <v>0</v>
      </c>
      <c r="U15" s="456" t="s">
        <v>575</v>
      </c>
      <c r="V15" s="180"/>
    </row>
    <row r="16" spans="1:23" ht="29.1">
      <c r="A16" s="561" t="s">
        <v>348</v>
      </c>
      <c r="B16" s="452" t="str">
        <f>VLOOKUP(A16,'Feature Raw Data'!$A$3:$B$3996,2,FALSE)</f>
        <v>ASP: CRU: Access Violation Interrupt control</v>
      </c>
      <c r="C16" s="453" t="str">
        <f>VLOOKUP(A16,'Feature Raw Data'!$A$3:$C$3996,3,FALSE)</f>
        <v>P3</v>
      </c>
      <c r="D16" s="454" t="str" cm="1">
        <f t="array" ref="D16">_xlfn.TEXTJOIN("",TRUE,IF(ISNUMBER(SEARCH($A16,'Diags Raw Data'!$A$6:$A$3687)),CONCATENATE('Diags Raw Data'!$H$6:$H$3687,", "),""))</f>
        <v xml:space="preserve">psp1.97, </v>
      </c>
      <c r="E16" s="339" t="str">
        <f>VLOOKUP(A16,'Diags Raw Data'!$A$6:$D$3687,4,FALSE)</f>
        <v>MPASP</v>
      </c>
      <c r="F16" s="339" t="str">
        <f>VLOOKUP(A16,'Feature Raw Data'!$A$3:$E$3996,5,FALSE)</f>
        <v>Legacy</v>
      </c>
      <c r="G16" s="339" t="str">
        <f t="shared" si="0"/>
        <v>Yes</v>
      </c>
      <c r="H16" s="339" t="str">
        <f t="shared" si="1"/>
        <v>Yes</v>
      </c>
      <c r="I16" s="453">
        <f>SUMIF('Diags Raw Data'!$A$6:$A$3687,"*"&amp;$A16&amp;"*",'Diags Raw Data'!$K$6:$K$3687)</f>
        <v>32</v>
      </c>
      <c r="J16" s="455">
        <f>SUMIF('Diags Raw Data'!$A$6:$A$3687,"*"&amp;$A16&amp;"*",'Diags Raw Data'!$L$6:$L$3687)</f>
        <v>1</v>
      </c>
      <c r="K16" s="507" cm="1">
        <f t="array" ref="K16">IF(D16="",0, SUMPRODUCT(--(ISNUMBER(SEARCH($A16,'Diags Raw Data'!$A$6:$A$3687))),'Diags Raw Data'!$L$6:$L$3687,'Diags Raw Data'!$N$6:$N$3687)/J16)</f>
        <v>1</v>
      </c>
      <c r="L16" s="508" cm="1">
        <f t="array" ref="L16">IF(D16="",0, SUMPRODUCT(--(ISNUMBER(SEARCH($A16,'Diags Raw Data'!$A$6:$A$3687))),'Diags Raw Data'!$L$6:$L$3687,'Diags Raw Data'!$P$6:$P$3687)/J16)</f>
        <v>1</v>
      </c>
      <c r="M16" s="509" cm="1">
        <f t="array" ref="M16">SUMPRODUCT(--(ISNUMBER(SEARCH($A16,'Diags Raw Data'!$A$6:$A$3687))),--('Diags Raw Data'!$Q$6:$Q$3687&lt;&gt;"N/A"),'Diags Raw Data'!$R$6:$R$3687)</f>
        <v>0</v>
      </c>
      <c r="N16" s="510" cm="1">
        <f t="array" ref="N16">SUMPRODUCT(--(ISNUMBER(SEARCH($A16,'Diags Raw Data'!$A$6:$A$3687))),--('Diags Raw Data'!$Q$6:$Q$3687&lt;&gt;"N/A"),'Diags Raw Data'!$T$6:$T$3687)+SUMPRODUCT(--(ISNUMBER(SEARCH($A16,'Diags Raw Data'!$A$6:$A$3687))),--('Diags Raw Data'!$Q$6:$Q$3687&lt;&gt;"N/A"),'Diags Raw Data'!$U$6:$U$3687)</f>
        <v>0</v>
      </c>
      <c r="O16" s="511">
        <f t="shared" si="2"/>
        <v>0</v>
      </c>
      <c r="P16" s="512">
        <f>SUMIF('Diags Raw Data'!$A$6:$A$3687,"*"&amp;$A16&amp;"*",'Diags Raw Data'!$Z$6:$Z$3687)</f>
        <v>0</v>
      </c>
      <c r="Q16" s="513">
        <f>SUM(SUMIF('Diags Raw Data'!$A$6:$A$3687,"*"&amp;$A16&amp;"*",'Diags Raw Data'!$AA$6:$AA$3687),SUMIF('Diags Raw Data'!$A$6:$A$3687,"*"&amp;$A16&amp;"*",'Diags Raw Data'!$AB$6:$AB$3687))</f>
        <v>0</v>
      </c>
      <c r="R16" s="514">
        <f t="shared" si="3"/>
        <v>0</v>
      </c>
      <c r="S16" s="514">
        <f t="shared" si="4"/>
        <v>0</v>
      </c>
      <c r="T16" s="515">
        <f t="shared" si="5"/>
        <v>0</v>
      </c>
      <c r="U16" s="456" t="s">
        <v>286</v>
      </c>
      <c r="V16" s="180"/>
    </row>
    <row r="17" spans="1:22" s="183" customFormat="1" ht="29.1">
      <c r="A17" s="561" t="s">
        <v>352</v>
      </c>
      <c r="B17" s="452" t="str">
        <f>VLOOKUP(A17,'Feature Raw Data'!$A$3:$B$3996,2,FALSE)</f>
        <v>ASP: CRU: Timer control registers and interrupt</v>
      </c>
      <c r="C17" s="453" t="str">
        <f>VLOOKUP(A17,'Feature Raw Data'!$A$3:$C$3996,3,FALSE)</f>
        <v>P3</v>
      </c>
      <c r="D17" s="454" t="str" cm="1">
        <f t="array" ref="D17">_xlfn.TEXTJOIN("",TRUE,IF(ISNUMBER(SEARCH($A17,'Diags Raw Data'!$A$6:$A$3687)),CONCATENATE('Diags Raw Data'!$H$6:$H$3687,", "),""))</f>
        <v xml:space="preserve">psp1.21, </v>
      </c>
      <c r="E17" s="339" t="str">
        <f>VLOOKUP(A17,'Diags Raw Data'!$A$6:$D$3687,4,FALSE)</f>
        <v>MPASP</v>
      </c>
      <c r="F17" s="339" t="str">
        <f>VLOOKUP(A17,'Feature Raw Data'!$A$3:$E$3996,5,FALSE)</f>
        <v>Legacy</v>
      </c>
      <c r="G17" s="339" t="str">
        <f t="shared" si="0"/>
        <v>Yes</v>
      </c>
      <c r="H17" s="339" t="str">
        <f t="shared" si="1"/>
        <v>Yes</v>
      </c>
      <c r="I17" s="453">
        <f>SUMIF('Diags Raw Data'!$A$6:$A$3687,"*"&amp;$A17&amp;"*",'Diags Raw Data'!$K$6:$K$3687)</f>
        <v>32</v>
      </c>
      <c r="J17" s="455">
        <f>SUMIF('Diags Raw Data'!$A$6:$A$3687,"*"&amp;$A17&amp;"*",'Diags Raw Data'!$L$6:$L$3687)</f>
        <v>1</v>
      </c>
      <c r="K17" s="507" cm="1">
        <f t="array" ref="K17">IF(D17="",0, SUMPRODUCT(--(ISNUMBER(SEARCH($A17,'Diags Raw Data'!$A$6:$A$3687))),'Diags Raw Data'!$L$6:$L$3687,'Diags Raw Data'!$N$6:$N$3687)/J17)</f>
        <v>1</v>
      </c>
      <c r="L17" s="508" cm="1">
        <f t="array" ref="L17">IF(D17="",0, SUMPRODUCT(--(ISNUMBER(SEARCH($A17,'Diags Raw Data'!$A$6:$A$3687))),'Diags Raw Data'!$L$6:$L$3687,'Diags Raw Data'!$P$6:$P$3687)/J17)</f>
        <v>1</v>
      </c>
      <c r="M17" s="509" cm="1">
        <f t="array" ref="M17">SUMPRODUCT(--(ISNUMBER(SEARCH($A17,'Diags Raw Data'!$A$6:$A$3687))),--('Diags Raw Data'!$Q$6:$Q$3687&lt;&gt;"N/A"),'Diags Raw Data'!$R$6:$R$3687)</f>
        <v>0</v>
      </c>
      <c r="N17" s="510" cm="1">
        <f t="array" ref="N17">SUMPRODUCT(--(ISNUMBER(SEARCH($A17,'Diags Raw Data'!$A$6:$A$3687))),--('Diags Raw Data'!$Q$6:$Q$3687&lt;&gt;"N/A"),'Diags Raw Data'!$T$6:$T$3687)+SUMPRODUCT(--(ISNUMBER(SEARCH($A17,'Diags Raw Data'!$A$6:$A$3687))),--('Diags Raw Data'!$Q$6:$Q$3687&lt;&gt;"N/A"),'Diags Raw Data'!$U$6:$U$3687)</f>
        <v>0</v>
      </c>
      <c r="O17" s="511">
        <f t="shared" si="2"/>
        <v>0</v>
      </c>
      <c r="P17" s="512">
        <f>SUMIF('Diags Raw Data'!$A$6:$A$3687,"*"&amp;$A17&amp;"*",'Diags Raw Data'!$Z$6:$Z$3687)</f>
        <v>0</v>
      </c>
      <c r="Q17" s="513">
        <f>SUM(SUMIF('Diags Raw Data'!$A$6:$A$3687,"*"&amp;$A17&amp;"*",'Diags Raw Data'!$AA$6:$AA$3687),SUMIF('Diags Raw Data'!$A$6:$A$3687,"*"&amp;$A17&amp;"*",'Diags Raw Data'!$AB$6:$AB$3687))</f>
        <v>0</v>
      </c>
      <c r="R17" s="514">
        <f t="shared" si="3"/>
        <v>0</v>
      </c>
      <c r="S17" s="514">
        <f t="shared" si="4"/>
        <v>0</v>
      </c>
      <c r="T17" s="515">
        <f t="shared" si="5"/>
        <v>0</v>
      </c>
      <c r="U17" s="456" t="s">
        <v>577</v>
      </c>
      <c r="V17" s="182"/>
    </row>
    <row r="18" spans="1:22" ht="29.1">
      <c r="A18" s="561" t="s">
        <v>559</v>
      </c>
      <c r="B18" s="452" t="str">
        <f>VLOOKUP(A18,'Feature Raw Data'!$A$3:$B$3996,2,FALSE)</f>
        <v>ASP: CRU: C2PMSG and interrupts</v>
      </c>
      <c r="C18" s="453" t="str">
        <f>VLOOKUP(A18,'Feature Raw Data'!$A$3:$C$3996,3,FALSE)</f>
        <v>P1</v>
      </c>
      <c r="D18" s="454" t="str" cm="1">
        <f t="array" ref="D18">_xlfn.TEXTJOIN("",TRUE,IF(ISNUMBER(SEARCH($A18,'Diags Raw Data'!$A$6:$A$3687)),CONCATENATE('Diags Raw Data'!$H$6:$H$3687,", "),""))</f>
        <v xml:space="preserve">asp.basic.register_access, </v>
      </c>
      <c r="E18" s="339" t="e">
        <f>VLOOKUP(A18,'Diags Raw Data'!$A$6:$D$3687,4,FALSE)</f>
        <v>#N/A</v>
      </c>
      <c r="F18" s="339" t="str">
        <f>VLOOKUP(A18,'Feature Raw Data'!$A$3:$E$3996,5,FALSE)</f>
        <v>Legacy</v>
      </c>
      <c r="G18" s="339" t="str">
        <f t="shared" si="0"/>
        <v>Yes</v>
      </c>
      <c r="H18" s="339" t="str">
        <f t="shared" si="1"/>
        <v>Yes</v>
      </c>
      <c r="I18" s="453">
        <f>SUMIF('Diags Raw Data'!$A$6:$A$3687,"*"&amp;$A18&amp;"*",'Diags Raw Data'!$K$6:$K$3687)</f>
        <v>24</v>
      </c>
      <c r="J18" s="455">
        <f>SUMIF('Diags Raw Data'!$A$6:$A$3687,"*"&amp;$A18&amp;"*",'Diags Raw Data'!$L$6:$L$3687)</f>
        <v>1</v>
      </c>
      <c r="K18" s="507" cm="1">
        <f t="array" ref="K18">IF(D18="",0, SUMPRODUCT(--(ISNUMBER(SEARCH($A18,'Diags Raw Data'!$A$6:$A$3687))),'Diags Raw Data'!$L$6:$L$3687,'Diags Raw Data'!$N$6:$N$3687)/J18)</f>
        <v>1</v>
      </c>
      <c r="L18" s="508" cm="1">
        <f t="array" ref="L18">IF(D18="",0, SUMPRODUCT(--(ISNUMBER(SEARCH($A18,'Diags Raw Data'!$A$6:$A$3687))),'Diags Raw Data'!$L$6:$L$3687,'Diags Raw Data'!$P$6:$P$3687)/J18)</f>
        <v>1</v>
      </c>
      <c r="M18" s="509" cm="1">
        <f t="array" ref="M18">SUMPRODUCT(--(ISNUMBER(SEARCH($A18,'Diags Raw Data'!$A$6:$A$3687))),--('Diags Raw Data'!$Q$6:$Q$3687&lt;&gt;"N/A"),'Diags Raw Data'!$R$6:$R$3687)</f>
        <v>1</v>
      </c>
      <c r="N18" s="510" cm="1">
        <f t="array" ref="N18">SUMPRODUCT(--(ISNUMBER(SEARCH($A18,'Diags Raw Data'!$A$6:$A$3687))),--('Diags Raw Data'!$Q$6:$Q$3687&lt;&gt;"N/A"),'Diags Raw Data'!$T$6:$T$3687)+SUMPRODUCT(--(ISNUMBER(SEARCH($A18,'Diags Raw Data'!$A$6:$A$3687))),--('Diags Raw Data'!$Q$6:$Q$3687&lt;&gt;"N/A"),'Diags Raw Data'!$U$6:$U$3687)</f>
        <v>1</v>
      </c>
      <c r="O18" s="511">
        <f t="shared" si="2"/>
        <v>1</v>
      </c>
      <c r="P18" s="512">
        <f>SUMIF('Diags Raw Data'!$A$6:$A$3687,"*"&amp;$A18&amp;"*",'Diags Raw Data'!$Z$6:$Z$3687)</f>
        <v>0</v>
      </c>
      <c r="Q18" s="513">
        <f>SUM(SUMIF('Diags Raw Data'!$A$6:$A$3687,"*"&amp;$A18&amp;"*",'Diags Raw Data'!$AA$6:$AA$3687),SUMIF('Diags Raw Data'!$A$6:$A$3687,"*"&amp;$A18&amp;"*",'Diags Raw Data'!$AB$6:$AB$3687))</f>
        <v>0</v>
      </c>
      <c r="R18" s="514">
        <f t="shared" si="3"/>
        <v>0</v>
      </c>
      <c r="S18" s="514">
        <f t="shared" si="4"/>
        <v>0</v>
      </c>
      <c r="T18" s="515">
        <f t="shared" si="5"/>
        <v>0</v>
      </c>
      <c r="U18" s="456" t="s">
        <v>578</v>
      </c>
      <c r="V18" s="180"/>
    </row>
    <row r="19" spans="1:22" ht="29.1">
      <c r="A19" s="561" t="s">
        <v>336</v>
      </c>
      <c r="B19" s="452" t="str">
        <f>VLOOKUP(A19,'Feature Raw Data'!$A$3:$B$3996,2,FALSE)</f>
        <v>ASP: CRU: A5 interrupt to x86 CPU</v>
      </c>
      <c r="C19" s="453" t="str">
        <f>VLOOKUP(A19,'Feature Raw Data'!$A$3:$C$3996,3,FALSE)</f>
        <v>P3</v>
      </c>
      <c r="D19" s="454" t="str" cm="1">
        <f t="array" ref="D19">_xlfn.TEXTJOIN("",TRUE,IF(ISNUMBER(SEARCH($A19,'Diags Raw Data'!$A$6:$A$3687)),CONCATENATE('Diags Raw Data'!$H$6:$H$3687,", "),""))</f>
        <v xml:space="preserve">psp1.13, </v>
      </c>
      <c r="E19" s="339" t="str">
        <f>VLOOKUP(A19,'Diags Raw Data'!$A$6:$D$3687,4,FALSE)</f>
        <v>MPASP</v>
      </c>
      <c r="F19" s="339" t="str">
        <f>VLOOKUP(A19,'Feature Raw Data'!$A$3:$E$3996,5,FALSE)</f>
        <v>Legacy</v>
      </c>
      <c r="G19" s="339" t="str">
        <f t="shared" si="0"/>
        <v>Yes</v>
      </c>
      <c r="H19" s="339" t="str">
        <f t="shared" si="1"/>
        <v>Yes</v>
      </c>
      <c r="I19" s="453">
        <f>SUMIF('Diags Raw Data'!$A$6:$A$3687,"*"&amp;$A19&amp;"*",'Diags Raw Data'!$K$6:$K$3687)</f>
        <v>40</v>
      </c>
      <c r="J19" s="455">
        <f>SUMIF('Diags Raw Data'!$A$6:$A$3687,"*"&amp;$A19&amp;"*",'Diags Raw Data'!$L$6:$L$3687)</f>
        <v>1</v>
      </c>
      <c r="K19" s="507" cm="1">
        <f t="array" ref="K19">IF(D19="",0, SUMPRODUCT(--(ISNUMBER(SEARCH($A19,'Diags Raw Data'!$A$6:$A$3687))),'Diags Raw Data'!$L$6:$L$3687,'Diags Raw Data'!$N$6:$N$3687)/J19)</f>
        <v>1</v>
      </c>
      <c r="L19" s="508" cm="1">
        <f t="array" ref="L19">IF(D19="",0, SUMPRODUCT(--(ISNUMBER(SEARCH($A19,'Diags Raw Data'!$A$6:$A$3687))),'Diags Raw Data'!$L$6:$L$3687,'Diags Raw Data'!$P$6:$P$3687)/J19)</f>
        <v>1</v>
      </c>
      <c r="M19" s="509" cm="1">
        <f t="array" ref="M19">SUMPRODUCT(--(ISNUMBER(SEARCH($A19,'Diags Raw Data'!$A$6:$A$3687))),--('Diags Raw Data'!$Q$6:$Q$3687&lt;&gt;"N/A"),'Diags Raw Data'!$R$6:$R$3687)</f>
        <v>0</v>
      </c>
      <c r="N19" s="510" cm="1">
        <f t="array" ref="N19">SUMPRODUCT(--(ISNUMBER(SEARCH($A19,'Diags Raw Data'!$A$6:$A$3687))),--('Diags Raw Data'!$Q$6:$Q$3687&lt;&gt;"N/A"),'Diags Raw Data'!$T$6:$T$3687)+SUMPRODUCT(--(ISNUMBER(SEARCH($A19,'Diags Raw Data'!$A$6:$A$3687))),--('Diags Raw Data'!$Q$6:$Q$3687&lt;&gt;"N/A"),'Diags Raw Data'!$U$6:$U$3687)</f>
        <v>0</v>
      </c>
      <c r="O19" s="511">
        <f t="shared" si="2"/>
        <v>0</v>
      </c>
      <c r="P19" s="512">
        <f>SUMIF('Diags Raw Data'!$A$6:$A$3687,"*"&amp;$A19&amp;"*",'Diags Raw Data'!$Z$6:$Z$3687)</f>
        <v>0</v>
      </c>
      <c r="Q19" s="513">
        <f>SUM(SUMIF('Diags Raw Data'!$A$6:$A$3687,"*"&amp;$A19&amp;"*",'Diags Raw Data'!$AA$6:$AA$3687),SUMIF('Diags Raw Data'!$A$6:$A$3687,"*"&amp;$A19&amp;"*",'Diags Raw Data'!$AB$6:$AB$3687))</f>
        <v>0</v>
      </c>
      <c r="R19" s="514">
        <f t="shared" si="3"/>
        <v>0</v>
      </c>
      <c r="S19" s="514">
        <f t="shared" si="4"/>
        <v>0</v>
      </c>
      <c r="T19" s="515">
        <f t="shared" si="5"/>
        <v>0</v>
      </c>
      <c r="U19" s="456" t="s">
        <v>579</v>
      </c>
      <c r="V19" s="180"/>
    </row>
    <row r="20" spans="1:22" ht="43.5">
      <c r="A20" s="561" t="s">
        <v>330</v>
      </c>
      <c r="B20" s="452" t="str">
        <f>VLOOKUP(A20,'Feature Raw Data'!$A$3:$B$3996,2,FALSE)</f>
        <v>ASP: CRU: ASP SMU conmunication via P2SMSG/S2PMSG and interrupts</v>
      </c>
      <c r="C20" s="453" t="str">
        <f>VLOOKUP(A20,'Feature Raw Data'!$A$3:$C$3996,3,FALSE)</f>
        <v>P2</v>
      </c>
      <c r="D20" s="454" t="str" cm="1">
        <f t="array" ref="D20">_xlfn.TEXTJOIN("",TRUE,IF(ISNUMBER(SEARCH($A20,'Diags Raw Data'!$A$6:$A$3687)),CONCATENATE('Diags Raw Data'!$H$6:$H$3687,", "),""))</f>
        <v xml:space="preserve">psp1.7, </v>
      </c>
      <c r="E20" s="339" t="str">
        <f>VLOOKUP(A20,'Diags Raw Data'!$A$6:$D$3687,4,FALSE)</f>
        <v>MPASP</v>
      </c>
      <c r="F20" s="339" t="str">
        <f>VLOOKUP(A20,'Feature Raw Data'!$A$3:$E$3996,5,FALSE)</f>
        <v>Legacy</v>
      </c>
      <c r="G20" s="339" t="str">
        <f t="shared" si="0"/>
        <v>Yes</v>
      </c>
      <c r="H20" s="339" t="str">
        <f t="shared" si="1"/>
        <v>Yes</v>
      </c>
      <c r="I20" s="453">
        <f>SUMIF('Diags Raw Data'!$A$6:$A$3687,"*"&amp;$A20&amp;"*",'Diags Raw Data'!$K$6:$K$3687)</f>
        <v>24</v>
      </c>
      <c r="J20" s="455">
        <f>SUMIF('Diags Raw Data'!$A$6:$A$3687,"*"&amp;$A20&amp;"*",'Diags Raw Data'!$L$6:$L$3687)</f>
        <v>1</v>
      </c>
      <c r="K20" s="507" cm="1">
        <f t="array" ref="K20">IF(D20="",0, SUMPRODUCT(--(ISNUMBER(SEARCH($A20,'Diags Raw Data'!$A$6:$A$3687))),'Diags Raw Data'!$L$6:$L$3687,'Diags Raw Data'!$N$6:$N$3687)/J20)</f>
        <v>1</v>
      </c>
      <c r="L20" s="508" cm="1">
        <f t="array" ref="L20">IF(D20="",0, SUMPRODUCT(--(ISNUMBER(SEARCH($A20,'Diags Raw Data'!$A$6:$A$3687))),'Diags Raw Data'!$L$6:$L$3687,'Diags Raw Data'!$P$6:$P$3687)/J20)</f>
        <v>1</v>
      </c>
      <c r="M20" s="509" cm="1">
        <f t="array" ref="M20">SUMPRODUCT(--(ISNUMBER(SEARCH($A20,'Diags Raw Data'!$A$6:$A$3687))),--('Diags Raw Data'!$Q$6:$Q$3687&lt;&gt;"N/A"),'Diags Raw Data'!$R$6:$R$3687)</f>
        <v>1</v>
      </c>
      <c r="N20" s="510" cm="1">
        <f t="array" ref="N20">SUMPRODUCT(--(ISNUMBER(SEARCH($A20,'Diags Raw Data'!$A$6:$A$3687))),--('Diags Raw Data'!$Q$6:$Q$3687&lt;&gt;"N/A"),'Diags Raw Data'!$T$6:$T$3687)+SUMPRODUCT(--(ISNUMBER(SEARCH($A20,'Diags Raw Data'!$A$6:$A$3687))),--('Diags Raw Data'!$Q$6:$Q$3687&lt;&gt;"N/A"),'Diags Raw Data'!$U$6:$U$3687)</f>
        <v>1</v>
      </c>
      <c r="O20" s="511">
        <f t="shared" si="2"/>
        <v>1</v>
      </c>
      <c r="P20" s="512">
        <f>SUMIF('Diags Raw Data'!$A$6:$A$3687,"*"&amp;$A20&amp;"*",'Diags Raw Data'!$Z$6:$Z$3687)</f>
        <v>0</v>
      </c>
      <c r="Q20" s="513">
        <f>SUM(SUMIF('Diags Raw Data'!$A$6:$A$3687,"*"&amp;$A20&amp;"*",'Diags Raw Data'!$AA$6:$AA$3687),SUMIF('Diags Raw Data'!$A$6:$A$3687,"*"&amp;$A20&amp;"*",'Diags Raw Data'!$AB$6:$AB$3687))</f>
        <v>0</v>
      </c>
      <c r="R20" s="514">
        <f t="shared" si="3"/>
        <v>0</v>
      </c>
      <c r="S20" s="514">
        <f t="shared" si="4"/>
        <v>0</v>
      </c>
      <c r="T20" s="515">
        <f t="shared" si="5"/>
        <v>0</v>
      </c>
      <c r="U20" s="456" t="s">
        <v>580</v>
      </c>
      <c r="V20" s="180"/>
    </row>
    <row r="21" spans="1:22">
      <c r="A21" s="561" t="s">
        <v>321</v>
      </c>
      <c r="B21" s="452" t="str">
        <f>VLOOKUP(A21,'Feature Raw Data'!$A$3:$B$3996,2,FALSE)</f>
        <v>ASP: SMNIF TLB Mapping</v>
      </c>
      <c r="C21" s="453" t="str">
        <f>VLOOKUP(A21,'Feature Raw Data'!$A$3:$C$3996,3,FALSE)</f>
        <v>P3</v>
      </c>
      <c r="D21" s="454" t="str" cm="1">
        <f t="array" ref="D21">_xlfn.TEXTJOIN("",TRUE,IF(ISNUMBER(SEARCH($A21,'Diags Raw Data'!$A$6:$A$3687)),CONCATENATE('Diags Raw Data'!$H$6:$H$3687,", "),""))</f>
        <v xml:space="preserve">psp1.4, </v>
      </c>
      <c r="E21" s="339" t="str">
        <f>VLOOKUP(A21,'Diags Raw Data'!$A$6:$D$3687,4,FALSE)</f>
        <v>MPASP</v>
      </c>
      <c r="F21" s="339" t="str">
        <f>VLOOKUP(A21,'Feature Raw Data'!$A$3:$E$3996,5,FALSE)</f>
        <v>Legacy</v>
      </c>
      <c r="G21" s="339" t="str">
        <f t="shared" si="0"/>
        <v>Yes</v>
      </c>
      <c r="H21" s="339" t="str">
        <f t="shared" si="1"/>
        <v>Yes</v>
      </c>
      <c r="I21" s="453">
        <f>SUMIF('Diags Raw Data'!$A$6:$A$3687,"*"&amp;$A21&amp;"*",'Diags Raw Data'!$K$6:$K$3687)</f>
        <v>32</v>
      </c>
      <c r="J21" s="455">
        <f>SUMIF('Diags Raw Data'!$A$6:$A$3687,"*"&amp;$A21&amp;"*",'Diags Raw Data'!$L$6:$L$3687)</f>
        <v>1</v>
      </c>
      <c r="K21" s="507" cm="1">
        <f t="array" ref="K21">IF(D21="",0, SUMPRODUCT(--(ISNUMBER(SEARCH($A21,'Diags Raw Data'!$A$6:$A$3687))),'Diags Raw Data'!$L$6:$L$3687,'Diags Raw Data'!$N$6:$N$3687)/J21)</f>
        <v>1</v>
      </c>
      <c r="L21" s="508" cm="1">
        <f t="array" ref="L21">IF(D21="",0, SUMPRODUCT(--(ISNUMBER(SEARCH($A21,'Diags Raw Data'!$A$6:$A$3687))),'Diags Raw Data'!$L$6:$L$3687,'Diags Raw Data'!$P$6:$P$3687)/J21)</f>
        <v>1</v>
      </c>
      <c r="M21" s="509" cm="1">
        <f t="array" ref="M21">SUMPRODUCT(--(ISNUMBER(SEARCH($A21,'Diags Raw Data'!$A$6:$A$3687))),--('Diags Raw Data'!$Q$6:$Q$3687&lt;&gt;"N/A"),'Diags Raw Data'!$R$6:$R$3687)</f>
        <v>1</v>
      </c>
      <c r="N21" s="510" cm="1">
        <f t="array" ref="N21">SUMPRODUCT(--(ISNUMBER(SEARCH($A21,'Diags Raw Data'!$A$6:$A$3687))),--('Diags Raw Data'!$Q$6:$Q$3687&lt;&gt;"N/A"),'Diags Raw Data'!$T$6:$T$3687)+SUMPRODUCT(--(ISNUMBER(SEARCH($A21,'Diags Raw Data'!$A$6:$A$3687))),--('Diags Raw Data'!$Q$6:$Q$3687&lt;&gt;"N/A"),'Diags Raw Data'!$U$6:$U$3687)</f>
        <v>1</v>
      </c>
      <c r="O21" s="511">
        <f t="shared" si="2"/>
        <v>1</v>
      </c>
      <c r="P21" s="512">
        <f>SUMIF('Diags Raw Data'!$A$6:$A$3687,"*"&amp;$A21&amp;"*",'Diags Raw Data'!$Z$6:$Z$3687)</f>
        <v>0</v>
      </c>
      <c r="Q21" s="513">
        <f>SUM(SUMIF('Diags Raw Data'!$A$6:$A$3687,"*"&amp;$A21&amp;"*",'Diags Raw Data'!$AA$6:$AA$3687),SUMIF('Diags Raw Data'!$A$6:$A$3687,"*"&amp;$A21&amp;"*",'Diags Raw Data'!$AB$6:$AB$3687))</f>
        <v>0</v>
      </c>
      <c r="R21" s="514">
        <f t="shared" si="3"/>
        <v>0</v>
      </c>
      <c r="S21" s="514">
        <f t="shared" si="4"/>
        <v>0</v>
      </c>
      <c r="T21" s="515">
        <f t="shared" si="5"/>
        <v>0</v>
      </c>
      <c r="U21" s="456" t="s">
        <v>577</v>
      </c>
      <c r="V21" s="180"/>
    </row>
    <row r="22" spans="1:22" ht="29.1">
      <c r="A22" s="561" t="s">
        <v>344</v>
      </c>
      <c r="B22" s="452" t="str">
        <f>VLOOKUP(A22,'Feature Raw Data'!$A$3:$B$3996,2,FALSE)</f>
        <v>ASP: RSMU access violation and interrupt</v>
      </c>
      <c r="C22" s="453" t="str">
        <f>VLOOKUP(A22,'Feature Raw Data'!$A$3:$C$3996,3,FALSE)</f>
        <v>P3</v>
      </c>
      <c r="D22" s="454" t="str" cm="1">
        <f t="array" ref="D22">_xlfn.TEXTJOIN("",TRUE,IF(ISNUMBER(SEARCH($A22,'Diags Raw Data'!$A$6:$A$3687)),CONCATENATE('Diags Raw Data'!$H$6:$H$3687,", "),""))</f>
        <v xml:space="preserve">psp1.17, </v>
      </c>
      <c r="E22" s="339" t="str">
        <f>VLOOKUP(A22,'Diags Raw Data'!$A$6:$D$3687,4,FALSE)</f>
        <v>MPASP</v>
      </c>
      <c r="F22" s="339" t="str">
        <f>VLOOKUP(A22,'Feature Raw Data'!$A$3:$E$3996,5,FALSE)</f>
        <v>Legacy</v>
      </c>
      <c r="G22" s="339" t="str">
        <f t="shared" si="0"/>
        <v>Yes</v>
      </c>
      <c r="H22" s="339" t="str">
        <f t="shared" si="1"/>
        <v>Yes</v>
      </c>
      <c r="I22" s="453">
        <f>SUMIF('Diags Raw Data'!$A$6:$A$3687,"*"&amp;$A22&amp;"*",'Diags Raw Data'!$K$6:$K$3687)</f>
        <v>40</v>
      </c>
      <c r="J22" s="455">
        <f>SUMIF('Diags Raw Data'!$A$6:$A$3687,"*"&amp;$A22&amp;"*",'Diags Raw Data'!$L$6:$L$3687)</f>
        <v>1</v>
      </c>
      <c r="K22" s="507" cm="1">
        <f t="array" ref="K22">IF(D22="",0, SUMPRODUCT(--(ISNUMBER(SEARCH($A22,'Diags Raw Data'!$A$6:$A$3687))),'Diags Raw Data'!$L$6:$L$3687,'Diags Raw Data'!$N$6:$N$3687)/J22)</f>
        <v>1</v>
      </c>
      <c r="L22" s="508" cm="1">
        <f t="array" ref="L22">IF(D22="",0, SUMPRODUCT(--(ISNUMBER(SEARCH($A22,'Diags Raw Data'!$A$6:$A$3687))),'Diags Raw Data'!$L$6:$L$3687,'Diags Raw Data'!$P$6:$P$3687)/J22)</f>
        <v>1</v>
      </c>
      <c r="M22" s="509" cm="1">
        <f t="array" ref="M22">SUMPRODUCT(--(ISNUMBER(SEARCH($A22,'Diags Raw Data'!$A$6:$A$3687))),--('Diags Raw Data'!$Q$6:$Q$3687&lt;&gt;"N/A"),'Diags Raw Data'!$R$6:$R$3687)</f>
        <v>0</v>
      </c>
      <c r="N22" s="510" cm="1">
        <f t="array" ref="N22">SUMPRODUCT(--(ISNUMBER(SEARCH($A22,'Diags Raw Data'!$A$6:$A$3687))),--('Diags Raw Data'!$Q$6:$Q$3687&lt;&gt;"N/A"),'Diags Raw Data'!$T$6:$T$3687)+SUMPRODUCT(--(ISNUMBER(SEARCH($A22,'Diags Raw Data'!$A$6:$A$3687))),--('Diags Raw Data'!$Q$6:$Q$3687&lt;&gt;"N/A"),'Diags Raw Data'!$U$6:$U$3687)</f>
        <v>0</v>
      </c>
      <c r="O22" s="511">
        <f t="shared" si="2"/>
        <v>0</v>
      </c>
      <c r="P22" s="512">
        <f>SUMIF('Diags Raw Data'!$A$6:$A$3687,"*"&amp;$A22&amp;"*",'Diags Raw Data'!$Z$6:$Z$3687)</f>
        <v>0</v>
      </c>
      <c r="Q22" s="513">
        <f>SUM(SUMIF('Diags Raw Data'!$A$6:$A$3687,"*"&amp;$A22&amp;"*",'Diags Raw Data'!$AA$6:$AA$3687),SUMIF('Diags Raw Data'!$A$6:$A$3687,"*"&amp;$A22&amp;"*",'Diags Raw Data'!$AB$6:$AB$3687))</f>
        <v>0</v>
      </c>
      <c r="R22" s="514">
        <f t="shared" si="3"/>
        <v>0</v>
      </c>
      <c r="S22" s="514">
        <f t="shared" si="4"/>
        <v>0</v>
      </c>
      <c r="T22" s="515">
        <f t="shared" si="5"/>
        <v>0</v>
      </c>
      <c r="U22" s="456" t="s">
        <v>286</v>
      </c>
      <c r="V22" s="180"/>
    </row>
    <row r="23" spans="1:22">
      <c r="A23" s="561" t="s">
        <v>356</v>
      </c>
      <c r="B23" s="452" t="str">
        <f>VLOOKUP(A23,'Feature Raw Data'!$A$3:$B$3996,2,FALSE)</f>
        <v>ASP: Mutex</v>
      </c>
      <c r="C23" s="453" t="str">
        <f>VLOOKUP(A23,'Feature Raw Data'!$A$3:$C$3996,3,FALSE)</f>
        <v>P3</v>
      </c>
      <c r="D23" s="454" t="str" cm="1">
        <f t="array" ref="D23">_xlfn.TEXTJOIN("",TRUE,IF(ISNUMBER(SEARCH($A23,'Diags Raw Data'!$A$6:$A$3687)),CONCATENATE('Diags Raw Data'!$H$6:$H$3687,", "),""))</f>
        <v xml:space="preserve">psp1.22, </v>
      </c>
      <c r="E23" s="339" t="str">
        <f>VLOOKUP(A23,'Diags Raw Data'!$A$6:$D$3687,4,FALSE)</f>
        <v>MPASP</v>
      </c>
      <c r="F23" s="339" t="str">
        <f>VLOOKUP(A23,'Feature Raw Data'!$A$3:$E$3996,5,FALSE)</f>
        <v>Legacy</v>
      </c>
      <c r="G23" s="339" t="str">
        <f t="shared" si="0"/>
        <v>Yes</v>
      </c>
      <c r="H23" s="339" t="str">
        <f t="shared" si="1"/>
        <v>Yes</v>
      </c>
      <c r="I23" s="453">
        <f>SUMIF('Diags Raw Data'!$A$6:$A$3687,"*"&amp;$A23&amp;"*",'Diags Raw Data'!$K$6:$K$3687)</f>
        <v>32</v>
      </c>
      <c r="J23" s="455">
        <f>SUMIF('Diags Raw Data'!$A$6:$A$3687,"*"&amp;$A23&amp;"*",'Diags Raw Data'!$L$6:$L$3687)</f>
        <v>1</v>
      </c>
      <c r="K23" s="507" cm="1">
        <f t="array" ref="K23">IF(D23="",0, SUMPRODUCT(--(ISNUMBER(SEARCH($A23,'Diags Raw Data'!$A$6:$A$3687))),'Diags Raw Data'!$L$6:$L$3687,'Diags Raw Data'!$N$6:$N$3687)/J23)</f>
        <v>1</v>
      </c>
      <c r="L23" s="508" cm="1">
        <f t="array" ref="L23">IF(D23="",0, SUMPRODUCT(--(ISNUMBER(SEARCH($A23,'Diags Raw Data'!$A$6:$A$3687))),'Diags Raw Data'!$L$6:$L$3687,'Diags Raw Data'!$P$6:$P$3687)/J23)</f>
        <v>1</v>
      </c>
      <c r="M23" s="509" cm="1">
        <f t="array" ref="M23">SUMPRODUCT(--(ISNUMBER(SEARCH($A23,'Diags Raw Data'!$A$6:$A$3687))),--('Diags Raw Data'!$Q$6:$Q$3687&lt;&gt;"N/A"),'Diags Raw Data'!$R$6:$R$3687)</f>
        <v>0</v>
      </c>
      <c r="N23" s="510" cm="1">
        <f t="array" ref="N23">SUMPRODUCT(--(ISNUMBER(SEARCH($A23,'Diags Raw Data'!$A$6:$A$3687))),--('Diags Raw Data'!$Q$6:$Q$3687&lt;&gt;"N/A"),'Diags Raw Data'!$T$6:$T$3687)+SUMPRODUCT(--(ISNUMBER(SEARCH($A23,'Diags Raw Data'!$A$6:$A$3687))),--('Diags Raw Data'!$Q$6:$Q$3687&lt;&gt;"N/A"),'Diags Raw Data'!$U$6:$U$3687)</f>
        <v>0</v>
      </c>
      <c r="O23" s="511">
        <f t="shared" si="2"/>
        <v>0</v>
      </c>
      <c r="P23" s="512">
        <f>SUMIF('Diags Raw Data'!$A$6:$A$3687,"*"&amp;$A23&amp;"*",'Diags Raw Data'!$Z$6:$Z$3687)</f>
        <v>0</v>
      </c>
      <c r="Q23" s="513">
        <f>SUM(SUMIF('Diags Raw Data'!$A$6:$A$3687,"*"&amp;$A23&amp;"*",'Diags Raw Data'!$AA$6:$AA$3687),SUMIF('Diags Raw Data'!$A$6:$A$3687,"*"&amp;$A23&amp;"*",'Diags Raw Data'!$AB$6:$AB$3687))</f>
        <v>0</v>
      </c>
      <c r="R23" s="514">
        <f t="shared" si="3"/>
        <v>0</v>
      </c>
      <c r="S23" s="514">
        <f t="shared" si="4"/>
        <v>0</v>
      </c>
      <c r="T23" s="515">
        <f t="shared" si="5"/>
        <v>0</v>
      </c>
      <c r="U23" s="456" t="s">
        <v>577</v>
      </c>
      <c r="V23" s="180"/>
    </row>
    <row r="24" spans="1:22" ht="29.1">
      <c r="A24" s="561" t="s">
        <v>398</v>
      </c>
      <c r="B24" s="452" t="str">
        <f>VLOOKUP(A24,'Feature Raw Data'!$A$3:$B$3996,2,FALSE)</f>
        <v>CCP: AES engine</v>
      </c>
      <c r="C24" s="453" t="str">
        <f>VLOOKUP(A24,'Feature Raw Data'!$A$3:$C$3996,3,FALSE)</f>
        <v>P1</v>
      </c>
      <c r="D24" s="454" t="str" cm="1">
        <f t="array" ref="D24">_xlfn.TEXTJOIN("",TRUE,IF(ISNUMBER(SEARCH($A24,'Diags Raw Data'!$A$6:$A$3687)),CONCATENATE('Diags Raw Data'!$H$6:$H$3687,", "),""))</f>
        <v xml:space="preserve">psp2.2, ccp.basic.aes, </v>
      </c>
      <c r="E24" s="339" t="str">
        <f>VLOOKUP(A24,'Diags Raw Data'!$A$6:$D$3687,4,FALSE)</f>
        <v>CCP</v>
      </c>
      <c r="F24" s="339" t="str">
        <f>VLOOKUP(A24,'Feature Raw Data'!$A$3:$E$3996,5,FALSE)</f>
        <v>Delta</v>
      </c>
      <c r="G24" s="339" t="str">
        <f t="shared" si="0"/>
        <v>Yes</v>
      </c>
      <c r="H24" s="339" t="str">
        <f t="shared" si="1"/>
        <v>Yes</v>
      </c>
      <c r="I24" s="453">
        <f>SUMIF('Diags Raw Data'!$A$6:$A$3687,"*"&amp;$A24&amp;"*",'Diags Raw Data'!$K$6:$K$3687)</f>
        <v>120</v>
      </c>
      <c r="J24" s="455">
        <f>SUMIF('Diags Raw Data'!$A$6:$A$3687,"*"&amp;$A24&amp;"*",'Diags Raw Data'!$L$6:$L$3687)</f>
        <v>2</v>
      </c>
      <c r="K24" s="507" cm="1">
        <f t="array" ref="K24">IF(D24="",0, SUMPRODUCT(--(ISNUMBER(SEARCH($A24,'Diags Raw Data'!$A$6:$A$3687))),'Diags Raw Data'!$L$6:$L$3687,'Diags Raw Data'!$N$6:$N$3687)/J24)</f>
        <v>1</v>
      </c>
      <c r="L24" s="508" cm="1">
        <f t="array" ref="L24">IF(D24="",0, SUMPRODUCT(--(ISNUMBER(SEARCH($A24,'Diags Raw Data'!$A$6:$A$3687))),'Diags Raw Data'!$L$6:$L$3687,'Diags Raw Data'!$P$6:$P$3687)/J24)</f>
        <v>1</v>
      </c>
      <c r="M24" s="509" cm="1">
        <f t="array" ref="M24">SUMPRODUCT(--(ISNUMBER(SEARCH($A24,'Diags Raw Data'!$A$6:$A$3687))),--('Diags Raw Data'!$Q$6:$Q$3687&lt;&gt;"N/A"),'Diags Raw Data'!$R$6:$R$3687)</f>
        <v>2</v>
      </c>
      <c r="N24" s="510" cm="1">
        <f t="array" ref="N24">SUMPRODUCT(--(ISNUMBER(SEARCH($A24,'Diags Raw Data'!$A$6:$A$3687))),--('Diags Raw Data'!$Q$6:$Q$3687&lt;&gt;"N/A"),'Diags Raw Data'!$T$6:$T$3687)+SUMPRODUCT(--(ISNUMBER(SEARCH($A24,'Diags Raw Data'!$A$6:$A$3687))),--('Diags Raw Data'!$Q$6:$Q$3687&lt;&gt;"N/A"),'Diags Raw Data'!$U$6:$U$3687)</f>
        <v>2</v>
      </c>
      <c r="O24" s="511">
        <f t="shared" si="2"/>
        <v>1</v>
      </c>
      <c r="P24" s="512">
        <f>SUMIF('Diags Raw Data'!$A$6:$A$3687,"*"&amp;$A24&amp;"*",'Diags Raw Data'!$Z$6:$Z$3687)</f>
        <v>0</v>
      </c>
      <c r="Q24" s="513">
        <f>SUM(SUMIF('Diags Raw Data'!$A$6:$A$3687,"*"&amp;$A24&amp;"*",'Diags Raw Data'!$AA$6:$AA$3687),SUMIF('Diags Raw Data'!$A$6:$A$3687,"*"&amp;$A24&amp;"*",'Diags Raw Data'!$AB$6:$AB$3687))</f>
        <v>0</v>
      </c>
      <c r="R24" s="514">
        <f t="shared" si="3"/>
        <v>0</v>
      </c>
      <c r="S24" s="514">
        <f t="shared" si="4"/>
        <v>0</v>
      </c>
      <c r="T24" s="515">
        <f t="shared" si="5"/>
        <v>0</v>
      </c>
      <c r="U24" s="456" t="s">
        <v>576</v>
      </c>
      <c r="V24" s="180"/>
    </row>
    <row r="25" spans="1:22">
      <c r="A25" s="561" t="s">
        <v>402</v>
      </c>
      <c r="B25" s="452" t="str">
        <f>VLOOKUP(A25,'Feature Raw Data'!$A$3:$B$3996,2,FALSE)</f>
        <v>CCP: SHA engine</v>
      </c>
      <c r="C25" s="453" t="str">
        <f>VLOOKUP(A25,'Feature Raw Data'!$A$3:$C$3996,3,FALSE)</f>
        <v>P1</v>
      </c>
      <c r="D25" s="454" t="str" cm="1">
        <f t="array" ref="D25">_xlfn.TEXTJOIN("",TRUE,IF(ISNUMBER(SEARCH($A25,'Diags Raw Data'!$A$6:$A$3687)),CONCATENATE('Diags Raw Data'!$H$6:$H$3687,", "),""))</f>
        <v xml:space="preserve">psp2.2, psp203.1, ccp.basic.sha, ccp.basic.sha, </v>
      </c>
      <c r="E25" s="339" t="str">
        <f>VLOOKUP(A25,'Diags Raw Data'!$A$6:$D$3687,4,FALSE)</f>
        <v>CCP</v>
      </c>
      <c r="F25" s="339" t="str">
        <f>VLOOKUP(A25,'Feature Raw Data'!$A$3:$E$3996,5,FALSE)</f>
        <v>Delta</v>
      </c>
      <c r="G25" s="339" t="str">
        <f t="shared" si="0"/>
        <v>Yes</v>
      </c>
      <c r="H25" s="339" t="str">
        <f t="shared" si="1"/>
        <v>Yes</v>
      </c>
      <c r="I25" s="453">
        <f>SUMIF('Diags Raw Data'!$A$6:$A$3687,"*"&amp;$A25&amp;"*",'Diags Raw Data'!$K$6:$K$3687)</f>
        <v>200</v>
      </c>
      <c r="J25" s="455">
        <f>SUMIF('Diags Raw Data'!$A$6:$A$3687,"*"&amp;$A25&amp;"*",'Diags Raw Data'!$L$6:$L$3687)</f>
        <v>4</v>
      </c>
      <c r="K25" s="507" cm="1">
        <f t="array" ref="K25">IF(D25="",0, SUMPRODUCT(--(ISNUMBER(SEARCH($A25,'Diags Raw Data'!$A$6:$A$3687))),'Diags Raw Data'!$L$6:$L$3687,'Diags Raw Data'!$N$6:$N$3687)/J25)</f>
        <v>1</v>
      </c>
      <c r="L25" s="508" cm="1">
        <f t="array" ref="L25">IF(D25="",0, SUMPRODUCT(--(ISNUMBER(SEARCH($A25,'Diags Raw Data'!$A$6:$A$3687))),'Diags Raw Data'!$L$6:$L$3687,'Diags Raw Data'!$P$6:$P$3687)/J25)</f>
        <v>1</v>
      </c>
      <c r="M25" s="509" cm="1">
        <f t="array" ref="M25">SUMPRODUCT(--(ISNUMBER(SEARCH($A25,'Diags Raw Data'!$A$6:$A$3687))),--('Diags Raw Data'!$Q$6:$Q$3687&lt;&gt;"N/A"),'Diags Raw Data'!$R$6:$R$3687)</f>
        <v>4</v>
      </c>
      <c r="N25" s="510" cm="1">
        <f t="array" ref="N25">SUMPRODUCT(--(ISNUMBER(SEARCH($A25,'Diags Raw Data'!$A$6:$A$3687))),--('Diags Raw Data'!$Q$6:$Q$3687&lt;&gt;"N/A"),'Diags Raw Data'!$T$6:$T$3687)+SUMPRODUCT(--(ISNUMBER(SEARCH($A25,'Diags Raw Data'!$A$6:$A$3687))),--('Diags Raw Data'!$Q$6:$Q$3687&lt;&gt;"N/A"),'Diags Raw Data'!$U$6:$U$3687)</f>
        <v>4</v>
      </c>
      <c r="O25" s="511">
        <f t="shared" si="2"/>
        <v>1</v>
      </c>
      <c r="P25" s="512">
        <f>SUMIF('Diags Raw Data'!$A$6:$A$3687,"*"&amp;$A25&amp;"*",'Diags Raw Data'!$Z$6:$Z$3687)</f>
        <v>0</v>
      </c>
      <c r="Q25" s="513">
        <f>SUM(SUMIF('Diags Raw Data'!$A$6:$A$3687,"*"&amp;$A25&amp;"*",'Diags Raw Data'!$AA$6:$AA$3687),SUMIF('Diags Raw Data'!$A$6:$A$3687,"*"&amp;$A25&amp;"*",'Diags Raw Data'!$AB$6:$AB$3687))</f>
        <v>0</v>
      </c>
      <c r="R25" s="514">
        <f t="shared" si="3"/>
        <v>0</v>
      </c>
      <c r="S25" s="514">
        <f t="shared" si="4"/>
        <v>0</v>
      </c>
      <c r="T25" s="515">
        <f t="shared" si="5"/>
        <v>0</v>
      </c>
      <c r="U25" s="456" t="s">
        <v>576</v>
      </c>
      <c r="V25" s="180"/>
    </row>
    <row r="26" spans="1:22">
      <c r="A26" s="561" t="s">
        <v>406</v>
      </c>
      <c r="B26" s="452" t="str">
        <f>VLOOKUP(A26,'Feature Raw Data'!$A$3:$B$3996,2,FALSE)</f>
        <v>CCP: RSA engine</v>
      </c>
      <c r="C26" s="453" t="str">
        <f>VLOOKUP(A26,'Feature Raw Data'!$A$3:$C$3996,3,FALSE)</f>
        <v>P1</v>
      </c>
      <c r="D26" s="454" t="str" cm="1">
        <f t="array" ref="D26">_xlfn.TEXTJOIN("",TRUE,IF(ISNUMBER(SEARCH($A26,'Diags Raw Data'!$A$6:$A$3687)),CONCATENATE('Diags Raw Data'!$H$6:$H$3687,", "),""))</f>
        <v xml:space="preserve">psp204.1, </v>
      </c>
      <c r="E26" s="339" t="str">
        <f>VLOOKUP(A26,'Diags Raw Data'!$A$6:$D$3687,4,FALSE)</f>
        <v>CCP</v>
      </c>
      <c r="F26" s="339" t="str">
        <f>VLOOKUP(A26,'Feature Raw Data'!$A$3:$E$3996,5,FALSE)</f>
        <v>Delta</v>
      </c>
      <c r="G26" s="339" t="str">
        <f t="shared" si="0"/>
        <v>Yes</v>
      </c>
      <c r="H26" s="339" t="str">
        <f t="shared" si="1"/>
        <v>Yes</v>
      </c>
      <c r="I26" s="453">
        <f>SUMIF('Diags Raw Data'!$A$6:$A$3687,"*"&amp;$A26&amp;"*",'Diags Raw Data'!$K$6:$K$3687)</f>
        <v>40</v>
      </c>
      <c r="J26" s="455">
        <f>SUMIF('Diags Raw Data'!$A$6:$A$3687,"*"&amp;$A26&amp;"*",'Diags Raw Data'!$L$6:$L$3687)</f>
        <v>1</v>
      </c>
      <c r="K26" s="507" cm="1">
        <f t="array" ref="K26">IF(D26="",0, SUMPRODUCT(--(ISNUMBER(SEARCH($A26,'Diags Raw Data'!$A$6:$A$3687))),'Diags Raw Data'!$L$6:$L$3687,'Diags Raw Data'!$N$6:$N$3687)/J26)</f>
        <v>1</v>
      </c>
      <c r="L26" s="508" cm="1">
        <f t="array" ref="L26">IF(D26="",0, SUMPRODUCT(--(ISNUMBER(SEARCH($A26,'Diags Raw Data'!$A$6:$A$3687))),'Diags Raw Data'!$L$6:$L$3687,'Diags Raw Data'!$P$6:$P$3687)/J26)</f>
        <v>1</v>
      </c>
      <c r="M26" s="509" cm="1">
        <f t="array" ref="M26">SUMPRODUCT(--(ISNUMBER(SEARCH($A26,'Diags Raw Data'!$A$6:$A$3687))),--('Diags Raw Data'!$Q$6:$Q$3687&lt;&gt;"N/A"),'Diags Raw Data'!$R$6:$R$3687)</f>
        <v>1</v>
      </c>
      <c r="N26" s="510" cm="1">
        <f t="array" ref="N26">SUMPRODUCT(--(ISNUMBER(SEARCH($A26,'Diags Raw Data'!$A$6:$A$3687))),--('Diags Raw Data'!$Q$6:$Q$3687&lt;&gt;"N/A"),'Diags Raw Data'!$T$6:$T$3687)+SUMPRODUCT(--(ISNUMBER(SEARCH($A26,'Diags Raw Data'!$A$6:$A$3687))),--('Diags Raw Data'!$Q$6:$Q$3687&lt;&gt;"N/A"),'Diags Raw Data'!$U$6:$U$3687)</f>
        <v>1</v>
      </c>
      <c r="O26" s="511">
        <f t="shared" si="2"/>
        <v>1</v>
      </c>
      <c r="P26" s="512">
        <f>SUMIF('Diags Raw Data'!$A$6:$A$3687,"*"&amp;$A26&amp;"*",'Diags Raw Data'!$Z$6:$Z$3687)</f>
        <v>0</v>
      </c>
      <c r="Q26" s="513">
        <f>SUM(SUMIF('Diags Raw Data'!$A$6:$A$3687,"*"&amp;$A26&amp;"*",'Diags Raw Data'!$AA$6:$AA$3687),SUMIF('Diags Raw Data'!$A$6:$A$3687,"*"&amp;$A26&amp;"*",'Diags Raw Data'!$AB$6:$AB$3687))</f>
        <v>0</v>
      </c>
      <c r="R26" s="514">
        <f t="shared" si="3"/>
        <v>0</v>
      </c>
      <c r="S26" s="514">
        <f t="shared" si="4"/>
        <v>0</v>
      </c>
      <c r="T26" s="515">
        <f t="shared" si="5"/>
        <v>0</v>
      </c>
      <c r="U26" s="456" t="s">
        <v>576</v>
      </c>
      <c r="V26" s="180"/>
    </row>
    <row r="27" spans="1:22">
      <c r="A27" s="561" t="s">
        <v>410</v>
      </c>
      <c r="B27" s="452" t="str">
        <f>VLOOKUP(A27,'Feature Raw Data'!$A$3:$B$3996,2,FALSE)</f>
        <v>CCP: ECC engine</v>
      </c>
      <c r="C27" s="453" t="str">
        <f>VLOOKUP(A27,'Feature Raw Data'!$A$3:$C$3996,3,FALSE)</f>
        <v>P1</v>
      </c>
      <c r="D27" s="454" t="str" cm="1">
        <f t="array" ref="D27">_xlfn.TEXTJOIN("",TRUE,IF(ISNUMBER(SEARCH($A27,'Diags Raw Data'!$A$6:$A$3687)),CONCATENATE('Diags Raw Data'!$H$6:$H$3687,", "),""))</f>
        <v xml:space="preserve">psp205.1, </v>
      </c>
      <c r="E27" s="339" t="str">
        <f>VLOOKUP(A27,'Diags Raw Data'!$A$6:$D$3687,4,FALSE)</f>
        <v>CCP</v>
      </c>
      <c r="F27" s="339" t="str">
        <f>VLOOKUP(A27,'Feature Raw Data'!$A$3:$E$3996,5,FALSE)</f>
        <v>Delta</v>
      </c>
      <c r="G27" s="339" t="str">
        <f t="shared" si="0"/>
        <v>Yes</v>
      </c>
      <c r="H27" s="339" t="str">
        <f t="shared" si="1"/>
        <v>Yes</v>
      </c>
      <c r="I27" s="453">
        <f>SUMIF('Diags Raw Data'!$A$6:$A$3687,"*"&amp;$A27&amp;"*",'Diags Raw Data'!$K$6:$K$3687)</f>
        <v>40</v>
      </c>
      <c r="J27" s="455">
        <f>SUMIF('Diags Raw Data'!$A$6:$A$3687,"*"&amp;$A27&amp;"*",'Diags Raw Data'!$L$6:$L$3687)</f>
        <v>1</v>
      </c>
      <c r="K27" s="507" cm="1">
        <f t="array" ref="K27">IF(D27="",0, SUMPRODUCT(--(ISNUMBER(SEARCH($A27,'Diags Raw Data'!$A$6:$A$3687))),'Diags Raw Data'!$L$6:$L$3687,'Diags Raw Data'!$N$6:$N$3687)/J27)</f>
        <v>1</v>
      </c>
      <c r="L27" s="508" cm="1">
        <f t="array" ref="L27">IF(D27="",0, SUMPRODUCT(--(ISNUMBER(SEARCH($A27,'Diags Raw Data'!$A$6:$A$3687))),'Diags Raw Data'!$L$6:$L$3687,'Diags Raw Data'!$P$6:$P$3687)/J27)</f>
        <v>1</v>
      </c>
      <c r="M27" s="509" cm="1">
        <f t="array" ref="M27">SUMPRODUCT(--(ISNUMBER(SEARCH($A27,'Diags Raw Data'!$A$6:$A$3687))),--('Diags Raw Data'!$Q$6:$Q$3687&lt;&gt;"N/A"),'Diags Raw Data'!$R$6:$R$3687)</f>
        <v>1</v>
      </c>
      <c r="N27" s="510" cm="1">
        <f t="array" ref="N27">SUMPRODUCT(--(ISNUMBER(SEARCH($A27,'Diags Raw Data'!$A$6:$A$3687))),--('Diags Raw Data'!$Q$6:$Q$3687&lt;&gt;"N/A"),'Diags Raw Data'!$T$6:$T$3687)+SUMPRODUCT(--(ISNUMBER(SEARCH($A27,'Diags Raw Data'!$A$6:$A$3687))),--('Diags Raw Data'!$Q$6:$Q$3687&lt;&gt;"N/A"),'Diags Raw Data'!$U$6:$U$3687)</f>
        <v>1</v>
      </c>
      <c r="O27" s="511">
        <f t="shared" si="2"/>
        <v>1</v>
      </c>
      <c r="P27" s="512">
        <f>SUMIF('Diags Raw Data'!$A$6:$A$3687,"*"&amp;$A27&amp;"*",'Diags Raw Data'!$Z$6:$Z$3687)</f>
        <v>0</v>
      </c>
      <c r="Q27" s="513">
        <f>SUM(SUMIF('Diags Raw Data'!$A$6:$A$3687,"*"&amp;$A27&amp;"*",'Diags Raw Data'!$AA$6:$AA$3687),SUMIF('Diags Raw Data'!$A$6:$A$3687,"*"&amp;$A27&amp;"*",'Diags Raw Data'!$AB$6:$AB$3687))</f>
        <v>0</v>
      </c>
      <c r="R27" s="514">
        <f t="shared" si="3"/>
        <v>0</v>
      </c>
      <c r="S27" s="514">
        <f t="shared" si="4"/>
        <v>0</v>
      </c>
      <c r="T27" s="515">
        <f t="shared" si="5"/>
        <v>0</v>
      </c>
      <c r="U27" s="456" t="s">
        <v>576</v>
      </c>
      <c r="V27" s="180"/>
    </row>
    <row r="28" spans="1:22" ht="29.1">
      <c r="A28" s="561" t="s">
        <v>414</v>
      </c>
      <c r="B28" s="452" t="str">
        <f>VLOOKUP(A28,'Feature Raw Data'!$A$3:$B$3996,2,FALSE)</f>
        <v>CCP: Zlib decompression</v>
      </c>
      <c r="C28" s="453" t="str">
        <f>VLOOKUP(A28,'Feature Raw Data'!$A$3:$C$3996,3,FALSE)</f>
        <v>P1</v>
      </c>
      <c r="D28" s="454" t="str" cm="1">
        <f t="array" ref="D28">_xlfn.TEXTJOIN("",TRUE,IF(ISNUMBER(SEARCH($A28,'Diags Raw Data'!$A$6:$A$3687)),CONCATENATE('Diags Raw Data'!$H$6:$H$3687,", "),""))</f>
        <v xml:space="preserve">psp2.2, psp206.1, </v>
      </c>
      <c r="E28" s="339" t="str">
        <f>VLOOKUP(A28,'Diags Raw Data'!$A$6:$D$3687,4,FALSE)</f>
        <v>CCP</v>
      </c>
      <c r="F28" s="339" t="str">
        <f>VLOOKUP(A28,'Feature Raw Data'!$A$3:$E$3996,5,FALSE)</f>
        <v>Delta</v>
      </c>
      <c r="G28" s="339" t="str">
        <f t="shared" si="0"/>
        <v>Yes</v>
      </c>
      <c r="H28" s="339" t="str">
        <f t="shared" si="1"/>
        <v>Yes</v>
      </c>
      <c r="I28" s="453">
        <f>SUMIF('Diags Raw Data'!$A$6:$A$3687,"*"&amp;$A28&amp;"*",'Diags Raw Data'!$K$6:$K$3687)</f>
        <v>120</v>
      </c>
      <c r="J28" s="455">
        <f>SUMIF('Diags Raw Data'!$A$6:$A$3687,"*"&amp;$A28&amp;"*",'Diags Raw Data'!$L$6:$L$3687)</f>
        <v>2</v>
      </c>
      <c r="K28" s="507" cm="1">
        <f t="array" ref="K28">IF(D28="",0, SUMPRODUCT(--(ISNUMBER(SEARCH($A28,'Diags Raw Data'!$A$6:$A$3687))),'Diags Raw Data'!$L$6:$L$3687,'Diags Raw Data'!$N$6:$N$3687)/J28)</f>
        <v>1</v>
      </c>
      <c r="L28" s="508" cm="1">
        <f t="array" ref="L28">IF(D28="",0, SUMPRODUCT(--(ISNUMBER(SEARCH($A28,'Diags Raw Data'!$A$6:$A$3687))),'Diags Raw Data'!$L$6:$L$3687,'Diags Raw Data'!$P$6:$P$3687)/J28)</f>
        <v>1</v>
      </c>
      <c r="M28" s="509" cm="1">
        <f t="array" ref="M28">SUMPRODUCT(--(ISNUMBER(SEARCH($A28,'Diags Raw Data'!$A$6:$A$3687))),--('Diags Raw Data'!$Q$6:$Q$3687&lt;&gt;"N/A"),'Diags Raw Data'!$R$6:$R$3687)</f>
        <v>2</v>
      </c>
      <c r="N28" s="510" cm="1">
        <f t="array" ref="N28">SUMPRODUCT(--(ISNUMBER(SEARCH($A28,'Diags Raw Data'!$A$6:$A$3687))),--('Diags Raw Data'!$Q$6:$Q$3687&lt;&gt;"N/A"),'Diags Raw Data'!$T$6:$T$3687)+SUMPRODUCT(--(ISNUMBER(SEARCH($A28,'Diags Raw Data'!$A$6:$A$3687))),--('Diags Raw Data'!$Q$6:$Q$3687&lt;&gt;"N/A"),'Diags Raw Data'!$U$6:$U$3687)</f>
        <v>2</v>
      </c>
      <c r="O28" s="511">
        <f t="shared" si="2"/>
        <v>1</v>
      </c>
      <c r="P28" s="512">
        <f>SUMIF('Diags Raw Data'!$A$6:$A$3687,"*"&amp;$A28&amp;"*",'Diags Raw Data'!$Z$6:$Z$3687)</f>
        <v>0</v>
      </c>
      <c r="Q28" s="513">
        <f>SUM(SUMIF('Diags Raw Data'!$A$6:$A$3687,"*"&amp;$A28&amp;"*",'Diags Raw Data'!$AA$6:$AA$3687),SUMIF('Diags Raw Data'!$A$6:$A$3687,"*"&amp;$A28&amp;"*",'Diags Raw Data'!$AB$6:$AB$3687))</f>
        <v>0</v>
      </c>
      <c r="R28" s="514">
        <f t="shared" si="3"/>
        <v>0</v>
      </c>
      <c r="S28" s="514">
        <f t="shared" si="4"/>
        <v>0</v>
      </c>
      <c r="T28" s="515">
        <f t="shared" si="5"/>
        <v>0</v>
      </c>
      <c r="U28" s="456" t="s">
        <v>576</v>
      </c>
      <c r="V28" s="180"/>
    </row>
    <row r="29" spans="1:22" ht="15" thickBot="1">
      <c r="A29" s="561" t="s">
        <v>394</v>
      </c>
      <c r="B29" s="452" t="str">
        <f>VLOOKUP(A29,'Feature Raw Data'!$A$3:$B$3996,2,FALSE)</f>
        <v>CCP: Pass-through</v>
      </c>
      <c r="C29" s="453" t="str">
        <f>VLOOKUP(A29,'Feature Raw Data'!$A$3:$C$3996,3,FALSE)</f>
        <v>P1</v>
      </c>
      <c r="D29" s="454" t="str" cm="1">
        <f t="array" ref="D29">_xlfn.TEXTJOIN("",TRUE,IF(ISNUMBER(SEARCH($A29,'Diags Raw Data'!$A$6:$A$3687)),CONCATENATE('Diags Raw Data'!$H$6:$H$3687,", "),""))</f>
        <v xml:space="preserve">psp2.2, ccp.basic.pt, </v>
      </c>
      <c r="E29" s="339" t="str">
        <f>VLOOKUP(A29,'Diags Raw Data'!$A$6:$D$3687,4,FALSE)</f>
        <v>CCP</v>
      </c>
      <c r="F29" s="339" t="str">
        <f>VLOOKUP(A29,'Feature Raw Data'!$A$3:$E$3996,5,FALSE)</f>
        <v>Delta</v>
      </c>
      <c r="G29" s="339" t="str">
        <f t="shared" si="0"/>
        <v>Yes</v>
      </c>
      <c r="H29" s="339" t="str">
        <f t="shared" si="1"/>
        <v>Yes</v>
      </c>
      <c r="I29" s="453">
        <f>SUMIF('Diags Raw Data'!$A$6:$A$3687,"*"&amp;$A29&amp;"*",'Diags Raw Data'!$K$6:$K$3687)</f>
        <v>120</v>
      </c>
      <c r="J29" s="455">
        <f>SUMIF('Diags Raw Data'!$A$6:$A$3687,"*"&amp;$A29&amp;"*",'Diags Raw Data'!$L$6:$L$3687)</f>
        <v>2</v>
      </c>
      <c r="K29" s="507" cm="1">
        <f t="array" ref="K29">IF(D29="",0, SUMPRODUCT(--(ISNUMBER(SEARCH($A29,'Diags Raw Data'!$A$6:$A$3687))),'Diags Raw Data'!$L$6:$L$3687,'Diags Raw Data'!$N$6:$N$3687)/J29)</f>
        <v>1</v>
      </c>
      <c r="L29" s="508" cm="1">
        <f t="array" ref="L29">IF(D29="",0, SUMPRODUCT(--(ISNUMBER(SEARCH($A29,'Diags Raw Data'!$A$6:$A$3687))),'Diags Raw Data'!$L$6:$L$3687,'Diags Raw Data'!$P$6:$P$3687)/J29)</f>
        <v>1</v>
      </c>
      <c r="M29" s="509" cm="1">
        <f t="array" ref="M29">SUMPRODUCT(--(ISNUMBER(SEARCH($A29,'Diags Raw Data'!$A$6:$A$3687))),--('Diags Raw Data'!$Q$6:$Q$3687&lt;&gt;"N/A"),'Diags Raw Data'!$R$6:$R$3687)</f>
        <v>2</v>
      </c>
      <c r="N29" s="510" cm="1">
        <f t="array" ref="N29">SUMPRODUCT(--(ISNUMBER(SEARCH($A29,'Diags Raw Data'!$A$6:$A$3687))),--('Diags Raw Data'!$Q$6:$Q$3687&lt;&gt;"N/A"),'Diags Raw Data'!$T$6:$T$3687)+SUMPRODUCT(--(ISNUMBER(SEARCH($A29,'Diags Raw Data'!$A$6:$A$3687))),--('Diags Raw Data'!$Q$6:$Q$3687&lt;&gt;"N/A"),'Diags Raw Data'!$U$6:$U$3687)</f>
        <v>2</v>
      </c>
      <c r="O29" s="511">
        <f t="shared" si="2"/>
        <v>1</v>
      </c>
      <c r="P29" s="512">
        <f>SUMIF('Diags Raw Data'!$A$6:$A$3687,"*"&amp;$A29&amp;"*",'Diags Raw Data'!$Z$6:$Z$3687)</f>
        <v>0</v>
      </c>
      <c r="Q29" s="513">
        <f>SUM(SUMIF('Diags Raw Data'!$A$6:$A$3687,"*"&amp;$A29&amp;"*",'Diags Raw Data'!$AA$6:$AA$3687),SUMIF('Diags Raw Data'!$A$6:$A$3687,"*"&amp;$A29&amp;"*",'Diags Raw Data'!$AB$6:$AB$3687))</f>
        <v>0</v>
      </c>
      <c r="R29" s="514">
        <f t="shared" si="3"/>
        <v>0</v>
      </c>
      <c r="S29" s="514">
        <f t="shared" si="4"/>
        <v>0</v>
      </c>
      <c r="T29" s="515">
        <f t="shared" si="5"/>
        <v>0</v>
      </c>
      <c r="U29" s="456" t="s">
        <v>576</v>
      </c>
      <c r="V29" s="180"/>
    </row>
    <row r="30" spans="1:22">
      <c r="A30" s="561" t="s">
        <v>561</v>
      </c>
      <c r="B30" s="452" t="str">
        <f>VLOOKUP(A30,'Feature Raw Data'!$A$3:$B$3996,2,FALSE)</f>
        <v>CCP: Pass-through AXI burst</v>
      </c>
      <c r="C30" s="453" t="str">
        <f>VLOOKUP(A30,'Feature Raw Data'!$A$3:$C$3996,3,FALSE)</f>
        <v>P3</v>
      </c>
      <c r="D30" s="454" t="str" cm="1">
        <f t="array" ref="D30">_xlfn.TEXTJOIN("",TRUE,IF(ISNUMBER(SEARCH($A30,'Diags Raw Data'!$A$6:$A$3687)),CONCATENATE('Diags Raw Data'!$H$6:$H$3687,", "),""))</f>
        <v/>
      </c>
      <c r="E30" s="339" t="e">
        <f>VLOOKUP(A30,'Diags Raw Data'!$A$6:$D$3687,4,FALSE)</f>
        <v>#N/A</v>
      </c>
      <c r="F30" s="339" t="str">
        <f>VLOOKUP(A30,'Feature Raw Data'!$A$3:$E$3996,5,FALSE)</f>
        <v>Delta</v>
      </c>
      <c r="G30" s="339" t="str">
        <f t="shared" si="0"/>
        <v>No</v>
      </c>
      <c r="H30" s="339" t="str">
        <f t="shared" si="1"/>
        <v>No</v>
      </c>
      <c r="I30" s="453">
        <f>SUMIF('Diags Raw Data'!$A$6:$A$3687,"*"&amp;$A30&amp;"*",'Diags Raw Data'!$K$6:$K$3687)</f>
        <v>0</v>
      </c>
      <c r="J30" s="455">
        <f>SUMIF('Diags Raw Data'!$A$6:$A$3687,"*"&amp;$A30&amp;"*",'Diags Raw Data'!$L$6:$L$3687)</f>
        <v>0</v>
      </c>
      <c r="K30" s="507" cm="1">
        <f t="array" ref="K30">IF(D30="",0, SUMPRODUCT(--(ISNUMBER(SEARCH($A30,'Diags Raw Data'!$A$6:$A$3687))),'Diags Raw Data'!$L$6:$L$3687,'Diags Raw Data'!$N$6:$N$3687)/J30)</f>
        <v>0</v>
      </c>
      <c r="L30" s="508" cm="1">
        <f t="array" ref="L30">IF(D30="",0, SUMPRODUCT(--(ISNUMBER(SEARCH($A30,'Diags Raw Data'!$A$6:$A$3687))),'Diags Raw Data'!$L$6:$L$3687,'Diags Raw Data'!$P$6:$P$3687)/J30)</f>
        <v>0</v>
      </c>
      <c r="M30" s="509" cm="1">
        <f t="array" ref="M30">SUMPRODUCT(--(ISNUMBER(SEARCH($A30,'Diags Raw Data'!$A$6:$A$3687))),--('Diags Raw Data'!$Q$6:$Q$3687&lt;&gt;"N/A"),'Diags Raw Data'!$R$6:$R$3687)</f>
        <v>0</v>
      </c>
      <c r="N30" s="510" cm="1">
        <f t="array" ref="N30">SUMPRODUCT(--(ISNUMBER(SEARCH($A30,'Diags Raw Data'!$A$6:$A$3687))),--('Diags Raw Data'!$Q$6:$Q$3687&lt;&gt;"N/A"),'Diags Raw Data'!$T$6:$T$3687)+SUMPRODUCT(--(ISNUMBER(SEARCH($A30,'Diags Raw Data'!$A$6:$A$3687))),--('Diags Raw Data'!$Q$6:$Q$3687&lt;&gt;"N/A"),'Diags Raw Data'!$U$6:$U$3687)</f>
        <v>0</v>
      </c>
      <c r="O30" s="511">
        <f>IF((M30=0),0,N30/M30)</f>
        <v>0</v>
      </c>
      <c r="P30" s="512">
        <f>SUMIF('Diags Raw Data'!$A$6:$A$3687,"*"&amp;$A30&amp;"*",'Diags Raw Data'!$Z$6:$Z$3687)</f>
        <v>0</v>
      </c>
      <c r="Q30" s="513">
        <f>SUM(SUMIF('Diags Raw Data'!$A$6:$A$3687,"*"&amp;$A30&amp;"*",'Diags Raw Data'!$AA$6:$AA$3687),SUMIF('Diags Raw Data'!$A$6:$A$3687,"*"&amp;$A30&amp;"*",'Diags Raw Data'!$AB$6:$AB$3687))</f>
        <v>0</v>
      </c>
      <c r="R30" s="514">
        <f>IF((J30=0),0,P30/J30)</f>
        <v>0</v>
      </c>
      <c r="S30" s="514">
        <f>IF((P30=0),0,Q30/P30)</f>
        <v>0</v>
      </c>
      <c r="T30" s="515">
        <f>R30*S30</f>
        <v>0</v>
      </c>
      <c r="U30" s="451" t="s">
        <v>47</v>
      </c>
      <c r="V30" s="180"/>
    </row>
    <row r="31" spans="1:22">
      <c r="A31" s="561" t="s">
        <v>386</v>
      </c>
      <c r="B31" s="452" t="str">
        <f>VLOOKUP(A31,'Feature Raw Data'!$A$3:$B$3996,2,FALSE)</f>
        <v>CCP: Interrupts and Status</v>
      </c>
      <c r="C31" s="453" t="str">
        <f>VLOOKUP(A31,'Feature Raw Data'!$A$3:$C$3996,3,FALSE)</f>
        <v>P1</v>
      </c>
      <c r="D31" s="454" t="str" cm="1">
        <f t="array" ref="D31">_xlfn.TEXTJOIN("",TRUE,IF(ISNUMBER(SEARCH($A31,'Diags Raw Data'!$A$6:$A$3687)),CONCATENATE('Diags Raw Data'!$H$6:$H$3687,", "),""))</f>
        <v xml:space="preserve">ccp.basic.interrupt, </v>
      </c>
      <c r="E31" s="339" t="str">
        <f>VLOOKUP(A31,'Diags Raw Data'!$A$6:$D$3687,4,FALSE)</f>
        <v>CCP</v>
      </c>
      <c r="F31" s="339" t="str">
        <f>VLOOKUP(A31,'Feature Raw Data'!$A$3:$E$3996,5,FALSE)</f>
        <v>Delta</v>
      </c>
      <c r="G31" s="339" t="str">
        <f t="shared" si="0"/>
        <v>Yes</v>
      </c>
      <c r="H31" s="339" t="str">
        <f t="shared" si="1"/>
        <v>Yes</v>
      </c>
      <c r="I31" s="453">
        <f>SUMIF('Diags Raw Data'!$A$6:$A$3687,"*"&amp;$A31&amp;"*",'Diags Raw Data'!$K$6:$K$3687)</f>
        <v>40</v>
      </c>
      <c r="J31" s="455">
        <f>SUMIF('Diags Raw Data'!$A$6:$A$3687,"*"&amp;$A31&amp;"*",'Diags Raw Data'!$L$6:$L$3687)</f>
        <v>1</v>
      </c>
      <c r="K31" s="507" cm="1">
        <f t="array" ref="K31">IF(D31="",0, SUMPRODUCT(--(ISNUMBER(SEARCH($A31,'Diags Raw Data'!$A$6:$A$3687))),'Diags Raw Data'!$L$6:$L$3687,'Diags Raw Data'!$N$6:$N$3687)/J31)</f>
        <v>1</v>
      </c>
      <c r="L31" s="508" cm="1">
        <f t="array" ref="L31">IF(D31="",0, SUMPRODUCT(--(ISNUMBER(SEARCH($A31,'Diags Raw Data'!$A$6:$A$3687))),'Diags Raw Data'!$L$6:$L$3687,'Diags Raw Data'!$P$6:$P$3687)/J31)</f>
        <v>1</v>
      </c>
      <c r="M31" s="509" cm="1">
        <f t="array" ref="M31">SUMPRODUCT(--(ISNUMBER(SEARCH($A31,'Diags Raw Data'!$A$6:$A$3687))),--('Diags Raw Data'!$Q$6:$Q$3687&lt;&gt;"N/A"),'Diags Raw Data'!$R$6:$R$3687)</f>
        <v>1</v>
      </c>
      <c r="N31" s="510" cm="1">
        <f t="array" ref="N31">SUMPRODUCT(--(ISNUMBER(SEARCH($A31,'Diags Raw Data'!$A$6:$A$3687))),--('Diags Raw Data'!$Q$6:$Q$3687&lt;&gt;"N/A"),'Diags Raw Data'!$T$6:$T$3687)+SUMPRODUCT(--(ISNUMBER(SEARCH($A31,'Diags Raw Data'!$A$6:$A$3687))),--('Diags Raw Data'!$Q$6:$Q$3687&lt;&gt;"N/A"),'Diags Raw Data'!$U$6:$U$3687)</f>
        <v>1</v>
      </c>
      <c r="O31" s="511">
        <f t="shared" si="2"/>
        <v>1</v>
      </c>
      <c r="P31" s="512">
        <f>SUMIF('Diags Raw Data'!$A$6:$A$3687,"*"&amp;$A31&amp;"*",'Diags Raw Data'!$Z$6:$Z$3687)</f>
        <v>0</v>
      </c>
      <c r="Q31" s="513">
        <f>SUM(SUMIF('Diags Raw Data'!$A$6:$A$3687,"*"&amp;$A31&amp;"*",'Diags Raw Data'!$AA$6:$AA$3687),SUMIF('Diags Raw Data'!$A$6:$A$3687,"*"&amp;$A31&amp;"*",'Diags Raw Data'!$AB$6:$AB$3687))</f>
        <v>0</v>
      </c>
      <c r="R31" s="514">
        <f t="shared" si="3"/>
        <v>0</v>
      </c>
      <c r="S31" s="514">
        <f t="shared" si="4"/>
        <v>0</v>
      </c>
      <c r="T31" s="515">
        <f t="shared" si="5"/>
        <v>0</v>
      </c>
      <c r="U31" s="456" t="s">
        <v>576</v>
      </c>
      <c r="V31" s="180"/>
    </row>
    <row r="32" spans="1:22">
      <c r="A32" s="561" t="s">
        <v>380</v>
      </c>
      <c r="B32" s="452" t="str">
        <f>VLOOKUP(A32,'Feature Raw Data'!$A$3:$B$3996,2,FALSE)</f>
        <v>CCP: Memory interface</v>
      </c>
      <c r="C32" s="453" t="str">
        <f>VLOOKUP(A32,'Feature Raw Data'!$A$3:$C$3996,3,FALSE)</f>
        <v>P1</v>
      </c>
      <c r="D32" s="454" t="str" cm="1">
        <f t="array" ref="D32">_xlfn.TEXTJOIN("",TRUE,IF(ISNUMBER(SEARCH($A32,'Diags Raw Data'!$A$6:$A$3687)),CONCATENATE('Diags Raw Data'!$H$6:$H$3687,", "),""))</f>
        <v xml:space="preserve">psp2.3, </v>
      </c>
      <c r="E32" s="339" t="str">
        <f>VLOOKUP(A32,'Diags Raw Data'!$A$6:$D$3687,4,FALSE)</f>
        <v>CCP</v>
      </c>
      <c r="F32" s="339" t="str">
        <f>VLOOKUP(A32,'Feature Raw Data'!$A$3:$E$3996,5,FALSE)</f>
        <v>Delta</v>
      </c>
      <c r="G32" s="339" t="str">
        <f t="shared" si="0"/>
        <v>Yes</v>
      </c>
      <c r="H32" s="339" t="str">
        <f t="shared" si="1"/>
        <v>Yes</v>
      </c>
      <c r="I32" s="453">
        <f>SUMIF('Diags Raw Data'!$A$6:$A$3687,"*"&amp;$A32&amp;"*",'Diags Raw Data'!$K$6:$K$3687)</f>
        <v>120</v>
      </c>
      <c r="J32" s="455">
        <f>SUMIF('Diags Raw Data'!$A$6:$A$3687,"*"&amp;$A32&amp;"*",'Diags Raw Data'!$L$6:$L$3687)</f>
        <v>1</v>
      </c>
      <c r="K32" s="507" cm="1">
        <f t="array" ref="K32">IF(D32="",0, SUMPRODUCT(--(ISNUMBER(SEARCH($A32,'Diags Raw Data'!$A$6:$A$3687))),'Diags Raw Data'!$L$6:$L$3687,'Diags Raw Data'!$N$6:$N$3687)/J32)</f>
        <v>1</v>
      </c>
      <c r="L32" s="508" cm="1">
        <f t="array" ref="L32">IF(D32="",0, SUMPRODUCT(--(ISNUMBER(SEARCH($A32,'Diags Raw Data'!$A$6:$A$3687))),'Diags Raw Data'!$L$6:$L$3687,'Diags Raw Data'!$P$6:$P$3687)/J32)</f>
        <v>1</v>
      </c>
      <c r="M32" s="509" cm="1">
        <f t="array" ref="M32">SUMPRODUCT(--(ISNUMBER(SEARCH($A32,'Diags Raw Data'!$A$6:$A$3687))),--('Diags Raw Data'!$Q$6:$Q$3687&lt;&gt;"N/A"),'Diags Raw Data'!$R$6:$R$3687)</f>
        <v>1</v>
      </c>
      <c r="N32" s="510" cm="1">
        <f t="array" ref="N32">SUMPRODUCT(--(ISNUMBER(SEARCH($A32,'Diags Raw Data'!$A$6:$A$3687))),--('Diags Raw Data'!$Q$6:$Q$3687&lt;&gt;"N/A"),'Diags Raw Data'!$T$6:$T$3687)+SUMPRODUCT(--(ISNUMBER(SEARCH($A32,'Diags Raw Data'!$A$6:$A$3687))),--('Diags Raw Data'!$Q$6:$Q$3687&lt;&gt;"N/A"),'Diags Raw Data'!$U$6:$U$3687)</f>
        <v>1</v>
      </c>
      <c r="O32" s="511">
        <f t="shared" si="2"/>
        <v>1</v>
      </c>
      <c r="P32" s="512">
        <f>SUMIF('Diags Raw Data'!$A$6:$A$3687,"*"&amp;$A32&amp;"*",'Diags Raw Data'!$Z$6:$Z$3687)</f>
        <v>0</v>
      </c>
      <c r="Q32" s="513">
        <f>SUM(SUMIF('Diags Raw Data'!$A$6:$A$3687,"*"&amp;$A32&amp;"*",'Diags Raw Data'!$AA$6:$AA$3687),SUMIF('Diags Raw Data'!$A$6:$A$3687,"*"&amp;$A32&amp;"*",'Diags Raw Data'!$AB$6:$AB$3687))</f>
        <v>0</v>
      </c>
      <c r="R32" s="514">
        <f t="shared" si="3"/>
        <v>0</v>
      </c>
      <c r="S32" s="514">
        <f t="shared" si="4"/>
        <v>0</v>
      </c>
      <c r="T32" s="515">
        <f t="shared" si="5"/>
        <v>0</v>
      </c>
      <c r="U32" s="456" t="s">
        <v>576</v>
      </c>
      <c r="V32" s="180"/>
    </row>
    <row r="33" spans="1:22" ht="29.1">
      <c r="A33" s="561" t="s">
        <v>371</v>
      </c>
      <c r="B33" s="452" t="str">
        <f>VLOOKUP(A33,'Feature Raw Data'!$A$3:$B$3996,2,FALSE)</f>
        <v>CCP: Side channel attack countermeasure</v>
      </c>
      <c r="C33" s="453" t="str">
        <f>VLOOKUP(A33,'Feature Raw Data'!$A$3:$C$3996,3,FALSE)</f>
        <v>P1</v>
      </c>
      <c r="D33" s="454" t="str" cm="1">
        <f t="array" ref="D33">_xlfn.TEXTJOIN("",TRUE,IF(ISNUMBER(SEARCH($A33,'Diags Raw Data'!$A$6:$A$3687)),CONCATENATE('Diags Raw Data'!$H$6:$H$3687,", "),""))</f>
        <v xml:space="preserve">psp2.1, </v>
      </c>
      <c r="E33" s="339" t="str">
        <f>VLOOKUP(A33,'Diags Raw Data'!$A$6:$D$3687,4,FALSE)</f>
        <v>CCP</v>
      </c>
      <c r="F33" s="339" t="str">
        <f>VLOOKUP(A33,'Feature Raw Data'!$A$3:$E$3996,5,FALSE)</f>
        <v>Delta</v>
      </c>
      <c r="G33" s="339" t="str">
        <f t="shared" si="0"/>
        <v>Yes</v>
      </c>
      <c r="H33" s="339" t="str">
        <f t="shared" si="1"/>
        <v>Yes</v>
      </c>
      <c r="I33" s="453">
        <f>SUMIF('Diags Raw Data'!$A$6:$A$3687,"*"&amp;$A33&amp;"*",'Diags Raw Data'!$K$6:$K$3687)</f>
        <v>32</v>
      </c>
      <c r="J33" s="455">
        <f>SUMIF('Diags Raw Data'!$A$6:$A$3687,"*"&amp;$A33&amp;"*",'Diags Raw Data'!$L$6:$L$3687)</f>
        <v>1</v>
      </c>
      <c r="K33" s="507" cm="1">
        <f t="array" ref="K33">IF(D33="",0, SUMPRODUCT(--(ISNUMBER(SEARCH($A33,'Diags Raw Data'!$A$6:$A$3687))),'Diags Raw Data'!$L$6:$L$3687,'Diags Raw Data'!$N$6:$N$3687)/J33)</f>
        <v>1</v>
      </c>
      <c r="L33" s="508" cm="1">
        <f t="array" ref="L33">IF(D33="",0, SUMPRODUCT(--(ISNUMBER(SEARCH($A33,'Diags Raw Data'!$A$6:$A$3687))),'Diags Raw Data'!$L$6:$L$3687,'Diags Raw Data'!$P$6:$P$3687)/J33)</f>
        <v>1</v>
      </c>
      <c r="M33" s="509" cm="1">
        <f t="array" ref="M33">SUMPRODUCT(--(ISNUMBER(SEARCH($A33,'Diags Raw Data'!$A$6:$A$3687))),--('Diags Raw Data'!$Q$6:$Q$3687&lt;&gt;"N/A"),'Diags Raw Data'!$R$6:$R$3687)</f>
        <v>1</v>
      </c>
      <c r="N33" s="510" cm="1">
        <f t="array" ref="N33">SUMPRODUCT(--(ISNUMBER(SEARCH($A33,'Diags Raw Data'!$A$6:$A$3687))),--('Diags Raw Data'!$Q$6:$Q$3687&lt;&gt;"N/A"),'Diags Raw Data'!$T$6:$T$3687)+SUMPRODUCT(--(ISNUMBER(SEARCH($A33,'Diags Raw Data'!$A$6:$A$3687))),--('Diags Raw Data'!$Q$6:$Q$3687&lt;&gt;"N/A"),'Diags Raw Data'!$U$6:$U$3687)</f>
        <v>1</v>
      </c>
      <c r="O33" s="511">
        <f t="shared" si="2"/>
        <v>1</v>
      </c>
      <c r="P33" s="512">
        <f>SUMIF('Diags Raw Data'!$A$6:$A$3687,"*"&amp;$A33&amp;"*",'Diags Raw Data'!$Z$6:$Z$3687)</f>
        <v>0</v>
      </c>
      <c r="Q33" s="513">
        <f>SUM(SUMIF('Diags Raw Data'!$A$6:$A$3687,"*"&amp;$A33&amp;"*",'Diags Raw Data'!$AA$6:$AA$3687),SUMIF('Diags Raw Data'!$A$6:$A$3687,"*"&amp;$A33&amp;"*",'Diags Raw Data'!$AB$6:$AB$3687))</f>
        <v>0</v>
      </c>
      <c r="R33" s="514">
        <f t="shared" si="3"/>
        <v>0</v>
      </c>
      <c r="S33" s="514">
        <f t="shared" si="4"/>
        <v>0</v>
      </c>
      <c r="T33" s="515">
        <f t="shared" si="5"/>
        <v>0</v>
      </c>
      <c r="U33" s="456" t="s">
        <v>581</v>
      </c>
      <c r="V33" s="180"/>
    </row>
    <row r="34" spans="1:22" ht="29.1">
      <c r="A34" s="561" t="s">
        <v>390</v>
      </c>
      <c r="B34" s="452" t="str">
        <f>VLOOKUP(A34,'Feature Raw Data'!$A$3:$B$3996,2,FALSE)</f>
        <v>CCP: Error handling for all CCP error cases</v>
      </c>
      <c r="C34" s="453" t="str">
        <f>VLOOKUP(A34,'Feature Raw Data'!$A$3:$C$3996,3,FALSE)</f>
        <v>P3</v>
      </c>
      <c r="D34" s="454" t="str" cm="1">
        <f t="array" ref="D34">_xlfn.TEXTJOIN("",TRUE,IF(ISNUMBER(SEARCH($A34,'Diags Raw Data'!$A$6:$A$3687)),CONCATENATE('Diags Raw Data'!$H$6:$H$3687,", "),""))</f>
        <v xml:space="preserve">psp2.7, </v>
      </c>
      <c r="E34" s="339" t="str">
        <f>VLOOKUP(A34,'Diags Raw Data'!$A$6:$D$3687,4,FALSE)</f>
        <v>CCP</v>
      </c>
      <c r="F34" s="339" t="str">
        <f>VLOOKUP(A34,'Feature Raw Data'!$A$3:$E$3996,5,FALSE)</f>
        <v>Delta</v>
      </c>
      <c r="G34" s="339" t="str">
        <f t="shared" si="0"/>
        <v>Yes</v>
      </c>
      <c r="H34" s="339" t="str">
        <f t="shared" si="1"/>
        <v>Yes</v>
      </c>
      <c r="I34" s="453">
        <f>SUMIF('Diags Raw Data'!$A$6:$A$3687,"*"&amp;$A34&amp;"*",'Diags Raw Data'!$K$6:$K$3687)</f>
        <v>120</v>
      </c>
      <c r="J34" s="455">
        <f>SUMIF('Diags Raw Data'!$A$6:$A$3687,"*"&amp;$A34&amp;"*",'Diags Raw Data'!$L$6:$L$3687)</f>
        <v>1</v>
      </c>
      <c r="K34" s="507" cm="1">
        <f t="array" ref="K34">IF(D34="",0, SUMPRODUCT(--(ISNUMBER(SEARCH($A34,'Diags Raw Data'!$A$6:$A$3687))),'Diags Raw Data'!$L$6:$L$3687,'Diags Raw Data'!$N$6:$N$3687)/J34)</f>
        <v>1</v>
      </c>
      <c r="L34" s="508" cm="1">
        <f t="array" ref="L34">IF(D34="",0, SUMPRODUCT(--(ISNUMBER(SEARCH($A34,'Diags Raw Data'!$A$6:$A$3687))),'Diags Raw Data'!$L$6:$L$3687,'Diags Raw Data'!$P$6:$P$3687)/J34)</f>
        <v>1</v>
      </c>
      <c r="M34" s="509" cm="1">
        <f t="array" ref="M34">SUMPRODUCT(--(ISNUMBER(SEARCH($A34,'Diags Raw Data'!$A$6:$A$3687))),--('Diags Raw Data'!$Q$6:$Q$3687&lt;&gt;"N/A"),'Diags Raw Data'!$R$6:$R$3687)</f>
        <v>1</v>
      </c>
      <c r="N34" s="510" cm="1">
        <f t="array" ref="N34">SUMPRODUCT(--(ISNUMBER(SEARCH($A34,'Diags Raw Data'!$A$6:$A$3687))),--('Diags Raw Data'!$Q$6:$Q$3687&lt;&gt;"N/A"),'Diags Raw Data'!$T$6:$T$3687)+SUMPRODUCT(--(ISNUMBER(SEARCH($A34,'Diags Raw Data'!$A$6:$A$3687))),--('Diags Raw Data'!$Q$6:$Q$3687&lt;&gt;"N/A"),'Diags Raw Data'!$U$6:$U$3687)</f>
        <v>1</v>
      </c>
      <c r="O34" s="511">
        <f t="shared" si="2"/>
        <v>1</v>
      </c>
      <c r="P34" s="512">
        <f>SUMIF('Diags Raw Data'!$A$6:$A$3687,"*"&amp;$A34&amp;"*",'Diags Raw Data'!$Z$6:$Z$3687)</f>
        <v>0</v>
      </c>
      <c r="Q34" s="513">
        <f>SUM(SUMIF('Diags Raw Data'!$A$6:$A$3687,"*"&amp;$A34&amp;"*",'Diags Raw Data'!$AA$6:$AA$3687),SUMIF('Diags Raw Data'!$A$6:$A$3687,"*"&amp;$A34&amp;"*",'Diags Raw Data'!$AB$6:$AB$3687))</f>
        <v>0</v>
      </c>
      <c r="R34" s="514">
        <f t="shared" si="3"/>
        <v>0</v>
      </c>
      <c r="S34" s="514">
        <f t="shared" si="4"/>
        <v>0</v>
      </c>
      <c r="T34" s="515">
        <f t="shared" si="5"/>
        <v>0</v>
      </c>
      <c r="U34" s="456" t="s">
        <v>582</v>
      </c>
      <c r="V34" s="180"/>
    </row>
    <row r="35" spans="1:22" ht="15" thickBot="1">
      <c r="A35" s="561" t="s">
        <v>441</v>
      </c>
      <c r="B35" s="452" t="str">
        <f>VLOOKUP(A35,'Feature Raw Data'!$A$3:$B$3996,2,FALSE)</f>
        <v>CCP: Clock gating</v>
      </c>
      <c r="C35" s="453" t="str">
        <f>VLOOKUP(A35,'Feature Raw Data'!$A$3:$C$3996,3,FALSE)</f>
        <v>P3</v>
      </c>
      <c r="D35" s="454" t="str" cm="1">
        <f t="array" ref="D35">_xlfn.TEXTJOIN("",TRUE,IF(ISNUMBER(SEARCH($A35,'Diags Raw Data'!$A$6:$A$3687)),CONCATENATE('Diags Raw Data'!$H$6:$H$3687,", "),""))</f>
        <v xml:space="preserve">psp2.106;psp2.107, </v>
      </c>
      <c r="E35" s="339" t="str">
        <f>VLOOKUP(A35,'Diags Raw Data'!$A$6:$D$3687,4,FALSE)</f>
        <v>CCP</v>
      </c>
      <c r="F35" s="339" t="str">
        <f>VLOOKUP(A35,'Feature Raw Data'!$A$3:$E$3996,5,FALSE)</f>
        <v>Delta</v>
      </c>
      <c r="G35" s="339" t="str">
        <f t="shared" si="0"/>
        <v>Yes</v>
      </c>
      <c r="H35" s="339" t="str">
        <f t="shared" si="1"/>
        <v>Yes</v>
      </c>
      <c r="I35" s="453">
        <f>SUMIF('Diags Raw Data'!$A$6:$A$3687,"*"&amp;$A35&amp;"*",'Diags Raw Data'!$K$6:$K$3687)</f>
        <v>40</v>
      </c>
      <c r="J35" s="455">
        <f>SUMIF('Diags Raw Data'!$A$6:$A$3687,"*"&amp;$A35&amp;"*",'Diags Raw Data'!$L$6:$L$3687)</f>
        <v>1</v>
      </c>
      <c r="K35" s="507" cm="1">
        <f t="array" ref="K35">IF(D35="",0, SUMPRODUCT(--(ISNUMBER(SEARCH($A35,'Diags Raw Data'!$A$6:$A$3687))),'Diags Raw Data'!$L$6:$L$3687,'Diags Raw Data'!$N$6:$N$3687)/J35)</f>
        <v>1</v>
      </c>
      <c r="L35" s="508" cm="1">
        <f t="array" ref="L35">IF(D35="",0, SUMPRODUCT(--(ISNUMBER(SEARCH($A35,'Diags Raw Data'!$A$6:$A$3687))),'Diags Raw Data'!$L$6:$L$3687,'Diags Raw Data'!$P$6:$P$3687)/J35)</f>
        <v>1</v>
      </c>
      <c r="M35" s="509" cm="1">
        <f t="array" ref="M35">SUMPRODUCT(--(ISNUMBER(SEARCH($A35,'Diags Raw Data'!$A$6:$A$3687))),--('Diags Raw Data'!$Q$6:$Q$3687&lt;&gt;"N/A"),'Diags Raw Data'!$R$6:$R$3687)</f>
        <v>1</v>
      </c>
      <c r="N35" s="510" cm="1">
        <f t="array" ref="N35">SUMPRODUCT(--(ISNUMBER(SEARCH($A35,'Diags Raw Data'!$A$6:$A$3687))),--('Diags Raw Data'!$Q$6:$Q$3687&lt;&gt;"N/A"),'Diags Raw Data'!$T$6:$T$3687)+SUMPRODUCT(--(ISNUMBER(SEARCH($A35,'Diags Raw Data'!$A$6:$A$3687))),--('Diags Raw Data'!$Q$6:$Q$3687&lt;&gt;"N/A"),'Diags Raw Data'!$U$6:$U$3687)</f>
        <v>1</v>
      </c>
      <c r="O35" s="511">
        <f t="shared" si="2"/>
        <v>1</v>
      </c>
      <c r="P35" s="512">
        <f>SUMIF('Diags Raw Data'!$A$6:$A$3687,"*"&amp;$A35&amp;"*",'Diags Raw Data'!$Z$6:$Z$3687)</f>
        <v>0</v>
      </c>
      <c r="Q35" s="513">
        <f>SUM(SUMIF('Diags Raw Data'!$A$6:$A$3687,"*"&amp;$A35&amp;"*",'Diags Raw Data'!$AA$6:$AA$3687),SUMIF('Diags Raw Data'!$A$6:$A$3687,"*"&amp;$A35&amp;"*",'Diags Raw Data'!$AB$6:$AB$3687))</f>
        <v>0</v>
      </c>
      <c r="R35" s="514">
        <f t="shared" si="3"/>
        <v>0</v>
      </c>
      <c r="S35" s="514">
        <f t="shared" si="4"/>
        <v>0</v>
      </c>
      <c r="T35" s="515">
        <f t="shared" si="5"/>
        <v>0</v>
      </c>
      <c r="U35" s="456" t="s">
        <v>582</v>
      </c>
      <c r="V35" s="180"/>
    </row>
    <row r="36" spans="1:22" ht="15" thickBot="1">
      <c r="A36" s="561" t="s">
        <v>563</v>
      </c>
      <c r="B36" s="452" t="str">
        <f>VLOOKUP(A36,'Feature Raw Data'!$A$3:$B$3996,2,FALSE)</f>
        <v>ASP: MP0CLK gating/deep sleep</v>
      </c>
      <c r="C36" s="453" t="str">
        <f>VLOOKUP(A36,'Feature Raw Data'!$A$3:$C$3996,3,FALSE)</f>
        <v>P3</v>
      </c>
      <c r="D36" s="454" t="str" cm="1">
        <f t="array" ref="D36">_xlfn.TEXTJOIN("",TRUE,IF(ISNUMBER(SEARCH($A36,'Diags Raw Data'!$A$6:$A$3687)),CONCATENATE('Diags Raw Data'!$H$6:$H$3687,", "),""))</f>
        <v/>
      </c>
      <c r="E36" s="339" t="e">
        <f>VLOOKUP(A36,'Diags Raw Data'!$A$6:$D$3687,4,FALSE)</f>
        <v>#N/A</v>
      </c>
      <c r="F36" s="339" t="str">
        <f>VLOOKUP(A36,'Feature Raw Data'!$A$3:$E$3996,5,FALSE)</f>
        <v>Legacy</v>
      </c>
      <c r="G36" s="339" t="str">
        <f t="shared" si="0"/>
        <v>No</v>
      </c>
      <c r="H36" s="339" t="str">
        <f t="shared" si="1"/>
        <v>No</v>
      </c>
      <c r="I36" s="453">
        <f>SUMIF('Diags Raw Data'!$A$6:$A$3687,"*"&amp;$A36&amp;"*",'Diags Raw Data'!$K$6:$K$3687)</f>
        <v>0</v>
      </c>
      <c r="J36" s="455">
        <f>SUMIF('Diags Raw Data'!$A$6:$A$3687,"*"&amp;$A36&amp;"*",'Diags Raw Data'!$L$6:$L$3687)</f>
        <v>0</v>
      </c>
      <c r="K36" s="507" cm="1">
        <f t="array" ref="K36">IF(D36="",0, SUMPRODUCT(--(ISNUMBER(SEARCH($A36,'Diags Raw Data'!$A$6:$A$3687))),'Diags Raw Data'!$L$6:$L$3687,'Diags Raw Data'!$N$6:$N$3687)/J36)</f>
        <v>0</v>
      </c>
      <c r="L36" s="508" cm="1">
        <f t="array" ref="L36">IF(D36="",0, SUMPRODUCT(--(ISNUMBER(SEARCH($A36,'Diags Raw Data'!$A$6:$A$3687))),'Diags Raw Data'!$L$6:$L$3687,'Diags Raw Data'!$P$6:$P$3687)/J36)</f>
        <v>0</v>
      </c>
      <c r="M36" s="509" cm="1">
        <f t="array" ref="M36">SUMPRODUCT(--(ISNUMBER(SEARCH($A36,'Diags Raw Data'!$A$6:$A$3687))),--('Diags Raw Data'!$Q$6:$Q$3687&lt;&gt;"N/A"),'Diags Raw Data'!$R$6:$R$3687)</f>
        <v>0</v>
      </c>
      <c r="N36" s="510" cm="1">
        <f t="array" ref="N36">SUMPRODUCT(--(ISNUMBER(SEARCH($A36,'Diags Raw Data'!$A$6:$A$3687))),--('Diags Raw Data'!$Q$6:$Q$3687&lt;&gt;"N/A"),'Diags Raw Data'!$T$6:$T$3687)+SUMPRODUCT(--(ISNUMBER(SEARCH($A36,'Diags Raw Data'!$A$6:$A$3687))),--('Diags Raw Data'!$Q$6:$Q$3687&lt;&gt;"N/A"),'Diags Raw Data'!$U$6:$U$3687)</f>
        <v>0</v>
      </c>
      <c r="O36" s="511">
        <f t="shared" si="2"/>
        <v>0</v>
      </c>
      <c r="P36" s="512">
        <f>SUMIF('Diags Raw Data'!$A$6:$A$3687,"*"&amp;$A36&amp;"*",'Diags Raw Data'!$Z$6:$Z$3687)</f>
        <v>0</v>
      </c>
      <c r="Q36" s="513">
        <f>SUM(SUMIF('Diags Raw Data'!$A$6:$A$3687,"*"&amp;$A36&amp;"*",'Diags Raw Data'!$AA$6:$AA$3687),SUMIF('Diags Raw Data'!$A$6:$A$3687,"*"&amp;$A36&amp;"*",'Diags Raw Data'!$AB$6:$AB$3687))</f>
        <v>0</v>
      </c>
      <c r="R36" s="514">
        <f t="shared" si="3"/>
        <v>0</v>
      </c>
      <c r="S36" s="514">
        <f t="shared" si="4"/>
        <v>0</v>
      </c>
      <c r="T36" s="515">
        <f t="shared" si="5"/>
        <v>0</v>
      </c>
      <c r="U36" s="451" t="s">
        <v>47</v>
      </c>
      <c r="V36" s="180"/>
    </row>
    <row r="37" spans="1:22" ht="29.45" thickBot="1">
      <c r="A37" s="561" t="s">
        <v>565</v>
      </c>
      <c r="B37" s="452" t="str">
        <f>VLOOKUP(A37,'Feature Raw Data'!$A$3:$B$3996,2,FALSE)</f>
        <v>ASP: SRAM clock gating/deep sleep</v>
      </c>
      <c r="C37" s="453" t="str">
        <f>VLOOKUP(A37,'Feature Raw Data'!$A$3:$C$3996,3,FALSE)</f>
        <v>P3</v>
      </c>
      <c r="D37" s="454" t="str" cm="1">
        <f t="array" ref="D37">_xlfn.TEXTJOIN("",TRUE,IF(ISNUMBER(SEARCH($A37,'Diags Raw Data'!$A$6:$A$3687)),CONCATENATE('Diags Raw Data'!$H$6:$H$3687,", "),""))</f>
        <v/>
      </c>
      <c r="E37" s="339" t="e">
        <f>VLOOKUP(A37,'Diags Raw Data'!$A$6:$D$3687,4,FALSE)</f>
        <v>#N/A</v>
      </c>
      <c r="F37" s="339" t="str">
        <f>VLOOKUP(A37,'Feature Raw Data'!$A$3:$E$3996,5,FALSE)</f>
        <v>Legacy</v>
      </c>
      <c r="G37" s="339" t="str">
        <f t="shared" si="0"/>
        <v>No</v>
      </c>
      <c r="H37" s="339" t="str">
        <f t="shared" si="1"/>
        <v>No</v>
      </c>
      <c r="I37" s="453">
        <f>SUMIF('Diags Raw Data'!$A$6:$A$3687,"*"&amp;$A37&amp;"*",'Diags Raw Data'!$K$6:$K$3687)</f>
        <v>0</v>
      </c>
      <c r="J37" s="455">
        <f>SUMIF('Diags Raw Data'!$A$6:$A$3687,"*"&amp;$A37&amp;"*",'Diags Raw Data'!$L$6:$L$3687)</f>
        <v>0</v>
      </c>
      <c r="K37" s="507" cm="1">
        <f t="array" ref="K37">IF(D37="",0, SUMPRODUCT(--(ISNUMBER(SEARCH($A37,'Diags Raw Data'!$A$6:$A$3687))),'Diags Raw Data'!$L$6:$L$3687,'Diags Raw Data'!$N$6:$N$3687)/J37)</f>
        <v>0</v>
      </c>
      <c r="L37" s="508" cm="1">
        <f t="array" ref="L37">IF(D37="",0, SUMPRODUCT(--(ISNUMBER(SEARCH($A37,'Diags Raw Data'!$A$6:$A$3687))),'Diags Raw Data'!$L$6:$L$3687,'Diags Raw Data'!$P$6:$P$3687)/J37)</f>
        <v>0</v>
      </c>
      <c r="M37" s="509" cm="1">
        <f t="array" ref="M37">SUMPRODUCT(--(ISNUMBER(SEARCH($A37,'Diags Raw Data'!$A$6:$A$3687))),--('Diags Raw Data'!$Q$6:$Q$3687&lt;&gt;"N/A"),'Diags Raw Data'!$R$6:$R$3687)</f>
        <v>0</v>
      </c>
      <c r="N37" s="510" cm="1">
        <f t="array" ref="N37">SUMPRODUCT(--(ISNUMBER(SEARCH($A37,'Diags Raw Data'!$A$6:$A$3687))),--('Diags Raw Data'!$Q$6:$Q$3687&lt;&gt;"N/A"),'Diags Raw Data'!$T$6:$T$3687)+SUMPRODUCT(--(ISNUMBER(SEARCH($A37,'Diags Raw Data'!$A$6:$A$3687))),--('Diags Raw Data'!$Q$6:$Q$3687&lt;&gt;"N/A"),'Diags Raw Data'!$U$6:$U$3687)</f>
        <v>0</v>
      </c>
      <c r="O37" s="511">
        <f t="shared" si="2"/>
        <v>0</v>
      </c>
      <c r="P37" s="512">
        <f>SUMIF('Diags Raw Data'!$A$6:$A$3687,"*"&amp;$A37&amp;"*",'Diags Raw Data'!$Z$6:$Z$3687)</f>
        <v>0</v>
      </c>
      <c r="Q37" s="513">
        <f>SUM(SUMIF('Diags Raw Data'!$A$6:$A$3687,"*"&amp;$A37&amp;"*",'Diags Raw Data'!$AA$6:$AA$3687),SUMIF('Diags Raw Data'!$A$6:$A$3687,"*"&amp;$A37&amp;"*",'Diags Raw Data'!$AB$6:$AB$3687))</f>
        <v>0</v>
      </c>
      <c r="R37" s="514">
        <f t="shared" si="3"/>
        <v>0</v>
      </c>
      <c r="S37" s="514">
        <f t="shared" si="4"/>
        <v>0</v>
      </c>
      <c r="T37" s="515">
        <f t="shared" si="5"/>
        <v>0</v>
      </c>
      <c r="U37" s="451" t="s">
        <v>47</v>
      </c>
      <c r="V37" s="180"/>
    </row>
    <row r="38" spans="1:22" s="185" customFormat="1">
      <c r="A38" s="561" t="s">
        <v>567</v>
      </c>
      <c r="B38" s="452" t="str">
        <f>VLOOKUP(A38,'Feature Raw Data'!$A$3:$B$3996,2,FALSE)</f>
        <v>ASP: Power gating</v>
      </c>
      <c r="C38" s="453" t="str">
        <f>VLOOKUP(A38,'Feature Raw Data'!$A$3:$C$3996,3,FALSE)</f>
        <v>P3</v>
      </c>
      <c r="D38" s="454" t="str" cm="1">
        <f t="array" ref="D38">_xlfn.TEXTJOIN("",TRUE,IF(ISNUMBER(SEARCH($A38,'Diags Raw Data'!$A$6:$A$3687)),CONCATENATE('Diags Raw Data'!$H$6:$H$3687,", "),""))</f>
        <v/>
      </c>
      <c r="E38" s="339" t="e">
        <f>VLOOKUP(A38,'Diags Raw Data'!$A$6:$D$3687,4,FALSE)</f>
        <v>#N/A</v>
      </c>
      <c r="F38" s="339" t="str">
        <f>VLOOKUP(A38,'Feature Raw Data'!$A$3:$E$3996,5,FALSE)</f>
        <v>Legacy</v>
      </c>
      <c r="G38" s="339" t="str">
        <f t="shared" si="0"/>
        <v>No</v>
      </c>
      <c r="H38" s="339" t="str">
        <f t="shared" si="1"/>
        <v>No</v>
      </c>
      <c r="I38" s="453">
        <f>SUMIF('Diags Raw Data'!$A$6:$A$3687,"*"&amp;$A38&amp;"*",'Diags Raw Data'!$K$6:$K$3687)</f>
        <v>0</v>
      </c>
      <c r="J38" s="455">
        <f>SUMIF('Diags Raw Data'!$A$6:$A$3687,"*"&amp;$A38&amp;"*",'Diags Raw Data'!$L$6:$L$3687)</f>
        <v>0</v>
      </c>
      <c r="K38" s="507" cm="1">
        <f t="array" ref="K38">IF(D38="",0, SUMPRODUCT(--(ISNUMBER(SEARCH($A38,'Diags Raw Data'!$A$6:$A$3687))),'Diags Raw Data'!$L$6:$L$3687,'Diags Raw Data'!$N$6:$N$3687)/J38)</f>
        <v>0</v>
      </c>
      <c r="L38" s="508" cm="1">
        <f t="array" ref="L38">IF(D38="",0, SUMPRODUCT(--(ISNUMBER(SEARCH($A38,'Diags Raw Data'!$A$6:$A$3687))),'Diags Raw Data'!$L$6:$L$3687,'Diags Raw Data'!$P$6:$P$3687)/J38)</f>
        <v>0</v>
      </c>
      <c r="M38" s="509" cm="1">
        <f t="array" ref="M38">SUMPRODUCT(--(ISNUMBER(SEARCH($A38,'Diags Raw Data'!$A$6:$A$3687))),--('Diags Raw Data'!$Q$6:$Q$3687&lt;&gt;"N/A"),'Diags Raw Data'!$R$6:$R$3687)</f>
        <v>0</v>
      </c>
      <c r="N38" s="510" cm="1">
        <f t="array" ref="N38">SUMPRODUCT(--(ISNUMBER(SEARCH($A38,'Diags Raw Data'!$A$6:$A$3687))),--('Diags Raw Data'!$Q$6:$Q$3687&lt;&gt;"N/A"),'Diags Raw Data'!$T$6:$T$3687)+SUMPRODUCT(--(ISNUMBER(SEARCH($A38,'Diags Raw Data'!$A$6:$A$3687))),--('Diags Raw Data'!$Q$6:$Q$3687&lt;&gt;"N/A"),'Diags Raw Data'!$U$6:$U$3687)</f>
        <v>0</v>
      </c>
      <c r="O38" s="511">
        <f t="shared" si="2"/>
        <v>0</v>
      </c>
      <c r="P38" s="512">
        <f>SUMIF('Diags Raw Data'!$A$6:$A$3687,"*"&amp;$A38&amp;"*",'Diags Raw Data'!$Z$6:$Z$3687)</f>
        <v>0</v>
      </c>
      <c r="Q38" s="513">
        <f>SUM(SUMIF('Diags Raw Data'!$A$6:$A$3687,"*"&amp;$A38&amp;"*",'Diags Raw Data'!$AA$6:$AA$3687),SUMIF('Diags Raw Data'!$A$6:$A$3687,"*"&amp;$A38&amp;"*",'Diags Raw Data'!$AB$6:$AB$3687))</f>
        <v>0</v>
      </c>
      <c r="R38" s="514">
        <f t="shared" si="3"/>
        <v>0</v>
      </c>
      <c r="S38" s="514">
        <f t="shared" si="4"/>
        <v>0</v>
      </c>
      <c r="T38" s="515">
        <f t="shared" si="5"/>
        <v>0</v>
      </c>
      <c r="U38" s="451" t="s">
        <v>47</v>
      </c>
      <c r="V38" s="184"/>
    </row>
    <row r="39" spans="1:22">
      <c r="A39" s="561" t="s">
        <v>569</v>
      </c>
      <c r="B39" s="452" t="str">
        <f>VLOOKUP(A39,'Feature Raw Data'!$A$3:$B$3996,2,FALSE)</f>
        <v>ASP: HUBIF clock gating</v>
      </c>
      <c r="C39" s="453" t="str">
        <f>VLOOKUP(A39,'Feature Raw Data'!$A$3:$C$3996,3,FALSE)</f>
        <v>P3</v>
      </c>
      <c r="D39" s="454" t="str" cm="1">
        <f t="array" ref="D39">_xlfn.TEXTJOIN("",TRUE,IF(ISNUMBER(SEARCH($A39,'Diags Raw Data'!$A$6:$A$3687)),CONCATENATE('Diags Raw Data'!$H$6:$H$3687,", "),""))</f>
        <v/>
      </c>
      <c r="E39" s="339" t="e">
        <f>VLOOKUP(A39,'Diags Raw Data'!$A$6:$D$3687,4,FALSE)</f>
        <v>#N/A</v>
      </c>
      <c r="F39" s="339" t="str">
        <f>VLOOKUP(A39,'Feature Raw Data'!$A$3:$E$3996,5,FALSE)</f>
        <v>Legacy</v>
      </c>
      <c r="G39" s="339" t="str">
        <f t="shared" ref="G39:G48" si="6">IF(D39="","No","Yes")</f>
        <v>No</v>
      </c>
      <c r="H39" s="339" t="str">
        <f t="shared" ref="H39:H48" si="7">IF(D39="","No","Yes")</f>
        <v>No</v>
      </c>
      <c r="I39" s="453">
        <f>SUMIF('Diags Raw Data'!$A$6:$A$3687,"*"&amp;$A39&amp;"*",'Diags Raw Data'!$K$6:$K$3687)</f>
        <v>0</v>
      </c>
      <c r="J39" s="455">
        <f>SUMIF('Diags Raw Data'!$A$6:$A$3687,"*"&amp;$A39&amp;"*",'Diags Raw Data'!$L$6:$L$3687)</f>
        <v>0</v>
      </c>
      <c r="K39" s="507" cm="1">
        <f t="array" ref="K39">IF(D39="",0, SUMPRODUCT(--(ISNUMBER(SEARCH($A39,'Diags Raw Data'!$A$6:$A$3687))),'Diags Raw Data'!$L$6:$L$3687,'Diags Raw Data'!$N$6:$N$3687)/J39)</f>
        <v>0</v>
      </c>
      <c r="L39" s="508" cm="1">
        <f t="array" ref="L39">IF(D39="",0, SUMPRODUCT(--(ISNUMBER(SEARCH($A39,'Diags Raw Data'!$A$6:$A$3687))),'Diags Raw Data'!$L$6:$L$3687,'Diags Raw Data'!$P$6:$P$3687)/J39)</f>
        <v>0</v>
      </c>
      <c r="M39" s="509" cm="1">
        <f t="array" ref="M39">SUMPRODUCT(--(ISNUMBER(SEARCH($A39,'Diags Raw Data'!$A$6:$A$3687))),--('Diags Raw Data'!$Q$6:$Q$3687&lt;&gt;"N/A"),'Diags Raw Data'!$R$6:$R$3687)</f>
        <v>0</v>
      </c>
      <c r="N39" s="510" cm="1">
        <f t="array" ref="N39">SUMPRODUCT(--(ISNUMBER(SEARCH($A39,'Diags Raw Data'!$A$6:$A$3687))),--('Diags Raw Data'!$Q$6:$Q$3687&lt;&gt;"N/A"),'Diags Raw Data'!$T$6:$T$3687)+SUMPRODUCT(--(ISNUMBER(SEARCH($A39,'Diags Raw Data'!$A$6:$A$3687))),--('Diags Raw Data'!$Q$6:$Q$3687&lt;&gt;"N/A"),'Diags Raw Data'!$U$6:$U$3687)</f>
        <v>0</v>
      </c>
      <c r="O39" s="511">
        <f t="shared" si="2"/>
        <v>0</v>
      </c>
      <c r="P39" s="512">
        <f>SUMIF('Diags Raw Data'!$A$6:$A$3687,"*"&amp;$A39&amp;"*",'Diags Raw Data'!$Z$6:$Z$3687)</f>
        <v>0</v>
      </c>
      <c r="Q39" s="513">
        <f>SUM(SUMIF('Diags Raw Data'!$A$6:$A$3687,"*"&amp;$A39&amp;"*",'Diags Raw Data'!$AA$6:$AA$3687),SUMIF('Diags Raw Data'!$A$6:$A$3687,"*"&amp;$A39&amp;"*",'Diags Raw Data'!$AB$6:$AB$3687))</f>
        <v>0</v>
      </c>
      <c r="R39" s="514">
        <f t="shared" si="3"/>
        <v>0</v>
      </c>
      <c r="S39" s="514">
        <f t="shared" si="4"/>
        <v>0</v>
      </c>
      <c r="T39" s="515">
        <f t="shared" si="5"/>
        <v>0</v>
      </c>
      <c r="U39" s="456" t="s">
        <v>47</v>
      </c>
      <c r="V39" s="180"/>
    </row>
    <row r="40" spans="1:22" ht="130.5">
      <c r="A40" s="561" t="s">
        <v>418</v>
      </c>
      <c r="B40" s="452" t="str">
        <f>VLOOKUP(A40,'Feature Raw Data'!$A$3:$B$3996,2,FALSE)</f>
        <v>CCP: Module Reset</v>
      </c>
      <c r="C40" s="453" t="str">
        <f>VLOOKUP(A40,'Feature Raw Data'!$A$3:$C$3996,3,FALSE)</f>
        <v>P2</v>
      </c>
      <c r="D40" s="454" t="str" cm="1">
        <f t="array" ref="D40">_xlfn.TEXTJOIN("",TRUE,IF(ISNUMBER(SEARCH($A40,'Diags Raw Data'!$A$6:$A$3687)),CONCATENATE('Diags Raw Data'!$H$6:$H$3687,", "),""))</f>
        <v xml:space="preserve">psp201.3, psp202.3, psp203.3, psp204.3, psp205.3, psp206.3, psp2.201, psp2.202, psp2.203, </v>
      </c>
      <c r="E40" s="339" t="str">
        <f>VLOOKUP(A40,'Diags Raw Data'!$A$6:$D$3687,4,FALSE)</f>
        <v>CCP</v>
      </c>
      <c r="F40" s="339" t="str">
        <f>VLOOKUP(A40,'Feature Raw Data'!$A$3:$E$3996,5,FALSE)</f>
        <v>Delta</v>
      </c>
      <c r="G40" s="339" t="str">
        <f t="shared" si="6"/>
        <v>Yes</v>
      </c>
      <c r="H40" s="339" t="str">
        <f t="shared" si="7"/>
        <v>Yes</v>
      </c>
      <c r="I40" s="453">
        <f>SUMIF('Diags Raw Data'!$A$6:$A$3687,"*"&amp;$A40&amp;"*",'Diags Raw Data'!$K$6:$K$3687)</f>
        <v>216</v>
      </c>
      <c r="J40" s="455">
        <f>SUMIF('Diags Raw Data'!$A$6:$A$3687,"*"&amp;$A40&amp;"*",'Diags Raw Data'!$L$6:$L$3687)</f>
        <v>9</v>
      </c>
      <c r="K40" s="507" cm="1">
        <f t="array" ref="K40">IF(D40="",0, SUMPRODUCT(--(ISNUMBER(SEARCH($A40,'Diags Raw Data'!$A$6:$A$3687))),'Diags Raw Data'!$L$6:$L$3687,'Diags Raw Data'!$N$6:$N$3687)/J40)</f>
        <v>1</v>
      </c>
      <c r="L40" s="508" cm="1">
        <f t="array" ref="L40">IF(D40="",0, SUMPRODUCT(--(ISNUMBER(SEARCH($A40,'Diags Raw Data'!$A$6:$A$3687))),'Diags Raw Data'!$L$6:$L$3687,'Diags Raw Data'!$P$6:$P$3687)/J40)</f>
        <v>1</v>
      </c>
      <c r="M40" s="509" cm="1">
        <f t="array" ref="M40">SUMPRODUCT(--(ISNUMBER(SEARCH($A40,'Diags Raw Data'!$A$6:$A$3687))),--('Diags Raw Data'!$Q$6:$Q$3687&lt;&gt;"N/A"),'Diags Raw Data'!$R$6:$R$3687)</f>
        <v>9</v>
      </c>
      <c r="N40" s="510" cm="1">
        <f t="array" ref="N40">SUMPRODUCT(--(ISNUMBER(SEARCH($A40,'Diags Raw Data'!$A$6:$A$3687))),--('Diags Raw Data'!$Q$6:$Q$3687&lt;&gt;"N/A"),'Diags Raw Data'!$T$6:$T$3687)+SUMPRODUCT(--(ISNUMBER(SEARCH($A40,'Diags Raw Data'!$A$6:$A$3687))),--('Diags Raw Data'!$Q$6:$Q$3687&lt;&gt;"N/A"),'Diags Raw Data'!$U$6:$U$3687)</f>
        <v>9</v>
      </c>
      <c r="O40" s="511">
        <f t="shared" si="2"/>
        <v>1</v>
      </c>
      <c r="P40" s="512">
        <f>SUMIF('Diags Raw Data'!$A$6:$A$3687,"*"&amp;$A40&amp;"*",'Diags Raw Data'!$Z$6:$Z$3687)</f>
        <v>0</v>
      </c>
      <c r="Q40" s="513">
        <f>SUM(SUMIF('Diags Raw Data'!$A$6:$A$3687,"*"&amp;$A40&amp;"*",'Diags Raw Data'!$AA$6:$AA$3687),SUMIF('Diags Raw Data'!$A$6:$A$3687,"*"&amp;$A40&amp;"*",'Diags Raw Data'!$AB$6:$AB$3687))</f>
        <v>0</v>
      </c>
      <c r="R40" s="514">
        <f t="shared" si="3"/>
        <v>0</v>
      </c>
      <c r="S40" s="514">
        <f t="shared" si="4"/>
        <v>0</v>
      </c>
      <c r="T40" s="515">
        <f t="shared" si="5"/>
        <v>0</v>
      </c>
      <c r="U40" s="456" t="s">
        <v>576</v>
      </c>
      <c r="V40" s="180"/>
    </row>
    <row r="41" spans="1:22">
      <c r="A41" s="561" t="s">
        <v>360</v>
      </c>
      <c r="B41" s="452" t="str">
        <f>VLOOKUP(A41,'Feature Raw Data'!$A$3:$B$3996,2,FALSE)</f>
        <v>ASP: SRAM/ROM Disable</v>
      </c>
      <c r="C41" s="453" t="str">
        <f>VLOOKUP(A41,'Feature Raw Data'!$A$3:$C$3996,3,FALSE)</f>
        <v>P1</v>
      </c>
      <c r="D41" s="454" t="str" cm="1">
        <f t="array" ref="D41">_xlfn.TEXTJOIN("",TRUE,IF(ISNUMBER(SEARCH($A41,'Diags Raw Data'!$A$6:$A$3687)),CONCATENATE('Diags Raw Data'!$H$6:$H$3687,", "),""))</f>
        <v xml:space="preserve">psp103, </v>
      </c>
      <c r="E41" s="339" t="str">
        <f>VLOOKUP(A41,'Diags Raw Data'!$A$6:$D$3687,4,FALSE)</f>
        <v>MPASP</v>
      </c>
      <c r="F41" s="339" t="str">
        <f>VLOOKUP(A41,'Feature Raw Data'!$A$3:$E$3996,5,FALSE)</f>
        <v>New</v>
      </c>
      <c r="G41" s="339" t="str">
        <f t="shared" si="6"/>
        <v>Yes</v>
      </c>
      <c r="H41" s="339" t="str">
        <f t="shared" si="7"/>
        <v>Yes</v>
      </c>
      <c r="I41" s="453">
        <f>SUMIF('Diags Raw Data'!$A$6:$A$3687,"*"&amp;$A41&amp;"*",'Diags Raw Data'!$K$6:$K$3687)</f>
        <v>32</v>
      </c>
      <c r="J41" s="455">
        <f>SUMIF('Diags Raw Data'!$A$6:$A$3687,"*"&amp;$A41&amp;"*",'Diags Raw Data'!$L$6:$L$3687)</f>
        <v>1</v>
      </c>
      <c r="K41" s="507" cm="1">
        <f t="array" ref="K41">IF(D41="",0, SUMPRODUCT(--(ISNUMBER(SEARCH($A41,'Diags Raw Data'!$A$6:$A$3687))),'Diags Raw Data'!$L$6:$L$3687,'Diags Raw Data'!$N$6:$N$3687)/J41)</f>
        <v>1</v>
      </c>
      <c r="L41" s="508" cm="1">
        <f t="array" ref="L41">IF(D41="",0, SUMPRODUCT(--(ISNUMBER(SEARCH($A41,'Diags Raw Data'!$A$6:$A$3687))),'Diags Raw Data'!$L$6:$L$3687,'Diags Raw Data'!$P$6:$P$3687)/J41)</f>
        <v>1</v>
      </c>
      <c r="M41" s="509" cm="1">
        <f t="array" ref="M41">SUMPRODUCT(--(ISNUMBER(SEARCH($A41,'Diags Raw Data'!$A$6:$A$3687))),--('Diags Raw Data'!$Q$6:$Q$3687&lt;&gt;"N/A"),'Diags Raw Data'!$R$6:$R$3687)</f>
        <v>1</v>
      </c>
      <c r="N41" s="510" cm="1">
        <f t="array" ref="N41">SUMPRODUCT(--(ISNUMBER(SEARCH($A41,'Diags Raw Data'!$A$6:$A$3687))),--('Diags Raw Data'!$Q$6:$Q$3687&lt;&gt;"N/A"),'Diags Raw Data'!$T$6:$T$3687)+SUMPRODUCT(--(ISNUMBER(SEARCH($A41,'Diags Raw Data'!$A$6:$A$3687))),--('Diags Raw Data'!$Q$6:$Q$3687&lt;&gt;"N/A"),'Diags Raw Data'!$U$6:$U$3687)</f>
        <v>1</v>
      </c>
      <c r="O41" s="511">
        <f t="shared" si="2"/>
        <v>1</v>
      </c>
      <c r="P41" s="512">
        <f>SUMIF('Diags Raw Data'!$A$6:$A$3687,"*"&amp;$A41&amp;"*",'Diags Raw Data'!$Z$6:$Z$3687)</f>
        <v>0</v>
      </c>
      <c r="Q41" s="513">
        <f>SUM(SUMIF('Diags Raw Data'!$A$6:$A$3687,"*"&amp;$A41&amp;"*",'Diags Raw Data'!$AA$6:$AA$3687),SUMIF('Diags Raw Data'!$A$6:$A$3687,"*"&amp;$A41&amp;"*",'Diags Raw Data'!$AB$6:$AB$3687))</f>
        <v>0</v>
      </c>
      <c r="R41" s="514">
        <f t="shared" si="3"/>
        <v>0</v>
      </c>
      <c r="S41" s="514">
        <f t="shared" si="4"/>
        <v>0</v>
      </c>
      <c r="T41" s="515">
        <f t="shared" si="5"/>
        <v>0</v>
      </c>
      <c r="U41" s="456" t="s">
        <v>581</v>
      </c>
      <c r="V41" s="180"/>
    </row>
    <row r="42" spans="1:22">
      <c r="A42" s="561" t="s">
        <v>445</v>
      </c>
      <c r="B42" s="452" t="str">
        <f>VLOOKUP(A42,'Feature Raw Data'!$A$3:$B$3996,2,FALSE)</f>
        <v>CCP: Memory range protection</v>
      </c>
      <c r="C42" s="453" t="str">
        <f>VLOOKUP(A42,'Feature Raw Data'!$A$3:$C$3996,3,FALSE)</f>
        <v>P1</v>
      </c>
      <c r="D42" s="454" t="str" cm="1">
        <f t="array" ref="D42">_xlfn.TEXTJOIN("",TRUE,IF(ISNUMBER(SEARCH($A42,'Diags Raw Data'!$A$6:$A$3687)),CONCATENATE('Diags Raw Data'!$H$6:$H$3687,", "),""))</f>
        <v xml:space="preserve">psp2.23, </v>
      </c>
      <c r="E42" s="339" t="str">
        <f>VLOOKUP(A42,'Diags Raw Data'!$A$6:$D$3687,4,FALSE)</f>
        <v>CCP</v>
      </c>
      <c r="F42" s="339" t="str">
        <f>VLOOKUP(A42,'Feature Raw Data'!$A$3:$E$3996,5,FALSE)</f>
        <v>New</v>
      </c>
      <c r="G42" s="339" t="str">
        <f t="shared" si="6"/>
        <v>Yes</v>
      </c>
      <c r="H42" s="339" t="str">
        <f t="shared" si="7"/>
        <v>Yes</v>
      </c>
      <c r="I42" s="453">
        <f>SUMIF('Diags Raw Data'!$A$6:$A$3687,"*"&amp;$A42&amp;"*",'Diags Raw Data'!$K$6:$K$3687)</f>
        <v>40</v>
      </c>
      <c r="J42" s="455">
        <f>SUMIF('Diags Raw Data'!$A$6:$A$3687,"*"&amp;$A42&amp;"*",'Diags Raw Data'!$L$6:$L$3687)</f>
        <v>1</v>
      </c>
      <c r="K42" s="507" cm="1">
        <f t="array" ref="K42">IF(D42="",0, SUMPRODUCT(--(ISNUMBER(SEARCH($A42,'Diags Raw Data'!$A$6:$A$3687))),'Diags Raw Data'!$L$6:$L$3687,'Diags Raw Data'!$N$6:$N$3687)/J42)</f>
        <v>1</v>
      </c>
      <c r="L42" s="508" cm="1">
        <f t="array" ref="L42">IF(D42="",0, SUMPRODUCT(--(ISNUMBER(SEARCH($A42,'Diags Raw Data'!$A$6:$A$3687))),'Diags Raw Data'!$L$6:$L$3687,'Diags Raw Data'!$P$6:$P$3687)/J42)</f>
        <v>1</v>
      </c>
      <c r="M42" s="509" cm="1">
        <f t="array" ref="M42">SUMPRODUCT(--(ISNUMBER(SEARCH($A42,'Diags Raw Data'!$A$6:$A$3687))),--('Diags Raw Data'!$Q$6:$Q$3687&lt;&gt;"N/A"),'Diags Raw Data'!$R$6:$R$3687)</f>
        <v>1</v>
      </c>
      <c r="N42" s="510" cm="1">
        <f t="array" ref="N42">SUMPRODUCT(--(ISNUMBER(SEARCH($A42,'Diags Raw Data'!$A$6:$A$3687))),--('Diags Raw Data'!$Q$6:$Q$3687&lt;&gt;"N/A"),'Diags Raw Data'!$T$6:$T$3687)+SUMPRODUCT(--(ISNUMBER(SEARCH($A42,'Diags Raw Data'!$A$6:$A$3687))),--('Diags Raw Data'!$Q$6:$Q$3687&lt;&gt;"N/A"),'Diags Raw Data'!$U$6:$U$3687)</f>
        <v>1</v>
      </c>
      <c r="O42" s="511">
        <f t="shared" si="2"/>
        <v>1</v>
      </c>
      <c r="P42" s="512">
        <f>SUMIF('Diags Raw Data'!$A$6:$A$3687,"*"&amp;$A42&amp;"*",'Diags Raw Data'!$Z$6:$Z$3687)</f>
        <v>0</v>
      </c>
      <c r="Q42" s="513">
        <f>SUM(SUMIF('Diags Raw Data'!$A$6:$A$3687,"*"&amp;$A42&amp;"*",'Diags Raw Data'!$AA$6:$AA$3687),SUMIF('Diags Raw Data'!$A$6:$A$3687,"*"&amp;$A42&amp;"*",'Diags Raw Data'!$AB$6:$AB$3687))</f>
        <v>0</v>
      </c>
      <c r="R42" s="514">
        <f t="shared" si="3"/>
        <v>0</v>
      </c>
      <c r="S42" s="514">
        <f t="shared" si="4"/>
        <v>0</v>
      </c>
      <c r="T42" s="515">
        <f t="shared" si="5"/>
        <v>0</v>
      </c>
      <c r="U42" s="456" t="s">
        <v>574</v>
      </c>
      <c r="V42" s="180"/>
    </row>
    <row r="43" spans="1:22" ht="29.1">
      <c r="A43" s="561" t="s">
        <v>449</v>
      </c>
      <c r="B43" s="452" t="str">
        <f>VLOOKUP(A43,'Feature Raw Data'!$A$3:$B$3996,2,FALSE)</f>
        <v>SIB: KSB functional</v>
      </c>
      <c r="C43" s="453" t="str">
        <f>VLOOKUP(A43,'Feature Raw Data'!$A$3:$C$3996,3,FALSE)</f>
        <v>P1</v>
      </c>
      <c r="D43" s="454" t="str" cm="1">
        <f t="array" ref="D43">_xlfn.TEXTJOIN("",TRUE,IF(ISNUMBER(SEARCH($A43,'Diags Raw Data'!$A$6:$A$3687)),CONCATENATE('Diags Raw Data'!$H$6:$H$3687,", "),""))</f>
        <v xml:space="preserve">sib.basic.ksb_access, sib.basic.ksb_attributes, </v>
      </c>
      <c r="E43" s="339" t="str">
        <f>VLOOKUP(A43,'Diags Raw Data'!$A$6:$D$3687,4,FALSE)</f>
        <v>SIB</v>
      </c>
      <c r="F43" s="339" t="str">
        <f>VLOOKUP(A43,'Feature Raw Data'!$A$3:$E$3996,5,FALSE)</f>
        <v>New</v>
      </c>
      <c r="G43" s="339" t="str">
        <f t="shared" si="6"/>
        <v>Yes</v>
      </c>
      <c r="H43" s="339" t="str">
        <f t="shared" si="7"/>
        <v>Yes</v>
      </c>
      <c r="I43" s="453">
        <f>SUMIF('Diags Raw Data'!$A$6:$A$3687,"*"&amp;$A43&amp;"*",'Diags Raw Data'!$K$6:$K$3687)</f>
        <v>80</v>
      </c>
      <c r="J43" s="455">
        <f>SUMIF('Diags Raw Data'!$A$6:$A$3687,"*"&amp;$A43&amp;"*",'Diags Raw Data'!$L$6:$L$3687)</f>
        <v>2</v>
      </c>
      <c r="K43" s="507" cm="1">
        <f t="array" ref="K43">IF(D43="",0, SUMPRODUCT(--(ISNUMBER(SEARCH($A43,'Diags Raw Data'!$A$6:$A$3687))),'Diags Raw Data'!$L$6:$L$3687,'Diags Raw Data'!$N$6:$N$3687)/J43)</f>
        <v>1</v>
      </c>
      <c r="L43" s="508" cm="1">
        <f t="array" ref="L43">IF(D43="",0, SUMPRODUCT(--(ISNUMBER(SEARCH($A43,'Diags Raw Data'!$A$6:$A$3687))),'Diags Raw Data'!$L$6:$L$3687,'Diags Raw Data'!$P$6:$P$3687)/J43)</f>
        <v>1</v>
      </c>
      <c r="M43" s="509" cm="1">
        <f t="array" ref="M43">SUMPRODUCT(--(ISNUMBER(SEARCH($A43,'Diags Raw Data'!$A$6:$A$3687))),--('Diags Raw Data'!$Q$6:$Q$3687&lt;&gt;"N/A"),'Diags Raw Data'!$R$6:$R$3687)</f>
        <v>2</v>
      </c>
      <c r="N43" s="510" cm="1">
        <f t="array" ref="N43">SUMPRODUCT(--(ISNUMBER(SEARCH($A43,'Diags Raw Data'!$A$6:$A$3687))),--('Diags Raw Data'!$Q$6:$Q$3687&lt;&gt;"N/A"),'Diags Raw Data'!$T$6:$T$3687)+SUMPRODUCT(--(ISNUMBER(SEARCH($A43,'Diags Raw Data'!$A$6:$A$3687))),--('Diags Raw Data'!$Q$6:$Q$3687&lt;&gt;"N/A"),'Diags Raw Data'!$U$6:$U$3687)</f>
        <v>2</v>
      </c>
      <c r="O43" s="511">
        <f t="shared" si="2"/>
        <v>1</v>
      </c>
      <c r="P43" s="512">
        <f>SUMIF('Diags Raw Data'!$A$6:$A$3687,"*"&amp;$A43&amp;"*",'Diags Raw Data'!$Z$6:$Z$3687)</f>
        <v>0</v>
      </c>
      <c r="Q43" s="513">
        <f>SUM(SUMIF('Diags Raw Data'!$A$6:$A$3687,"*"&amp;$A43&amp;"*",'Diags Raw Data'!$AA$6:$AA$3687),SUMIF('Diags Raw Data'!$A$6:$A$3687,"*"&amp;$A43&amp;"*",'Diags Raw Data'!$AB$6:$AB$3687))</f>
        <v>0</v>
      </c>
      <c r="R43" s="514">
        <f t="shared" si="3"/>
        <v>0</v>
      </c>
      <c r="S43" s="514">
        <f t="shared" si="4"/>
        <v>0</v>
      </c>
      <c r="T43" s="515">
        <f t="shared" si="5"/>
        <v>0</v>
      </c>
      <c r="U43" s="456" t="s">
        <v>574</v>
      </c>
      <c r="V43" s="180"/>
    </row>
    <row r="44" spans="1:22">
      <c r="A44" s="561" t="s">
        <v>460</v>
      </c>
      <c r="B44" s="452" t="str">
        <f>VLOOKUP(A44,'Feature Raw Data'!$A$3:$B$3996,2,FALSE)</f>
        <v>SIB: KSB errors</v>
      </c>
      <c r="C44" s="453" t="str">
        <f>VLOOKUP(A44,'Feature Raw Data'!$A$3:$C$3996,3,FALSE)</f>
        <v>P2</v>
      </c>
      <c r="D44" s="454" t="str" cm="1">
        <f t="array" ref="D44">_xlfn.TEXTJOIN("",TRUE,IF(ISNUMBER(SEARCH($A44,'Diags Raw Data'!$A$6:$A$3687)),CONCATENATE('Diags Raw Data'!$H$6:$H$3687,", "),""))</f>
        <v xml:space="preserve">sib.basic.ksb_attributes, </v>
      </c>
      <c r="E44" s="339" t="str">
        <f>VLOOKUP(A44,'Diags Raw Data'!$A$6:$D$3687,4,FALSE)</f>
        <v>SIB</v>
      </c>
      <c r="F44" s="339" t="str">
        <f>VLOOKUP(A44,'Feature Raw Data'!$A$3:$E$3996,5,FALSE)</f>
        <v>New</v>
      </c>
      <c r="G44" s="339" t="str">
        <f t="shared" si="6"/>
        <v>Yes</v>
      </c>
      <c r="H44" s="339" t="str">
        <f t="shared" si="7"/>
        <v>Yes</v>
      </c>
      <c r="I44" s="453">
        <f>SUMIF('Diags Raw Data'!$A$6:$A$3687,"*"&amp;$A44&amp;"*",'Diags Raw Data'!$K$6:$K$3687)</f>
        <v>40</v>
      </c>
      <c r="J44" s="455">
        <f>SUMIF('Diags Raw Data'!$A$6:$A$3687,"*"&amp;$A44&amp;"*",'Diags Raw Data'!$L$6:$L$3687)</f>
        <v>1</v>
      </c>
      <c r="K44" s="507" cm="1">
        <f t="array" ref="K44">IF(D44="",0, SUMPRODUCT(--(ISNUMBER(SEARCH($A44,'Diags Raw Data'!$A$6:$A$3687))),'Diags Raw Data'!$L$6:$L$3687,'Diags Raw Data'!$N$6:$N$3687)/J44)</f>
        <v>1</v>
      </c>
      <c r="L44" s="508" cm="1">
        <f t="array" ref="L44">IF(D44="",0, SUMPRODUCT(--(ISNUMBER(SEARCH($A44,'Diags Raw Data'!$A$6:$A$3687))),'Diags Raw Data'!$L$6:$L$3687,'Diags Raw Data'!$P$6:$P$3687)/J44)</f>
        <v>1</v>
      </c>
      <c r="M44" s="509" cm="1">
        <f t="array" ref="M44">SUMPRODUCT(--(ISNUMBER(SEARCH($A44,'Diags Raw Data'!$A$6:$A$3687))),--('Diags Raw Data'!$Q$6:$Q$3687&lt;&gt;"N/A"),'Diags Raw Data'!$R$6:$R$3687)</f>
        <v>1</v>
      </c>
      <c r="N44" s="510" cm="1">
        <f t="array" ref="N44">SUMPRODUCT(--(ISNUMBER(SEARCH($A44,'Diags Raw Data'!$A$6:$A$3687))),--('Diags Raw Data'!$Q$6:$Q$3687&lt;&gt;"N/A"),'Diags Raw Data'!$T$6:$T$3687)+SUMPRODUCT(--(ISNUMBER(SEARCH($A44,'Diags Raw Data'!$A$6:$A$3687))),--('Diags Raw Data'!$Q$6:$Q$3687&lt;&gt;"N/A"),'Diags Raw Data'!$U$6:$U$3687)</f>
        <v>1</v>
      </c>
      <c r="O44" s="511">
        <f t="shared" si="2"/>
        <v>1</v>
      </c>
      <c r="P44" s="512">
        <f>SUMIF('Diags Raw Data'!$A$6:$A$3687,"*"&amp;$A44&amp;"*",'Diags Raw Data'!$Z$6:$Z$3687)</f>
        <v>0</v>
      </c>
      <c r="Q44" s="513">
        <f>SUM(SUMIF('Diags Raw Data'!$A$6:$A$3687,"*"&amp;$A44&amp;"*",'Diags Raw Data'!$AA$6:$AA$3687),SUMIF('Diags Raw Data'!$A$6:$A$3687,"*"&amp;$A44&amp;"*",'Diags Raw Data'!$AB$6:$AB$3687))</f>
        <v>0</v>
      </c>
      <c r="R44" s="514">
        <f t="shared" si="3"/>
        <v>0</v>
      </c>
      <c r="S44" s="514">
        <f t="shared" si="4"/>
        <v>0</v>
      </c>
      <c r="T44" s="515">
        <f t="shared" si="5"/>
        <v>0</v>
      </c>
      <c r="U44" s="456" t="s">
        <v>583</v>
      </c>
      <c r="V44" s="180"/>
    </row>
    <row r="45" spans="1:22" ht="43.5">
      <c r="A45" s="561" t="s">
        <v>463</v>
      </c>
      <c r="B45" s="452" t="str">
        <f>VLOOKUP(A45,'Feature Raw Data'!$A$3:$B$3996,2,FALSE)</f>
        <v>SIB: ISB functional</v>
      </c>
      <c r="C45" s="453" t="str">
        <f>VLOOKUP(A45,'Feature Raw Data'!$A$3:$C$3996,3,FALSE)</f>
        <v>P1</v>
      </c>
      <c r="D45" s="454" t="str" cm="1">
        <f t="array" ref="D45">_xlfn.TEXTJOIN("",TRUE,IF(ISNUMBER(SEARCH($A45,'Diags Raw Data'!$A$6:$A$3687)),CONCATENATE('Diags Raw Data'!$H$6:$H$3687,", "),""))</f>
        <v xml:space="preserve">sib.basic.isb_access, N/A, sib.basic.pkdb.isb_sram_clearing, </v>
      </c>
      <c r="E45" s="339" t="str">
        <f>VLOOKUP(A45,'Diags Raw Data'!$A$6:$D$3687,4,FALSE)</f>
        <v>SIB</v>
      </c>
      <c r="F45" s="339" t="str">
        <f>VLOOKUP(A45,'Feature Raw Data'!$A$3:$E$3996,5,FALSE)</f>
        <v>New</v>
      </c>
      <c r="G45" s="339" t="str">
        <f t="shared" si="6"/>
        <v>Yes</v>
      </c>
      <c r="H45" s="339" t="str">
        <f t="shared" si="7"/>
        <v>Yes</v>
      </c>
      <c r="I45" s="453">
        <f>SUMIF('Diags Raw Data'!$A$6:$A$3687,"*"&amp;$A45&amp;"*",'Diags Raw Data'!$K$6:$K$3687)</f>
        <v>104</v>
      </c>
      <c r="J45" s="455">
        <f>SUMIF('Diags Raw Data'!$A$6:$A$3687,"*"&amp;$A45&amp;"*",'Diags Raw Data'!$L$6:$L$3687)</f>
        <v>3</v>
      </c>
      <c r="K45" s="507" cm="1">
        <f t="array" ref="K45">IF(D45="",0, SUMPRODUCT(--(ISNUMBER(SEARCH($A45,'Diags Raw Data'!$A$6:$A$3687))),'Diags Raw Data'!$L$6:$L$3687,'Diags Raw Data'!$N$6:$N$3687)/J45)</f>
        <v>1</v>
      </c>
      <c r="L45" s="508" cm="1">
        <f t="array" ref="L45">IF(D45="",0, SUMPRODUCT(--(ISNUMBER(SEARCH($A45,'Diags Raw Data'!$A$6:$A$3687))),'Diags Raw Data'!$L$6:$L$3687,'Diags Raw Data'!$P$6:$P$3687)/J45)</f>
        <v>1</v>
      </c>
      <c r="M45" s="509" cm="1">
        <f t="array" ref="M45">SUMPRODUCT(--(ISNUMBER(SEARCH($A45,'Diags Raw Data'!$A$6:$A$3687))),--('Diags Raw Data'!$Q$6:$Q$3687&lt;&gt;"N/A"),'Diags Raw Data'!$R$6:$R$3687)</f>
        <v>2</v>
      </c>
      <c r="N45" s="510" cm="1">
        <f t="array" ref="N45">SUMPRODUCT(--(ISNUMBER(SEARCH($A45,'Diags Raw Data'!$A$6:$A$3687))),--('Diags Raw Data'!$Q$6:$Q$3687&lt;&gt;"N/A"),'Diags Raw Data'!$T$6:$T$3687)+SUMPRODUCT(--(ISNUMBER(SEARCH($A45,'Diags Raw Data'!$A$6:$A$3687))),--('Diags Raw Data'!$Q$6:$Q$3687&lt;&gt;"N/A"),'Diags Raw Data'!$U$6:$U$3687)</f>
        <v>2</v>
      </c>
      <c r="O45" s="511">
        <f t="shared" si="2"/>
        <v>1</v>
      </c>
      <c r="P45" s="512">
        <f>SUMIF('Diags Raw Data'!$A$6:$A$3687,"*"&amp;$A45&amp;"*",'Diags Raw Data'!$Z$6:$Z$3687)</f>
        <v>0</v>
      </c>
      <c r="Q45" s="513">
        <f>SUM(SUMIF('Diags Raw Data'!$A$6:$A$3687,"*"&amp;$A45&amp;"*",'Diags Raw Data'!$AA$6:$AA$3687),SUMIF('Diags Raw Data'!$A$6:$A$3687,"*"&amp;$A45&amp;"*",'Diags Raw Data'!$AB$6:$AB$3687))</f>
        <v>0</v>
      </c>
      <c r="R45" s="514">
        <f t="shared" si="3"/>
        <v>0</v>
      </c>
      <c r="S45" s="514">
        <f t="shared" si="4"/>
        <v>0</v>
      </c>
      <c r="T45" s="515">
        <f t="shared" si="5"/>
        <v>0</v>
      </c>
      <c r="U45" s="456" t="s">
        <v>574</v>
      </c>
      <c r="V45" s="180"/>
    </row>
    <row r="46" spans="1:22">
      <c r="A46" s="561" t="s">
        <v>471</v>
      </c>
      <c r="B46" s="452" t="str">
        <f>VLOOKUP(A46,'Feature Raw Data'!$A$3:$B$3996,2,FALSE)</f>
        <v>SIB: ISB errors</v>
      </c>
      <c r="C46" s="453" t="str">
        <f>VLOOKUP(A46,'Feature Raw Data'!$A$3:$C$3996,3,FALSE)</f>
        <v>P2</v>
      </c>
      <c r="D46" s="454" t="str" cm="1">
        <f t="array" ref="D46">_xlfn.TEXTJOIN("",TRUE,IF(ISNUMBER(SEARCH($A46,'Diags Raw Data'!$A$6:$A$3687)),CONCATENATE('Diags Raw Data'!$H$6:$H$3687,", "),""))</f>
        <v xml:space="preserve">TestID.PlaceHolder.49, </v>
      </c>
      <c r="E46" s="339" t="str">
        <f>VLOOKUP(A46,'Diags Raw Data'!$A$6:$D$3687,4,FALSE)</f>
        <v>SIB</v>
      </c>
      <c r="F46" s="339" t="str">
        <f>VLOOKUP(A46,'Feature Raw Data'!$A$3:$E$3996,5,FALSE)</f>
        <v>New</v>
      </c>
      <c r="G46" s="339" t="str">
        <f t="shared" si="6"/>
        <v>Yes</v>
      </c>
      <c r="H46" s="339" t="str">
        <f t="shared" si="7"/>
        <v>Yes</v>
      </c>
      <c r="I46" s="453">
        <f>SUMIF('Diags Raw Data'!$A$6:$A$3687,"*"&amp;$A46&amp;"*",'Diags Raw Data'!$K$6:$K$3687)</f>
        <v>24</v>
      </c>
      <c r="J46" s="455">
        <f>SUMIF('Diags Raw Data'!$A$6:$A$3687,"*"&amp;$A46&amp;"*",'Diags Raw Data'!$L$6:$L$3687)</f>
        <v>1</v>
      </c>
      <c r="K46" s="507" cm="1">
        <f t="array" ref="K46">IF(D46="",0, SUMPRODUCT(--(ISNUMBER(SEARCH($A46,'Diags Raw Data'!$A$6:$A$3687))),'Diags Raw Data'!$L$6:$L$3687,'Diags Raw Data'!$N$6:$N$3687)/J46)</f>
        <v>1</v>
      </c>
      <c r="L46" s="508" cm="1">
        <f t="array" ref="L46">IF(D46="",0, SUMPRODUCT(--(ISNUMBER(SEARCH($A46,'Diags Raw Data'!$A$6:$A$3687))),'Diags Raw Data'!$L$6:$L$3687,'Diags Raw Data'!$P$6:$P$3687)/J46)</f>
        <v>0</v>
      </c>
      <c r="M46" s="509" cm="1">
        <f t="array" ref="M46">SUMPRODUCT(--(ISNUMBER(SEARCH($A46,'Diags Raw Data'!$A$6:$A$3687))),--('Diags Raw Data'!$Q$6:$Q$3687&lt;&gt;"N/A"),'Diags Raw Data'!$R$6:$R$3687)</f>
        <v>1</v>
      </c>
      <c r="N46" s="510" cm="1">
        <f t="array" ref="N46">SUMPRODUCT(--(ISNUMBER(SEARCH($A46,'Diags Raw Data'!$A$6:$A$3687))),--('Diags Raw Data'!$Q$6:$Q$3687&lt;&gt;"N/A"),'Diags Raw Data'!$T$6:$T$3687)+SUMPRODUCT(--(ISNUMBER(SEARCH($A46,'Diags Raw Data'!$A$6:$A$3687))),--('Diags Raw Data'!$Q$6:$Q$3687&lt;&gt;"N/A"),'Diags Raw Data'!$U$6:$U$3687)</f>
        <v>0</v>
      </c>
      <c r="O46" s="511">
        <f t="shared" si="2"/>
        <v>0</v>
      </c>
      <c r="P46" s="512">
        <f>SUMIF('Diags Raw Data'!$A$6:$A$3687,"*"&amp;$A46&amp;"*",'Diags Raw Data'!$Z$6:$Z$3687)</f>
        <v>0</v>
      </c>
      <c r="Q46" s="513">
        <f>SUM(SUMIF('Diags Raw Data'!$A$6:$A$3687,"*"&amp;$A46&amp;"*",'Diags Raw Data'!$AA$6:$AA$3687),SUMIF('Diags Raw Data'!$A$6:$A$3687,"*"&amp;$A46&amp;"*",'Diags Raw Data'!$AB$6:$AB$3687))</f>
        <v>0</v>
      </c>
      <c r="R46" s="514">
        <f t="shared" si="3"/>
        <v>0</v>
      </c>
      <c r="S46" s="514">
        <f t="shared" si="4"/>
        <v>0</v>
      </c>
      <c r="T46" s="515">
        <f t="shared" si="5"/>
        <v>0</v>
      </c>
      <c r="U46" s="456" t="s">
        <v>583</v>
      </c>
      <c r="V46" s="180"/>
    </row>
    <row r="47" spans="1:22" ht="29.1">
      <c r="A47" s="561" t="s">
        <v>475</v>
      </c>
      <c r="B47" s="452" t="str">
        <f>VLOOKUP(A47,'Feature Raw Data'!$A$3:$B$3996,2,FALSE)</f>
        <v>SIB: TRNG, Health check function, and DRBG function</v>
      </c>
      <c r="C47" s="453" t="str">
        <f>VLOOKUP(A47,'Feature Raw Data'!$A$3:$C$3996,3,FALSE)</f>
        <v>P1</v>
      </c>
      <c r="D47" s="454" t="str" cm="1">
        <f t="array" ref="D47">_xlfn.TEXTJOIN("",TRUE,IF(ISNUMBER(SEARCH($A47,'Diags Raw Data'!$A$6:$A$3687)),CONCATENATE('Diags Raw Data'!$H$6:$H$3687,", "),""))</f>
        <v xml:space="preserve">psp2.9, psp2.17, </v>
      </c>
      <c r="E47" s="339" t="str">
        <f>VLOOKUP(A47,'Diags Raw Data'!$A$6:$D$3687,4,FALSE)</f>
        <v>SIB</v>
      </c>
      <c r="F47" s="339" t="str">
        <f>VLOOKUP(A47,'Feature Raw Data'!$A$3:$E$3996,5,FALSE)</f>
        <v>Delta</v>
      </c>
      <c r="G47" s="339" t="str">
        <f t="shared" si="6"/>
        <v>Yes</v>
      </c>
      <c r="H47" s="339" t="str">
        <f t="shared" si="7"/>
        <v>Yes</v>
      </c>
      <c r="I47" s="453">
        <f>SUMIF('Diags Raw Data'!$A$6:$A$3687,"*"&amp;$A47&amp;"*",'Diags Raw Data'!$K$6:$K$3687)</f>
        <v>64</v>
      </c>
      <c r="J47" s="455">
        <f>SUMIF('Diags Raw Data'!$A$6:$A$3687,"*"&amp;$A47&amp;"*",'Diags Raw Data'!$L$6:$L$3687)</f>
        <v>2</v>
      </c>
      <c r="K47" s="507" cm="1">
        <f t="array" ref="K47">IF(D47="",0, SUMPRODUCT(--(ISNUMBER(SEARCH($A47,'Diags Raw Data'!$A$6:$A$3687))),'Diags Raw Data'!$L$6:$L$3687,'Diags Raw Data'!$N$6:$N$3687)/J47)</f>
        <v>1</v>
      </c>
      <c r="L47" s="508" cm="1">
        <f t="array" ref="L47">IF(D47="",0, SUMPRODUCT(--(ISNUMBER(SEARCH($A47,'Diags Raw Data'!$A$6:$A$3687))),'Diags Raw Data'!$L$6:$L$3687,'Diags Raw Data'!$P$6:$P$3687)/J47)</f>
        <v>1</v>
      </c>
      <c r="M47" s="509" cm="1">
        <f t="array" ref="M47">SUMPRODUCT(--(ISNUMBER(SEARCH($A47,'Diags Raw Data'!$A$6:$A$3687))),--('Diags Raw Data'!$Q$6:$Q$3687&lt;&gt;"N/A"),'Diags Raw Data'!$R$6:$R$3687)</f>
        <v>2</v>
      </c>
      <c r="N47" s="510" cm="1">
        <f t="array" ref="N47">SUMPRODUCT(--(ISNUMBER(SEARCH($A47,'Diags Raw Data'!$A$6:$A$3687))),--('Diags Raw Data'!$Q$6:$Q$3687&lt;&gt;"N/A"),'Diags Raw Data'!$T$6:$T$3687)+SUMPRODUCT(--(ISNUMBER(SEARCH($A47,'Diags Raw Data'!$A$6:$A$3687))),--('Diags Raw Data'!$Q$6:$Q$3687&lt;&gt;"N/A"),'Diags Raw Data'!$U$6:$U$3687)</f>
        <v>2</v>
      </c>
      <c r="O47" s="511">
        <f t="shared" si="2"/>
        <v>1</v>
      </c>
      <c r="P47" s="512">
        <f>SUMIF('Diags Raw Data'!$A$6:$A$3687,"*"&amp;$A47&amp;"*",'Diags Raw Data'!$Z$6:$Z$3687)</f>
        <v>0</v>
      </c>
      <c r="Q47" s="513">
        <f>SUM(SUMIF('Diags Raw Data'!$A$6:$A$3687,"*"&amp;$A47&amp;"*",'Diags Raw Data'!$AA$6:$AA$3687),SUMIF('Diags Raw Data'!$A$6:$A$3687,"*"&amp;$A47&amp;"*",'Diags Raw Data'!$AB$6:$AB$3687))</f>
        <v>0</v>
      </c>
      <c r="R47" s="514">
        <f t="shared" si="3"/>
        <v>0</v>
      </c>
      <c r="S47" s="514">
        <f t="shared" si="4"/>
        <v>0</v>
      </c>
      <c r="T47" s="515">
        <f t="shared" si="5"/>
        <v>0</v>
      </c>
      <c r="U47" s="456" t="s">
        <v>574</v>
      </c>
      <c r="V47" s="180"/>
    </row>
    <row r="48" spans="1:22">
      <c r="A48" s="561" t="s">
        <v>481</v>
      </c>
      <c r="B48" s="452" t="str">
        <f>VLOOKUP(A48,'Feature Raw Data'!$A$3:$B$3996,2,FALSE)</f>
        <v>SIB: WDT</v>
      </c>
      <c r="C48" s="453" t="str">
        <f>VLOOKUP(A48,'Feature Raw Data'!$A$3:$C$3996,3,FALSE)</f>
        <v>P2</v>
      </c>
      <c r="D48" s="454" t="str" cm="1">
        <f t="array" ref="D48">_xlfn.TEXTJOIN("",TRUE,IF(ISNUMBER(SEARCH($A48,'Diags Raw Data'!$A$6:$A$3687)),CONCATENATE('Diags Raw Data'!$H$6:$H$3687,", "),""))</f>
        <v xml:space="preserve">psp1.27, </v>
      </c>
      <c r="E48" s="339" t="str">
        <f>VLOOKUP(A48,'Diags Raw Data'!$A$6:$D$3687,4,FALSE)</f>
        <v>SIB</v>
      </c>
      <c r="F48" s="339" t="str">
        <f>VLOOKUP(A48,'Feature Raw Data'!$A$3:$E$3996,5,FALSE)</f>
        <v>New</v>
      </c>
      <c r="G48" s="339" t="str">
        <f t="shared" si="6"/>
        <v>Yes</v>
      </c>
      <c r="H48" s="339" t="str">
        <f t="shared" si="7"/>
        <v>Yes</v>
      </c>
      <c r="I48" s="453">
        <f>SUMIF('Diags Raw Data'!$A$6:$A$3687,"*"&amp;$A48&amp;"*",'Diags Raw Data'!$K$6:$K$3687)</f>
        <v>32</v>
      </c>
      <c r="J48" s="455">
        <f>SUMIF('Diags Raw Data'!$A$6:$A$3687,"*"&amp;$A48&amp;"*",'Diags Raw Data'!$L$6:$L$3687)</f>
        <v>1</v>
      </c>
      <c r="K48" s="507" cm="1">
        <f t="array" ref="K48">IF(D48="",0, SUMPRODUCT(--(ISNUMBER(SEARCH($A48,'Diags Raw Data'!$A$6:$A$3687))),'Diags Raw Data'!$L$6:$L$3687,'Diags Raw Data'!$N$6:$N$3687)/J48)</f>
        <v>1</v>
      </c>
      <c r="L48" s="508" cm="1">
        <f t="array" ref="L48">IF(D48="",0, SUMPRODUCT(--(ISNUMBER(SEARCH($A48,'Diags Raw Data'!$A$6:$A$3687))),'Diags Raw Data'!$L$6:$L$3687,'Diags Raw Data'!$P$6:$P$3687)/J48)</f>
        <v>1</v>
      </c>
      <c r="M48" s="509" cm="1">
        <f t="array" ref="M48">SUMPRODUCT(--(ISNUMBER(SEARCH($A48,'Diags Raw Data'!$A$6:$A$3687))),--('Diags Raw Data'!$Q$6:$Q$3687&lt;&gt;"N/A"),'Diags Raw Data'!$R$6:$R$3687)</f>
        <v>1</v>
      </c>
      <c r="N48" s="510" cm="1">
        <f t="array" ref="N48">SUMPRODUCT(--(ISNUMBER(SEARCH($A48,'Diags Raw Data'!$A$6:$A$3687))),--('Diags Raw Data'!$Q$6:$Q$3687&lt;&gt;"N/A"),'Diags Raw Data'!$T$6:$T$3687)+SUMPRODUCT(--(ISNUMBER(SEARCH($A48,'Diags Raw Data'!$A$6:$A$3687))),--('Diags Raw Data'!$Q$6:$Q$3687&lt;&gt;"N/A"),'Diags Raw Data'!$U$6:$U$3687)</f>
        <v>1</v>
      </c>
      <c r="O48" s="511">
        <f t="shared" si="2"/>
        <v>1</v>
      </c>
      <c r="P48" s="512">
        <f>SUMIF('Diags Raw Data'!$A$6:$A$3687,"*"&amp;$A48&amp;"*",'Diags Raw Data'!$Z$6:$Z$3687)</f>
        <v>0</v>
      </c>
      <c r="Q48" s="513">
        <f>SUM(SUMIF('Diags Raw Data'!$A$6:$A$3687,"*"&amp;$A48&amp;"*",'Diags Raw Data'!$AA$6:$AA$3687),SUMIF('Diags Raw Data'!$A$6:$A$3687,"*"&amp;$A48&amp;"*",'Diags Raw Data'!$AB$6:$AB$3687))</f>
        <v>0</v>
      </c>
      <c r="R48" s="514">
        <f t="shared" si="3"/>
        <v>0</v>
      </c>
      <c r="S48" s="514">
        <f t="shared" si="4"/>
        <v>0</v>
      </c>
      <c r="T48" s="515">
        <f t="shared" si="5"/>
        <v>0</v>
      </c>
      <c r="U48" s="456" t="s">
        <v>580</v>
      </c>
      <c r="V48" s="180"/>
    </row>
    <row r="49" spans="1:22">
      <c r="A49" s="561" t="s">
        <v>485</v>
      </c>
      <c r="B49" s="452" t="str">
        <f>VLOOKUP(A49,'Feature Raw Data'!$A$3:$B$3996,2,FALSE)</f>
        <v>CCP: SHA3 Frame Size Update</v>
      </c>
      <c r="C49" s="453" t="str">
        <f>VLOOKUP(A49,'Feature Raw Data'!$A$3:$C$3996,3,FALSE)</f>
        <v>P2</v>
      </c>
      <c r="D49" s="454" t="str" cm="1">
        <f t="array" ref="D49">_xlfn.TEXTJOIN("",TRUE,IF(ISNUMBER(SEARCH($A49,'Diags Raw Data'!$A$6:$A$3687)),CONCATENATE('Diags Raw Data'!$H$6:$H$3687,", "),""))</f>
        <v xml:space="preserve">psp203.4, </v>
      </c>
      <c r="E49" s="339" t="str">
        <f>VLOOKUP(A49,'Diags Raw Data'!$A$6:$D$3687,4,FALSE)</f>
        <v>CCP</v>
      </c>
      <c r="F49" s="339" t="str">
        <f>VLOOKUP(A49,'Feature Raw Data'!$A$3:$E$3996,5,FALSE)</f>
        <v>Delta</v>
      </c>
      <c r="G49" s="339" t="str">
        <f t="shared" ref="G49:G57" si="8">IF(D49="","No","Yes")</f>
        <v>Yes</v>
      </c>
      <c r="H49" s="339" t="str">
        <f t="shared" ref="H49:H57" si="9">IF(D49="","No","Yes")</f>
        <v>Yes</v>
      </c>
      <c r="I49" s="453">
        <f>SUMIF('Diags Raw Data'!$A$6:$A$3687,"*"&amp;$A49&amp;"*",'Diags Raw Data'!$K$6:$K$3687)</f>
        <v>32</v>
      </c>
      <c r="J49" s="455">
        <f>SUMIF('Diags Raw Data'!$A$6:$A$3687,"*"&amp;$A49&amp;"*",'Diags Raw Data'!$L$6:$L$3687)</f>
        <v>1</v>
      </c>
      <c r="K49" s="507" cm="1">
        <f t="array" ref="K49">IF(D49="",0, SUMPRODUCT(--(ISNUMBER(SEARCH($A49,'Diags Raw Data'!$A$6:$A$3687))),'Diags Raw Data'!$L$6:$L$3687,'Diags Raw Data'!$N$6:$N$3687)/J49)</f>
        <v>1</v>
      </c>
      <c r="L49" s="508" cm="1">
        <f t="array" ref="L49">IF(D49="",0, SUMPRODUCT(--(ISNUMBER(SEARCH($A49,'Diags Raw Data'!$A$6:$A$3687))),'Diags Raw Data'!$L$6:$L$3687,'Diags Raw Data'!$P$6:$P$3687)/J49)</f>
        <v>1</v>
      </c>
      <c r="M49" s="509" cm="1">
        <f t="array" ref="M49">SUMPRODUCT(--(ISNUMBER(SEARCH($A49,'Diags Raw Data'!$A$6:$A$3687))),--('Diags Raw Data'!$Q$6:$Q$3687&lt;&gt;"N/A"),'Diags Raw Data'!$R$6:$R$3687)</f>
        <v>1</v>
      </c>
      <c r="N49" s="510" cm="1">
        <f t="array" ref="N49">SUMPRODUCT(--(ISNUMBER(SEARCH($A49,'Diags Raw Data'!$A$6:$A$3687))),--('Diags Raw Data'!$Q$6:$Q$3687&lt;&gt;"N/A"),'Diags Raw Data'!$T$6:$T$3687)+SUMPRODUCT(--(ISNUMBER(SEARCH($A49,'Diags Raw Data'!$A$6:$A$3687))),--('Diags Raw Data'!$Q$6:$Q$3687&lt;&gt;"N/A"),'Diags Raw Data'!$U$6:$U$3687)</f>
        <v>1</v>
      </c>
      <c r="O49" s="511">
        <f t="shared" ref="O49:O57" si="10">IF((M49=0),0,N49/M49)</f>
        <v>1</v>
      </c>
      <c r="P49" s="512">
        <f>SUMIF('Diags Raw Data'!$A$6:$A$3687,"*"&amp;$A49&amp;"*",'Diags Raw Data'!$Z$6:$Z$3687)</f>
        <v>0</v>
      </c>
      <c r="Q49" s="513">
        <f>SUM(SUMIF('Diags Raw Data'!$A$6:$A$3687,"*"&amp;$A49&amp;"*",'Diags Raw Data'!$AA$6:$AA$3687),SUMIF('Diags Raw Data'!$A$6:$A$3687,"*"&amp;$A49&amp;"*",'Diags Raw Data'!$AB$6:$AB$3687))</f>
        <v>0</v>
      </c>
      <c r="R49" s="514">
        <f t="shared" ref="R49:R57" si="11">IF((J49=0),0,P49/J49)</f>
        <v>0</v>
      </c>
      <c r="S49" s="514">
        <f t="shared" ref="S49:S57" si="12">IF((P49=0),0,Q49/P49)</f>
        <v>0</v>
      </c>
      <c r="T49" s="515">
        <f t="shared" ref="T49:T57" si="13">R49*S49</f>
        <v>0</v>
      </c>
      <c r="U49" s="456" t="s">
        <v>574</v>
      </c>
      <c r="V49" s="180"/>
    </row>
    <row r="50" spans="1:22" ht="29.1">
      <c r="A50" s="561" t="s">
        <v>489</v>
      </c>
      <c r="B50" s="452" t="str">
        <f>VLOOKUP(A50,'Feature Raw Data'!$A$3:$B$3996,2,FALSE)</f>
        <v>CCP: SHA-PT Destination Address Pointer</v>
      </c>
      <c r="C50" s="453" t="str">
        <f>VLOOKUP(A50,'Feature Raw Data'!$A$3:$C$3996,3,FALSE)</f>
        <v>P2</v>
      </c>
      <c r="D50" s="454" t="str" cm="1">
        <f t="array" ref="D50">_xlfn.TEXTJOIN("",TRUE,IF(ISNUMBER(SEARCH($A50,'Diags Raw Data'!$A$6:$A$3687)),CONCATENATE('Diags Raw Data'!$H$6:$H$3687,", "),""))</f>
        <v xml:space="preserve">ccp.basic.sha, </v>
      </c>
      <c r="E50" s="339" t="str">
        <f>VLOOKUP(A50,'Diags Raw Data'!$A$6:$D$3687,4,FALSE)</f>
        <v>CCP</v>
      </c>
      <c r="F50" s="339" t="str">
        <f>VLOOKUP(A50,'Feature Raw Data'!$A$3:$E$3996,5,FALSE)</f>
        <v>Delta</v>
      </c>
      <c r="G50" s="339" t="str">
        <f t="shared" si="8"/>
        <v>Yes</v>
      </c>
      <c r="H50" s="339" t="str">
        <f t="shared" si="9"/>
        <v>Yes</v>
      </c>
      <c r="I50" s="453">
        <f>SUMIF('Diags Raw Data'!$A$6:$A$3687,"*"&amp;$A50&amp;"*",'Diags Raw Data'!$K$6:$K$3687)</f>
        <v>32</v>
      </c>
      <c r="J50" s="455">
        <f>SUMIF('Diags Raw Data'!$A$6:$A$3687,"*"&amp;$A50&amp;"*",'Diags Raw Data'!$L$6:$L$3687)</f>
        <v>1</v>
      </c>
      <c r="K50" s="507" cm="1">
        <f t="array" ref="K50">IF(D50="",0, SUMPRODUCT(--(ISNUMBER(SEARCH($A50,'Diags Raw Data'!$A$6:$A$3687))),'Diags Raw Data'!$L$6:$L$3687,'Diags Raw Data'!$N$6:$N$3687)/J50)</f>
        <v>1</v>
      </c>
      <c r="L50" s="508" cm="1">
        <f t="array" ref="L50">IF(D50="",0, SUMPRODUCT(--(ISNUMBER(SEARCH($A50,'Diags Raw Data'!$A$6:$A$3687))),'Diags Raw Data'!$L$6:$L$3687,'Diags Raw Data'!$P$6:$P$3687)/J50)</f>
        <v>1</v>
      </c>
      <c r="M50" s="509" cm="1">
        <f t="array" ref="M50">SUMPRODUCT(--(ISNUMBER(SEARCH($A50,'Diags Raw Data'!$A$6:$A$3687))),--('Diags Raw Data'!$Q$6:$Q$3687&lt;&gt;"N/A"),'Diags Raw Data'!$R$6:$R$3687)</f>
        <v>1</v>
      </c>
      <c r="N50" s="510" cm="1">
        <f t="array" ref="N50">SUMPRODUCT(--(ISNUMBER(SEARCH($A50,'Diags Raw Data'!$A$6:$A$3687))),--('Diags Raw Data'!$Q$6:$Q$3687&lt;&gt;"N/A"),'Diags Raw Data'!$T$6:$T$3687)+SUMPRODUCT(--(ISNUMBER(SEARCH($A50,'Diags Raw Data'!$A$6:$A$3687))),--('Diags Raw Data'!$Q$6:$Q$3687&lt;&gt;"N/A"),'Diags Raw Data'!$U$6:$U$3687)</f>
        <v>1</v>
      </c>
      <c r="O50" s="511">
        <f t="shared" si="10"/>
        <v>1</v>
      </c>
      <c r="P50" s="512">
        <f>SUMIF('Diags Raw Data'!$A$6:$A$3687,"*"&amp;$A50&amp;"*",'Diags Raw Data'!$Z$6:$Z$3687)</f>
        <v>0</v>
      </c>
      <c r="Q50" s="513">
        <f>SUM(SUMIF('Diags Raw Data'!$A$6:$A$3687,"*"&amp;$A50&amp;"*",'Diags Raw Data'!$AA$6:$AA$3687),SUMIF('Diags Raw Data'!$A$6:$A$3687,"*"&amp;$A50&amp;"*",'Diags Raw Data'!$AB$6:$AB$3687))</f>
        <v>0</v>
      </c>
      <c r="R50" s="514">
        <f t="shared" si="11"/>
        <v>0</v>
      </c>
      <c r="S50" s="514">
        <f t="shared" si="12"/>
        <v>0</v>
      </c>
      <c r="T50" s="515">
        <f t="shared" si="13"/>
        <v>0</v>
      </c>
      <c r="U50" s="456" t="s">
        <v>574</v>
      </c>
      <c r="V50" s="180"/>
    </row>
    <row r="51" spans="1:22" ht="29.1">
      <c r="A51" s="561" t="s">
        <v>492</v>
      </c>
      <c r="B51" s="452" t="str">
        <f>VLOOKUP(A51,'Feature Raw Data'!$A$3:$B$3996,2,FALSE)</f>
        <v>CCP: SHA3 HMAC - Key update - 384/512 bits</v>
      </c>
      <c r="C51" s="453" t="str">
        <f>VLOOKUP(A51,'Feature Raw Data'!$A$3:$C$3996,3,FALSE)</f>
        <v>P2</v>
      </c>
      <c r="D51" s="454" t="str" cm="1">
        <f t="array" ref="D51">_xlfn.TEXTJOIN("",TRUE,IF(ISNUMBER(SEARCH($A51,'Diags Raw Data'!$A$6:$A$3687)),CONCATENATE('Diags Raw Data'!$H$6:$H$3687,", "),""))</f>
        <v xml:space="preserve">TestID.PlaceHolder.55, </v>
      </c>
      <c r="E51" s="339" t="str">
        <f>VLOOKUP(A51,'Diags Raw Data'!$A$6:$D$3687,4,FALSE)</f>
        <v>CCP</v>
      </c>
      <c r="F51" s="339" t="str">
        <f>VLOOKUP(A51,'Feature Raw Data'!$A$3:$E$3996,5,FALSE)</f>
        <v>Delta</v>
      </c>
      <c r="G51" s="339" t="str">
        <f t="shared" si="8"/>
        <v>Yes</v>
      </c>
      <c r="H51" s="339" t="str">
        <f t="shared" si="9"/>
        <v>Yes</v>
      </c>
      <c r="I51" s="453">
        <f>SUMIF('Diags Raw Data'!$A$6:$A$3687,"*"&amp;$A51&amp;"*",'Diags Raw Data'!$K$6:$K$3687)</f>
        <v>32</v>
      </c>
      <c r="J51" s="455">
        <f>SUMIF('Diags Raw Data'!$A$6:$A$3687,"*"&amp;$A51&amp;"*",'Diags Raw Data'!$L$6:$L$3687)</f>
        <v>1</v>
      </c>
      <c r="K51" s="507" cm="1">
        <f t="array" ref="K51">IF(D51="",0, SUMPRODUCT(--(ISNUMBER(SEARCH($A51,'Diags Raw Data'!$A$6:$A$3687))),'Diags Raw Data'!$L$6:$L$3687,'Diags Raw Data'!$N$6:$N$3687)/J51)</f>
        <v>1</v>
      </c>
      <c r="L51" s="508" cm="1">
        <f t="array" ref="L51">IF(D51="",0, SUMPRODUCT(--(ISNUMBER(SEARCH($A51,'Diags Raw Data'!$A$6:$A$3687))),'Diags Raw Data'!$L$6:$L$3687,'Diags Raw Data'!$P$6:$P$3687)/J51)</f>
        <v>0.5</v>
      </c>
      <c r="M51" s="509" cm="1">
        <f t="array" ref="M51">SUMPRODUCT(--(ISNUMBER(SEARCH($A51,'Diags Raw Data'!$A$6:$A$3687))),--('Diags Raw Data'!$Q$6:$Q$3687&lt;&gt;"N/A"),'Diags Raw Data'!$R$6:$R$3687)</f>
        <v>1</v>
      </c>
      <c r="N51" s="510" cm="1">
        <f t="array" ref="N51">SUMPRODUCT(--(ISNUMBER(SEARCH($A51,'Diags Raw Data'!$A$6:$A$3687))),--('Diags Raw Data'!$Q$6:$Q$3687&lt;&gt;"N/A"),'Diags Raw Data'!$T$6:$T$3687)+SUMPRODUCT(--(ISNUMBER(SEARCH($A51,'Diags Raw Data'!$A$6:$A$3687))),--('Diags Raw Data'!$Q$6:$Q$3687&lt;&gt;"N/A"),'Diags Raw Data'!$U$6:$U$3687)</f>
        <v>0</v>
      </c>
      <c r="O51" s="511">
        <f t="shared" si="10"/>
        <v>0</v>
      </c>
      <c r="P51" s="512">
        <f>SUMIF('Diags Raw Data'!$A$6:$A$3687,"*"&amp;$A51&amp;"*",'Diags Raw Data'!$Z$6:$Z$3687)</f>
        <v>0</v>
      </c>
      <c r="Q51" s="513">
        <f>SUM(SUMIF('Diags Raw Data'!$A$6:$A$3687,"*"&amp;$A51&amp;"*",'Diags Raw Data'!$AA$6:$AA$3687),SUMIF('Diags Raw Data'!$A$6:$A$3687,"*"&amp;$A51&amp;"*",'Diags Raw Data'!$AB$6:$AB$3687))</f>
        <v>0</v>
      </c>
      <c r="R51" s="514">
        <f t="shared" si="11"/>
        <v>0</v>
      </c>
      <c r="S51" s="514">
        <f t="shared" si="12"/>
        <v>0</v>
      </c>
      <c r="T51" s="515">
        <f t="shared" si="13"/>
        <v>0</v>
      </c>
      <c r="U51" s="456" t="s">
        <v>574</v>
      </c>
      <c r="V51" s="180"/>
    </row>
    <row r="52" spans="1:22" ht="29.1">
      <c r="A52" s="561" t="s">
        <v>496</v>
      </c>
      <c r="B52" s="452" t="str">
        <f>VLOOKUP(A52,'Feature Raw Data'!$A$3:$B$3996,2,FALSE)</f>
        <v>CCP: SHAKE128/256 Digest Length</v>
      </c>
      <c r="C52" s="453" t="str">
        <f>VLOOKUP(A52,'Feature Raw Data'!$A$3:$C$3996,3,FALSE)</f>
        <v>P2</v>
      </c>
      <c r="D52" s="454" t="str" cm="1">
        <f t="array" ref="D52">_xlfn.TEXTJOIN("",TRUE,IF(ISNUMBER(SEARCH($A52,'Diags Raw Data'!$A$6:$A$3687)),CONCATENATE('Diags Raw Data'!$H$6:$H$3687,", "),""))</f>
        <v xml:space="preserve">TestID.PlaceHolder.56, </v>
      </c>
      <c r="E52" s="339" t="str">
        <f>VLOOKUP(A52,'Diags Raw Data'!$A$6:$D$3687,4,FALSE)</f>
        <v>CCP</v>
      </c>
      <c r="F52" s="339" t="str">
        <f>VLOOKUP(A52,'Feature Raw Data'!$A$3:$E$3996,5,FALSE)</f>
        <v>Delta</v>
      </c>
      <c r="G52" s="339" t="str">
        <f t="shared" si="8"/>
        <v>Yes</v>
      </c>
      <c r="H52" s="339" t="str">
        <f t="shared" si="9"/>
        <v>Yes</v>
      </c>
      <c r="I52" s="453">
        <f>SUMIF('Diags Raw Data'!$A$6:$A$3687,"*"&amp;$A52&amp;"*",'Diags Raw Data'!$K$6:$K$3687)</f>
        <v>32</v>
      </c>
      <c r="J52" s="455">
        <f>SUMIF('Diags Raw Data'!$A$6:$A$3687,"*"&amp;$A52&amp;"*",'Diags Raw Data'!$L$6:$L$3687)</f>
        <v>1</v>
      </c>
      <c r="K52" s="507" cm="1">
        <f t="array" ref="K52">IF(D52="",0, SUMPRODUCT(--(ISNUMBER(SEARCH($A52,'Diags Raw Data'!$A$6:$A$3687))),'Diags Raw Data'!$L$6:$L$3687,'Diags Raw Data'!$N$6:$N$3687)/J52)</f>
        <v>1</v>
      </c>
      <c r="L52" s="508" cm="1">
        <f t="array" ref="L52">IF(D52="",0, SUMPRODUCT(--(ISNUMBER(SEARCH($A52,'Diags Raw Data'!$A$6:$A$3687))),'Diags Raw Data'!$L$6:$L$3687,'Diags Raw Data'!$P$6:$P$3687)/J52)</f>
        <v>0.5</v>
      </c>
      <c r="M52" s="509" cm="1">
        <f t="array" ref="M52">SUMPRODUCT(--(ISNUMBER(SEARCH($A52,'Diags Raw Data'!$A$6:$A$3687))),--('Diags Raw Data'!$Q$6:$Q$3687&lt;&gt;"N/A"),'Diags Raw Data'!$R$6:$R$3687)</f>
        <v>1</v>
      </c>
      <c r="N52" s="510" cm="1">
        <f t="array" ref="N52">SUMPRODUCT(--(ISNUMBER(SEARCH($A52,'Diags Raw Data'!$A$6:$A$3687))),--('Diags Raw Data'!$Q$6:$Q$3687&lt;&gt;"N/A"),'Diags Raw Data'!$T$6:$T$3687)+SUMPRODUCT(--(ISNUMBER(SEARCH($A52,'Diags Raw Data'!$A$6:$A$3687))),--('Diags Raw Data'!$Q$6:$Q$3687&lt;&gt;"N/A"),'Diags Raw Data'!$U$6:$U$3687)</f>
        <v>0</v>
      </c>
      <c r="O52" s="511">
        <f t="shared" si="10"/>
        <v>0</v>
      </c>
      <c r="P52" s="512">
        <f>SUMIF('Diags Raw Data'!$A$6:$A$3687,"*"&amp;$A52&amp;"*",'Diags Raw Data'!$Z$6:$Z$3687)</f>
        <v>0</v>
      </c>
      <c r="Q52" s="513">
        <f>SUM(SUMIF('Diags Raw Data'!$A$6:$A$3687,"*"&amp;$A52&amp;"*",'Diags Raw Data'!$AA$6:$AA$3687),SUMIF('Diags Raw Data'!$A$6:$A$3687,"*"&amp;$A52&amp;"*",'Diags Raw Data'!$AB$6:$AB$3687))</f>
        <v>0</v>
      </c>
      <c r="R52" s="514">
        <f t="shared" si="11"/>
        <v>0</v>
      </c>
      <c r="S52" s="514">
        <f t="shared" si="12"/>
        <v>0</v>
      </c>
      <c r="T52" s="515">
        <f t="shared" si="13"/>
        <v>0</v>
      </c>
      <c r="U52" s="456" t="s">
        <v>574</v>
      </c>
      <c r="V52" s="180"/>
    </row>
    <row r="53" spans="1:22" ht="29.1">
      <c r="A53" s="561" t="s">
        <v>500</v>
      </c>
      <c r="B53" s="452" t="str">
        <f>VLOOKUP(A53,'Feature Raw Data'!$A$3:$B$3996,2,FALSE)</f>
        <v>SIB: KSB Errors ASP/CCP Seperation</v>
      </c>
      <c r="C53" s="453" t="str">
        <f>VLOOKUP(A53,'Feature Raw Data'!$A$3:$C$3996,3,FALSE)</f>
        <v>P3</v>
      </c>
      <c r="D53" s="454" t="str" cm="1">
        <f t="array" ref="D53">_xlfn.TEXTJOIN("",TRUE,IF(ISNUMBER(SEARCH($A53,'Diags Raw Data'!$A$6:$A$3687)),CONCATENATE('Diags Raw Data'!$H$6:$H$3687,", "),""))</f>
        <v xml:space="preserve">TestID.PlaceHolder.57, </v>
      </c>
      <c r="E53" s="339" t="str">
        <f>VLOOKUP(A53,'Diags Raw Data'!$A$6:$D$3687,4,FALSE)</f>
        <v>SIB</v>
      </c>
      <c r="F53" s="339" t="str">
        <f>VLOOKUP(A53,'Feature Raw Data'!$A$3:$E$3996,5,FALSE)</f>
        <v>Delta</v>
      </c>
      <c r="G53" s="339" t="str">
        <f t="shared" si="8"/>
        <v>Yes</v>
      </c>
      <c r="H53" s="339" t="str">
        <f t="shared" si="9"/>
        <v>Yes</v>
      </c>
      <c r="I53" s="453">
        <f>SUMIF('Diags Raw Data'!$A$6:$A$3687,"*"&amp;$A53&amp;"*",'Diags Raw Data'!$K$6:$K$3687)</f>
        <v>24</v>
      </c>
      <c r="J53" s="455">
        <f>SUMIF('Diags Raw Data'!$A$6:$A$3687,"*"&amp;$A53&amp;"*",'Diags Raw Data'!$L$6:$L$3687)</f>
        <v>1</v>
      </c>
      <c r="K53" s="507" cm="1">
        <f t="array" ref="K53">IF(D53="",0, SUMPRODUCT(--(ISNUMBER(SEARCH($A53,'Diags Raw Data'!$A$6:$A$3687))),'Diags Raw Data'!$L$6:$L$3687,'Diags Raw Data'!$N$6:$N$3687)/J53)</f>
        <v>1</v>
      </c>
      <c r="L53" s="508" cm="1">
        <f t="array" ref="L53">IF(D53="",0, SUMPRODUCT(--(ISNUMBER(SEARCH($A53,'Diags Raw Data'!$A$6:$A$3687))),'Diags Raw Data'!$L$6:$L$3687,'Diags Raw Data'!$P$6:$P$3687)/J53)</f>
        <v>0.15</v>
      </c>
      <c r="M53" s="509" cm="1">
        <f t="array" ref="M53">SUMPRODUCT(--(ISNUMBER(SEARCH($A53,'Diags Raw Data'!$A$6:$A$3687))),--('Diags Raw Data'!$Q$6:$Q$3687&lt;&gt;"N/A"),'Diags Raw Data'!$R$6:$R$3687)</f>
        <v>1</v>
      </c>
      <c r="N53" s="510" cm="1">
        <f t="array" ref="N53">SUMPRODUCT(--(ISNUMBER(SEARCH($A53,'Diags Raw Data'!$A$6:$A$3687))),--('Diags Raw Data'!$Q$6:$Q$3687&lt;&gt;"N/A"),'Diags Raw Data'!$T$6:$T$3687)+SUMPRODUCT(--(ISNUMBER(SEARCH($A53,'Diags Raw Data'!$A$6:$A$3687))),--('Diags Raw Data'!$Q$6:$Q$3687&lt;&gt;"N/A"),'Diags Raw Data'!$U$6:$U$3687)</f>
        <v>0</v>
      </c>
      <c r="O53" s="511">
        <f t="shared" si="10"/>
        <v>0</v>
      </c>
      <c r="P53" s="512">
        <f>SUMIF('Diags Raw Data'!$A$6:$A$3687,"*"&amp;$A53&amp;"*",'Diags Raw Data'!$Z$6:$Z$3687)</f>
        <v>0</v>
      </c>
      <c r="Q53" s="513">
        <f>SUM(SUMIF('Diags Raw Data'!$A$6:$A$3687,"*"&amp;$A53&amp;"*",'Diags Raw Data'!$AA$6:$AA$3687),SUMIF('Diags Raw Data'!$A$6:$A$3687,"*"&amp;$A53&amp;"*",'Diags Raw Data'!$AB$6:$AB$3687))</f>
        <v>0</v>
      </c>
      <c r="R53" s="514">
        <f t="shared" si="11"/>
        <v>0</v>
      </c>
      <c r="S53" s="514">
        <f t="shared" si="12"/>
        <v>0</v>
      </c>
      <c r="T53" s="515">
        <f t="shared" si="13"/>
        <v>0</v>
      </c>
      <c r="U53" s="456" t="s">
        <v>582</v>
      </c>
      <c r="V53" s="180"/>
    </row>
    <row r="54" spans="1:22">
      <c r="A54" s="561" t="s">
        <v>504</v>
      </c>
      <c r="B54" s="452" t="str">
        <f>VLOOKUP(A54,'Feature Raw Data'!$A$3:$B$3996,2,FALSE)</f>
        <v>SIB: KSB Mass Clear</v>
      </c>
      <c r="C54" s="453" t="str">
        <f>VLOOKUP(A54,'Feature Raw Data'!$A$3:$C$3996,3,FALSE)</f>
        <v>P3</v>
      </c>
      <c r="D54" s="454" t="str" cm="1">
        <f t="array" ref="D54">_xlfn.TEXTJOIN("",TRUE,IF(ISNUMBER(SEARCH($A54,'Diags Raw Data'!$A$6:$A$3687)),CONCATENATE('Diags Raw Data'!$H$6:$H$3687,", "),""))</f>
        <v xml:space="preserve">TestID.PlaceHolder.58, </v>
      </c>
      <c r="E54" s="339" t="str">
        <f>VLOOKUP(A54,'Diags Raw Data'!$A$6:$D$3687,4,FALSE)</f>
        <v>SIB</v>
      </c>
      <c r="F54" s="339" t="str">
        <f>VLOOKUP(A54,'Feature Raw Data'!$A$3:$E$3996,5,FALSE)</f>
        <v>Delta</v>
      </c>
      <c r="G54" s="339" t="str">
        <f t="shared" si="8"/>
        <v>Yes</v>
      </c>
      <c r="H54" s="339" t="str">
        <f t="shared" si="9"/>
        <v>Yes</v>
      </c>
      <c r="I54" s="453">
        <f>SUMIF('Diags Raw Data'!$A$6:$A$3687,"*"&amp;$A54&amp;"*",'Diags Raw Data'!$K$6:$K$3687)</f>
        <v>24</v>
      </c>
      <c r="J54" s="455">
        <f>SUMIF('Diags Raw Data'!$A$6:$A$3687,"*"&amp;$A54&amp;"*",'Diags Raw Data'!$L$6:$L$3687)</f>
        <v>1</v>
      </c>
      <c r="K54" s="507" cm="1">
        <f t="array" ref="K54">IF(D54="",0, SUMPRODUCT(--(ISNUMBER(SEARCH($A54,'Diags Raw Data'!$A$6:$A$3687))),'Diags Raw Data'!$L$6:$L$3687,'Diags Raw Data'!$N$6:$N$3687)/J54)</f>
        <v>1</v>
      </c>
      <c r="L54" s="508" cm="1">
        <f t="array" ref="L54">IF(D54="",0, SUMPRODUCT(--(ISNUMBER(SEARCH($A54,'Diags Raw Data'!$A$6:$A$3687))),'Diags Raw Data'!$L$6:$L$3687,'Diags Raw Data'!$P$6:$P$3687)/J54)</f>
        <v>0</v>
      </c>
      <c r="M54" s="509" cm="1">
        <f t="array" ref="M54">SUMPRODUCT(--(ISNUMBER(SEARCH($A54,'Diags Raw Data'!$A$6:$A$3687))),--('Diags Raw Data'!$Q$6:$Q$3687&lt;&gt;"N/A"),'Diags Raw Data'!$R$6:$R$3687)</f>
        <v>1</v>
      </c>
      <c r="N54" s="510" cm="1">
        <f t="array" ref="N54">SUMPRODUCT(--(ISNUMBER(SEARCH($A54,'Diags Raw Data'!$A$6:$A$3687))),--('Diags Raw Data'!$Q$6:$Q$3687&lt;&gt;"N/A"),'Diags Raw Data'!$T$6:$T$3687)+SUMPRODUCT(--(ISNUMBER(SEARCH($A54,'Diags Raw Data'!$A$6:$A$3687))),--('Diags Raw Data'!$Q$6:$Q$3687&lt;&gt;"N/A"),'Diags Raw Data'!$U$6:$U$3687)</f>
        <v>0</v>
      </c>
      <c r="O54" s="511">
        <f t="shared" si="10"/>
        <v>0</v>
      </c>
      <c r="P54" s="512">
        <f>SUMIF('Diags Raw Data'!$A$6:$A$3687,"*"&amp;$A54&amp;"*",'Diags Raw Data'!$Z$6:$Z$3687)</f>
        <v>0</v>
      </c>
      <c r="Q54" s="513">
        <f>SUM(SUMIF('Diags Raw Data'!$A$6:$A$3687,"*"&amp;$A54&amp;"*",'Diags Raw Data'!$AA$6:$AA$3687),SUMIF('Diags Raw Data'!$A$6:$A$3687,"*"&amp;$A54&amp;"*",'Diags Raw Data'!$AB$6:$AB$3687))</f>
        <v>0</v>
      </c>
      <c r="R54" s="514">
        <f t="shared" si="11"/>
        <v>0</v>
      </c>
      <c r="S54" s="514">
        <f t="shared" si="12"/>
        <v>0</v>
      </c>
      <c r="T54" s="515">
        <f t="shared" si="13"/>
        <v>0</v>
      </c>
      <c r="U54" s="456" t="s">
        <v>582</v>
      </c>
      <c r="V54" s="180"/>
    </row>
    <row r="55" spans="1:22">
      <c r="A55" s="561" t="s">
        <v>508</v>
      </c>
      <c r="B55" s="452" t="str">
        <f>VLOOKUP(A55,'Feature Raw Data'!$A$3:$B$3996,2,FALSE)</f>
        <v>SIB: KSB Slot Search</v>
      </c>
      <c r="C55" s="453" t="str">
        <f>VLOOKUP(A55,'Feature Raw Data'!$A$3:$C$3996,3,FALSE)</f>
        <v>P3</v>
      </c>
      <c r="D55" s="454" t="str" cm="1">
        <f t="array" ref="D55">_xlfn.TEXTJOIN("",TRUE,IF(ISNUMBER(SEARCH($A55,'Diags Raw Data'!$A$6:$A$3687)),CONCATENATE('Diags Raw Data'!$H$6:$H$3687,", "),""))</f>
        <v xml:space="preserve">TestID.PlaceHolder.59, </v>
      </c>
      <c r="E55" s="339" t="str">
        <f>VLOOKUP(A55,'Diags Raw Data'!$A$6:$D$3687,4,FALSE)</f>
        <v>SIB</v>
      </c>
      <c r="F55" s="339" t="str">
        <f>VLOOKUP(A55,'Feature Raw Data'!$A$3:$E$3996,5,FALSE)</f>
        <v>Delta</v>
      </c>
      <c r="G55" s="339" t="str">
        <f t="shared" si="8"/>
        <v>Yes</v>
      </c>
      <c r="H55" s="339" t="str">
        <f t="shared" si="9"/>
        <v>Yes</v>
      </c>
      <c r="I55" s="453">
        <f>SUMIF('Diags Raw Data'!$A$6:$A$3687,"*"&amp;$A55&amp;"*",'Diags Raw Data'!$K$6:$K$3687)</f>
        <v>24</v>
      </c>
      <c r="J55" s="455">
        <f>SUMIF('Diags Raw Data'!$A$6:$A$3687,"*"&amp;$A55&amp;"*",'Diags Raw Data'!$L$6:$L$3687)</f>
        <v>1</v>
      </c>
      <c r="K55" s="507" cm="1">
        <f t="array" ref="K55">IF(D55="",0, SUMPRODUCT(--(ISNUMBER(SEARCH($A55,'Diags Raw Data'!$A$6:$A$3687))),'Diags Raw Data'!$L$6:$L$3687,'Diags Raw Data'!$N$6:$N$3687)/J55)</f>
        <v>1</v>
      </c>
      <c r="L55" s="508" cm="1">
        <f t="array" ref="L55">IF(D55="",0, SUMPRODUCT(--(ISNUMBER(SEARCH($A55,'Diags Raw Data'!$A$6:$A$3687))),'Diags Raw Data'!$L$6:$L$3687,'Diags Raw Data'!$P$6:$P$3687)/J55)</f>
        <v>0</v>
      </c>
      <c r="M55" s="509" cm="1">
        <f t="array" ref="M55">SUMPRODUCT(--(ISNUMBER(SEARCH($A55,'Diags Raw Data'!$A$6:$A$3687))),--('Diags Raw Data'!$Q$6:$Q$3687&lt;&gt;"N/A"),'Diags Raw Data'!$R$6:$R$3687)</f>
        <v>1</v>
      </c>
      <c r="N55" s="510" cm="1">
        <f t="array" ref="N55">SUMPRODUCT(--(ISNUMBER(SEARCH($A55,'Diags Raw Data'!$A$6:$A$3687))),--('Diags Raw Data'!$Q$6:$Q$3687&lt;&gt;"N/A"),'Diags Raw Data'!$T$6:$T$3687)+SUMPRODUCT(--(ISNUMBER(SEARCH($A55,'Diags Raw Data'!$A$6:$A$3687))),--('Diags Raw Data'!$Q$6:$Q$3687&lt;&gt;"N/A"),'Diags Raw Data'!$U$6:$U$3687)</f>
        <v>0</v>
      </c>
      <c r="O55" s="511">
        <f t="shared" si="10"/>
        <v>0</v>
      </c>
      <c r="P55" s="512">
        <f>SUMIF('Diags Raw Data'!$A$6:$A$3687,"*"&amp;$A55&amp;"*",'Diags Raw Data'!$Z$6:$Z$3687)</f>
        <v>0</v>
      </c>
      <c r="Q55" s="513">
        <f>SUM(SUMIF('Diags Raw Data'!$A$6:$A$3687,"*"&amp;$A55&amp;"*",'Diags Raw Data'!$AA$6:$AA$3687),SUMIF('Diags Raw Data'!$A$6:$A$3687,"*"&amp;$A55&amp;"*",'Diags Raw Data'!$AB$6:$AB$3687))</f>
        <v>0</v>
      </c>
      <c r="R55" s="514">
        <f t="shared" si="11"/>
        <v>0</v>
      </c>
      <c r="S55" s="514">
        <f t="shared" si="12"/>
        <v>0</v>
      </c>
      <c r="T55" s="515">
        <f t="shared" si="13"/>
        <v>0</v>
      </c>
      <c r="U55" s="456" t="s">
        <v>582</v>
      </c>
      <c r="V55" s="180"/>
    </row>
    <row r="56" spans="1:22" ht="15">
      <c r="A56" s="561" t="s">
        <v>512</v>
      </c>
      <c r="B56" s="452" t="str">
        <f>VLOOKUP(A56,'Feature Raw Data'!$A$3:$B$3996,2,FALSE)</f>
        <v>ASP: Si-Five Mem Port/Front Port</v>
      </c>
      <c r="C56" s="453" t="str">
        <f>VLOOKUP(A56,'Feature Raw Data'!$A$3:$C$3996,3,FALSE)</f>
        <v>P1</v>
      </c>
      <c r="D56" s="454" t="str" cm="1">
        <f t="array" ref="D56">_xlfn.TEXTJOIN("",TRUE,IF(ISNUMBER(SEARCH($A56,'Diags Raw Data'!$A$6:$A$3687)),CONCATENATE('Diags Raw Data'!$H$6:$H$3687,", "),""))</f>
        <v xml:space="preserve">psp207.1, psp207.2, psp207.3, psp207.4, psp207.5, psp207.6, psp207.7, </v>
      </c>
      <c r="E56" s="339" t="str">
        <f>VLOOKUP(A56,'Diags Raw Data'!$A$6:$D$3687,4,FALSE)</f>
        <v>ASP</v>
      </c>
      <c r="F56" s="339" t="str">
        <f>VLOOKUP(A56,'Feature Raw Data'!$A$3:$E$3996,5,FALSE)</f>
        <v>New</v>
      </c>
      <c r="G56" s="339" t="str">
        <f t="shared" ref="G56" si="14">IF(D56="","No","Yes")</f>
        <v>Yes</v>
      </c>
      <c r="H56" s="339" t="str">
        <f t="shared" ref="H56" si="15">IF(D56="","No","Yes")</f>
        <v>Yes</v>
      </c>
      <c r="I56" s="453">
        <f>SUMIF('Diags Raw Data'!$A$6:$A$3687,"*"&amp;$A56&amp;"*",'Diags Raw Data'!$K$6:$K$3687)</f>
        <v>168</v>
      </c>
      <c r="J56" s="455">
        <f>SUMIF('Diags Raw Data'!$A$6:$A$3687,"*"&amp;$A56&amp;"*",'Diags Raw Data'!$L$6:$L$3687)</f>
        <v>7</v>
      </c>
      <c r="K56" s="507" cm="1">
        <f t="array" ref="K56">IF(D56="",0, SUMPRODUCT(--(ISNUMBER(SEARCH($A56,'Diags Raw Data'!$A$6:$A$3687))),'Diags Raw Data'!$L$6:$L$3687,'Diags Raw Data'!$N$6:$N$3687)/J56)</f>
        <v>1</v>
      </c>
      <c r="L56" s="508" cm="1">
        <f t="array" ref="L56">IF(D56="",0, SUMPRODUCT(--(ISNUMBER(SEARCH($A56,'Diags Raw Data'!$A$6:$A$3687))),'Diags Raw Data'!$L$6:$L$3687,'Diags Raw Data'!$P$6:$P$3687)/J56)</f>
        <v>1</v>
      </c>
      <c r="M56" s="509" cm="1">
        <f t="array" ref="M56">SUMPRODUCT(--(ISNUMBER(SEARCH($A56,'Diags Raw Data'!$A$6:$A$3687))),--('Diags Raw Data'!$Q$6:$Q$3687&lt;&gt;"N/A"),'Diags Raw Data'!$R$6:$R$3687)</f>
        <v>7</v>
      </c>
      <c r="N56" s="510" cm="1">
        <f t="array" ref="N56">SUMPRODUCT(--(ISNUMBER(SEARCH($A56,'Diags Raw Data'!$A$6:$A$3687))),--('Diags Raw Data'!$Q$6:$Q$3687&lt;&gt;"N/A"),'Diags Raw Data'!$T$6:$T$3687)+SUMPRODUCT(--(ISNUMBER(SEARCH($A56,'Diags Raw Data'!$A$6:$A$3687))),--('Diags Raw Data'!$Q$6:$Q$3687&lt;&gt;"N/A"),'Diags Raw Data'!$U$6:$U$3687)</f>
        <v>7</v>
      </c>
      <c r="O56" s="511">
        <f t="shared" ref="O56" si="16">IF((M56=0),0,N56/M56)</f>
        <v>1</v>
      </c>
      <c r="P56" s="512">
        <f>SUMIF('Diags Raw Data'!$A$6:$A$3687,"*"&amp;$A56&amp;"*",'Diags Raw Data'!$Z$6:$Z$3687)</f>
        <v>0</v>
      </c>
      <c r="Q56" s="513">
        <f>SUM(SUMIF('Diags Raw Data'!$A$6:$A$3687,"*"&amp;$A56&amp;"*",'Diags Raw Data'!$AA$6:$AA$3687),SUMIF('Diags Raw Data'!$A$6:$A$3687,"*"&amp;$A56&amp;"*",'Diags Raw Data'!$AB$6:$AB$3687))</f>
        <v>0</v>
      </c>
      <c r="R56" s="514">
        <f t="shared" ref="R56" si="17">IF((J56=0),0,P56/J56)</f>
        <v>0</v>
      </c>
      <c r="S56" s="514">
        <f t="shared" ref="S56" si="18">IF((P56=0),0,Q56/P56)</f>
        <v>0</v>
      </c>
      <c r="T56" s="515">
        <f t="shared" ref="T56" si="19">R56*S56</f>
        <v>0</v>
      </c>
      <c r="U56" s="456" t="s">
        <v>579</v>
      </c>
      <c r="V56" s="180"/>
    </row>
    <row r="57" spans="1:22">
      <c r="A57" s="561"/>
      <c r="B57" s="452"/>
      <c r="C57" s="453"/>
      <c r="D57" s="454"/>
      <c r="E57" s="339"/>
      <c r="F57" s="339"/>
      <c r="G57" s="339"/>
      <c r="H57" s="339"/>
      <c r="I57" s="453"/>
      <c r="J57" s="455"/>
      <c r="K57" s="507"/>
      <c r="L57" s="508"/>
      <c r="M57" s="509"/>
      <c r="N57" s="510"/>
      <c r="O57" s="511"/>
      <c r="P57" s="512"/>
      <c r="Q57" s="513"/>
      <c r="R57" s="514"/>
      <c r="S57" s="514"/>
      <c r="T57" s="515"/>
      <c r="U57" s="456"/>
      <c r="V57" s="180"/>
    </row>
    <row r="58" spans="1:22" ht="15" thickBot="1">
      <c r="A58" s="390"/>
      <c r="B58" s="417"/>
      <c r="C58" s="391"/>
      <c r="D58" s="392"/>
      <c r="E58" s="393"/>
      <c r="F58" s="393"/>
      <c r="G58" s="393"/>
      <c r="H58" s="393"/>
      <c r="I58" s="391"/>
      <c r="J58" s="394"/>
      <c r="K58" s="516"/>
      <c r="L58" s="517"/>
      <c r="M58" s="518"/>
      <c r="N58" s="519"/>
      <c r="O58" s="520"/>
      <c r="P58" s="521"/>
      <c r="Q58" s="522"/>
      <c r="R58" s="523"/>
      <c r="S58" s="523"/>
      <c r="T58" s="524"/>
      <c r="U58" s="395"/>
      <c r="V58" s="180"/>
    </row>
    <row r="59" spans="1:22">
      <c r="A59" s="624" t="s">
        <v>584</v>
      </c>
      <c r="B59" s="719"/>
      <c r="C59" s="719"/>
      <c r="D59" s="719"/>
      <c r="E59" s="719"/>
      <c r="F59" s="719"/>
      <c r="G59" s="719"/>
      <c r="H59" s="719"/>
      <c r="I59" s="719"/>
      <c r="J59" s="719"/>
      <c r="K59" s="719"/>
      <c r="L59" s="719"/>
      <c r="M59" s="719"/>
      <c r="N59" s="719"/>
      <c r="O59" s="719"/>
      <c r="P59" s="719"/>
      <c r="Q59" s="719"/>
      <c r="R59" s="719"/>
      <c r="S59" s="719"/>
      <c r="T59" s="719"/>
      <c r="U59" s="720"/>
      <c r="V59" s="180"/>
    </row>
    <row r="60" spans="1:22" ht="15" thickBot="1">
      <c r="A60" s="721"/>
      <c r="B60" s="722"/>
      <c r="C60" s="722"/>
      <c r="D60" s="722"/>
      <c r="E60" s="722"/>
      <c r="F60" s="722"/>
      <c r="G60" s="722"/>
      <c r="H60" s="722"/>
      <c r="I60" s="722"/>
      <c r="J60" s="722"/>
      <c r="K60" s="722"/>
      <c r="L60" s="722"/>
      <c r="M60" s="722"/>
      <c r="N60" s="722"/>
      <c r="O60" s="722"/>
      <c r="P60" s="722"/>
      <c r="Q60" s="722"/>
      <c r="R60" s="722"/>
      <c r="S60" s="722"/>
      <c r="T60" s="722"/>
      <c r="U60" s="723"/>
      <c r="V60" s="180"/>
    </row>
    <row r="61" spans="1:22" s="187" customFormat="1" ht="18.600000000000001">
      <c r="A61" s="672" t="s">
        <v>302</v>
      </c>
      <c r="B61" s="673"/>
      <c r="C61" s="673"/>
      <c r="D61" s="673"/>
      <c r="E61" s="673"/>
      <c r="F61" s="674"/>
      <c r="G61" s="404">
        <f>COUNTIF(G7:G58,"Yes")</f>
        <v>44</v>
      </c>
      <c r="H61" s="404">
        <f>COUNTIF(H7:H58,"Yes")</f>
        <v>44</v>
      </c>
      <c r="I61" s="670">
        <f>'Diags Raw Data'!K77</f>
        <v>2272</v>
      </c>
      <c r="J61" s="706">
        <f>'Diags Raw Data'!L77</f>
        <v>66</v>
      </c>
      <c r="K61" s="696">
        <f>'Diags Raw Data'!N77</f>
        <v>1</v>
      </c>
      <c r="L61" s="698">
        <f>'Diags Raw Data'!P77</f>
        <v>0.94524647887323943</v>
      </c>
      <c r="M61" s="700">
        <f>'Diags Raw Data'!R77</f>
        <v>58</v>
      </c>
      <c r="N61" s="692">
        <f>SUM('Diags Raw Data'!T77+'Diags Raw Data'!U77)</f>
        <v>52</v>
      </c>
      <c r="O61" s="724">
        <f>IF((M61=0),0,N61/M61)</f>
        <v>0.89655172413793105</v>
      </c>
      <c r="P61" s="726">
        <f>'Diags Raw Data'!Z77</f>
        <v>0</v>
      </c>
      <c r="Q61" s="682">
        <f>SUM('Diags Raw Data'!AA77+'Diags Raw Data'!AB77)</f>
        <v>0</v>
      </c>
      <c r="R61" s="702">
        <f>IF((J61=0),0,P61/J61)</f>
        <v>0</v>
      </c>
      <c r="S61" s="702">
        <f>IF((P61=0),0,Q61/P61)</f>
        <v>0</v>
      </c>
      <c r="T61" s="702">
        <f>R61*S61</f>
        <v>0</v>
      </c>
      <c r="U61" s="704"/>
      <c r="V61" s="186"/>
    </row>
    <row r="62" spans="1:22" ht="18.95" thickBot="1">
      <c r="A62" s="675"/>
      <c r="B62" s="676"/>
      <c r="C62" s="676"/>
      <c r="D62" s="676"/>
      <c r="E62" s="676"/>
      <c r="F62" s="677"/>
      <c r="G62" s="405">
        <f>COUNTIF(G7:G58,"Yes")/COUNTA(A7:A58)</f>
        <v>0.88</v>
      </c>
      <c r="H62" s="405">
        <f>(COUNTIF(H7:H58,"Yes")/G61)</f>
        <v>1</v>
      </c>
      <c r="I62" s="671"/>
      <c r="J62" s="707"/>
      <c r="K62" s="697"/>
      <c r="L62" s="699"/>
      <c r="M62" s="701"/>
      <c r="N62" s="693"/>
      <c r="O62" s="725"/>
      <c r="P62" s="727"/>
      <c r="Q62" s="683"/>
      <c r="R62" s="703"/>
      <c r="S62" s="703"/>
      <c r="T62" s="703"/>
      <c r="U62" s="705"/>
      <c r="V62" s="180"/>
    </row>
    <row r="63" spans="1:22">
      <c r="A63" s="188"/>
      <c r="B63" s="189"/>
      <c r="C63" s="189"/>
      <c r="D63" s="188"/>
      <c r="E63" s="189"/>
      <c r="F63" s="189"/>
      <c r="G63" s="386"/>
      <c r="H63" s="189"/>
      <c r="I63" s="396"/>
      <c r="J63" s="396"/>
      <c r="K63" s="193"/>
      <c r="L63" s="193"/>
      <c r="M63" s="194"/>
      <c r="N63" s="194"/>
      <c r="O63" s="193"/>
      <c r="P63" s="191"/>
      <c r="Q63" s="191"/>
      <c r="R63" s="197"/>
      <c r="S63" s="197"/>
      <c r="T63" s="198"/>
      <c r="U63" s="188"/>
    </row>
  </sheetData>
  <sheetProtection insertColumns="0" insertRows="0" deleteRows="0" sort="0"/>
  <autoFilter ref="A6:U62" xr:uid="{00000000-0009-0000-0000-000004000000}"/>
  <mergeCells count="36">
    <mergeCell ref="K5:L5"/>
    <mergeCell ref="A5:J5"/>
    <mergeCell ref="M5:O5"/>
    <mergeCell ref="P5:U5"/>
    <mergeCell ref="A61:F62"/>
    <mergeCell ref="A59:U60"/>
    <mergeCell ref="O61:O62"/>
    <mergeCell ref="P61:P62"/>
    <mergeCell ref="N61:N62"/>
    <mergeCell ref="V2:V3"/>
    <mergeCell ref="A4:U4"/>
    <mergeCell ref="K61:K62"/>
    <mergeCell ref="L61:L62"/>
    <mergeCell ref="M61:M62"/>
    <mergeCell ref="T2:T3"/>
    <mergeCell ref="U2:U3"/>
    <mergeCell ref="R2:R3"/>
    <mergeCell ref="S2:S3"/>
    <mergeCell ref="S61:S62"/>
    <mergeCell ref="T61:T62"/>
    <mergeCell ref="U61:U62"/>
    <mergeCell ref="Q61:Q62"/>
    <mergeCell ref="R61:R62"/>
    <mergeCell ref="I61:I62"/>
    <mergeCell ref="J61:J62"/>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585</v>
      </c>
      <c r="C1" s="36" t="s">
        <v>586</v>
      </c>
      <c r="D1" s="36" t="s">
        <v>587</v>
      </c>
      <c r="E1" s="36" t="s">
        <v>588</v>
      </c>
      <c r="F1" s="36" t="s">
        <v>589</v>
      </c>
      <c r="G1" s="37" t="s">
        <v>590</v>
      </c>
      <c r="H1" s="12"/>
      <c r="I1" s="12"/>
      <c r="J1" s="12"/>
      <c r="K1" s="12"/>
      <c r="L1" s="13"/>
      <c r="M1" s="1"/>
      <c r="N1" s="11"/>
      <c r="X1" s="11"/>
      <c r="AB1" s="728" t="s">
        <v>591</v>
      </c>
      <c r="AM1" s="728" t="s">
        <v>592</v>
      </c>
    </row>
    <row r="2" spans="1:40" s="14" customFormat="1" ht="12">
      <c r="A2" s="35" t="s">
        <v>593</v>
      </c>
      <c r="B2" s="15">
        <v>42994</v>
      </c>
      <c r="C2" s="15">
        <v>43190</v>
      </c>
      <c r="D2" s="16" t="e">
        <f>#REF!</f>
        <v>#REF!</v>
      </c>
      <c r="E2" s="16" t="e">
        <f>#REF!</f>
        <v>#REF!</v>
      </c>
      <c r="F2" s="16">
        <f>(C2-B2)/7</f>
        <v>28</v>
      </c>
      <c r="G2" s="17" t="e">
        <f>E2/F2</f>
        <v>#REF!</v>
      </c>
      <c r="H2" s="18"/>
      <c r="I2" s="18"/>
      <c r="J2" s="18"/>
      <c r="K2" s="18"/>
      <c r="L2" s="19"/>
      <c r="M2" s="20"/>
      <c r="N2" s="21"/>
      <c r="X2" s="21"/>
      <c r="AB2" s="729"/>
      <c r="AM2" s="729"/>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30" t="s">
        <v>594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731"/>
      <c r="B5" s="47" t="s">
        <v>595</v>
      </c>
      <c r="C5" s="47" t="s">
        <v>596</v>
      </c>
      <c r="D5" s="47" t="s">
        <v>597</v>
      </c>
      <c r="E5" s="47" t="s">
        <v>598</v>
      </c>
      <c r="F5" s="47" t="s">
        <v>599</v>
      </c>
      <c r="G5" s="47" t="s">
        <v>600</v>
      </c>
      <c r="H5" s="47" t="s">
        <v>601</v>
      </c>
      <c r="I5" s="47" t="s">
        <v>602</v>
      </c>
      <c r="J5" s="47" t="s">
        <v>603</v>
      </c>
      <c r="K5" s="47" t="s">
        <v>604</v>
      </c>
      <c r="L5" s="47" t="s">
        <v>605</v>
      </c>
      <c r="M5" s="47" t="s">
        <v>606</v>
      </c>
      <c r="N5" s="47" t="s">
        <v>607</v>
      </c>
      <c r="O5" s="47" t="s">
        <v>608</v>
      </c>
      <c r="P5" s="47" t="s">
        <v>609</v>
      </c>
      <c r="Q5" s="47" t="s">
        <v>610</v>
      </c>
      <c r="R5" s="47" t="s">
        <v>611</v>
      </c>
      <c r="S5" s="47" t="s">
        <v>612</v>
      </c>
      <c r="T5" s="47" t="s">
        <v>613</v>
      </c>
      <c r="U5" s="47" t="s">
        <v>614</v>
      </c>
      <c r="V5" s="47" t="s">
        <v>615</v>
      </c>
      <c r="W5" s="47" t="s">
        <v>616</v>
      </c>
      <c r="X5" s="47" t="s">
        <v>617</v>
      </c>
      <c r="Y5" s="47" t="s">
        <v>618</v>
      </c>
      <c r="Z5" s="47" t="s">
        <v>619</v>
      </c>
      <c r="AA5" s="47" t="s">
        <v>620</v>
      </c>
      <c r="AB5" s="47" t="s">
        <v>621</v>
      </c>
      <c r="AC5" s="47" t="s">
        <v>622</v>
      </c>
      <c r="AD5" s="47" t="s">
        <v>623</v>
      </c>
      <c r="AE5" s="47" t="s">
        <v>624</v>
      </c>
      <c r="AF5" s="47" t="s">
        <v>625</v>
      </c>
      <c r="AG5" s="47" t="s">
        <v>626</v>
      </c>
      <c r="AH5" s="47" t="s">
        <v>627</v>
      </c>
      <c r="AI5" s="47" t="s">
        <v>628</v>
      </c>
      <c r="AJ5" s="47" t="s">
        <v>629</v>
      </c>
      <c r="AK5" s="47" t="s">
        <v>630</v>
      </c>
      <c r="AL5" s="66" t="s">
        <v>631</v>
      </c>
      <c r="AM5" s="65" t="s">
        <v>632</v>
      </c>
      <c r="AN5" s="50"/>
    </row>
    <row r="6" spans="1:40" ht="12">
      <c r="A6" s="48" t="s">
        <v>633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634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30" t="s">
        <v>635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732"/>
      <c r="B10" s="32" t="s">
        <v>595</v>
      </c>
      <c r="C10" s="32" t="s">
        <v>596</v>
      </c>
      <c r="D10" s="32" t="s">
        <v>597</v>
      </c>
      <c r="E10" s="32" t="s">
        <v>598</v>
      </c>
      <c r="F10" s="32" t="s">
        <v>599</v>
      </c>
      <c r="G10" s="32" t="s">
        <v>600</v>
      </c>
      <c r="H10" s="32" t="s">
        <v>601</v>
      </c>
      <c r="I10" s="32" t="s">
        <v>602</v>
      </c>
      <c r="J10" s="32" t="s">
        <v>603</v>
      </c>
      <c r="K10" s="32" t="s">
        <v>604</v>
      </c>
      <c r="L10" s="32" t="s">
        <v>605</v>
      </c>
      <c r="M10" s="32" t="s">
        <v>606</v>
      </c>
      <c r="N10" s="32" t="s">
        <v>607</v>
      </c>
      <c r="O10" s="32" t="s">
        <v>608</v>
      </c>
      <c r="P10" s="32" t="s">
        <v>609</v>
      </c>
      <c r="Q10" s="32" t="s">
        <v>610</v>
      </c>
      <c r="R10" s="32" t="s">
        <v>611</v>
      </c>
      <c r="S10" s="32" t="s">
        <v>612</v>
      </c>
      <c r="T10" s="32" t="s">
        <v>613</v>
      </c>
      <c r="U10" s="32" t="s">
        <v>614</v>
      </c>
      <c r="V10" s="32" t="s">
        <v>615</v>
      </c>
      <c r="W10" s="32" t="s">
        <v>616</v>
      </c>
      <c r="X10" s="32" t="s">
        <v>617</v>
      </c>
      <c r="Y10" s="32" t="s">
        <v>618</v>
      </c>
      <c r="Z10" s="32" t="s">
        <v>619</v>
      </c>
      <c r="AA10" s="32" t="s">
        <v>620</v>
      </c>
      <c r="AB10" s="32" t="s">
        <v>621</v>
      </c>
      <c r="AC10" s="32" t="s">
        <v>622</v>
      </c>
      <c r="AD10" s="32" t="s">
        <v>623</v>
      </c>
      <c r="AE10" s="32" t="s">
        <v>624</v>
      </c>
      <c r="AF10" s="32" t="s">
        <v>625</v>
      </c>
      <c r="AG10" s="32" t="s">
        <v>626</v>
      </c>
      <c r="AH10" s="32" t="s">
        <v>627</v>
      </c>
      <c r="AI10" s="32" t="s">
        <v>628</v>
      </c>
      <c r="AJ10" s="64" t="s">
        <v>629</v>
      </c>
      <c r="AK10" s="63" t="s">
        <v>630</v>
      </c>
      <c r="AL10" s="47" t="s">
        <v>631</v>
      </c>
      <c r="AM10" s="72" t="s">
        <v>632</v>
      </c>
      <c r="AN10" s="68"/>
    </row>
    <row r="11" spans="1:40">
      <c r="A11" s="42" t="s">
        <v>633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634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636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637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10" sqref="D10"/>
    </sheetView>
  </sheetViews>
  <sheetFormatPr defaultColWidth="15" defaultRowHeight="12.9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638</v>
      </c>
      <c r="B1" s="157" t="s">
        <v>639</v>
      </c>
      <c r="C1" s="158" t="s">
        <v>640</v>
      </c>
      <c r="D1" s="158" t="s">
        <v>641</v>
      </c>
      <c r="E1" s="158" t="s">
        <v>642</v>
      </c>
      <c r="F1" s="158" t="s">
        <v>643</v>
      </c>
      <c r="G1" s="158" t="s">
        <v>644</v>
      </c>
      <c r="H1" s="158" t="s">
        <v>645</v>
      </c>
      <c r="I1" s="158" t="s">
        <v>646</v>
      </c>
      <c r="J1" s="158" t="s">
        <v>647</v>
      </c>
      <c r="K1" s="158" t="s">
        <v>648</v>
      </c>
      <c r="L1" s="158" t="s">
        <v>649</v>
      </c>
      <c r="M1" s="158" t="s">
        <v>650</v>
      </c>
      <c r="N1" s="158" t="s">
        <v>651</v>
      </c>
      <c r="O1" s="158" t="s">
        <v>652</v>
      </c>
      <c r="P1" s="158" t="s">
        <v>653</v>
      </c>
      <c r="Q1" s="158" t="s">
        <v>654</v>
      </c>
      <c r="R1" s="158" t="s">
        <v>655</v>
      </c>
      <c r="S1" s="158" t="s">
        <v>656</v>
      </c>
      <c r="T1" s="158" t="s">
        <v>657</v>
      </c>
      <c r="U1" s="158" t="s">
        <v>658</v>
      </c>
      <c r="V1" s="158" t="s">
        <v>659</v>
      </c>
      <c r="W1" s="158" t="s">
        <v>660</v>
      </c>
      <c r="X1" s="158" t="s">
        <v>661</v>
      </c>
      <c r="Y1" s="158" t="s">
        <v>662</v>
      </c>
      <c r="Z1" s="158" t="s">
        <v>663</v>
      </c>
      <c r="AA1" s="158" t="s">
        <v>664</v>
      </c>
      <c r="AB1" s="158" t="s">
        <v>665</v>
      </c>
      <c r="AC1" s="158" t="s">
        <v>666</v>
      </c>
      <c r="AD1" s="158" t="s">
        <v>667</v>
      </c>
      <c r="AE1" s="158" t="s">
        <v>668</v>
      </c>
      <c r="AF1" s="158" t="s">
        <v>669</v>
      </c>
      <c r="AG1" s="158" t="s">
        <v>670</v>
      </c>
      <c r="AH1" s="158" t="s">
        <v>671</v>
      </c>
      <c r="AI1" s="158" t="s">
        <v>672</v>
      </c>
      <c r="AJ1" s="158" t="s">
        <v>673</v>
      </c>
      <c r="AK1" s="158" t="s">
        <v>674</v>
      </c>
      <c r="AL1" s="158" t="s">
        <v>675</v>
      </c>
      <c r="AM1" s="158" t="s">
        <v>676</v>
      </c>
      <c r="AN1" s="158" t="s">
        <v>677</v>
      </c>
      <c r="AO1" s="158" t="s">
        <v>678</v>
      </c>
      <c r="AP1" s="158" t="s">
        <v>679</v>
      </c>
      <c r="AQ1" s="158" t="s">
        <v>680</v>
      </c>
      <c r="AR1" s="158" t="s">
        <v>681</v>
      </c>
      <c r="AS1" s="158" t="s">
        <v>682</v>
      </c>
      <c r="AT1" s="158" t="s">
        <v>683</v>
      </c>
      <c r="AU1" s="158" t="s">
        <v>684</v>
      </c>
      <c r="AV1" s="158" t="s">
        <v>685</v>
      </c>
      <c r="AW1" s="158" t="s">
        <v>686</v>
      </c>
      <c r="AX1" s="158" t="s">
        <v>687</v>
      </c>
      <c r="AY1" s="158" t="s">
        <v>688</v>
      </c>
      <c r="AZ1" s="158" t="s">
        <v>689</v>
      </c>
      <c r="BA1" s="158" t="s">
        <v>690</v>
      </c>
      <c r="BB1" s="159" t="s">
        <v>691</v>
      </c>
    </row>
    <row r="2" spans="1:54" s="135" customFormat="1">
      <c r="A2" s="151" t="s">
        <v>634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637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635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634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636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692</v>
      </c>
      <c r="B3" s="129" t="s">
        <v>693</v>
      </c>
      <c r="C3" s="129"/>
      <c r="D3" s="217"/>
      <c r="E3" s="129"/>
    </row>
    <row r="4" spans="1:5">
      <c r="A4" s="79" t="s">
        <v>47</v>
      </c>
      <c r="B4">
        <v>0</v>
      </c>
    </row>
    <row r="5" spans="1:5">
      <c r="A5" s="79" t="s">
        <v>694</v>
      </c>
      <c r="B5">
        <v>85</v>
      </c>
      <c r="D5" s="130">
        <f>GETPIVOTDATA("#Tests",$A$3,"ETA","wk-1")/GETPIVOTDATA("#Tests",$A$3)</f>
        <v>0.17</v>
      </c>
      <c r="E5" s="131">
        <f>D5</f>
        <v>0.17</v>
      </c>
    </row>
    <row r="6" spans="1:5">
      <c r="A6" s="79" t="s">
        <v>695</v>
      </c>
      <c r="B6">
        <v>48</v>
      </c>
      <c r="D6" s="130">
        <f>GETPIVOTDATA("#Tests",$A$3,"ETA","wk-2")/GETPIVOTDATA("#Tests",$A$3)</f>
        <v>9.6000000000000002E-2</v>
      </c>
      <c r="E6" s="131">
        <f t="shared" ref="E6:E12" si="0">E5+D6</f>
        <v>0.26600000000000001</v>
      </c>
    </row>
    <row r="7" spans="1:5">
      <c r="A7" s="79" t="s">
        <v>696</v>
      </c>
      <c r="B7">
        <v>96</v>
      </c>
      <c r="D7" s="130">
        <f>GETPIVOTDATA("#Tests",$A$3,"ETA","wk-3")/GETPIVOTDATA("#Tests",$A$3)</f>
        <v>0.192</v>
      </c>
      <c r="E7" s="131">
        <f t="shared" si="0"/>
        <v>0.45800000000000002</v>
      </c>
    </row>
    <row r="8" spans="1:5">
      <c r="A8" s="79" t="s">
        <v>697</v>
      </c>
      <c r="B8">
        <v>79</v>
      </c>
      <c r="D8" s="130">
        <f>GETPIVOTDATA("#Tests",$A$3,"ETA","wk-4")/GETPIVOTDATA("#Tests",$A$3)</f>
        <v>0.158</v>
      </c>
      <c r="E8" s="131">
        <f t="shared" si="0"/>
        <v>0.61599999999999999</v>
      </c>
    </row>
    <row r="9" spans="1:5">
      <c r="A9" s="79" t="s">
        <v>698</v>
      </c>
      <c r="B9">
        <v>82</v>
      </c>
      <c r="D9" s="130">
        <f>GETPIVOTDATA("#Tests",$A$3,"ETA","wk-5")/GETPIVOTDATA("#Tests",$A$3)</f>
        <v>0.16400000000000001</v>
      </c>
      <c r="E9" s="131">
        <f t="shared" si="0"/>
        <v>0.78</v>
      </c>
    </row>
    <row r="10" spans="1:5">
      <c r="A10" s="79" t="s">
        <v>699</v>
      </c>
      <c r="B10">
        <v>60</v>
      </c>
      <c r="D10" s="130">
        <f>GETPIVOTDATA("#Tests",$A$3,"ETA","wk-6")/GETPIVOTDATA("#Tests",$A$3)</f>
        <v>0.12</v>
      </c>
      <c r="E10" s="131">
        <f t="shared" si="0"/>
        <v>0.9</v>
      </c>
    </row>
    <row r="11" spans="1:5">
      <c r="A11" s="79" t="s">
        <v>700</v>
      </c>
      <c r="B11">
        <v>30</v>
      </c>
      <c r="D11" s="130">
        <f>GETPIVOTDATA("#Tests",$A$3,"ETA","wk-7")/GETPIVOTDATA("#Tests",$A$3)</f>
        <v>0.06</v>
      </c>
      <c r="E11" s="131">
        <f t="shared" si="0"/>
        <v>0.96</v>
      </c>
    </row>
    <row r="12" spans="1:5">
      <c r="A12" s="79" t="s">
        <v>701</v>
      </c>
      <c r="B12">
        <v>20</v>
      </c>
      <c r="D12" s="130">
        <f>GETPIVOTDATA("#Tests",$A$3,"ETA","wk-8")/GETPIVOTDATA("#Tests",$A$3)</f>
        <v>0.04</v>
      </c>
      <c r="E12" s="131">
        <f t="shared" si="0"/>
        <v>1</v>
      </c>
    </row>
    <row r="13" spans="1:5">
      <c r="A13" s="79" t="s">
        <v>534</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B573ECBC-040B-42FD-A237-7F2573680C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Ha, Alan</cp:lastModifiedBy>
  <cp:revision/>
  <dcterms:created xsi:type="dcterms:W3CDTF">2013-03-11T21:33:52Z</dcterms:created>
  <dcterms:modified xsi:type="dcterms:W3CDTF">2024-01-24T15:40:36Z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