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5.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1067CA1E-ED59-4041-9915-D63D50787979}" xr6:coauthVersionLast="47" xr6:coauthVersionMax="47" xr10:uidLastSave="{00000000-0000-0000-0000-000000000000}"/>
  <bookViews>
    <workbookView xWindow="-27735" yWindow="720" windowWidth="26220" windowHeight="12705" firstSheet="5" activeTab="5" xr2:uid="{00000000-000D-0000-FFFF-FFFF00000000}"/>
  </bookViews>
  <sheets>
    <sheet name="Log" sheetId="47" state="hidden" r:id="rId1"/>
    <sheet name="List Options" sheetId="31" state="hidden" r:id="rId2"/>
    <sheet name="Revision History" sheetId="58" r:id="rId3"/>
    <sheet name="Usage" sheetId="56" r:id="rId4"/>
    <sheet name="Cross-IP trackingHowTo" sheetId="60" r:id="rId5"/>
    <sheet name="Diags Raw Data" sheetId="53" r:id="rId6"/>
    <sheet name="Feature Raw Data" sheetId="52" r:id="rId7"/>
    <sheet name="Feature Summary" sheetId="55" r:id="rId8"/>
    <sheet name="Progress (WIP)" sheetId="26" state="hidden" r:id="rId9"/>
    <sheet name="Sub-IP Block Summary" sheetId="59" r:id="rId10"/>
    <sheet name="Progress" sheetId="51" r:id="rId11"/>
    <sheet name="Coverage Plan" sheetId="57" state="hidden" r:id="rId12"/>
  </sheets>
  <definedNames>
    <definedName name="_xlnm._FilterDatabase" localSheetId="5" hidden="1">'Diags Raw Data'!$A$5:$AH$35</definedName>
    <definedName name="_xlnm._FilterDatabase" localSheetId="6" hidden="1">'Feature Raw Data'!$A$2:$E$86</definedName>
    <definedName name="_xlnm._FilterDatabase" localSheetId="7" hidden="1">'Feature Summary'!$A$6:$U$49</definedName>
    <definedName name="DataRange1" localSheetId="4">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5"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G8" i="53" l="1"/>
  <c r="S8" i="53"/>
  <c r="X8" i="53" s="1"/>
  <c r="S9" i="53"/>
  <c r="S10" i="53"/>
  <c r="S11" i="53"/>
  <c r="S12" i="53"/>
  <c r="S13" i="53"/>
  <c r="S14" i="53"/>
  <c r="S15" i="53"/>
  <c r="S16" i="53"/>
  <c r="X16" i="53" s="1"/>
  <c r="S17" i="53"/>
  <c r="S18" i="53"/>
  <c r="S19" i="53"/>
  <c r="X19" i="53" s="1"/>
  <c r="S20" i="53"/>
  <c r="X20" i="53" s="1"/>
  <c r="S21" i="53"/>
  <c r="X21" i="53" s="1"/>
  <c r="S22" i="53"/>
  <c r="X22" i="53" s="1"/>
  <c r="S23" i="53"/>
  <c r="S24" i="53"/>
  <c r="X24" i="53" s="1"/>
  <c r="S25" i="53"/>
  <c r="S26" i="53"/>
  <c r="S27" i="53"/>
  <c r="S28" i="53"/>
  <c r="S29" i="53"/>
  <c r="AG9" i="53"/>
  <c r="AG10" i="53"/>
  <c r="AG11" i="53"/>
  <c r="AG12" i="53"/>
  <c r="AG13" i="53"/>
  <c r="AG14" i="53"/>
  <c r="AG15" i="53"/>
  <c r="AG16" i="53"/>
  <c r="AG17" i="53"/>
  <c r="AG18" i="53"/>
  <c r="AG19" i="53"/>
  <c r="AG20" i="53"/>
  <c r="AG21" i="53"/>
  <c r="AG22" i="53"/>
  <c r="AG23" i="53"/>
  <c r="AG24" i="53"/>
  <c r="AG25" i="53"/>
  <c r="X23" i="53"/>
  <c r="X25" i="53"/>
  <c r="D24" i="55" a="1"/>
  <c r="D24" i="55" s="1"/>
  <c r="K24" i="55" s="1" a="1"/>
  <c r="K24" i="55" s="1"/>
  <c r="S7" i="53"/>
  <c r="X7" i="53" s="1"/>
  <c r="P7" i="53"/>
  <c r="Z23" i="53"/>
  <c r="AE23" i="53" s="1"/>
  <c r="Z24" i="53"/>
  <c r="AE24" i="53" s="1"/>
  <c r="AG7" i="53"/>
  <c r="Z7" i="53"/>
  <c r="AE7" i="53" s="1"/>
  <c r="C7" i="55"/>
  <c r="G7" i="53" s="1"/>
  <c r="Z8" i="53"/>
  <c r="AE8" i="53" s="1"/>
  <c r="P8" i="53"/>
  <c r="C8" i="55"/>
  <c r="G8" i="53" s="1"/>
  <c r="D7" i="55" a="1"/>
  <c r="D7" i="55" s="1"/>
  <c r="G7" i="55" s="1"/>
  <c r="AG26" i="53"/>
  <c r="AG27" i="53"/>
  <c r="Z19" i="53"/>
  <c r="Z20" i="53"/>
  <c r="AE20" i="53" s="1"/>
  <c r="Z21" i="53"/>
  <c r="AE21" i="53" s="1"/>
  <c r="Z22" i="53"/>
  <c r="AE22" i="53" s="1"/>
  <c r="Z25" i="53"/>
  <c r="AE25" i="53" s="1"/>
  <c r="Z26" i="53"/>
  <c r="AE26" i="53" s="1"/>
  <c r="P19" i="53"/>
  <c r="C24" i="55"/>
  <c r="G19" i="53" s="1"/>
  <c r="P25" i="53"/>
  <c r="P26" i="53"/>
  <c r="C35" i="55"/>
  <c r="G25" i="53"/>
  <c r="P24" i="53"/>
  <c r="D16" i="55" a="1"/>
  <c r="D16" i="55" s="1"/>
  <c r="D17" i="55" a="1"/>
  <c r="D17" i="55" s="1"/>
  <c r="D18" i="55" a="1"/>
  <c r="D18" i="55" s="1"/>
  <c r="K18" i="55" s="1" a="1"/>
  <c r="K18" i="55" s="1"/>
  <c r="D12" i="55" a="1"/>
  <c r="D12" i="55" s="1"/>
  <c r="D13" i="55" a="1"/>
  <c r="D13" i="55" s="1"/>
  <c r="G13" i="55" s="1"/>
  <c r="D14" i="55" a="1"/>
  <c r="D14" i="55" s="1"/>
  <c r="H14" i="55" s="1"/>
  <c r="C32" i="55"/>
  <c r="G24" i="53" s="1"/>
  <c r="D32" i="55" a="1"/>
  <c r="D32" i="55" s="1"/>
  <c r="H32" i="55" s="1"/>
  <c r="B38" i="55"/>
  <c r="C38" i="55"/>
  <c r="D38" i="55" a="1"/>
  <c r="D38" i="55" s="1"/>
  <c r="H38" i="55" s="1"/>
  <c r="E38" i="55"/>
  <c r="F38" i="55"/>
  <c r="I38" i="55"/>
  <c r="J38" i="55"/>
  <c r="R38" i="55" s="1"/>
  <c r="T38" i="55" s="1"/>
  <c r="R35" i="53"/>
  <c r="M39" i="55" a="1"/>
  <c r="M39" i="55" s="1"/>
  <c r="O39" i="55" s="1"/>
  <c r="U35" i="53"/>
  <c r="P38" i="55"/>
  <c r="S38" i="55" s="1"/>
  <c r="Q38" i="55"/>
  <c r="D8" i="55" a="1"/>
  <c r="D8" i="55" s="1"/>
  <c r="H8" i="55" s="1"/>
  <c r="D9" i="55" a="1"/>
  <c r="D9" i="55" s="1"/>
  <c r="G9" i="55" s="1"/>
  <c r="D10" i="55" a="1"/>
  <c r="D10" i="55" s="1"/>
  <c r="H10" i="55" s="1"/>
  <c r="D11" i="55" a="1"/>
  <c r="D11" i="55" s="1"/>
  <c r="L35" i="53"/>
  <c r="J11" i="55"/>
  <c r="K35" i="53"/>
  <c r="N35" i="53" s="1"/>
  <c r="K2" i="55" s="1"/>
  <c r="D15" i="55" a="1"/>
  <c r="D15" i="55" s="1"/>
  <c r="H15" i="55" s="1"/>
  <c r="D19" i="55" a="1"/>
  <c r="D19" i="55" s="1"/>
  <c r="H19" i="55" s="1"/>
  <c r="D20" i="55" a="1"/>
  <c r="D20" i="55" s="1"/>
  <c r="L20" i="55" s="1" a="1"/>
  <c r="L20" i="55" s="1"/>
  <c r="D21" i="55" a="1"/>
  <c r="D21" i="55" s="1"/>
  <c r="K21" i="55" s="1" a="1"/>
  <c r="D22" i="55" a="1"/>
  <c r="D22" i="55" s="1"/>
  <c r="G22" i="55" s="1"/>
  <c r="D23" i="55" a="1"/>
  <c r="D23" i="55" s="1"/>
  <c r="G23" i="55" s="1"/>
  <c r="P22" i="53"/>
  <c r="P16" i="53"/>
  <c r="P13" i="53"/>
  <c r="P12" i="53"/>
  <c r="P2" i="53" s="1"/>
  <c r="P17" i="53"/>
  <c r="P10" i="53"/>
  <c r="P11" i="53"/>
  <c r="P9" i="53"/>
  <c r="P14" i="53"/>
  <c r="P15" i="53"/>
  <c r="P18" i="53"/>
  <c r="P20" i="53"/>
  <c r="P21" i="53"/>
  <c r="P23" i="53"/>
  <c r="P27" i="53"/>
  <c r="P28" i="53"/>
  <c r="P29" i="53"/>
  <c r="J24" i="55"/>
  <c r="D25" i="55" a="1"/>
  <c r="D25" i="55" s="1"/>
  <c r="D26" i="55" a="1"/>
  <c r="D26" i="55" s="1"/>
  <c r="D27" i="55" a="1"/>
  <c r="D27" i="55" s="1"/>
  <c r="D28" i="55" a="1"/>
  <c r="D28" i="55" s="1"/>
  <c r="H28" i="55" s="1"/>
  <c r="D29" i="55" a="1"/>
  <c r="D29" i="55" s="1"/>
  <c r="H29" i="55" s="1"/>
  <c r="D30" i="55" a="1"/>
  <c r="D30" i="55" s="1"/>
  <c r="D31" i="55" a="1"/>
  <c r="D31" i="55" s="1"/>
  <c r="D33" i="55" a="1"/>
  <c r="D33" i="55" s="1"/>
  <c r="G33" i="55" s="1"/>
  <c r="D34" i="55" a="1"/>
  <c r="D34" i="55" s="1"/>
  <c r="G34" i="55" s="1"/>
  <c r="D35" i="55" a="1"/>
  <c r="D35" i="55" s="1"/>
  <c r="D36" i="55" a="1"/>
  <c r="D36" i="55" s="1"/>
  <c r="H36" i="55" s="1"/>
  <c r="D37" i="55" a="1"/>
  <c r="D37" i="55" s="1"/>
  <c r="G37" i="55" s="1"/>
  <c r="D39" i="55" a="1"/>
  <c r="D39" i="55" s="1"/>
  <c r="L39" i="55" s="1" a="1"/>
  <c r="L39" i="55" s="1"/>
  <c r="D40" i="55" a="1"/>
  <c r="D40" i="55" s="1"/>
  <c r="G40" i="55" s="1"/>
  <c r="D41" i="55" a="1"/>
  <c r="D41" i="55" s="1"/>
  <c r="B10" i="55"/>
  <c r="B7" i="55"/>
  <c r="B4" i="59"/>
  <c r="F4" i="59" s="1"/>
  <c r="O35" i="53"/>
  <c r="K2" i="53"/>
  <c r="K34" i="59"/>
  <c r="C13" i="59"/>
  <c r="C18" i="59"/>
  <c r="I7" i="55"/>
  <c r="D41" i="59"/>
  <c r="D34" i="59"/>
  <c r="D35" i="59"/>
  <c r="D36" i="59"/>
  <c r="D37" i="59"/>
  <c r="D38" i="59"/>
  <c r="D39" i="59"/>
  <c r="D40" i="59"/>
  <c r="D33" i="59"/>
  <c r="D32" i="59"/>
  <c r="D27" i="59"/>
  <c r="D18" i="59"/>
  <c r="D28" i="59" s="1"/>
  <c r="D19" i="59"/>
  <c r="D20" i="59"/>
  <c r="D21" i="59"/>
  <c r="D22" i="59"/>
  <c r="D23" i="59"/>
  <c r="D24" i="59"/>
  <c r="D25" i="59"/>
  <c r="D26" i="59"/>
  <c r="J30" i="55"/>
  <c r="D13" i="59"/>
  <c r="D6" i="59"/>
  <c r="D7" i="59"/>
  <c r="D14" i="59" s="1"/>
  <c r="D8" i="59"/>
  <c r="D9" i="59"/>
  <c r="D10" i="59"/>
  <c r="D11" i="59"/>
  <c r="D12" i="59"/>
  <c r="D5" i="59"/>
  <c r="D4" i="59"/>
  <c r="E8" i="59"/>
  <c r="I8" i="55"/>
  <c r="X15" i="53"/>
  <c r="AD2" i="53"/>
  <c r="AC2" i="53"/>
  <c r="AB2" i="53"/>
  <c r="AA2" i="53"/>
  <c r="W2" i="53"/>
  <c r="V2" i="53"/>
  <c r="U2" i="53"/>
  <c r="R2" i="53"/>
  <c r="O2" i="53"/>
  <c r="L2" i="53"/>
  <c r="S13" i="59"/>
  <c r="R13" i="59"/>
  <c r="Q13" i="59"/>
  <c r="P13" i="59"/>
  <c r="K13" i="59"/>
  <c r="J13" i="59"/>
  <c r="I13" i="59"/>
  <c r="H13" i="59"/>
  <c r="E13" i="59"/>
  <c r="B13" i="59"/>
  <c r="V13" i="59" s="1"/>
  <c r="F13" i="59"/>
  <c r="S12" i="59"/>
  <c r="R12" i="59"/>
  <c r="Q12" i="59"/>
  <c r="P12" i="59"/>
  <c r="K12" i="59"/>
  <c r="J12" i="59"/>
  <c r="I12" i="59"/>
  <c r="H12" i="59"/>
  <c r="E12" i="59"/>
  <c r="C12" i="59"/>
  <c r="L12" i="59" s="1"/>
  <c r="B12" i="59"/>
  <c r="T12" i="59" s="1"/>
  <c r="S11" i="59"/>
  <c r="R11" i="59"/>
  <c r="Q11" i="59"/>
  <c r="P11" i="59"/>
  <c r="K11" i="59"/>
  <c r="J11" i="59"/>
  <c r="I11" i="59"/>
  <c r="H11" i="59"/>
  <c r="E11" i="59"/>
  <c r="C11" i="59"/>
  <c r="L11" i="59" s="1"/>
  <c r="B11" i="59"/>
  <c r="T11" i="59" s="1"/>
  <c r="S10" i="59"/>
  <c r="R10" i="59"/>
  <c r="Q10" i="59"/>
  <c r="P10" i="59"/>
  <c r="K10" i="59"/>
  <c r="J10" i="59"/>
  <c r="I10" i="59"/>
  <c r="H10" i="59"/>
  <c r="E10" i="59"/>
  <c r="C10" i="59"/>
  <c r="B10" i="59"/>
  <c r="T10" i="59" s="1"/>
  <c r="S9" i="59"/>
  <c r="R9" i="59"/>
  <c r="Q9" i="59"/>
  <c r="P9" i="59"/>
  <c r="K9" i="59"/>
  <c r="K4" i="59"/>
  <c r="K5" i="59"/>
  <c r="K6" i="59"/>
  <c r="K7" i="59"/>
  <c r="K8" i="59"/>
  <c r="J9" i="59"/>
  <c r="I9" i="59"/>
  <c r="H9" i="59"/>
  <c r="E9" i="59"/>
  <c r="C9" i="59"/>
  <c r="L9" i="59" s="1"/>
  <c r="B9" i="59"/>
  <c r="T9" i="59" s="1"/>
  <c r="S8" i="59"/>
  <c r="R8" i="59"/>
  <c r="Q8" i="59"/>
  <c r="Q4" i="59"/>
  <c r="Q5" i="59"/>
  <c r="Q6" i="59"/>
  <c r="Q7" i="59"/>
  <c r="P8" i="59"/>
  <c r="J8" i="59"/>
  <c r="I8" i="59"/>
  <c r="H8" i="59"/>
  <c r="C8" i="59"/>
  <c r="N8" i="59" s="1"/>
  <c r="B8" i="59"/>
  <c r="F8" i="59"/>
  <c r="S7" i="59"/>
  <c r="R7" i="59"/>
  <c r="P7" i="59"/>
  <c r="J7" i="59"/>
  <c r="I7" i="59"/>
  <c r="H7" i="59"/>
  <c r="E7" i="59"/>
  <c r="C7" i="59"/>
  <c r="L7" i="59" s="1"/>
  <c r="B7" i="59"/>
  <c r="F7" i="59" s="1"/>
  <c r="S6" i="59"/>
  <c r="R6" i="59"/>
  <c r="P6" i="59"/>
  <c r="J6" i="59"/>
  <c r="I6" i="59"/>
  <c r="H6" i="59"/>
  <c r="E6" i="59"/>
  <c r="E4" i="59"/>
  <c r="E5" i="59"/>
  <c r="C6" i="59"/>
  <c r="N6" i="59" s="1"/>
  <c r="B6" i="59"/>
  <c r="F6" i="59" s="1"/>
  <c r="S5" i="59"/>
  <c r="R5" i="59"/>
  <c r="P5" i="59"/>
  <c r="J5" i="59"/>
  <c r="J4" i="59"/>
  <c r="I5" i="59"/>
  <c r="H5" i="59"/>
  <c r="C5" i="59"/>
  <c r="L5" i="59" s="1"/>
  <c r="B5" i="59"/>
  <c r="F5" i="59" s="1"/>
  <c r="S4" i="59"/>
  <c r="R4" i="59"/>
  <c r="P4" i="59"/>
  <c r="I4" i="59"/>
  <c r="H4" i="59"/>
  <c r="C4" i="59"/>
  <c r="L4" i="59" s="1"/>
  <c r="I35" i="55"/>
  <c r="AG28" i="53"/>
  <c r="AG29" i="53"/>
  <c r="J15" i="55"/>
  <c r="D42" i="55" a="1"/>
  <c r="D42" i="55" s="1"/>
  <c r="G42"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6" i="55"/>
  <c r="I37" i="55"/>
  <c r="I39" i="55"/>
  <c r="I40" i="55"/>
  <c r="I41" i="55"/>
  <c r="I42" i="55"/>
  <c r="I38" i="59"/>
  <c r="P38" i="59"/>
  <c r="Q9" i="55"/>
  <c r="Q10" i="55"/>
  <c r="S10" i="55" s="1"/>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9" i="55"/>
  <c r="Q40" i="55"/>
  <c r="Q41" i="55"/>
  <c r="Q42" i="55"/>
  <c r="Q8" i="55"/>
  <c r="Q7" i="55"/>
  <c r="J9" i="55"/>
  <c r="Z9" i="53"/>
  <c r="J10" i="55"/>
  <c r="R10" i="55" s="1"/>
  <c r="Z10" i="53"/>
  <c r="Z11" i="53"/>
  <c r="J12" i="55"/>
  <c r="Z12" i="53"/>
  <c r="P12" i="55"/>
  <c r="S12" i="55" s="1"/>
  <c r="J13" i="55"/>
  <c r="Z13" i="53"/>
  <c r="P13" i="55" s="1"/>
  <c r="J14" i="55"/>
  <c r="J16" i="55"/>
  <c r="J17" i="55"/>
  <c r="Z17" i="53"/>
  <c r="AE17" i="53" s="1"/>
  <c r="P17" i="55"/>
  <c r="S17" i="55" s="1"/>
  <c r="J18" i="55"/>
  <c r="R18" i="55" s="1"/>
  <c r="J19" i="55"/>
  <c r="R19" i="55" s="1"/>
  <c r="J20" i="55"/>
  <c r="R20" i="55" s="1"/>
  <c r="J21" i="55"/>
  <c r="R21" i="55" s="1"/>
  <c r="J22" i="55"/>
  <c r="R22" i="55" s="1"/>
  <c r="Z18" i="53"/>
  <c r="P22" i="55" s="1"/>
  <c r="J23" i="55"/>
  <c r="R23" i="55" s="1"/>
  <c r="J25" i="55"/>
  <c r="R25" i="55" s="1"/>
  <c r="J26" i="55"/>
  <c r="P26" i="55"/>
  <c r="J27" i="55"/>
  <c r="R27" i="55" s="1"/>
  <c r="J28" i="55"/>
  <c r="R28" i="55" s="1"/>
  <c r="P28" i="55"/>
  <c r="S28" i="55" s="1"/>
  <c r="J29" i="55"/>
  <c r="J31" i="55"/>
  <c r="J32" i="55"/>
  <c r="J33" i="55"/>
  <c r="R33" i="55" s="1"/>
  <c r="J34" i="55"/>
  <c r="R34" i="55" s="1"/>
  <c r="T34" i="55" s="1"/>
  <c r="P34" i="55"/>
  <c r="S34" i="55" s="1"/>
  <c r="J35" i="55"/>
  <c r="J36" i="55"/>
  <c r="R36" i="55" s="1"/>
  <c r="J37" i="55"/>
  <c r="P37" i="55"/>
  <c r="S37" i="55" s="1"/>
  <c r="J39" i="55"/>
  <c r="R39" i="55" s="1"/>
  <c r="J40" i="55"/>
  <c r="J41" i="55"/>
  <c r="J42" i="55"/>
  <c r="J8" i="55"/>
  <c r="J7" i="55"/>
  <c r="R7" i="55"/>
  <c r="P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9" i="55"/>
  <c r="E40" i="55"/>
  <c r="E41" i="55"/>
  <c r="E42" i="55"/>
  <c r="E8" i="55"/>
  <c r="E7"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9" i="55"/>
  <c r="B40" i="55"/>
  <c r="B41" i="55"/>
  <c r="B42" i="55"/>
  <c r="B9" i="55"/>
  <c r="B11" i="55"/>
  <c r="B12" i="55"/>
  <c r="B8" i="55"/>
  <c r="F14" i="55"/>
  <c r="F20" i="55"/>
  <c r="F21" i="55"/>
  <c r="F26" i="55"/>
  <c r="F31" i="55"/>
  <c r="F35" i="55"/>
  <c r="F8" i="55"/>
  <c r="I3" i="52"/>
  <c r="F9" i="55"/>
  <c r="F10" i="55"/>
  <c r="F11" i="55"/>
  <c r="F12" i="55"/>
  <c r="F13" i="55"/>
  <c r="F15" i="55"/>
  <c r="F16" i="55"/>
  <c r="F17" i="55"/>
  <c r="F18" i="55"/>
  <c r="F19" i="55"/>
  <c r="F22" i="55"/>
  <c r="F23" i="55"/>
  <c r="F24" i="55"/>
  <c r="F25" i="55"/>
  <c r="F27" i="55"/>
  <c r="F28" i="55"/>
  <c r="F29" i="55"/>
  <c r="F30" i="55"/>
  <c r="F32" i="55"/>
  <c r="F33" i="55"/>
  <c r="F34" i="55"/>
  <c r="F36" i="55"/>
  <c r="F37" i="55"/>
  <c r="F39" i="55"/>
  <c r="F40" i="55"/>
  <c r="F41" i="55"/>
  <c r="F42" i="55"/>
  <c r="C15" i="55"/>
  <c r="G15" i="53" s="1"/>
  <c r="C16" i="55"/>
  <c r="G16" i="53" s="1"/>
  <c r="C17" i="55"/>
  <c r="G17" i="53" s="1"/>
  <c r="C18" i="55"/>
  <c r="C19" i="55"/>
  <c r="C20" i="55"/>
  <c r="C21" i="55"/>
  <c r="C22" i="55"/>
  <c r="G18" i="53"/>
  <c r="C23" i="55"/>
  <c r="C25" i="55"/>
  <c r="C26" i="55"/>
  <c r="G20" i="53"/>
  <c r="C27" i="55"/>
  <c r="C28" i="55"/>
  <c r="C29" i="55"/>
  <c r="G21" i="53" s="1"/>
  <c r="C30" i="55"/>
  <c r="G22" i="53" s="1"/>
  <c r="C31" i="55"/>
  <c r="G23" i="53" s="1"/>
  <c r="C33" i="55"/>
  <c r="C34" i="55"/>
  <c r="C36" i="55"/>
  <c r="C37" i="55"/>
  <c r="G26" i="53" s="1"/>
  <c r="C39" i="55"/>
  <c r="C40" i="55"/>
  <c r="G27" i="53"/>
  <c r="C41" i="55"/>
  <c r="G28" i="53" s="1"/>
  <c r="C42" i="55"/>
  <c r="C9" i="55"/>
  <c r="C10" i="55"/>
  <c r="G10" i="53" s="1"/>
  <c r="C11" i="55"/>
  <c r="G11" i="53" s="1"/>
  <c r="C12" i="55"/>
  <c r="G12" i="53"/>
  <c r="C13" i="55"/>
  <c r="G13" i="53" s="1"/>
  <c r="C14" i="55"/>
  <c r="G14" i="53"/>
  <c r="I13" i="52"/>
  <c r="I12" i="52"/>
  <c r="I11" i="52"/>
  <c r="I10" i="52"/>
  <c r="I9" i="52"/>
  <c r="I8" i="52"/>
  <c r="I7" i="52"/>
  <c r="I6" i="52"/>
  <c r="I5" i="52"/>
  <c r="I4" i="52"/>
  <c r="K21" i="59"/>
  <c r="I22" i="59"/>
  <c r="C21" i="59"/>
  <c r="L21" i="59" s="1"/>
  <c r="C41" i="59"/>
  <c r="L41" i="59" s="1"/>
  <c r="X9" i="53"/>
  <c r="B33" i="59"/>
  <c r="T33" i="59" s="1"/>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K18" i="59"/>
  <c r="J19"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35" i="53"/>
  <c r="AC35" i="53"/>
  <c r="AB35" i="53"/>
  <c r="AA35" i="53"/>
  <c r="W35" i="53"/>
  <c r="V35" i="53"/>
  <c r="T35" i="53"/>
  <c r="N28" i="55" s="1" a="1"/>
  <c r="N28" i="55" s="1"/>
  <c r="M33" i="55" a="1"/>
  <c r="M33" i="55" s="1"/>
  <c r="O33" i="55" s="1"/>
  <c r="M9" i="55" a="1"/>
  <c r="M9" i="55" s="1"/>
  <c r="M34" i="55" a="1"/>
  <c r="M34" i="55" s="1"/>
  <c r="O34" i="55" s="1"/>
  <c r="M10" i="55" a="1"/>
  <c r="M10" i="55" s="1"/>
  <c r="M7" i="55" a="1"/>
  <c r="M7" i="55" s="1"/>
  <c r="M11" i="55" a="1"/>
  <c r="M11" i="55" s="1"/>
  <c r="M15" i="55" a="1"/>
  <c r="M15" i="55" s="1"/>
  <c r="O15" i="55" s="1"/>
  <c r="M21" i="55" a="1"/>
  <c r="M21" i="55" s="1"/>
  <c r="O21" i="55" s="1"/>
  <c r="M36" i="55" a="1"/>
  <c r="M36" i="55" s="1"/>
  <c r="O36" i="55" s="1"/>
  <c r="M16" i="55" a="1"/>
  <c r="M16" i="55" s="1"/>
  <c r="M26" i="55" a="1"/>
  <c r="M26" i="55" s="1"/>
  <c r="M27" i="55" a="1"/>
  <c r="M27" i="55" s="1"/>
  <c r="O27" i="55" s="1"/>
  <c r="M28" i="55" a="1"/>
  <c r="M28" i="55" s="1"/>
  <c r="O28" i="55" s="1"/>
  <c r="M29" i="55" a="1"/>
  <c r="M29" i="55" s="1"/>
  <c r="P27" i="59"/>
  <c r="H32" i="59"/>
  <c r="C33" i="59"/>
  <c r="L33" i="59" s="1"/>
  <c r="C34" i="59"/>
  <c r="N34" i="59" s="1"/>
  <c r="C35" i="59"/>
  <c r="L35" i="59" s="1"/>
  <c r="C36" i="59"/>
  <c r="N36" i="59" s="1"/>
  <c r="C37" i="59"/>
  <c r="L37" i="59" s="1"/>
  <c r="C38" i="59"/>
  <c r="N38" i="59" s="1"/>
  <c r="C39" i="59"/>
  <c r="C40" i="59"/>
  <c r="C32" i="59"/>
  <c r="N32" i="59"/>
  <c r="C19" i="59"/>
  <c r="N19" i="59" s="1"/>
  <c r="C20" i="59"/>
  <c r="C22" i="59"/>
  <c r="N22" i="59" s="1"/>
  <c r="C23" i="59"/>
  <c r="L23" i="59" s="1"/>
  <c r="C24" i="59"/>
  <c r="N24" i="59"/>
  <c r="C25" i="59"/>
  <c r="L25" i="59" s="1"/>
  <c r="C26" i="59"/>
  <c r="L26" i="59" s="1"/>
  <c r="C27" i="59"/>
  <c r="L27" i="59" s="1"/>
  <c r="B32" i="59"/>
  <c r="F32" i="59" s="1"/>
  <c r="B18" i="59"/>
  <c r="V18" i="59" s="1"/>
  <c r="Q19" i="59"/>
  <c r="Q20" i="59"/>
  <c r="Q21" i="59"/>
  <c r="Q22" i="59"/>
  <c r="Q23" i="59"/>
  <c r="Q24" i="59"/>
  <c r="Q25" i="59"/>
  <c r="Q26" i="59"/>
  <c r="Q18" i="59"/>
  <c r="Q27" i="59"/>
  <c r="P19" i="59"/>
  <c r="P18" i="59"/>
  <c r="P20" i="59"/>
  <c r="P21" i="59"/>
  <c r="P22" i="59"/>
  <c r="P23" i="59"/>
  <c r="P24" i="59"/>
  <c r="P25" i="59"/>
  <c r="P26" i="59"/>
  <c r="I20" i="59"/>
  <c r="I21" i="59"/>
  <c r="I23" i="59"/>
  <c r="I24" i="59"/>
  <c r="I25" i="59"/>
  <c r="I26" i="59"/>
  <c r="I27" i="59"/>
  <c r="I28" i="59" s="1"/>
  <c r="I18" i="59"/>
  <c r="H19" i="59"/>
  <c r="H20" i="59"/>
  <c r="H21" i="59"/>
  <c r="H22" i="59"/>
  <c r="H23" i="59"/>
  <c r="H24" i="59"/>
  <c r="H25" i="59"/>
  <c r="H26" i="59"/>
  <c r="H27" i="59"/>
  <c r="H18" i="59"/>
  <c r="E19" i="59"/>
  <c r="E20" i="59"/>
  <c r="E21" i="59"/>
  <c r="E22" i="59"/>
  <c r="E23" i="59"/>
  <c r="E24" i="59"/>
  <c r="E25" i="59"/>
  <c r="E26" i="59"/>
  <c r="E27" i="59"/>
  <c r="E18" i="59"/>
  <c r="B19" i="59"/>
  <c r="T19" i="59" s="1"/>
  <c r="B22" i="59"/>
  <c r="F22" i="59" s="1"/>
  <c r="B20" i="59"/>
  <c r="T20" i="59" s="1"/>
  <c r="B21" i="59"/>
  <c r="T21" i="59" s="1"/>
  <c r="B23" i="59"/>
  <c r="V23" i="59" s="1"/>
  <c r="B24" i="59"/>
  <c r="F24" i="59" s="1"/>
  <c r="B25" i="59"/>
  <c r="T25" i="59" s="1"/>
  <c r="F25" i="59"/>
  <c r="B26" i="59"/>
  <c r="F26" i="59" s="1"/>
  <c r="B27" i="59"/>
  <c r="V27" i="59" s="1"/>
  <c r="E33" i="59"/>
  <c r="E42" i="59" s="1"/>
  <c r="E34" i="59"/>
  <c r="E35" i="59"/>
  <c r="E36" i="59"/>
  <c r="E37" i="59"/>
  <c r="E38" i="59"/>
  <c r="E39" i="59"/>
  <c r="E40" i="59"/>
  <c r="E41" i="59"/>
  <c r="Q33" i="59"/>
  <c r="Q34" i="59"/>
  <c r="Q35" i="59"/>
  <c r="Q36" i="59"/>
  <c r="Q37" i="59"/>
  <c r="Q38" i="59"/>
  <c r="Q39" i="59"/>
  <c r="Q40" i="59"/>
  <c r="Q41" i="59"/>
  <c r="Q32" i="59"/>
  <c r="Q42" i="59" s="1"/>
  <c r="P33" i="59"/>
  <c r="P34" i="59"/>
  <c r="P35" i="59"/>
  <c r="P32" i="59"/>
  <c r="P36" i="59"/>
  <c r="P37" i="59"/>
  <c r="P39" i="59"/>
  <c r="P40" i="59"/>
  <c r="P41" i="59"/>
  <c r="I33" i="59"/>
  <c r="I34" i="59"/>
  <c r="I35" i="59"/>
  <c r="I36" i="59"/>
  <c r="I37" i="59"/>
  <c r="I32" i="59"/>
  <c r="I39" i="59"/>
  <c r="I40" i="59"/>
  <c r="I41" i="59"/>
  <c r="H33" i="59"/>
  <c r="H34" i="59"/>
  <c r="H35" i="59"/>
  <c r="H36" i="59"/>
  <c r="H37" i="59"/>
  <c r="H38" i="59"/>
  <c r="H39" i="59"/>
  <c r="H40" i="59"/>
  <c r="H41" i="59"/>
  <c r="E32" i="59"/>
  <c r="B34" i="59"/>
  <c r="F34" i="59"/>
  <c r="B35" i="59"/>
  <c r="F35" i="59" s="1"/>
  <c r="B36" i="59"/>
  <c r="T36" i="59" s="1"/>
  <c r="B37" i="59"/>
  <c r="V37" i="59" s="1"/>
  <c r="B38" i="59"/>
  <c r="F38" i="59" s="1"/>
  <c r="T38" i="59"/>
  <c r="B39" i="59"/>
  <c r="F39" i="59" s="1"/>
  <c r="B40" i="59"/>
  <c r="T40" i="59" s="1"/>
  <c r="B41" i="59"/>
  <c r="G26" i="59"/>
  <c r="M26" i="59" s="1"/>
  <c r="X29" i="53"/>
  <c r="X28" i="53"/>
  <c r="X27" i="53"/>
  <c r="X26" i="53"/>
  <c r="G37" i="59"/>
  <c r="M37" i="59"/>
  <c r="X18" i="53"/>
  <c r="G20" i="59"/>
  <c r="M20" i="59" s="1"/>
  <c r="X17" i="53"/>
  <c r="X14" i="53"/>
  <c r="X13" i="53"/>
  <c r="X12" i="53"/>
  <c r="X11" i="53"/>
  <c r="X10" i="53"/>
  <c r="G18" i="59"/>
  <c r="M18" i="59" s="1"/>
  <c r="G41" i="59"/>
  <c r="M41" i="59" s="1"/>
  <c r="Z29" i="53"/>
  <c r="AE29" i="53" s="1"/>
  <c r="Z28" i="53"/>
  <c r="AE28" i="53" s="1"/>
  <c r="Z27" i="53"/>
  <c r="AE27" i="53" s="1"/>
  <c r="P36" i="55"/>
  <c r="S36" i="55"/>
  <c r="P29" i="55"/>
  <c r="P25" i="55"/>
  <c r="S25" i="55" s="1"/>
  <c r="O19" i="59"/>
  <c r="P20" i="55"/>
  <c r="S20" i="55" s="1"/>
  <c r="P19" i="55"/>
  <c r="S19" i="55" s="1"/>
  <c r="P18" i="55"/>
  <c r="S18" i="55"/>
  <c r="Z16" i="53"/>
  <c r="AE16" i="53" s="1"/>
  <c r="Z15" i="53"/>
  <c r="Z14" i="53"/>
  <c r="AE14" i="53" s="1"/>
  <c r="AE12" i="53"/>
  <c r="O18" i="59"/>
  <c r="O28" i="59" s="1"/>
  <c r="U28" i="59" s="1"/>
  <c r="C7" i="26"/>
  <c r="E2" i="26"/>
  <c r="AA14" i="26" s="1"/>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O22" i="59"/>
  <c r="U22" i="59"/>
  <c r="O41" i="59"/>
  <c r="U41" i="59" s="1"/>
  <c r="F7" i="55"/>
  <c r="O25" i="59"/>
  <c r="U25" i="59" s="1"/>
  <c r="O23" i="59"/>
  <c r="O20" i="59"/>
  <c r="O21" i="59"/>
  <c r="U21" i="59" s="1"/>
  <c r="O24" i="59"/>
  <c r="U24" i="59" s="1"/>
  <c r="O26" i="59"/>
  <c r="U26" i="59" s="1"/>
  <c r="O27" i="59"/>
  <c r="U27" i="59" s="1"/>
  <c r="G27" i="59"/>
  <c r="M27" i="59" s="1"/>
  <c r="O13" i="59"/>
  <c r="U13" i="59" s="1"/>
  <c r="G22" i="59"/>
  <c r="M22" i="59" s="1"/>
  <c r="O9" i="59"/>
  <c r="U9" i="59" s="1"/>
  <c r="O36" i="59"/>
  <c r="U36" i="59" s="1"/>
  <c r="P23" i="55"/>
  <c r="S23" i="55" s="1"/>
  <c r="G12" i="59"/>
  <c r="M12" i="59"/>
  <c r="G23" i="59"/>
  <c r="M23" i="59" s="1"/>
  <c r="G40" i="59"/>
  <c r="M40" i="59" s="1"/>
  <c r="G13" i="59"/>
  <c r="M13" i="59" s="1"/>
  <c r="I48" i="55"/>
  <c r="P35" i="55"/>
  <c r="S35" i="55" s="1"/>
  <c r="P33" i="55"/>
  <c r="S33" i="55" s="1"/>
  <c r="P8" i="55"/>
  <c r="S8" i="55" s="1"/>
  <c r="P39" i="55"/>
  <c r="S39" i="55" s="1"/>
  <c r="G9" i="53"/>
  <c r="G24" i="59"/>
  <c r="M24" i="59" s="1"/>
  <c r="O34" i="59"/>
  <c r="U34" i="59" s="1"/>
  <c r="G8" i="59"/>
  <c r="M8" i="59"/>
  <c r="G34" i="59"/>
  <c r="M34" i="59" s="1"/>
  <c r="G19" i="59"/>
  <c r="M19" i="59" s="1"/>
  <c r="G9" i="59"/>
  <c r="M9" i="59" s="1"/>
  <c r="P24" i="55"/>
  <c r="R24" i="55" s="1"/>
  <c r="G29" i="53"/>
  <c r="O6" i="59"/>
  <c r="U6" i="59" s="1"/>
  <c r="U20" i="59"/>
  <c r="G35" i="59"/>
  <c r="M35" i="59"/>
  <c r="O7" i="59"/>
  <c r="U7" i="59" s="1"/>
  <c r="O35" i="59"/>
  <c r="U35" i="59" s="1"/>
  <c r="O32" i="59"/>
  <c r="O33" i="59"/>
  <c r="U33" i="59" s="1"/>
  <c r="O37" i="59"/>
  <c r="O38" i="59"/>
  <c r="U38" i="59" s="1"/>
  <c r="O39" i="59"/>
  <c r="U39" i="59"/>
  <c r="O40" i="59"/>
  <c r="U40" i="59" s="1"/>
  <c r="O12" i="59"/>
  <c r="U12" i="59" s="1"/>
  <c r="G11" i="59"/>
  <c r="M11" i="59" s="1"/>
  <c r="O5" i="59"/>
  <c r="U5" i="59" s="1"/>
  <c r="G33" i="59"/>
  <c r="M33" i="59" s="1"/>
  <c r="P21" i="55"/>
  <c r="S21" i="55" s="1"/>
  <c r="O11" i="59"/>
  <c r="U11" i="59" s="1"/>
  <c r="G39" i="59"/>
  <c r="M39" i="59" s="1"/>
  <c r="G21" i="59"/>
  <c r="M21" i="59" s="1"/>
  <c r="G36" i="59"/>
  <c r="M36" i="59" s="1"/>
  <c r="G10" i="59"/>
  <c r="M10" i="59" s="1"/>
  <c r="O10" i="59"/>
  <c r="U10" i="59" s="1"/>
  <c r="G38" i="59"/>
  <c r="M38" i="59"/>
  <c r="G32" i="59"/>
  <c r="M32" i="59" s="1"/>
  <c r="G6" i="59"/>
  <c r="M6" i="59"/>
  <c r="P27" i="55"/>
  <c r="S27" i="55" s="1"/>
  <c r="G7" i="59"/>
  <c r="M7" i="59" s="1"/>
  <c r="O4" i="59"/>
  <c r="O8" i="59"/>
  <c r="U8" i="59" s="1"/>
  <c r="G4" i="59"/>
  <c r="M4" i="59" s="1"/>
  <c r="G25" i="59"/>
  <c r="M25" i="59"/>
  <c r="P32" i="55"/>
  <c r="S32" i="55" s="1"/>
  <c r="G5" i="59"/>
  <c r="P31" i="55"/>
  <c r="S31" i="55" s="1"/>
  <c r="U37" i="59"/>
  <c r="T2" i="53"/>
  <c r="K19" i="55" a="1"/>
  <c r="K19" i="55" s="1"/>
  <c r="J2" i="55"/>
  <c r="J48" i="55"/>
  <c r="F12" i="59"/>
  <c r="AE19" i="53"/>
  <c r="V40" i="59"/>
  <c r="N21" i="55" a="1"/>
  <c r="N21" i="55" s="1"/>
  <c r="N8" i="55" a="1"/>
  <c r="N8" i="55" s="1"/>
  <c r="V34" i="59"/>
  <c r="T34" i="59"/>
  <c r="G19" i="55"/>
  <c r="N34" i="55" a="1"/>
  <c r="N34" i="55" s="1"/>
  <c r="G24" i="55"/>
  <c r="AD14" i="26"/>
  <c r="I2" i="55"/>
  <c r="U14" i="26"/>
  <c r="L19" i="59"/>
  <c r="D12" i="26"/>
  <c r="U12" i="26"/>
  <c r="U18" i="59"/>
  <c r="N27" i="59"/>
  <c r="T8" i="59"/>
  <c r="V8" i="59"/>
  <c r="K12" i="26"/>
  <c r="N20" i="55" a="1"/>
  <c r="N20" i="55" s="1"/>
  <c r="G16" i="55"/>
  <c r="F9" i="59"/>
  <c r="H7" i="55"/>
  <c r="T39" i="59"/>
  <c r="T5" i="59"/>
  <c r="B42" i="59"/>
  <c r="V42" i="59" s="1"/>
  <c r="K48" i="55"/>
  <c r="U23" i="59"/>
  <c r="V9" i="59"/>
  <c r="T26" i="59"/>
  <c r="V6" i="59"/>
  <c r="D7" i="26"/>
  <c r="D6" i="26"/>
  <c r="H21" i="55"/>
  <c r="N7" i="59"/>
  <c r="F11" i="59"/>
  <c r="V11" i="59"/>
  <c r="L19" i="55" a="1"/>
  <c r="L19" i="55" s="1"/>
  <c r="G17" i="55"/>
  <c r="N29" i="55" a="1"/>
  <c r="N29" i="55" s="1"/>
  <c r="N10" i="55" a="1"/>
  <c r="N10" i="55" s="1"/>
  <c r="N13" i="55" a="1"/>
  <c r="N13" i="55" s="1"/>
  <c r="N17" i="55" a="1"/>
  <c r="N17" i="55" s="1"/>
  <c r="F41" i="59"/>
  <c r="H12" i="26"/>
  <c r="AF14" i="26"/>
  <c r="P10" i="55"/>
  <c r="P15" i="55"/>
  <c r="R15" i="55" s="1"/>
  <c r="AE15" i="53"/>
  <c r="F23" i="59"/>
  <c r="T23" i="59"/>
  <c r="N23" i="55" a="1"/>
  <c r="N23" i="55" s="1"/>
  <c r="N18" i="55" a="1"/>
  <c r="N18" i="55" s="1"/>
  <c r="N16" i="55" a="1"/>
  <c r="N16" i="55" s="1"/>
  <c r="N12" i="55" a="1"/>
  <c r="N12" i="55" s="1"/>
  <c r="N36" i="55" a="1"/>
  <c r="N36" i="55" s="1"/>
  <c r="N22" i="55" a="1"/>
  <c r="N22" i="55" s="1"/>
  <c r="N41" i="55" a="1"/>
  <c r="N41" i="55" s="1"/>
  <c r="P16" i="55"/>
  <c r="S16" i="55" s="1"/>
  <c r="M30" i="55" a="1"/>
  <c r="M30" i="55"/>
  <c r="H42" i="59"/>
  <c r="M24" i="55" a="1"/>
  <c r="M24" i="55" s="1"/>
  <c r="T35" i="59"/>
  <c r="M31" i="55" a="1"/>
  <c r="M31" i="55" s="1"/>
  <c r="M48" i="55"/>
  <c r="K32" i="55" a="1"/>
  <c r="K32" i="55" s="1"/>
  <c r="G32" i="55"/>
  <c r="N18" i="59"/>
  <c r="L18" i="59"/>
  <c r="K7" i="55" a="1"/>
  <c r="K7" i="55" s="1"/>
  <c r="T13" i="59"/>
  <c r="V7" i="59"/>
  <c r="N32" i="55" a="1"/>
  <c r="N32" i="55" s="1"/>
  <c r="S13" i="55"/>
  <c r="S14" i="59"/>
  <c r="K21" i="55"/>
  <c r="L24" i="59"/>
  <c r="U19" i="59"/>
  <c r="N5" i="59"/>
  <c r="N14" i="55" a="1"/>
  <c r="N14" i="55" s="1"/>
  <c r="R8" i="55"/>
  <c r="V19" i="59"/>
  <c r="F40" i="59"/>
  <c r="D42" i="59"/>
  <c r="AE10" i="53"/>
  <c r="N26" i="59"/>
  <c r="M18" i="55" a="1"/>
  <c r="M18" i="55" s="1"/>
  <c r="O18" i="55" s="1"/>
  <c r="M32" i="55" a="1"/>
  <c r="M32" i="55" s="1"/>
  <c r="M2" i="55"/>
  <c r="M8" i="55" a="1"/>
  <c r="M8" i="55" s="1"/>
  <c r="M38" i="55" a="1"/>
  <c r="M38" i="55" s="1"/>
  <c r="O38" i="55" s="1"/>
  <c r="M17" i="55" a="1"/>
  <c r="M17" i="55" s="1"/>
  <c r="O17" i="55" s="1"/>
  <c r="M37" i="55" a="1"/>
  <c r="M37" i="55" s="1"/>
  <c r="M19" i="55" a="1"/>
  <c r="M19" i="55" s="1"/>
  <c r="O19" i="55" s="1"/>
  <c r="M40" i="55" a="1"/>
  <c r="M40" i="55" s="1"/>
  <c r="M42" i="55" a="1"/>
  <c r="M42" i="55" s="1"/>
  <c r="M20" i="55" a="1"/>
  <c r="M20" i="55" s="1"/>
  <c r="O20" i="55" s="1"/>
  <c r="M35" i="55" a="1"/>
  <c r="M35" i="55" s="1"/>
  <c r="M22" i="55" a="1"/>
  <c r="M22" i="55" s="1"/>
  <c r="M41" i="55" a="1"/>
  <c r="M41" i="55" s="1"/>
  <c r="M14" i="55" a="1"/>
  <c r="M14" i="55" s="1"/>
  <c r="M25" i="55" a="1"/>
  <c r="M25" i="55" s="1"/>
  <c r="O25" i="55" s="1"/>
  <c r="M12" i="55" a="1"/>
  <c r="M12" i="55" s="1"/>
  <c r="O12" i="55" s="1"/>
  <c r="M23" i="55" a="1"/>
  <c r="M23" i="55" s="1"/>
  <c r="O23" i="55" s="1"/>
  <c r="M13" i="55" a="1"/>
  <c r="M13" i="55" s="1"/>
  <c r="E7" i="26"/>
  <c r="E6" i="26" s="1"/>
  <c r="AE11" i="53"/>
  <c r="P11" i="55"/>
  <c r="S11" i="55" s="1"/>
  <c r="T18" i="59"/>
  <c r="U4" i="59"/>
  <c r="W14" i="26"/>
  <c r="V38" i="59"/>
  <c r="Y14" i="26"/>
  <c r="F12" i="26"/>
  <c r="AK14" i="26"/>
  <c r="S15" i="55"/>
  <c r="F7" i="26"/>
  <c r="F6" i="26" s="1"/>
  <c r="D8" i="57"/>
  <c r="D7" i="57"/>
  <c r="D6" i="57"/>
  <c r="D11" i="57"/>
  <c r="D5" i="57"/>
  <c r="D9" i="57"/>
  <c r="D10" i="57"/>
  <c r="D12" i="57"/>
  <c r="T10" i="55" l="1"/>
  <c r="N25" i="55" a="1"/>
  <c r="N25" i="55" s="1"/>
  <c r="N27" i="55" a="1"/>
  <c r="N27" i="55" s="1"/>
  <c r="L34" i="59"/>
  <c r="R42" i="59"/>
  <c r="N9" i="55" a="1"/>
  <c r="N9" i="55" s="1"/>
  <c r="O9" i="55" s="1"/>
  <c r="N41" i="59"/>
  <c r="E28" i="59"/>
  <c r="T33" i="55"/>
  <c r="Z35" i="53"/>
  <c r="R14" i="59"/>
  <c r="F21" i="59"/>
  <c r="N11" i="55" a="1"/>
  <c r="N11" i="55" s="1"/>
  <c r="O11" i="55" s="1"/>
  <c r="N42" i="55" a="1"/>
  <c r="N42" i="55" s="1"/>
  <c r="O42" i="55" s="1"/>
  <c r="T6" i="59"/>
  <c r="N30" i="55" a="1"/>
  <c r="N30" i="55" s="1"/>
  <c r="O30" i="55" s="1"/>
  <c r="J28" i="59"/>
  <c r="P30" i="55"/>
  <c r="R30" i="55" s="1"/>
  <c r="N25" i="59"/>
  <c r="T8" i="55"/>
  <c r="C14" i="59"/>
  <c r="L14" i="59" s="1"/>
  <c r="O14" i="59"/>
  <c r="U14" i="59" s="1"/>
  <c r="G14" i="59"/>
  <c r="M14" i="59" s="1"/>
  <c r="C28" i="59"/>
  <c r="N28" i="59" s="1"/>
  <c r="O14" i="55"/>
  <c r="R11" i="55"/>
  <c r="T11" i="55" s="1"/>
  <c r="N31" i="55" a="1"/>
  <c r="N31" i="55" s="1"/>
  <c r="O31" i="55" s="1"/>
  <c r="T37" i="59"/>
  <c r="Q2" i="55"/>
  <c r="S28" i="59"/>
  <c r="N12" i="59"/>
  <c r="Q28" i="59"/>
  <c r="G28" i="59"/>
  <c r="M28" i="59" s="1"/>
  <c r="S26" i="55"/>
  <c r="C42" i="59"/>
  <c r="O8" i="55"/>
  <c r="N48" i="55"/>
  <c r="O48" i="55" s="1"/>
  <c r="T18" i="55"/>
  <c r="N7" i="55" a="1"/>
  <c r="N7" i="55" s="1"/>
  <c r="L38" i="59"/>
  <c r="O42" i="59"/>
  <c r="U42" i="59" s="1"/>
  <c r="N19" i="55" a="1"/>
  <c r="N19" i="55" s="1"/>
  <c r="N26" i="55" a="1"/>
  <c r="N26" i="55" s="1"/>
  <c r="O26" i="55" s="1"/>
  <c r="P14" i="55"/>
  <c r="S14" i="55" s="1"/>
  <c r="V25" i="59"/>
  <c r="F18" i="59"/>
  <c r="R13" i="55"/>
  <c r="T13" i="55" s="1"/>
  <c r="N15" i="55" a="1"/>
  <c r="N15" i="55" s="1"/>
  <c r="K31" i="55" a="1"/>
  <c r="K31" i="55" s="1"/>
  <c r="N2" i="55"/>
  <c r="L32" i="59"/>
  <c r="N24" i="55" a="1"/>
  <c r="N24" i="55" s="1"/>
  <c r="O24" i="55" s="1"/>
  <c r="N37" i="55" a="1"/>
  <c r="N37" i="55" s="1"/>
  <c r="O37" i="55" s="1"/>
  <c r="N4" i="59"/>
  <c r="T32" i="59"/>
  <c r="R37" i="55"/>
  <c r="T37" i="55" s="1"/>
  <c r="S35" i="53"/>
  <c r="X35" i="53" s="1"/>
  <c r="I42" i="59"/>
  <c r="T36" i="55"/>
  <c r="R12" i="55"/>
  <c r="T12" i="55" s="1"/>
  <c r="S2" i="53"/>
  <c r="P28" i="59"/>
  <c r="K13" i="55" a="1"/>
  <c r="K13" i="55" s="1"/>
  <c r="K34" i="55" a="1"/>
  <c r="K34" i="55" s="1"/>
  <c r="H22" i="55"/>
  <c r="K42" i="55" a="1"/>
  <c r="K42" i="55" s="1"/>
  <c r="K29" i="55" a="1"/>
  <c r="K29" i="55" s="1"/>
  <c r="G29" i="55"/>
  <c r="K25" i="55" a="1"/>
  <c r="K25" i="55" s="1"/>
  <c r="L25" i="55" a="1"/>
  <c r="L25" i="55" s="1"/>
  <c r="G25" i="55"/>
  <c r="H25" i="55"/>
  <c r="H35" i="55"/>
  <c r="G35" i="55"/>
  <c r="L28" i="55" a="1"/>
  <c r="L28" i="55" s="1"/>
  <c r="K8" i="55" a="1"/>
  <c r="K8" i="55" s="1"/>
  <c r="K39" i="55" a="1"/>
  <c r="K39" i="55" s="1"/>
  <c r="H23" i="55"/>
  <c r="H37" i="55"/>
  <c r="K35" i="55" a="1"/>
  <c r="K35" i="55" s="1"/>
  <c r="K41" i="55" a="1"/>
  <c r="K41" i="55" s="1"/>
  <c r="H41" i="55"/>
  <c r="G41" i="55"/>
  <c r="K12" i="55" a="1"/>
  <c r="K12" i="55" s="1"/>
  <c r="H12" i="55"/>
  <c r="G12" i="55"/>
  <c r="AE35" i="53"/>
  <c r="P48" i="55"/>
  <c r="R2" i="55" s="1"/>
  <c r="P2" i="55"/>
  <c r="AE2" i="53"/>
  <c r="T27" i="55"/>
  <c r="L42" i="59"/>
  <c r="N42" i="59"/>
  <c r="G27" i="55"/>
  <c r="L27" i="55" a="1"/>
  <c r="L27" i="55" s="1"/>
  <c r="K26" i="55" a="1"/>
  <c r="K26" i="55" s="1"/>
  <c r="H26" i="55"/>
  <c r="K30" i="55" a="1"/>
  <c r="K30" i="55" s="1"/>
  <c r="H30" i="55"/>
  <c r="L40" i="55" a="1"/>
  <c r="L40" i="55" s="1"/>
  <c r="V20" i="59"/>
  <c r="T15" i="55"/>
  <c r="L37" i="55" a="1"/>
  <c r="L37" i="55" s="1"/>
  <c r="H18" i="55"/>
  <c r="M5" i="59"/>
  <c r="N11" i="59"/>
  <c r="F20" i="59"/>
  <c r="L20" i="59"/>
  <c r="R35" i="55"/>
  <c r="T35" i="55" s="1"/>
  <c r="T4" i="59"/>
  <c r="T42" i="59"/>
  <c r="F37" i="59"/>
  <c r="U32" i="59"/>
  <c r="V22" i="59"/>
  <c r="O13" i="55"/>
  <c r="N20" i="59"/>
  <c r="H42" i="55"/>
  <c r="L21" i="55" a="1"/>
  <c r="L21" i="55" s="1"/>
  <c r="N40" i="55" a="1"/>
  <c r="N40" i="55" s="1"/>
  <c r="O40" i="55" s="1"/>
  <c r="K37" i="55" a="1"/>
  <c r="K37" i="55" s="1"/>
  <c r="H39" i="55"/>
  <c r="H28" i="59"/>
  <c r="S7" i="55"/>
  <c r="T7" i="55" s="1"/>
  <c r="K14" i="59"/>
  <c r="P35" i="53"/>
  <c r="L16" i="55" s="1" a="1"/>
  <c r="L16" i="55" s="1"/>
  <c r="T24" i="59"/>
  <c r="V4" i="59"/>
  <c r="V26" i="59"/>
  <c r="AE13" i="53"/>
  <c r="T22" i="59"/>
  <c r="V21" i="59"/>
  <c r="V24" i="59"/>
  <c r="N39" i="55" a="1"/>
  <c r="N39" i="55" s="1"/>
  <c r="P42" i="55"/>
  <c r="B28" i="59"/>
  <c r="V28" i="59" s="1"/>
  <c r="V35" i="59"/>
  <c r="S24" i="55"/>
  <c r="T24" i="55" s="1"/>
  <c r="K40" i="55" a="1"/>
  <c r="K40" i="55" s="1"/>
  <c r="X2" i="53"/>
  <c r="T20" i="55"/>
  <c r="O16" i="55"/>
  <c r="R29" i="55"/>
  <c r="O32" i="55"/>
  <c r="S29" i="55"/>
  <c r="O2" i="55"/>
  <c r="P42" i="59"/>
  <c r="O7" i="55"/>
  <c r="T39" i="55"/>
  <c r="T28" i="55"/>
  <c r="N9" i="59"/>
  <c r="AE18" i="53"/>
  <c r="L8" i="59"/>
  <c r="N21" i="59"/>
  <c r="V39" i="59"/>
  <c r="N23" i="59"/>
  <c r="O10" i="55"/>
  <c r="R28" i="59"/>
  <c r="O41" i="55"/>
  <c r="R26" i="55"/>
  <c r="T26" i="55" s="1"/>
  <c r="L36" i="59"/>
  <c r="F33" i="59"/>
  <c r="D13" i="57"/>
  <c r="E5" i="57"/>
  <c r="E6" i="57" s="1"/>
  <c r="E7" i="57" s="1"/>
  <c r="E8" i="57" s="1"/>
  <c r="E9" i="57" s="1"/>
  <c r="E10" i="57" s="1"/>
  <c r="E11" i="57" s="1"/>
  <c r="E12" i="57" s="1"/>
  <c r="O22" i="55"/>
  <c r="G42" i="59"/>
  <c r="M42" i="59" s="1"/>
  <c r="AJ12" i="26"/>
  <c r="C6" i="26"/>
  <c r="AE14" i="26"/>
  <c r="AD12" i="26"/>
  <c r="L34" i="55" a="1"/>
  <c r="L34" i="55" s="1"/>
  <c r="N35" i="59"/>
  <c r="K22" i="55" a="1"/>
  <c r="K22" i="55" s="1"/>
  <c r="L22" i="55" a="1"/>
  <c r="L22" i="55" s="1"/>
  <c r="L18" i="55" a="1"/>
  <c r="L18" i="55" s="1"/>
  <c r="G18" i="55"/>
  <c r="E12" i="26"/>
  <c r="W12" i="26"/>
  <c r="P12" i="26"/>
  <c r="Z14" i="26"/>
  <c r="L14" i="26"/>
  <c r="AA12" i="26"/>
  <c r="Y12" i="26"/>
  <c r="AB14" i="26"/>
  <c r="G2" i="26"/>
  <c r="C12" i="26"/>
  <c r="AC12" i="26"/>
  <c r="X14" i="26"/>
  <c r="V14" i="26"/>
  <c r="AF12" i="26"/>
  <c r="X12" i="26"/>
  <c r="M14" i="26"/>
  <c r="T14" i="26"/>
  <c r="V12" i="26"/>
  <c r="AK12" i="26"/>
  <c r="AB12" i="26"/>
  <c r="AG14" i="26"/>
  <c r="O12" i="26"/>
  <c r="AH14" i="26"/>
  <c r="J12" i="26"/>
  <c r="AH12" i="26"/>
  <c r="P14" i="26"/>
  <c r="G14" i="26"/>
  <c r="N12" i="26"/>
  <c r="H14" i="59"/>
  <c r="G31" i="55"/>
  <c r="H31" i="55"/>
  <c r="K17" i="55" a="1"/>
  <c r="K17" i="55" s="1"/>
  <c r="H17" i="55"/>
  <c r="J14" i="26"/>
  <c r="I14" i="26"/>
  <c r="Z12" i="26"/>
  <c r="N37" i="59"/>
  <c r="T19" i="55"/>
  <c r="I14" i="59"/>
  <c r="L6" i="59"/>
  <c r="Q14" i="59"/>
  <c r="G30" i="55"/>
  <c r="H20" i="55"/>
  <c r="K20" i="55" a="1"/>
  <c r="K20" i="55" s="1"/>
  <c r="H16" i="55"/>
  <c r="K16" i="55" a="1"/>
  <c r="K16" i="55" s="1"/>
  <c r="L24" i="55" a="1"/>
  <c r="L24" i="55" s="1"/>
  <c r="H24" i="55"/>
  <c r="R12" i="26"/>
  <c r="AL14" i="26"/>
  <c r="P14" i="59"/>
  <c r="H40" i="55"/>
  <c r="P9" i="55"/>
  <c r="Z2" i="53"/>
  <c r="N14" i="59"/>
  <c r="AJ14" i="26"/>
  <c r="AE12" i="26"/>
  <c r="Q48" i="55"/>
  <c r="E14" i="59"/>
  <c r="L15" i="55" a="1"/>
  <c r="L15" i="55" s="1"/>
  <c r="G15" i="55"/>
  <c r="K15" i="55" a="1"/>
  <c r="K15" i="55" s="1"/>
  <c r="M12" i="26"/>
  <c r="I12" i="26"/>
  <c r="Q14" i="26"/>
  <c r="F36" i="59"/>
  <c r="V36" i="59"/>
  <c r="R17" i="55"/>
  <c r="T17" i="55" s="1"/>
  <c r="K28" i="55" a="1"/>
  <c r="K28" i="55" s="1"/>
  <c r="G28" i="55"/>
  <c r="N14" i="26"/>
  <c r="R14" i="26"/>
  <c r="K14" i="26"/>
  <c r="P40" i="55"/>
  <c r="L22" i="59"/>
  <c r="K28" i="59"/>
  <c r="H27" i="55"/>
  <c r="K27" i="55" a="1"/>
  <c r="K27" i="55" s="1"/>
  <c r="L38" i="55" a="1"/>
  <c r="L38" i="55" s="1"/>
  <c r="K38" i="55" a="1"/>
  <c r="K38" i="55" s="1"/>
  <c r="S12" i="26"/>
  <c r="AI12" i="26"/>
  <c r="S14" i="26"/>
  <c r="J42" i="59"/>
  <c r="T25" i="55"/>
  <c r="L13" i="59"/>
  <c r="N13" i="59"/>
  <c r="L12" i="26"/>
  <c r="AG12" i="26"/>
  <c r="K42" i="59"/>
  <c r="K36" i="55" a="1"/>
  <c r="K36" i="55" s="1"/>
  <c r="L36" i="55" a="1"/>
  <c r="L36" i="55" s="1"/>
  <c r="K11" i="55" a="1"/>
  <c r="K11" i="55" s="1"/>
  <c r="H11" i="55"/>
  <c r="G11" i="55"/>
  <c r="N33" i="59"/>
  <c r="Q12" i="26"/>
  <c r="AL12" i="26"/>
  <c r="F19" i="59"/>
  <c r="O29" i="55"/>
  <c r="S22" i="55"/>
  <c r="T22" i="55" s="1"/>
  <c r="V10" i="59"/>
  <c r="F10" i="59"/>
  <c r="G10" i="55"/>
  <c r="K10" i="55" a="1"/>
  <c r="K10" i="55" s="1"/>
  <c r="R48" i="55"/>
  <c r="G7" i="26"/>
  <c r="R16" i="55"/>
  <c r="T16" i="55" s="1"/>
  <c r="L28" i="59"/>
  <c r="P41" i="55"/>
  <c r="S41" i="55" s="1"/>
  <c r="B6" i="26"/>
  <c r="O14" i="26"/>
  <c r="H14" i="26"/>
  <c r="AI14" i="26"/>
  <c r="G12" i="26"/>
  <c r="T23" i="55"/>
  <c r="T27" i="59"/>
  <c r="F27" i="59"/>
  <c r="J14" i="59"/>
  <c r="N10" i="59"/>
  <c r="L10" i="59"/>
  <c r="K9" i="55" a="1"/>
  <c r="K9" i="55" s="1"/>
  <c r="H9" i="55"/>
  <c r="F14" i="26"/>
  <c r="AC14" i="26"/>
  <c r="V33" i="59"/>
  <c r="G8" i="55"/>
  <c r="L8" i="55" a="1"/>
  <c r="L8" i="55" s="1"/>
  <c r="K14" i="55" a="1"/>
  <c r="K14" i="55" s="1"/>
  <c r="G14" i="55"/>
  <c r="R32" i="55"/>
  <c r="T32" i="55" s="1"/>
  <c r="T21" i="55"/>
  <c r="H13" i="55"/>
  <c r="V41" i="59"/>
  <c r="T41" i="59"/>
  <c r="N40" i="59"/>
  <c r="L40" i="59"/>
  <c r="R31" i="55"/>
  <c r="T31" i="55" s="1"/>
  <c r="B14" i="59"/>
  <c r="T7" i="59"/>
  <c r="T12" i="26"/>
  <c r="B12" i="26"/>
  <c r="L39" i="59"/>
  <c r="N39" i="59"/>
  <c r="S42" i="59"/>
  <c r="AE9" i="53"/>
  <c r="L33" i="55" a="1"/>
  <c r="L33" i="55" s="1"/>
  <c r="H33" i="55"/>
  <c r="K33" i="55" a="1"/>
  <c r="K33" i="55" s="1"/>
  <c r="K23" i="55" a="1"/>
  <c r="K23" i="55" s="1"/>
  <c r="L23" i="55" a="1"/>
  <c r="L23" i="55" s="1"/>
  <c r="N38" i="55" a="1"/>
  <c r="N38" i="55" s="1"/>
  <c r="N35" i="55" a="1"/>
  <c r="N35" i="55" s="1"/>
  <c r="O35" i="55" s="1"/>
  <c r="N33" i="55" a="1"/>
  <c r="N33" i="55" s="1"/>
  <c r="V12" i="59"/>
  <c r="V32" i="59"/>
  <c r="V5" i="59"/>
  <c r="N2" i="53"/>
  <c r="F28" i="59" a="1"/>
  <c r="F28" i="59" s="1"/>
  <c r="F14" i="59" a="1"/>
  <c r="F14" i="59" s="1"/>
  <c r="G26" i="55"/>
  <c r="L10" i="55" l="1" a="1"/>
  <c r="L10" i="55" s="1"/>
  <c r="L13" i="55" a="1"/>
  <c r="L13" i="55" s="1"/>
  <c r="S48" i="55"/>
  <c r="L30" i="55" a="1"/>
  <c r="L30" i="55" s="1"/>
  <c r="L12" i="55" a="1"/>
  <c r="L12" i="55" s="1"/>
  <c r="L26" i="55" a="1"/>
  <c r="L26" i="55" s="1"/>
  <c r="L41" i="55" a="1"/>
  <c r="L41" i="55" s="1"/>
  <c r="R14" i="55"/>
  <c r="T14" i="55" s="1"/>
  <c r="S30" i="55"/>
  <c r="T30" i="55"/>
  <c r="T28" i="59"/>
  <c r="L17" i="55" a="1"/>
  <c r="L17" i="55" s="1"/>
  <c r="L42" i="55" a="1"/>
  <c r="L42" i="55" s="1"/>
  <c r="T29" i="55"/>
  <c r="S42" i="55"/>
  <c r="R42" i="55"/>
  <c r="L48" i="55"/>
  <c r="L29" i="55" a="1"/>
  <c r="L29" i="55" s="1"/>
  <c r="F42" i="59" a="1"/>
  <c r="F42" i="59" s="1"/>
  <c r="L35" i="55" a="1"/>
  <c r="L35" i="55" s="1"/>
  <c r="L31" i="55" a="1"/>
  <c r="L31" i="55" s="1"/>
  <c r="L11" i="55" a="1"/>
  <c r="L11" i="55" s="1"/>
  <c r="L2" i="55"/>
  <c r="L32" i="55" a="1"/>
  <c r="L32" i="55" s="1"/>
  <c r="L9" i="55" a="1"/>
  <c r="L9" i="55" s="1"/>
  <c r="L14" i="55" a="1"/>
  <c r="L14" i="55" s="1"/>
  <c r="L7" i="55" a="1"/>
  <c r="L7" i="55" s="1"/>
  <c r="R40" i="55"/>
  <c r="S40" i="55"/>
  <c r="S2" i="55"/>
  <c r="G2" i="55"/>
  <c r="G3" i="55"/>
  <c r="G48" i="55"/>
  <c r="G49" i="55"/>
  <c r="T14" i="59"/>
  <c r="V14" i="59"/>
  <c r="S9" i="55"/>
  <c r="R9" i="55"/>
  <c r="T9" i="55" s="1"/>
  <c r="R41" i="55"/>
  <c r="T41" i="55" s="1"/>
  <c r="H48" i="55"/>
  <c r="H2" i="55"/>
  <c r="H7" i="26"/>
  <c r="G6" i="26"/>
  <c r="T48" i="55"/>
  <c r="T2" i="55"/>
  <c r="T42" i="55" l="1"/>
  <c r="I7" i="26"/>
  <c r="H6" i="26"/>
  <c r="H49" i="55"/>
  <c r="H3" i="55"/>
  <c r="T40" i="55"/>
  <c r="J7" i="26" l="1"/>
  <c r="I6" i="26"/>
  <c r="K7" i="26" l="1"/>
  <c r="J6" i="26"/>
  <c r="L7" i="26" l="1"/>
  <c r="K6" i="26"/>
  <c r="L6" i="26" l="1"/>
  <c r="M7" i="26"/>
  <c r="M6" i="26" l="1"/>
  <c r="N7" i="26"/>
  <c r="N6" i="26" l="1"/>
  <c r="O7" i="26"/>
  <c r="P7" i="26" l="1"/>
  <c r="O6" i="26"/>
  <c r="P6" i="26" l="1"/>
  <c r="Q7" i="26"/>
  <c r="R7" i="26" l="1"/>
  <c r="Q6" i="26"/>
  <c r="R6" i="26" l="1"/>
  <c r="S7" i="26"/>
  <c r="S6" i="26" l="1"/>
  <c r="T7" i="26"/>
  <c r="T6" i="26" l="1"/>
  <c r="U7" i="26"/>
  <c r="V7" i="26" l="1"/>
  <c r="U6" i="26"/>
  <c r="V6" i="26" l="1"/>
  <c r="W7" i="26"/>
  <c r="X7" i="26" l="1"/>
  <c r="W6" i="26"/>
  <c r="X6" i="26" l="1"/>
  <c r="Y7" i="26"/>
  <c r="Y6" i="26" l="1"/>
  <c r="Z7" i="26"/>
  <c r="Z6" i="26" l="1"/>
  <c r="AA7" i="26"/>
  <c r="AB7" i="26" l="1"/>
  <c r="AA6" i="26"/>
  <c r="AC7" i="26" l="1"/>
  <c r="AB6" i="26"/>
  <c r="AC6" i="26" l="1"/>
  <c r="AD7" i="26"/>
  <c r="AD6" i="26" l="1"/>
  <c r="AE7" i="26"/>
  <c r="AE6" i="26" l="1"/>
  <c r="AF7" i="26"/>
  <c r="AF6" i="26" l="1"/>
  <c r="AG7" i="26"/>
  <c r="AH7" i="26" l="1"/>
  <c r="AG6" i="26"/>
  <c r="AH6" i="26" l="1"/>
  <c r="AI7" i="26"/>
  <c r="AJ7" i="26" l="1"/>
  <c r="AI6" i="26"/>
  <c r="AJ6" i="26" l="1"/>
  <c r="AK7"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<sst xmlns="http://schemas.openxmlformats.org/spreadsheetml/2006/main" count="1499" uniqueCount="593">
  <si>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</si>
  <si>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</si>
  <si>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</si>
  <si>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</si>
  <si>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</si>
  <si>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</si>
  <si>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</si>
  <si>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</si>
  <si>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</si>
  <si>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</si>
  <si>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</si>
  <si>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</si>
  <si>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</si>
  <si>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</si>
  <si>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</si>
  <si>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</si>
  <si>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</si>
  <si>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</si>
  <si>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</si>
  <si>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</si>
  <si>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</si>
  <si>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</si>
  <si>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</si>
  <si>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</si>
  <si>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</si>
  <si>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</si>
  <si>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</si>
  <si>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</si>
  <si>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</si>
  <si>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</si>
  <si>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</si>
  <si>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</si>
  <si>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</si>
  <si>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</si>
  <si>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</si>
  <si>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</si>
  <si>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</si>
  <si>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</si>
  <si>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</si>
  <si>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</si>
  <si>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</si>
  <si>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</si>
  <si>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</si>
  <si>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</si>
  <si>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</si>
  <si>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</si>
  <si>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</si>
  <si>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</si>
  <si>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</si>
  <si>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</si>
  <si>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</si>
  <si>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</si>
  <si>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</si>
  <si>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</si>
  <si>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</si>
  <si>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</si>
  <si>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</si>
  <si>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</si>
  <si>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</si>
  <si>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</si>
  <si>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</si>
  <si>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</si>
  <si>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</si>
  <si>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</si>
  <si>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</si>
  <si>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</si>
  <si>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</si>
  <si>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t>THIS SPECIFIC MALL NV48 Tracker</t>
  </si>
  <si>
    <t>Removed 'NV3x DRAM swizzle support' as it is not needed in NV4</t>
  </si>
  <si>
    <t>MC</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</si>
  <si>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</si>
  <si>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</si>
  <si>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</si>
  <si>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</si>
  <si>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</si>
  <si>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</si>
  <si>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</si>
  <si>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</si>
  <si>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</si>
  <si>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</si>
  <si>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</si>
  <si>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</si>
  <si>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</si>
  <si>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</si>
  <si>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</si>
  <si>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</si>
  <si>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</si>
  <si>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</si>
  <si>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</si>
  <si>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</si>
  <si>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</si>
  <si>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</si>
  <si>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</si>
  <si>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</si>
  <si>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</si>
  <si>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</si>
  <si>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</si>
  <si>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</si>
  <si>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</si>
  <si>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</si>
  <si>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</si>
  <si>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</si>
  <si>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</si>
  <si>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</si>
  <si>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</si>
  <si>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</si>
  <si>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</si>
  <si>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</si>
  <si>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</si>
  <si>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</si>
  <si>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</si>
  <si>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</si>
  <si>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</si>
  <si>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</si>
  <si>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</si>
  <si>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</si>
  <si>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</si>
  <si>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</si>
  <si>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</si>
  <si>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</si>
  <si>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</si>
  <si>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</si>
  <si>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</si>
  <si>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</si>
  <si>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</si>
  <si>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</si>
  <si>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</si>
  <si>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</si>
  <si>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</si>
  <si>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</si>
  <si>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</si>
  <si>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</si>
  <si>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</si>
  <si>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</si>
  <si>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</si>
  <si>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</si>
  <si>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</si>
  <si>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</si>
  <si>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</si>
  <si>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</si>
  <si>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</si>
  <si>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</si>
  <si>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</si>
  <si>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</si>
  <si>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</si>
  <si>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</si>
  <si>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</si>
  <si>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</si>
  <si>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</si>
  <si>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</si>
  <si>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</si>
  <si>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</si>
  <si>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</si>
  <si>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</si>
  <si>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</si>
  <si>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</si>
  <si>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</si>
  <si>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</si>
  <si>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</si>
  <si>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</si>
  <si>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</si>
  <si>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</si>
  <si>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</si>
  <si>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</si>
  <si>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</si>
  <si>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</si>
  <si>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</si>
  <si>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</si>
  <si>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</si>
  <si>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</si>
  <si>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</si>
  <si>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</si>
  <si>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</si>
  <si>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</si>
  <si>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</si>
  <si>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</si>
  <si>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</si>
  <si>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</si>
  <si>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</si>
  <si>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</si>
  <si>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</si>
  <si>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</si>
  <si>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</si>
  <si>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</si>
  <si>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</si>
  <si>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</si>
  <si>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</si>
  <si>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</si>
  <si>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</si>
  <si>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</si>
  <si>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</si>
  <si>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</si>
  <si>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</si>
  <si>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</si>
  <si>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</si>
  <si>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</si>
  <si>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</si>
  <si>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</si>
  <si>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</si>
  <si>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</si>
  <si>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</si>
  <si>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</si>
  <si>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</si>
  <si>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</si>
  <si>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</si>
  <si>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</si>
  <si>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</si>
  <si>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</si>
  <si>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</si>
  <si>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</si>
  <si>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</si>
  <si>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</si>
  <si>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</si>
  <si>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</si>
  <si>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</si>
  <si>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</si>
  <si>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</si>
  <si>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</si>
  <si>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</si>
  <si>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</si>
  <si>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</si>
  <si>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</si>
  <si>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</si>
  <si>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</si>
  <si>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</si>
  <si>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</si>
  <si>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</si>
  <si>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</si>
  <si>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</si>
  <si>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</si>
  <si>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</si>
  <si>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</si>
  <si>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</si>
  <si>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</si>
  <si>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</si>
  <si>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</si>
  <si>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</si>
  <si>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</si>
  <si>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</si>
  <si>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</si>
  <si>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</si>
  <si>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</si>
  <si>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</si>
  <si>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</si>
  <si>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</si>
  <si>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</si>
  <si>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</si>
  <si>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</si>
  <si>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</si>
  <si>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</si>
  <si>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</si>
  <si>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</si>
  <si>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</si>
  <si>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</si>
  <si>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</si>
  <si>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</si>
  <si>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</si>
  <si>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</si>
  <si>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</si>
  <si>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</si>
  <si>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</si>
  <si>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</si>
  <si>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</si>
  <si>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</si>
  <si>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</si>
  <si>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</si>
  <si>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</si>
  <si>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</si>
  <si>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</si>
  <si>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</si>
  <si>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</si>
  <si>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</si>
  <si>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</si>
  <si>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</si>
  <si>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</si>
  <si>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</si>
  <si>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</si>
  <si>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</si>
  <si>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</si>
  <si>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</si>
  <si>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</si>
  <si>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</si>
  <si>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</si>
  <si>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</si>
  <si>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</si>
  <si>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</si>
  <si>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</si>
  <si>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</si>
  <si>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</si>
  <si>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</si>
  <si>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</si>
  <si>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</si>
  <si>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</si>
  <si>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</si>
  <si>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</si>
  <si>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</si>
  <si>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</si>
  <si>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</si>
  <si>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</si>
  <si>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</si>
  <si>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</si>
  <si>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</si>
  <si>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</si>
  <si>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</si>
  <si>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</si>
  <si>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</si>
  <si>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</si>
  <si>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</si>
  <si>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</si>
  <si>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</si>
  <si>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</si>
  <si>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DF-HWPRS-061</t>
  </si>
  <si>
    <t xml:space="preserve">TMZ (Trusted Memory Zone) HW Protection </t>
  </si>
  <si>
    <t>MALL TMZ Tests</t>
  </si>
  <si>
    <t>MALL20.1-2, MALL20.11-12</t>
  </si>
  <si>
    <t>DF-HWPRS-062</t>
  </si>
  <si>
    <t>Harvesting of DF components</t>
  </si>
  <si>
    <t>Fill (Full FB)</t>
  </si>
  <si>
    <t>mall.fill.1</t>
  </si>
  <si>
    <t>waiting on downconfig board to test</t>
  </si>
  <si>
    <t>DF-HWPRS-020</t>
  </si>
  <si>
    <t xml:space="preserve">Distributed Compression Logic support in DF </t>
  </si>
  <si>
    <t>Decompression tests</t>
  </si>
  <si>
    <t>mall.dcc.1-2</t>
  </si>
  <si>
    <t>DF-HWPRS-023</t>
  </si>
  <si>
    <t>MALL Next Victim Forecast [Existing]</t>
  </si>
  <si>
    <t>pass on BRP004 MALL enabled IFWI</t>
  </si>
  <si>
    <t>DF-HWPRS-028</t>
  </si>
  <si>
    <t>Replace NoAlloc Request attribute with 2 bit Cache Hints (temporal hints).</t>
  </si>
  <si>
    <t>NoAlloc 2bit test</t>
  </si>
  <si>
    <t>mall.noalloc.2</t>
  </si>
  <si>
    <t>DF-HWPRS-050</t>
  </si>
  <si>
    <t>Configurable Dedicated Meta Cache for DCN</t>
  </si>
  <si>
    <t>DCN DCC Test</t>
  </si>
  <si>
    <t>DCN Diags Coverage</t>
  </si>
  <si>
    <t>DF-HWPRS-049</t>
  </si>
  <si>
    <t>SDP Command - DCN Prefetch to MALL with OKAY_NODATA response</t>
  </si>
  <si>
    <t>DCN CAB Test</t>
  </si>
  <si>
    <t>DF-HWPRS-040</t>
  </si>
  <si>
    <t>LRU Based Way Selection for Periodic/Async MALL Rinsing</t>
  </si>
  <si>
    <t>ORT test</t>
  </si>
  <si>
    <t>mall.lru_periodic_rinse</t>
  </si>
  <si>
    <t>DF-HWPRS-066</t>
  </si>
  <si>
    <t>[DfV: MALL RAS]    Poison/parity error injection on write path from MALL to UMC.</t>
  </si>
  <si>
    <t>RAS</t>
  </si>
  <si>
    <t>RAS test</t>
  </si>
  <si>
    <t>mall.ras_dfv_poison_parity_test</t>
  </si>
  <si>
    <t>RAS Diags Coverage</t>
  </si>
  <si>
    <t>DF-HWPRS-021</t>
  </si>
  <si>
    <t>Cache as Buffer Mode</t>
  </si>
  <si>
    <t>DF-HWPRS-051</t>
  </si>
  <si>
    <t>[Cache as buffer mode]    Uncompressed DCN Data in MALL on a Prefetch </t>
  </si>
  <si>
    <t>DCN CAB Test (new variant?)</t>
  </si>
  <si>
    <t>DF-HWPRS-056</t>
  </si>
  <si>
    <t>MALL Statistics</t>
  </si>
  <si>
    <t>DEDFRTL-7231</t>
  </si>
  <si>
    <t>Increase configurability for ORR and OWT in MALL</t>
  </si>
  <si>
    <t>DEDFRTL-7498</t>
  </si>
  <si>
    <t>MALL: Support 8 TAG/LRU/DAT Banks per macro</t>
  </si>
  <si>
    <t>DEDFRTL-7501</t>
  </si>
  <si>
    <t>MALL: Flush cache and disable allocation</t>
  </si>
  <si>
    <t>MALL Flush Test</t>
  </si>
  <si>
    <t>mall.flush.1</t>
  </si>
  <si>
    <t>DEDFRTL-7502</t>
  </si>
  <si>
    <t>MALL: Allow TMZ=1 requests to allocate in cache</t>
  </si>
  <si>
    <t>DEDFRTL-7505</t>
  </si>
  <si>
    <t>MALL: Support NV3x Hash</t>
  </si>
  <si>
    <t>DEDFRTL-7559</t>
  </si>
  <si>
    <t>MALL: Add separate queue for Victims</t>
  </si>
  <si>
    <t>Victim Queue Stress</t>
  </si>
  <si>
    <t>mall.throughput.1x4/victim</t>
  </si>
  <si>
    <t>DEDFRTL-7800</t>
  </si>
  <si>
    <t>MALL: flip FlushComplete to FlushInProg so SW can do a bcst poll for flush completion</t>
  </si>
  <si>
    <t>DENV31-956</t>
  </si>
  <si>
    <t>New PState with MALL (sub-frame MALL retrieve)</t>
  </si>
  <si>
    <t>DCN Sub-Viewport test</t>
  </si>
  <si>
    <t>NV4X-MALL-01</t>
  </si>
  <si>
    <t>System level testing + high power draw</t>
  </si>
  <si>
    <t>MALL Throughput</t>
  </si>
  <si>
    <t>mall.throughput.1x4</t>
  </si>
  <si>
    <t>NV4X-MALL-02</t>
  </si>
  <si>
    <t>Performance and BW validation</t>
  </si>
  <si>
    <t>NV4X-MALL-03</t>
  </si>
  <si>
    <t>MALL fill test</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</si>
  <si>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</si>
  <si>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</si>
  <si>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</si>
  <si>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p2</t>
  </si>
  <si>
    <t>Total # of Features</t>
  </si>
  <si>
    <t>Total # of P1</t>
  </si>
  <si>
    <t>p1</t>
  </si>
  <si>
    <t>Total # of P2</t>
  </si>
  <si>
    <t>Total # of P3</t>
  </si>
  <si>
    <t>Total # of Diagnostics</t>
  </si>
  <si>
    <t>Total # of Driver</t>
  </si>
  <si>
    <t>Total # of IPSE</t>
  </si>
  <si>
    <t>Total # of N/A</t>
  </si>
  <si>
    <t>[DfV: MALL RAS]    Poison/parity error injection on write path from MALL to UMC.</t>
  </si>
  <si>
    <t>Total # of Legacy</t>
  </si>
  <si>
    <t>Total # of Delta</t>
  </si>
  <si>
    <t xml:space="preserve">[Cache as buffer mode]    Uncompressed DCN Data in MALL on a Prefetch </t>
  </si>
  <si>
    <t>Total # of New</t>
  </si>
  <si>
    <t>DF-HWPRS-022</t>
  </si>
  <si>
    <t>MALL cache-as-RAM (CAR) mode</t>
  </si>
  <si>
    <t>DF-HWPRS-047</t>
  </si>
  <si>
    <t>PCC (Peak Current Control) Activity Throttler Support</t>
  </si>
  <si>
    <t>NAVI40-NAVI4_SYSPRS-56</t>
  </si>
  <si>
    <t>[Cache as buffer mode]    Memory P-State Switching With Display Support</t>
  </si>
  <si>
    <t>DF-HWPRS-019</t>
  </si>
  <si>
    <t>MALL Configuration</t>
  </si>
  <si>
    <t>DEDFRTL-6007</t>
  </si>
  <si>
    <t>Write Hits dont need to update Tag if contents are the same</t>
  </si>
  <si>
    <t>DEDFRTL-7491</t>
  </si>
  <si>
    <t>MALL Power Optimized Queues</t>
  </si>
  <si>
    <t>DEDFRTL-7499</t>
  </si>
  <si>
    <t>MALL: Support 256b DECTED ECC code for eL3 Data</t>
  </si>
  <si>
    <t>DEDFRTL-7500</t>
  </si>
  <si>
    <t>MALL: Next Victim support</t>
  </si>
  <si>
    <t>DEDFRTL-7568</t>
  </si>
  <si>
    <t>[MALL] Scatter/Gather Repeater DCGE</t>
  </si>
  <si>
    <t>DEDFRTL-7711</t>
  </si>
  <si>
    <t>MALL: Support for priority picking with bypass saturation</t>
  </si>
  <si>
    <t>DEDFRTL-8947</t>
  </si>
  <si>
    <t>Add HWA for illegal hash cases</t>
  </si>
  <si>
    <t>DEDFRTL-9333</t>
  </si>
  <si>
    <t>Use RETRANSMIT Data Status on a MALL Tag Error for a Read Response</t>
  </si>
  <si>
    <t>DEDFRTL-9254</t>
  </si>
  <si>
    <t>Support for 6 channel interleave</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</si>
  <si>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</si>
  <si>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</si>
  <si>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</si>
  <si>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WK08</t>
  </si>
  <si>
    <t>Is this equivalent to caching TMZ=1 requests? why was this "legacy" feature not in NV3x ip tracker?</t>
  </si>
  <si>
    <t>WK06</t>
  </si>
  <si>
    <t>WK07</t>
  </si>
  <si>
    <t>WK02</t>
  </si>
  <si>
    <t>DCN4.008 - Distributed DCC, no ETA as of Dec15</t>
  </si>
  <si>
    <t>WK04</t>
  </si>
  <si>
    <t>WK05</t>
  </si>
  <si>
    <t>leveraging RAS coverage</t>
  </si>
  <si>
    <t>NA</t>
  </si>
  <si>
    <t>Scratchpad not enabled, only CREST for NV4x. cannot validate in diags</t>
  </si>
  <si>
    <t>power related, not exposed to diags</t>
  </si>
  <si>
    <t>validated by ifwi at boot, diags cannot determine conf</t>
  </si>
  <si>
    <t>df pmc, specific events? or generic</t>
  </si>
  <si>
    <t>Old note: "FET covers this feature, there's no direct way for diag to cover this feature."</t>
  </si>
  <si>
    <t>can trigger, but no way to verify (check with James VanHorne)</t>
  </si>
  <si>
    <t>Old note: "FET covers this feature, there's no direct way for diag to cover this feature." For Mi300 pmc test was implemented for OppRR</t>
  </si>
  <si>
    <t>internal event, no way for diags to detect</t>
  </si>
  <si>
    <t>requires MALL ECC error injection (rejected)</t>
  </si>
  <si>
    <t>no direct way for diag to cover this feature</t>
  </si>
  <si>
    <t>irrelevant on nv4?</t>
  </si>
  <si>
    <t>power related, no way of isolating in diags</t>
  </si>
  <si>
    <t>coverage not requested during NV3x, carried forward</t>
  </si>
  <si>
    <t>DCN sub-viewport test, NV48-DCN-139</t>
  </si>
  <si>
    <t>only committed if 6 channel board available</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</si>
  <si>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</si>
  <si>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</si>
  <si>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</si>
  <si>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</si>
  <si>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</si>
  <si>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</si>
  <si>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</si>
  <si>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</si>
  <si>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</si>
  <si>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</si>
  <si>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</si>
  <si>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</si>
  <si>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</si>
  <si>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</si>
  <si>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</si>
  <si>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</si>
  <si>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</si>
  <si>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</si>
  <si>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</si>
  <si>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</si>
  <si>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</si>
  <si>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</si>
  <si>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</si>
  <si>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</si>
  <si>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</si>
  <si>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</si>
  <si>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</si>
  <si>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</si>
  <si>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</si>
  <si>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</si>
  <si>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</si>
  <si>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</si>
  <si>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</si>
  <si>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</si>
  <si>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</si>
  <si>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</si>
  <si>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</si>
  <si>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</si>
  <si>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</si>
  <si>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</si>
  <si>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</si>
  <si>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</si>
  <si>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</si>
  <si>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</si>
  <si>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</si>
  <si>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</si>
  <si>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</si>
  <si>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</si>
  <si>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</si>
  <si>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</si>
  <si>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</si>
  <si>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</si>
  <si>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</si>
  <si>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</si>
  <si>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</si>
  <si>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</si>
  <si>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SB-01</t>
  </si>
  <si>
    <t>SB-02</t>
  </si>
  <si>
    <t>SB-03</t>
  </si>
  <si>
    <t>SB-04</t>
  </si>
  <si>
    <t>SB-05</t>
  </si>
  <si>
    <t>SB-06</t>
  </si>
  <si>
    <t>SB-07</t>
  </si>
  <si>
    <t>SB-08</t>
  </si>
  <si>
    <t>SB-09</t>
  </si>
  <si>
    <t>SB-10</t>
  </si>
  <si>
    <t>Grand Total</t>
  </si>
  <si>
    <t>New+Delta</t>
  </si>
  <si>
    <t>New+Delta Total</t>
  </si>
  <si>
    <t>Legacy Total</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</si>
  <si>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</si>
  <si>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</si>
  <si>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</si>
  <si>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</si>
  <si>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</si>
  <si>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</si>
  <si>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</si>
  <si>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</si>
  <si>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</si>
  <si>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</si>
  <si>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</si>
  <si>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</si>
  <si>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</si>
  <si>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</si>
  <si>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</si>
  <si>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</si>
  <si>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</si>
  <si>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</si>
  <si>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</si>
  <si>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</si>
  <si>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</si>
  <si>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</si>
  <si>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</si>
  <si>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</si>
  <si>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</si>
  <si>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</si>
  <si>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</si>
  <si>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</si>
  <si>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</si>
  <si>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</si>
  <si>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</si>
  <si>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</si>
  <si>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</si>
  <si>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</si>
  <si>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</si>
  <si>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</si>
  <si>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</si>
  <si>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</si>
  <si>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</si>
  <si>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</si>
  <si>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</si>
  <si>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</si>
  <si>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</si>
  <si>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</si>
  <si>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</si>
  <si>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</si>
  <si>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</si>
  <si>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</si>
  <si>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</si>
  <si>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</si>
  <si>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</si>
  <si>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</si>
  <si>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</si>
  <si>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</si>
  <si>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</si>
  <si>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</si>
  <si>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</si>
  <si>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</si>
  <si>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</si>
  <si>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</si>
  <si>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</si>
  <si>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</si>
  <si>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</si>
  <si>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</si>
  <si>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MALL_DCHB064</t>
  </si>
  <si>
    <t>MALL_DCHB023</t>
  </si>
  <si>
    <t>MALL_DCHB017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</si>
</sst>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mm/dd/yy;@"/>
    <numFmt numFmtId="165" formatCode="m/d;@"/>
    <numFmt numFmtId="166" formatCode="0.0%"/>
  </numFmts>
  <fonts count="5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
      <u/>
      <sz val="11"/>
      <color theme="10"/>
      <name val="Calibri"/>
      <family val="2"/>
      <scheme val="minor"/>
    </font>
    <font>
      <sz val="11"/>
      <color theme="10"/>
      <name val="Calibri"/>
      <family val="2"/>
      <scheme val="minor"/>
    </font>
    <font>
      <sz val="11"/>
      <color rgb="FF000000"/>
      <name val="Calibri"/>
      <family val="2"/>
      <scheme val="minor"/>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
      <patternFill patternType="solid">
        <fgColor rgb="FF0D0D0D"/>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cellStyleXfs>
  <cellXfs count="76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0" xfId="0" applyFill="1" applyBorder="1" applyAlignment="1">
      <alignment horizontal="left" vertical="center"/>
    </xf>
    <xf numFmtId="0" fontId="0" fillId="52" borderId="10" xfId="0" applyFill="1" applyBorder="1" applyAlignment="1">
      <alignment vertical="center"/>
    </xf>
    <xf numFmtId="0" fontId="52" fillId="52" borderId="10" xfId="46" applyFill="1" applyBorder="1" applyAlignment="1">
      <alignment vertical="center"/>
    </xf>
    <xf numFmtId="0" fontId="53" fillId="52" borderId="10" xfId="46" applyFont="1" applyFill="1" applyBorder="1" applyAlignment="1">
      <alignment vertical="center"/>
    </xf>
    <xf numFmtId="0" fontId="0" fillId="52" borderId="10" xfId="0" applyFill="1" applyBorder="1"/>
    <xf numFmtId="0" fontId="52" fillId="52" borderId="10" xfId="46" applyFill="1" applyBorder="1" applyAlignment="1">
      <alignment horizontal="left" vertical="center"/>
    </xf>
    <xf numFmtId="44" fontId="0" fillId="52" borderId="10" xfId="45" applyFont="1" applyFill="1" applyBorder="1" applyAlignment="1">
      <alignment horizontal="left" vertical="center"/>
    </xf>
    <xf numFmtId="0" fontId="19" fillId="43" borderId="11" xfId="0" applyFont="1" applyFill="1" applyBorder="1" applyAlignment="1">
      <alignment horizontal="left" vertical="center"/>
    </xf>
    <xf numFmtId="0" fontId="16" fillId="43" borderId="70" xfId="0" applyFont="1" applyFill="1" applyBorder="1" applyAlignment="1">
      <alignment horizontal="left"/>
    </xf>
    <xf numFmtId="0" fontId="19" fillId="43" borderId="12" xfId="0" applyFont="1" applyFill="1" applyBorder="1" applyAlignment="1">
      <alignment horizontal="left" vertical="center"/>
    </xf>
    <xf numFmtId="0" fontId="19" fillId="43" borderId="15" xfId="0" applyFont="1" applyFill="1" applyBorder="1" applyAlignment="1">
      <alignment horizontal="left" vertical="center"/>
    </xf>
    <xf numFmtId="0" fontId="0" fillId="52" borderId="13" xfId="0" applyFill="1" applyBorder="1" applyAlignment="1" applyProtection="1">
      <alignment wrapText="1"/>
      <protection locked="0"/>
    </xf>
    <xf numFmtId="0" fontId="0" fillId="52" borderId="10" xfId="0" applyFill="1" applyBorder="1" applyAlignment="1">
      <alignment horizontal="left" vertical="center" wrapText="1"/>
    </xf>
    <xf numFmtId="0" fontId="0" fillId="52" borderId="10" xfId="0" applyFill="1" applyBorder="1" applyAlignment="1">
      <alignment vertical="center" wrapText="1"/>
    </xf>
    <xf numFmtId="0" fontId="18" fillId="52" borderId="10" xfId="0" applyFont="1" applyFill="1" applyBorder="1" applyAlignment="1" applyProtection="1">
      <alignment horizontal="left" vertical="center" wrapText="1"/>
      <protection locked="0"/>
    </xf>
    <xf numFmtId="0" fontId="54" fillId="52" borderId="10" xfId="46" applyFont="1" applyFill="1" applyBorder="1" applyAlignment="1">
      <alignment horizontal="left" vertical="center" wrapText="1"/>
    </xf>
    <xf numFmtId="0" fontId="54" fillId="52" borderId="10" xfId="0" applyFont="1" applyFill="1" applyBorder="1" applyAlignment="1">
      <alignment vertical="center"/>
    </xf>
    <xf numFmtId="0" fontId="54" fillId="52" borderId="10" xfId="46" applyFont="1" applyFill="1" applyBorder="1" applyAlignment="1">
      <alignment vertical="center"/>
    </xf>
    <xf numFmtId="0" fontId="54" fillId="52" borderId="10" xfId="0" applyFont="1" applyFill="1" applyBorder="1"/>
    <xf numFmtId="0" fontId="54" fillId="52" borderId="10" xfId="0" applyFont="1" applyFill="1" applyBorder="1" applyAlignment="1">
      <alignment horizontal="left" vertical="center"/>
    </xf>
    <xf numFmtId="0" fontId="0" fillId="57" borderId="13" xfId="0" applyFill="1" applyBorder="1" applyAlignment="1" applyProtection="1">
      <alignment wrapText="1"/>
      <protection locked="0"/>
    </xf>
    <xf numFmtId="0" fontId="0" fillId="57" borderId="10" xfId="0" applyFill="1" applyBorder="1" applyAlignment="1">
      <alignment horizontal="left" vertical="center" wrapText="1"/>
    </xf>
    <xf numFmtId="0" fontId="18" fillId="57" borderId="10" xfId="0" applyFont="1" applyFill="1" applyBorder="1" applyAlignment="1" applyProtection="1">
      <alignment vertical="center"/>
      <protection locked="0"/>
    </xf>
    <xf numFmtId="0" fontId="18" fillId="57" borderId="17" xfId="0" applyFont="1" applyFill="1" applyBorder="1" applyAlignment="1" applyProtection="1">
      <alignment horizontal="center" vertical="center"/>
      <protection locked="0"/>
    </xf>
    <xf numFmtId="0" fontId="18" fillId="57" borderId="10" xfId="0" applyFont="1" applyFill="1" applyBorder="1" applyAlignment="1">
      <alignment horizontal="center" vertical="center"/>
    </xf>
    <xf numFmtId="0" fontId="18" fillId="57" borderId="10" xfId="0" applyFont="1" applyFill="1" applyBorder="1" applyAlignment="1" applyProtection="1">
      <alignment horizontal="left" vertical="center"/>
      <protection locked="0"/>
    </xf>
    <xf numFmtId="0" fontId="18" fillId="57" borderId="26" xfId="0" applyFont="1" applyFill="1" applyBorder="1" applyAlignment="1" applyProtection="1">
      <alignment vertical="center"/>
      <protection locked="0"/>
    </xf>
    <xf numFmtId="0" fontId="18" fillId="57" borderId="10" xfId="0" applyFont="1" applyFill="1" applyBorder="1" applyAlignment="1" applyProtection="1">
      <alignment horizontal="center" vertical="center"/>
      <protection locked="0"/>
    </xf>
    <xf numFmtId="0" fontId="0" fillId="57" borderId="14" xfId="0" applyFill="1" applyBorder="1" applyAlignment="1" applyProtection="1">
      <alignment horizontal="center"/>
      <protection locked="0"/>
    </xf>
    <xf numFmtId="9" fontId="18" fillId="57" borderId="13" xfId="0" applyNumberFormat="1" applyFont="1" applyFill="1" applyBorder="1" applyAlignment="1" applyProtection="1">
      <alignment horizontal="center" vertical="center"/>
      <protection locked="0"/>
    </xf>
    <xf numFmtId="0" fontId="18" fillId="57" borderId="10" xfId="42" applyNumberFormat="1" applyFont="1" applyFill="1" applyBorder="1" applyAlignment="1" applyProtection="1">
      <alignment horizontal="center" vertical="center"/>
      <protection locked="0"/>
    </xf>
    <xf numFmtId="9" fontId="18" fillId="57" borderId="14" xfId="42" applyFont="1" applyFill="1" applyBorder="1" applyAlignment="1">
      <alignment horizontal="center" vertical="center"/>
    </xf>
    <xf numFmtId="1" fontId="18" fillId="57" borderId="10" xfId="0" applyNumberFormat="1" applyFont="1" applyFill="1" applyBorder="1" applyAlignment="1">
      <alignment horizontal="center" vertical="center"/>
    </xf>
    <xf numFmtId="1" fontId="18" fillId="57" borderId="10" xfId="0" applyNumberFormat="1" applyFont="1" applyFill="1" applyBorder="1" applyAlignment="1" applyProtection="1">
      <alignment horizontal="center" vertical="center"/>
      <protection locked="0"/>
    </xf>
    <xf numFmtId="166" fontId="18" fillId="57" borderId="10" xfId="0" applyNumberFormat="1" applyFont="1" applyFill="1" applyBorder="1" applyAlignment="1">
      <alignment horizontal="center" vertical="center"/>
    </xf>
    <xf numFmtId="1" fontId="18" fillId="57" borderId="57" xfId="0" applyNumberFormat="1" applyFont="1" applyFill="1" applyBorder="1" applyAlignment="1" applyProtection="1">
      <alignment vertical="center"/>
      <protection locked="0"/>
    </xf>
    <xf numFmtId="1" fontId="18" fillId="57" borderId="13" xfId="0" applyNumberFormat="1" applyFont="1" applyFill="1" applyBorder="1" applyAlignment="1">
      <alignment horizontal="center" vertical="center"/>
    </xf>
    <xf numFmtId="0" fontId="18" fillId="57" borderId="10" xfId="0" applyFont="1" applyFill="1" applyBorder="1" applyAlignment="1">
      <alignment vertical="center"/>
    </xf>
    <xf numFmtId="0" fontId="18" fillId="57" borderId="14" xfId="0" applyFont="1" applyFill="1" applyBorder="1" applyAlignment="1" applyProtection="1">
      <alignment vertical="center"/>
      <protection locked="0"/>
    </xf>
    <xf numFmtId="0" fontId="0" fillId="0" borderId="10" xfId="0" applyBorder="1" applyAlignment="1" applyProtection="1">
      <alignment vertical="center"/>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cellXfs>
  <cellStyles count="4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Currency" xfId="45"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6"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4"/>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51" t="s">
        <v>0</v>
      </c>
      <c r="B1" s="552" t="s">
        <v>53</v>
      </c>
      <c r="C1" s="552" t="s">
        <v>54</v>
      </c>
    </row>
    <row r="2" spans="1:3" x14ac:dyDescent="0.25">
      <c r="A2" s="553">
        <v>43807</v>
      </c>
      <c r="B2" s="554" t="s">
        <v>55</v>
      </c>
      <c r="C2" s="554" t="s">
        <v>11</v>
      </c>
    </row>
    <row r="3" spans="1:3" ht="30" x14ac:dyDescent="0.25">
      <c r="A3" s="553">
        <v>43937</v>
      </c>
      <c r="B3" s="80" t="s">
        <v>56</v>
      </c>
      <c r="C3" s="554" t="s">
        <v>11</v>
      </c>
    </row>
    <row r="4" spans="1:3" x14ac:dyDescent="0.25">
      <c r="A4" s="553">
        <v>43941</v>
      </c>
      <c r="B4" s="554" t="s">
        <v>57</v>
      </c>
      <c r="C4" s="554" t="s">
        <v>11</v>
      </c>
    </row>
    <row r="5" spans="1:3" x14ac:dyDescent="0.25">
      <c r="A5" s="553">
        <v>43942</v>
      </c>
      <c r="B5" s="554" t="s">
        <v>58</v>
      </c>
      <c r="C5" s="554" t="s">
        <v>11</v>
      </c>
    </row>
    <row r="6" spans="1:3" x14ac:dyDescent="0.25">
      <c r="A6" s="553">
        <v>43963</v>
      </c>
      <c r="B6" s="554" t="s">
        <v>59</v>
      </c>
      <c r="C6" s="554" t="s">
        <v>11</v>
      </c>
    </row>
    <row r="7" spans="1:3" x14ac:dyDescent="0.25">
      <c r="A7" s="553">
        <v>43990</v>
      </c>
      <c r="B7" s="554" t="s">
        <v>60</v>
      </c>
      <c r="C7" s="554" t="s">
        <v>11</v>
      </c>
    </row>
    <row r="8" spans="1:3" ht="30" x14ac:dyDescent="0.25">
      <c r="A8" s="553">
        <v>44104</v>
      </c>
      <c r="B8" s="80" t="s">
        <v>61</v>
      </c>
      <c r="C8" s="554" t="s">
        <v>62</v>
      </c>
    </row>
    <row r="9" spans="1:3" ht="150" x14ac:dyDescent="0.25">
      <c r="A9" s="553">
        <v>44128</v>
      </c>
      <c r="B9" s="80" t="s">
        <v>63</v>
      </c>
      <c r="C9" s="554" t="s">
        <v>62</v>
      </c>
    </row>
    <row r="10" spans="1:3" x14ac:dyDescent="0.25">
      <c r="A10" s="553">
        <v>44361</v>
      </c>
      <c r="B10" s="554" t="s">
        <v>64</v>
      </c>
      <c r="C10" s="554" t="s">
        <v>65</v>
      </c>
    </row>
    <row r="11" spans="1:3" x14ac:dyDescent="0.25">
      <c r="A11" s="553">
        <v>44813</v>
      </c>
      <c r="B11" s="554" t="s">
        <v>66</v>
      </c>
      <c r="C11" s="554" t="s">
        <v>62</v>
      </c>
    </row>
    <row r="13" spans="1:3" x14ac:dyDescent="0.25">
      <c r="B13" s="81" t="s">
        <v>67</v>
      </c>
    </row>
    <row r="14" spans="1:3" x14ac:dyDescent="0.25">
      <c r="A14" s="169">
        <v>45139</v>
      </c>
      <c r="B14" s="81" t="s">
        <v>68</v>
      </c>
      <c r="C14" s="81" t="s">
        <v>69</v>
      </c>
    </row>
  </sheetData>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4" activePane="bottomRight" state="frozen"/>
      <selection pane="topRight" activeCell="D1" sqref="D1"/>
      <selection pane="bottomLeft" activeCell="A9" sqref="A9"/>
      <selection pane="bottomRight" activeCell="G22" sqref="G22"/>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70</v>
      </c>
      <c r="B1" s="624" t="s">
        <v>71</v>
      </c>
      <c r="C1" s="625"/>
      <c r="D1" s="625"/>
      <c r="E1" s="167" t="s">
        <v>72</v>
      </c>
      <c r="F1" s="167" t="s">
        <v>73</v>
      </c>
      <c r="G1" s="110" t="s">
        <v>74</v>
      </c>
    </row>
    <row r="2" spans="1:7" x14ac:dyDescent="0.25">
      <c r="A2" s="116" t="s">
        <v>75</v>
      </c>
      <c r="B2" s="626" t="s">
        <v>76</v>
      </c>
      <c r="C2" s="627"/>
      <c r="D2" s="627"/>
      <c r="E2" s="294" t="s">
        <v>77</v>
      </c>
      <c r="F2" s="294" t="s">
        <v>78</v>
      </c>
      <c r="G2" s="325" t="s">
        <v>79</v>
      </c>
    </row>
    <row r="3" spans="1:7" s="81" customFormat="1" x14ac:dyDescent="0.25">
      <c r="A3" s="202" t="s">
        <v>80</v>
      </c>
      <c r="B3" s="633" t="s">
        <v>81</v>
      </c>
      <c r="C3" s="634"/>
      <c r="D3" s="635"/>
      <c r="E3" s="80" t="s">
        <v>77</v>
      </c>
      <c r="F3" s="80" t="s">
        <v>78</v>
      </c>
      <c r="G3" s="326" t="s">
        <v>79</v>
      </c>
    </row>
    <row r="4" spans="1:7" x14ac:dyDescent="0.25">
      <c r="A4" s="202" t="s">
        <v>82</v>
      </c>
      <c r="B4" s="630" t="s">
        <v>83</v>
      </c>
      <c r="C4" s="631"/>
      <c r="D4" s="632"/>
      <c r="E4" s="80" t="s">
        <v>84</v>
      </c>
      <c r="F4" s="80" t="s">
        <v>78</v>
      </c>
      <c r="G4" s="326" t="s">
        <v>79</v>
      </c>
    </row>
    <row r="5" spans="1:7" x14ac:dyDescent="0.25">
      <c r="A5" s="117" t="s">
        <v>85</v>
      </c>
      <c r="B5" s="630" t="s">
        <v>86</v>
      </c>
      <c r="C5" s="631"/>
      <c r="D5" s="632"/>
      <c r="E5" s="80" t="s">
        <v>84</v>
      </c>
      <c r="F5" s="80" t="s">
        <v>78</v>
      </c>
      <c r="G5" s="326" t="s">
        <v>79</v>
      </c>
    </row>
    <row r="6" spans="1:7" x14ac:dyDescent="0.25">
      <c r="A6" s="117" t="s">
        <v>87</v>
      </c>
      <c r="B6" s="630" t="s">
        <v>88</v>
      </c>
      <c r="C6" s="631"/>
      <c r="D6" s="632"/>
      <c r="E6" s="80" t="s">
        <v>89</v>
      </c>
      <c r="F6" s="80" t="s">
        <v>78</v>
      </c>
      <c r="G6" s="85"/>
    </row>
    <row r="7" spans="1:7" ht="15.75" thickBot="1" x14ac:dyDescent="0.3">
      <c r="A7" s="118" t="s">
        <v>90</v>
      </c>
      <c r="B7" s="628" t="s">
        <v>91</v>
      </c>
      <c r="C7" s="629"/>
      <c r="D7" s="629"/>
      <c r="E7" s="86" t="s">
        <v>89</v>
      </c>
      <c r="F7" s="86"/>
      <c r="G7" s="87"/>
    </row>
    <row r="8" spans="1:7" s="84" customFormat="1" ht="15.75" thickBot="1" x14ac:dyDescent="0.3">
      <c r="A8" s="115" t="s">
        <v>70</v>
      </c>
      <c r="B8" s="421" t="s">
        <v>1</v>
      </c>
      <c r="C8" s="167" t="s">
        <v>92</v>
      </c>
      <c r="D8" s="167" t="s">
        <v>71</v>
      </c>
      <c r="E8" s="167" t="s">
        <v>72</v>
      </c>
      <c r="F8" s="167" t="s">
        <v>73</v>
      </c>
      <c r="G8" s="110" t="s">
        <v>74</v>
      </c>
    </row>
    <row r="9" spans="1:7" ht="105" x14ac:dyDescent="0.25">
      <c r="A9" s="601" t="s">
        <v>75</v>
      </c>
      <c r="B9" s="598" t="s">
        <v>93</v>
      </c>
      <c r="C9" s="332" t="s">
        <v>94</v>
      </c>
      <c r="D9" s="94" t="s">
        <v>95</v>
      </c>
      <c r="E9" s="94" t="s">
        <v>77</v>
      </c>
      <c r="F9" s="94" t="s">
        <v>96</v>
      </c>
      <c r="G9" s="422" t="s">
        <v>97</v>
      </c>
    </row>
    <row r="10" spans="1:7" ht="75" x14ac:dyDescent="0.25">
      <c r="A10" s="602"/>
      <c r="B10" s="599"/>
      <c r="C10" s="328" t="s">
        <v>98</v>
      </c>
      <c r="D10" s="82" t="s">
        <v>99</v>
      </c>
      <c r="E10" s="82" t="s">
        <v>77</v>
      </c>
      <c r="F10" s="82" t="s">
        <v>96</v>
      </c>
      <c r="G10" s="321" t="s">
        <v>100</v>
      </c>
    </row>
    <row r="11" spans="1:7" ht="45" x14ac:dyDescent="0.25">
      <c r="A11" s="602"/>
      <c r="B11" s="599"/>
      <c r="C11" s="328" t="s">
        <v>101</v>
      </c>
      <c r="D11" s="82" t="s">
        <v>102</v>
      </c>
      <c r="E11" s="82" t="s">
        <v>103</v>
      </c>
      <c r="F11" s="82" t="s">
        <v>96</v>
      </c>
      <c r="G11" s="95" t="s">
        <v>104</v>
      </c>
    </row>
    <row r="12" spans="1:7" ht="120" x14ac:dyDescent="0.25">
      <c r="A12" s="602"/>
      <c r="B12" s="599"/>
      <c r="C12" s="328" t="s">
        <v>105</v>
      </c>
      <c r="D12" s="350" t="s">
        <v>106</v>
      </c>
      <c r="E12" s="82" t="s">
        <v>103</v>
      </c>
      <c r="F12" s="82" t="s">
        <v>96</v>
      </c>
      <c r="G12" s="321" t="s">
        <v>107</v>
      </c>
    </row>
    <row r="13" spans="1:7" ht="30" x14ac:dyDescent="0.25">
      <c r="A13" s="602"/>
      <c r="B13" s="599"/>
      <c r="C13" s="328" t="s">
        <v>108</v>
      </c>
      <c r="D13" s="82" t="s">
        <v>109</v>
      </c>
      <c r="E13" s="82" t="s">
        <v>103</v>
      </c>
      <c r="F13" s="82" t="s">
        <v>96</v>
      </c>
      <c r="G13" s="95" t="s">
        <v>110</v>
      </c>
    </row>
    <row r="14" spans="1:7" ht="30" x14ac:dyDescent="0.25">
      <c r="A14" s="602"/>
      <c r="B14" s="599"/>
      <c r="C14" s="328" t="s">
        <v>111</v>
      </c>
      <c r="D14" s="82" t="s">
        <v>112</v>
      </c>
      <c r="E14" s="82" t="s">
        <v>103</v>
      </c>
      <c r="F14" s="82" t="s">
        <v>96</v>
      </c>
      <c r="G14" s="95" t="s">
        <v>110</v>
      </c>
    </row>
    <row r="15" spans="1:7" ht="30" x14ac:dyDescent="0.25">
      <c r="A15" s="602"/>
      <c r="B15" s="599"/>
      <c r="C15" s="121" t="s">
        <v>113</v>
      </c>
      <c r="D15" s="82" t="s">
        <v>114</v>
      </c>
      <c r="E15" s="82" t="s">
        <v>77</v>
      </c>
      <c r="F15" s="82" t="s">
        <v>96</v>
      </c>
      <c r="G15" s="95" t="s">
        <v>115</v>
      </c>
    </row>
    <row r="16" spans="1:7" ht="60" x14ac:dyDescent="0.25">
      <c r="A16" s="602"/>
      <c r="B16" s="599"/>
      <c r="C16" s="328" t="s">
        <v>116</v>
      </c>
      <c r="D16" s="350" t="s">
        <v>117</v>
      </c>
      <c r="E16" s="82" t="s">
        <v>103</v>
      </c>
      <c r="F16" s="82" t="s">
        <v>96</v>
      </c>
      <c r="G16" s="321" t="s">
        <v>118</v>
      </c>
    </row>
    <row r="17" spans="1:7" ht="30" x14ac:dyDescent="0.25">
      <c r="A17" s="602"/>
      <c r="B17" s="599"/>
      <c r="C17" s="328" t="s">
        <v>119</v>
      </c>
      <c r="D17" s="82" t="s">
        <v>120</v>
      </c>
      <c r="E17" s="82" t="s">
        <v>103</v>
      </c>
      <c r="F17" s="82" t="s">
        <v>96</v>
      </c>
      <c r="G17" s="95" t="s">
        <v>121</v>
      </c>
    </row>
    <row r="18" spans="1:7" ht="45" x14ac:dyDescent="0.25">
      <c r="A18" s="602"/>
      <c r="B18" s="599"/>
      <c r="C18" s="328" t="s">
        <v>122</v>
      </c>
      <c r="D18" s="82" t="s">
        <v>123</v>
      </c>
      <c r="E18" s="82" t="s">
        <v>103</v>
      </c>
      <c r="F18" s="82" t="s">
        <v>96</v>
      </c>
      <c r="G18" s="95" t="s">
        <v>124</v>
      </c>
    </row>
    <row r="19" spans="1:7" x14ac:dyDescent="0.25">
      <c r="A19" s="602"/>
      <c r="B19" s="599"/>
      <c r="C19" s="328" t="s">
        <v>125</v>
      </c>
      <c r="D19" s="82" t="s">
        <v>126</v>
      </c>
      <c r="E19" s="82" t="s">
        <v>103</v>
      </c>
      <c r="F19" s="82" t="s">
        <v>96</v>
      </c>
      <c r="G19" s="95" t="s">
        <v>127</v>
      </c>
    </row>
    <row r="20" spans="1:7" ht="105.75" thickBot="1" x14ac:dyDescent="0.3">
      <c r="A20" s="602"/>
      <c r="B20" s="600"/>
      <c r="C20" s="423" t="s">
        <v>1</v>
      </c>
      <c r="D20" s="532" t="s">
        <v>128</v>
      </c>
      <c r="E20" s="396" t="s">
        <v>103</v>
      </c>
      <c r="F20" s="396" t="s">
        <v>96</v>
      </c>
      <c r="G20" s="424" t="s">
        <v>129</v>
      </c>
    </row>
    <row r="21" spans="1:7" ht="45" x14ac:dyDescent="0.25">
      <c r="A21" s="602"/>
      <c r="B21" s="615" t="s">
        <v>130</v>
      </c>
      <c r="C21" s="329" t="s">
        <v>131</v>
      </c>
      <c r="D21" s="105" t="s">
        <v>132</v>
      </c>
      <c r="E21" s="105" t="s">
        <v>103</v>
      </c>
      <c r="F21" s="105" t="s">
        <v>133</v>
      </c>
      <c r="G21" s="168" t="s">
        <v>134</v>
      </c>
    </row>
    <row r="22" spans="1:7" ht="30" x14ac:dyDescent="0.25">
      <c r="A22" s="602"/>
      <c r="B22" s="616"/>
      <c r="C22" s="330" t="s">
        <v>135</v>
      </c>
      <c r="D22" s="428" t="s">
        <v>136</v>
      </c>
      <c r="E22" s="428" t="s">
        <v>103</v>
      </c>
      <c r="F22" s="428" t="s">
        <v>133</v>
      </c>
      <c r="G22" s="429" t="s">
        <v>137</v>
      </c>
    </row>
    <row r="23" spans="1:7" ht="15.75" thickBot="1" x14ac:dyDescent="0.3">
      <c r="A23" s="602"/>
      <c r="B23" s="617"/>
      <c r="C23" s="430" t="s">
        <v>138</v>
      </c>
      <c r="D23" s="107" t="s">
        <v>139</v>
      </c>
      <c r="E23" s="107" t="s">
        <v>103</v>
      </c>
      <c r="F23" s="107" t="s">
        <v>133</v>
      </c>
      <c r="G23" s="108" t="s">
        <v>140</v>
      </c>
    </row>
    <row r="24" spans="1:7" ht="30" customHeight="1" x14ac:dyDescent="0.25">
      <c r="A24" s="602"/>
      <c r="B24" s="618" t="s">
        <v>141</v>
      </c>
      <c r="C24" s="425" t="s">
        <v>142</v>
      </c>
      <c r="D24" s="426" t="s">
        <v>143</v>
      </c>
      <c r="E24" s="426" t="s">
        <v>103</v>
      </c>
      <c r="F24" s="426" t="s">
        <v>96</v>
      </c>
      <c r="G24" s="427" t="s">
        <v>144</v>
      </c>
    </row>
    <row r="25" spans="1:7" ht="30" customHeight="1" x14ac:dyDescent="0.25">
      <c r="A25" s="602"/>
      <c r="B25" s="619"/>
      <c r="C25" s="330" t="s">
        <v>145</v>
      </c>
      <c r="D25" s="109" t="s">
        <v>146</v>
      </c>
      <c r="E25" s="109" t="s">
        <v>103</v>
      </c>
      <c r="F25" s="109" t="s">
        <v>147</v>
      </c>
      <c r="G25" s="636" t="s">
        <v>148</v>
      </c>
    </row>
    <row r="26" spans="1:7" ht="30" x14ac:dyDescent="0.25">
      <c r="A26" s="602"/>
      <c r="B26" s="619"/>
      <c r="C26" s="275" t="s">
        <v>149</v>
      </c>
      <c r="D26" s="109" t="s">
        <v>150</v>
      </c>
      <c r="E26" s="109" t="s">
        <v>103</v>
      </c>
      <c r="F26" s="109" t="s">
        <v>147</v>
      </c>
      <c r="G26" s="637"/>
    </row>
    <row r="27" spans="1:7" x14ac:dyDescent="0.25">
      <c r="A27" s="602"/>
      <c r="B27" s="619"/>
      <c r="C27" s="330" t="s">
        <v>30</v>
      </c>
      <c r="D27" s="109" t="s">
        <v>151</v>
      </c>
      <c r="E27" s="109" t="s">
        <v>103</v>
      </c>
      <c r="F27" s="109" t="s">
        <v>147</v>
      </c>
      <c r="G27" s="637"/>
    </row>
    <row r="28" spans="1:7" x14ac:dyDescent="0.25">
      <c r="A28" s="602"/>
      <c r="B28" s="619"/>
      <c r="C28" s="330" t="s">
        <v>152</v>
      </c>
      <c r="D28" s="109" t="s">
        <v>153</v>
      </c>
      <c r="E28" s="109" t="s">
        <v>103</v>
      </c>
      <c r="F28" s="109" t="s">
        <v>147</v>
      </c>
      <c r="G28" s="637"/>
    </row>
    <row r="29" spans="1:7" x14ac:dyDescent="0.25">
      <c r="A29" s="602"/>
      <c r="B29" s="619"/>
      <c r="C29" s="330" t="s">
        <v>36</v>
      </c>
      <c r="D29" s="109" t="s">
        <v>154</v>
      </c>
      <c r="E29" s="109" t="s">
        <v>103</v>
      </c>
      <c r="F29" s="109" t="s">
        <v>147</v>
      </c>
      <c r="G29" s="637"/>
    </row>
    <row r="30" spans="1:7" x14ac:dyDescent="0.25">
      <c r="A30" s="602"/>
      <c r="B30" s="619"/>
      <c r="C30" s="330" t="s">
        <v>155</v>
      </c>
      <c r="D30" s="109" t="s">
        <v>156</v>
      </c>
      <c r="E30" s="109" t="s">
        <v>103</v>
      </c>
      <c r="F30" s="109" t="s">
        <v>147</v>
      </c>
      <c r="G30" s="637"/>
    </row>
    <row r="31" spans="1:7" x14ac:dyDescent="0.25">
      <c r="A31" s="602"/>
      <c r="B31" s="619"/>
      <c r="C31" s="275" t="s">
        <v>157</v>
      </c>
      <c r="D31" s="109" t="s">
        <v>158</v>
      </c>
      <c r="E31" s="109" t="s">
        <v>103</v>
      </c>
      <c r="F31" s="109" t="s">
        <v>147</v>
      </c>
      <c r="G31" s="637"/>
    </row>
    <row r="32" spans="1:7" ht="30.75" thickBot="1" x14ac:dyDescent="0.3">
      <c r="A32" s="602"/>
      <c r="B32" s="620"/>
      <c r="C32" s="331" t="s">
        <v>159</v>
      </c>
      <c r="D32" s="104" t="s">
        <v>160</v>
      </c>
      <c r="E32" s="104" t="s">
        <v>103</v>
      </c>
      <c r="F32" s="104" t="s">
        <v>147</v>
      </c>
      <c r="G32" s="638"/>
    </row>
    <row r="33" spans="1:7" ht="30" x14ac:dyDescent="0.25">
      <c r="A33" s="602"/>
      <c r="B33" s="621" t="s">
        <v>161</v>
      </c>
      <c r="C33" s="310" t="s">
        <v>149</v>
      </c>
      <c r="D33" s="273" t="s">
        <v>162</v>
      </c>
      <c r="E33" s="273" t="s">
        <v>103</v>
      </c>
      <c r="F33" s="273" t="s">
        <v>163</v>
      </c>
      <c r="G33" s="274" t="s">
        <v>164</v>
      </c>
    </row>
    <row r="34" spans="1:7" x14ac:dyDescent="0.25">
      <c r="A34" s="602"/>
      <c r="B34" s="622"/>
      <c r="C34" s="328" t="s">
        <v>30</v>
      </c>
      <c r="D34" s="83" t="s">
        <v>165</v>
      </c>
      <c r="E34" s="83" t="s">
        <v>103</v>
      </c>
      <c r="F34" s="83" t="s">
        <v>163</v>
      </c>
      <c r="G34" s="99"/>
    </row>
    <row r="35" spans="1:7" x14ac:dyDescent="0.25">
      <c r="A35" s="602"/>
      <c r="B35" s="622"/>
      <c r="C35" s="328" t="s">
        <v>152</v>
      </c>
      <c r="D35" s="83" t="s">
        <v>166</v>
      </c>
      <c r="E35" s="83" t="s">
        <v>103</v>
      </c>
      <c r="F35" s="83" t="s">
        <v>163</v>
      </c>
      <c r="G35" s="99" t="s">
        <v>167</v>
      </c>
    </row>
    <row r="36" spans="1:7" x14ac:dyDescent="0.25">
      <c r="A36" s="602"/>
      <c r="B36" s="622"/>
      <c r="C36" s="328" t="s">
        <v>36</v>
      </c>
      <c r="D36" s="83" t="s">
        <v>168</v>
      </c>
      <c r="E36" s="83" t="s">
        <v>103</v>
      </c>
      <c r="F36" s="83" t="s">
        <v>163</v>
      </c>
      <c r="G36" s="113"/>
    </row>
    <row r="37" spans="1:7" x14ac:dyDescent="0.25">
      <c r="A37" s="602"/>
      <c r="B37" s="622"/>
      <c r="C37" s="328" t="s">
        <v>155</v>
      </c>
      <c r="D37" s="83" t="s">
        <v>169</v>
      </c>
      <c r="E37" s="83" t="s">
        <v>103</v>
      </c>
      <c r="F37" s="83" t="s">
        <v>163</v>
      </c>
      <c r="G37" s="99" t="s">
        <v>170</v>
      </c>
    </row>
    <row r="38" spans="1:7" x14ac:dyDescent="0.25">
      <c r="A38" s="602"/>
      <c r="B38" s="622"/>
      <c r="C38" s="276" t="s">
        <v>157</v>
      </c>
      <c r="D38" s="83" t="s">
        <v>171</v>
      </c>
      <c r="E38" s="83" t="s">
        <v>103</v>
      </c>
      <c r="F38" s="83" t="s">
        <v>163</v>
      </c>
      <c r="G38" s="99"/>
    </row>
    <row r="39" spans="1:7" ht="30" x14ac:dyDescent="0.25">
      <c r="A39" s="602"/>
      <c r="B39" s="622"/>
      <c r="C39" s="330" t="s">
        <v>172</v>
      </c>
      <c r="D39" s="83" t="s">
        <v>173</v>
      </c>
      <c r="E39" s="83" t="s">
        <v>103</v>
      </c>
      <c r="F39" s="83" t="s">
        <v>163</v>
      </c>
      <c r="G39" s="99"/>
    </row>
    <row r="40" spans="1:7" ht="30" x14ac:dyDescent="0.25">
      <c r="A40" s="602"/>
      <c r="B40" s="622"/>
      <c r="C40" s="276" t="s">
        <v>174</v>
      </c>
      <c r="D40" s="83" t="s">
        <v>175</v>
      </c>
      <c r="E40" s="83" t="s">
        <v>77</v>
      </c>
      <c r="F40" s="83" t="s">
        <v>163</v>
      </c>
      <c r="G40" s="99" t="s">
        <v>176</v>
      </c>
    </row>
    <row r="41" spans="1:7" ht="45.75" thickBot="1" x14ac:dyDescent="0.3">
      <c r="A41" s="602"/>
      <c r="B41" s="623"/>
      <c r="C41" s="327" t="s">
        <v>177</v>
      </c>
      <c r="D41" s="100" t="s">
        <v>178</v>
      </c>
      <c r="E41" s="100" t="s">
        <v>103</v>
      </c>
      <c r="F41" s="100" t="s">
        <v>163</v>
      </c>
      <c r="G41" s="101" t="s">
        <v>179</v>
      </c>
    </row>
    <row r="42" spans="1:7" ht="135.75" thickBot="1" x14ac:dyDescent="0.3">
      <c r="A42" s="601" t="s">
        <v>80</v>
      </c>
      <c r="B42" s="431" t="s">
        <v>180</v>
      </c>
      <c r="C42" s="332" t="s">
        <v>105</v>
      </c>
      <c r="D42" s="432" t="s">
        <v>181</v>
      </c>
      <c r="E42" s="432" t="s">
        <v>103</v>
      </c>
      <c r="F42" s="432" t="s">
        <v>96</v>
      </c>
      <c r="G42" s="433" t="s">
        <v>182</v>
      </c>
    </row>
    <row r="43" spans="1:7" ht="15" customHeight="1" x14ac:dyDescent="0.25">
      <c r="A43" s="602"/>
      <c r="B43" s="606" t="s">
        <v>183</v>
      </c>
      <c r="C43" s="307" t="s">
        <v>184</v>
      </c>
      <c r="D43" s="295" t="s">
        <v>185</v>
      </c>
      <c r="E43" s="295" t="s">
        <v>84</v>
      </c>
      <c r="F43" s="295" t="s">
        <v>96</v>
      </c>
      <c r="G43" s="278" t="s">
        <v>186</v>
      </c>
    </row>
    <row r="44" spans="1:7" ht="30" x14ac:dyDescent="0.25">
      <c r="A44" s="602"/>
      <c r="B44" s="607"/>
      <c r="C44" s="308" t="s">
        <v>145</v>
      </c>
      <c r="D44" s="296" t="s">
        <v>187</v>
      </c>
      <c r="E44" s="296" t="s">
        <v>84</v>
      </c>
      <c r="F44" s="296" t="s">
        <v>96</v>
      </c>
      <c r="G44" s="279" t="s">
        <v>186</v>
      </c>
    </row>
    <row r="45" spans="1:7" ht="30" x14ac:dyDescent="0.25">
      <c r="A45" s="602"/>
      <c r="B45" s="607"/>
      <c r="C45" s="308" t="s">
        <v>122</v>
      </c>
      <c r="D45" s="296" t="s">
        <v>188</v>
      </c>
      <c r="E45" s="296" t="s">
        <v>84</v>
      </c>
      <c r="F45" s="296" t="s">
        <v>96</v>
      </c>
      <c r="G45" s="279" t="s">
        <v>189</v>
      </c>
    </row>
    <row r="46" spans="1:7" x14ac:dyDescent="0.25">
      <c r="A46" s="602"/>
      <c r="B46" s="607"/>
      <c r="C46" s="308" t="s">
        <v>190</v>
      </c>
      <c r="D46" s="296" t="s">
        <v>191</v>
      </c>
      <c r="E46" s="296" t="s">
        <v>84</v>
      </c>
      <c r="F46" s="296" t="s">
        <v>96</v>
      </c>
      <c r="G46" s="279" t="s">
        <v>186</v>
      </c>
    </row>
    <row r="47" spans="1:7" ht="15.75" thickBot="1" x14ac:dyDescent="0.3">
      <c r="A47" s="602"/>
      <c r="B47" s="608"/>
      <c r="C47" s="309" t="s">
        <v>192</v>
      </c>
      <c r="D47" s="297" t="s">
        <v>193</v>
      </c>
      <c r="E47" s="296" t="s">
        <v>84</v>
      </c>
      <c r="F47" s="297" t="s">
        <v>96</v>
      </c>
      <c r="G47" s="280" t="s">
        <v>186</v>
      </c>
    </row>
    <row r="48" spans="1:7" ht="30" x14ac:dyDescent="0.25">
      <c r="A48" s="602"/>
      <c r="B48" s="609" t="s">
        <v>194</v>
      </c>
      <c r="C48" s="304" t="s">
        <v>149</v>
      </c>
      <c r="D48" s="298" t="s">
        <v>195</v>
      </c>
      <c r="E48" s="298" t="s">
        <v>84</v>
      </c>
      <c r="F48" s="298" t="s">
        <v>147</v>
      </c>
      <c r="G48" s="639" t="s">
        <v>196</v>
      </c>
    </row>
    <row r="49" spans="1:7" ht="30" x14ac:dyDescent="0.25">
      <c r="A49" s="602"/>
      <c r="B49" s="609"/>
      <c r="C49" s="305" t="s">
        <v>30</v>
      </c>
      <c r="D49" s="281" t="s">
        <v>197</v>
      </c>
      <c r="E49" s="281" t="s">
        <v>84</v>
      </c>
      <c r="F49" s="281" t="s">
        <v>147</v>
      </c>
      <c r="G49" s="640"/>
    </row>
    <row r="50" spans="1:7" ht="30" x14ac:dyDescent="0.25">
      <c r="A50" s="602"/>
      <c r="B50" s="609"/>
      <c r="C50" s="305" t="s">
        <v>152</v>
      </c>
      <c r="D50" s="281" t="s">
        <v>198</v>
      </c>
      <c r="E50" s="281" t="s">
        <v>84</v>
      </c>
      <c r="F50" s="281" t="s">
        <v>147</v>
      </c>
      <c r="G50" s="640"/>
    </row>
    <row r="51" spans="1:7" ht="30" x14ac:dyDescent="0.25">
      <c r="A51" s="602"/>
      <c r="B51" s="609"/>
      <c r="C51" s="305" t="s">
        <v>36</v>
      </c>
      <c r="D51" s="281" t="s">
        <v>199</v>
      </c>
      <c r="E51" s="281" t="s">
        <v>84</v>
      </c>
      <c r="F51" s="281" t="s">
        <v>147</v>
      </c>
      <c r="G51" s="640"/>
    </row>
    <row r="52" spans="1:7" ht="30" x14ac:dyDescent="0.25">
      <c r="A52" s="602"/>
      <c r="B52" s="609"/>
      <c r="C52" s="305" t="s">
        <v>155</v>
      </c>
      <c r="D52" s="281" t="s">
        <v>200</v>
      </c>
      <c r="E52" s="281" t="s">
        <v>84</v>
      </c>
      <c r="F52" s="281" t="s">
        <v>147</v>
      </c>
      <c r="G52" s="640"/>
    </row>
    <row r="53" spans="1:7" ht="30" x14ac:dyDescent="0.25">
      <c r="A53" s="602"/>
      <c r="B53" s="609"/>
      <c r="C53" s="305" t="s">
        <v>201</v>
      </c>
      <c r="D53" s="281" t="s">
        <v>202</v>
      </c>
      <c r="E53" s="281" t="s">
        <v>84</v>
      </c>
      <c r="F53" s="281" t="s">
        <v>147</v>
      </c>
      <c r="G53" s="640"/>
    </row>
    <row r="54" spans="1:7" x14ac:dyDescent="0.25">
      <c r="A54" s="602"/>
      <c r="B54" s="609"/>
      <c r="C54" s="305" t="s">
        <v>157</v>
      </c>
      <c r="D54" s="281" t="s">
        <v>203</v>
      </c>
      <c r="E54" s="281" t="s">
        <v>84</v>
      </c>
      <c r="F54" s="281" t="s">
        <v>147</v>
      </c>
      <c r="G54" s="640"/>
    </row>
    <row r="55" spans="1:7" ht="30.75" thickBot="1" x14ac:dyDescent="0.3">
      <c r="A55" s="602"/>
      <c r="B55" s="610"/>
      <c r="C55" s="306" t="s">
        <v>204</v>
      </c>
      <c r="D55" s="299" t="s">
        <v>205</v>
      </c>
      <c r="E55" s="299" t="s">
        <v>84</v>
      </c>
      <c r="F55" s="299" t="s">
        <v>147</v>
      </c>
      <c r="G55" s="641"/>
    </row>
    <row r="56" spans="1:7" ht="30" x14ac:dyDescent="0.25">
      <c r="A56" s="602"/>
      <c r="B56" s="611" t="s">
        <v>161</v>
      </c>
      <c r="C56" s="418" t="s">
        <v>149</v>
      </c>
      <c r="D56" s="419" t="s">
        <v>206</v>
      </c>
      <c r="E56" s="419" t="s">
        <v>84</v>
      </c>
      <c r="F56" s="419" t="s">
        <v>163</v>
      </c>
      <c r="G56" s="420" t="s">
        <v>186</v>
      </c>
    </row>
    <row r="57" spans="1:7" ht="30" x14ac:dyDescent="0.25">
      <c r="A57" s="602"/>
      <c r="B57" s="612"/>
      <c r="C57" s="302" t="s">
        <v>30</v>
      </c>
      <c r="D57" s="300" t="s">
        <v>207</v>
      </c>
      <c r="E57" s="300" t="s">
        <v>84</v>
      </c>
      <c r="F57" s="300" t="s">
        <v>163</v>
      </c>
      <c r="G57" s="277" t="s">
        <v>186</v>
      </c>
    </row>
    <row r="58" spans="1:7" ht="30" x14ac:dyDescent="0.25">
      <c r="A58" s="602"/>
      <c r="B58" s="612"/>
      <c r="C58" s="302" t="s">
        <v>152</v>
      </c>
      <c r="D58" s="300" t="s">
        <v>208</v>
      </c>
      <c r="E58" s="300" t="s">
        <v>84</v>
      </c>
      <c r="F58" s="300" t="s">
        <v>163</v>
      </c>
      <c r="G58" s="277" t="s">
        <v>186</v>
      </c>
    </row>
    <row r="59" spans="1:7" x14ac:dyDescent="0.25">
      <c r="A59" s="602"/>
      <c r="B59" s="612"/>
      <c r="C59" s="302" t="s">
        <v>36</v>
      </c>
      <c r="D59" s="300" t="s">
        <v>209</v>
      </c>
      <c r="E59" s="300" t="s">
        <v>84</v>
      </c>
      <c r="F59" s="300" t="s">
        <v>163</v>
      </c>
      <c r="G59" s="277" t="s">
        <v>186</v>
      </c>
    </row>
    <row r="60" spans="1:7" ht="30" x14ac:dyDescent="0.25">
      <c r="A60" s="602"/>
      <c r="B60" s="612"/>
      <c r="C60" s="302" t="s">
        <v>155</v>
      </c>
      <c r="D60" s="300" t="s">
        <v>210</v>
      </c>
      <c r="E60" s="300" t="s">
        <v>84</v>
      </c>
      <c r="F60" s="300" t="s">
        <v>163</v>
      </c>
      <c r="G60" s="277" t="s">
        <v>186</v>
      </c>
    </row>
    <row r="61" spans="1:7" x14ac:dyDescent="0.25">
      <c r="A61" s="602"/>
      <c r="B61" s="612"/>
      <c r="C61" s="302" t="s">
        <v>201</v>
      </c>
      <c r="D61" s="300" t="s">
        <v>211</v>
      </c>
      <c r="E61" s="300" t="s">
        <v>84</v>
      </c>
      <c r="F61" s="300" t="s">
        <v>163</v>
      </c>
      <c r="G61" s="277" t="s">
        <v>186</v>
      </c>
    </row>
    <row r="62" spans="1:7" x14ac:dyDescent="0.25">
      <c r="A62" s="602"/>
      <c r="B62" s="612"/>
      <c r="C62" s="302" t="s">
        <v>157</v>
      </c>
      <c r="D62" s="300" t="s">
        <v>212</v>
      </c>
      <c r="E62" s="300" t="s">
        <v>84</v>
      </c>
      <c r="F62" s="300" t="s">
        <v>163</v>
      </c>
      <c r="G62" s="277" t="s">
        <v>186</v>
      </c>
    </row>
    <row r="63" spans="1:7" ht="15.75" thickBot="1" x14ac:dyDescent="0.3">
      <c r="A63" s="614"/>
      <c r="B63" s="613"/>
      <c r="C63" s="303" t="s">
        <v>204</v>
      </c>
      <c r="D63" s="301" t="s">
        <v>213</v>
      </c>
      <c r="E63" s="301" t="s">
        <v>84</v>
      </c>
      <c r="F63" s="301" t="s">
        <v>163</v>
      </c>
      <c r="G63" s="282" t="s">
        <v>186</v>
      </c>
    </row>
    <row r="64" spans="1:7" ht="120" x14ac:dyDescent="0.25">
      <c r="A64" s="602" t="s">
        <v>82</v>
      </c>
      <c r="B64" s="603" t="s">
        <v>214</v>
      </c>
      <c r="C64" s="329" t="s">
        <v>94</v>
      </c>
      <c r="D64" s="284" t="s">
        <v>215</v>
      </c>
      <c r="E64" s="284" t="s">
        <v>77</v>
      </c>
      <c r="F64" s="284" t="s">
        <v>96</v>
      </c>
      <c r="G64" s="434" t="s">
        <v>216</v>
      </c>
    </row>
    <row r="65" spans="1:7" ht="60" x14ac:dyDescent="0.25">
      <c r="A65" s="602"/>
      <c r="B65" s="604"/>
      <c r="C65" s="330" t="s">
        <v>98</v>
      </c>
      <c r="D65" s="285" t="s">
        <v>99</v>
      </c>
      <c r="E65" s="285" t="s">
        <v>77</v>
      </c>
      <c r="F65" s="285" t="s">
        <v>96</v>
      </c>
      <c r="G65" s="436" t="s">
        <v>217</v>
      </c>
    </row>
    <row r="66" spans="1:7" ht="30" x14ac:dyDescent="0.25">
      <c r="A66" s="602"/>
      <c r="B66" s="604"/>
      <c r="C66" s="330" t="s">
        <v>113</v>
      </c>
      <c r="D66" s="285" t="s">
        <v>114</v>
      </c>
      <c r="E66" s="285" t="s">
        <v>77</v>
      </c>
      <c r="F66" s="285" t="s">
        <v>96</v>
      </c>
      <c r="G66" s="286" t="s">
        <v>218</v>
      </c>
    </row>
    <row r="67" spans="1:7" ht="30" x14ac:dyDescent="0.25">
      <c r="A67" s="602"/>
      <c r="B67" s="604"/>
      <c r="C67" s="330" t="s">
        <v>219</v>
      </c>
      <c r="D67" s="285" t="s">
        <v>220</v>
      </c>
      <c r="E67" s="285" t="s">
        <v>77</v>
      </c>
      <c r="F67" s="285" t="s">
        <v>96</v>
      </c>
      <c r="G67" s="286" t="s">
        <v>221</v>
      </c>
    </row>
    <row r="68" spans="1:7" x14ac:dyDescent="0.25">
      <c r="A68" s="602"/>
      <c r="B68" s="604"/>
      <c r="C68" s="330" t="s">
        <v>1</v>
      </c>
      <c r="D68" s="285" t="s">
        <v>222</v>
      </c>
      <c r="E68" s="285" t="s">
        <v>77</v>
      </c>
      <c r="F68" s="285" t="s">
        <v>96</v>
      </c>
      <c r="G68" s="286" t="s">
        <v>223</v>
      </c>
    </row>
    <row r="69" spans="1:7" ht="15.75" thickBot="1" x14ac:dyDescent="0.3">
      <c r="A69" s="602"/>
      <c r="B69" s="605"/>
      <c r="C69" s="331" t="s">
        <v>224</v>
      </c>
      <c r="D69" s="287" t="s">
        <v>225</v>
      </c>
      <c r="E69" s="287" t="s">
        <v>77</v>
      </c>
      <c r="F69" s="287" t="s">
        <v>96</v>
      </c>
      <c r="G69" s="288"/>
    </row>
    <row r="70" spans="1:7" ht="150" x14ac:dyDescent="0.25">
      <c r="A70" s="601" t="s">
        <v>85</v>
      </c>
      <c r="B70" s="598" t="s">
        <v>93</v>
      </c>
      <c r="C70" s="342" t="s">
        <v>94</v>
      </c>
      <c r="D70" s="283" t="s">
        <v>226</v>
      </c>
      <c r="E70" s="283" t="s">
        <v>77</v>
      </c>
      <c r="F70" s="283" t="s">
        <v>96</v>
      </c>
      <c r="G70" s="435" t="s">
        <v>227</v>
      </c>
    </row>
    <row r="71" spans="1:7" x14ac:dyDescent="0.25">
      <c r="A71" s="602"/>
      <c r="B71" s="599"/>
      <c r="C71" s="121" t="s">
        <v>98</v>
      </c>
      <c r="D71" s="82" t="s">
        <v>99</v>
      </c>
      <c r="E71" s="82" t="s">
        <v>77</v>
      </c>
      <c r="F71" s="82" t="s">
        <v>96</v>
      </c>
      <c r="G71" s="95" t="s">
        <v>186</v>
      </c>
    </row>
    <row r="72" spans="1:7" ht="30" x14ac:dyDescent="0.25">
      <c r="A72" s="602"/>
      <c r="B72" s="599"/>
      <c r="C72" s="121" t="s">
        <v>113</v>
      </c>
      <c r="D72" s="82" t="s">
        <v>114</v>
      </c>
      <c r="E72" s="82" t="s">
        <v>77</v>
      </c>
      <c r="F72" s="82" t="s">
        <v>96</v>
      </c>
      <c r="G72" s="95" t="s">
        <v>228</v>
      </c>
    </row>
    <row r="73" spans="1:7" x14ac:dyDescent="0.25">
      <c r="A73" s="602"/>
      <c r="B73" s="599"/>
      <c r="C73" s="121" t="s">
        <v>229</v>
      </c>
      <c r="D73" s="82" t="s">
        <v>230</v>
      </c>
      <c r="E73" s="82" t="s">
        <v>103</v>
      </c>
      <c r="F73" s="82" t="s">
        <v>96</v>
      </c>
      <c r="G73" s="95" t="s">
        <v>186</v>
      </c>
    </row>
    <row r="74" spans="1:7" ht="60" customHeight="1" x14ac:dyDescent="0.25">
      <c r="A74" s="602"/>
      <c r="B74" s="599"/>
      <c r="C74" s="121" t="s">
        <v>105</v>
      </c>
      <c r="D74" s="82" t="s">
        <v>231</v>
      </c>
      <c r="E74" s="82" t="s">
        <v>103</v>
      </c>
      <c r="F74" s="82" t="s">
        <v>96</v>
      </c>
      <c r="G74" s="95" t="s">
        <v>186</v>
      </c>
    </row>
    <row r="75" spans="1:7" x14ac:dyDescent="0.25">
      <c r="A75" s="602"/>
      <c r="B75" s="599"/>
      <c r="C75" s="121" t="s">
        <v>1</v>
      </c>
      <c r="D75" s="82" t="s">
        <v>222</v>
      </c>
      <c r="E75" s="82" t="s">
        <v>103</v>
      </c>
      <c r="F75" s="82" t="s">
        <v>96</v>
      </c>
      <c r="G75" s="95" t="s">
        <v>186</v>
      </c>
    </row>
    <row r="76" spans="1:7" ht="90" x14ac:dyDescent="0.25">
      <c r="A76" s="602"/>
      <c r="B76" s="599"/>
      <c r="C76" s="121" t="s">
        <v>232</v>
      </c>
      <c r="D76" s="82" t="s">
        <v>233</v>
      </c>
      <c r="E76" s="82" t="s">
        <v>77</v>
      </c>
      <c r="F76" s="82" t="s">
        <v>96</v>
      </c>
      <c r="G76" s="321" t="s">
        <v>234</v>
      </c>
    </row>
    <row r="77" spans="1:7" ht="90" x14ac:dyDescent="0.25">
      <c r="A77" s="602"/>
      <c r="B77" s="599"/>
      <c r="C77" s="121" t="s">
        <v>235</v>
      </c>
      <c r="D77" s="82" t="s">
        <v>236</v>
      </c>
      <c r="E77" s="82" t="s">
        <v>77</v>
      </c>
      <c r="F77" s="82" t="s">
        <v>96</v>
      </c>
      <c r="G77" s="321" t="s">
        <v>237</v>
      </c>
    </row>
    <row r="78" spans="1:7" ht="30" x14ac:dyDescent="0.25">
      <c r="A78" s="602"/>
      <c r="B78" s="599"/>
      <c r="C78" s="121" t="s">
        <v>122</v>
      </c>
      <c r="D78" s="82" t="s">
        <v>188</v>
      </c>
      <c r="E78" s="82" t="s">
        <v>103</v>
      </c>
      <c r="F78" s="82" t="s">
        <v>96</v>
      </c>
      <c r="G78" s="95" t="s">
        <v>189</v>
      </c>
    </row>
    <row r="79" spans="1:7" ht="30.75" thickBot="1" x14ac:dyDescent="0.3">
      <c r="A79" s="602"/>
      <c r="B79" s="600"/>
      <c r="C79" s="122" t="s">
        <v>238</v>
      </c>
      <c r="D79" s="96" t="s">
        <v>239</v>
      </c>
      <c r="E79" s="96" t="s">
        <v>77</v>
      </c>
      <c r="F79" s="96" t="s">
        <v>96</v>
      </c>
      <c r="G79" s="97" t="s">
        <v>240</v>
      </c>
    </row>
    <row r="80" spans="1:7" ht="30" x14ac:dyDescent="0.25">
      <c r="A80" s="602"/>
      <c r="B80" s="642" t="s">
        <v>130</v>
      </c>
      <c r="C80" s="123" t="s">
        <v>131</v>
      </c>
      <c r="D80" s="105" t="s">
        <v>241</v>
      </c>
      <c r="E80" s="105" t="s">
        <v>77</v>
      </c>
      <c r="F80" s="105" t="s">
        <v>242</v>
      </c>
      <c r="G80" s="106" t="s">
        <v>240</v>
      </c>
    </row>
    <row r="81" spans="1:7" ht="30.75" thickBot="1" x14ac:dyDescent="0.3">
      <c r="A81" s="602"/>
      <c r="B81" s="643"/>
      <c r="C81" s="124" t="s">
        <v>138</v>
      </c>
      <c r="D81" s="107" t="s">
        <v>243</v>
      </c>
      <c r="E81" s="107" t="s">
        <v>77</v>
      </c>
      <c r="F81" s="107" t="s">
        <v>242</v>
      </c>
      <c r="G81" s="108" t="s">
        <v>240</v>
      </c>
    </row>
    <row r="82" spans="1:7" ht="30" x14ac:dyDescent="0.25">
      <c r="A82" s="602"/>
      <c r="B82" s="644" t="s">
        <v>141</v>
      </c>
      <c r="C82" s="125" t="s">
        <v>244</v>
      </c>
      <c r="D82" s="102" t="s">
        <v>245</v>
      </c>
      <c r="E82" s="102" t="s">
        <v>77</v>
      </c>
      <c r="F82" s="102" t="s">
        <v>96</v>
      </c>
      <c r="G82" s="103" t="s">
        <v>240</v>
      </c>
    </row>
    <row r="83" spans="1:7" ht="30" x14ac:dyDescent="0.25">
      <c r="A83" s="602"/>
      <c r="B83" s="645"/>
      <c r="C83" s="127" t="s">
        <v>246</v>
      </c>
      <c r="D83" s="109" t="s">
        <v>247</v>
      </c>
      <c r="E83" s="109" t="s">
        <v>77</v>
      </c>
      <c r="F83" s="109" t="s">
        <v>242</v>
      </c>
      <c r="G83" s="114" t="s">
        <v>240</v>
      </c>
    </row>
    <row r="84" spans="1:7" ht="30.75" thickBot="1" x14ac:dyDescent="0.3">
      <c r="A84" s="602"/>
      <c r="B84" s="646"/>
      <c r="C84" s="128" t="s">
        <v>204</v>
      </c>
      <c r="D84" s="119" t="s">
        <v>248</v>
      </c>
      <c r="E84" s="119" t="s">
        <v>77</v>
      </c>
      <c r="F84" s="119" t="s">
        <v>242</v>
      </c>
      <c r="G84" s="120" t="s">
        <v>240</v>
      </c>
    </row>
    <row r="85" spans="1:7" ht="30" x14ac:dyDescent="0.25">
      <c r="A85" s="602"/>
      <c r="B85" s="647" t="s">
        <v>161</v>
      </c>
      <c r="C85" s="126" t="s">
        <v>249</v>
      </c>
      <c r="D85" s="111" t="s">
        <v>250</v>
      </c>
      <c r="E85" s="111" t="s">
        <v>77</v>
      </c>
      <c r="F85" s="111" t="s">
        <v>242</v>
      </c>
      <c r="G85" s="112" t="s">
        <v>240</v>
      </c>
    </row>
    <row r="86" spans="1:7" ht="30" x14ac:dyDescent="0.25">
      <c r="A86" s="602"/>
      <c r="B86" s="648"/>
      <c r="C86" s="98" t="s">
        <v>246</v>
      </c>
      <c r="D86" s="83" t="s">
        <v>251</v>
      </c>
      <c r="E86" s="83" t="s">
        <v>77</v>
      </c>
      <c r="F86" s="83" t="s">
        <v>242</v>
      </c>
      <c r="G86" s="99" t="s">
        <v>240</v>
      </c>
    </row>
    <row r="87" spans="1:7" ht="30" x14ac:dyDescent="0.25">
      <c r="A87" s="602"/>
      <c r="B87" s="648"/>
      <c r="C87" s="98" t="s">
        <v>201</v>
      </c>
      <c r="D87" s="83" t="s">
        <v>252</v>
      </c>
      <c r="E87" s="83" t="s">
        <v>77</v>
      </c>
      <c r="F87" s="83" t="s">
        <v>242</v>
      </c>
      <c r="G87" s="99" t="s">
        <v>240</v>
      </c>
    </row>
    <row r="88" spans="1:7" ht="30" x14ac:dyDescent="0.25">
      <c r="A88" s="602"/>
      <c r="B88" s="648"/>
      <c r="C88" s="98" t="s">
        <v>157</v>
      </c>
      <c r="D88" s="83" t="s">
        <v>253</v>
      </c>
      <c r="E88" s="83" t="s">
        <v>77</v>
      </c>
      <c r="F88" s="83" t="s">
        <v>242</v>
      </c>
      <c r="G88" s="99" t="s">
        <v>240</v>
      </c>
    </row>
    <row r="89" spans="1:7" ht="45" customHeight="1" x14ac:dyDescent="0.25">
      <c r="A89" s="602"/>
      <c r="B89" s="648"/>
      <c r="C89" s="98" t="s">
        <v>204</v>
      </c>
      <c r="D89" s="83" t="s">
        <v>254</v>
      </c>
      <c r="E89" s="83" t="s">
        <v>77</v>
      </c>
      <c r="F89" s="83" t="s">
        <v>242</v>
      </c>
      <c r="G89" s="99" t="s">
        <v>240</v>
      </c>
    </row>
    <row r="90" spans="1:7" ht="30.75" thickBot="1" x14ac:dyDescent="0.3">
      <c r="A90" s="614"/>
      <c r="B90" s="649"/>
      <c r="C90" s="327" t="s">
        <v>174</v>
      </c>
      <c r="D90" s="100" t="s">
        <v>175</v>
      </c>
      <c r="E90" s="100" t="s">
        <v>77</v>
      </c>
      <c r="F90" s="100" t="s">
        <v>255</v>
      </c>
      <c r="G90" s="101" t="s">
        <v>256</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2"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50" t="s">
        <v>257</v>
      </c>
      <c r="B2" s="650"/>
      <c r="C2" s="650"/>
      <c r="D2" s="650"/>
      <c r="E2" s="650"/>
      <c r="F2" s="89"/>
      <c r="G2" s="89"/>
      <c r="H2" s="89"/>
      <c r="I2" s="89"/>
      <c r="J2" s="89"/>
      <c r="K2" s="89"/>
      <c r="L2" s="89"/>
      <c r="M2" s="89"/>
      <c r="N2" s="89"/>
      <c r="O2" s="89"/>
      <c r="P2" s="89"/>
      <c r="Q2" s="89"/>
      <c r="R2" s="89"/>
    </row>
    <row r="3" spans="1:19" ht="45" x14ac:dyDescent="0.25">
      <c r="A3" s="533" t="s">
        <v>258</v>
      </c>
      <c r="B3" s="533" t="s">
        <v>259</v>
      </c>
      <c r="C3" s="533" t="s">
        <v>260</v>
      </c>
      <c r="D3" s="533" t="s">
        <v>261</v>
      </c>
      <c r="E3" s="533" t="s">
        <v>262</v>
      </c>
    </row>
    <row r="4" spans="1:19" x14ac:dyDescent="0.25">
      <c r="A4" s="534" t="s">
        <v>263</v>
      </c>
      <c r="B4" s="534" t="s">
        <v>264</v>
      </c>
      <c r="C4" s="534" t="s">
        <v>265</v>
      </c>
      <c r="D4" s="534" t="s">
        <v>266</v>
      </c>
      <c r="E4" s="534" t="s">
        <v>265</v>
      </c>
    </row>
    <row r="5" spans="1:19" x14ac:dyDescent="0.25">
      <c r="A5" s="534" t="s">
        <v>267</v>
      </c>
      <c r="B5" s="534" t="s">
        <v>268</v>
      </c>
      <c r="C5" s="534" t="s">
        <v>269</v>
      </c>
      <c r="D5" s="534" t="s">
        <v>266</v>
      </c>
      <c r="E5" s="534" t="s">
        <v>265</v>
      </c>
    </row>
    <row r="6" spans="1:19" x14ac:dyDescent="0.25">
      <c r="A6" s="81"/>
    </row>
    <row r="7" spans="1:19" ht="59.25" customHeight="1" x14ac:dyDescent="0.25">
      <c r="A7" s="650" t="s">
        <v>270</v>
      </c>
      <c r="B7" s="651"/>
      <c r="C7" s="651"/>
      <c r="D7" s="651"/>
      <c r="E7" s="651"/>
      <c r="F7" s="651"/>
      <c r="G7" s="651"/>
      <c r="H7" s="651"/>
      <c r="I7" s="651"/>
      <c r="J7" s="651"/>
      <c r="K7" s="651"/>
      <c r="L7" s="651"/>
      <c r="M7" s="89"/>
      <c r="N7" s="89"/>
      <c r="O7" s="89"/>
      <c r="P7" s="89"/>
      <c r="Q7" s="89"/>
      <c r="R7" s="89"/>
      <c r="S7" s="89"/>
    </row>
    <row r="8" spans="1:19" x14ac:dyDescent="0.25">
      <c r="A8" s="535" t="s">
        <v>271</v>
      </c>
      <c r="B8" s="536"/>
      <c r="C8" s="536"/>
      <c r="D8" s="536"/>
      <c r="E8" s="536"/>
      <c r="F8" s="536"/>
      <c r="G8" s="536"/>
      <c r="H8" s="536"/>
      <c r="I8" s="536"/>
      <c r="J8" s="536"/>
      <c r="K8" s="536"/>
      <c r="L8" s="536"/>
      <c r="M8" s="89"/>
      <c r="N8" s="89"/>
      <c r="O8" s="89"/>
      <c r="P8" s="89"/>
      <c r="Q8" s="89"/>
      <c r="R8" s="89"/>
      <c r="S8" s="89"/>
    </row>
    <row r="9" spans="1:19" x14ac:dyDescent="0.25">
      <c r="A9" s="537" t="s">
        <v>94</v>
      </c>
      <c r="B9" s="538" t="s">
        <v>98</v>
      </c>
      <c r="C9" s="538" t="s">
        <v>101</v>
      </c>
      <c r="D9" s="539" t="s">
        <v>105</v>
      </c>
      <c r="E9" s="538" t="s">
        <v>108</v>
      </c>
      <c r="F9" s="538" t="s">
        <v>111</v>
      </c>
      <c r="G9" s="538" t="s">
        <v>113</v>
      </c>
      <c r="H9" s="538" t="s">
        <v>116</v>
      </c>
      <c r="I9" s="538" t="s">
        <v>119</v>
      </c>
      <c r="J9" s="540" t="s">
        <v>122</v>
      </c>
      <c r="K9" s="540" t="s">
        <v>125</v>
      </c>
      <c r="L9" s="541" t="s">
        <v>1</v>
      </c>
    </row>
    <row r="10" spans="1:19" x14ac:dyDescent="0.25">
      <c r="A10" s="542" t="s">
        <v>272</v>
      </c>
      <c r="B10" s="543" t="s">
        <v>273</v>
      </c>
      <c r="C10" s="543"/>
      <c r="D10" s="544" t="s">
        <v>274</v>
      </c>
      <c r="E10" s="545"/>
      <c r="F10" s="543" t="s">
        <v>275</v>
      </c>
      <c r="G10" s="544" t="s">
        <v>276</v>
      </c>
      <c r="H10" s="543" t="s">
        <v>277</v>
      </c>
      <c r="I10" s="543"/>
      <c r="J10" s="544">
        <v>1</v>
      </c>
      <c r="K10" s="544">
        <v>1</v>
      </c>
      <c r="L10" s="544" t="s">
        <v>278</v>
      </c>
    </row>
    <row r="11" spans="1:19" x14ac:dyDescent="0.25">
      <c r="A11" s="542" t="s">
        <v>279</v>
      </c>
      <c r="B11" s="543" t="s">
        <v>280</v>
      </c>
      <c r="C11" s="543"/>
      <c r="D11" s="544" t="s">
        <v>281</v>
      </c>
      <c r="E11" s="545"/>
      <c r="F11" s="543" t="s">
        <v>282</v>
      </c>
      <c r="G11" s="544" t="s">
        <v>276</v>
      </c>
      <c r="H11" s="543" t="s">
        <v>283</v>
      </c>
      <c r="I11" s="543"/>
      <c r="J11" s="544">
        <v>1</v>
      </c>
      <c r="K11" s="544">
        <v>1</v>
      </c>
      <c r="L11" s="544" t="s">
        <v>284</v>
      </c>
    </row>
    <row r="12" spans="1:19" ht="30" x14ac:dyDescent="0.25">
      <c r="A12" s="542" t="s">
        <v>285</v>
      </c>
      <c r="B12" s="542" t="s">
        <v>286</v>
      </c>
      <c r="C12" s="543"/>
      <c r="D12" s="544" t="s">
        <v>264</v>
      </c>
      <c r="E12" s="545"/>
      <c r="F12" s="543" t="s">
        <v>287</v>
      </c>
      <c r="G12" s="544" t="e">
        <v>#N/A</v>
      </c>
      <c r="H12" s="543" t="s">
        <v>266</v>
      </c>
      <c r="I12" s="543"/>
      <c r="J12" s="544">
        <v>1</v>
      </c>
      <c r="K12" s="544">
        <v>1</v>
      </c>
      <c r="L12" s="544" t="s">
        <v>278</v>
      </c>
    </row>
    <row r="13" spans="1:19" x14ac:dyDescent="0.25">
      <c r="A13" s="546" t="s">
        <v>288</v>
      </c>
    </row>
    <row r="14" spans="1:19" x14ac:dyDescent="0.25">
      <c r="A14" s="537" t="s">
        <v>94</v>
      </c>
      <c r="B14" s="538" t="s">
        <v>98</v>
      </c>
      <c r="C14" s="538" t="s">
        <v>101</v>
      </c>
      <c r="D14" s="539" t="s">
        <v>105</v>
      </c>
      <c r="E14" s="538" t="s">
        <v>108</v>
      </c>
      <c r="F14" s="538" t="s">
        <v>111</v>
      </c>
      <c r="G14" s="538" t="s">
        <v>113</v>
      </c>
      <c r="H14" s="538" t="s">
        <v>116</v>
      </c>
      <c r="I14" s="538" t="s">
        <v>119</v>
      </c>
      <c r="J14" s="540" t="s">
        <v>122</v>
      </c>
      <c r="K14" s="540" t="s">
        <v>125</v>
      </c>
      <c r="L14" s="547" t="s">
        <v>1</v>
      </c>
      <c r="M14" s="540" t="s">
        <v>131</v>
      </c>
      <c r="N14" s="540" t="s">
        <v>135</v>
      </c>
      <c r="O14" s="540" t="s">
        <v>138</v>
      </c>
      <c r="P14" s="540" t="s">
        <v>142</v>
      </c>
      <c r="Q14" s="540" t="s">
        <v>145</v>
      </c>
      <c r="R14" s="540" t="s">
        <v>149</v>
      </c>
      <c r="S14" s="540" t="s">
        <v>174</v>
      </c>
    </row>
    <row r="15" spans="1:19" x14ac:dyDescent="0.25">
      <c r="A15" s="542" t="s">
        <v>289</v>
      </c>
      <c r="B15" s="543" t="s">
        <v>290</v>
      </c>
      <c r="C15" s="543"/>
      <c r="D15" s="544" t="s">
        <v>269</v>
      </c>
      <c r="E15" s="543"/>
      <c r="F15" s="543" t="s">
        <v>291</v>
      </c>
      <c r="G15" s="544" t="s">
        <v>276</v>
      </c>
      <c r="H15" s="543" t="s">
        <v>292</v>
      </c>
      <c r="I15" s="543"/>
      <c r="J15" s="544">
        <v>1</v>
      </c>
      <c r="K15" s="544">
        <v>1</v>
      </c>
      <c r="L15" s="544" t="s">
        <v>293</v>
      </c>
      <c r="M15" s="548">
        <v>0</v>
      </c>
      <c r="N15" s="544"/>
      <c r="O15" s="548">
        <v>0</v>
      </c>
      <c r="P15" s="543" t="s">
        <v>48</v>
      </c>
      <c r="Q15" s="544">
        <v>1</v>
      </c>
      <c r="R15" s="544">
        <v>0</v>
      </c>
      <c r="S15" s="543" t="s">
        <v>294</v>
      </c>
    </row>
    <row r="16" spans="1:19" x14ac:dyDescent="0.25">
      <c r="A16" s="542" t="s">
        <v>267</v>
      </c>
      <c r="B16" s="543" t="s">
        <v>295</v>
      </c>
      <c r="C16" s="543"/>
      <c r="D16" s="549" t="s">
        <v>264</v>
      </c>
      <c r="E16" s="543"/>
      <c r="F16" s="543" t="s">
        <v>296</v>
      </c>
      <c r="G16" s="544" t="s">
        <v>297</v>
      </c>
      <c r="H16" s="550" t="s">
        <v>266</v>
      </c>
      <c r="I16" s="543"/>
      <c r="J16" s="544">
        <v>1</v>
      </c>
      <c r="K16" s="544">
        <v>1</v>
      </c>
      <c r="L16" s="544" t="s">
        <v>278</v>
      </c>
      <c r="M16" s="548">
        <v>0</v>
      </c>
      <c r="N16" s="544"/>
      <c r="O16" s="548">
        <v>0</v>
      </c>
      <c r="P16" s="543" t="s">
        <v>48</v>
      </c>
      <c r="Q16" s="544">
        <v>1</v>
      </c>
      <c r="R16" s="544">
        <v>0</v>
      </c>
      <c r="S16" s="543" t="s">
        <v>294</v>
      </c>
    </row>
    <row r="17" spans="1:19" x14ac:dyDescent="0.25">
      <c r="A17" s="542" t="s">
        <v>298</v>
      </c>
      <c r="B17" s="543" t="s">
        <v>299</v>
      </c>
      <c r="C17" s="543"/>
      <c r="D17" s="544" t="s">
        <v>269</v>
      </c>
      <c r="E17" s="543"/>
      <c r="F17" s="543" t="s">
        <v>300</v>
      </c>
      <c r="G17" s="544" t="s">
        <v>301</v>
      </c>
      <c r="H17" s="543" t="s">
        <v>302</v>
      </c>
      <c r="I17" s="543"/>
      <c r="J17" s="544">
        <v>1</v>
      </c>
      <c r="K17" s="544">
        <v>1</v>
      </c>
      <c r="L17" s="544" t="s">
        <v>293</v>
      </c>
      <c r="M17" s="548">
        <v>0</v>
      </c>
      <c r="N17" s="544"/>
      <c r="O17" s="548">
        <v>0</v>
      </c>
      <c r="P17" s="543" t="s">
        <v>48</v>
      </c>
      <c r="Q17" s="544">
        <v>1</v>
      </c>
      <c r="R17" s="544">
        <v>0</v>
      </c>
      <c r="S17" s="543" t="s">
        <v>303</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37"/>
  <sheetViews>
    <sheetView tabSelected="1" workbookViewId="0">
      <pane xSplit="2" ySplit="5" topLeftCell="F6" activePane="bottomRight" state="frozen"/>
      <selection pane="topRight" activeCell="C1" sqref="C1"/>
      <selection pane="bottomLeft" activeCell="A4" sqref="A4"/>
      <selection pane="bottomRight" activeCell="D12" sqref="D12"/>
    </sheetView>
  </sheetViews>
  <sheetFormatPr defaultRowHeight="15" x14ac:dyDescent="0.25"/>
  <cols>
    <col min="1" max="1" width="15.85546875" style="172" customWidth="1"/>
    <col min="2" max="2" width="60.85546875" style="170" customWidth="1"/>
    <col min="3" max="3" width="9.28515625" style="170" bestFit="1" customWidth="1"/>
    <col min="4" max="4" width="12.140625" style="173" customWidth="1"/>
    <col min="5" max="5" width="9.5703125" style="170" customWidth="1"/>
    <col min="6" max="6" width="40.28515625" style="170" customWidth="1"/>
    <col min="7" max="7" width="7.140625" style="170" customWidth="1"/>
    <col min="8" max="8" width="30.140625" style="173" customWidth="1"/>
    <col min="9" max="9" width="10.5703125" style="173" customWidth="1"/>
    <col min="10" max="10" width="13.42578125" style="170" customWidth="1"/>
    <col min="11" max="11" width="8.28515625" style="170" customWidth="1"/>
    <col min="12" max="12" width="17.28515625" style="170" customWidth="1"/>
    <col min="13" max="13" width="11.140625" style="170" customWidth="1"/>
    <col min="14" max="14" width="12.5703125" style="170" customWidth="1"/>
    <col min="15" max="15" width="11.7109375" style="170" customWidth="1"/>
    <col min="16" max="16" width="15" style="170" customWidth="1"/>
    <col min="17" max="17" width="10.42578125" style="170" customWidth="1"/>
    <col min="18" max="18" width="30.140625" style="175" customWidth="1"/>
    <col min="19" max="19" width="11.5703125" style="175" customWidth="1"/>
    <col min="20" max="20" width="7.140625" style="174" customWidth="1"/>
    <col min="21" max="21" width="10.140625" style="174" customWidth="1"/>
    <col min="22" max="22" width="6.42578125" style="174" customWidth="1"/>
    <col min="23" max="23" width="7" style="174" customWidth="1"/>
    <col min="24" max="24" width="13.5703125" style="174" customWidth="1"/>
    <col min="25" max="25" width="45.7109375" style="175" customWidth="1"/>
    <col min="26" max="26" width="11.5703125" style="175" customWidth="1"/>
    <col min="27" max="27" width="7.140625" style="174" customWidth="1"/>
    <col min="28" max="28" width="10.140625" style="174" customWidth="1"/>
    <col min="29" max="29" width="6.42578125" style="174" customWidth="1"/>
    <col min="30" max="30" width="7" style="174" customWidth="1"/>
    <col min="31" max="31" width="13.5703125" style="174"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658" t="s">
        <v>304</v>
      </c>
      <c r="B1" s="659"/>
      <c r="C1" s="659"/>
      <c r="D1" s="659"/>
      <c r="E1" s="659"/>
      <c r="F1" s="659"/>
      <c r="G1" s="659"/>
      <c r="H1" s="659"/>
      <c r="I1" s="659"/>
      <c r="J1" s="659"/>
      <c r="K1" s="659"/>
      <c r="L1" s="659"/>
      <c r="M1" s="659"/>
      <c r="N1" s="659"/>
      <c r="O1" s="659"/>
      <c r="P1" s="659"/>
      <c r="Q1" s="659"/>
      <c r="R1" s="659"/>
      <c r="S1" s="659"/>
      <c r="T1" s="659"/>
      <c r="U1" s="659"/>
      <c r="V1" s="659"/>
      <c r="W1" s="659"/>
      <c r="X1" s="659"/>
      <c r="Y1" s="659"/>
      <c r="Z1" s="659"/>
      <c r="AA1" s="659"/>
      <c r="AB1" s="659"/>
      <c r="AC1" s="659"/>
      <c r="AD1" s="659"/>
      <c r="AE1" s="659"/>
      <c r="AF1" s="659"/>
      <c r="AG1" s="659"/>
      <c r="AH1" s="660"/>
    </row>
    <row r="2" spans="1:34" ht="19.5" thickBot="1" x14ac:dyDescent="0.3">
      <c r="A2" s="661" t="s">
        <v>305</v>
      </c>
      <c r="B2" s="662"/>
      <c r="C2" s="662"/>
      <c r="D2" s="662"/>
      <c r="E2" s="662"/>
      <c r="F2" s="662"/>
      <c r="G2" s="662"/>
      <c r="H2" s="662"/>
      <c r="I2" s="662"/>
      <c r="J2" s="663"/>
      <c r="K2" s="401">
        <f>SUM(K7:K32)</f>
        <v>23</v>
      </c>
      <c r="L2" s="401">
        <f>SUM(L7:L32)</f>
        <v>30</v>
      </c>
      <c r="M2" s="402"/>
      <c r="N2" s="458">
        <f>SUMPRODUCT(K7:K32,N7:N32)/K35</f>
        <v>1</v>
      </c>
      <c r="O2" s="459">
        <f>SUM(O7:O32)</f>
        <v>27</v>
      </c>
      <c r="P2" s="460">
        <f>SUMPRODUCT(K7:K32,P7:P32)/K35</f>
        <v>0.89130434782608692</v>
      </c>
      <c r="Q2" s="403"/>
      <c r="R2" s="404">
        <f t="shared" ref="R2:W2" si="0">SUM(R7:R32)</f>
        <v>27</v>
      </c>
      <c r="S2" s="461">
        <f t="shared" si="0"/>
        <v>25</v>
      </c>
      <c r="T2" s="461">
        <f t="shared" si="0"/>
        <v>16</v>
      </c>
      <c r="U2" s="461">
        <f t="shared" si="0"/>
        <v>1</v>
      </c>
      <c r="V2" s="461">
        <f t="shared" si="0"/>
        <v>0</v>
      </c>
      <c r="W2" s="461">
        <f t="shared" si="0"/>
        <v>8</v>
      </c>
      <c r="X2" s="462">
        <f>IF((S35=0),0,((T35+U35)/S35*100%))</f>
        <v>0.68</v>
      </c>
      <c r="Y2" s="405"/>
      <c r="Z2" s="475">
        <f>SUM(Z7:Z32)</f>
        <v>23</v>
      </c>
      <c r="AA2" s="476">
        <f>SUM(AA7:AA32)</f>
        <v>23</v>
      </c>
      <c r="AB2" s="476">
        <f>SUM(AB7:AB32)</f>
        <v>0</v>
      </c>
      <c r="AC2" s="476">
        <f>SUM(AC7:AC32)</f>
        <v>0</v>
      </c>
      <c r="AD2" s="476">
        <f>SUM(AD7:AD32)</f>
        <v>0</v>
      </c>
      <c r="AE2" s="465">
        <f>IF((Z35=0),0,((AA35+AB35)/Z35*100%))</f>
        <v>1</v>
      </c>
      <c r="AF2" s="406"/>
      <c r="AG2" s="406"/>
      <c r="AH2" s="407"/>
    </row>
    <row r="3" spans="1:34" ht="19.5" customHeight="1" thickBot="1" x14ac:dyDescent="0.3">
      <c r="A3" s="658" t="s">
        <v>306</v>
      </c>
      <c r="B3" s="659"/>
      <c r="C3" s="659"/>
      <c r="D3" s="659"/>
      <c r="E3" s="659"/>
      <c r="F3" s="659"/>
      <c r="G3" s="659"/>
      <c r="H3" s="659"/>
      <c r="I3" s="659"/>
      <c r="J3" s="659"/>
      <c r="K3" s="659"/>
      <c r="L3" s="659"/>
      <c r="M3" s="659"/>
      <c r="N3" s="659"/>
      <c r="O3" s="659"/>
      <c r="P3" s="659"/>
      <c r="Q3" s="659"/>
      <c r="R3" s="659"/>
      <c r="S3" s="659"/>
      <c r="T3" s="659"/>
      <c r="U3" s="659"/>
      <c r="V3" s="659"/>
      <c r="W3" s="659"/>
      <c r="X3" s="659"/>
      <c r="Y3" s="659"/>
      <c r="Z3" s="659"/>
      <c r="AA3" s="659"/>
      <c r="AB3" s="659"/>
      <c r="AC3" s="659"/>
      <c r="AD3" s="659"/>
      <c r="AE3" s="659"/>
      <c r="AF3" s="659"/>
      <c r="AG3" s="659"/>
      <c r="AH3" s="660"/>
    </row>
    <row r="4" spans="1:34" ht="31.5" customHeight="1" thickBot="1" x14ac:dyDescent="0.3">
      <c r="A4" s="664" t="s">
        <v>93</v>
      </c>
      <c r="B4" s="665"/>
      <c r="C4" s="665"/>
      <c r="D4" s="665"/>
      <c r="E4" s="665"/>
      <c r="F4" s="665"/>
      <c r="G4" s="665"/>
      <c r="H4" s="665"/>
      <c r="I4" s="665"/>
      <c r="J4" s="665"/>
      <c r="K4" s="665"/>
      <c r="L4" s="665"/>
      <c r="M4" s="666"/>
      <c r="N4" s="667" t="s">
        <v>307</v>
      </c>
      <c r="O4" s="668"/>
      <c r="P4" s="669"/>
      <c r="Q4" s="674" t="s">
        <v>308</v>
      </c>
      <c r="R4" s="675"/>
      <c r="S4" s="675"/>
      <c r="T4" s="675"/>
      <c r="U4" s="675"/>
      <c r="V4" s="675"/>
      <c r="W4" s="675"/>
      <c r="X4" s="675"/>
      <c r="Y4" s="676"/>
      <c r="Z4" s="670" t="s">
        <v>309</v>
      </c>
      <c r="AA4" s="671"/>
      <c r="AB4" s="671"/>
      <c r="AC4" s="671"/>
      <c r="AD4" s="671"/>
      <c r="AE4" s="672"/>
      <c r="AF4" s="672"/>
      <c r="AG4" s="672"/>
      <c r="AH4" s="673"/>
    </row>
    <row r="5" spans="1:34" s="171" customFormat="1" ht="15.75" thickBot="1" x14ac:dyDescent="0.3">
      <c r="A5" s="351" t="s">
        <v>94</v>
      </c>
      <c r="B5" s="352" t="s">
        <v>98</v>
      </c>
      <c r="C5" s="352" t="s">
        <v>101</v>
      </c>
      <c r="D5" s="353" t="s">
        <v>105</v>
      </c>
      <c r="E5" s="352" t="s">
        <v>108</v>
      </c>
      <c r="F5" s="352" t="s">
        <v>111</v>
      </c>
      <c r="G5" s="352" t="s">
        <v>113</v>
      </c>
      <c r="H5" s="352" t="s">
        <v>116</v>
      </c>
      <c r="I5" s="352" t="s">
        <v>310</v>
      </c>
      <c r="J5" s="352" t="s">
        <v>119</v>
      </c>
      <c r="K5" s="354" t="s">
        <v>122</v>
      </c>
      <c r="L5" s="354" t="s">
        <v>125</v>
      </c>
      <c r="M5" s="531" t="s">
        <v>1</v>
      </c>
      <c r="N5" s="363" t="s">
        <v>131</v>
      </c>
      <c r="O5" s="356" t="s">
        <v>135</v>
      </c>
      <c r="P5" s="364" t="s">
        <v>138</v>
      </c>
      <c r="Q5" s="362" t="s">
        <v>142</v>
      </c>
      <c r="R5" s="357" t="s">
        <v>145</v>
      </c>
      <c r="S5" s="357" t="s">
        <v>149</v>
      </c>
      <c r="T5" s="358" t="s">
        <v>30</v>
      </c>
      <c r="U5" s="358" t="s">
        <v>152</v>
      </c>
      <c r="V5" s="358" t="s">
        <v>36</v>
      </c>
      <c r="W5" s="358" t="s">
        <v>155</v>
      </c>
      <c r="X5" s="358" t="s">
        <v>157</v>
      </c>
      <c r="Y5" s="359" t="s">
        <v>159</v>
      </c>
      <c r="Z5" s="360" t="s">
        <v>149</v>
      </c>
      <c r="AA5" s="358" t="s">
        <v>30</v>
      </c>
      <c r="AB5" s="358" t="s">
        <v>152</v>
      </c>
      <c r="AC5" s="358" t="s">
        <v>36</v>
      </c>
      <c r="AD5" s="358" t="s">
        <v>155</v>
      </c>
      <c r="AE5" s="358" t="s">
        <v>157</v>
      </c>
      <c r="AF5" s="352" t="s">
        <v>172</v>
      </c>
      <c r="AG5" s="352" t="s">
        <v>174</v>
      </c>
      <c r="AH5" s="355" t="s">
        <v>177</v>
      </c>
    </row>
    <row r="6" spans="1:34" ht="9.75" customHeight="1" thickBot="1" x14ac:dyDescent="0.3">
      <c r="A6" s="578"/>
      <c r="B6" s="579"/>
      <c r="C6" s="580"/>
      <c r="D6" s="581"/>
      <c r="E6" s="580"/>
      <c r="F6" s="580"/>
      <c r="G6" s="582"/>
      <c r="H6" s="583"/>
      <c r="I6" s="584"/>
      <c r="J6" s="580"/>
      <c r="K6" s="585"/>
      <c r="L6" s="585"/>
      <c r="M6" s="586"/>
      <c r="N6" s="587"/>
      <c r="O6" s="588"/>
      <c r="P6" s="589"/>
      <c r="Q6" s="584"/>
      <c r="R6" s="585"/>
      <c r="S6" s="590"/>
      <c r="T6" s="591"/>
      <c r="U6" s="591"/>
      <c r="V6" s="591"/>
      <c r="W6" s="591"/>
      <c r="X6" s="592"/>
      <c r="Y6" s="593"/>
      <c r="Z6" s="594"/>
      <c r="AA6" s="591"/>
      <c r="AB6" s="591"/>
      <c r="AC6" s="591"/>
      <c r="AD6" s="591"/>
      <c r="AE6" s="592"/>
      <c r="AF6" s="580"/>
      <c r="AG6" s="595"/>
      <c r="AH6" s="596"/>
    </row>
    <row r="7" spans="1:34" ht="15.75" thickBot="1" x14ac:dyDescent="0.3">
      <c r="A7" s="569" t="s">
        <v>311</v>
      </c>
      <c r="B7" s="570" t="s">
        <v>312</v>
      </c>
      <c r="C7" s="322"/>
      <c r="D7" s="361" t="s">
        <v>269</v>
      </c>
      <c r="E7" s="322"/>
      <c r="F7" s="322" t="s">
        <v>313</v>
      </c>
      <c r="G7" s="242" t="str">
        <f>VLOOKUP(A7,'Feature Summary'!$A$7:$C$3941,3,FALSE)</f>
        <v>p2</v>
      </c>
      <c r="H7" s="572" t="s">
        <v>314</v>
      </c>
      <c r="I7" s="437" t="s">
        <v>41</v>
      </c>
      <c r="J7" s="322"/>
      <c r="K7" s="323">
        <v>1</v>
      </c>
      <c r="L7" s="323">
        <v>4</v>
      </c>
      <c r="M7" s="529" t="s">
        <v>33</v>
      </c>
      <c r="N7" s="450">
        <v>1</v>
      </c>
      <c r="O7" s="451">
        <v>4</v>
      </c>
      <c r="P7" s="452">
        <f>IF((O7=0),0,(O7/L7))</f>
        <v>1</v>
      </c>
      <c r="Q7" s="437" t="s">
        <v>50</v>
      </c>
      <c r="R7" s="323">
        <v>4</v>
      </c>
      <c r="S7" s="477">
        <f t="shared" ref="S7:S29" si="1">SUM(T7:W7)</f>
        <v>4</v>
      </c>
      <c r="T7" s="467"/>
      <c r="U7" s="467"/>
      <c r="V7" s="467"/>
      <c r="W7" s="467">
        <v>4</v>
      </c>
      <c r="X7" s="478">
        <f>IF((S7=0),0,((T7+U7)/S7*100%))</f>
        <v>0</v>
      </c>
      <c r="Y7" s="438"/>
      <c r="Z7" s="466">
        <f t="shared" ref="Z7" si="2">SUM(AA7:AD7)</f>
        <v>4</v>
      </c>
      <c r="AA7" s="467">
        <v>4</v>
      </c>
      <c r="AB7" s="467"/>
      <c r="AC7" s="467"/>
      <c r="AD7" s="467"/>
      <c r="AE7" s="468">
        <f>IF((Z7=0),0,((AA7+AB7)/Z7*100%))</f>
        <v>1</v>
      </c>
      <c r="AF7" s="322"/>
      <c r="AG7" s="439" t="str">
        <f>VLOOKUP(A7,'Feature Summary'!$A$7:$U$3941,21,FALSE)</f>
        <v>WK08</v>
      </c>
      <c r="AH7" s="324"/>
    </row>
    <row r="8" spans="1:34" ht="15.75" thickBot="1" x14ac:dyDescent="0.3">
      <c r="A8" s="569" t="s">
        <v>315</v>
      </c>
      <c r="B8" s="570" t="s">
        <v>316</v>
      </c>
      <c r="C8" s="322"/>
      <c r="D8" s="361" t="s">
        <v>269</v>
      </c>
      <c r="E8" s="322"/>
      <c r="F8" s="322" t="s">
        <v>317</v>
      </c>
      <c r="G8" s="242" t="str">
        <f>VLOOKUP(A8,'Feature Summary'!$A$7:$C$3941,3,FALSE)</f>
        <v>p2</v>
      </c>
      <c r="H8" s="413" t="s">
        <v>318</v>
      </c>
      <c r="I8" s="437" t="s">
        <v>35</v>
      </c>
      <c r="J8" s="322"/>
      <c r="K8" s="323">
        <v>1</v>
      </c>
      <c r="L8" s="323">
        <v>1</v>
      </c>
      <c r="M8" s="529" t="s">
        <v>39</v>
      </c>
      <c r="N8" s="450">
        <v>1</v>
      </c>
      <c r="O8" s="451">
        <v>1</v>
      </c>
      <c r="P8" s="452">
        <f>IF((O8=0),0,(O8/L8))</f>
        <v>1</v>
      </c>
      <c r="Q8" s="437" t="s">
        <v>50</v>
      </c>
      <c r="R8" s="323">
        <v>1</v>
      </c>
      <c r="S8" s="477">
        <f t="shared" si="1"/>
        <v>1</v>
      </c>
      <c r="T8" s="467">
        <v>1</v>
      </c>
      <c r="U8" s="467"/>
      <c r="V8" s="467"/>
      <c r="W8" s="467"/>
      <c r="X8" s="478">
        <f>IF((S8=0),0,((T8+U8)/S8*100%))</f>
        <v>1</v>
      </c>
      <c r="Y8" s="438"/>
      <c r="Z8" s="466">
        <f t="shared" ref="Z8" si="3">SUM(AA8:AD8)</f>
        <v>0</v>
      </c>
      <c r="AA8" s="467"/>
      <c r="AB8" s="467"/>
      <c r="AC8" s="467"/>
      <c r="AD8" s="467"/>
      <c r="AE8" s="468">
        <f>IF((Z8=0),0,((AA8+AB8)/Z8*100%))</f>
        <v>0</v>
      </c>
      <c r="AF8" s="322" t="s">
        <v>319</v>
      </c>
      <c r="AG8" s="439" t="str">
        <f>VLOOKUP(A8,'Feature Summary'!$A$7:$U$3941,21,FALSE)</f>
        <v>WK06</v>
      </c>
      <c r="AH8" s="324"/>
    </row>
    <row r="9" spans="1:34" ht="15.75" thickBot="1" x14ac:dyDescent="0.3">
      <c r="A9" s="336" t="s">
        <v>320</v>
      </c>
      <c r="B9" s="574" t="s">
        <v>321</v>
      </c>
      <c r="C9" s="322"/>
      <c r="D9" s="361" t="s">
        <v>269</v>
      </c>
      <c r="E9" s="322"/>
      <c r="F9" s="322" t="s">
        <v>322</v>
      </c>
      <c r="G9" s="242" t="str">
        <f>VLOOKUP(A9,'Feature Summary'!$A$7:$C$3941,3,FALSE)</f>
        <v>p1</v>
      </c>
      <c r="H9" s="413" t="s">
        <v>323</v>
      </c>
      <c r="I9" s="437" t="s">
        <v>35</v>
      </c>
      <c r="J9" s="322"/>
      <c r="K9" s="323">
        <v>1</v>
      </c>
      <c r="L9" s="323">
        <v>2</v>
      </c>
      <c r="M9" s="529" t="s">
        <v>44</v>
      </c>
      <c r="N9" s="450">
        <v>1</v>
      </c>
      <c r="O9" s="451">
        <v>1</v>
      </c>
      <c r="P9" s="452">
        <f>IF((O9=0),0,(O9/L9))</f>
        <v>0.5</v>
      </c>
      <c r="Q9" s="437" t="s">
        <v>50</v>
      </c>
      <c r="R9" s="323">
        <v>1</v>
      </c>
      <c r="S9" s="477">
        <f t="shared" si="1"/>
        <v>0</v>
      </c>
      <c r="T9" s="467"/>
      <c r="U9" s="467"/>
      <c r="V9" s="467"/>
      <c r="W9" s="467"/>
      <c r="X9" s="478">
        <f>IF((S9=0),0,((T9+U9)/S9*100%))</f>
        <v>0</v>
      </c>
      <c r="Y9" s="438"/>
      <c r="Z9" s="466">
        <f>SUM(AA9:AD9)</f>
        <v>0</v>
      </c>
      <c r="AA9" s="467"/>
      <c r="AB9" s="467"/>
      <c r="AC9" s="467"/>
      <c r="AD9" s="467"/>
      <c r="AE9" s="468">
        <f>IF((Z9=0),0,((AA9+AB9)/Z9*100%))</f>
        <v>0</v>
      </c>
      <c r="AF9" s="322"/>
      <c r="AG9" s="439" t="str">
        <f>VLOOKUP(A9,'Feature Summary'!$A$7:$U$3941,21,FALSE)</f>
        <v>WK07</v>
      </c>
      <c r="AH9" s="324"/>
    </row>
    <row r="10" spans="1:34" ht="15.75" thickBot="1" x14ac:dyDescent="0.3">
      <c r="A10" s="336" t="s">
        <v>324</v>
      </c>
      <c r="B10" s="575" t="s">
        <v>325</v>
      </c>
      <c r="C10" s="322"/>
      <c r="D10" s="361" t="s">
        <v>269</v>
      </c>
      <c r="E10" s="322"/>
      <c r="F10" s="322" t="s">
        <v>317</v>
      </c>
      <c r="G10" s="242" t="str">
        <f>VLOOKUP(A10,'Feature Summary'!$A$7:$C$3941,3,FALSE)</f>
        <v>p2</v>
      </c>
      <c r="H10" s="413" t="s">
        <v>318</v>
      </c>
      <c r="I10" s="437" t="s">
        <v>35</v>
      </c>
      <c r="J10" s="322"/>
      <c r="K10" s="323">
        <v>1</v>
      </c>
      <c r="L10" s="323">
        <v>1</v>
      </c>
      <c r="M10" s="529" t="s">
        <v>33</v>
      </c>
      <c r="N10" s="450">
        <v>1</v>
      </c>
      <c r="O10" s="451">
        <v>1</v>
      </c>
      <c r="P10" s="452">
        <f t="shared" ref="P10:P29" si="4">IF((O10=0),0,(O10/L10))</f>
        <v>1</v>
      </c>
      <c r="Q10" s="437" t="s">
        <v>50</v>
      </c>
      <c r="R10" s="323">
        <v>1</v>
      </c>
      <c r="S10" s="477">
        <f t="shared" si="1"/>
        <v>1</v>
      </c>
      <c r="T10" s="467">
        <v>1</v>
      </c>
      <c r="U10" s="467"/>
      <c r="V10" s="467"/>
      <c r="W10" s="467"/>
      <c r="X10" s="478">
        <f>IF((S10=0),0,((T10+U10)/S10*100%))</f>
        <v>1</v>
      </c>
      <c r="Y10" s="438"/>
      <c r="Z10" s="466">
        <f t="shared" ref="Z10:Z29" si="5">SUM(AA10:AD10)</f>
        <v>1</v>
      </c>
      <c r="AA10" s="467">
        <v>1</v>
      </c>
      <c r="AB10" s="467"/>
      <c r="AC10" s="467"/>
      <c r="AD10" s="467"/>
      <c r="AE10" s="468">
        <f t="shared" ref="AE10:AE29" si="6">IF((Z10=0),0,((AA10+AB10)/Z10*100%))</f>
        <v>1</v>
      </c>
      <c r="AF10" s="322" t="s">
        <v>326</v>
      </c>
      <c r="AG10" s="439" t="str">
        <f>VLOOKUP(A10,'Feature Summary'!$A$7:$U$3941,21,FALSE)</f>
        <v>WK02</v>
      </c>
      <c r="AH10" s="324"/>
    </row>
    <row r="11" spans="1:34" ht="15.75" thickBot="1" x14ac:dyDescent="0.3">
      <c r="A11" s="336" t="s">
        <v>327</v>
      </c>
      <c r="B11" s="574" t="s">
        <v>328</v>
      </c>
      <c r="C11" s="322"/>
      <c r="D11" s="361" t="s">
        <v>269</v>
      </c>
      <c r="E11" s="322"/>
      <c r="F11" s="322" t="s">
        <v>329</v>
      </c>
      <c r="G11" s="242" t="str">
        <f>VLOOKUP(A11,'Feature Summary'!$A$7:$C$3941,3,FALSE)</f>
        <v>p1</v>
      </c>
      <c r="H11" s="413" t="s">
        <v>330</v>
      </c>
      <c r="I11" s="437" t="s">
        <v>35</v>
      </c>
      <c r="J11" s="322"/>
      <c r="K11" s="323">
        <v>1</v>
      </c>
      <c r="L11" s="323">
        <v>1</v>
      </c>
      <c r="M11" s="529" t="s">
        <v>44</v>
      </c>
      <c r="N11" s="450">
        <v>1</v>
      </c>
      <c r="O11" s="451">
        <v>1</v>
      </c>
      <c r="P11" s="452">
        <f t="shared" si="4"/>
        <v>1</v>
      </c>
      <c r="Q11" s="437" t="s">
        <v>50</v>
      </c>
      <c r="R11" s="323">
        <v>1</v>
      </c>
      <c r="S11" s="477">
        <f t="shared" si="1"/>
        <v>1</v>
      </c>
      <c r="T11" s="467">
        <v>1</v>
      </c>
      <c r="U11" s="467"/>
      <c r="V11" s="467"/>
      <c r="W11" s="467"/>
      <c r="X11" s="478">
        <f t="shared" ref="X11:X29" si="7">IF((S11=0),0,((T11+U11)/S11*100%))</f>
        <v>1</v>
      </c>
      <c r="Y11" s="438"/>
      <c r="Z11" s="466">
        <f t="shared" si="5"/>
        <v>1</v>
      </c>
      <c r="AA11" s="467">
        <v>1</v>
      </c>
      <c r="AB11" s="467"/>
      <c r="AC11" s="467"/>
      <c r="AD11" s="467"/>
      <c r="AE11" s="468">
        <f>IF((Z11=0),0,((AA11+AB11)/Z11*100%))</f>
        <v>1</v>
      </c>
      <c r="AF11" s="322"/>
      <c r="AG11" s="439" t="str">
        <f>VLOOKUP(A11,'Feature Summary'!$A$7:$U$3941,21,FALSE)</f>
        <v>WK02</v>
      </c>
      <c r="AH11" s="324"/>
    </row>
    <row r="12" spans="1:34" ht="15.75" thickBot="1" x14ac:dyDescent="0.3">
      <c r="A12" s="336" t="s">
        <v>331</v>
      </c>
      <c r="B12" s="575" t="s">
        <v>332</v>
      </c>
      <c r="C12" s="322"/>
      <c r="D12" s="361" t="s">
        <v>265</v>
      </c>
      <c r="E12" s="322"/>
      <c r="F12" s="322" t="s">
        <v>333</v>
      </c>
      <c r="G12" s="242" t="str">
        <f>VLOOKUP(A12,'Feature Summary'!$A$7:$C$3941,3,FALSE)</f>
        <v>p1</v>
      </c>
      <c r="H12" s="413" t="s">
        <v>590</v>
      </c>
      <c r="I12" s="437" t="s">
        <v>41</v>
      </c>
      <c r="J12" s="322"/>
      <c r="K12" s="323">
        <v>1</v>
      </c>
      <c r="L12" s="323">
        <v>1</v>
      </c>
      <c r="M12" s="529" t="s">
        <v>44</v>
      </c>
      <c r="N12" s="450">
        <v>1</v>
      </c>
      <c r="O12" s="451"/>
      <c r="P12" s="452">
        <f>IF((O12=0),0,(O12/L12))</f>
        <v>0</v>
      </c>
      <c r="Q12" s="437" t="s">
        <v>47</v>
      </c>
      <c r="R12" s="323"/>
      <c r="S12" s="477">
        <f t="shared" si="1"/>
        <v>0</v>
      </c>
      <c r="T12" s="467"/>
      <c r="U12" s="467"/>
      <c r="V12" s="467"/>
      <c r="W12" s="467"/>
      <c r="X12" s="478">
        <f>IF((S12=0),0,((T12+U12)/S12*100%))</f>
        <v>0</v>
      </c>
      <c r="Y12" s="438"/>
      <c r="Z12" s="466">
        <f t="shared" si="5"/>
        <v>0</v>
      </c>
      <c r="AA12" s="467"/>
      <c r="AB12" s="467"/>
      <c r="AC12" s="467"/>
      <c r="AD12" s="467"/>
      <c r="AE12" s="468">
        <f>IF((Z12=0),0,((AA12+AB12)/Z12*100%))</f>
        <v>0</v>
      </c>
      <c r="AF12" s="322"/>
      <c r="AG12" s="439">
        <f>VLOOKUP(A12,'Feature Summary'!$A$7:$U$3941,21,FALSE)</f>
        <v>0</v>
      </c>
      <c r="AH12" s="324" t="s">
        <v>334</v>
      </c>
    </row>
    <row r="13" spans="1:34" ht="15.75" thickBot="1" x14ac:dyDescent="0.3">
      <c r="A13" s="336" t="s">
        <v>335</v>
      </c>
      <c r="B13" s="575" t="s">
        <v>336</v>
      </c>
      <c r="C13" s="322"/>
      <c r="D13" s="361" t="s">
        <v>265</v>
      </c>
      <c r="E13" s="322"/>
      <c r="F13" s="322" t="s">
        <v>337</v>
      </c>
      <c r="G13" s="242" t="str">
        <f>VLOOKUP(A13,'Feature Summary'!$A$7:$C$3941,3,FALSE)</f>
        <v>p1</v>
      </c>
      <c r="H13" s="413" t="s">
        <v>591</v>
      </c>
      <c r="I13" s="437" t="s">
        <v>41</v>
      </c>
      <c r="J13" s="322"/>
      <c r="K13" s="323">
        <v>1</v>
      </c>
      <c r="L13" s="323">
        <v>1</v>
      </c>
      <c r="M13" s="529" t="s">
        <v>44</v>
      </c>
      <c r="N13" s="450">
        <v>1</v>
      </c>
      <c r="O13" s="451">
        <v>1</v>
      </c>
      <c r="P13" s="452">
        <f t="shared" si="4"/>
        <v>1</v>
      </c>
      <c r="Q13" s="437" t="s">
        <v>50</v>
      </c>
      <c r="R13" s="323">
        <v>1</v>
      </c>
      <c r="S13" s="477">
        <f t="shared" si="1"/>
        <v>1</v>
      </c>
      <c r="T13" s="467">
        <v>1</v>
      </c>
      <c r="U13" s="467"/>
      <c r="V13" s="467"/>
      <c r="W13" s="467"/>
      <c r="X13" s="478">
        <f>IF((S13=0),0,((T13+U13)/S13*100%))</f>
        <v>1</v>
      </c>
      <c r="Y13" s="438"/>
      <c r="Z13" s="466">
        <f t="shared" si="5"/>
        <v>1</v>
      </c>
      <c r="AA13" s="467">
        <v>1</v>
      </c>
      <c r="AB13" s="467"/>
      <c r="AC13" s="467"/>
      <c r="AD13" s="467"/>
      <c r="AE13" s="468">
        <f t="shared" si="6"/>
        <v>1</v>
      </c>
      <c r="AF13" s="322"/>
      <c r="AG13" s="439" t="str">
        <f>VLOOKUP(A13,'Feature Summary'!$A$7:$U$3941,21,FALSE)</f>
        <v>WK07</v>
      </c>
      <c r="AH13" s="324" t="s">
        <v>334</v>
      </c>
    </row>
    <row r="14" spans="1:34" ht="15.75" thickBot="1" x14ac:dyDescent="0.3">
      <c r="A14" s="336" t="s">
        <v>338</v>
      </c>
      <c r="B14" s="576" t="s">
        <v>339</v>
      </c>
      <c r="C14" s="322"/>
      <c r="D14" s="361" t="s">
        <v>269</v>
      </c>
      <c r="E14" s="322"/>
      <c r="F14" s="322" t="s">
        <v>340</v>
      </c>
      <c r="G14" s="242" t="str">
        <f>VLOOKUP(A14,'Feature Summary'!$A$7:$C$3941,3,FALSE)</f>
        <v>p1</v>
      </c>
      <c r="H14" s="413" t="s">
        <v>341</v>
      </c>
      <c r="I14" s="437" t="s">
        <v>35</v>
      </c>
      <c r="J14" s="322"/>
      <c r="K14" s="323">
        <v>1</v>
      </c>
      <c r="L14" s="323">
        <v>1</v>
      </c>
      <c r="M14" s="529" t="s">
        <v>39</v>
      </c>
      <c r="N14" s="450">
        <v>1</v>
      </c>
      <c r="O14" s="451">
        <v>1</v>
      </c>
      <c r="P14" s="452">
        <f t="shared" si="4"/>
        <v>1</v>
      </c>
      <c r="Q14" s="437" t="s">
        <v>50</v>
      </c>
      <c r="R14" s="323">
        <v>1</v>
      </c>
      <c r="S14" s="477">
        <f t="shared" si="1"/>
        <v>0</v>
      </c>
      <c r="T14" s="467"/>
      <c r="U14" s="467"/>
      <c r="V14" s="467"/>
      <c r="W14" s="467"/>
      <c r="X14" s="478">
        <f t="shared" si="7"/>
        <v>0</v>
      </c>
      <c r="Y14" s="438"/>
      <c r="Z14" s="466">
        <f t="shared" si="5"/>
        <v>1</v>
      </c>
      <c r="AA14" s="467">
        <v>1</v>
      </c>
      <c r="AB14" s="467"/>
      <c r="AC14" s="467"/>
      <c r="AD14" s="467"/>
      <c r="AE14" s="468">
        <f>IF((Z14=0),0,((AA14+AB14)/Z14*100%))</f>
        <v>1</v>
      </c>
      <c r="AF14" s="322"/>
      <c r="AG14" s="439" t="str">
        <f>VLOOKUP(A14,'Feature Summary'!$A$7:$U$3941,21,FALSE)</f>
        <v>WK04</v>
      </c>
      <c r="AH14" s="324"/>
    </row>
    <row r="15" spans="1:34" ht="15.75" thickBot="1" x14ac:dyDescent="0.3">
      <c r="A15" s="336" t="s">
        <v>342</v>
      </c>
      <c r="B15" s="575" t="s">
        <v>343</v>
      </c>
      <c r="C15" s="322"/>
      <c r="D15" s="361" t="s">
        <v>344</v>
      </c>
      <c r="E15" s="322"/>
      <c r="F15" s="322" t="s">
        <v>345</v>
      </c>
      <c r="G15" s="242" t="str">
        <f>VLOOKUP(A15,'Feature Summary'!$A$7:$C$3941,3,FALSE)</f>
        <v>p2</v>
      </c>
      <c r="H15" s="413" t="s">
        <v>346</v>
      </c>
      <c r="I15" s="437" t="s">
        <v>35</v>
      </c>
      <c r="J15" s="322"/>
      <c r="K15" s="323">
        <v>1</v>
      </c>
      <c r="L15" s="323">
        <v>1</v>
      </c>
      <c r="M15" s="529" t="s">
        <v>44</v>
      </c>
      <c r="N15" s="450">
        <v>1</v>
      </c>
      <c r="O15" s="451">
        <v>1</v>
      </c>
      <c r="P15" s="452">
        <f>IF((O15=0),0,(O15/L15))</f>
        <v>1</v>
      </c>
      <c r="Q15" s="437" t="s">
        <v>47</v>
      </c>
      <c r="R15" s="323">
        <v>1</v>
      </c>
      <c r="S15" s="477">
        <f t="shared" si="1"/>
        <v>1</v>
      </c>
      <c r="T15" s="467"/>
      <c r="U15" s="467">
        <v>1</v>
      </c>
      <c r="V15" s="467"/>
      <c r="W15" s="467"/>
      <c r="X15" s="478">
        <f>IF((S15=0),0,((T15+U15)/S15*100%))</f>
        <v>1</v>
      </c>
      <c r="Y15" s="438"/>
      <c r="Z15" s="466">
        <f t="shared" si="5"/>
        <v>0</v>
      </c>
      <c r="AA15" s="467"/>
      <c r="AB15" s="467"/>
      <c r="AC15" s="467"/>
      <c r="AD15" s="467"/>
      <c r="AE15" s="468">
        <f t="shared" si="6"/>
        <v>0</v>
      </c>
      <c r="AF15" s="322"/>
      <c r="AG15" s="439" t="str">
        <f>VLOOKUP(A15,'Feature Summary'!$A$7:$U$3941,21,FALSE)</f>
        <v>WK05</v>
      </c>
      <c r="AH15" s="324" t="s">
        <v>347</v>
      </c>
    </row>
    <row r="16" spans="1:34" ht="15.75" thickBot="1" x14ac:dyDescent="0.3">
      <c r="A16" s="336" t="s">
        <v>348</v>
      </c>
      <c r="B16" s="574" t="s">
        <v>349</v>
      </c>
      <c r="C16" s="322"/>
      <c r="D16" s="361" t="s">
        <v>265</v>
      </c>
      <c r="E16" s="322"/>
      <c r="F16" s="322" t="s">
        <v>337</v>
      </c>
      <c r="G16" s="242" t="str">
        <f>VLOOKUP(A16,'Feature Summary'!$A$7:$C$3941,3,FALSE)</f>
        <v>p1</v>
      </c>
      <c r="H16" s="413" t="s">
        <v>591</v>
      </c>
      <c r="I16" s="437" t="s">
        <v>41</v>
      </c>
      <c r="J16" s="322"/>
      <c r="K16" s="323">
        <v>1</v>
      </c>
      <c r="L16" s="323">
        <v>1</v>
      </c>
      <c r="M16" s="529" t="s">
        <v>39</v>
      </c>
      <c r="N16" s="450">
        <v>1</v>
      </c>
      <c r="O16" s="451">
        <v>1</v>
      </c>
      <c r="P16" s="452">
        <f t="shared" si="4"/>
        <v>1</v>
      </c>
      <c r="Q16" s="437" t="s">
        <v>50</v>
      </c>
      <c r="R16" s="323">
        <v>1</v>
      </c>
      <c r="S16" s="477">
        <f t="shared" si="1"/>
        <v>1</v>
      </c>
      <c r="T16" s="467">
        <v>1</v>
      </c>
      <c r="U16" s="467"/>
      <c r="V16" s="467"/>
      <c r="W16" s="467"/>
      <c r="X16" s="478">
        <f t="shared" si="7"/>
        <v>1</v>
      </c>
      <c r="Y16" s="438"/>
      <c r="Z16" s="466">
        <f t="shared" si="5"/>
        <v>1</v>
      </c>
      <c r="AA16" s="467">
        <v>1</v>
      </c>
      <c r="AB16" s="467"/>
      <c r="AC16" s="467"/>
      <c r="AD16" s="467"/>
      <c r="AE16" s="468">
        <f t="shared" si="6"/>
        <v>1</v>
      </c>
      <c r="AF16" s="322"/>
      <c r="AG16" s="439" t="str">
        <f>VLOOKUP(A16,'Feature Summary'!$A$7:$U$3941,21,FALSE)</f>
        <v>WK07</v>
      </c>
      <c r="AH16" s="324" t="s">
        <v>334</v>
      </c>
    </row>
    <row r="17" spans="1:34" ht="15.75" thickBot="1" x14ac:dyDescent="0.3">
      <c r="A17" s="336" t="s">
        <v>350</v>
      </c>
      <c r="B17" s="577" t="s">
        <v>351</v>
      </c>
      <c r="C17" s="322"/>
      <c r="D17" s="361" t="s">
        <v>265</v>
      </c>
      <c r="E17" s="322"/>
      <c r="F17" s="322" t="s">
        <v>352</v>
      </c>
      <c r="G17" s="242" t="str">
        <f>VLOOKUP(A17,'Feature Summary'!$A$7:$C$3941,3,FALSE)</f>
        <v>p1</v>
      </c>
      <c r="H17" s="413" t="s">
        <v>590</v>
      </c>
      <c r="I17" s="437" t="s">
        <v>41</v>
      </c>
      <c r="J17" s="322"/>
      <c r="K17" s="323">
        <v>1</v>
      </c>
      <c r="L17" s="323">
        <v>1</v>
      </c>
      <c r="M17" s="529" t="s">
        <v>44</v>
      </c>
      <c r="N17" s="450">
        <v>1</v>
      </c>
      <c r="O17" s="451"/>
      <c r="P17" s="452">
        <f t="shared" si="4"/>
        <v>0</v>
      </c>
      <c r="Q17" s="437" t="s">
        <v>47</v>
      </c>
      <c r="R17" s="323"/>
      <c r="S17" s="477">
        <f t="shared" si="1"/>
        <v>0</v>
      </c>
      <c r="T17" s="467"/>
      <c r="U17" s="467"/>
      <c r="V17" s="467"/>
      <c r="W17" s="467"/>
      <c r="X17" s="478">
        <f t="shared" si="7"/>
        <v>0</v>
      </c>
      <c r="Y17" s="438"/>
      <c r="Z17" s="466">
        <f t="shared" si="5"/>
        <v>0</v>
      </c>
      <c r="AA17" s="467"/>
      <c r="AB17" s="467"/>
      <c r="AC17" s="467"/>
      <c r="AD17" s="467"/>
      <c r="AE17" s="468">
        <f t="shared" si="6"/>
        <v>0</v>
      </c>
      <c r="AF17" s="322"/>
      <c r="AG17" s="439">
        <f>VLOOKUP(A17,'Feature Summary'!$A$7:$U$3941,21,FALSE)</f>
        <v>0</v>
      </c>
      <c r="AH17" s="324" t="s">
        <v>334</v>
      </c>
    </row>
    <row r="18" spans="1:34" ht="15.75" thickBot="1" x14ac:dyDescent="0.3">
      <c r="A18" s="336" t="s">
        <v>353</v>
      </c>
      <c r="B18" s="558" t="s">
        <v>354</v>
      </c>
      <c r="C18" s="322"/>
      <c r="D18" s="361" t="s">
        <v>269</v>
      </c>
      <c r="E18" s="322"/>
      <c r="F18" s="322" t="s">
        <v>317</v>
      </c>
      <c r="G18" s="242" t="str">
        <f>VLOOKUP(A18,'Feature Summary'!$A$7:$C$3941,3,FALSE)</f>
        <v>p2</v>
      </c>
      <c r="H18" s="413" t="s">
        <v>318</v>
      </c>
      <c r="I18" s="437" t="s">
        <v>35</v>
      </c>
      <c r="J18" s="322"/>
      <c r="K18" s="323">
        <v>1</v>
      </c>
      <c r="L18" s="323">
        <v>1</v>
      </c>
      <c r="M18" s="529" t="s">
        <v>33</v>
      </c>
      <c r="N18" s="450">
        <v>1</v>
      </c>
      <c r="O18" s="451">
        <v>1</v>
      </c>
      <c r="P18" s="452">
        <f t="shared" si="4"/>
        <v>1</v>
      </c>
      <c r="Q18" s="437" t="s">
        <v>50</v>
      </c>
      <c r="R18" s="323">
        <v>1</v>
      </c>
      <c r="S18" s="477">
        <f t="shared" si="1"/>
        <v>1</v>
      </c>
      <c r="T18" s="467">
        <v>1</v>
      </c>
      <c r="U18" s="467"/>
      <c r="V18" s="467"/>
      <c r="W18" s="467"/>
      <c r="X18" s="478">
        <f t="shared" si="7"/>
        <v>1</v>
      </c>
      <c r="Y18" s="438"/>
      <c r="Z18" s="466">
        <f t="shared" si="5"/>
        <v>1</v>
      </c>
      <c r="AA18" s="467">
        <v>1</v>
      </c>
      <c r="AB18" s="467"/>
      <c r="AC18" s="467"/>
      <c r="AD18" s="467"/>
      <c r="AE18" s="468">
        <f t="shared" si="6"/>
        <v>1</v>
      </c>
      <c r="AF18" s="322" t="s">
        <v>326</v>
      </c>
      <c r="AG18" s="439" t="str">
        <f>VLOOKUP(A18,'Feature Summary'!$A$7:$U$3941,21,FALSE)</f>
        <v>WK02</v>
      </c>
      <c r="AH18" s="324"/>
    </row>
    <row r="19" spans="1:34" ht="15.75" thickBot="1" x14ac:dyDescent="0.3">
      <c r="A19" s="336" t="s">
        <v>355</v>
      </c>
      <c r="B19" s="558" t="s">
        <v>356</v>
      </c>
      <c r="C19" s="322"/>
      <c r="D19" s="361" t="s">
        <v>269</v>
      </c>
      <c r="E19" s="322"/>
      <c r="F19" s="322" t="s">
        <v>329</v>
      </c>
      <c r="G19" s="242" t="str">
        <f>VLOOKUP(A19,'Feature Summary'!$A$7:$C$3941,3,FALSE)</f>
        <v>p2</v>
      </c>
      <c r="H19" s="413" t="s">
        <v>330</v>
      </c>
      <c r="I19" s="437" t="s">
        <v>35</v>
      </c>
      <c r="J19" s="322"/>
      <c r="K19" s="323">
        <v>1</v>
      </c>
      <c r="L19" s="323">
        <v>1</v>
      </c>
      <c r="M19" s="529" t="s">
        <v>33</v>
      </c>
      <c r="N19" s="450">
        <v>1</v>
      </c>
      <c r="O19" s="451">
        <v>1</v>
      </c>
      <c r="P19" s="452">
        <f t="shared" si="4"/>
        <v>1</v>
      </c>
      <c r="Q19" s="437" t="s">
        <v>50</v>
      </c>
      <c r="R19" s="323">
        <v>1</v>
      </c>
      <c r="S19" s="477">
        <f t="shared" si="1"/>
        <v>1</v>
      </c>
      <c r="T19" s="467">
        <v>1</v>
      </c>
      <c r="U19" s="467"/>
      <c r="V19" s="467"/>
      <c r="W19" s="467"/>
      <c r="X19" s="478">
        <f t="shared" si="7"/>
        <v>1</v>
      </c>
      <c r="Y19" s="438"/>
      <c r="Z19" s="466">
        <f t="shared" si="5"/>
        <v>1</v>
      </c>
      <c r="AA19" s="467">
        <v>1</v>
      </c>
      <c r="AB19" s="467"/>
      <c r="AC19" s="467"/>
      <c r="AD19" s="467"/>
      <c r="AE19" s="468">
        <f t="shared" si="6"/>
        <v>1</v>
      </c>
      <c r="AF19" s="322"/>
      <c r="AG19" s="439" t="str">
        <f>VLOOKUP(A19,'Feature Summary'!$A$7:$U$3941,21,FALSE)</f>
        <v>WK02</v>
      </c>
      <c r="AH19" s="324"/>
    </row>
    <row r="20" spans="1:34" ht="15.75" thickBot="1" x14ac:dyDescent="0.3">
      <c r="A20" s="336" t="s">
        <v>357</v>
      </c>
      <c r="B20" s="558" t="s">
        <v>358</v>
      </c>
      <c r="C20" s="322"/>
      <c r="D20" s="361" t="s">
        <v>269</v>
      </c>
      <c r="E20" s="322"/>
      <c r="F20" s="322" t="s">
        <v>317</v>
      </c>
      <c r="G20" s="242" t="str">
        <f>VLOOKUP(A20,'Feature Summary'!$A$7:$C$3941,3,FALSE)</f>
        <v>p1</v>
      </c>
      <c r="H20" s="413" t="s">
        <v>318</v>
      </c>
      <c r="I20" s="437" t="s">
        <v>35</v>
      </c>
      <c r="J20" s="322"/>
      <c r="K20" s="323">
        <v>1</v>
      </c>
      <c r="L20" s="323">
        <v>1</v>
      </c>
      <c r="M20" s="529" t="s">
        <v>33</v>
      </c>
      <c r="N20" s="450">
        <v>1</v>
      </c>
      <c r="O20" s="451">
        <v>1</v>
      </c>
      <c r="P20" s="452">
        <f t="shared" si="4"/>
        <v>1</v>
      </c>
      <c r="Q20" s="437" t="s">
        <v>50</v>
      </c>
      <c r="R20" s="323">
        <v>1</v>
      </c>
      <c r="S20" s="477">
        <f t="shared" si="1"/>
        <v>1</v>
      </c>
      <c r="T20" s="467">
        <v>1</v>
      </c>
      <c r="U20" s="467"/>
      <c r="V20" s="467"/>
      <c r="W20" s="467"/>
      <c r="X20" s="478">
        <f t="shared" si="7"/>
        <v>1</v>
      </c>
      <c r="Y20" s="438"/>
      <c r="Z20" s="466">
        <f t="shared" si="5"/>
        <v>1</v>
      </c>
      <c r="AA20" s="467">
        <v>1</v>
      </c>
      <c r="AB20" s="467"/>
      <c r="AC20" s="467"/>
      <c r="AD20" s="467"/>
      <c r="AE20" s="468">
        <f t="shared" si="6"/>
        <v>1</v>
      </c>
      <c r="AF20" s="322" t="s">
        <v>326</v>
      </c>
      <c r="AG20" s="439" t="str">
        <f>VLOOKUP(A20,'Feature Summary'!$A$7:$U$3941,21,FALSE)</f>
        <v>WK02</v>
      </c>
      <c r="AH20" s="324"/>
    </row>
    <row r="21" spans="1:34" ht="15.75" thickBot="1" x14ac:dyDescent="0.3">
      <c r="A21" s="569" t="s">
        <v>359</v>
      </c>
      <c r="B21" s="571" t="s">
        <v>360</v>
      </c>
      <c r="C21" s="322"/>
      <c r="D21" s="361" t="s">
        <v>269</v>
      </c>
      <c r="E21" s="322"/>
      <c r="F21" s="322" t="s">
        <v>361</v>
      </c>
      <c r="G21" s="242" t="str">
        <f>VLOOKUP(A21,'Feature Summary'!$A$7:$C$3941,3,FALSE)</f>
        <v>p1</v>
      </c>
      <c r="H21" s="413" t="s">
        <v>362</v>
      </c>
      <c r="I21" s="437" t="s">
        <v>35</v>
      </c>
      <c r="J21" s="322"/>
      <c r="K21" s="323">
        <v>1</v>
      </c>
      <c r="L21" s="323">
        <v>1</v>
      </c>
      <c r="M21" s="529" t="s">
        <v>33</v>
      </c>
      <c r="N21" s="450">
        <v>1</v>
      </c>
      <c r="O21" s="451">
        <v>1</v>
      </c>
      <c r="P21" s="452">
        <f t="shared" si="4"/>
        <v>1</v>
      </c>
      <c r="Q21" s="437" t="s">
        <v>48</v>
      </c>
      <c r="R21" s="323">
        <v>1</v>
      </c>
      <c r="S21" s="477">
        <f t="shared" si="1"/>
        <v>1</v>
      </c>
      <c r="T21" s="467">
        <v>1</v>
      </c>
      <c r="U21" s="467"/>
      <c r="V21" s="467"/>
      <c r="W21" s="467"/>
      <c r="X21" s="478">
        <f t="shared" si="7"/>
        <v>1</v>
      </c>
      <c r="Y21" s="438"/>
      <c r="Z21" s="466">
        <f t="shared" si="5"/>
        <v>1</v>
      </c>
      <c r="AA21" s="467">
        <v>1</v>
      </c>
      <c r="AB21" s="467"/>
      <c r="AC21" s="467"/>
      <c r="AD21" s="467"/>
      <c r="AE21" s="468">
        <f t="shared" si="6"/>
        <v>1</v>
      </c>
      <c r="AF21" s="322" t="s">
        <v>326</v>
      </c>
      <c r="AG21" s="439" t="str">
        <f>VLOOKUP(A21,'Feature Summary'!$A$7:$U$3941,21,FALSE)</f>
        <v>WK02</v>
      </c>
      <c r="AH21" s="324"/>
    </row>
    <row r="22" spans="1:34" ht="15.75" thickBot="1" x14ac:dyDescent="0.3">
      <c r="A22" s="569" t="s">
        <v>363</v>
      </c>
      <c r="B22" s="573" t="s">
        <v>364</v>
      </c>
      <c r="C22" s="322"/>
      <c r="D22" s="361" t="s">
        <v>269</v>
      </c>
      <c r="E22" s="322"/>
      <c r="F22" s="322" t="s">
        <v>313</v>
      </c>
      <c r="G22" s="242" t="str">
        <f>VLOOKUP(A22,'Feature Summary'!$A$7:$C$3941,3,FALSE)</f>
        <v>p1</v>
      </c>
      <c r="H22" s="572" t="s">
        <v>314</v>
      </c>
      <c r="I22" s="437" t="s">
        <v>41</v>
      </c>
      <c r="J22" s="322"/>
      <c r="K22" s="323">
        <v>1</v>
      </c>
      <c r="L22" s="323">
        <v>4</v>
      </c>
      <c r="M22" s="529" t="s">
        <v>33</v>
      </c>
      <c r="N22" s="450">
        <v>1</v>
      </c>
      <c r="O22" s="451">
        <v>4</v>
      </c>
      <c r="P22" s="452">
        <f t="shared" si="4"/>
        <v>1</v>
      </c>
      <c r="Q22" s="437" t="s">
        <v>50</v>
      </c>
      <c r="R22" s="323">
        <v>4</v>
      </c>
      <c r="S22" s="477">
        <f t="shared" si="1"/>
        <v>4</v>
      </c>
      <c r="T22" s="467"/>
      <c r="U22" s="467"/>
      <c r="V22" s="467"/>
      <c r="W22" s="467">
        <v>4</v>
      </c>
      <c r="X22" s="478">
        <f t="shared" si="7"/>
        <v>0</v>
      </c>
      <c r="Y22" s="438"/>
      <c r="Z22" s="466">
        <f t="shared" si="5"/>
        <v>4</v>
      </c>
      <c r="AA22" s="467">
        <v>4</v>
      </c>
      <c r="AB22" s="467"/>
      <c r="AC22" s="467"/>
      <c r="AD22" s="467"/>
      <c r="AE22" s="468">
        <f t="shared" si="6"/>
        <v>1</v>
      </c>
      <c r="AF22" s="322"/>
      <c r="AG22" s="439" t="str">
        <f>VLOOKUP(A22,'Feature Summary'!$A$7:$U$3941,21,FALSE)</f>
        <v>WK08</v>
      </c>
      <c r="AH22" s="324"/>
    </row>
    <row r="23" spans="1:34" ht="15.75" thickBot="1" x14ac:dyDescent="0.3">
      <c r="A23" s="336" t="s">
        <v>365</v>
      </c>
      <c r="B23" s="558" t="s">
        <v>366</v>
      </c>
      <c r="C23" s="322"/>
      <c r="D23" s="361" t="s">
        <v>269</v>
      </c>
      <c r="E23" s="322"/>
      <c r="F23" s="322" t="s">
        <v>317</v>
      </c>
      <c r="G23" s="242" t="str">
        <f>VLOOKUP(A23,'Feature Summary'!$A$7:$C$3941,3,FALSE)</f>
        <v>P3</v>
      </c>
      <c r="H23" s="413" t="s">
        <v>318</v>
      </c>
      <c r="I23" s="437" t="s">
        <v>35</v>
      </c>
      <c r="J23" s="322"/>
      <c r="K23" s="323">
        <v>1</v>
      </c>
      <c r="L23" s="323">
        <v>1</v>
      </c>
      <c r="M23" s="529" t="s">
        <v>33</v>
      </c>
      <c r="N23" s="450">
        <v>1</v>
      </c>
      <c r="O23" s="451">
        <v>1</v>
      </c>
      <c r="P23" s="452">
        <f t="shared" si="4"/>
        <v>1</v>
      </c>
      <c r="Q23" s="437" t="s">
        <v>50</v>
      </c>
      <c r="R23" s="323">
        <v>1</v>
      </c>
      <c r="S23" s="477">
        <f t="shared" si="1"/>
        <v>1</v>
      </c>
      <c r="T23" s="467">
        <v>1</v>
      </c>
      <c r="U23" s="467"/>
      <c r="V23" s="467"/>
      <c r="W23" s="467"/>
      <c r="X23" s="478">
        <f t="shared" si="7"/>
        <v>1</v>
      </c>
      <c r="Y23" s="438"/>
      <c r="Z23" s="466">
        <f t="shared" si="5"/>
        <v>1</v>
      </c>
      <c r="AA23" s="467">
        <v>1</v>
      </c>
      <c r="AB23" s="467"/>
      <c r="AC23" s="467"/>
      <c r="AD23" s="467"/>
      <c r="AE23" s="468">
        <f t="shared" si="6"/>
        <v>1</v>
      </c>
      <c r="AF23" s="322" t="s">
        <v>326</v>
      </c>
      <c r="AG23" s="439" t="str">
        <f>VLOOKUP(A23,'Feature Summary'!$A$7:$U$3941,21,FALSE)</f>
        <v>WK02</v>
      </c>
      <c r="AH23" s="324"/>
    </row>
    <row r="24" spans="1:34" ht="15.75" thickBot="1" x14ac:dyDescent="0.3">
      <c r="A24" s="336" t="s">
        <v>367</v>
      </c>
      <c r="B24" s="558" t="s">
        <v>368</v>
      </c>
      <c r="C24" s="322"/>
      <c r="D24" s="361" t="s">
        <v>269</v>
      </c>
      <c r="E24" s="322"/>
      <c r="F24" s="322" t="s">
        <v>369</v>
      </c>
      <c r="G24" s="242" t="str">
        <f>VLOOKUP(A24,'Feature Summary'!$A$7:$C$3941,3,FALSE)</f>
        <v>p2</v>
      </c>
      <c r="H24" s="413" t="s">
        <v>370</v>
      </c>
      <c r="I24" s="437" t="s">
        <v>35</v>
      </c>
      <c r="J24" s="322"/>
      <c r="K24" s="323">
        <v>1</v>
      </c>
      <c r="L24" s="323">
        <v>1</v>
      </c>
      <c r="M24" s="529" t="s">
        <v>33</v>
      </c>
      <c r="N24" s="450">
        <v>1</v>
      </c>
      <c r="O24" s="451">
        <v>1</v>
      </c>
      <c r="P24" s="452">
        <f t="shared" si="4"/>
        <v>1</v>
      </c>
      <c r="Q24" s="437" t="s">
        <v>48</v>
      </c>
      <c r="R24" s="323">
        <v>1</v>
      </c>
      <c r="S24" s="477">
        <f t="shared" si="1"/>
        <v>1</v>
      </c>
      <c r="T24" s="467">
        <v>1</v>
      </c>
      <c r="U24" s="467"/>
      <c r="V24" s="467"/>
      <c r="W24" s="467"/>
      <c r="X24" s="478">
        <f t="shared" si="7"/>
        <v>1</v>
      </c>
      <c r="Y24" s="438"/>
      <c r="Z24" s="466">
        <f t="shared" si="5"/>
        <v>1</v>
      </c>
      <c r="AA24" s="467">
        <v>1</v>
      </c>
      <c r="AB24" s="467"/>
      <c r="AC24" s="467"/>
      <c r="AD24" s="467"/>
      <c r="AE24" s="468">
        <f t="shared" si="6"/>
        <v>1</v>
      </c>
      <c r="AF24" s="322"/>
      <c r="AG24" s="439" t="str">
        <f>VLOOKUP(A24,'Feature Summary'!$A$7:$U$3941,21,FALSE)</f>
        <v>WK04</v>
      </c>
      <c r="AH24" s="324"/>
    </row>
    <row r="25" spans="1:34" ht="15.75" thickBot="1" x14ac:dyDescent="0.3">
      <c r="A25" s="336" t="s">
        <v>371</v>
      </c>
      <c r="B25" s="558" t="s">
        <v>372</v>
      </c>
      <c r="C25" s="322"/>
      <c r="D25" s="361" t="s">
        <v>269</v>
      </c>
      <c r="E25" s="322"/>
      <c r="F25" s="322" t="s">
        <v>361</v>
      </c>
      <c r="G25" s="242" t="str">
        <f>VLOOKUP(A25,'Feature Summary'!$A$7:$C$3941,3,FALSE)</f>
        <v>p1</v>
      </c>
      <c r="H25" s="413" t="s">
        <v>362</v>
      </c>
      <c r="I25" s="437" t="s">
        <v>35</v>
      </c>
      <c r="J25" s="322"/>
      <c r="K25" s="323">
        <v>1</v>
      </c>
      <c r="L25" s="323">
        <v>1</v>
      </c>
      <c r="M25" s="529" t="s">
        <v>33</v>
      </c>
      <c r="N25" s="450">
        <v>1</v>
      </c>
      <c r="O25" s="451">
        <v>1</v>
      </c>
      <c r="P25" s="452">
        <f t="shared" si="4"/>
        <v>1</v>
      </c>
      <c r="Q25" s="437" t="s">
        <v>48</v>
      </c>
      <c r="R25" s="323">
        <v>1</v>
      </c>
      <c r="S25" s="477">
        <f t="shared" si="1"/>
        <v>1</v>
      </c>
      <c r="T25" s="467">
        <v>1</v>
      </c>
      <c r="U25" s="467"/>
      <c r="V25" s="467"/>
      <c r="W25" s="467"/>
      <c r="X25" s="478">
        <f t="shared" si="7"/>
        <v>1</v>
      </c>
      <c r="Y25" s="438"/>
      <c r="Z25" s="466">
        <f t="shared" si="5"/>
        <v>1</v>
      </c>
      <c r="AA25" s="467">
        <v>1</v>
      </c>
      <c r="AB25" s="467"/>
      <c r="AC25" s="467"/>
      <c r="AD25" s="467"/>
      <c r="AE25" s="468">
        <f t="shared" si="6"/>
        <v>1</v>
      </c>
      <c r="AF25" s="322" t="s">
        <v>326</v>
      </c>
      <c r="AG25" s="439" t="str">
        <f>VLOOKUP(A25,'Feature Summary'!$A$7:$U$3941,21,FALSE)</f>
        <v>WK02</v>
      </c>
      <c r="AH25" s="324"/>
    </row>
    <row r="26" spans="1:34" ht="15.75" thickBot="1" x14ac:dyDescent="0.3">
      <c r="A26" s="336" t="s">
        <v>373</v>
      </c>
      <c r="B26" s="558" t="s">
        <v>374</v>
      </c>
      <c r="C26" s="322"/>
      <c r="D26" s="361" t="s">
        <v>265</v>
      </c>
      <c r="E26" s="322"/>
      <c r="F26" s="322" t="s">
        <v>375</v>
      </c>
      <c r="G26" s="242" t="str">
        <f>VLOOKUP(A26,'Feature Summary'!$A$7:$C$3941,3,FALSE)</f>
        <v>p2</v>
      </c>
      <c r="H26" s="413" t="s">
        <v>592</v>
      </c>
      <c r="I26" s="437" t="s">
        <v>41</v>
      </c>
      <c r="J26" s="322"/>
      <c r="K26" s="323">
        <v>1</v>
      </c>
      <c r="L26" s="323">
        <v>1</v>
      </c>
      <c r="M26" s="529" t="s">
        <v>33</v>
      </c>
      <c r="N26" s="450">
        <v>1</v>
      </c>
      <c r="O26" s="451">
        <v>1</v>
      </c>
      <c r="P26" s="452">
        <f t="shared" si="4"/>
        <v>1</v>
      </c>
      <c r="Q26" s="437" t="s">
        <v>48</v>
      </c>
      <c r="R26" s="323">
        <v>1</v>
      </c>
      <c r="S26" s="477">
        <f t="shared" si="1"/>
        <v>1</v>
      </c>
      <c r="T26" s="467">
        <v>1</v>
      </c>
      <c r="U26" s="467"/>
      <c r="V26" s="467"/>
      <c r="W26" s="467"/>
      <c r="X26" s="478">
        <f t="shared" si="7"/>
        <v>1</v>
      </c>
      <c r="Y26" s="438"/>
      <c r="Z26" s="466">
        <f t="shared" si="5"/>
        <v>0</v>
      </c>
      <c r="AA26" s="467"/>
      <c r="AB26" s="467"/>
      <c r="AC26" s="467"/>
      <c r="AD26" s="467"/>
      <c r="AE26" s="468">
        <f t="shared" si="6"/>
        <v>0</v>
      </c>
      <c r="AF26" s="322"/>
      <c r="AG26" s="439" t="str">
        <f>VLOOKUP(A26,'Feature Summary'!$A$7:$U$3941,21,FALSE)</f>
        <v>WK07</v>
      </c>
      <c r="AH26" s="324"/>
    </row>
    <row r="27" spans="1:34" ht="15.75" thickBot="1" x14ac:dyDescent="0.3">
      <c r="A27" s="336" t="s">
        <v>376</v>
      </c>
      <c r="B27" s="558" t="s">
        <v>377</v>
      </c>
      <c r="C27" s="322"/>
      <c r="D27" s="361" t="s">
        <v>269</v>
      </c>
      <c r="E27" s="322"/>
      <c r="F27" s="322" t="s">
        <v>378</v>
      </c>
      <c r="G27" s="242" t="str">
        <f>VLOOKUP(A27,'Feature Summary'!$A$7:$C$3941,3,FALSE)</f>
        <v>p2</v>
      </c>
      <c r="H27" s="413" t="s">
        <v>379</v>
      </c>
      <c r="I27" s="437" t="s">
        <v>35</v>
      </c>
      <c r="J27" s="322"/>
      <c r="K27" s="323">
        <v>1</v>
      </c>
      <c r="L27" s="323">
        <v>1</v>
      </c>
      <c r="M27" s="529" t="s">
        <v>33</v>
      </c>
      <c r="N27" s="450">
        <v>1</v>
      </c>
      <c r="O27" s="451">
        <v>1</v>
      </c>
      <c r="P27" s="452">
        <f t="shared" si="4"/>
        <v>1</v>
      </c>
      <c r="Q27" s="437" t="s">
        <v>48</v>
      </c>
      <c r="R27" s="323">
        <v>1</v>
      </c>
      <c r="S27" s="477">
        <f t="shared" si="1"/>
        <v>1</v>
      </c>
      <c r="T27" s="467">
        <v>1</v>
      </c>
      <c r="U27" s="467"/>
      <c r="V27" s="467"/>
      <c r="W27" s="467"/>
      <c r="X27" s="478">
        <f t="shared" si="7"/>
        <v>1</v>
      </c>
      <c r="Y27" s="438"/>
      <c r="Z27" s="466">
        <f t="shared" si="5"/>
        <v>1</v>
      </c>
      <c r="AA27" s="467">
        <v>1</v>
      </c>
      <c r="AB27" s="467"/>
      <c r="AC27" s="467"/>
      <c r="AD27" s="467"/>
      <c r="AE27" s="468">
        <f t="shared" si="6"/>
        <v>1</v>
      </c>
      <c r="AF27" s="322" t="s">
        <v>326</v>
      </c>
      <c r="AG27" s="439" t="str">
        <f>VLOOKUP(A27,'Feature Summary'!$A$7:$U$3941,21,FALSE)</f>
        <v>WK04</v>
      </c>
      <c r="AH27" s="324"/>
    </row>
    <row r="28" spans="1:34" ht="15.75" thickBot="1" x14ac:dyDescent="0.3">
      <c r="A28" s="336" t="s">
        <v>380</v>
      </c>
      <c r="B28" s="558" t="s">
        <v>381</v>
      </c>
      <c r="C28" s="322"/>
      <c r="D28" s="361" t="s">
        <v>269</v>
      </c>
      <c r="E28" s="322"/>
      <c r="F28" s="322" t="s">
        <v>378</v>
      </c>
      <c r="G28" s="242" t="str">
        <f>VLOOKUP(A28,'Feature Summary'!$A$7:$C$3941,3,FALSE)</f>
        <v>p2</v>
      </c>
      <c r="H28" s="413" t="s">
        <v>379</v>
      </c>
      <c r="I28" s="437" t="s">
        <v>35</v>
      </c>
      <c r="J28" s="322"/>
      <c r="K28" s="323">
        <v>1</v>
      </c>
      <c r="L28" s="323">
        <v>1</v>
      </c>
      <c r="M28" s="529" t="s">
        <v>33</v>
      </c>
      <c r="N28" s="450">
        <v>1</v>
      </c>
      <c r="O28" s="451">
        <v>1</v>
      </c>
      <c r="P28" s="452">
        <f t="shared" si="4"/>
        <v>1</v>
      </c>
      <c r="Q28" s="437" t="s">
        <v>48</v>
      </c>
      <c r="R28" s="323">
        <v>1</v>
      </c>
      <c r="S28" s="477">
        <f t="shared" si="1"/>
        <v>1</v>
      </c>
      <c r="T28" s="467">
        <v>1</v>
      </c>
      <c r="U28" s="467"/>
      <c r="V28" s="467"/>
      <c r="W28" s="467"/>
      <c r="X28" s="478">
        <f t="shared" si="7"/>
        <v>1</v>
      </c>
      <c r="Y28" s="438"/>
      <c r="Z28" s="466">
        <f t="shared" si="5"/>
        <v>1</v>
      </c>
      <c r="AA28" s="467">
        <v>1</v>
      </c>
      <c r="AB28" s="467"/>
      <c r="AC28" s="467"/>
      <c r="AD28" s="467"/>
      <c r="AE28" s="468">
        <f t="shared" si="6"/>
        <v>1</v>
      </c>
      <c r="AF28" s="322" t="s">
        <v>326</v>
      </c>
      <c r="AG28" s="439" t="str">
        <f>VLOOKUP(A28,'Feature Summary'!$A$7:$U$3941,21,FALSE)</f>
        <v>WK04</v>
      </c>
      <c r="AH28" s="324"/>
    </row>
    <row r="29" spans="1:34" x14ac:dyDescent="0.25">
      <c r="A29" s="336" t="s">
        <v>382</v>
      </c>
      <c r="B29" s="558" t="s">
        <v>383</v>
      </c>
      <c r="C29" s="322"/>
      <c r="D29" s="361" t="s">
        <v>269</v>
      </c>
      <c r="E29" s="322"/>
      <c r="F29" s="322" t="s">
        <v>317</v>
      </c>
      <c r="G29" s="242" t="str">
        <f>VLOOKUP(A29,'Feature Summary'!$A$7:$C$3941,3,FALSE)</f>
        <v>p1</v>
      </c>
      <c r="H29" s="413" t="s">
        <v>318</v>
      </c>
      <c r="I29" s="437" t="s">
        <v>35</v>
      </c>
      <c r="J29" s="322"/>
      <c r="K29" s="323">
        <v>1</v>
      </c>
      <c r="L29" s="323">
        <v>1</v>
      </c>
      <c r="M29" s="529" t="s">
        <v>33</v>
      </c>
      <c r="N29" s="450">
        <v>1</v>
      </c>
      <c r="O29" s="451">
        <v>1</v>
      </c>
      <c r="P29" s="452">
        <f t="shared" si="4"/>
        <v>1</v>
      </c>
      <c r="Q29" s="437" t="s">
        <v>50</v>
      </c>
      <c r="R29" s="323">
        <v>1</v>
      </c>
      <c r="S29" s="477">
        <f t="shared" si="1"/>
        <v>1</v>
      </c>
      <c r="T29" s="467">
        <v>1</v>
      </c>
      <c r="U29" s="467"/>
      <c r="V29" s="467"/>
      <c r="W29" s="467"/>
      <c r="X29" s="478">
        <f t="shared" si="7"/>
        <v>1</v>
      </c>
      <c r="Y29" s="438"/>
      <c r="Z29" s="466">
        <f t="shared" si="5"/>
        <v>1</v>
      </c>
      <c r="AA29" s="467">
        <v>1</v>
      </c>
      <c r="AB29" s="467"/>
      <c r="AC29" s="467"/>
      <c r="AD29" s="467"/>
      <c r="AE29" s="468">
        <f t="shared" si="6"/>
        <v>1</v>
      </c>
      <c r="AF29" s="322" t="s">
        <v>326</v>
      </c>
      <c r="AG29" s="439" t="str">
        <f>VLOOKUP(A29,'Feature Summary'!$A$7:$U$3941,21,FALSE)</f>
        <v>WK02</v>
      </c>
      <c r="AH29" s="324"/>
    </row>
    <row r="30" spans="1:34" x14ac:dyDescent="0.25">
      <c r="A30" s="368"/>
      <c r="B30" s="369"/>
      <c r="C30" s="369"/>
      <c r="D30" s="370"/>
      <c r="E30" s="369"/>
      <c r="F30" s="369"/>
      <c r="G30" s="370"/>
      <c r="H30" s="414"/>
      <c r="I30" s="557"/>
      <c r="J30" s="369"/>
      <c r="K30" s="369"/>
      <c r="L30" s="371"/>
      <c r="M30" s="372"/>
      <c r="N30" s="453"/>
      <c r="O30" s="454"/>
      <c r="P30" s="452"/>
      <c r="Q30" s="378"/>
      <c r="R30" s="379"/>
      <c r="S30" s="479"/>
      <c r="T30" s="480"/>
      <c r="U30" s="480"/>
      <c r="V30" s="480"/>
      <c r="W30" s="480"/>
      <c r="X30" s="481"/>
      <c r="Y30" s="380"/>
      <c r="Z30" s="469"/>
      <c r="AA30" s="470"/>
      <c r="AB30" s="470"/>
      <c r="AC30" s="470"/>
      <c r="AD30" s="470"/>
      <c r="AE30" s="471"/>
      <c r="AF30" s="384"/>
      <c r="AG30" s="384"/>
      <c r="AH30" s="388"/>
    </row>
    <row r="31" spans="1:34" x14ac:dyDescent="0.25">
      <c r="A31" s="368"/>
      <c r="B31" s="369"/>
      <c r="C31" s="369"/>
      <c r="D31" s="370"/>
      <c r="E31" s="369"/>
      <c r="F31" s="369"/>
      <c r="G31" s="370"/>
      <c r="H31" s="414"/>
      <c r="I31" s="557"/>
      <c r="J31" s="369"/>
      <c r="K31" s="369"/>
      <c r="L31" s="371"/>
      <c r="M31" s="372"/>
      <c r="N31" s="453"/>
      <c r="O31" s="454"/>
      <c r="P31" s="452"/>
      <c r="Q31" s="378"/>
      <c r="R31" s="379"/>
      <c r="S31" s="479"/>
      <c r="T31" s="480"/>
      <c r="U31" s="480"/>
      <c r="V31" s="480"/>
      <c r="W31" s="480"/>
      <c r="X31" s="481"/>
      <c r="Y31" s="380"/>
      <c r="Z31" s="469"/>
      <c r="AA31" s="470"/>
      <c r="AB31" s="470"/>
      <c r="AC31" s="470"/>
      <c r="AD31" s="470"/>
      <c r="AE31" s="471"/>
      <c r="AF31" s="384"/>
      <c r="AG31" s="384"/>
      <c r="AH31" s="388"/>
    </row>
    <row r="32" spans="1:34" ht="15.75" thickBot="1" x14ac:dyDescent="0.3">
      <c r="A32" s="373"/>
      <c r="B32" s="374"/>
      <c r="C32" s="374"/>
      <c r="D32" s="375"/>
      <c r="E32" s="374"/>
      <c r="F32" s="374"/>
      <c r="G32" s="375"/>
      <c r="H32" s="415"/>
      <c r="I32" s="557"/>
      <c r="J32" s="374"/>
      <c r="K32" s="374"/>
      <c r="L32" s="376"/>
      <c r="M32" s="377"/>
      <c r="N32" s="455"/>
      <c r="O32" s="456"/>
      <c r="P32" s="457"/>
      <c r="Q32" s="381"/>
      <c r="R32" s="382"/>
      <c r="S32" s="482"/>
      <c r="T32" s="483"/>
      <c r="U32" s="483"/>
      <c r="V32" s="483"/>
      <c r="W32" s="483"/>
      <c r="X32" s="484"/>
      <c r="Y32" s="383"/>
      <c r="Z32" s="472"/>
      <c r="AA32" s="473"/>
      <c r="AB32" s="473"/>
      <c r="AC32" s="473"/>
      <c r="AD32" s="473"/>
      <c r="AE32" s="474"/>
      <c r="AF32" s="385"/>
      <c r="AG32" s="385"/>
      <c r="AH32" s="389"/>
    </row>
    <row r="33" spans="1:34" x14ac:dyDescent="0.25">
      <c r="A33" s="652" t="s">
        <v>384</v>
      </c>
      <c r="B33" s="653"/>
      <c r="C33" s="653"/>
      <c r="D33" s="653"/>
      <c r="E33" s="653"/>
      <c r="F33" s="653"/>
      <c r="G33" s="653"/>
      <c r="H33" s="653"/>
      <c r="I33" s="653"/>
      <c r="J33" s="653"/>
      <c r="K33" s="653"/>
      <c r="L33" s="653"/>
      <c r="M33" s="653"/>
      <c r="N33" s="653"/>
      <c r="O33" s="653"/>
      <c r="P33" s="653"/>
      <c r="Q33" s="653"/>
      <c r="R33" s="653"/>
      <c r="S33" s="653"/>
      <c r="T33" s="653"/>
      <c r="U33" s="653"/>
      <c r="V33" s="653"/>
      <c r="W33" s="653"/>
      <c r="X33" s="653"/>
      <c r="Y33" s="653"/>
      <c r="Z33" s="653"/>
      <c r="AA33" s="653"/>
      <c r="AB33" s="653"/>
      <c r="AC33" s="653"/>
      <c r="AD33" s="653"/>
      <c r="AE33" s="653"/>
      <c r="AF33" s="653"/>
      <c r="AG33" s="653"/>
      <c r="AH33" s="654"/>
    </row>
    <row r="34" spans="1:34" ht="15.75" thickBot="1" x14ac:dyDescent="0.3">
      <c r="A34" s="655"/>
      <c r="B34" s="656"/>
      <c r="C34" s="656"/>
      <c r="D34" s="656"/>
      <c r="E34" s="656"/>
      <c r="F34" s="656"/>
      <c r="G34" s="656"/>
      <c r="H34" s="656"/>
      <c r="I34" s="656"/>
      <c r="J34" s="656"/>
      <c r="K34" s="656"/>
      <c r="L34" s="656"/>
      <c r="M34" s="656"/>
      <c r="N34" s="656"/>
      <c r="O34" s="656"/>
      <c r="P34" s="656"/>
      <c r="Q34" s="656"/>
      <c r="R34" s="656"/>
      <c r="S34" s="656"/>
      <c r="T34" s="656"/>
      <c r="U34" s="656"/>
      <c r="V34" s="656"/>
      <c r="W34" s="656"/>
      <c r="X34" s="656"/>
      <c r="Y34" s="656"/>
      <c r="Z34" s="656"/>
      <c r="AA34" s="656"/>
      <c r="AB34" s="656"/>
      <c r="AC34" s="656"/>
      <c r="AD34" s="656"/>
      <c r="AE34" s="656"/>
      <c r="AF34" s="656"/>
      <c r="AG34" s="656"/>
      <c r="AH34" s="657"/>
    </row>
    <row r="35" spans="1:34" ht="19.5" thickBot="1" x14ac:dyDescent="0.3">
      <c r="A35" s="661" t="s">
        <v>305</v>
      </c>
      <c r="B35" s="662"/>
      <c r="C35" s="662"/>
      <c r="D35" s="662"/>
      <c r="E35" s="662"/>
      <c r="F35" s="662"/>
      <c r="G35" s="662"/>
      <c r="H35" s="662"/>
      <c r="I35" s="662"/>
      <c r="J35" s="663"/>
      <c r="K35" s="401">
        <f>SUM(K7:K32)</f>
        <v>23</v>
      </c>
      <c r="L35" s="401">
        <f>SUM(L7:L32)</f>
        <v>30</v>
      </c>
      <c r="M35" s="402"/>
      <c r="N35" s="458">
        <f>SUMPRODUCT(K7:K32,N7:N32)/K35</f>
        <v>1</v>
      </c>
      <c r="O35" s="459">
        <f>SUM(O7:O32)</f>
        <v>27</v>
      </c>
      <c r="P35" s="460">
        <f>SUMPRODUCT(K7:K32,P7:P32)/K35</f>
        <v>0.89130434782608692</v>
      </c>
      <c r="Q35" s="403"/>
      <c r="R35" s="404">
        <f t="shared" ref="R35:W35" si="8">SUM(R7:R32)</f>
        <v>27</v>
      </c>
      <c r="S35" s="461">
        <f t="shared" si="8"/>
        <v>25</v>
      </c>
      <c r="T35" s="461">
        <f t="shared" si="8"/>
        <v>16</v>
      </c>
      <c r="U35" s="404">
        <f t="shared" si="8"/>
        <v>1</v>
      </c>
      <c r="V35" s="404">
        <f t="shared" si="8"/>
        <v>0</v>
      </c>
      <c r="W35" s="404">
        <f t="shared" si="8"/>
        <v>8</v>
      </c>
      <c r="X35" s="462">
        <f>IF((S35=0),0,((T35+U35)/S35*100%))</f>
        <v>0.68</v>
      </c>
      <c r="Y35" s="405"/>
      <c r="Z35" s="463">
        <f>SUM(Z7:Z32)</f>
        <v>23</v>
      </c>
      <c r="AA35" s="464">
        <f>SUM(AA7:AA32)</f>
        <v>23</v>
      </c>
      <c r="AB35" s="464">
        <f>SUM(AB7:AB32)</f>
        <v>0</v>
      </c>
      <c r="AC35" s="464">
        <f>SUM(AC7:AC32)</f>
        <v>0</v>
      </c>
      <c r="AD35" s="464">
        <f>SUM(AD7:AD32)</f>
        <v>0</v>
      </c>
      <c r="AE35" s="465">
        <f>IF((Z35=0),0,((AA35+AB35)/Z35*100%))</f>
        <v>1</v>
      </c>
      <c r="AF35" s="406"/>
      <c r="AG35" s="406"/>
      <c r="AH35" s="407"/>
    </row>
    <row r="37" spans="1:34" x14ac:dyDescent="0.25">
      <c r="L37" s="170" t="s">
        <v>385</v>
      </c>
    </row>
  </sheetData>
  <sheetProtection insertColumns="0" insertRows="0" deleteRows="0" sort="0"/>
  <autoFilter ref="A5:AH35" xr:uid="{00000000-0009-0000-0000-000002000000}"/>
  <mergeCells count="9">
    <mergeCell ref="A33:AH34"/>
    <mergeCell ref="A1:AH1"/>
    <mergeCell ref="A3:AH3"/>
    <mergeCell ref="A2:J2"/>
    <mergeCell ref="A35:J3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Q30:Q32</xm:sqref>
        </x14:dataValidation>
        <x14:dataValidation type="list" allowBlank="1" showInputMessage="1" showErrorMessage="1" xr:uid="{237AC15D-702E-46B4-89E7-DAB1EF5DAEB1}">
          <x14:formula1>
            <xm:f>'List Options'!$E$1:$E$7</xm:f>
          </x14:formula1>
          <xm:sqref>Q6:Q29</xm:sqref>
        </x14:dataValidation>
        <x14:dataValidation type="list" allowBlank="1" showInputMessage="1" showErrorMessage="1" xr:uid="{5513F172-4253-4807-A8CE-34D720193895}">
          <x14:formula1>
            <xm:f>'List Options'!$G$1:$G$3</xm:f>
          </x14:formula1>
          <xm:sqref>M6:M32</xm:sqref>
        </x14:dataValidation>
        <x14:dataValidation type="list" allowBlank="1" showInputMessage="1" showErrorMessage="1" xr:uid="{8B92A7F6-7ABF-446A-A0A1-23D59ABEAA7C}">
          <x14:formula1>
            <xm:f>'List Options'!$K$1:$K$6</xm:f>
          </x14:formula1>
          <xm:sqref>I6:I32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86"/>
  <sheetViews>
    <sheetView workbookViewId="0">
      <pane ySplit="2" topLeftCell="A3" activePane="bottomLeft" state="frozen"/>
      <selection pane="bottomLeft" activeCell="H25" sqref="H25"/>
    </sheetView>
  </sheetViews>
  <sheetFormatPr defaultRowHeight="15" x14ac:dyDescent="0.25"/>
  <cols>
    <col min="1" max="1" width="23" customWidth="1"/>
    <col min="2" max="2" width="82"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85" t="s">
        <v>386</v>
      </c>
      <c r="B1" s="686"/>
      <c r="C1" s="686"/>
      <c r="D1" s="686"/>
      <c r="E1" s="686"/>
      <c r="F1" s="686"/>
      <c r="G1" s="686"/>
      <c r="H1" s="686"/>
      <c r="I1" s="687"/>
    </row>
    <row r="2" spans="1:9" s="79" customFormat="1" ht="15.75" thickBot="1" x14ac:dyDescent="0.3">
      <c r="A2" s="565" t="s">
        <v>94</v>
      </c>
      <c r="B2" s="566" t="s">
        <v>98</v>
      </c>
      <c r="C2" s="567" t="s">
        <v>113</v>
      </c>
      <c r="D2" s="567" t="s">
        <v>219</v>
      </c>
      <c r="E2" s="568" t="s">
        <v>1</v>
      </c>
      <c r="F2"/>
    </row>
    <row r="3" spans="1:9" ht="15.75" thickBot="1" x14ac:dyDescent="0.3">
      <c r="A3" s="335" t="s">
        <v>311</v>
      </c>
      <c r="B3" s="558" t="s">
        <v>312</v>
      </c>
      <c r="C3" s="525" t="s">
        <v>387</v>
      </c>
      <c r="D3" s="525" t="s">
        <v>34</v>
      </c>
      <c r="E3" s="528" t="s">
        <v>33</v>
      </c>
      <c r="G3" s="289" t="s">
        <v>94</v>
      </c>
      <c r="H3" s="290" t="s">
        <v>388</v>
      </c>
      <c r="I3" s="521">
        <f>COUNTA(A3:A3985)</f>
        <v>36</v>
      </c>
    </row>
    <row r="4" spans="1:9" x14ac:dyDescent="0.25">
      <c r="A4" s="336" t="s">
        <v>315</v>
      </c>
      <c r="B4" s="558" t="s">
        <v>316</v>
      </c>
      <c r="C4" s="526" t="s">
        <v>387</v>
      </c>
      <c r="D4" s="526" t="s">
        <v>40</v>
      </c>
      <c r="E4" s="529" t="s">
        <v>39</v>
      </c>
      <c r="G4" s="677" t="s">
        <v>113</v>
      </c>
      <c r="H4" s="291" t="s">
        <v>389</v>
      </c>
      <c r="I4" s="522">
        <f>COUNTIFS($C3:$C3985,"P1")</f>
        <v>18</v>
      </c>
    </row>
    <row r="5" spans="1:9" x14ac:dyDescent="0.25">
      <c r="A5" s="336" t="s">
        <v>320</v>
      </c>
      <c r="B5" s="559" t="s">
        <v>321</v>
      </c>
      <c r="C5" s="526" t="s">
        <v>390</v>
      </c>
      <c r="D5" s="526" t="s">
        <v>34</v>
      </c>
      <c r="E5" s="529" t="s">
        <v>44</v>
      </c>
      <c r="G5" s="678"/>
      <c r="H5" s="292" t="s">
        <v>391</v>
      </c>
      <c r="I5" s="523">
        <f>COUNTIFS($C3:$C3985,"P2")</f>
        <v>13</v>
      </c>
    </row>
    <row r="6" spans="1:9" ht="15.75" thickBot="1" x14ac:dyDescent="0.3">
      <c r="A6" s="336" t="s">
        <v>324</v>
      </c>
      <c r="B6" s="560" t="s">
        <v>325</v>
      </c>
      <c r="C6" s="526" t="s">
        <v>387</v>
      </c>
      <c r="D6" s="526" t="s">
        <v>34</v>
      </c>
      <c r="E6" s="529" t="s">
        <v>33</v>
      </c>
      <c r="G6" s="679"/>
      <c r="H6" s="293" t="s">
        <v>392</v>
      </c>
      <c r="I6" s="524">
        <f>COUNTIFS($C3:$C3985,"P3")</f>
        <v>2</v>
      </c>
    </row>
    <row r="7" spans="1:9" x14ac:dyDescent="0.25">
      <c r="A7" s="336" t="s">
        <v>327</v>
      </c>
      <c r="B7" s="559" t="s">
        <v>328</v>
      </c>
      <c r="C7" s="526" t="s">
        <v>390</v>
      </c>
      <c r="D7" s="526" t="s">
        <v>34</v>
      </c>
      <c r="E7" s="529" t="s">
        <v>44</v>
      </c>
      <c r="G7" s="680" t="s">
        <v>219</v>
      </c>
      <c r="H7" s="291" t="s">
        <v>393</v>
      </c>
      <c r="I7" s="522">
        <f>COUNTIFS($D3:$D3985,"Diagnostics")</f>
        <v>23</v>
      </c>
    </row>
    <row r="8" spans="1:9" x14ac:dyDescent="0.25">
      <c r="A8" s="336" t="s">
        <v>331</v>
      </c>
      <c r="B8" s="560" t="s">
        <v>332</v>
      </c>
      <c r="C8" s="526" t="s">
        <v>390</v>
      </c>
      <c r="D8" s="526" t="s">
        <v>34</v>
      </c>
      <c r="E8" s="529" t="s">
        <v>44</v>
      </c>
      <c r="G8" s="681"/>
      <c r="H8" s="292" t="s">
        <v>394</v>
      </c>
      <c r="I8" s="523">
        <f>COUNTIFS($D3:$D3985,"Driver")</f>
        <v>4</v>
      </c>
    </row>
    <row r="9" spans="1:9" x14ac:dyDescent="0.25">
      <c r="A9" s="336" t="s">
        <v>335</v>
      </c>
      <c r="B9" s="561" t="s">
        <v>336</v>
      </c>
      <c r="C9" s="526" t="s">
        <v>390</v>
      </c>
      <c r="D9" s="526" t="s">
        <v>34</v>
      </c>
      <c r="E9" s="529" t="s">
        <v>44</v>
      </c>
      <c r="G9" s="681"/>
      <c r="H9" s="292" t="s">
        <v>395</v>
      </c>
      <c r="I9" s="523">
        <f>COUNTIFS($D3:$D3985,"IPSE")</f>
        <v>6</v>
      </c>
    </row>
    <row r="10" spans="1:9" x14ac:dyDescent="0.25">
      <c r="A10" s="336" t="s">
        <v>338</v>
      </c>
      <c r="B10" s="562" t="s">
        <v>339</v>
      </c>
      <c r="C10" s="526" t="s">
        <v>390</v>
      </c>
      <c r="D10" s="526" t="s">
        <v>34</v>
      </c>
      <c r="E10" s="529" t="s">
        <v>39</v>
      </c>
      <c r="G10" s="682"/>
      <c r="H10" s="293" t="s">
        <v>396</v>
      </c>
      <c r="I10" s="524">
        <f>COUNTIFS($D3:$D3985,"N/A")</f>
        <v>3</v>
      </c>
    </row>
    <row r="11" spans="1:9" x14ac:dyDescent="0.25">
      <c r="A11" s="336" t="s">
        <v>342</v>
      </c>
      <c r="B11" s="560" t="s">
        <v>397</v>
      </c>
      <c r="C11" s="526" t="s">
        <v>387</v>
      </c>
      <c r="D11" s="526" t="s">
        <v>34</v>
      </c>
      <c r="E11" s="529" t="s">
        <v>44</v>
      </c>
      <c r="G11" s="680" t="s">
        <v>1</v>
      </c>
      <c r="H11" s="291" t="s">
        <v>398</v>
      </c>
      <c r="I11" s="522">
        <f>COUNTIFS($E3:$E3985,"Legacy")</f>
        <v>25</v>
      </c>
    </row>
    <row r="12" spans="1:9" x14ac:dyDescent="0.25">
      <c r="A12" s="336" t="s">
        <v>348</v>
      </c>
      <c r="B12" s="559" t="s">
        <v>349</v>
      </c>
      <c r="C12" s="526" t="s">
        <v>390</v>
      </c>
      <c r="D12" s="526" t="s">
        <v>34</v>
      </c>
      <c r="E12" s="529" t="s">
        <v>39</v>
      </c>
      <c r="G12" s="681"/>
      <c r="H12" s="292" t="s">
        <v>399</v>
      </c>
      <c r="I12" s="523">
        <f>COUNTIFS($E3:$E3985,"Delta")</f>
        <v>4</v>
      </c>
    </row>
    <row r="13" spans="1:9" x14ac:dyDescent="0.25">
      <c r="A13" s="336" t="s">
        <v>350</v>
      </c>
      <c r="B13" s="558" t="s">
        <v>400</v>
      </c>
      <c r="C13" s="526" t="s">
        <v>390</v>
      </c>
      <c r="D13" s="526" t="s">
        <v>34</v>
      </c>
      <c r="E13" s="529" t="s">
        <v>44</v>
      </c>
      <c r="G13" s="682"/>
      <c r="H13" s="293" t="s">
        <v>401</v>
      </c>
      <c r="I13" s="524">
        <f>COUNTIFS($E3:$E3985,"New")</f>
        <v>7</v>
      </c>
    </row>
    <row r="14" spans="1:9" x14ac:dyDescent="0.25">
      <c r="A14" s="336" t="s">
        <v>402</v>
      </c>
      <c r="B14" s="559" t="s">
        <v>403</v>
      </c>
      <c r="C14" s="526" t="s">
        <v>387</v>
      </c>
      <c r="D14" s="526" t="s">
        <v>34</v>
      </c>
      <c r="E14" s="529" t="s">
        <v>44</v>
      </c>
      <c r="G14" s="410" t="s">
        <v>224</v>
      </c>
      <c r="H14" s="683"/>
      <c r="I14" s="684"/>
    </row>
    <row r="15" spans="1:9" x14ac:dyDescent="0.25">
      <c r="A15" s="336" t="s">
        <v>404</v>
      </c>
      <c r="B15" s="558" t="s">
        <v>405</v>
      </c>
      <c r="C15" s="526" t="s">
        <v>387</v>
      </c>
      <c r="D15" s="526" t="s">
        <v>40</v>
      </c>
      <c r="E15" s="529" t="s">
        <v>33</v>
      </c>
    </row>
    <row r="16" spans="1:9" x14ac:dyDescent="0.25">
      <c r="A16" s="336" t="s">
        <v>406</v>
      </c>
      <c r="B16" s="558" t="s">
        <v>407</v>
      </c>
      <c r="C16" s="526" t="s">
        <v>390</v>
      </c>
      <c r="D16" s="526" t="s">
        <v>40</v>
      </c>
      <c r="E16" s="529" t="s">
        <v>33</v>
      </c>
    </row>
    <row r="17" spans="1:5" x14ac:dyDescent="0.25">
      <c r="A17" s="336" t="s">
        <v>408</v>
      </c>
      <c r="B17" s="558" t="s">
        <v>409</v>
      </c>
      <c r="C17" s="526" t="s">
        <v>390</v>
      </c>
      <c r="D17" s="526" t="s">
        <v>40</v>
      </c>
      <c r="E17" s="529" t="s">
        <v>39</v>
      </c>
    </row>
    <row r="18" spans="1:5" x14ac:dyDescent="0.25">
      <c r="A18" s="336" t="s">
        <v>353</v>
      </c>
      <c r="B18" s="558" t="s">
        <v>354</v>
      </c>
      <c r="C18" s="526" t="s">
        <v>387</v>
      </c>
      <c r="D18" s="526" t="s">
        <v>34</v>
      </c>
      <c r="E18" s="529" t="s">
        <v>33</v>
      </c>
    </row>
    <row r="19" spans="1:5" x14ac:dyDescent="0.25">
      <c r="A19" s="336" t="s">
        <v>410</v>
      </c>
      <c r="B19" s="558" t="s">
        <v>411</v>
      </c>
      <c r="C19" s="526" t="s">
        <v>387</v>
      </c>
      <c r="D19" s="526" t="s">
        <v>45</v>
      </c>
      <c r="E19" s="529" t="s">
        <v>33</v>
      </c>
    </row>
    <row r="20" spans="1:5" x14ac:dyDescent="0.25">
      <c r="A20" s="336" t="s">
        <v>355</v>
      </c>
      <c r="B20" s="558" t="s">
        <v>356</v>
      </c>
      <c r="C20" s="526" t="s">
        <v>387</v>
      </c>
      <c r="D20" s="526" t="s">
        <v>34</v>
      </c>
      <c r="E20" s="529" t="s">
        <v>33</v>
      </c>
    </row>
    <row r="21" spans="1:5" x14ac:dyDescent="0.25">
      <c r="A21" s="336" t="s">
        <v>412</v>
      </c>
      <c r="B21" s="559" t="s">
        <v>413</v>
      </c>
      <c r="C21" s="526" t="s">
        <v>47</v>
      </c>
      <c r="D21" s="526" t="s">
        <v>47</v>
      </c>
      <c r="E21" s="529" t="s">
        <v>33</v>
      </c>
    </row>
    <row r="22" spans="1:5" x14ac:dyDescent="0.25">
      <c r="A22" s="336" t="s">
        <v>357</v>
      </c>
      <c r="B22" s="558" t="s">
        <v>358</v>
      </c>
      <c r="C22" s="526" t="s">
        <v>390</v>
      </c>
      <c r="D22" s="526" t="s">
        <v>34</v>
      </c>
      <c r="E22" s="529" t="s">
        <v>33</v>
      </c>
    </row>
    <row r="23" spans="1:5" x14ac:dyDescent="0.25">
      <c r="A23" s="336" t="s">
        <v>414</v>
      </c>
      <c r="B23" s="558" t="s">
        <v>415</v>
      </c>
      <c r="C23" s="526" t="s">
        <v>390</v>
      </c>
      <c r="D23" s="526" t="s">
        <v>45</v>
      </c>
      <c r="E23" s="529" t="s">
        <v>33</v>
      </c>
    </row>
    <row r="24" spans="1:5" x14ac:dyDescent="0.25">
      <c r="A24" s="336" t="s">
        <v>416</v>
      </c>
      <c r="B24" s="558" t="s">
        <v>417</v>
      </c>
      <c r="C24" s="526" t="s">
        <v>390</v>
      </c>
      <c r="D24" s="526" t="s">
        <v>45</v>
      </c>
      <c r="E24" s="529" t="s">
        <v>33</v>
      </c>
    </row>
    <row r="25" spans="1:5" x14ac:dyDescent="0.25">
      <c r="A25" s="336" t="s">
        <v>359</v>
      </c>
      <c r="B25" s="559" t="s">
        <v>360</v>
      </c>
      <c r="C25" s="526" t="s">
        <v>390</v>
      </c>
      <c r="D25" s="526" t="s">
        <v>34</v>
      </c>
      <c r="E25" s="529" t="s">
        <v>33</v>
      </c>
    </row>
    <row r="26" spans="1:5" x14ac:dyDescent="0.25">
      <c r="A26" s="336" t="s">
        <v>363</v>
      </c>
      <c r="B26" s="563" t="s">
        <v>364</v>
      </c>
      <c r="C26" s="526" t="s">
        <v>390</v>
      </c>
      <c r="D26" s="526" t="s">
        <v>34</v>
      </c>
      <c r="E26" s="529" t="s">
        <v>33</v>
      </c>
    </row>
    <row r="27" spans="1:5" x14ac:dyDescent="0.25">
      <c r="A27" s="336" t="s">
        <v>365</v>
      </c>
      <c r="B27" s="558" t="s">
        <v>366</v>
      </c>
      <c r="C27" s="526" t="s">
        <v>301</v>
      </c>
      <c r="D27" s="526" t="s">
        <v>34</v>
      </c>
      <c r="E27" s="529" t="s">
        <v>33</v>
      </c>
    </row>
    <row r="28" spans="1:5" x14ac:dyDescent="0.25">
      <c r="A28" s="336" t="s">
        <v>367</v>
      </c>
      <c r="B28" s="562" t="s">
        <v>368</v>
      </c>
      <c r="C28" s="526" t="s">
        <v>387</v>
      </c>
      <c r="D28" s="526" t="s">
        <v>34</v>
      </c>
      <c r="E28" s="529" t="s">
        <v>33</v>
      </c>
    </row>
    <row r="29" spans="1:5" x14ac:dyDescent="0.25">
      <c r="A29" s="336" t="s">
        <v>418</v>
      </c>
      <c r="B29" s="558" t="s">
        <v>419</v>
      </c>
      <c r="C29" s="526" t="s">
        <v>47</v>
      </c>
      <c r="D29" s="526" t="s">
        <v>47</v>
      </c>
      <c r="E29" s="529" t="s">
        <v>33</v>
      </c>
    </row>
    <row r="30" spans="1:5" x14ac:dyDescent="0.25">
      <c r="A30" s="336" t="s">
        <v>420</v>
      </c>
      <c r="B30" s="558" t="s">
        <v>421</v>
      </c>
      <c r="C30" s="526" t="s">
        <v>390</v>
      </c>
      <c r="D30" s="526" t="s">
        <v>45</v>
      </c>
      <c r="E30" s="529" t="s">
        <v>33</v>
      </c>
    </row>
    <row r="31" spans="1:5" x14ac:dyDescent="0.25">
      <c r="A31" s="336" t="s">
        <v>371</v>
      </c>
      <c r="B31" s="558" t="s">
        <v>372</v>
      </c>
      <c r="C31" s="526" t="s">
        <v>390</v>
      </c>
      <c r="D31" s="526" t="s">
        <v>34</v>
      </c>
      <c r="E31" s="529" t="s">
        <v>33</v>
      </c>
    </row>
    <row r="32" spans="1:5" x14ac:dyDescent="0.25">
      <c r="A32" s="336" t="s">
        <v>422</v>
      </c>
      <c r="B32" s="558" t="s">
        <v>423</v>
      </c>
      <c r="C32" s="526" t="s">
        <v>301</v>
      </c>
      <c r="D32" s="526" t="s">
        <v>45</v>
      </c>
      <c r="E32" s="529" t="s">
        <v>33</v>
      </c>
    </row>
    <row r="33" spans="1:5" x14ac:dyDescent="0.25">
      <c r="A33" s="336" t="s">
        <v>373</v>
      </c>
      <c r="B33" s="558" t="s">
        <v>374</v>
      </c>
      <c r="C33" s="526" t="s">
        <v>387</v>
      </c>
      <c r="D33" s="526" t="s">
        <v>34</v>
      </c>
      <c r="E33" s="529" t="s">
        <v>33</v>
      </c>
    </row>
    <row r="34" spans="1:5" x14ac:dyDescent="0.25">
      <c r="A34" s="336" t="s">
        <v>424</v>
      </c>
      <c r="B34" s="558" t="s">
        <v>425</v>
      </c>
      <c r="C34" s="526" t="s">
        <v>390</v>
      </c>
      <c r="D34" s="526" t="s">
        <v>45</v>
      </c>
      <c r="E34" s="529" t="s">
        <v>33</v>
      </c>
    </row>
    <row r="35" spans="1:5" x14ac:dyDescent="0.25">
      <c r="A35" s="336" t="s">
        <v>426</v>
      </c>
      <c r="B35" s="558" t="s">
        <v>427</v>
      </c>
      <c r="C35" s="526" t="s">
        <v>10</v>
      </c>
      <c r="D35" s="526" t="s">
        <v>47</v>
      </c>
      <c r="E35" s="529" t="s">
        <v>33</v>
      </c>
    </row>
    <row r="36" spans="1:5" x14ac:dyDescent="0.25">
      <c r="A36" s="336" t="s">
        <v>376</v>
      </c>
      <c r="B36" s="558" t="s">
        <v>377</v>
      </c>
      <c r="C36" s="526" t="s">
        <v>387</v>
      </c>
      <c r="D36" s="526" t="s">
        <v>34</v>
      </c>
      <c r="E36" s="529" t="s">
        <v>33</v>
      </c>
    </row>
    <row r="37" spans="1:5" x14ac:dyDescent="0.25">
      <c r="A37" s="336" t="s">
        <v>380</v>
      </c>
      <c r="B37" s="558" t="s">
        <v>381</v>
      </c>
      <c r="C37" s="526" t="s">
        <v>387</v>
      </c>
      <c r="D37" s="526" t="s">
        <v>34</v>
      </c>
      <c r="E37" s="529" t="s">
        <v>33</v>
      </c>
    </row>
    <row r="38" spans="1:5" x14ac:dyDescent="0.25">
      <c r="A38" s="336" t="s">
        <v>382</v>
      </c>
      <c r="B38" s="558" t="s">
        <v>383</v>
      </c>
      <c r="C38" s="526" t="s">
        <v>390</v>
      </c>
      <c r="D38" s="526" t="s">
        <v>34</v>
      </c>
      <c r="E38" s="529" t="s">
        <v>33</v>
      </c>
    </row>
    <row r="39" spans="1:5" x14ac:dyDescent="0.25">
      <c r="A39" s="336"/>
      <c r="B39" s="558"/>
      <c r="C39" s="526"/>
      <c r="D39" s="526"/>
      <c r="E39" s="529"/>
    </row>
    <row r="40" spans="1:5" x14ac:dyDescent="0.25">
      <c r="A40" s="336"/>
      <c r="B40" s="558"/>
      <c r="C40" s="526"/>
      <c r="D40" s="526"/>
      <c r="E40" s="529"/>
    </row>
    <row r="41" spans="1:5" x14ac:dyDescent="0.25">
      <c r="A41" s="336"/>
      <c r="B41" s="558"/>
      <c r="C41" s="526"/>
      <c r="D41" s="526"/>
      <c r="E41" s="529"/>
    </row>
    <row r="42" spans="1:5" x14ac:dyDescent="0.25">
      <c r="A42" s="336"/>
      <c r="B42" s="558"/>
      <c r="C42" s="526"/>
      <c r="D42" s="526"/>
      <c r="E42" s="529"/>
    </row>
    <row r="43" spans="1:5" x14ac:dyDescent="0.25">
      <c r="A43" s="336"/>
      <c r="B43" s="558"/>
      <c r="C43" s="526"/>
      <c r="D43" s="526"/>
      <c r="E43" s="529"/>
    </row>
    <row r="44" spans="1:5" x14ac:dyDescent="0.25">
      <c r="A44" s="336"/>
      <c r="B44" s="558"/>
      <c r="C44" s="526"/>
      <c r="D44" s="526"/>
      <c r="E44" s="529"/>
    </row>
    <row r="45" spans="1:5" x14ac:dyDescent="0.25">
      <c r="A45" s="336"/>
      <c r="B45" s="558"/>
      <c r="C45" s="526"/>
      <c r="D45" s="526"/>
      <c r="E45" s="529"/>
    </row>
    <row r="46" spans="1:5" x14ac:dyDescent="0.25">
      <c r="A46" s="336"/>
      <c r="B46" s="558"/>
      <c r="C46" s="526"/>
      <c r="D46" s="526"/>
      <c r="E46" s="529"/>
    </row>
    <row r="47" spans="1:5" x14ac:dyDescent="0.25">
      <c r="A47" s="336"/>
      <c r="B47" s="558"/>
      <c r="C47" s="526"/>
      <c r="D47" s="526"/>
      <c r="E47" s="529"/>
    </row>
    <row r="48" spans="1:5" x14ac:dyDescent="0.25">
      <c r="A48" s="336"/>
      <c r="B48" s="564"/>
      <c r="C48" s="526"/>
      <c r="D48" s="526"/>
      <c r="E48" s="529"/>
    </row>
    <row r="49" spans="1:5" x14ac:dyDescent="0.25">
      <c r="A49" s="336"/>
      <c r="B49" s="558"/>
      <c r="C49" s="526"/>
      <c r="D49" s="526"/>
      <c r="E49" s="529"/>
    </row>
    <row r="50" spans="1:5" x14ac:dyDescent="0.25">
      <c r="A50" s="336"/>
      <c r="B50" s="558"/>
      <c r="C50" s="526"/>
      <c r="D50" s="526"/>
      <c r="E50" s="529"/>
    </row>
    <row r="51" spans="1:5" x14ac:dyDescent="0.25">
      <c r="A51" s="336"/>
      <c r="B51" s="558"/>
      <c r="C51" s="526"/>
      <c r="D51" s="526"/>
      <c r="E51" s="529"/>
    </row>
    <row r="52" spans="1:5" x14ac:dyDescent="0.25">
      <c r="A52" s="336"/>
      <c r="B52" s="558"/>
      <c r="C52" s="526"/>
      <c r="D52" s="526"/>
      <c r="E52" s="529"/>
    </row>
    <row r="53" spans="1:5" x14ac:dyDescent="0.25">
      <c r="A53" s="336"/>
      <c r="B53" s="558"/>
      <c r="C53" s="526"/>
      <c r="D53" s="526"/>
      <c r="E53" s="529"/>
    </row>
    <row r="54" spans="1:5" x14ac:dyDescent="0.25">
      <c r="A54" s="336"/>
      <c r="B54" s="558"/>
      <c r="C54" s="526"/>
      <c r="D54" s="526"/>
      <c r="E54" s="529"/>
    </row>
    <row r="55" spans="1:5" x14ac:dyDescent="0.25">
      <c r="A55" s="336"/>
      <c r="B55" s="337"/>
      <c r="C55" s="526"/>
      <c r="D55" s="526"/>
      <c r="E55" s="529"/>
    </row>
    <row r="56" spans="1:5" x14ac:dyDescent="0.25">
      <c r="A56" s="336"/>
      <c r="B56" s="337"/>
      <c r="C56" s="526"/>
      <c r="D56" s="526"/>
      <c r="E56" s="529"/>
    </row>
    <row r="57" spans="1:5" x14ac:dyDescent="0.25">
      <c r="A57" s="336"/>
      <c r="B57" s="337"/>
      <c r="C57" s="526"/>
      <c r="D57" s="526"/>
      <c r="E57" s="529"/>
    </row>
    <row r="58" spans="1:5" x14ac:dyDescent="0.25">
      <c r="A58" s="336"/>
      <c r="B58" s="337"/>
      <c r="C58" s="526"/>
      <c r="D58" s="526"/>
      <c r="E58" s="529"/>
    </row>
    <row r="59" spans="1:5" x14ac:dyDescent="0.25">
      <c r="A59" s="336"/>
      <c r="B59" s="337"/>
      <c r="C59" s="526"/>
      <c r="D59" s="526"/>
      <c r="E59" s="529"/>
    </row>
    <row r="60" spans="1:5" x14ac:dyDescent="0.25">
      <c r="A60" s="336"/>
      <c r="B60" s="337"/>
      <c r="C60" s="526"/>
      <c r="D60" s="526"/>
      <c r="E60" s="529"/>
    </row>
    <row r="61" spans="1:5" x14ac:dyDescent="0.25">
      <c r="A61" s="336"/>
      <c r="B61" s="337"/>
      <c r="C61" s="526"/>
      <c r="D61" s="526"/>
      <c r="E61" s="529"/>
    </row>
    <row r="62" spans="1:5" x14ac:dyDescent="0.25">
      <c r="A62" s="336"/>
      <c r="B62" s="337"/>
      <c r="C62" s="526"/>
      <c r="D62" s="526"/>
      <c r="E62" s="529"/>
    </row>
    <row r="63" spans="1:5" x14ac:dyDescent="0.25">
      <c r="A63" s="336"/>
      <c r="B63" s="337"/>
      <c r="C63" s="526"/>
      <c r="D63" s="526"/>
      <c r="E63" s="529"/>
    </row>
    <row r="64" spans="1:5" x14ac:dyDescent="0.25">
      <c r="A64" s="336"/>
      <c r="B64" s="337"/>
      <c r="C64" s="526"/>
      <c r="D64" s="526"/>
      <c r="E64" s="529"/>
    </row>
    <row r="65" spans="1:5" x14ac:dyDescent="0.25">
      <c r="A65" s="336"/>
      <c r="B65" s="337"/>
      <c r="C65" s="526"/>
      <c r="D65" s="526"/>
      <c r="E65" s="529"/>
    </row>
    <row r="66" spans="1:5" x14ac:dyDescent="0.25">
      <c r="A66" s="336"/>
      <c r="B66" s="337"/>
      <c r="C66" s="526"/>
      <c r="D66" s="526"/>
      <c r="E66" s="529"/>
    </row>
    <row r="67" spans="1:5" x14ac:dyDescent="0.25">
      <c r="A67" s="336"/>
      <c r="B67" s="337"/>
      <c r="C67" s="526"/>
      <c r="D67" s="526"/>
      <c r="E67" s="529"/>
    </row>
    <row r="68" spans="1:5" x14ac:dyDescent="0.25">
      <c r="A68" s="336"/>
      <c r="B68" s="337"/>
      <c r="C68" s="526"/>
      <c r="D68" s="526"/>
      <c r="E68" s="529"/>
    </row>
    <row r="69" spans="1:5" x14ac:dyDescent="0.25">
      <c r="A69" s="336"/>
      <c r="B69" s="337"/>
      <c r="C69" s="526"/>
      <c r="D69" s="526"/>
      <c r="E69" s="529"/>
    </row>
    <row r="70" spans="1:5" x14ac:dyDescent="0.25">
      <c r="A70" s="336"/>
      <c r="B70" s="337"/>
      <c r="C70" s="526"/>
      <c r="D70" s="526"/>
      <c r="E70" s="529"/>
    </row>
    <row r="71" spans="1:5" x14ac:dyDescent="0.25">
      <c r="A71" s="336"/>
      <c r="B71" s="337"/>
      <c r="C71" s="526"/>
      <c r="D71" s="526"/>
      <c r="E71" s="529"/>
    </row>
    <row r="72" spans="1:5" x14ac:dyDescent="0.25">
      <c r="A72" s="336"/>
      <c r="B72" s="337"/>
      <c r="C72" s="526"/>
      <c r="D72" s="526"/>
      <c r="E72" s="529"/>
    </row>
    <row r="73" spans="1:5" x14ac:dyDescent="0.25">
      <c r="A73" s="336"/>
      <c r="B73" s="337"/>
      <c r="C73" s="526"/>
      <c r="D73" s="526"/>
      <c r="E73" s="529"/>
    </row>
    <row r="74" spans="1:5" x14ac:dyDescent="0.25">
      <c r="A74" s="336"/>
      <c r="B74" s="337"/>
      <c r="C74" s="526"/>
      <c r="D74" s="526"/>
      <c r="E74" s="529"/>
    </row>
    <row r="75" spans="1:5" x14ac:dyDescent="0.25">
      <c r="A75" s="336"/>
      <c r="B75" s="337"/>
      <c r="C75" s="526"/>
      <c r="D75" s="526"/>
      <c r="E75" s="529"/>
    </row>
    <row r="76" spans="1:5" x14ac:dyDescent="0.25">
      <c r="A76" s="336"/>
      <c r="B76" s="337"/>
      <c r="C76" s="526"/>
      <c r="D76" s="526"/>
      <c r="E76" s="529"/>
    </row>
    <row r="77" spans="1:5" x14ac:dyDescent="0.25">
      <c r="A77" s="336"/>
      <c r="B77" s="337"/>
      <c r="C77" s="526"/>
      <c r="D77" s="526"/>
      <c r="E77" s="529"/>
    </row>
    <row r="78" spans="1:5" x14ac:dyDescent="0.25">
      <c r="A78" s="336"/>
      <c r="B78" s="337"/>
      <c r="C78" s="526"/>
      <c r="D78" s="526"/>
      <c r="E78" s="529"/>
    </row>
    <row r="79" spans="1:5" x14ac:dyDescent="0.25">
      <c r="A79" s="336"/>
      <c r="B79" s="337"/>
      <c r="C79" s="526"/>
      <c r="D79" s="526"/>
      <c r="E79" s="529"/>
    </row>
    <row r="80" spans="1:5" x14ac:dyDescent="0.25">
      <c r="A80" s="336"/>
      <c r="B80" s="337"/>
      <c r="C80" s="526"/>
      <c r="D80" s="526"/>
      <c r="E80" s="529"/>
    </row>
    <row r="81" spans="1:5" x14ac:dyDescent="0.25">
      <c r="A81" s="336"/>
      <c r="B81" s="337"/>
      <c r="C81" s="526"/>
      <c r="D81" s="526"/>
      <c r="E81" s="529"/>
    </row>
    <row r="82" spans="1:5" x14ac:dyDescent="0.25">
      <c r="A82" s="336"/>
      <c r="B82" s="337"/>
      <c r="C82" s="526"/>
      <c r="D82" s="526"/>
      <c r="E82" s="529"/>
    </row>
    <row r="83" spans="1:5" x14ac:dyDescent="0.25">
      <c r="A83" s="336"/>
      <c r="B83" s="337"/>
      <c r="C83" s="526"/>
      <c r="D83" s="526"/>
      <c r="E83" s="529"/>
    </row>
    <row r="84" spans="1:5" x14ac:dyDescent="0.25">
      <c r="A84" s="336"/>
      <c r="B84" s="337"/>
      <c r="C84" s="526"/>
      <c r="D84" s="526"/>
      <c r="E84" s="529"/>
    </row>
    <row r="85" spans="1:5" x14ac:dyDescent="0.25">
      <c r="A85" s="336"/>
      <c r="B85" s="337"/>
      <c r="C85" s="526"/>
      <c r="D85" s="526"/>
      <c r="E85" s="529"/>
    </row>
    <row r="86" spans="1:5" x14ac:dyDescent="0.25">
      <c r="A86" s="338"/>
      <c r="B86" s="339"/>
      <c r="C86" s="527"/>
      <c r="D86" s="527"/>
      <c r="E86" s="530"/>
    </row>
  </sheetData>
  <autoFilter ref="A2:E86" xr:uid="{2E753270-8E41-4CC5-97C2-EE4540C41FD1}"/>
  <mergeCells count="5">
    <mergeCell ref="G4:G6"/>
    <mergeCell ref="G7:G10"/>
    <mergeCell ref="G11:G13"/>
    <mergeCell ref="H14:I14"/>
    <mergeCell ref="A1:I1"/>
  </mergeCells>
  <phoneticPr fontId="30" type="noConversion"/>
  <conditionalFormatting sqref="F3:F32">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conditionalFormatting sqref="F35:F56">
    <cfRule type="cellIs" dxfId="4" priority="206" operator="equal">
      <formula>"new"</formula>
    </cfRule>
    <cfRule type="cellIs" dxfId="3" priority="207" operator="equal">
      <formula>"existing"</formula>
    </cfRule>
    <cfRule type="cellIs" dxfId="2" priority="208" operator="equal">
      <formula>"incremental"</formula>
    </cfRule>
    <cfRule type="cellIs" dxfId="1" priority="209" operator="equal">
      <formula>"no longer supported"</formula>
    </cfRule>
    <cfRule type="cellIs" dxfId="0" priority="210" operator="equal">
      <formula>"n/a"</formula>
    </cfRule>
  </conditionalFormatting>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D3:D86</xm:sqref>
        </x14:dataValidation>
        <x14:dataValidation type="list" allowBlank="1" showInputMessage="1" showErrorMessage="1" xr:uid="{AA1AC074-A7B7-4C8D-9132-118B458773B2}">
          <x14:formula1>
            <xm:f>'List Options'!$G$1:$G$3</xm:f>
          </x14:formula1>
          <xm:sqref>E3:E86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50"/>
  <sheetViews>
    <sheetView workbookViewId="0">
      <pane xSplit="4" ySplit="6" topLeftCell="L14" activePane="bottomRight" state="frozen"/>
      <selection pane="topRight" activeCell="D1" sqref="D1"/>
      <selection pane="bottomLeft" activeCell="A3" sqref="A3"/>
      <selection pane="bottomRight" activeCell="U9" sqref="U9"/>
    </sheetView>
  </sheetViews>
  <sheetFormatPr defaultColWidth="8.5703125" defaultRowHeight="15" x14ac:dyDescent="0.25"/>
  <cols>
    <col min="1" max="1" width="16.85546875" style="182" bestFit="1" customWidth="1"/>
    <col min="2" max="2" width="59.5703125" style="190" customWidth="1"/>
    <col min="3" max="3" width="7.5703125" style="190" customWidth="1"/>
    <col min="4" max="4" width="34" style="182" bestFit="1" customWidth="1"/>
    <col min="5" max="5" width="14.140625" style="190" bestFit="1" customWidth="1"/>
    <col min="6" max="6" width="11.140625" style="190" bestFit="1" customWidth="1"/>
    <col min="7" max="7" width="11.28515625" style="190" bestFit="1" customWidth="1"/>
    <col min="8" max="8" width="14.28515625" style="190" bestFit="1" customWidth="1"/>
    <col min="9" max="9" width="8.28515625" style="192" bestFit="1" customWidth="1"/>
    <col min="10" max="10" width="20" style="192"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customWidth="1"/>
    <col min="17" max="17" width="10.85546875" style="80" customWidth="1"/>
    <col min="18" max="19" width="13.5703125" style="200" customWidth="1"/>
    <col min="20" max="20" width="13.85546875" style="201" customWidth="1"/>
    <col min="21" max="21" width="6.5703125" style="182" customWidth="1"/>
    <col min="22" max="22" width="45.7109375" style="182" customWidth="1"/>
    <col min="23" max="16384" width="8.5703125" style="182"/>
  </cols>
  <sheetData>
    <row r="1" spans="1:23" s="177" customFormat="1" ht="19.5" thickBot="1" x14ac:dyDescent="0.3">
      <c r="A1" s="652" t="s">
        <v>428</v>
      </c>
      <c r="B1" s="653"/>
      <c r="C1" s="653"/>
      <c r="D1" s="653"/>
      <c r="E1" s="653"/>
      <c r="F1" s="653"/>
      <c r="G1" s="653"/>
      <c r="H1" s="653"/>
      <c r="I1" s="653"/>
      <c r="J1" s="653"/>
      <c r="K1" s="653"/>
      <c r="L1" s="653"/>
      <c r="M1" s="653"/>
      <c r="N1" s="653"/>
      <c r="O1" s="653"/>
      <c r="P1" s="653"/>
      <c r="Q1" s="653"/>
      <c r="R1" s="653"/>
      <c r="S1" s="653"/>
      <c r="T1" s="653"/>
      <c r="U1" s="654"/>
      <c r="V1" s="555"/>
    </row>
    <row r="2" spans="1:23" s="187" customFormat="1" ht="18.75" x14ac:dyDescent="0.25">
      <c r="A2" s="690" t="s">
        <v>305</v>
      </c>
      <c r="B2" s="691"/>
      <c r="C2" s="691"/>
      <c r="D2" s="691"/>
      <c r="E2" s="691"/>
      <c r="F2" s="692"/>
      <c r="G2" s="408">
        <f>COUNTIF(G7:G45,"Yes")</f>
        <v>28</v>
      </c>
      <c r="H2" s="408">
        <f>COUNTIF(H7:H45,"Yes")</f>
        <v>23</v>
      </c>
      <c r="I2" s="688">
        <f>'Diags Raw Data'!K35</f>
        <v>23</v>
      </c>
      <c r="J2" s="702">
        <f>'Diags Raw Data'!L35</f>
        <v>30</v>
      </c>
      <c r="K2" s="704">
        <f>'Diags Raw Data'!N35</f>
        <v>1</v>
      </c>
      <c r="L2" s="706">
        <f>'Diags Raw Data'!P35</f>
        <v>0.89130434782608692</v>
      </c>
      <c r="M2" s="708">
        <f>'Diags Raw Data'!R35</f>
        <v>27</v>
      </c>
      <c r="N2" s="710">
        <f>SUM('Diags Raw Data'!T35+'Diags Raw Data'!U35)</f>
        <v>17</v>
      </c>
      <c r="O2" s="696">
        <f>IF((M48=0),0,N48/M48)</f>
        <v>0.62962962962962965</v>
      </c>
      <c r="P2" s="698">
        <f>'Diags Raw Data'!Z35</f>
        <v>23</v>
      </c>
      <c r="Q2" s="700">
        <f>SUM('Diags Raw Data'!AA35+'Diags Raw Data'!AB35)</f>
        <v>23</v>
      </c>
      <c r="R2" s="720">
        <f>IF((J48=0),0,P48/J48)</f>
        <v>0.76666666666666672</v>
      </c>
      <c r="S2" s="720">
        <f>IF((P48=0),0,Q48/P48)</f>
        <v>1</v>
      </c>
      <c r="T2" s="720">
        <f>R48*S48</f>
        <v>0.76666666666666672</v>
      </c>
      <c r="U2" s="722"/>
      <c r="V2" s="712" t="s">
        <v>429</v>
      </c>
      <c r="W2" s="186"/>
    </row>
    <row r="3" spans="1:23" ht="19.5" thickBot="1" x14ac:dyDescent="0.3">
      <c r="A3" s="693"/>
      <c r="B3" s="694"/>
      <c r="C3" s="694"/>
      <c r="D3" s="694"/>
      <c r="E3" s="694"/>
      <c r="F3" s="695"/>
      <c r="G3" s="409">
        <f>COUNTIF(G7:G45,"Yes")/COUNTA(A7:A45)</f>
        <v>0.77777777777777779</v>
      </c>
      <c r="H3" s="409">
        <f>(COUNTIF(H7:H45,"Yes")/G48)</f>
        <v>0.8214285714285714</v>
      </c>
      <c r="I3" s="689"/>
      <c r="J3" s="703"/>
      <c r="K3" s="705"/>
      <c r="L3" s="707"/>
      <c r="M3" s="709"/>
      <c r="N3" s="711"/>
      <c r="O3" s="697"/>
      <c r="P3" s="699"/>
      <c r="Q3" s="701"/>
      <c r="R3" s="721"/>
      <c r="S3" s="721"/>
      <c r="T3" s="721"/>
      <c r="U3" s="723"/>
      <c r="V3" s="713"/>
      <c r="W3" s="181"/>
    </row>
    <row r="4" spans="1:23" ht="19.5" thickBot="1" x14ac:dyDescent="0.3">
      <c r="A4" s="655" t="s">
        <v>430</v>
      </c>
      <c r="B4" s="656"/>
      <c r="C4" s="656"/>
      <c r="D4" s="656"/>
      <c r="E4" s="656"/>
      <c r="F4" s="656"/>
      <c r="G4" s="656"/>
      <c r="H4" s="656"/>
      <c r="I4" s="656"/>
      <c r="J4" s="656"/>
      <c r="K4" s="656"/>
      <c r="L4" s="656"/>
      <c r="M4" s="656"/>
      <c r="N4" s="656"/>
      <c r="O4" s="656"/>
      <c r="P4" s="656"/>
      <c r="Q4" s="656"/>
      <c r="R4" s="656"/>
      <c r="S4" s="656"/>
      <c r="T4" s="656"/>
      <c r="U4" s="657"/>
      <c r="V4" s="556"/>
    </row>
    <row r="5" spans="1:23" s="177" customFormat="1" ht="31.5" customHeight="1" thickBot="1" x14ac:dyDescent="0.3">
      <c r="A5" s="728" t="s">
        <v>93</v>
      </c>
      <c r="B5" s="729"/>
      <c r="C5" s="729"/>
      <c r="D5" s="729"/>
      <c r="E5" s="729"/>
      <c r="F5" s="729"/>
      <c r="G5" s="729"/>
      <c r="H5" s="729"/>
      <c r="I5" s="729"/>
      <c r="J5" s="730"/>
      <c r="K5" s="726" t="s">
        <v>130</v>
      </c>
      <c r="L5" s="727"/>
      <c r="M5" s="731" t="s">
        <v>141</v>
      </c>
      <c r="N5" s="732"/>
      <c r="O5" s="733"/>
      <c r="P5" s="734" t="s">
        <v>161</v>
      </c>
      <c r="Q5" s="735"/>
      <c r="R5" s="735"/>
      <c r="S5" s="735"/>
      <c r="T5" s="735"/>
      <c r="U5" s="736"/>
      <c r="V5" s="176"/>
    </row>
    <row r="6" spans="1:23" s="179" customFormat="1" ht="15.75" thickBot="1" x14ac:dyDescent="0.3">
      <c r="A6" s="351" t="s">
        <v>94</v>
      </c>
      <c r="B6" s="391" t="s">
        <v>98</v>
      </c>
      <c r="C6" s="391" t="s">
        <v>113</v>
      </c>
      <c r="D6" s="391" t="s">
        <v>229</v>
      </c>
      <c r="E6" s="391" t="s">
        <v>105</v>
      </c>
      <c r="F6" s="391" t="s">
        <v>1</v>
      </c>
      <c r="G6" s="392" t="s">
        <v>232</v>
      </c>
      <c r="H6" s="392" t="s">
        <v>235</v>
      </c>
      <c r="I6" s="393" t="s">
        <v>122</v>
      </c>
      <c r="J6" s="393" t="s">
        <v>238</v>
      </c>
      <c r="K6" s="365" t="s">
        <v>131</v>
      </c>
      <c r="L6" s="366" t="s">
        <v>138</v>
      </c>
      <c r="M6" s="344" t="s">
        <v>244</v>
      </c>
      <c r="N6" s="345" t="s">
        <v>246</v>
      </c>
      <c r="O6" s="343" t="s">
        <v>204</v>
      </c>
      <c r="P6" s="367" t="s">
        <v>249</v>
      </c>
      <c r="Q6" s="346" t="s">
        <v>246</v>
      </c>
      <c r="R6" s="347" t="s">
        <v>201</v>
      </c>
      <c r="S6" s="347" t="s">
        <v>157</v>
      </c>
      <c r="T6" s="348" t="s">
        <v>204</v>
      </c>
      <c r="U6" s="349" t="s">
        <v>174</v>
      </c>
      <c r="V6" s="178"/>
    </row>
    <row r="7" spans="1:23" ht="15" customHeight="1" x14ac:dyDescent="0.25">
      <c r="A7" s="335" t="s">
        <v>311</v>
      </c>
      <c r="B7" s="440" t="str">
        <f>VLOOKUP(A7,'Feature Raw Data'!$A$3:$B$3985,2,FALSE)</f>
        <v xml:space="preserve">TMZ (Trusted Memory Zone) HW Protection </v>
      </c>
      <c r="C7" s="441" t="str">
        <f>VLOOKUP(A7,'Feature Raw Data'!$A$3:$C$3985,3,FALSE)</f>
        <v>p2</v>
      </c>
      <c r="D7" s="447" t="str" cm="1">
        <f t="array" ref="D7">_xlfn.TEXTJOIN("",TRUE,IF(ISNUMBER(SEARCH($A7,'Diags Raw Data'!$A$7:$A$3645)),CONCATENATE('Diags Raw Data'!$H$7:$H$3645,", "),""))</f>
        <v xml:space="preserve">MALL20.1-2, MALL20.11-12, </v>
      </c>
      <c r="E7" s="442" t="str">
        <f>VLOOKUP(A7,'Diags Raw Data'!$A$7:$D$3645,4,FALSE)</f>
        <v>MALL</v>
      </c>
      <c r="F7" s="442" t="str">
        <f>VLOOKUP(A7,'Feature Raw Data'!$A$3:$E$3985,5,FALSE)</f>
        <v>Legacy</v>
      </c>
      <c r="G7" s="442" t="str">
        <f t="shared" ref="G7:G31" si="0">IF(D7="","No","Yes")</f>
        <v>Yes</v>
      </c>
      <c r="H7" s="442" t="str">
        <f t="shared" ref="H7:H31" si="1">IF(D7="","No","Yes")</f>
        <v>Yes</v>
      </c>
      <c r="I7" s="441">
        <f>SUMIF('Diags Raw Data'!$A$7:$A$3645,"*"&amp;$A7&amp;"*",'Diags Raw Data'!$K$7:$K$3645)</f>
        <v>1</v>
      </c>
      <c r="J7" s="443">
        <f>SUMIF('Diags Raw Data'!$A$7:$A$3645,"*"&amp;$A7&amp;"*",'Diags Raw Data'!$L$7:$L$3645)</f>
        <v>4</v>
      </c>
      <c r="K7" s="485" cm="1">
        <f t="array" ref="K7">IF(D7="",0, SUMPRODUCT(--(ISNUMBER(SEARCH($A7,'Diags Raw Data'!$A$7:$A$3645))),'Diags Raw Data'!$L$7:$L$3645,'Diags Raw Data'!$N$7:$N$3645)/J7)</f>
        <v>1</v>
      </c>
      <c r="L7" s="486" cm="1">
        <f t="array" ref="L7">IF(D7="",0, SUMPRODUCT(--(ISNUMBER(SEARCH($A7,'Diags Raw Data'!$A$7:$A$3645))),'Diags Raw Data'!$L$7:$L$3645,'Diags Raw Data'!$P$7:$P$3645)/J7)</f>
        <v>1</v>
      </c>
      <c r="M7" s="487" cm="1">
        <f t="array" ref="M7">SUMPRODUCT(--(ISNUMBER(SEARCH($A7,'Diags Raw Data'!$A$7:$A$3645))),--('Diags Raw Data'!$Q$7:$Q$3645&lt;&gt;"N/A"),'Diags Raw Data'!$R$7:$R$3645)</f>
        <v>4</v>
      </c>
      <c r="N7" s="488" cm="1">
        <f t="array" ref="N7">SUMPRODUCT(--(ISNUMBER(SEARCH($A7,'Diags Raw Data'!$A$7:$A$3645))),--('Diags Raw Data'!$Q$7:$Q$3645&lt;&gt;"N/A"),'Diags Raw Data'!$T$7:$T$3645)+SUMPRODUCT(--(ISNUMBER(SEARCH($A7,'Diags Raw Data'!$A$7:$A$3645))),--('Diags Raw Data'!$Q$7:$Q$3645&lt;&gt;"N/A"),'Diags Raw Data'!$U$7:$U$3645)</f>
        <v>0</v>
      </c>
      <c r="O7" s="489">
        <f>IF((M7=0),0,N7/M7)</f>
        <v>0</v>
      </c>
      <c r="P7" s="490">
        <f>SUMIF('Diags Raw Data'!$A$7:$A$3645,"*"&amp;$A7&amp;"*",'Diags Raw Data'!$Z$7:$Z$3645)</f>
        <v>4</v>
      </c>
      <c r="Q7" s="491">
        <f>SUM(SUMIF('Diags Raw Data'!$A$7:$A$3645,"*"&amp;$A7&amp;"*",'Diags Raw Data'!$AA$7:$AA$3645),SUMIF('Diags Raw Data'!$A$7:$A$3645,"*"&amp;$A7&amp;"*",'Diags Raw Data'!$AB$7:$AB$3645))</f>
        <v>4</v>
      </c>
      <c r="R7" s="492">
        <f>IF((J7=0),0,P7/J7)</f>
        <v>1</v>
      </c>
      <c r="S7" s="492">
        <f>IF((P7=0),0,Q7/P7)</f>
        <v>1</v>
      </c>
      <c r="T7" s="493">
        <f>R7*S7</f>
        <v>1</v>
      </c>
      <c r="U7" s="444" t="s">
        <v>431</v>
      </c>
      <c r="V7" s="181" t="s">
        <v>432</v>
      </c>
    </row>
    <row r="8" spans="1:23" x14ac:dyDescent="0.25">
      <c r="A8" s="336" t="s">
        <v>315</v>
      </c>
      <c r="B8" s="445" t="str">
        <f>VLOOKUP(A8,'Feature Raw Data'!$A$3:$B$3985,2,FALSE)</f>
        <v>Harvesting of DF components</v>
      </c>
      <c r="C8" s="446" t="str">
        <f>VLOOKUP(A8,'Feature Raw Data'!$A$3:$C$3985,3,FALSE)</f>
        <v>p2</v>
      </c>
      <c r="D8" s="447" t="str" cm="1">
        <f t="array" ref="D8">_xlfn.TEXTJOIN("",TRUE,IF(ISNUMBER(SEARCH($A8,'Diags Raw Data'!$A$7:$A$3645)),CONCATENATE('Diags Raw Data'!$H$7:$H$3645,", "),""))</f>
        <v xml:space="preserve">mall.fill.1, </v>
      </c>
      <c r="E8" s="341" t="str">
        <f>VLOOKUP(A8,'Diags Raw Data'!$A$7:$D$3645,4,FALSE)</f>
        <v>MALL</v>
      </c>
      <c r="F8" s="341" t="str">
        <f>VLOOKUP(A8,'Feature Raw Data'!$A$3:$E$3985,5,FALSE)</f>
        <v>Delta</v>
      </c>
      <c r="G8" s="341" t="str">
        <f t="shared" si="0"/>
        <v>Yes</v>
      </c>
      <c r="H8" s="341" t="str">
        <f t="shared" si="1"/>
        <v>Yes</v>
      </c>
      <c r="I8" s="446">
        <f>SUMIF('Diags Raw Data'!$A$7:$A$3645,"*"&amp;$A8&amp;"*",'Diags Raw Data'!$K$7:$K$3645)</f>
        <v>1</v>
      </c>
      <c r="J8" s="448">
        <f>SUMIF('Diags Raw Data'!$A$7:$A$3645,"*"&amp;$A8&amp;"*",'Diags Raw Data'!$L$7:$L$3645)</f>
        <v>1</v>
      </c>
      <c r="K8" s="494" cm="1">
        <f t="array" ref="K8">IF(D8="",0, SUMPRODUCT(--(ISNUMBER(SEARCH($A8,'Diags Raw Data'!$A$7:$A$3645))),'Diags Raw Data'!$L$7:$L$3645,'Diags Raw Data'!$N$7:$N$3645)/J8)</f>
        <v>1</v>
      </c>
      <c r="L8" s="495" cm="1">
        <f t="array" ref="L8">IF(D8="",0, SUMPRODUCT(--(ISNUMBER(SEARCH($A8,'Diags Raw Data'!$A$7:$A$3645))),'Diags Raw Data'!$L$7:$L$3645,'Diags Raw Data'!$P$7:$P$3645)/J8)</f>
        <v>1</v>
      </c>
      <c r="M8" s="496" cm="1">
        <f t="array" ref="M8">SUMPRODUCT(--(ISNUMBER(SEARCH($A8,'Diags Raw Data'!$A$7:$A$3645))),--('Diags Raw Data'!$Q$7:$Q$3645&lt;&gt;"N/A"),'Diags Raw Data'!$R$7:$R$3645)</f>
        <v>1</v>
      </c>
      <c r="N8" s="497" cm="1">
        <f t="array" ref="N8">SUMPRODUCT(--(ISNUMBER(SEARCH($A8,'Diags Raw Data'!$A$7:$A$3645))),--('Diags Raw Data'!$Q$7:$Q$3645&lt;&gt;"N/A"),'Diags Raw Data'!$T$7:$T$3645)+SUMPRODUCT(--(ISNUMBER(SEARCH($A8,'Diags Raw Data'!$A$7:$A$3645))),--('Diags Raw Data'!$Q$7:$Q$3645&lt;&gt;"N/A"),'Diags Raw Data'!$U$7:$U$3645)</f>
        <v>1</v>
      </c>
      <c r="O8" s="498">
        <f t="shared" ref="O8:O42" si="2">IF((M8=0),0,N8/M8)</f>
        <v>1</v>
      </c>
      <c r="P8" s="499">
        <f>SUMIF('Diags Raw Data'!$A$7:$A$3645,"*"&amp;$A8&amp;"*",'Diags Raw Data'!$Z$7:$Z$3645)</f>
        <v>0</v>
      </c>
      <c r="Q8" s="500">
        <f>SUM(SUMIF('Diags Raw Data'!$A$7:$A$3645,"*"&amp;$A8&amp;"*",'Diags Raw Data'!$AA$7:$AA$3645),SUMIF('Diags Raw Data'!$A$7:$A$3645,"*"&amp;$A8&amp;"*",'Diags Raw Data'!$AB$7:$AB$3645))</f>
        <v>0</v>
      </c>
      <c r="R8" s="501">
        <f t="shared" ref="R8:R42" si="3">IF((J8=0),0,P8/J8)</f>
        <v>0</v>
      </c>
      <c r="S8" s="501">
        <f t="shared" ref="S8:S42" si="4">IF((P8=0),0,Q8/P8)</f>
        <v>0</v>
      </c>
      <c r="T8" s="502">
        <f t="shared" ref="T8:T42" si="5">R8*S8</f>
        <v>0</v>
      </c>
      <c r="U8" s="449" t="s">
        <v>433</v>
      </c>
      <c r="V8" s="181"/>
    </row>
    <row r="9" spans="1:23" x14ac:dyDescent="0.25">
      <c r="A9" s="336" t="s">
        <v>320</v>
      </c>
      <c r="B9" s="445" t="str">
        <f>VLOOKUP(A9,'Feature Raw Data'!$A$3:$B$3985,2,FALSE)</f>
        <v xml:space="preserve">Distributed Compression Logic support in DF </v>
      </c>
      <c r="C9" s="446" t="str">
        <f>VLOOKUP(A9,'Feature Raw Data'!$A$3:$C$3985,3,FALSE)</f>
        <v>p1</v>
      </c>
      <c r="D9" s="447" t="str" cm="1">
        <f t="array" ref="D9">_xlfn.TEXTJOIN("",TRUE,IF(ISNUMBER(SEARCH($A9,'Diags Raw Data'!$A$7:$A$3645)),CONCATENATE('Diags Raw Data'!$H$7:$H$3645,", "),""))</f>
        <v xml:space="preserve">mall.dcc.1-2, </v>
      </c>
      <c r="E9" s="341" t="str">
        <f>VLOOKUP(A9,'Diags Raw Data'!$A$7:$D$3645,4,FALSE)</f>
        <v>MALL</v>
      </c>
      <c r="F9" s="341" t="str">
        <f>VLOOKUP(A9,'Feature Raw Data'!$A$3:$E$3985,5,FALSE)</f>
        <v>New</v>
      </c>
      <c r="G9" s="341" t="str">
        <f t="shared" si="0"/>
        <v>Yes</v>
      </c>
      <c r="H9" s="341" t="str">
        <f t="shared" si="1"/>
        <v>Yes</v>
      </c>
      <c r="I9" s="446">
        <f>SUMIF('Diags Raw Data'!$A$7:$A$3645,"*"&amp;$A9&amp;"*",'Diags Raw Data'!$K$7:$K$3645)</f>
        <v>1</v>
      </c>
      <c r="J9" s="448">
        <f>SUMIF('Diags Raw Data'!$A$7:$A$3645,"*"&amp;$A9&amp;"*",'Diags Raw Data'!$L$7:$L$3645)</f>
        <v>2</v>
      </c>
      <c r="K9" s="494" cm="1">
        <f t="array" ref="K9">IF(D9="",0, SUMPRODUCT(--(ISNUMBER(SEARCH($A9,'Diags Raw Data'!$A$7:$A$3645))),'Diags Raw Data'!$L$7:$L$3645,'Diags Raw Data'!$N$7:$N$3645)/J9)</f>
        <v>1</v>
      </c>
      <c r="L9" s="495" cm="1">
        <f t="array" ref="L9">IF(D9="",0, SUMPRODUCT(--(ISNUMBER(SEARCH($A9,'Diags Raw Data'!$A$7:$A$3645))),'Diags Raw Data'!$L$7:$L$3645,'Diags Raw Data'!$P$7:$P$3645)/J9)</f>
        <v>0.5</v>
      </c>
      <c r="M9" s="496" cm="1">
        <f t="array" ref="M9">SUMPRODUCT(--(ISNUMBER(SEARCH($A9,'Diags Raw Data'!$A$7:$A$3645))),--('Diags Raw Data'!$Q$7:$Q$3645&lt;&gt;"N/A"),'Diags Raw Data'!$R$7:$R$3645)</f>
        <v>1</v>
      </c>
      <c r="N9" s="497" cm="1">
        <f t="array" ref="N9">SUMPRODUCT(--(ISNUMBER(SEARCH($A9,'Diags Raw Data'!$A$7:$A$3645))),--('Diags Raw Data'!$Q$7:$Q$3645&lt;&gt;"N/A"),'Diags Raw Data'!$T$7:$T$3645)+SUMPRODUCT(--(ISNUMBER(SEARCH($A9,'Diags Raw Data'!$A$7:$A$3645))),--('Diags Raw Data'!$Q$7:$Q$3645&lt;&gt;"N/A"),'Diags Raw Data'!$U$7:$U$3645)</f>
        <v>0</v>
      </c>
      <c r="O9" s="498">
        <f t="shared" si="2"/>
        <v>0</v>
      </c>
      <c r="P9" s="499">
        <f>SUMIF('Diags Raw Data'!$A$7:$A$3645,"*"&amp;$A9&amp;"*",'Diags Raw Data'!$Z$7:$Z$3645)</f>
        <v>0</v>
      </c>
      <c r="Q9" s="500">
        <f>SUM(SUMIF('Diags Raw Data'!$A$7:$A$3645,"*"&amp;$A9&amp;"*",'Diags Raw Data'!$AA$7:$AA$3645),SUMIF('Diags Raw Data'!$A$7:$A$3645,"*"&amp;$A9&amp;"*",'Diags Raw Data'!$AB$7:$AB$3645))</f>
        <v>0</v>
      </c>
      <c r="R9" s="501">
        <f t="shared" si="3"/>
        <v>0</v>
      </c>
      <c r="S9" s="501">
        <f t="shared" si="4"/>
        <v>0</v>
      </c>
      <c r="T9" s="502">
        <f t="shared" si="5"/>
        <v>0</v>
      </c>
      <c r="U9" s="449" t="s">
        <v>434</v>
      </c>
      <c r="V9" s="181"/>
    </row>
    <row r="10" spans="1:23" x14ac:dyDescent="0.25">
      <c r="A10" s="336" t="s">
        <v>324</v>
      </c>
      <c r="B10" s="445" t="str">
        <f>VLOOKUP(A10,'Feature Raw Data'!$A$3:$B$3985,2,FALSE)</f>
        <v>MALL Next Victim Forecast [Existing]</v>
      </c>
      <c r="C10" s="446" t="str">
        <f>VLOOKUP(A10,'Feature Raw Data'!$A$3:$C$3985,3,FALSE)</f>
        <v>p2</v>
      </c>
      <c r="D10" s="447" t="str" cm="1">
        <f t="array" ref="D10">_xlfn.TEXTJOIN("",TRUE,IF(ISNUMBER(SEARCH($A10,'Diags Raw Data'!$A$7:$A$3645)),CONCATENATE('Diags Raw Data'!$H$7:$H$3645,", "),""))</f>
        <v xml:space="preserve">mall.fill.1, </v>
      </c>
      <c r="E10" s="341" t="str">
        <f>VLOOKUP(A10,'Diags Raw Data'!$A$7:$D$3645,4,FALSE)</f>
        <v>MALL</v>
      </c>
      <c r="F10" s="341" t="str">
        <f>VLOOKUP(A10,'Feature Raw Data'!$A$3:$E$3985,5,FALSE)</f>
        <v>Legacy</v>
      </c>
      <c r="G10" s="341" t="str">
        <f t="shared" si="0"/>
        <v>Yes</v>
      </c>
      <c r="H10" s="341" t="str">
        <f t="shared" si="1"/>
        <v>Yes</v>
      </c>
      <c r="I10" s="446">
        <f>SUMIF('Diags Raw Data'!$A$7:$A$3645,"*"&amp;$A10&amp;"*",'Diags Raw Data'!$K$7:$K$3645)</f>
        <v>1</v>
      </c>
      <c r="J10" s="448">
        <f>SUMIF('Diags Raw Data'!$A$7:$A$3645,"*"&amp;$A10&amp;"*",'Diags Raw Data'!$L$7:$L$3645)</f>
        <v>1</v>
      </c>
      <c r="K10" s="494" cm="1">
        <f t="array" ref="K10">IF(D10="",0, SUMPRODUCT(--(ISNUMBER(SEARCH($A10,'Diags Raw Data'!$A$7:$A$3645))),'Diags Raw Data'!$L$7:$L$3645,'Diags Raw Data'!$N$7:$N$3645)/J10)</f>
        <v>1</v>
      </c>
      <c r="L10" s="495" cm="1">
        <f t="array" ref="L10">IF(D10="",0, SUMPRODUCT(--(ISNUMBER(SEARCH($A10,'Diags Raw Data'!$A$7:$A$3645))),'Diags Raw Data'!$L$7:$L$3645,'Diags Raw Data'!$P$7:$P$3645)/J10)</f>
        <v>1</v>
      </c>
      <c r="M10" s="496" cm="1">
        <f t="array" ref="M10">SUMPRODUCT(--(ISNUMBER(SEARCH($A10,'Diags Raw Data'!$A$7:$A$3645))),--('Diags Raw Data'!$Q$7:$Q$3645&lt;&gt;"N/A"),'Diags Raw Data'!$R$7:$R$3645)</f>
        <v>1</v>
      </c>
      <c r="N10" s="497" cm="1">
        <f t="array" ref="N10">SUMPRODUCT(--(ISNUMBER(SEARCH($A10,'Diags Raw Data'!$A$7:$A$3645))),--('Diags Raw Data'!$Q$7:$Q$3645&lt;&gt;"N/A"),'Diags Raw Data'!$T$7:$T$3645)+SUMPRODUCT(--(ISNUMBER(SEARCH($A10,'Diags Raw Data'!$A$7:$A$3645))),--('Diags Raw Data'!$Q$7:$Q$3645&lt;&gt;"N/A"),'Diags Raw Data'!$U$7:$U$3645)</f>
        <v>1</v>
      </c>
      <c r="O10" s="498">
        <f t="shared" si="2"/>
        <v>1</v>
      </c>
      <c r="P10" s="499">
        <f>SUMIF('Diags Raw Data'!$A$7:$A$3645,"*"&amp;$A10&amp;"*",'Diags Raw Data'!$Z$7:$Z$3645)</f>
        <v>1</v>
      </c>
      <c r="Q10" s="500">
        <f>SUM(SUMIF('Diags Raw Data'!$A$7:$A$3645,"*"&amp;$A10&amp;"*",'Diags Raw Data'!$AA$7:$AA$3645),SUMIF('Diags Raw Data'!$A$7:$A$3645,"*"&amp;$A10&amp;"*",'Diags Raw Data'!$AB$7:$AB$3645))</f>
        <v>1</v>
      </c>
      <c r="R10" s="501">
        <f t="shared" si="3"/>
        <v>1</v>
      </c>
      <c r="S10" s="501">
        <f t="shared" si="4"/>
        <v>1</v>
      </c>
      <c r="T10" s="502">
        <f t="shared" si="5"/>
        <v>1</v>
      </c>
      <c r="U10" s="449" t="s">
        <v>435</v>
      </c>
      <c r="V10" s="181"/>
    </row>
    <row r="11" spans="1:23" ht="30" x14ac:dyDescent="0.25">
      <c r="A11" s="336" t="s">
        <v>327</v>
      </c>
      <c r="B11" s="445" t="str">
        <f>VLOOKUP(A11,'Feature Raw Data'!$A$3:$B$3985,2,FALSE)</f>
        <v>Replace NoAlloc Request attribute with 2 bit Cache Hints (temporal hints).</v>
      </c>
      <c r="C11" s="446" t="str">
        <f>VLOOKUP(A11,'Feature Raw Data'!$A$3:$C$3985,3,FALSE)</f>
        <v>p1</v>
      </c>
      <c r="D11" s="447" t="str" cm="1">
        <f t="array" ref="D11">_xlfn.TEXTJOIN("",TRUE,IF(ISNUMBER(SEARCH($A11,'Diags Raw Data'!$A$7:$A$3645)),CONCATENATE('Diags Raw Data'!$H$7:$H$3645,", "),""))</f>
        <v xml:space="preserve">mall.noalloc.2, </v>
      </c>
      <c r="E11" s="341" t="str">
        <f>VLOOKUP(A11,'Diags Raw Data'!$A$7:$D$3645,4,FALSE)</f>
        <v>MALL</v>
      </c>
      <c r="F11" s="341" t="str">
        <f>VLOOKUP(A11,'Feature Raw Data'!$A$3:$E$3985,5,FALSE)</f>
        <v>New</v>
      </c>
      <c r="G11" s="341" t="str">
        <f t="shared" si="0"/>
        <v>Yes</v>
      </c>
      <c r="H11" s="341" t="str">
        <f t="shared" si="1"/>
        <v>Yes</v>
      </c>
      <c r="I11" s="446">
        <f>SUMIF('Diags Raw Data'!$A$7:$A$3645,"*"&amp;$A11&amp;"*",'Diags Raw Data'!$K$7:$K$3645)</f>
        <v>1</v>
      </c>
      <c r="J11" s="448">
        <f>SUMIF('Diags Raw Data'!$A$7:$A$3645,"*"&amp;$A11&amp;"*",'Diags Raw Data'!$L$7:$L$3645)</f>
        <v>1</v>
      </c>
      <c r="K11" s="494" cm="1">
        <f t="array" ref="K11">IF(D11="",0, SUMPRODUCT(--(ISNUMBER(SEARCH($A11,'Diags Raw Data'!$A$7:$A$3645))),'Diags Raw Data'!$L$7:$L$3645,'Diags Raw Data'!$N$7:$N$3645)/J11)</f>
        <v>1</v>
      </c>
      <c r="L11" s="495" cm="1">
        <f t="array" ref="L11">IF(D11="",0, SUMPRODUCT(--(ISNUMBER(SEARCH($A11,'Diags Raw Data'!$A$7:$A$3645))),'Diags Raw Data'!$L$7:$L$3645,'Diags Raw Data'!$P$7:$P$3645)/J11)</f>
        <v>1</v>
      </c>
      <c r="M11" s="496" cm="1">
        <f t="array" ref="M11">SUMPRODUCT(--(ISNUMBER(SEARCH($A11,'Diags Raw Data'!$A$7:$A$3645))),--('Diags Raw Data'!$Q$7:$Q$3645&lt;&gt;"N/A"),'Diags Raw Data'!$R$7:$R$3645)</f>
        <v>1</v>
      </c>
      <c r="N11" s="497" cm="1">
        <f t="array" ref="N11">SUMPRODUCT(--(ISNUMBER(SEARCH($A11,'Diags Raw Data'!$A$7:$A$3645))),--('Diags Raw Data'!$Q$7:$Q$3645&lt;&gt;"N/A"),'Diags Raw Data'!$T$7:$T$3645)+SUMPRODUCT(--(ISNUMBER(SEARCH($A11,'Diags Raw Data'!$A$7:$A$3645))),--('Diags Raw Data'!$Q$7:$Q$3645&lt;&gt;"N/A"),'Diags Raw Data'!$U$7:$U$3645)</f>
        <v>1</v>
      </c>
      <c r="O11" s="498">
        <f t="shared" si="2"/>
        <v>1</v>
      </c>
      <c r="P11" s="499">
        <f>SUMIF('Diags Raw Data'!$A$7:$A$3645,"*"&amp;$A11&amp;"*",'Diags Raw Data'!$Z$7:$Z$3645)</f>
        <v>1</v>
      </c>
      <c r="Q11" s="500">
        <f>SUM(SUMIF('Diags Raw Data'!$A$7:$A$3645,"*"&amp;$A11&amp;"*",'Diags Raw Data'!$AA$7:$AA$3645),SUMIF('Diags Raw Data'!$A$7:$A$3645,"*"&amp;$A11&amp;"*",'Diags Raw Data'!$AB$7:$AB$3645))</f>
        <v>1</v>
      </c>
      <c r="R11" s="501">
        <f t="shared" si="3"/>
        <v>1</v>
      </c>
      <c r="S11" s="501">
        <f t="shared" si="4"/>
        <v>1</v>
      </c>
      <c r="T11" s="502">
        <f t="shared" si="5"/>
        <v>1</v>
      </c>
      <c r="U11" s="449" t="s">
        <v>435</v>
      </c>
      <c r="V11" s="181"/>
    </row>
    <row r="12" spans="1:23" x14ac:dyDescent="0.25">
      <c r="A12" s="336" t="s">
        <v>331</v>
      </c>
      <c r="B12" s="445" t="str">
        <f>VLOOKUP(A12,'Feature Raw Data'!$A$3:$B$3985,2,FALSE)</f>
        <v>Configurable Dedicated Meta Cache for DCN</v>
      </c>
      <c r="C12" s="446" t="str">
        <f>VLOOKUP(A12,'Feature Raw Data'!$A$3:$C$3985,3,FALSE)</f>
        <v>p1</v>
      </c>
      <c r="D12" s="447" t="str" cm="1">
        <f t="array" ref="D12">_xlfn.TEXTJOIN("",TRUE,IF(ISNUMBER(SEARCH($A12,'Diags Raw Data'!$A$7:$A$3645)),CONCATENATE('Diags Raw Data'!$H$7:$H$3645,", "),""))</f>
        <v xml:space="preserve">MALL_DCHB064, </v>
      </c>
      <c r="E12" s="341" t="str">
        <f>VLOOKUP(A12,'Diags Raw Data'!$A$7:$D$3645,4,FALSE)</f>
        <v>DCN</v>
      </c>
      <c r="F12" s="341" t="str">
        <f>VLOOKUP(A12,'Feature Raw Data'!$A$3:$E$3985,5,FALSE)</f>
        <v>New</v>
      </c>
      <c r="G12" s="341" t="str">
        <f t="shared" si="0"/>
        <v>Yes</v>
      </c>
      <c r="H12" s="341" t="str">
        <f t="shared" si="1"/>
        <v>Yes</v>
      </c>
      <c r="I12" s="446">
        <f>SUMIF('Diags Raw Data'!$A$7:$A$3645,"*"&amp;$A12&amp;"*",'Diags Raw Data'!$K$7:$K$3645)</f>
        <v>1</v>
      </c>
      <c r="J12" s="448">
        <f>SUMIF('Diags Raw Data'!$A$7:$A$3645,"*"&amp;$A12&amp;"*",'Diags Raw Data'!$L$7:$L$3645)</f>
        <v>1</v>
      </c>
      <c r="K12" s="494" cm="1">
        <f t="array" ref="K12">IF(D12="",0, SUMPRODUCT(--(ISNUMBER(SEARCH($A12,'Diags Raw Data'!$A$7:$A$3645))),'Diags Raw Data'!$L$7:$L$3645,'Diags Raw Data'!$N$7:$N$3645)/J12)</f>
        <v>1</v>
      </c>
      <c r="L12" s="495" cm="1">
        <f t="array" ref="L12">IF(D12="",0, SUMPRODUCT(--(ISNUMBER(SEARCH($A12,'Diags Raw Data'!$A$7:$A$3645))),'Diags Raw Data'!$L$7:$L$3645,'Diags Raw Data'!$P$7:$P$3645)/J12)</f>
        <v>0</v>
      </c>
      <c r="M12" s="496" cm="1">
        <f t="array" ref="M12">SUMPRODUCT(--(ISNUMBER(SEARCH($A12,'Diags Raw Data'!$A$7:$A$3645))),--('Diags Raw Data'!$Q$7:$Q$3645&lt;&gt;"N/A"),'Diags Raw Data'!$R$7:$R$3645)</f>
        <v>0</v>
      </c>
      <c r="N12" s="497" cm="1">
        <f t="array" ref="N12">SUMPRODUCT(--(ISNUMBER(SEARCH($A12,'Diags Raw Data'!$A$7:$A$3645))),--('Diags Raw Data'!$Q$7:$Q$3645&lt;&gt;"N/A"),'Diags Raw Data'!$T$7:$T$3645)+SUMPRODUCT(--(ISNUMBER(SEARCH($A12,'Diags Raw Data'!$A$7:$A$3645))),--('Diags Raw Data'!$Q$7:$Q$3645&lt;&gt;"N/A"),'Diags Raw Data'!$U$7:$U$3645)</f>
        <v>0</v>
      </c>
      <c r="O12" s="498">
        <f t="shared" si="2"/>
        <v>0</v>
      </c>
      <c r="P12" s="499">
        <f>SUMIF('Diags Raw Data'!$A$7:$A$3645,"*"&amp;$A12&amp;"*",'Diags Raw Data'!$Z$7:$Z$3645)</f>
        <v>0</v>
      </c>
      <c r="Q12" s="500">
        <f>SUM(SUMIF('Diags Raw Data'!$A$7:$A$3645,"*"&amp;$A12&amp;"*",'Diags Raw Data'!$AA$7:$AA$3645),SUMIF('Diags Raw Data'!$A$7:$A$3645,"*"&amp;$A12&amp;"*",'Diags Raw Data'!$AB$7:$AB$3645))</f>
        <v>0</v>
      </c>
      <c r="R12" s="501">
        <f t="shared" si="3"/>
        <v>0</v>
      </c>
      <c r="S12" s="501">
        <f t="shared" si="4"/>
        <v>0</v>
      </c>
      <c r="T12" s="502">
        <f t="shared" si="5"/>
        <v>0</v>
      </c>
      <c r="U12" s="449"/>
      <c r="V12" s="181" t="s">
        <v>436</v>
      </c>
    </row>
    <row r="13" spans="1:23" ht="30" x14ac:dyDescent="0.25">
      <c r="A13" s="336" t="s">
        <v>335</v>
      </c>
      <c r="B13" s="445" t="str">
        <f>VLOOKUP(A13,'Feature Raw Data'!$A$3:$B$3985,2,FALSE)</f>
        <v>SDP Command - DCN Prefetch to MALL with OKAY_NODATA response</v>
      </c>
      <c r="C13" s="446" t="str">
        <f>VLOOKUP(A13,'Feature Raw Data'!$A$3:$C$3985,3,FALSE)</f>
        <v>p1</v>
      </c>
      <c r="D13" s="447" t="str" cm="1">
        <f t="array" ref="D13">_xlfn.TEXTJOIN("",TRUE,IF(ISNUMBER(SEARCH($A13,'Diags Raw Data'!$A$7:$A$3645)),CONCATENATE('Diags Raw Data'!$H$7:$H$3645,", "),""))</f>
        <v xml:space="preserve">MALL_DCHB023, </v>
      </c>
      <c r="E13" s="341" t="str">
        <f>VLOOKUP(A13,'Diags Raw Data'!$A$7:$D$3645,4,FALSE)</f>
        <v>DCN</v>
      </c>
      <c r="F13" s="341" t="str">
        <f>VLOOKUP(A13,'Feature Raw Data'!$A$3:$E$3985,5,FALSE)</f>
        <v>New</v>
      </c>
      <c r="G13" s="341" t="str">
        <f t="shared" si="0"/>
        <v>Yes</v>
      </c>
      <c r="H13" s="341" t="str">
        <f t="shared" si="1"/>
        <v>Yes</v>
      </c>
      <c r="I13" s="446">
        <f>SUMIF('Diags Raw Data'!$A$7:$A$3645,"*"&amp;$A13&amp;"*",'Diags Raw Data'!$K$7:$K$3645)</f>
        <v>1</v>
      </c>
      <c r="J13" s="448">
        <f>SUMIF('Diags Raw Data'!$A$7:$A$3645,"*"&amp;$A13&amp;"*",'Diags Raw Data'!$L$7:$L$3645)</f>
        <v>1</v>
      </c>
      <c r="K13" s="494" cm="1">
        <f t="array" ref="K13">IF(D13="",0, SUMPRODUCT(--(ISNUMBER(SEARCH($A13,'Diags Raw Data'!$A$7:$A$3645))),'Diags Raw Data'!$L$7:$L$3645,'Diags Raw Data'!$N$7:$N$3645)/J13)</f>
        <v>1</v>
      </c>
      <c r="L13" s="495" cm="1">
        <f t="array" ref="L13">IF(D13="",0, SUMPRODUCT(--(ISNUMBER(SEARCH($A13,'Diags Raw Data'!$A$7:$A$3645))),'Diags Raw Data'!$L$7:$L$3645,'Diags Raw Data'!$P$7:$P$3645)/J13)</f>
        <v>1</v>
      </c>
      <c r="M13" s="496" cm="1">
        <f t="array" ref="M13">SUMPRODUCT(--(ISNUMBER(SEARCH($A13,'Diags Raw Data'!$A$7:$A$3645))),--('Diags Raw Data'!$Q$7:$Q$3645&lt;&gt;"N/A"),'Diags Raw Data'!$R$7:$R$3645)</f>
        <v>1</v>
      </c>
      <c r="N13" s="497" cm="1">
        <f t="array" ref="N13">SUMPRODUCT(--(ISNUMBER(SEARCH($A13,'Diags Raw Data'!$A$7:$A$3645))),--('Diags Raw Data'!$Q$7:$Q$3645&lt;&gt;"N/A"),'Diags Raw Data'!$T$7:$T$3645)+SUMPRODUCT(--(ISNUMBER(SEARCH($A13,'Diags Raw Data'!$A$7:$A$3645))),--('Diags Raw Data'!$Q$7:$Q$3645&lt;&gt;"N/A"),'Diags Raw Data'!$U$7:$U$3645)</f>
        <v>1</v>
      </c>
      <c r="O13" s="498">
        <f>IF((M13=0),0,N13/M13)</f>
        <v>1</v>
      </c>
      <c r="P13" s="499">
        <f>SUMIF('Diags Raw Data'!$A$7:$A$3645,"*"&amp;$A13&amp;"*",'Diags Raw Data'!$Z$7:$Z$3645)</f>
        <v>1</v>
      </c>
      <c r="Q13" s="500">
        <f>SUM(SUMIF('Diags Raw Data'!$A$7:$A$3645,"*"&amp;$A13&amp;"*",'Diags Raw Data'!$AA$7:$AA$3645),SUMIF('Diags Raw Data'!$A$7:$A$3645,"*"&amp;$A13&amp;"*",'Diags Raw Data'!$AB$7:$AB$3645))</f>
        <v>1</v>
      </c>
      <c r="R13" s="501">
        <f t="shared" si="3"/>
        <v>1</v>
      </c>
      <c r="S13" s="501">
        <f t="shared" si="4"/>
        <v>1</v>
      </c>
      <c r="T13" s="502">
        <f t="shared" si="5"/>
        <v>1</v>
      </c>
      <c r="U13" s="449" t="s">
        <v>434</v>
      </c>
      <c r="V13" s="181"/>
    </row>
    <row r="14" spans="1:23" x14ac:dyDescent="0.25">
      <c r="A14" s="336" t="s">
        <v>338</v>
      </c>
      <c r="B14" s="445" t="str">
        <f>VLOOKUP(A14,'Feature Raw Data'!$A$3:$B$3985,2,FALSE)</f>
        <v>LRU Based Way Selection for Periodic/Async MALL Rinsing</v>
      </c>
      <c r="C14" s="446" t="str">
        <f>VLOOKUP(A14,'Feature Raw Data'!$A$3:$C$3985,3,FALSE)</f>
        <v>p1</v>
      </c>
      <c r="D14" s="447" t="str" cm="1">
        <f t="array" ref="D14">_xlfn.TEXTJOIN("",TRUE,IF(ISNUMBER(SEARCH($A14,'Diags Raw Data'!$A$7:$A$3645)),CONCATENATE('Diags Raw Data'!$H$7:$H$3645,", "),""))</f>
        <v xml:space="preserve">mall.lru_periodic_rinse, </v>
      </c>
      <c r="E14" s="341" t="str">
        <f>VLOOKUP(A14,'Diags Raw Data'!$A$7:$D$3645,4,FALSE)</f>
        <v>MALL</v>
      </c>
      <c r="F14" s="341" t="str">
        <f>VLOOKUP(A14,'Feature Raw Data'!$A$3:$E$3985,5,FALSE)</f>
        <v>Delta</v>
      </c>
      <c r="G14" s="341" t="str">
        <f t="shared" si="0"/>
        <v>Yes</v>
      </c>
      <c r="H14" s="341" t="str">
        <f t="shared" si="1"/>
        <v>Yes</v>
      </c>
      <c r="I14" s="446">
        <f>SUMIF('Diags Raw Data'!$A$7:$A$3645,"*"&amp;$A14&amp;"*",'Diags Raw Data'!$K$7:$K$3645)</f>
        <v>1</v>
      </c>
      <c r="J14" s="448">
        <f>SUMIF('Diags Raw Data'!$A$7:$A$3645,"*"&amp;$A14&amp;"*",'Diags Raw Data'!$L$7:$L$3645)</f>
        <v>1</v>
      </c>
      <c r="K14" s="494" cm="1">
        <f t="array" ref="K14">IF(D14="",0, SUMPRODUCT(--(ISNUMBER(SEARCH($A14,'Diags Raw Data'!$A$7:$A$3645))),'Diags Raw Data'!$L$7:$L$3645,'Diags Raw Data'!$N$7:$N$3645)/J14)</f>
        <v>1</v>
      </c>
      <c r="L14" s="495" cm="1">
        <f t="array" ref="L14">IF(D14="",0, SUMPRODUCT(--(ISNUMBER(SEARCH($A14,'Diags Raw Data'!$A$7:$A$3645))),'Diags Raw Data'!$L$7:$L$3645,'Diags Raw Data'!$P$7:$P$3645)/J14)</f>
        <v>1</v>
      </c>
      <c r="M14" s="496" cm="1">
        <f t="array" ref="M14">SUMPRODUCT(--(ISNUMBER(SEARCH($A14,'Diags Raw Data'!$A$7:$A$3645))),--('Diags Raw Data'!$Q$7:$Q$3645&lt;&gt;"N/A"),'Diags Raw Data'!$R$7:$R$3645)</f>
        <v>1</v>
      </c>
      <c r="N14" s="497" cm="1">
        <f t="array" ref="N14">SUMPRODUCT(--(ISNUMBER(SEARCH($A14,'Diags Raw Data'!$A$7:$A$3645))),--('Diags Raw Data'!$Q$7:$Q$3645&lt;&gt;"N/A"),'Diags Raw Data'!$T$7:$T$3645)+SUMPRODUCT(--(ISNUMBER(SEARCH($A14,'Diags Raw Data'!$A$7:$A$3645))),--('Diags Raw Data'!$Q$7:$Q$3645&lt;&gt;"N/A"),'Diags Raw Data'!$U$7:$U$3645)</f>
        <v>0</v>
      </c>
      <c r="O14" s="498">
        <f t="shared" si="2"/>
        <v>0</v>
      </c>
      <c r="P14" s="499">
        <f>SUMIF('Diags Raw Data'!$A$7:$A$3645,"*"&amp;$A14&amp;"*",'Diags Raw Data'!$Z$7:$Z$3645)</f>
        <v>1</v>
      </c>
      <c r="Q14" s="500">
        <f>SUM(SUMIF('Diags Raw Data'!$A$7:$A$3645,"*"&amp;$A14&amp;"*",'Diags Raw Data'!$AA$7:$AA$3645),SUMIF('Diags Raw Data'!$A$7:$A$3645,"*"&amp;$A14&amp;"*",'Diags Raw Data'!$AB$7:$AB$3645))</f>
        <v>1</v>
      </c>
      <c r="R14" s="501">
        <f t="shared" si="3"/>
        <v>1</v>
      </c>
      <c r="S14" s="501">
        <f t="shared" si="4"/>
        <v>1</v>
      </c>
      <c r="T14" s="502">
        <f t="shared" si="5"/>
        <v>1</v>
      </c>
      <c r="U14" s="449" t="s">
        <v>437</v>
      </c>
      <c r="V14" s="181"/>
    </row>
    <row r="15" spans="1:23" s="184" customFormat="1" ht="30" x14ac:dyDescent="0.25">
      <c r="A15" s="336" t="s">
        <v>342</v>
      </c>
      <c r="B15" s="445" t="str">
        <f>VLOOKUP(A15,'Feature Raw Data'!$A$3:$B$3985,2,FALSE)</f>
        <v>[DfV: MALL RAS]    Poison/parity error injection on write path from MALL to UMC.</v>
      </c>
      <c r="C15" s="446" t="str">
        <f>VLOOKUP(A15,'Feature Raw Data'!$A$3:$C$3985,3,FALSE)</f>
        <v>p2</v>
      </c>
      <c r="D15" s="447" t="str" cm="1">
        <f t="array" ref="D15">_xlfn.TEXTJOIN("",TRUE,IF(ISNUMBER(SEARCH($A15,'Diags Raw Data'!$A$7:$A$3645)),CONCATENATE('Diags Raw Data'!$H$7:$H$3645,", "),""))</f>
        <v xml:space="preserve">mall.ras_dfv_poison_parity_test, </v>
      </c>
      <c r="E15" s="341" t="str">
        <f>VLOOKUP(A15,'Diags Raw Data'!$A$7:$D$3645,4,FALSE)</f>
        <v>RAS</v>
      </c>
      <c r="F15" s="341" t="str">
        <f>VLOOKUP(A15,'Feature Raw Data'!$A$3:$E$3985,5,FALSE)</f>
        <v>New</v>
      </c>
      <c r="G15" s="341" t="str">
        <f t="shared" si="0"/>
        <v>Yes</v>
      </c>
      <c r="H15" s="341" t="str">
        <f t="shared" si="1"/>
        <v>Yes</v>
      </c>
      <c r="I15" s="446">
        <f>SUMIF('Diags Raw Data'!$A$7:$A$3645,"*"&amp;$A15&amp;"*",'Diags Raw Data'!$K$7:$K$3645)</f>
        <v>1</v>
      </c>
      <c r="J15" s="448">
        <f>SUMIF('Diags Raw Data'!$A$7:$A$3645,"*"&amp;$A15&amp;"*",'Diags Raw Data'!$L$7:$L$3645)</f>
        <v>1</v>
      </c>
      <c r="K15" s="494" cm="1">
        <f t="array" ref="K15">IF(D15="",0, SUMPRODUCT(--(ISNUMBER(SEARCH($A15,'Diags Raw Data'!$A$7:$A$3645))),'Diags Raw Data'!$L$7:$L$3645,'Diags Raw Data'!$N$7:$N$3645)/J15)</f>
        <v>1</v>
      </c>
      <c r="L15" s="495" cm="1">
        <f t="array" ref="L15">IF(D15="",0, SUMPRODUCT(--(ISNUMBER(SEARCH($A15,'Diags Raw Data'!$A$7:$A$3645))),'Diags Raw Data'!$L$7:$L$3645,'Diags Raw Data'!$P$7:$P$3645)/J15)</f>
        <v>1</v>
      </c>
      <c r="M15" s="496" cm="1">
        <f t="array" ref="M15">SUMPRODUCT(--(ISNUMBER(SEARCH($A15,'Diags Raw Data'!$A$7:$A$3645))),--('Diags Raw Data'!$Q$7:$Q$3645&lt;&gt;"N/A"),'Diags Raw Data'!$R$7:$R$3645)</f>
        <v>0</v>
      </c>
      <c r="N15" s="497" cm="1">
        <f t="array" ref="N15">SUMPRODUCT(--(ISNUMBER(SEARCH($A15,'Diags Raw Data'!$A$7:$A$3645))),--('Diags Raw Data'!$Q$7:$Q$3645&lt;&gt;"N/A"),'Diags Raw Data'!$T$7:$T$3645)+SUMPRODUCT(--(ISNUMBER(SEARCH($A15,'Diags Raw Data'!$A$7:$A$3645))),--('Diags Raw Data'!$Q$7:$Q$3645&lt;&gt;"N/A"),'Diags Raw Data'!$U$7:$U$3645)</f>
        <v>0</v>
      </c>
      <c r="O15" s="498">
        <f t="shared" si="2"/>
        <v>0</v>
      </c>
      <c r="P15" s="499">
        <f>SUMIF('Diags Raw Data'!$A$7:$A$3645,"*"&amp;$A15&amp;"*",'Diags Raw Data'!$Z$7:$Z$3645)</f>
        <v>0</v>
      </c>
      <c r="Q15" s="500">
        <f>SUM(SUMIF('Diags Raw Data'!$A$7:$A$3645,"*"&amp;$A15&amp;"*",'Diags Raw Data'!$AA$7:$AA$3645),SUMIF('Diags Raw Data'!$A$7:$A$3645,"*"&amp;$A15&amp;"*",'Diags Raw Data'!$AB$7:$AB$3645))</f>
        <v>0</v>
      </c>
      <c r="R15" s="501">
        <f t="shared" si="3"/>
        <v>0</v>
      </c>
      <c r="S15" s="501">
        <f t="shared" si="4"/>
        <v>0</v>
      </c>
      <c r="T15" s="502">
        <f t="shared" si="5"/>
        <v>0</v>
      </c>
      <c r="U15" s="449" t="s">
        <v>438</v>
      </c>
      <c r="V15" s="183" t="s">
        <v>439</v>
      </c>
    </row>
    <row r="16" spans="1:23" x14ac:dyDescent="0.25">
      <c r="A16" s="336" t="s">
        <v>348</v>
      </c>
      <c r="B16" s="445" t="str">
        <f>VLOOKUP(A16,'Feature Raw Data'!$A$3:$B$3985,2,FALSE)</f>
        <v>Cache as Buffer Mode</v>
      </c>
      <c r="C16" s="446" t="str">
        <f>VLOOKUP(A16,'Feature Raw Data'!$A$3:$C$3985,3,FALSE)</f>
        <v>p1</v>
      </c>
      <c r="D16" s="447" t="str" cm="1">
        <f t="array" ref="D16">_xlfn.TEXTJOIN("",TRUE,IF(ISNUMBER(SEARCH($A16,'Diags Raw Data'!$A$7:$A$3645)),CONCATENATE('Diags Raw Data'!$H$7:$H$3645,", "),""))</f>
        <v xml:space="preserve">MALL_DCHB023, </v>
      </c>
      <c r="E16" s="341" t="str">
        <f>VLOOKUP(A16,'Diags Raw Data'!$A$7:$D$3645,4,FALSE)</f>
        <v>DCN</v>
      </c>
      <c r="F16" s="341" t="str">
        <f>VLOOKUP(A16,'Feature Raw Data'!$A$3:$E$3985,5,FALSE)</f>
        <v>Delta</v>
      </c>
      <c r="G16" s="341" t="str">
        <f t="shared" si="0"/>
        <v>Yes</v>
      </c>
      <c r="H16" s="341" t="str">
        <f t="shared" si="1"/>
        <v>Yes</v>
      </c>
      <c r="I16" s="446">
        <f>SUMIF('Diags Raw Data'!$A$7:$A$3645,"*"&amp;$A16&amp;"*",'Diags Raw Data'!$K$7:$K$3645)</f>
        <v>1</v>
      </c>
      <c r="J16" s="448">
        <f>SUMIF('Diags Raw Data'!$A$7:$A$3645,"*"&amp;$A16&amp;"*",'Diags Raw Data'!$L$7:$L$3645)</f>
        <v>1</v>
      </c>
      <c r="K16" s="494" cm="1">
        <f t="array" ref="K16">IF(D16="",0, SUMPRODUCT(--(ISNUMBER(SEARCH($A16,'Diags Raw Data'!$A$7:$A$3645))),'Diags Raw Data'!$L$7:$L$3645,'Diags Raw Data'!$N$7:$N$3645)/J16)</f>
        <v>1</v>
      </c>
      <c r="L16" s="495" cm="1">
        <f t="array" ref="L16">IF(D16="",0, SUMPRODUCT(--(ISNUMBER(SEARCH($A16,'Diags Raw Data'!$A$7:$A$3645))),'Diags Raw Data'!$L$7:$L$3645,'Diags Raw Data'!$P$7:$P$3645)/J16)</f>
        <v>1</v>
      </c>
      <c r="M16" s="496" cm="1">
        <f t="array" ref="M16">SUMPRODUCT(--(ISNUMBER(SEARCH($A16,'Diags Raw Data'!$A$7:$A$3645))),--('Diags Raw Data'!$Q$7:$Q$3645&lt;&gt;"N/A"),'Diags Raw Data'!$R$7:$R$3645)</f>
        <v>1</v>
      </c>
      <c r="N16" s="497" cm="1">
        <f t="array" ref="N16">SUMPRODUCT(--(ISNUMBER(SEARCH($A16,'Diags Raw Data'!$A$7:$A$3645))),--('Diags Raw Data'!$Q$7:$Q$3645&lt;&gt;"N/A"),'Diags Raw Data'!$T$7:$T$3645)+SUMPRODUCT(--(ISNUMBER(SEARCH($A16,'Diags Raw Data'!$A$7:$A$3645))),--('Diags Raw Data'!$Q$7:$Q$3645&lt;&gt;"N/A"),'Diags Raw Data'!$U$7:$U$3645)</f>
        <v>1</v>
      </c>
      <c r="O16" s="498">
        <f t="shared" si="2"/>
        <v>1</v>
      </c>
      <c r="P16" s="499">
        <f>SUMIF('Diags Raw Data'!$A$7:$A$3645,"*"&amp;$A16&amp;"*",'Diags Raw Data'!$Z$7:$Z$3645)</f>
        <v>1</v>
      </c>
      <c r="Q16" s="500">
        <f>SUM(SUMIF('Diags Raw Data'!$A$7:$A$3645,"*"&amp;$A16&amp;"*",'Diags Raw Data'!$AA$7:$AA$3645),SUMIF('Diags Raw Data'!$A$7:$A$3645,"*"&amp;$A16&amp;"*",'Diags Raw Data'!$AB$7:$AB$3645))</f>
        <v>1</v>
      </c>
      <c r="R16" s="501">
        <f t="shared" si="3"/>
        <v>1</v>
      </c>
      <c r="S16" s="501">
        <f t="shared" si="4"/>
        <v>1</v>
      </c>
      <c r="T16" s="502">
        <f t="shared" si="5"/>
        <v>1</v>
      </c>
      <c r="U16" s="449" t="s">
        <v>434</v>
      </c>
      <c r="V16" s="181"/>
    </row>
    <row r="17" spans="1:23" ht="30" x14ac:dyDescent="0.25">
      <c r="A17" s="336" t="s">
        <v>350</v>
      </c>
      <c r="B17" s="445" t="str">
        <f>VLOOKUP(A17,'Feature Raw Data'!$A$3:$B$3985,2,FALSE)</f>
        <v xml:space="preserve">[Cache as buffer mode]    Uncompressed DCN Data in MALL on a Prefetch </v>
      </c>
      <c r="C17" s="446" t="str">
        <f>VLOOKUP(A17,'Feature Raw Data'!$A$3:$C$3985,3,FALSE)</f>
        <v>p1</v>
      </c>
      <c r="D17" s="447" t="str" cm="1">
        <f t="array" ref="D17">_xlfn.TEXTJOIN("",TRUE,IF(ISNUMBER(SEARCH($A17,'Diags Raw Data'!$A$7:$A$3645)),CONCATENATE('Diags Raw Data'!$H$7:$H$3645,", "),""))</f>
        <v xml:space="preserve">MALL_DCHB064, </v>
      </c>
      <c r="E17" s="341" t="str">
        <f>VLOOKUP(A17,'Diags Raw Data'!$A$7:$D$3645,4,FALSE)</f>
        <v>DCN</v>
      </c>
      <c r="F17" s="341" t="str">
        <f>VLOOKUP(A17,'Feature Raw Data'!$A$3:$E$3985,5,FALSE)</f>
        <v>New</v>
      </c>
      <c r="G17" s="341" t="str">
        <f t="shared" si="0"/>
        <v>Yes</v>
      </c>
      <c r="H17" s="341" t="str">
        <f t="shared" si="1"/>
        <v>Yes</v>
      </c>
      <c r="I17" s="446">
        <f>SUMIF('Diags Raw Data'!$A$7:$A$3645,"*"&amp;$A17&amp;"*",'Diags Raw Data'!$K$7:$K$3645)</f>
        <v>1</v>
      </c>
      <c r="J17" s="448">
        <f>SUMIF('Diags Raw Data'!$A$7:$A$3645,"*"&amp;$A17&amp;"*",'Diags Raw Data'!$L$7:$L$3645)</f>
        <v>1</v>
      </c>
      <c r="K17" s="494" cm="1">
        <f t="array" ref="K17">IF(D17="",0, SUMPRODUCT(--(ISNUMBER(SEARCH($A17,'Diags Raw Data'!$A$7:$A$3645))),'Diags Raw Data'!$L$7:$L$3645,'Diags Raw Data'!$N$7:$N$3645)/J17)</f>
        <v>1</v>
      </c>
      <c r="L17" s="495" cm="1">
        <f t="array" ref="L17">IF(D17="",0, SUMPRODUCT(--(ISNUMBER(SEARCH($A17,'Diags Raw Data'!$A$7:$A$3645))),'Diags Raw Data'!$L$7:$L$3645,'Diags Raw Data'!$P$7:$P$3645)/J17)</f>
        <v>0</v>
      </c>
      <c r="M17" s="496" cm="1">
        <f t="array" ref="M17">SUMPRODUCT(--(ISNUMBER(SEARCH($A17,'Diags Raw Data'!$A$7:$A$3645))),--('Diags Raw Data'!$Q$7:$Q$3645&lt;&gt;"N/A"),'Diags Raw Data'!$R$7:$R$3645)</f>
        <v>0</v>
      </c>
      <c r="N17" s="497" cm="1">
        <f t="array" ref="N17">SUMPRODUCT(--(ISNUMBER(SEARCH($A17,'Diags Raw Data'!$A$7:$A$3645))),--('Diags Raw Data'!$Q$7:$Q$3645&lt;&gt;"N/A"),'Diags Raw Data'!$T$7:$T$3645)+SUMPRODUCT(--(ISNUMBER(SEARCH($A17,'Diags Raw Data'!$A$7:$A$3645))),--('Diags Raw Data'!$Q$7:$Q$3645&lt;&gt;"N/A"),'Diags Raw Data'!$U$7:$U$3645)</f>
        <v>0</v>
      </c>
      <c r="O17" s="498">
        <f t="shared" si="2"/>
        <v>0</v>
      </c>
      <c r="P17" s="499">
        <f>SUMIF('Diags Raw Data'!$A$7:$A$3645,"*"&amp;$A17&amp;"*",'Diags Raw Data'!$Z$7:$Z$3645)</f>
        <v>0</v>
      </c>
      <c r="Q17" s="500">
        <f>SUM(SUMIF('Diags Raw Data'!$A$7:$A$3645,"*"&amp;$A17&amp;"*",'Diags Raw Data'!$AA$7:$AA$3645),SUMIF('Diags Raw Data'!$A$7:$A$3645,"*"&amp;$A17&amp;"*",'Diags Raw Data'!$AB$7:$AB$3645))</f>
        <v>0</v>
      </c>
      <c r="R17" s="501">
        <f t="shared" si="3"/>
        <v>0</v>
      </c>
      <c r="S17" s="501">
        <f t="shared" si="4"/>
        <v>0</v>
      </c>
      <c r="T17" s="502">
        <f t="shared" si="5"/>
        <v>0</v>
      </c>
      <c r="U17" s="449"/>
      <c r="V17" s="181" t="s">
        <v>436</v>
      </c>
    </row>
    <row r="18" spans="1:23" ht="30" x14ac:dyDescent="0.25">
      <c r="A18" s="336" t="s">
        <v>402</v>
      </c>
      <c r="B18" s="445" t="str">
        <f>VLOOKUP(A18,'Feature Raw Data'!$A$3:$B$3985,2,FALSE)</f>
        <v>MALL cache-as-RAM (CAR) mode</v>
      </c>
      <c r="C18" s="446" t="str">
        <f>VLOOKUP(A18,'Feature Raw Data'!$A$3:$C$3985,3,FALSE)</f>
        <v>p2</v>
      </c>
      <c r="D18" s="447" t="str" cm="1">
        <f t="array" ref="D18">_xlfn.TEXTJOIN("",TRUE,IF(ISNUMBER(SEARCH($A18,'Diags Raw Data'!$A$7:$A$3645)),CONCATENATE('Diags Raw Data'!$H$7:$H$3645,", "),""))</f>
        <v/>
      </c>
      <c r="E18" s="341" t="e">
        <f>VLOOKUP(A18,'Diags Raw Data'!$A$7:$D$3645,4,FALSE)</f>
        <v>#N/A</v>
      </c>
      <c r="F18" s="341" t="str">
        <f>VLOOKUP(A18,'Feature Raw Data'!$A$3:$E$3985,5,FALSE)</f>
        <v>New</v>
      </c>
      <c r="G18" s="341" t="str">
        <f t="shared" si="0"/>
        <v>No</v>
      </c>
      <c r="H18" s="341" t="str">
        <f t="shared" si="1"/>
        <v>No</v>
      </c>
      <c r="I18" s="446">
        <f>SUMIF('Diags Raw Data'!$A$7:$A$3645,"*"&amp;$A18&amp;"*",'Diags Raw Data'!$K$7:$K$3645)</f>
        <v>0</v>
      </c>
      <c r="J18" s="448">
        <f>SUMIF('Diags Raw Data'!$A$7:$A$3645,"*"&amp;$A18&amp;"*",'Diags Raw Data'!$L$7:$L$3645)</f>
        <v>0</v>
      </c>
      <c r="K18" s="494" cm="1">
        <f t="array" ref="K18">IF(D18="",0, SUMPRODUCT(--(ISNUMBER(SEARCH($A18,'Diags Raw Data'!$A$7:$A$3645))),'Diags Raw Data'!$L$7:$L$3645,'Diags Raw Data'!$N$7:$N$3645)/J18)</f>
        <v>0</v>
      </c>
      <c r="L18" s="495" cm="1">
        <f t="array" ref="L18">IF(D18="",0, SUMPRODUCT(--(ISNUMBER(SEARCH($A18,'Diags Raw Data'!$A$7:$A$3645))),'Diags Raw Data'!$L$7:$L$3645,'Diags Raw Data'!$P$7:$P$3645)/J18)</f>
        <v>0</v>
      </c>
      <c r="M18" s="496" cm="1">
        <f t="array" ref="M18">SUMPRODUCT(--(ISNUMBER(SEARCH($A18,'Diags Raw Data'!$A$7:$A$3645))),--('Diags Raw Data'!$Q$7:$Q$3645&lt;&gt;"N/A"),'Diags Raw Data'!$R$7:$R$3645)</f>
        <v>0</v>
      </c>
      <c r="N18" s="497" cm="1">
        <f t="array" ref="N18">SUMPRODUCT(--(ISNUMBER(SEARCH($A18,'Diags Raw Data'!$A$7:$A$3645))),--('Diags Raw Data'!$Q$7:$Q$3645&lt;&gt;"N/A"),'Diags Raw Data'!$T$7:$T$3645)+SUMPRODUCT(--(ISNUMBER(SEARCH($A18,'Diags Raw Data'!$A$7:$A$3645))),--('Diags Raw Data'!$Q$7:$Q$3645&lt;&gt;"N/A"),'Diags Raw Data'!$U$7:$U$3645)</f>
        <v>0</v>
      </c>
      <c r="O18" s="498">
        <f t="shared" si="2"/>
        <v>0</v>
      </c>
      <c r="P18" s="499">
        <f>SUMIF('Diags Raw Data'!$A$7:$A$3645,"*"&amp;$A18&amp;"*",'Diags Raw Data'!$Z$7:$Z$3645)</f>
        <v>0</v>
      </c>
      <c r="Q18" s="500">
        <f>SUM(SUMIF('Diags Raw Data'!$A$7:$A$3645,"*"&amp;$A18&amp;"*",'Diags Raw Data'!$AA$7:$AA$3645),SUMIF('Diags Raw Data'!$A$7:$A$3645,"*"&amp;$A18&amp;"*",'Diags Raw Data'!$AB$7:$AB$3645))</f>
        <v>0</v>
      </c>
      <c r="R18" s="501">
        <f t="shared" si="3"/>
        <v>0</v>
      </c>
      <c r="S18" s="501">
        <f t="shared" si="4"/>
        <v>0</v>
      </c>
      <c r="T18" s="502">
        <f t="shared" si="5"/>
        <v>0</v>
      </c>
      <c r="U18" s="449" t="s">
        <v>440</v>
      </c>
      <c r="V18" s="181" t="s">
        <v>441</v>
      </c>
    </row>
    <row r="19" spans="1:23" x14ac:dyDescent="0.25">
      <c r="A19" s="336" t="s">
        <v>404</v>
      </c>
      <c r="B19" s="445" t="str">
        <f>VLOOKUP(A19,'Feature Raw Data'!$A$3:$B$3985,2,FALSE)</f>
        <v>PCC (Peak Current Control) Activity Throttler Support</v>
      </c>
      <c r="C19" s="446" t="str">
        <f>VLOOKUP(A19,'Feature Raw Data'!$A$3:$C$3985,3,FALSE)</f>
        <v>p2</v>
      </c>
      <c r="D19" s="447" t="str" cm="1">
        <f t="array" ref="D19">_xlfn.TEXTJOIN("",TRUE,IF(ISNUMBER(SEARCH($A19,'Diags Raw Data'!$A$7:$A$3645)),CONCATENATE('Diags Raw Data'!$H$7:$H$3645,", "),""))</f>
        <v/>
      </c>
      <c r="E19" s="341" t="e">
        <f>VLOOKUP(A19,'Diags Raw Data'!$A$7:$D$3645,4,FALSE)</f>
        <v>#N/A</v>
      </c>
      <c r="F19" s="341" t="str">
        <f>VLOOKUP(A19,'Feature Raw Data'!$A$3:$E$3985,5,FALSE)</f>
        <v>Legacy</v>
      </c>
      <c r="G19" s="341" t="str">
        <f t="shared" si="0"/>
        <v>No</v>
      </c>
      <c r="H19" s="341" t="str">
        <f t="shared" si="1"/>
        <v>No</v>
      </c>
      <c r="I19" s="446">
        <f>SUMIF('Diags Raw Data'!$A$7:$A$3645,"*"&amp;$A19&amp;"*",'Diags Raw Data'!$K$7:$K$3645)</f>
        <v>0</v>
      </c>
      <c r="J19" s="448">
        <f>SUMIF('Diags Raw Data'!$A$7:$A$3645,"*"&amp;$A19&amp;"*",'Diags Raw Data'!$L$7:$L$3645)</f>
        <v>0</v>
      </c>
      <c r="K19" s="494" cm="1">
        <f t="array" ref="K19">IF(D19="",0, SUMPRODUCT(--(ISNUMBER(SEARCH($A19,'Diags Raw Data'!$A$7:$A$3645))),'Diags Raw Data'!$L$7:$L$3645,'Diags Raw Data'!$N$7:$N$3645)/J19)</f>
        <v>0</v>
      </c>
      <c r="L19" s="495" cm="1">
        <f t="array" ref="L19">IF(D19="",0, SUMPRODUCT(--(ISNUMBER(SEARCH($A19,'Diags Raw Data'!$A$7:$A$3645))),'Diags Raw Data'!$L$7:$L$3645,'Diags Raw Data'!$P$7:$P$3645)/J19)</f>
        <v>0</v>
      </c>
      <c r="M19" s="496" cm="1">
        <f t="array" ref="M19">SUMPRODUCT(--(ISNUMBER(SEARCH($A19,'Diags Raw Data'!$A$7:$A$3645))),--('Diags Raw Data'!$Q$7:$Q$3645&lt;&gt;"N/A"),'Diags Raw Data'!$R$7:$R$3645)</f>
        <v>0</v>
      </c>
      <c r="N19" s="497" cm="1">
        <f t="array" ref="N19">SUMPRODUCT(--(ISNUMBER(SEARCH($A19,'Diags Raw Data'!$A$7:$A$3645))),--('Diags Raw Data'!$Q$7:$Q$3645&lt;&gt;"N/A"),'Diags Raw Data'!$T$7:$T$3645)+SUMPRODUCT(--(ISNUMBER(SEARCH($A19,'Diags Raw Data'!$A$7:$A$3645))),--('Diags Raw Data'!$Q$7:$Q$3645&lt;&gt;"N/A"),'Diags Raw Data'!$U$7:$U$3645)</f>
        <v>0</v>
      </c>
      <c r="O19" s="498">
        <f t="shared" si="2"/>
        <v>0</v>
      </c>
      <c r="P19" s="499">
        <f>SUMIF('Diags Raw Data'!$A$7:$A$3645,"*"&amp;$A19&amp;"*",'Diags Raw Data'!$Z$7:$Z$3645)</f>
        <v>0</v>
      </c>
      <c r="Q19" s="500">
        <f>SUM(SUMIF('Diags Raw Data'!$A$7:$A$3645,"*"&amp;$A19&amp;"*",'Diags Raw Data'!$AA$7:$AA$3645),SUMIF('Diags Raw Data'!$A$7:$A$3645,"*"&amp;$A19&amp;"*",'Diags Raw Data'!$AB$7:$AB$3645))</f>
        <v>0</v>
      </c>
      <c r="R19" s="501">
        <f t="shared" si="3"/>
        <v>0</v>
      </c>
      <c r="S19" s="501">
        <f t="shared" si="4"/>
        <v>0</v>
      </c>
      <c r="T19" s="502">
        <f t="shared" si="5"/>
        <v>0</v>
      </c>
      <c r="U19" s="449" t="s">
        <v>440</v>
      </c>
      <c r="V19" s="181" t="s">
        <v>442</v>
      </c>
    </row>
    <row r="20" spans="1:23" ht="30" x14ac:dyDescent="0.25">
      <c r="A20" s="336" t="s">
        <v>406</v>
      </c>
      <c r="B20" s="445" t="str">
        <f>VLOOKUP(A20,'Feature Raw Data'!$A$3:$B$3985,2,FALSE)</f>
        <v>[Cache as buffer mode]    Memory P-State Switching With Display Support</v>
      </c>
      <c r="C20" s="446" t="str">
        <f>VLOOKUP(A20,'Feature Raw Data'!$A$3:$C$3985,3,FALSE)</f>
        <v>p1</v>
      </c>
      <c r="D20" s="447" t="str" cm="1">
        <f t="array" ref="D20">_xlfn.TEXTJOIN("",TRUE,IF(ISNUMBER(SEARCH($A20,'Diags Raw Data'!$A$7:$A$3645)),CONCATENATE('Diags Raw Data'!$H$7:$H$3645,", "),""))</f>
        <v/>
      </c>
      <c r="E20" s="341" t="e">
        <f>VLOOKUP(A20,'Diags Raw Data'!$A$7:$D$3645,4,FALSE)</f>
        <v>#N/A</v>
      </c>
      <c r="F20" s="341" t="str">
        <f>VLOOKUP(A20,'Feature Raw Data'!$A$3:$E$3985,5,FALSE)</f>
        <v>Legacy</v>
      </c>
      <c r="G20" s="341" t="s">
        <v>31</v>
      </c>
      <c r="H20" s="341" t="str">
        <f t="shared" si="1"/>
        <v>No</v>
      </c>
      <c r="I20" s="446">
        <f>SUMIF('Diags Raw Data'!$A$7:$A$3645,"*"&amp;$A20&amp;"*",'Diags Raw Data'!$K$7:$K$3645)</f>
        <v>0</v>
      </c>
      <c r="J20" s="448">
        <f>SUMIF('Diags Raw Data'!$A$7:$A$3645,"*"&amp;$A20&amp;"*",'Diags Raw Data'!$L$7:$L$3645)</f>
        <v>0</v>
      </c>
      <c r="K20" s="494" cm="1">
        <f t="array" ref="K20">IF(D20="",0, SUMPRODUCT(--(ISNUMBER(SEARCH($A20,'Diags Raw Data'!$A$7:$A$3645))),'Diags Raw Data'!$L$7:$L$3645,'Diags Raw Data'!$N$7:$N$3645)/J20)</f>
        <v>0</v>
      </c>
      <c r="L20" s="495" cm="1">
        <f t="array" ref="L20">IF(D20="",0, SUMPRODUCT(--(ISNUMBER(SEARCH($A20,'Diags Raw Data'!$A$7:$A$3645))),'Diags Raw Data'!$L$7:$L$3645,'Diags Raw Data'!$P$7:$P$3645)/J20)</f>
        <v>0</v>
      </c>
      <c r="M20" s="496" cm="1">
        <f t="array" ref="M20">SUMPRODUCT(--(ISNUMBER(SEARCH($A20,'Diags Raw Data'!$A$7:$A$3645))),--('Diags Raw Data'!$Q$7:$Q$3645&lt;&gt;"N/A"),'Diags Raw Data'!$R$7:$R$3645)</f>
        <v>0</v>
      </c>
      <c r="N20" s="497" cm="1">
        <f t="array" ref="N20">SUMPRODUCT(--(ISNUMBER(SEARCH($A20,'Diags Raw Data'!$A$7:$A$3645))),--('Diags Raw Data'!$Q$7:$Q$3645&lt;&gt;"N/A"),'Diags Raw Data'!$T$7:$T$3645)+SUMPRODUCT(--(ISNUMBER(SEARCH($A20,'Diags Raw Data'!$A$7:$A$3645))),--('Diags Raw Data'!$Q$7:$Q$3645&lt;&gt;"N/A"),'Diags Raw Data'!$U$7:$U$3645)</f>
        <v>0</v>
      </c>
      <c r="O20" s="498">
        <f t="shared" si="2"/>
        <v>0</v>
      </c>
      <c r="P20" s="499">
        <f>SUMIF('Diags Raw Data'!$A$7:$A$3645,"*"&amp;$A20&amp;"*",'Diags Raw Data'!$Z$7:$Z$3645)</f>
        <v>0</v>
      </c>
      <c r="Q20" s="500">
        <f>SUM(SUMIF('Diags Raw Data'!$A$7:$A$3645,"*"&amp;$A20&amp;"*",'Diags Raw Data'!$AA$7:$AA$3645),SUMIF('Diags Raw Data'!$A$7:$A$3645,"*"&amp;$A20&amp;"*",'Diags Raw Data'!$AB$7:$AB$3645))</f>
        <v>0</v>
      </c>
      <c r="R20" s="501">
        <f t="shared" si="3"/>
        <v>0</v>
      </c>
      <c r="S20" s="501">
        <f t="shared" si="4"/>
        <v>0</v>
      </c>
      <c r="T20" s="502">
        <f t="shared" si="5"/>
        <v>0</v>
      </c>
      <c r="U20" s="449" t="s">
        <v>440</v>
      </c>
      <c r="V20" s="181" t="s">
        <v>442</v>
      </c>
    </row>
    <row r="21" spans="1:23" ht="30" x14ac:dyDescent="0.25">
      <c r="A21" s="336" t="s">
        <v>408</v>
      </c>
      <c r="B21" s="445" t="str">
        <f>VLOOKUP(A21,'Feature Raw Data'!$A$3:$B$3985,2,FALSE)</f>
        <v>MALL Configuration</v>
      </c>
      <c r="C21" s="446" t="str">
        <f>VLOOKUP(A21,'Feature Raw Data'!$A$3:$C$3985,3,FALSE)</f>
        <v>p1</v>
      </c>
      <c r="D21" s="447" t="str" cm="1">
        <f t="array" ref="D21">_xlfn.TEXTJOIN("",TRUE,IF(ISNUMBER(SEARCH($A21,'Diags Raw Data'!$A$7:$A$3645)),CONCATENATE('Diags Raw Data'!$H$7:$H$3645,", "),""))</f>
        <v/>
      </c>
      <c r="E21" s="341" t="e">
        <f>VLOOKUP(A21,'Diags Raw Data'!$A$7:$D$3645,4,FALSE)</f>
        <v>#N/A</v>
      </c>
      <c r="F21" s="341" t="str">
        <f>VLOOKUP(A21,'Feature Raw Data'!$A$3:$E$3985,5,FALSE)</f>
        <v>Delta</v>
      </c>
      <c r="G21" s="341" t="s">
        <v>31</v>
      </c>
      <c r="H21" s="341" t="str">
        <f t="shared" si="1"/>
        <v>No</v>
      </c>
      <c r="I21" s="446">
        <f>SUMIF('Diags Raw Data'!$A$7:$A$3645,"*"&amp;$A21&amp;"*",'Diags Raw Data'!$K$7:$K$3645)</f>
        <v>0</v>
      </c>
      <c r="J21" s="448">
        <f>SUMIF('Diags Raw Data'!$A$7:$A$3645,"*"&amp;$A21&amp;"*",'Diags Raw Data'!$L$7:$L$3645)</f>
        <v>0</v>
      </c>
      <c r="K21" s="494" cm="1">
        <f t="array" ref="K21">IF(D21="",0, SUMPRODUCT(--(ISNUMBER(SEARCH($A21,'Diags Raw Data'!$A$7:$A$3645))),'Diags Raw Data'!$L$7:$L$3645,'Diags Raw Data'!$N$7:$N$3645)/J21)</f>
        <v>0</v>
      </c>
      <c r="L21" s="495" cm="1">
        <f t="array" ref="L21">IF(D21="",0, SUMPRODUCT(--(ISNUMBER(SEARCH($A21,'Diags Raw Data'!$A$7:$A$3645))),'Diags Raw Data'!$L$7:$L$3645,'Diags Raw Data'!$P$7:$P$3645)/J21)</f>
        <v>0</v>
      </c>
      <c r="M21" s="496" cm="1">
        <f t="array" ref="M21">SUMPRODUCT(--(ISNUMBER(SEARCH($A21,'Diags Raw Data'!$A$7:$A$3645))),--('Diags Raw Data'!$Q$7:$Q$3645&lt;&gt;"N/A"),'Diags Raw Data'!$R$7:$R$3645)</f>
        <v>0</v>
      </c>
      <c r="N21" s="497" cm="1">
        <f t="array" ref="N21">SUMPRODUCT(--(ISNUMBER(SEARCH($A21,'Diags Raw Data'!$A$7:$A$3645))),--('Diags Raw Data'!$Q$7:$Q$3645&lt;&gt;"N/A"),'Diags Raw Data'!$T$7:$T$3645)+SUMPRODUCT(--(ISNUMBER(SEARCH($A21,'Diags Raw Data'!$A$7:$A$3645))),--('Diags Raw Data'!$Q$7:$Q$3645&lt;&gt;"N/A"),'Diags Raw Data'!$U$7:$U$3645)</f>
        <v>0</v>
      </c>
      <c r="O21" s="498">
        <f t="shared" si="2"/>
        <v>0</v>
      </c>
      <c r="P21" s="499">
        <f>SUMIF('Diags Raw Data'!$A$7:$A$3645,"*"&amp;$A21&amp;"*",'Diags Raw Data'!$Z$7:$Z$3645)</f>
        <v>0</v>
      </c>
      <c r="Q21" s="500">
        <f>SUM(SUMIF('Diags Raw Data'!$A$7:$A$3645,"*"&amp;$A21&amp;"*",'Diags Raw Data'!$AA$7:$AA$3645),SUMIF('Diags Raw Data'!$A$7:$A$3645,"*"&amp;$A21&amp;"*",'Diags Raw Data'!$AB$7:$AB$3645))</f>
        <v>0</v>
      </c>
      <c r="R21" s="501">
        <f t="shared" si="3"/>
        <v>0</v>
      </c>
      <c r="S21" s="501">
        <f t="shared" si="4"/>
        <v>0</v>
      </c>
      <c r="T21" s="502">
        <f t="shared" si="5"/>
        <v>0</v>
      </c>
      <c r="U21" s="449" t="s">
        <v>440</v>
      </c>
      <c r="V21" s="181" t="s">
        <v>443</v>
      </c>
    </row>
    <row r="22" spans="1:23" x14ac:dyDescent="0.25">
      <c r="A22" s="336" t="s">
        <v>353</v>
      </c>
      <c r="B22" s="445" t="str">
        <f>VLOOKUP(A22,'Feature Raw Data'!$A$3:$B$3985,2,FALSE)</f>
        <v>MALL Statistics</v>
      </c>
      <c r="C22" s="446" t="str">
        <f>VLOOKUP(A22,'Feature Raw Data'!$A$3:$C$3985,3,FALSE)</f>
        <v>p2</v>
      </c>
      <c r="D22" s="447" t="str" cm="1">
        <f t="array" ref="D22">_xlfn.TEXTJOIN("",TRUE,IF(ISNUMBER(SEARCH($A22,'Diags Raw Data'!$A$7:$A$3645)),CONCATENATE('Diags Raw Data'!$H$7:$H$3645,", "),""))</f>
        <v xml:space="preserve">mall.fill.1, </v>
      </c>
      <c r="E22" s="341" t="str">
        <f>VLOOKUP(A22,'Diags Raw Data'!$A$7:$D$3645,4,FALSE)</f>
        <v>MALL</v>
      </c>
      <c r="F22" s="341" t="str">
        <f>VLOOKUP(A22,'Feature Raw Data'!$A$3:$E$3985,5,FALSE)</f>
        <v>Legacy</v>
      </c>
      <c r="G22" s="341" t="str">
        <f t="shared" si="0"/>
        <v>Yes</v>
      </c>
      <c r="H22" s="341" t="str">
        <f t="shared" si="1"/>
        <v>Yes</v>
      </c>
      <c r="I22" s="446">
        <f>SUMIF('Diags Raw Data'!$A$7:$A$3645,"*"&amp;$A22&amp;"*",'Diags Raw Data'!$K$7:$K$3645)</f>
        <v>1</v>
      </c>
      <c r="J22" s="448">
        <f>SUMIF('Diags Raw Data'!$A$7:$A$3645,"*"&amp;$A22&amp;"*",'Diags Raw Data'!$L$7:$L$3645)</f>
        <v>1</v>
      </c>
      <c r="K22" s="494" cm="1">
        <f t="array" ref="K22">IF(D22="",0, SUMPRODUCT(--(ISNUMBER(SEARCH($A22,'Diags Raw Data'!$A$7:$A$3645))),'Diags Raw Data'!$L$7:$L$3645,'Diags Raw Data'!$N$7:$N$3645)/J22)</f>
        <v>1</v>
      </c>
      <c r="L22" s="495" cm="1">
        <f t="array" ref="L22">IF(D22="",0, SUMPRODUCT(--(ISNUMBER(SEARCH($A22,'Diags Raw Data'!$A$7:$A$3645))),'Diags Raw Data'!$L$7:$L$3645,'Diags Raw Data'!$P$7:$P$3645)/J22)</f>
        <v>1</v>
      </c>
      <c r="M22" s="496" cm="1">
        <f t="array" ref="M22">SUMPRODUCT(--(ISNUMBER(SEARCH($A22,'Diags Raw Data'!$A$7:$A$3645))),--('Diags Raw Data'!$Q$7:$Q$3645&lt;&gt;"N/A"),'Diags Raw Data'!$R$7:$R$3645)</f>
        <v>1</v>
      </c>
      <c r="N22" s="497" cm="1">
        <f t="array" ref="N22">SUMPRODUCT(--(ISNUMBER(SEARCH($A22,'Diags Raw Data'!$A$7:$A$3645))),--('Diags Raw Data'!$Q$7:$Q$3645&lt;&gt;"N/A"),'Diags Raw Data'!$T$7:$T$3645)+SUMPRODUCT(--(ISNUMBER(SEARCH($A22,'Diags Raw Data'!$A$7:$A$3645))),--('Diags Raw Data'!$Q$7:$Q$3645&lt;&gt;"N/A"),'Diags Raw Data'!$U$7:$U$3645)</f>
        <v>1</v>
      </c>
      <c r="O22" s="498">
        <f t="shared" si="2"/>
        <v>1</v>
      </c>
      <c r="P22" s="499">
        <f>SUMIF('Diags Raw Data'!$A$7:$A$3645,"*"&amp;$A22&amp;"*",'Diags Raw Data'!$Z$7:$Z$3645)</f>
        <v>1</v>
      </c>
      <c r="Q22" s="500">
        <f>SUM(SUMIF('Diags Raw Data'!$A$7:$A$3645,"*"&amp;$A22&amp;"*",'Diags Raw Data'!$AA$7:$AA$3645),SUMIF('Diags Raw Data'!$A$7:$A$3645,"*"&amp;$A22&amp;"*",'Diags Raw Data'!$AB$7:$AB$3645))</f>
        <v>1</v>
      </c>
      <c r="R22" s="501">
        <f t="shared" si="3"/>
        <v>1</v>
      </c>
      <c r="S22" s="501">
        <f t="shared" si="4"/>
        <v>1</v>
      </c>
      <c r="T22" s="502">
        <f t="shared" si="5"/>
        <v>1</v>
      </c>
      <c r="U22" s="449" t="s">
        <v>435</v>
      </c>
      <c r="V22" s="181" t="s">
        <v>444</v>
      </c>
    </row>
    <row r="23" spans="1:23" ht="15" customHeight="1" x14ac:dyDescent="0.25">
      <c r="A23" s="336" t="s">
        <v>410</v>
      </c>
      <c r="B23" s="445" t="str">
        <f>VLOOKUP(A23,'Feature Raw Data'!$A$3:$B$3985,2,FALSE)</f>
        <v>Write Hits dont need to update Tag if contents are the same</v>
      </c>
      <c r="C23" s="446" t="str">
        <f>VLOOKUP(A23,'Feature Raw Data'!$A$3:$C$3985,3,FALSE)</f>
        <v>p2</v>
      </c>
      <c r="D23" s="447" t="str" cm="1">
        <f t="array" ref="D23">_xlfn.TEXTJOIN("",TRUE,IF(ISNUMBER(SEARCH($A23,'Diags Raw Data'!$A$7:$A$3645)),CONCATENATE('Diags Raw Data'!$H$7:$H$3645,", "),""))</f>
        <v/>
      </c>
      <c r="E23" s="341" t="e">
        <f>VLOOKUP(A23,'Diags Raw Data'!$A$7:$D$3645,4,FALSE)</f>
        <v>#N/A</v>
      </c>
      <c r="F23" s="341" t="str">
        <f>VLOOKUP(A23,'Feature Raw Data'!$A$3:$E$3985,5,FALSE)</f>
        <v>Legacy</v>
      </c>
      <c r="G23" s="341" t="str">
        <f t="shared" si="0"/>
        <v>No</v>
      </c>
      <c r="H23" s="341" t="str">
        <f t="shared" si="1"/>
        <v>No</v>
      </c>
      <c r="I23" s="446">
        <f>SUMIF('Diags Raw Data'!$A$7:$A$3645,"*"&amp;$A23&amp;"*",'Diags Raw Data'!$K$7:$K$3645)</f>
        <v>0</v>
      </c>
      <c r="J23" s="448">
        <f>SUMIF('Diags Raw Data'!$A$7:$A$3645,"*"&amp;$A23&amp;"*",'Diags Raw Data'!$L$7:$L$3645)</f>
        <v>0</v>
      </c>
      <c r="K23" s="494" cm="1">
        <f t="array" ref="K23">IF(D23="",0, SUMPRODUCT(--(ISNUMBER(SEARCH($A23,'Diags Raw Data'!$A$7:$A$3645))),'Diags Raw Data'!$L$7:$L$3645,'Diags Raw Data'!$N$7:$N$3645)/J23)</f>
        <v>0</v>
      </c>
      <c r="L23" s="495" cm="1">
        <f t="array" ref="L23">IF(D23="",0, SUMPRODUCT(--(ISNUMBER(SEARCH($A23,'Diags Raw Data'!$A$7:$A$3645))),'Diags Raw Data'!$L$7:$L$3645,'Diags Raw Data'!$P$7:$P$3645)/J23)</f>
        <v>0</v>
      </c>
      <c r="M23" s="496" cm="1">
        <f t="array" ref="M23">SUMPRODUCT(--(ISNUMBER(SEARCH($A23,'Diags Raw Data'!$A$7:$A$3645))),--('Diags Raw Data'!$Q$7:$Q$3645&lt;&gt;"N/A"),'Diags Raw Data'!$R$7:$R$3645)</f>
        <v>0</v>
      </c>
      <c r="N23" s="497" cm="1">
        <f t="array" ref="N23">SUMPRODUCT(--(ISNUMBER(SEARCH($A23,'Diags Raw Data'!$A$7:$A$3645))),--('Diags Raw Data'!$Q$7:$Q$3645&lt;&gt;"N/A"),'Diags Raw Data'!$T$7:$T$3645)+SUMPRODUCT(--(ISNUMBER(SEARCH($A23,'Diags Raw Data'!$A$7:$A$3645))),--('Diags Raw Data'!$Q$7:$Q$3645&lt;&gt;"N/A"),'Diags Raw Data'!$U$7:$U$3645)</f>
        <v>0</v>
      </c>
      <c r="O23" s="498">
        <f t="shared" si="2"/>
        <v>0</v>
      </c>
      <c r="P23" s="499">
        <f>SUMIF('Diags Raw Data'!$A$7:$A$3645,"*"&amp;$A23&amp;"*",'Diags Raw Data'!$Z$7:$Z$3645)</f>
        <v>0</v>
      </c>
      <c r="Q23" s="500">
        <f>SUM(SUMIF('Diags Raw Data'!$A$7:$A$3645,"*"&amp;$A23&amp;"*",'Diags Raw Data'!$AA$7:$AA$3645),SUMIF('Diags Raw Data'!$A$7:$A$3645,"*"&amp;$A23&amp;"*",'Diags Raw Data'!$AB$7:$AB$3645))</f>
        <v>0</v>
      </c>
      <c r="R23" s="501">
        <f t="shared" si="3"/>
        <v>0</v>
      </c>
      <c r="S23" s="501">
        <f t="shared" si="4"/>
        <v>0</v>
      </c>
      <c r="T23" s="502">
        <f t="shared" si="5"/>
        <v>0</v>
      </c>
      <c r="U23" s="449" t="s">
        <v>440</v>
      </c>
      <c r="V23" s="181" t="s">
        <v>445</v>
      </c>
      <c r="W23" s="597" t="s">
        <v>446</v>
      </c>
    </row>
    <row r="24" spans="1:23" ht="15" customHeight="1" x14ac:dyDescent="0.25">
      <c r="A24" s="336" t="s">
        <v>355</v>
      </c>
      <c r="B24" s="445" t="str">
        <f>VLOOKUP(A24,'Feature Raw Data'!$A$3:$B$3985,2,FALSE)</f>
        <v>Increase configurability for ORR and OWT in MALL</v>
      </c>
      <c r="C24" s="446" t="str">
        <f>VLOOKUP(A24,'Feature Raw Data'!$A$3:$C$3985,3,FALSE)</f>
        <v>p2</v>
      </c>
      <c r="D24" s="447" t="str" cm="1">
        <f t="array" ref="D24">_xlfn.TEXTJOIN("",TRUE,IF(ISNUMBER(SEARCH($A24,'Diags Raw Data'!$A$7:$A$3645)),CONCATENATE('Diags Raw Data'!$H$7:$H$3645,", "),""))</f>
        <v xml:space="preserve">mall.noalloc.2, </v>
      </c>
      <c r="E24" s="341" t="str">
        <f>VLOOKUP(A24,'Diags Raw Data'!$A$7:$D$3645,4,FALSE)</f>
        <v>MALL</v>
      </c>
      <c r="F24" s="341" t="str">
        <f>VLOOKUP(A24,'Feature Raw Data'!$A$3:$E$3985,5,FALSE)</f>
        <v>Legacy</v>
      </c>
      <c r="G24" s="341" t="str">
        <f t="shared" si="0"/>
        <v>Yes</v>
      </c>
      <c r="H24" s="341" t="str">
        <f t="shared" si="1"/>
        <v>Yes</v>
      </c>
      <c r="I24" s="446">
        <f>SUMIF('Diags Raw Data'!$A$7:$A$3645,"*"&amp;$A24&amp;"*",'Diags Raw Data'!$K$7:$K$3645)</f>
        <v>1</v>
      </c>
      <c r="J24" s="448">
        <f>SUMIF('Diags Raw Data'!$A$7:$A$3645,"*"&amp;$A24&amp;"*",'Diags Raw Data'!$L$7:$L$3645)</f>
        <v>1</v>
      </c>
      <c r="K24" s="494" cm="1">
        <f t="array" ref="K24">IF(D24="",0, SUMPRODUCT(--(ISNUMBER(SEARCH($A24,'Diags Raw Data'!$A$7:$A$3645))),'Diags Raw Data'!$L$7:$L$3645,'Diags Raw Data'!$N$7:$N$3645)/J24)</f>
        <v>1</v>
      </c>
      <c r="L24" s="495" cm="1">
        <f t="array" ref="L24">IF(D24="",0, SUMPRODUCT(--(ISNUMBER(SEARCH($A24,'Diags Raw Data'!$A$7:$A$3645))),'Diags Raw Data'!$L$7:$L$3645,'Diags Raw Data'!$P$7:$P$3645)/J24)</f>
        <v>1</v>
      </c>
      <c r="M24" s="496" cm="1">
        <f t="array" ref="M24">SUMPRODUCT(--(ISNUMBER(SEARCH($A24,'Diags Raw Data'!$A$7:$A$3645))),--('Diags Raw Data'!$Q$7:$Q$3645&lt;&gt;"N/A"),'Diags Raw Data'!$R$7:$R$3645)</f>
        <v>1</v>
      </c>
      <c r="N24" s="497" cm="1">
        <f t="array" ref="N24">SUMPRODUCT(--(ISNUMBER(SEARCH($A24,'Diags Raw Data'!$A$7:$A$3645))),--('Diags Raw Data'!$Q$7:$Q$3645&lt;&gt;"N/A"),'Diags Raw Data'!$T$7:$T$3645)+SUMPRODUCT(--(ISNUMBER(SEARCH($A24,'Diags Raw Data'!$A$7:$A$3645))),--('Diags Raw Data'!$Q$7:$Q$3645&lt;&gt;"N/A"),'Diags Raw Data'!$U$7:$U$3645)</f>
        <v>1</v>
      </c>
      <c r="O24" s="498">
        <f t="shared" si="2"/>
        <v>1</v>
      </c>
      <c r="P24" s="499">
        <f>SUMIF('Diags Raw Data'!$A$7:$A$3645,"*"&amp;$A24&amp;"*",'Diags Raw Data'!$Z$7:$Z$3645)</f>
        <v>1</v>
      </c>
      <c r="Q24" s="500">
        <f>SUM(SUMIF('Diags Raw Data'!$A$7:$A$3645,"*"&amp;$A24&amp;"*",'Diags Raw Data'!$AA$7:$AA$3645),SUMIF('Diags Raw Data'!$A$7:$A$3645,"*"&amp;$A24&amp;"*",'Diags Raw Data'!$AB$7:$AB$3645))</f>
        <v>1</v>
      </c>
      <c r="R24" s="501">
        <f t="shared" si="3"/>
        <v>1</v>
      </c>
      <c r="S24" s="501">
        <f t="shared" si="4"/>
        <v>1</v>
      </c>
      <c r="T24" s="502">
        <f t="shared" si="5"/>
        <v>1</v>
      </c>
      <c r="U24" s="449" t="s">
        <v>435</v>
      </c>
      <c r="V24" s="181" t="s">
        <v>447</v>
      </c>
    </row>
    <row r="25" spans="1:23" x14ac:dyDescent="0.25">
      <c r="A25" s="336" t="s">
        <v>412</v>
      </c>
      <c r="B25" s="445" t="str">
        <f>VLOOKUP(A25,'Feature Raw Data'!$A$3:$B$3985,2,FALSE)</f>
        <v>MALL Power Optimized Queues</v>
      </c>
      <c r="C25" s="446" t="str">
        <f>VLOOKUP(A25,'Feature Raw Data'!$A$3:$C$3985,3,FALSE)</f>
        <v>N/A</v>
      </c>
      <c r="D25" s="447" t="str" cm="1">
        <f t="array" ref="D25">_xlfn.TEXTJOIN("",TRUE,IF(ISNUMBER(SEARCH($A25,'Diags Raw Data'!$A$7:$A$3645)),CONCATENATE('Diags Raw Data'!$H$7:$H$3645,", "),""))</f>
        <v/>
      </c>
      <c r="E25" s="341" t="e">
        <f>VLOOKUP(A25,'Diags Raw Data'!$A$7:$D$3645,4,FALSE)</f>
        <v>#N/A</v>
      </c>
      <c r="F25" s="341" t="str">
        <f>VLOOKUP(A25,'Feature Raw Data'!$A$3:$E$3985,5,FALSE)</f>
        <v>Legacy</v>
      </c>
      <c r="G25" s="341" t="str">
        <f t="shared" si="0"/>
        <v>No</v>
      </c>
      <c r="H25" s="341" t="str">
        <f t="shared" si="1"/>
        <v>No</v>
      </c>
      <c r="I25" s="446">
        <f>SUMIF('Diags Raw Data'!$A$7:$A$3645,"*"&amp;$A25&amp;"*",'Diags Raw Data'!$K$7:$K$3645)</f>
        <v>0</v>
      </c>
      <c r="J25" s="448">
        <f>SUMIF('Diags Raw Data'!$A$7:$A$3645,"*"&amp;$A25&amp;"*",'Diags Raw Data'!$L$7:$L$3645)</f>
        <v>0</v>
      </c>
      <c r="K25" s="494" cm="1">
        <f t="array" ref="K25">IF(D25="",0, SUMPRODUCT(--(ISNUMBER(SEARCH($A25,'Diags Raw Data'!$A$7:$A$3645))),'Diags Raw Data'!$L$7:$L$3645,'Diags Raw Data'!$N$7:$N$3645)/J25)</f>
        <v>0</v>
      </c>
      <c r="L25" s="495" cm="1">
        <f t="array" ref="L25">IF(D25="",0, SUMPRODUCT(--(ISNUMBER(SEARCH($A25,'Diags Raw Data'!$A$7:$A$3645))),'Diags Raw Data'!$L$7:$L$3645,'Diags Raw Data'!$P$7:$P$3645)/J25)</f>
        <v>0</v>
      </c>
      <c r="M25" s="496" cm="1">
        <f t="array" ref="M25">SUMPRODUCT(--(ISNUMBER(SEARCH($A25,'Diags Raw Data'!$A$7:$A$3645))),--('Diags Raw Data'!$Q$7:$Q$3645&lt;&gt;"N/A"),'Diags Raw Data'!$R$7:$R$3645)</f>
        <v>0</v>
      </c>
      <c r="N25" s="497" cm="1">
        <f t="array" ref="N25">SUMPRODUCT(--(ISNUMBER(SEARCH($A25,'Diags Raw Data'!$A$7:$A$3645))),--('Diags Raw Data'!$Q$7:$Q$3645&lt;&gt;"N/A"),'Diags Raw Data'!$T$7:$T$3645)+SUMPRODUCT(--(ISNUMBER(SEARCH($A25,'Diags Raw Data'!$A$7:$A$3645))),--('Diags Raw Data'!$Q$7:$Q$3645&lt;&gt;"N/A"),'Diags Raw Data'!$U$7:$U$3645)</f>
        <v>0</v>
      </c>
      <c r="O25" s="498">
        <f t="shared" si="2"/>
        <v>0</v>
      </c>
      <c r="P25" s="499">
        <f>SUMIF('Diags Raw Data'!$A$7:$A$3645,"*"&amp;$A25&amp;"*",'Diags Raw Data'!$Z$7:$Z$3645)</f>
        <v>0</v>
      </c>
      <c r="Q25" s="500">
        <f>SUM(SUMIF('Diags Raw Data'!$A$7:$A$3645,"*"&amp;$A25&amp;"*",'Diags Raw Data'!$AA$7:$AA$3645),SUMIF('Diags Raw Data'!$A$7:$A$3645,"*"&amp;$A25&amp;"*",'Diags Raw Data'!$AB$7:$AB$3645))</f>
        <v>0</v>
      </c>
      <c r="R25" s="501">
        <f t="shared" si="3"/>
        <v>0</v>
      </c>
      <c r="S25" s="501">
        <f t="shared" si="4"/>
        <v>0</v>
      </c>
      <c r="T25" s="502">
        <f t="shared" si="5"/>
        <v>0</v>
      </c>
      <c r="U25" s="449" t="s">
        <v>440</v>
      </c>
      <c r="V25" s="181" t="s">
        <v>448</v>
      </c>
      <c r="W25" s="597" t="s">
        <v>446</v>
      </c>
    </row>
    <row r="26" spans="1:23" x14ac:dyDescent="0.25">
      <c r="A26" s="336" t="s">
        <v>357</v>
      </c>
      <c r="B26" s="445" t="str">
        <f>VLOOKUP(A26,'Feature Raw Data'!$A$3:$B$3985,2,FALSE)</f>
        <v>MALL: Support 8 TAG/LRU/DAT Banks per macro</v>
      </c>
      <c r="C26" s="446" t="str">
        <f>VLOOKUP(A26,'Feature Raw Data'!$A$3:$C$3985,3,FALSE)</f>
        <v>p1</v>
      </c>
      <c r="D26" s="447" t="str" cm="1">
        <f t="array" ref="D26">_xlfn.TEXTJOIN("",TRUE,IF(ISNUMBER(SEARCH($A26,'Diags Raw Data'!$A$7:$A$3645)),CONCATENATE('Diags Raw Data'!$H$7:$H$3645,", "),""))</f>
        <v xml:space="preserve">mall.fill.1, </v>
      </c>
      <c r="E26" s="341" t="str">
        <f>VLOOKUP(A26,'Diags Raw Data'!$A$7:$D$3645,4,FALSE)</f>
        <v>MALL</v>
      </c>
      <c r="F26" s="341" t="str">
        <f>VLOOKUP(A26,'Feature Raw Data'!$A$3:$E$3985,5,FALSE)</f>
        <v>Legacy</v>
      </c>
      <c r="G26" s="341" t="str">
        <f t="shared" si="0"/>
        <v>Yes</v>
      </c>
      <c r="H26" s="341" t="str">
        <f t="shared" si="1"/>
        <v>Yes</v>
      </c>
      <c r="I26" s="446">
        <f>SUMIF('Diags Raw Data'!$A$7:$A$3645,"*"&amp;$A26&amp;"*",'Diags Raw Data'!$K$7:$K$3645)</f>
        <v>1</v>
      </c>
      <c r="J26" s="448">
        <f>SUMIF('Diags Raw Data'!$A$7:$A$3645,"*"&amp;$A26&amp;"*",'Diags Raw Data'!$L$7:$L$3645)</f>
        <v>1</v>
      </c>
      <c r="K26" s="494" cm="1">
        <f t="array" ref="K26">IF(D26="",0, SUMPRODUCT(--(ISNUMBER(SEARCH($A26,'Diags Raw Data'!$A$7:$A$3645))),'Diags Raw Data'!$L$7:$L$3645,'Diags Raw Data'!$N$7:$N$3645)/J26)</f>
        <v>1</v>
      </c>
      <c r="L26" s="495" cm="1">
        <f t="array" ref="L26">IF(D26="",0, SUMPRODUCT(--(ISNUMBER(SEARCH($A26,'Diags Raw Data'!$A$7:$A$3645))),'Diags Raw Data'!$L$7:$L$3645,'Diags Raw Data'!$P$7:$P$3645)/J26)</f>
        <v>1</v>
      </c>
      <c r="M26" s="496" cm="1">
        <f t="array" ref="M26">SUMPRODUCT(--(ISNUMBER(SEARCH($A26,'Diags Raw Data'!$A$7:$A$3645))),--('Diags Raw Data'!$Q$7:$Q$3645&lt;&gt;"N/A"),'Diags Raw Data'!$R$7:$R$3645)</f>
        <v>1</v>
      </c>
      <c r="N26" s="497" cm="1">
        <f t="array" ref="N26">SUMPRODUCT(--(ISNUMBER(SEARCH($A26,'Diags Raw Data'!$A$7:$A$3645))),--('Diags Raw Data'!$Q$7:$Q$3645&lt;&gt;"N/A"),'Diags Raw Data'!$T$7:$T$3645)+SUMPRODUCT(--(ISNUMBER(SEARCH($A26,'Diags Raw Data'!$A$7:$A$3645))),--('Diags Raw Data'!$Q$7:$Q$3645&lt;&gt;"N/A"),'Diags Raw Data'!$U$7:$U$3645)</f>
        <v>1</v>
      </c>
      <c r="O26" s="498">
        <f t="shared" si="2"/>
        <v>1</v>
      </c>
      <c r="P26" s="499">
        <f>SUMIF('Diags Raw Data'!$A$7:$A$3645,"*"&amp;$A26&amp;"*",'Diags Raw Data'!$Z$7:$Z$3645)</f>
        <v>1</v>
      </c>
      <c r="Q26" s="500">
        <f>SUM(SUMIF('Diags Raw Data'!$A$7:$A$3645,"*"&amp;$A26&amp;"*",'Diags Raw Data'!$AA$7:$AA$3645),SUMIF('Diags Raw Data'!$A$7:$A$3645,"*"&amp;$A26&amp;"*",'Diags Raw Data'!$AB$7:$AB$3645))</f>
        <v>1</v>
      </c>
      <c r="R26" s="501">
        <f t="shared" si="3"/>
        <v>1</v>
      </c>
      <c r="S26" s="501">
        <f t="shared" si="4"/>
        <v>1</v>
      </c>
      <c r="T26" s="502">
        <f t="shared" si="5"/>
        <v>1</v>
      </c>
      <c r="U26" s="449" t="s">
        <v>435</v>
      </c>
      <c r="V26" s="181"/>
    </row>
    <row r="27" spans="1:23" x14ac:dyDescent="0.25">
      <c r="A27" s="336" t="s">
        <v>414</v>
      </c>
      <c r="B27" s="445" t="str">
        <f>VLOOKUP(A27,'Feature Raw Data'!$A$3:$B$3985,2,FALSE)</f>
        <v>MALL: Support 256b DECTED ECC code for eL3 Data</v>
      </c>
      <c r="C27" s="446" t="str">
        <f>VLOOKUP(A27,'Feature Raw Data'!$A$3:$C$3985,3,FALSE)</f>
        <v>p1</v>
      </c>
      <c r="D27" s="447" t="str" cm="1">
        <f t="array" ref="D27">_xlfn.TEXTJOIN("",TRUE,IF(ISNUMBER(SEARCH($A27,'Diags Raw Data'!$A$7:$A$3645)),CONCATENATE('Diags Raw Data'!$H$7:$H$3645,", "),""))</f>
        <v/>
      </c>
      <c r="E27" s="341" t="e">
        <f>VLOOKUP(A27,'Diags Raw Data'!$A$7:$D$3645,4,FALSE)</f>
        <v>#N/A</v>
      </c>
      <c r="F27" s="341" t="str">
        <f>VLOOKUP(A27,'Feature Raw Data'!$A$3:$E$3985,5,FALSE)</f>
        <v>Legacy</v>
      </c>
      <c r="G27" s="341" t="str">
        <f t="shared" si="0"/>
        <v>No</v>
      </c>
      <c r="H27" s="341" t="str">
        <f t="shared" si="1"/>
        <v>No</v>
      </c>
      <c r="I27" s="446">
        <f>SUMIF('Diags Raw Data'!$A$7:$A$3645,"*"&amp;$A27&amp;"*",'Diags Raw Data'!$K$7:$K$3645)</f>
        <v>0</v>
      </c>
      <c r="J27" s="448">
        <f>SUMIF('Diags Raw Data'!$A$7:$A$3645,"*"&amp;$A27&amp;"*",'Diags Raw Data'!$L$7:$L$3645)</f>
        <v>0</v>
      </c>
      <c r="K27" s="494" cm="1">
        <f t="array" ref="K27">IF(D27="",0, SUMPRODUCT(--(ISNUMBER(SEARCH($A27,'Diags Raw Data'!$A$7:$A$3645))),'Diags Raw Data'!$L$7:$L$3645,'Diags Raw Data'!$N$7:$N$3645)/J27)</f>
        <v>0</v>
      </c>
      <c r="L27" s="495" cm="1">
        <f t="array" ref="L27">IF(D27="",0, SUMPRODUCT(--(ISNUMBER(SEARCH($A27,'Diags Raw Data'!$A$7:$A$3645))),'Diags Raw Data'!$L$7:$L$3645,'Diags Raw Data'!$P$7:$P$3645)/J27)</f>
        <v>0</v>
      </c>
      <c r="M27" s="496" cm="1">
        <f t="array" ref="M27">SUMPRODUCT(--(ISNUMBER(SEARCH($A27,'Diags Raw Data'!$A$7:$A$3645))),--('Diags Raw Data'!$Q$7:$Q$3645&lt;&gt;"N/A"),'Diags Raw Data'!$R$7:$R$3645)</f>
        <v>0</v>
      </c>
      <c r="N27" s="497" cm="1">
        <f t="array" ref="N27">SUMPRODUCT(--(ISNUMBER(SEARCH($A27,'Diags Raw Data'!$A$7:$A$3645))),--('Diags Raw Data'!$Q$7:$Q$3645&lt;&gt;"N/A"),'Diags Raw Data'!$T$7:$T$3645)+SUMPRODUCT(--(ISNUMBER(SEARCH($A27,'Diags Raw Data'!$A$7:$A$3645))),--('Diags Raw Data'!$Q$7:$Q$3645&lt;&gt;"N/A"),'Diags Raw Data'!$U$7:$U$3645)</f>
        <v>0</v>
      </c>
      <c r="O27" s="498">
        <f t="shared" si="2"/>
        <v>0</v>
      </c>
      <c r="P27" s="499">
        <f>SUMIF('Diags Raw Data'!$A$7:$A$3645,"*"&amp;$A27&amp;"*",'Diags Raw Data'!$Z$7:$Z$3645)</f>
        <v>0</v>
      </c>
      <c r="Q27" s="500">
        <f>SUM(SUMIF('Diags Raw Data'!$A$7:$A$3645,"*"&amp;$A27&amp;"*",'Diags Raw Data'!$AA$7:$AA$3645),SUMIF('Diags Raw Data'!$A$7:$A$3645,"*"&amp;$A27&amp;"*",'Diags Raw Data'!$AB$7:$AB$3645))</f>
        <v>0</v>
      </c>
      <c r="R27" s="501">
        <f t="shared" si="3"/>
        <v>0</v>
      </c>
      <c r="S27" s="501">
        <f t="shared" si="4"/>
        <v>0</v>
      </c>
      <c r="T27" s="502">
        <f t="shared" si="5"/>
        <v>0</v>
      </c>
      <c r="U27" s="449" t="s">
        <v>440</v>
      </c>
      <c r="V27" s="181" t="s">
        <v>449</v>
      </c>
      <c r="W27" s="597" t="s">
        <v>446</v>
      </c>
    </row>
    <row r="28" spans="1:23" x14ac:dyDescent="0.25">
      <c r="A28" s="336" t="s">
        <v>416</v>
      </c>
      <c r="B28" s="445" t="str">
        <f>VLOOKUP(A28,'Feature Raw Data'!$A$3:$B$3985,2,FALSE)</f>
        <v>MALL: Next Victim support</v>
      </c>
      <c r="C28" s="446" t="str">
        <f>VLOOKUP(A28,'Feature Raw Data'!$A$3:$C$3985,3,FALSE)</f>
        <v>p1</v>
      </c>
      <c r="D28" s="447" t="str" cm="1">
        <f t="array" ref="D28">_xlfn.TEXTJOIN("",TRUE,IF(ISNUMBER(SEARCH($A28,'Diags Raw Data'!$A$7:$A$3645)),CONCATENATE('Diags Raw Data'!$H$7:$H$3645,", "),""))</f>
        <v/>
      </c>
      <c r="E28" s="341" t="e">
        <f>VLOOKUP(A28,'Diags Raw Data'!$A$7:$D$3645,4,FALSE)</f>
        <v>#N/A</v>
      </c>
      <c r="F28" s="341" t="str">
        <f>VLOOKUP(A28,'Feature Raw Data'!$A$3:$E$3985,5,FALSE)</f>
        <v>Legacy</v>
      </c>
      <c r="G28" s="341" t="str">
        <f t="shared" si="0"/>
        <v>No</v>
      </c>
      <c r="H28" s="341" t="str">
        <f t="shared" si="1"/>
        <v>No</v>
      </c>
      <c r="I28" s="446">
        <f>SUMIF('Diags Raw Data'!$A$7:$A$3645,"*"&amp;$A28&amp;"*",'Diags Raw Data'!$K$7:$K$3645)</f>
        <v>0</v>
      </c>
      <c r="J28" s="448">
        <f>SUMIF('Diags Raw Data'!$A$7:$A$3645,"*"&amp;$A28&amp;"*",'Diags Raw Data'!$L$7:$L$3645)</f>
        <v>0</v>
      </c>
      <c r="K28" s="494" cm="1">
        <f t="array" ref="K28">IF(D28="",0, SUMPRODUCT(--(ISNUMBER(SEARCH($A28,'Diags Raw Data'!$A$7:$A$3645))),'Diags Raw Data'!$L$7:$L$3645,'Diags Raw Data'!$N$7:$N$3645)/J28)</f>
        <v>0</v>
      </c>
      <c r="L28" s="495" cm="1">
        <f t="array" ref="L28">IF(D28="",0, SUMPRODUCT(--(ISNUMBER(SEARCH($A28,'Diags Raw Data'!$A$7:$A$3645))),'Diags Raw Data'!$L$7:$L$3645,'Diags Raw Data'!$P$7:$P$3645)/J28)</f>
        <v>0</v>
      </c>
      <c r="M28" s="496" cm="1">
        <f t="array" ref="M28">SUMPRODUCT(--(ISNUMBER(SEARCH($A28,'Diags Raw Data'!$A$7:$A$3645))),--('Diags Raw Data'!$Q$7:$Q$3645&lt;&gt;"N/A"),'Diags Raw Data'!$R$7:$R$3645)</f>
        <v>0</v>
      </c>
      <c r="N28" s="497" cm="1">
        <f t="array" ref="N28">SUMPRODUCT(--(ISNUMBER(SEARCH($A28,'Diags Raw Data'!$A$7:$A$3645))),--('Diags Raw Data'!$Q$7:$Q$3645&lt;&gt;"N/A"),'Diags Raw Data'!$T$7:$T$3645)+SUMPRODUCT(--(ISNUMBER(SEARCH($A28,'Diags Raw Data'!$A$7:$A$3645))),--('Diags Raw Data'!$Q$7:$Q$3645&lt;&gt;"N/A"),'Diags Raw Data'!$U$7:$U$3645)</f>
        <v>0</v>
      </c>
      <c r="O28" s="498">
        <f t="shared" si="2"/>
        <v>0</v>
      </c>
      <c r="P28" s="499">
        <f>SUMIF('Diags Raw Data'!$A$7:$A$3645,"*"&amp;$A28&amp;"*",'Diags Raw Data'!$Z$7:$Z$3645)</f>
        <v>0</v>
      </c>
      <c r="Q28" s="500">
        <f>SUM(SUMIF('Diags Raw Data'!$A$7:$A$3645,"*"&amp;$A28&amp;"*",'Diags Raw Data'!$AA$7:$AA$3645),SUMIF('Diags Raw Data'!$A$7:$A$3645,"*"&amp;$A28&amp;"*",'Diags Raw Data'!$AB$7:$AB$3645))</f>
        <v>0</v>
      </c>
      <c r="R28" s="501">
        <f t="shared" si="3"/>
        <v>0</v>
      </c>
      <c r="S28" s="501">
        <f t="shared" si="4"/>
        <v>0</v>
      </c>
      <c r="T28" s="502">
        <f t="shared" si="5"/>
        <v>0</v>
      </c>
      <c r="U28" s="449" t="s">
        <v>440</v>
      </c>
      <c r="V28" s="181" t="s">
        <v>450</v>
      </c>
      <c r="W28" s="597" t="s">
        <v>446</v>
      </c>
    </row>
    <row r="29" spans="1:23" x14ac:dyDescent="0.25">
      <c r="A29" s="336" t="s">
        <v>359</v>
      </c>
      <c r="B29" s="445" t="str">
        <f>VLOOKUP(A29,'Feature Raw Data'!$A$3:$B$3985,2,FALSE)</f>
        <v>MALL: Flush cache and disable allocation</v>
      </c>
      <c r="C29" s="446" t="str">
        <f>VLOOKUP(A29,'Feature Raw Data'!$A$3:$C$3985,3,FALSE)</f>
        <v>p1</v>
      </c>
      <c r="D29" s="447" t="str" cm="1">
        <f t="array" ref="D29">_xlfn.TEXTJOIN("",TRUE,IF(ISNUMBER(SEARCH($A29,'Diags Raw Data'!$A$7:$A$3645)),CONCATENATE('Diags Raw Data'!$H$7:$H$3645,", "),""))</f>
        <v xml:space="preserve">mall.flush.1, </v>
      </c>
      <c r="E29" s="341" t="str">
        <f>VLOOKUP(A29,'Diags Raw Data'!$A$7:$D$3645,4,FALSE)</f>
        <v>MALL</v>
      </c>
      <c r="F29" s="341" t="str">
        <f>VLOOKUP(A29,'Feature Raw Data'!$A$3:$E$3985,5,FALSE)</f>
        <v>Legacy</v>
      </c>
      <c r="G29" s="341" t="str">
        <f t="shared" si="0"/>
        <v>Yes</v>
      </c>
      <c r="H29" s="341" t="str">
        <f t="shared" si="1"/>
        <v>Yes</v>
      </c>
      <c r="I29" s="446">
        <f>SUMIF('Diags Raw Data'!$A$7:$A$3645,"*"&amp;$A29&amp;"*",'Diags Raw Data'!$K$7:$K$3645)</f>
        <v>1</v>
      </c>
      <c r="J29" s="448">
        <f>SUMIF('Diags Raw Data'!$A$7:$A$3645,"*"&amp;$A29&amp;"*",'Diags Raw Data'!$L$7:$L$3645)</f>
        <v>1</v>
      </c>
      <c r="K29" s="494" cm="1">
        <f t="array" ref="K29">IF(D29="",0, SUMPRODUCT(--(ISNUMBER(SEARCH($A29,'Diags Raw Data'!$A$7:$A$3645))),'Diags Raw Data'!$L$7:$L$3645,'Diags Raw Data'!$N$7:$N$3645)/J29)</f>
        <v>1</v>
      </c>
      <c r="L29" s="495" cm="1">
        <f t="array" ref="L29">IF(D29="",0, SUMPRODUCT(--(ISNUMBER(SEARCH($A29,'Diags Raw Data'!$A$7:$A$3645))),'Diags Raw Data'!$L$7:$L$3645,'Diags Raw Data'!$P$7:$P$3645)/J29)</f>
        <v>1</v>
      </c>
      <c r="M29" s="496" cm="1">
        <f t="array" ref="M29">SUMPRODUCT(--(ISNUMBER(SEARCH($A29,'Diags Raw Data'!$A$7:$A$3645))),--('Diags Raw Data'!$Q$7:$Q$3645&lt;&gt;"N/A"),'Diags Raw Data'!$R$7:$R$3645)</f>
        <v>1</v>
      </c>
      <c r="N29" s="497" cm="1">
        <f t="array" ref="N29">SUMPRODUCT(--(ISNUMBER(SEARCH($A29,'Diags Raw Data'!$A$7:$A$3645))),--('Diags Raw Data'!$Q$7:$Q$3645&lt;&gt;"N/A"),'Diags Raw Data'!$T$7:$T$3645)+SUMPRODUCT(--(ISNUMBER(SEARCH($A29,'Diags Raw Data'!$A$7:$A$3645))),--('Diags Raw Data'!$Q$7:$Q$3645&lt;&gt;"N/A"),'Diags Raw Data'!$U$7:$U$3645)</f>
        <v>1</v>
      </c>
      <c r="O29" s="498">
        <f t="shared" si="2"/>
        <v>1</v>
      </c>
      <c r="P29" s="499">
        <f>SUMIF('Diags Raw Data'!$A$7:$A$3645,"*"&amp;$A29&amp;"*",'Diags Raw Data'!$Z$7:$Z$3645)</f>
        <v>1</v>
      </c>
      <c r="Q29" s="500">
        <f>SUM(SUMIF('Diags Raw Data'!$A$7:$A$3645,"*"&amp;$A29&amp;"*",'Diags Raw Data'!$AA$7:$AA$3645),SUMIF('Diags Raw Data'!$A$7:$A$3645,"*"&amp;$A29&amp;"*",'Diags Raw Data'!$AB$7:$AB$3645))</f>
        <v>1</v>
      </c>
      <c r="R29" s="501">
        <f t="shared" si="3"/>
        <v>1</v>
      </c>
      <c r="S29" s="501">
        <f t="shared" si="4"/>
        <v>1</v>
      </c>
      <c r="T29" s="502">
        <f t="shared" si="5"/>
        <v>1</v>
      </c>
      <c r="U29" s="449" t="s">
        <v>435</v>
      </c>
      <c r="V29" s="181"/>
    </row>
    <row r="30" spans="1:23" x14ac:dyDescent="0.25">
      <c r="A30" s="336" t="s">
        <v>363</v>
      </c>
      <c r="B30" s="445" t="str">
        <f>VLOOKUP(A30,'Feature Raw Data'!$A$3:$B$3985,2,FALSE)</f>
        <v>MALL: Allow TMZ=1 requests to allocate in cache</v>
      </c>
      <c r="C30" s="446" t="str">
        <f>VLOOKUP(A30,'Feature Raw Data'!$A$3:$C$3985,3,FALSE)</f>
        <v>p1</v>
      </c>
      <c r="D30" s="447" t="str" cm="1">
        <f t="array" ref="D30">_xlfn.TEXTJOIN("",TRUE,IF(ISNUMBER(SEARCH($A30,'Diags Raw Data'!$A$7:$A$3645)),CONCATENATE('Diags Raw Data'!$H$7:$H$3645,", "),""))</f>
        <v xml:space="preserve">MALL20.1-2, MALL20.11-12, </v>
      </c>
      <c r="E30" s="341" t="str">
        <f>VLOOKUP(A30,'Diags Raw Data'!$A$7:$D$3645,4,FALSE)</f>
        <v>MALL</v>
      </c>
      <c r="F30" s="341" t="str">
        <f>VLOOKUP(A30,'Feature Raw Data'!$A$3:$E$3985,5,FALSE)</f>
        <v>Legacy</v>
      </c>
      <c r="G30" s="341" t="str">
        <f t="shared" si="0"/>
        <v>Yes</v>
      </c>
      <c r="H30" s="341" t="str">
        <f t="shared" si="1"/>
        <v>Yes</v>
      </c>
      <c r="I30" s="446">
        <f>SUMIF('Diags Raw Data'!$A$7:$A$3645,"*"&amp;$A30&amp;"*",'Diags Raw Data'!$K$7:$K$3645)</f>
        <v>1</v>
      </c>
      <c r="J30" s="448">
        <f>SUMIF('Diags Raw Data'!$A$7:$A$3645,"*"&amp;$A30&amp;"*",'Diags Raw Data'!$L$7:$L$3645)</f>
        <v>4</v>
      </c>
      <c r="K30" s="494" cm="1">
        <f t="array" ref="K30">IF(D30="",0, SUMPRODUCT(--(ISNUMBER(SEARCH($A30,'Diags Raw Data'!$A$7:$A$3645))),'Diags Raw Data'!$L$7:$L$3645,'Diags Raw Data'!$N$7:$N$3645)/J30)</f>
        <v>1</v>
      </c>
      <c r="L30" s="495" cm="1">
        <f t="array" ref="L30">IF(D30="",0, SUMPRODUCT(--(ISNUMBER(SEARCH($A30,'Diags Raw Data'!$A$7:$A$3645))),'Diags Raw Data'!$L$7:$L$3645,'Diags Raw Data'!$P$7:$P$3645)/J30)</f>
        <v>1</v>
      </c>
      <c r="M30" s="496" cm="1">
        <f t="array" ref="M30">SUMPRODUCT(--(ISNUMBER(SEARCH($A30,'Diags Raw Data'!$A$7:$A$3645))),--('Diags Raw Data'!$Q$7:$Q$3645&lt;&gt;"N/A"),'Diags Raw Data'!$R$7:$R$3645)</f>
        <v>4</v>
      </c>
      <c r="N30" s="497" cm="1">
        <f t="array" ref="N30">SUMPRODUCT(--(ISNUMBER(SEARCH($A30,'Diags Raw Data'!$A$7:$A$3645))),--('Diags Raw Data'!$Q$7:$Q$3645&lt;&gt;"N/A"),'Diags Raw Data'!$T$7:$T$3645)+SUMPRODUCT(--(ISNUMBER(SEARCH($A30,'Diags Raw Data'!$A$7:$A$3645))),--('Diags Raw Data'!$Q$7:$Q$3645&lt;&gt;"N/A"),'Diags Raw Data'!$U$7:$U$3645)</f>
        <v>0</v>
      </c>
      <c r="O30" s="498">
        <f t="shared" si="2"/>
        <v>0</v>
      </c>
      <c r="P30" s="499">
        <f>SUMIF('Diags Raw Data'!$A$7:$A$3645,"*"&amp;$A30&amp;"*",'Diags Raw Data'!$Z$7:$Z$3645)</f>
        <v>4</v>
      </c>
      <c r="Q30" s="500">
        <f>SUM(SUMIF('Diags Raw Data'!$A$7:$A$3645,"*"&amp;$A30&amp;"*",'Diags Raw Data'!$AA$7:$AA$3645),SUMIF('Diags Raw Data'!$A$7:$A$3645,"*"&amp;$A30&amp;"*",'Diags Raw Data'!$AB$7:$AB$3645))</f>
        <v>4</v>
      </c>
      <c r="R30" s="501">
        <f t="shared" si="3"/>
        <v>1</v>
      </c>
      <c r="S30" s="501">
        <f t="shared" si="4"/>
        <v>1</v>
      </c>
      <c r="T30" s="502">
        <f t="shared" si="5"/>
        <v>1</v>
      </c>
      <c r="U30" s="449" t="s">
        <v>431</v>
      </c>
      <c r="V30" s="181"/>
    </row>
    <row r="31" spans="1:23" s="185" customFormat="1" x14ac:dyDescent="0.25">
      <c r="A31" s="336" t="s">
        <v>365</v>
      </c>
      <c r="B31" s="445" t="str">
        <f>VLOOKUP(A31,'Feature Raw Data'!$A$3:$B$3985,2,FALSE)</f>
        <v>MALL: Support NV3x Hash</v>
      </c>
      <c r="C31" s="446" t="str">
        <f>VLOOKUP(A31,'Feature Raw Data'!$A$3:$C$3985,3,FALSE)</f>
        <v>P3</v>
      </c>
      <c r="D31" s="447" t="str" cm="1">
        <f t="array" ref="D31">_xlfn.TEXTJOIN("",TRUE,IF(ISNUMBER(SEARCH($A31,'Diags Raw Data'!$A$7:$A$3645)),CONCATENATE('Diags Raw Data'!$H$7:$H$3645,", "),""))</f>
        <v xml:space="preserve">mall.fill.1, </v>
      </c>
      <c r="E31" s="341" t="str">
        <f>VLOOKUP(A31,'Diags Raw Data'!$A$7:$D$3645,4,FALSE)</f>
        <v>MALL</v>
      </c>
      <c r="F31" s="341" t="str">
        <f>VLOOKUP(A31,'Feature Raw Data'!$A$3:$E$3985,5,FALSE)</f>
        <v>Legacy</v>
      </c>
      <c r="G31" s="341" t="str">
        <f t="shared" si="0"/>
        <v>Yes</v>
      </c>
      <c r="H31" s="341" t="str">
        <f t="shared" si="1"/>
        <v>Yes</v>
      </c>
      <c r="I31" s="446">
        <f>SUMIF('Diags Raw Data'!$A$7:$A$3645,"*"&amp;$A31&amp;"*",'Diags Raw Data'!$K$7:$K$3645)</f>
        <v>1</v>
      </c>
      <c r="J31" s="448">
        <f>SUMIF('Diags Raw Data'!$A$7:$A$3645,"*"&amp;$A31&amp;"*",'Diags Raw Data'!$L$7:$L$3645)</f>
        <v>1</v>
      </c>
      <c r="K31" s="494" cm="1">
        <f t="array" ref="K31">IF(D31="",0, SUMPRODUCT(--(ISNUMBER(SEARCH($A31,'Diags Raw Data'!$A$7:$A$3645))),'Diags Raw Data'!$L$7:$L$3645,'Diags Raw Data'!$N$7:$N$3645)/J31)</f>
        <v>1</v>
      </c>
      <c r="L31" s="495" cm="1">
        <f t="array" ref="L31">IF(D31="",0, SUMPRODUCT(--(ISNUMBER(SEARCH($A31,'Diags Raw Data'!$A$7:$A$3645))),'Diags Raw Data'!$L$7:$L$3645,'Diags Raw Data'!$P$7:$P$3645)/J31)</f>
        <v>1</v>
      </c>
      <c r="M31" s="496" cm="1">
        <f t="array" ref="M31">SUMPRODUCT(--(ISNUMBER(SEARCH($A31,'Diags Raw Data'!$A$7:$A$3645))),--('Diags Raw Data'!$Q$7:$Q$3645&lt;&gt;"N/A"),'Diags Raw Data'!$R$7:$R$3645)</f>
        <v>1</v>
      </c>
      <c r="N31" s="497" cm="1">
        <f t="array" ref="N31">SUMPRODUCT(--(ISNUMBER(SEARCH($A31,'Diags Raw Data'!$A$7:$A$3645))),--('Diags Raw Data'!$Q$7:$Q$3645&lt;&gt;"N/A"),'Diags Raw Data'!$T$7:$T$3645)+SUMPRODUCT(--(ISNUMBER(SEARCH($A31,'Diags Raw Data'!$A$7:$A$3645))),--('Diags Raw Data'!$Q$7:$Q$3645&lt;&gt;"N/A"),'Diags Raw Data'!$U$7:$U$3645)</f>
        <v>1</v>
      </c>
      <c r="O31" s="498">
        <f t="shared" si="2"/>
        <v>1</v>
      </c>
      <c r="P31" s="499">
        <f>SUMIF('Diags Raw Data'!$A$7:$A$3645,"*"&amp;$A31&amp;"*",'Diags Raw Data'!$Z$7:$Z$3645)</f>
        <v>1</v>
      </c>
      <c r="Q31" s="500">
        <f>SUM(SUMIF('Diags Raw Data'!$A$7:$A$3645,"*"&amp;$A31&amp;"*",'Diags Raw Data'!$AA$7:$AA$3645),SUMIF('Diags Raw Data'!$A$7:$A$3645,"*"&amp;$A31&amp;"*",'Diags Raw Data'!$AB$7:$AB$3645))</f>
        <v>1</v>
      </c>
      <c r="R31" s="501">
        <f t="shared" si="3"/>
        <v>1</v>
      </c>
      <c r="S31" s="501">
        <f t="shared" si="4"/>
        <v>1</v>
      </c>
      <c r="T31" s="502">
        <f t="shared" si="5"/>
        <v>1</v>
      </c>
      <c r="U31" s="449" t="s">
        <v>435</v>
      </c>
      <c r="V31" s="181" t="s">
        <v>451</v>
      </c>
    </row>
    <row r="32" spans="1:23" x14ac:dyDescent="0.25">
      <c r="A32" s="336" t="s">
        <v>367</v>
      </c>
      <c r="B32" s="445" t="str">
        <f>VLOOKUP(A32,'Feature Raw Data'!$A$3:$B$3985,2,FALSE)</f>
        <v>MALL: Add separate queue for Victims</v>
      </c>
      <c r="C32" s="446" t="str">
        <f>VLOOKUP(A32,'Feature Raw Data'!$A$3:$C$3985,3,FALSE)</f>
        <v>p2</v>
      </c>
      <c r="D32" s="447" t="str" cm="1">
        <f t="array" ref="D32">_xlfn.TEXTJOIN("",TRUE,IF(ISNUMBER(SEARCH($A32,'Diags Raw Data'!$A$7:$A$3645)),CONCATENATE('Diags Raw Data'!$H$7:$H$3645,", "),""))</f>
        <v xml:space="preserve">mall.throughput.1x4/victim, </v>
      </c>
      <c r="E32" s="341" t="str">
        <f>VLOOKUP(A32,'Diags Raw Data'!$A$7:$D$3645,4,FALSE)</f>
        <v>MALL</v>
      </c>
      <c r="F32" s="341" t="str">
        <f>VLOOKUP(A32,'Feature Raw Data'!$A$3:$E$3985,5,FALSE)</f>
        <v>Legacy</v>
      </c>
      <c r="G32" s="341" t="str">
        <f t="shared" ref="G32:G42" si="6">IF(D32="","No","Yes")</f>
        <v>Yes</v>
      </c>
      <c r="H32" s="341" t="str">
        <f t="shared" ref="H32:H42" si="7">IF(D32="","No","Yes")</f>
        <v>Yes</v>
      </c>
      <c r="I32" s="446">
        <f>SUMIF('Diags Raw Data'!$A$7:$A$3645,"*"&amp;$A32&amp;"*",'Diags Raw Data'!$K$7:$K$3645)</f>
        <v>1</v>
      </c>
      <c r="J32" s="448">
        <f>SUMIF('Diags Raw Data'!$A$7:$A$3645,"*"&amp;$A32&amp;"*",'Diags Raw Data'!$L$7:$L$3645)</f>
        <v>1</v>
      </c>
      <c r="K32" s="494" cm="1">
        <f t="array" ref="K32">IF(D32="",0, SUMPRODUCT(--(ISNUMBER(SEARCH($A32,'Diags Raw Data'!$A$7:$A$3645))),'Diags Raw Data'!$L$7:$L$3645,'Diags Raw Data'!$N$7:$N$3645)/J32)</f>
        <v>1</v>
      </c>
      <c r="L32" s="495" cm="1">
        <f t="array" ref="L32">IF(D32="",0, SUMPRODUCT(--(ISNUMBER(SEARCH($A32,'Diags Raw Data'!$A$7:$A$3645))),'Diags Raw Data'!$L$7:$L$3645,'Diags Raw Data'!$P$7:$P$3645)/J32)</f>
        <v>1</v>
      </c>
      <c r="M32" s="496" cm="1">
        <f t="array" ref="M32">SUMPRODUCT(--(ISNUMBER(SEARCH($A32,'Diags Raw Data'!$A$7:$A$3645))),--('Diags Raw Data'!$Q$7:$Q$3645&lt;&gt;"N/A"),'Diags Raw Data'!$R$7:$R$3645)</f>
        <v>1</v>
      </c>
      <c r="N32" s="497" cm="1">
        <f t="array" ref="N32">SUMPRODUCT(--(ISNUMBER(SEARCH($A32,'Diags Raw Data'!$A$7:$A$3645))),--('Diags Raw Data'!$Q$7:$Q$3645&lt;&gt;"N/A"),'Diags Raw Data'!$T$7:$T$3645)+SUMPRODUCT(--(ISNUMBER(SEARCH($A32,'Diags Raw Data'!$A$7:$A$3645))),--('Diags Raw Data'!$Q$7:$Q$3645&lt;&gt;"N/A"),'Diags Raw Data'!$U$7:$U$3645)</f>
        <v>1</v>
      </c>
      <c r="O32" s="498">
        <f t="shared" si="2"/>
        <v>1</v>
      </c>
      <c r="P32" s="499">
        <f>SUMIF('Diags Raw Data'!$A$7:$A$3645,"*"&amp;$A32&amp;"*",'Diags Raw Data'!$Z$7:$Z$3645)</f>
        <v>1</v>
      </c>
      <c r="Q32" s="500">
        <f>SUM(SUMIF('Diags Raw Data'!$A$7:$A$3645,"*"&amp;$A32&amp;"*",'Diags Raw Data'!$AA$7:$AA$3645),SUMIF('Diags Raw Data'!$A$7:$A$3645,"*"&amp;$A32&amp;"*",'Diags Raw Data'!$AB$7:$AB$3645))</f>
        <v>1</v>
      </c>
      <c r="R32" s="501">
        <f t="shared" si="3"/>
        <v>1</v>
      </c>
      <c r="S32" s="501">
        <f t="shared" si="4"/>
        <v>1</v>
      </c>
      <c r="T32" s="502">
        <f t="shared" si="5"/>
        <v>1</v>
      </c>
      <c r="U32" s="449" t="s">
        <v>437</v>
      </c>
      <c r="V32" s="181"/>
    </row>
    <row r="33" spans="1:23" x14ac:dyDescent="0.25">
      <c r="A33" s="336" t="s">
        <v>418</v>
      </c>
      <c r="B33" s="445" t="str">
        <f>VLOOKUP(A33,'Feature Raw Data'!$A$3:$B$3985,2,FALSE)</f>
        <v>[MALL] Scatter/Gather Repeater DCGE</v>
      </c>
      <c r="C33" s="446" t="str">
        <f>VLOOKUP(A33,'Feature Raw Data'!$A$3:$C$3985,3,FALSE)</f>
        <v>N/A</v>
      </c>
      <c r="D33" s="447" t="str" cm="1">
        <f t="array" ref="D33">_xlfn.TEXTJOIN("",TRUE,IF(ISNUMBER(SEARCH($A33,'Diags Raw Data'!$A$7:$A$3645)),CONCATENATE('Diags Raw Data'!$H$7:$H$3645,", "),""))</f>
        <v/>
      </c>
      <c r="E33" s="341" t="e">
        <f>VLOOKUP(A33,'Diags Raw Data'!$A$7:$D$3645,4,FALSE)</f>
        <v>#N/A</v>
      </c>
      <c r="F33" s="341" t="str">
        <f>VLOOKUP(A33,'Feature Raw Data'!$A$3:$E$3985,5,FALSE)</f>
        <v>Legacy</v>
      </c>
      <c r="G33" s="341" t="str">
        <f t="shared" si="6"/>
        <v>No</v>
      </c>
      <c r="H33" s="341" t="str">
        <f t="shared" si="7"/>
        <v>No</v>
      </c>
      <c r="I33" s="446">
        <f>SUMIF('Diags Raw Data'!$A$7:$A$3645,"*"&amp;$A33&amp;"*",'Diags Raw Data'!$K$7:$K$3645)</f>
        <v>0</v>
      </c>
      <c r="J33" s="448">
        <f>SUMIF('Diags Raw Data'!$A$7:$A$3645,"*"&amp;$A33&amp;"*",'Diags Raw Data'!$L$7:$L$3645)</f>
        <v>0</v>
      </c>
      <c r="K33" s="494" cm="1">
        <f t="array" ref="K33">IF(D33="",0, SUMPRODUCT(--(ISNUMBER(SEARCH($A33,'Diags Raw Data'!$A$7:$A$3645))),'Diags Raw Data'!$L$7:$L$3645,'Diags Raw Data'!$N$7:$N$3645)/J33)</f>
        <v>0</v>
      </c>
      <c r="L33" s="495" cm="1">
        <f t="array" ref="L33">IF(D33="",0, SUMPRODUCT(--(ISNUMBER(SEARCH($A33,'Diags Raw Data'!$A$7:$A$3645))),'Diags Raw Data'!$L$7:$L$3645,'Diags Raw Data'!$P$7:$P$3645)/J33)</f>
        <v>0</v>
      </c>
      <c r="M33" s="496" cm="1">
        <f t="array" ref="M33">SUMPRODUCT(--(ISNUMBER(SEARCH($A33,'Diags Raw Data'!$A$7:$A$3645))),--('Diags Raw Data'!$Q$7:$Q$3645&lt;&gt;"N/A"),'Diags Raw Data'!$R$7:$R$3645)</f>
        <v>0</v>
      </c>
      <c r="N33" s="497" cm="1">
        <f t="array" ref="N33">SUMPRODUCT(--(ISNUMBER(SEARCH($A33,'Diags Raw Data'!$A$7:$A$3645))),--('Diags Raw Data'!$Q$7:$Q$3645&lt;&gt;"N/A"),'Diags Raw Data'!$T$7:$T$3645)+SUMPRODUCT(--(ISNUMBER(SEARCH($A33,'Diags Raw Data'!$A$7:$A$3645))),--('Diags Raw Data'!$Q$7:$Q$3645&lt;&gt;"N/A"),'Diags Raw Data'!$U$7:$U$3645)</f>
        <v>0</v>
      </c>
      <c r="O33" s="498">
        <f t="shared" si="2"/>
        <v>0</v>
      </c>
      <c r="P33" s="499">
        <f>SUMIF('Diags Raw Data'!$A$7:$A$3645,"*"&amp;$A33&amp;"*",'Diags Raw Data'!$Z$7:$Z$3645)</f>
        <v>0</v>
      </c>
      <c r="Q33" s="500">
        <f>SUM(SUMIF('Diags Raw Data'!$A$7:$A$3645,"*"&amp;$A33&amp;"*",'Diags Raw Data'!$AA$7:$AA$3645),SUMIF('Diags Raw Data'!$A$7:$A$3645,"*"&amp;$A33&amp;"*",'Diags Raw Data'!$AB$7:$AB$3645))</f>
        <v>0</v>
      </c>
      <c r="R33" s="501">
        <f t="shared" si="3"/>
        <v>0</v>
      </c>
      <c r="S33" s="501">
        <f t="shared" si="4"/>
        <v>0</v>
      </c>
      <c r="T33" s="502">
        <f t="shared" si="5"/>
        <v>0</v>
      </c>
      <c r="U33" s="449" t="s">
        <v>440</v>
      </c>
      <c r="V33" s="181" t="s">
        <v>452</v>
      </c>
      <c r="W33" s="597" t="s">
        <v>446</v>
      </c>
    </row>
    <row r="34" spans="1:23" x14ac:dyDescent="0.25">
      <c r="A34" s="336" t="s">
        <v>420</v>
      </c>
      <c r="B34" s="445" t="str">
        <f>VLOOKUP(A34,'Feature Raw Data'!$A$3:$B$3985,2,FALSE)</f>
        <v>MALL: Support for priority picking with bypass saturation</v>
      </c>
      <c r="C34" s="446" t="str">
        <f>VLOOKUP(A34,'Feature Raw Data'!$A$3:$C$3985,3,FALSE)</f>
        <v>p1</v>
      </c>
      <c r="D34" s="447" t="str" cm="1">
        <f t="array" ref="D34">_xlfn.TEXTJOIN("",TRUE,IF(ISNUMBER(SEARCH($A34,'Diags Raw Data'!$A$7:$A$3645)),CONCATENATE('Diags Raw Data'!$H$7:$H$3645,", "),""))</f>
        <v/>
      </c>
      <c r="E34" s="341" t="e">
        <f>VLOOKUP(A34,'Diags Raw Data'!$A$7:$D$3645,4,FALSE)</f>
        <v>#N/A</v>
      </c>
      <c r="F34" s="341" t="str">
        <f>VLOOKUP(A34,'Feature Raw Data'!$A$3:$E$3985,5,FALSE)</f>
        <v>Legacy</v>
      </c>
      <c r="G34" s="341" t="str">
        <f t="shared" si="6"/>
        <v>No</v>
      </c>
      <c r="H34" s="341" t="s">
        <v>37</v>
      </c>
      <c r="I34" s="446">
        <f>SUMIF('Diags Raw Data'!$A$7:$A$3645,"*"&amp;$A34&amp;"*",'Diags Raw Data'!$K$7:$K$3645)</f>
        <v>0</v>
      </c>
      <c r="J34" s="448">
        <f>SUMIF('Diags Raw Data'!$A$7:$A$3645,"*"&amp;$A34&amp;"*",'Diags Raw Data'!$L$7:$L$3645)</f>
        <v>0</v>
      </c>
      <c r="K34" s="494" cm="1">
        <f t="array" ref="K34">IF(D34="",0, SUMPRODUCT(--(ISNUMBER(SEARCH($A34,'Diags Raw Data'!$A$7:$A$3645))),'Diags Raw Data'!$L$7:$L$3645,'Diags Raw Data'!$N$7:$N$3645)/J34)</f>
        <v>0</v>
      </c>
      <c r="L34" s="495" cm="1">
        <f t="array" ref="L34">IF(D34="",0, SUMPRODUCT(--(ISNUMBER(SEARCH($A34,'Diags Raw Data'!$A$7:$A$3645))),'Diags Raw Data'!$L$7:$L$3645,'Diags Raw Data'!$P$7:$P$3645)/J34)</f>
        <v>0</v>
      </c>
      <c r="M34" s="496" cm="1">
        <f t="array" ref="M34">SUMPRODUCT(--(ISNUMBER(SEARCH($A34,'Diags Raw Data'!$A$7:$A$3645))),--('Diags Raw Data'!$Q$7:$Q$3645&lt;&gt;"N/A"),'Diags Raw Data'!$R$7:$R$3645)</f>
        <v>0</v>
      </c>
      <c r="N34" s="497" cm="1">
        <f t="array" ref="N34">SUMPRODUCT(--(ISNUMBER(SEARCH($A34,'Diags Raw Data'!$A$7:$A$3645))),--('Diags Raw Data'!$Q$7:$Q$3645&lt;&gt;"N/A"),'Diags Raw Data'!$T$7:$T$3645)+SUMPRODUCT(--(ISNUMBER(SEARCH($A34,'Diags Raw Data'!$A$7:$A$3645))),--('Diags Raw Data'!$Q$7:$Q$3645&lt;&gt;"N/A"),'Diags Raw Data'!$U$7:$U$3645)</f>
        <v>0</v>
      </c>
      <c r="O34" s="498">
        <f t="shared" si="2"/>
        <v>0</v>
      </c>
      <c r="P34" s="499">
        <f>SUMIF('Diags Raw Data'!$A$7:$A$3645,"*"&amp;$A34&amp;"*",'Diags Raw Data'!$Z$7:$Z$3645)</f>
        <v>0</v>
      </c>
      <c r="Q34" s="500">
        <f>SUM(SUMIF('Diags Raw Data'!$A$7:$A$3645,"*"&amp;$A34&amp;"*",'Diags Raw Data'!$AA$7:$AA$3645),SUMIF('Diags Raw Data'!$A$7:$A$3645,"*"&amp;$A34&amp;"*",'Diags Raw Data'!$AB$7:$AB$3645))</f>
        <v>0</v>
      </c>
      <c r="R34" s="501">
        <f t="shared" si="3"/>
        <v>0</v>
      </c>
      <c r="S34" s="501">
        <f t="shared" si="4"/>
        <v>0</v>
      </c>
      <c r="T34" s="502">
        <f t="shared" si="5"/>
        <v>0</v>
      </c>
      <c r="U34" s="449" t="s">
        <v>440</v>
      </c>
      <c r="V34" s="181" t="s">
        <v>450</v>
      </c>
      <c r="W34" s="597" t="s">
        <v>446</v>
      </c>
    </row>
    <row r="35" spans="1:23" ht="30" x14ac:dyDescent="0.25">
      <c r="A35" s="336" t="s">
        <v>371</v>
      </c>
      <c r="B35" s="445" t="str">
        <f>VLOOKUP(A35,'Feature Raw Data'!$A$3:$B$3985,2,FALSE)</f>
        <v>MALL: flip FlushComplete to FlushInProg so SW can do a bcst poll for flush completion</v>
      </c>
      <c r="C35" s="446" t="str">
        <f>VLOOKUP(A35,'Feature Raw Data'!$A$3:$C$3985,3,FALSE)</f>
        <v>p1</v>
      </c>
      <c r="D35" s="447" t="str" cm="1">
        <f t="array" ref="D35">_xlfn.TEXTJOIN("",TRUE,IF(ISNUMBER(SEARCH($A35,'Diags Raw Data'!$A$7:$A$3645)),CONCATENATE('Diags Raw Data'!$H$7:$H$3645,", "),""))</f>
        <v xml:space="preserve">mall.flush.1, </v>
      </c>
      <c r="E35" s="341" t="str">
        <f>VLOOKUP(A35,'Diags Raw Data'!$A$7:$D$3645,4,FALSE)</f>
        <v>MALL</v>
      </c>
      <c r="F35" s="341" t="str">
        <f>VLOOKUP(A35,'Feature Raw Data'!$A$3:$E$3985,5,FALSE)</f>
        <v>Legacy</v>
      </c>
      <c r="G35" s="341" t="str">
        <f t="shared" si="6"/>
        <v>Yes</v>
      </c>
      <c r="H35" s="341" t="str">
        <f t="shared" si="7"/>
        <v>Yes</v>
      </c>
      <c r="I35" s="446">
        <f>SUMIF('Diags Raw Data'!$A$7:$A$3645,"*"&amp;$A35&amp;"*",'Diags Raw Data'!$K$7:$K$3645)</f>
        <v>1</v>
      </c>
      <c r="J35" s="448">
        <f>SUMIF('Diags Raw Data'!$A$7:$A$3645,"*"&amp;$A35&amp;"*",'Diags Raw Data'!$L$7:$L$3645)</f>
        <v>1</v>
      </c>
      <c r="K35" s="494" cm="1">
        <f t="array" ref="K35">IF(D35="",0, SUMPRODUCT(--(ISNUMBER(SEARCH($A35,'Diags Raw Data'!$A$7:$A$3645))),'Diags Raw Data'!$L$7:$L$3645,'Diags Raw Data'!$N$7:$N$3645)/J35)</f>
        <v>1</v>
      </c>
      <c r="L35" s="495" cm="1">
        <f t="array" ref="L35">IF(D35="",0, SUMPRODUCT(--(ISNUMBER(SEARCH($A35,'Diags Raw Data'!$A$7:$A$3645))),'Diags Raw Data'!$L$7:$L$3645,'Diags Raw Data'!$P$7:$P$3645)/J35)</f>
        <v>1</v>
      </c>
      <c r="M35" s="496" cm="1">
        <f t="array" ref="M35">SUMPRODUCT(--(ISNUMBER(SEARCH($A35,'Diags Raw Data'!$A$7:$A$3645))),--('Diags Raw Data'!$Q$7:$Q$3645&lt;&gt;"N/A"),'Diags Raw Data'!$R$7:$R$3645)</f>
        <v>1</v>
      </c>
      <c r="N35" s="497" cm="1">
        <f t="array" ref="N35">SUMPRODUCT(--(ISNUMBER(SEARCH($A35,'Diags Raw Data'!$A$7:$A$3645))),--('Diags Raw Data'!$Q$7:$Q$3645&lt;&gt;"N/A"),'Diags Raw Data'!$T$7:$T$3645)+SUMPRODUCT(--(ISNUMBER(SEARCH($A35,'Diags Raw Data'!$A$7:$A$3645))),--('Diags Raw Data'!$Q$7:$Q$3645&lt;&gt;"N/A"),'Diags Raw Data'!$U$7:$U$3645)</f>
        <v>1</v>
      </c>
      <c r="O35" s="498">
        <f t="shared" si="2"/>
        <v>1</v>
      </c>
      <c r="P35" s="499">
        <f>SUMIF('Diags Raw Data'!$A$7:$A$3645,"*"&amp;$A35&amp;"*",'Diags Raw Data'!$Z$7:$Z$3645)</f>
        <v>1</v>
      </c>
      <c r="Q35" s="500">
        <f>SUM(SUMIF('Diags Raw Data'!$A$7:$A$3645,"*"&amp;$A35&amp;"*",'Diags Raw Data'!$AA$7:$AA$3645),SUMIF('Diags Raw Data'!$A$7:$A$3645,"*"&amp;$A35&amp;"*",'Diags Raw Data'!$AB$7:$AB$3645))</f>
        <v>1</v>
      </c>
      <c r="R35" s="501">
        <f t="shared" si="3"/>
        <v>1</v>
      </c>
      <c r="S35" s="501">
        <f t="shared" si="4"/>
        <v>1</v>
      </c>
      <c r="T35" s="502">
        <f t="shared" si="5"/>
        <v>1</v>
      </c>
      <c r="U35" s="449" t="s">
        <v>435</v>
      </c>
      <c r="V35" s="181"/>
    </row>
    <row r="36" spans="1:23" ht="30" x14ac:dyDescent="0.25">
      <c r="A36" s="336" t="s">
        <v>422</v>
      </c>
      <c r="B36" s="445" t="str">
        <f>VLOOKUP(A36,'Feature Raw Data'!$A$3:$B$3985,2,FALSE)</f>
        <v>Add HWA for illegal hash cases</v>
      </c>
      <c r="C36" s="446" t="str">
        <f>VLOOKUP(A36,'Feature Raw Data'!$A$3:$C$3985,3,FALSE)</f>
        <v>P3</v>
      </c>
      <c r="D36" s="447" t="str" cm="1">
        <f t="array" ref="D36">_xlfn.TEXTJOIN("",TRUE,IF(ISNUMBER(SEARCH($A36,'Diags Raw Data'!$A$7:$A$3645)),CONCATENATE('Diags Raw Data'!$H$7:$H$3645,", "),""))</f>
        <v/>
      </c>
      <c r="E36" s="341" t="e">
        <f>VLOOKUP(A36,'Diags Raw Data'!$A$7:$D$3645,4,FALSE)</f>
        <v>#N/A</v>
      </c>
      <c r="F36" s="341" t="str">
        <f>VLOOKUP(A36,'Feature Raw Data'!$A$3:$E$3985,5,FALSE)</f>
        <v>Legacy</v>
      </c>
      <c r="G36" s="341" t="s">
        <v>31</v>
      </c>
      <c r="H36" s="341" t="str">
        <f t="shared" si="7"/>
        <v>No</v>
      </c>
      <c r="I36" s="446">
        <f>SUMIF('Diags Raw Data'!$A$7:$A$3645,"*"&amp;$A36&amp;"*",'Diags Raw Data'!$K$7:$K$3645)</f>
        <v>0</v>
      </c>
      <c r="J36" s="448">
        <f>SUMIF('Diags Raw Data'!$A$7:$A$3645,"*"&amp;$A36&amp;"*",'Diags Raw Data'!$L$7:$L$3645)</f>
        <v>0</v>
      </c>
      <c r="K36" s="494" cm="1">
        <f t="array" ref="K36">IF(D36="",0, SUMPRODUCT(--(ISNUMBER(SEARCH($A36,'Diags Raw Data'!$A$7:$A$3645))),'Diags Raw Data'!$L$7:$L$3645,'Diags Raw Data'!$N$7:$N$3645)/J36)</f>
        <v>0</v>
      </c>
      <c r="L36" s="495" cm="1">
        <f t="array" ref="L36">IF(D36="",0, SUMPRODUCT(--(ISNUMBER(SEARCH($A36,'Diags Raw Data'!$A$7:$A$3645))),'Diags Raw Data'!$L$7:$L$3645,'Diags Raw Data'!$P$7:$P$3645)/J36)</f>
        <v>0</v>
      </c>
      <c r="M36" s="496" cm="1">
        <f t="array" ref="M36">SUMPRODUCT(--(ISNUMBER(SEARCH($A36,'Diags Raw Data'!$A$7:$A$3645))),--('Diags Raw Data'!$Q$7:$Q$3645&lt;&gt;"N/A"),'Diags Raw Data'!$R$7:$R$3645)</f>
        <v>0</v>
      </c>
      <c r="N36" s="497" cm="1">
        <f t="array" ref="N36">SUMPRODUCT(--(ISNUMBER(SEARCH($A36,'Diags Raw Data'!$A$7:$A$3645))),--('Diags Raw Data'!$Q$7:$Q$3645&lt;&gt;"N/A"),'Diags Raw Data'!$T$7:$T$3645)+SUMPRODUCT(--(ISNUMBER(SEARCH($A36,'Diags Raw Data'!$A$7:$A$3645))),--('Diags Raw Data'!$Q$7:$Q$3645&lt;&gt;"N/A"),'Diags Raw Data'!$U$7:$U$3645)</f>
        <v>0</v>
      </c>
      <c r="O36" s="498">
        <f t="shared" si="2"/>
        <v>0</v>
      </c>
      <c r="P36" s="499">
        <f>SUMIF('Diags Raw Data'!$A$7:$A$3645,"*"&amp;$A36&amp;"*",'Diags Raw Data'!$Z$7:$Z$3645)</f>
        <v>0</v>
      </c>
      <c r="Q36" s="500">
        <f>SUM(SUMIF('Diags Raw Data'!$A$7:$A$3645,"*"&amp;$A36&amp;"*",'Diags Raw Data'!$AA$7:$AA$3645),SUMIF('Diags Raw Data'!$A$7:$A$3645,"*"&amp;$A36&amp;"*",'Diags Raw Data'!$AB$7:$AB$3645))</f>
        <v>0</v>
      </c>
      <c r="R36" s="501">
        <f t="shared" si="3"/>
        <v>0</v>
      </c>
      <c r="S36" s="501">
        <f t="shared" si="4"/>
        <v>0</v>
      </c>
      <c r="T36" s="502">
        <f t="shared" si="5"/>
        <v>0</v>
      </c>
      <c r="U36" s="449" t="s">
        <v>440</v>
      </c>
      <c r="V36" s="181" t="s">
        <v>453</v>
      </c>
    </row>
    <row r="37" spans="1:23" x14ac:dyDescent="0.25">
      <c r="A37" s="336" t="s">
        <v>373</v>
      </c>
      <c r="B37" s="445" t="str">
        <f>VLOOKUP(A37,'Feature Raw Data'!$A$3:$B$3985,2,FALSE)</f>
        <v>New PState with MALL (sub-frame MALL retrieve)</v>
      </c>
      <c r="C37" s="446" t="str">
        <f>VLOOKUP(A37,'Feature Raw Data'!$A$3:$C$3985,3,FALSE)</f>
        <v>p2</v>
      </c>
      <c r="D37" s="447" t="str" cm="1">
        <f t="array" ref="D37">_xlfn.TEXTJOIN("",TRUE,IF(ISNUMBER(SEARCH($A37,'Diags Raw Data'!$A$7:$A$3645)),CONCATENATE('Diags Raw Data'!$H$7:$H$3645,", "),""))</f>
        <v xml:space="preserve">MALL_DCHB017, </v>
      </c>
      <c r="E37" s="341" t="str">
        <f>VLOOKUP(A37,'Diags Raw Data'!$A$7:$D$3645,4,FALSE)</f>
        <v>DCN</v>
      </c>
      <c r="F37" s="341" t="str">
        <f>VLOOKUP(A37,'Feature Raw Data'!$A$3:$E$3985,5,FALSE)</f>
        <v>Legacy</v>
      </c>
      <c r="G37" s="341" t="str">
        <f t="shared" si="6"/>
        <v>Yes</v>
      </c>
      <c r="H37" s="341" t="str">
        <f t="shared" si="7"/>
        <v>Yes</v>
      </c>
      <c r="I37" s="446">
        <f>SUMIF('Diags Raw Data'!$A$7:$A$3645,"*"&amp;$A37&amp;"*",'Diags Raw Data'!$K$7:$K$3645)</f>
        <v>1</v>
      </c>
      <c r="J37" s="448">
        <f>SUMIF('Diags Raw Data'!$A$7:$A$3645,"*"&amp;$A37&amp;"*",'Diags Raw Data'!$L$7:$L$3645)</f>
        <v>1</v>
      </c>
      <c r="K37" s="494" cm="1">
        <f t="array" ref="K37">IF(D37="",0, SUMPRODUCT(--(ISNUMBER(SEARCH($A37,'Diags Raw Data'!$A$7:$A$3645))),'Diags Raw Data'!$L$7:$L$3645,'Diags Raw Data'!$N$7:$N$3645)/J37)</f>
        <v>1</v>
      </c>
      <c r="L37" s="495" cm="1">
        <f t="array" ref="L37">IF(D37="",0, SUMPRODUCT(--(ISNUMBER(SEARCH($A37,'Diags Raw Data'!$A$7:$A$3645))),'Diags Raw Data'!$L$7:$L$3645,'Diags Raw Data'!$P$7:$P$3645)/J37)</f>
        <v>1</v>
      </c>
      <c r="M37" s="496" cm="1">
        <f t="array" ref="M37">SUMPRODUCT(--(ISNUMBER(SEARCH($A37,'Diags Raw Data'!$A$7:$A$3645))),--('Diags Raw Data'!$Q$7:$Q$3645&lt;&gt;"N/A"),'Diags Raw Data'!$R$7:$R$3645)</f>
        <v>1</v>
      </c>
      <c r="N37" s="497" cm="1">
        <f t="array" ref="N37">SUMPRODUCT(--(ISNUMBER(SEARCH($A37,'Diags Raw Data'!$A$7:$A$3645))),--('Diags Raw Data'!$Q$7:$Q$3645&lt;&gt;"N/A"),'Diags Raw Data'!$T$7:$T$3645)+SUMPRODUCT(--(ISNUMBER(SEARCH($A37,'Diags Raw Data'!$A$7:$A$3645))),--('Diags Raw Data'!$Q$7:$Q$3645&lt;&gt;"N/A"),'Diags Raw Data'!$U$7:$U$3645)</f>
        <v>1</v>
      </c>
      <c r="O37" s="498">
        <f t="shared" si="2"/>
        <v>1</v>
      </c>
      <c r="P37" s="499">
        <f>SUMIF('Diags Raw Data'!$A$7:$A$3645,"*"&amp;$A37&amp;"*",'Diags Raw Data'!$Z$7:$Z$3645)</f>
        <v>0</v>
      </c>
      <c r="Q37" s="500">
        <f>SUM(SUMIF('Diags Raw Data'!$A$7:$A$3645,"*"&amp;$A37&amp;"*",'Diags Raw Data'!$AA$7:$AA$3645),SUMIF('Diags Raw Data'!$A$7:$A$3645,"*"&amp;$A37&amp;"*",'Diags Raw Data'!$AB$7:$AB$3645))</f>
        <v>0</v>
      </c>
      <c r="R37" s="501">
        <f t="shared" si="3"/>
        <v>0</v>
      </c>
      <c r="S37" s="501">
        <f t="shared" si="4"/>
        <v>0</v>
      </c>
      <c r="T37" s="502">
        <f t="shared" si="5"/>
        <v>0</v>
      </c>
      <c r="U37" s="449" t="s">
        <v>434</v>
      </c>
      <c r="V37" s="181" t="s">
        <v>454</v>
      </c>
    </row>
    <row r="38" spans="1:23" ht="30" x14ac:dyDescent="0.25">
      <c r="A38" s="336" t="s">
        <v>424</v>
      </c>
      <c r="B38" s="445" t="str">
        <f>VLOOKUP(A38,'Feature Raw Data'!$A$3:$B$3985,2,FALSE)</f>
        <v>Use RETRANSMIT Data Status on a MALL Tag Error for a Read Response</v>
      </c>
      <c r="C38" s="446" t="str">
        <f>VLOOKUP(A38,'Feature Raw Data'!$A$3:$C$3985,3,FALSE)</f>
        <v>p1</v>
      </c>
      <c r="D38" s="447" t="str" cm="1">
        <f t="array" ref="D38">_xlfn.TEXTJOIN("",TRUE,IF(ISNUMBER(SEARCH($A38,'Diags Raw Data'!$A$7:$A$3645)),CONCATENATE('Diags Raw Data'!$H$7:$H$3645,", "),""))</f>
        <v/>
      </c>
      <c r="E38" s="341" t="e">
        <f>VLOOKUP(A38,'Diags Raw Data'!$A$7:$D$3645,4,FALSE)</f>
        <v>#N/A</v>
      </c>
      <c r="F38" s="341" t="str">
        <f>VLOOKUP(A38,'Feature Raw Data'!$A$3:$E$3985,5,FALSE)</f>
        <v>Legacy</v>
      </c>
      <c r="G38" s="341" t="s">
        <v>31</v>
      </c>
      <c r="H38" s="341" t="str">
        <f t="shared" si="7"/>
        <v>No</v>
      </c>
      <c r="I38" s="446">
        <f>SUMIF('Diags Raw Data'!$A$7:$A$3645,"*"&amp;$A38&amp;"*",'Diags Raw Data'!$K$7:$K$3645)</f>
        <v>0</v>
      </c>
      <c r="J38" s="448">
        <f>SUMIF('Diags Raw Data'!$A$7:$A$3645,"*"&amp;$A38&amp;"*",'Diags Raw Data'!$L$7:$L$3645)</f>
        <v>0</v>
      </c>
      <c r="K38" s="494" cm="1">
        <f t="array" ref="K38">IF(D38="",0, SUMPRODUCT(--(ISNUMBER(SEARCH($A38,'Diags Raw Data'!$A$7:$A$3645))),'Diags Raw Data'!$L$7:$L$3645,'Diags Raw Data'!$N$7:$N$3645)/J38)</f>
        <v>0</v>
      </c>
      <c r="L38" s="495" cm="1">
        <f t="array" ref="L38">IF(D38="",0, SUMPRODUCT(--(ISNUMBER(SEARCH($A38,'Diags Raw Data'!$A$7:$A$3645))),'Diags Raw Data'!$L$7:$L$3645,'Diags Raw Data'!$P$7:$P$3645)/J38)</f>
        <v>0</v>
      </c>
      <c r="M38" s="496" cm="1">
        <f t="array" ref="M38">SUMPRODUCT(--(ISNUMBER(SEARCH($A38,'Diags Raw Data'!$A$7:$A$3645))),--('Diags Raw Data'!$Q$7:$Q$3645&lt;&gt;"N/A"),'Diags Raw Data'!$R$7:$R$3645)</f>
        <v>0</v>
      </c>
      <c r="N38" s="497" cm="1">
        <f t="array" ref="N38">SUMPRODUCT(--(ISNUMBER(SEARCH($A38,'Diags Raw Data'!$A$7:$A$3645))),--('Diags Raw Data'!$Q$7:$Q$3645&lt;&gt;"N/A"),'Diags Raw Data'!$T$7:$T$3645)+SUMPRODUCT(--(ISNUMBER(SEARCH($A38,'Diags Raw Data'!$A$7:$A$3645))),--('Diags Raw Data'!$Q$7:$Q$3645&lt;&gt;"N/A"),'Diags Raw Data'!$U$7:$U$3645)</f>
        <v>0</v>
      </c>
      <c r="O38" s="498">
        <f t="shared" si="2"/>
        <v>0</v>
      </c>
      <c r="P38" s="499">
        <f>SUMIF('Diags Raw Data'!$A$7:$A$3645,"*"&amp;$A38&amp;"*",'Diags Raw Data'!$Z$7:$Z$3645)</f>
        <v>0</v>
      </c>
      <c r="Q38" s="500">
        <f>SUM(SUMIF('Diags Raw Data'!$A$7:$A$3645,"*"&amp;$A38&amp;"*",'Diags Raw Data'!$AA$7:$AA$3645),SUMIF('Diags Raw Data'!$A$7:$A$3645,"*"&amp;$A38&amp;"*",'Diags Raw Data'!$AB$7:$AB$3645))</f>
        <v>0</v>
      </c>
      <c r="R38" s="501">
        <f t="shared" si="3"/>
        <v>0</v>
      </c>
      <c r="S38" s="501">
        <f t="shared" si="4"/>
        <v>0</v>
      </c>
      <c r="T38" s="502">
        <f t="shared" si="5"/>
        <v>0</v>
      </c>
      <c r="U38" s="449" t="s">
        <v>440</v>
      </c>
      <c r="V38" s="181" t="s">
        <v>449</v>
      </c>
    </row>
    <row r="39" spans="1:23" x14ac:dyDescent="0.25">
      <c r="A39" s="336" t="s">
        <v>426</v>
      </c>
      <c r="B39" s="445" t="str">
        <f>VLOOKUP(A39,'Feature Raw Data'!$A$3:$B$3985,2,FALSE)</f>
        <v>Support for 6 channel interleave</v>
      </c>
      <c r="C39" s="446" t="str">
        <f>VLOOKUP(A39,'Feature Raw Data'!$A$3:$C$3985,3,FALSE)</f>
        <v>n/a</v>
      </c>
      <c r="D39" s="447" t="str" cm="1">
        <f t="array" ref="D39">_xlfn.TEXTJOIN("",TRUE,IF(ISNUMBER(SEARCH($A39,'Diags Raw Data'!$A$7:$A$3645)),CONCATENATE('Diags Raw Data'!$H$7:$H$3645,", "),""))</f>
        <v/>
      </c>
      <c r="E39" s="341" t="e">
        <f>VLOOKUP(A39,'Diags Raw Data'!$A$7:$D$3645,4,FALSE)</f>
        <v>#N/A</v>
      </c>
      <c r="F39" s="341" t="str">
        <f>VLOOKUP(A39,'Feature Raw Data'!$A$3:$E$3985,5,FALSE)</f>
        <v>Legacy</v>
      </c>
      <c r="G39" s="341" t="s">
        <v>31</v>
      </c>
      <c r="H39" s="341" t="str">
        <f t="shared" si="7"/>
        <v>No</v>
      </c>
      <c r="I39" s="446">
        <f>SUMIF('Diags Raw Data'!$A$7:$A$3645,"*"&amp;$A39&amp;"*",'Diags Raw Data'!$K$7:$K$3645)</f>
        <v>0</v>
      </c>
      <c r="J39" s="448">
        <f>SUMIF('Diags Raw Data'!$A$7:$A$3645,"*"&amp;$A39&amp;"*",'Diags Raw Data'!$L$7:$L$3645)</f>
        <v>0</v>
      </c>
      <c r="K39" s="494" cm="1">
        <f t="array" ref="K39">IF(D39="",0, SUMPRODUCT(--(ISNUMBER(SEARCH($A39,'Diags Raw Data'!$A$7:$A$3645))),'Diags Raw Data'!$L$7:$L$3645,'Diags Raw Data'!$N$7:$N$3645)/J39)</f>
        <v>0</v>
      </c>
      <c r="L39" s="495" cm="1">
        <f t="array" ref="L39">IF(D39="",0, SUMPRODUCT(--(ISNUMBER(SEARCH($A39,'Diags Raw Data'!$A$7:$A$3645))),'Diags Raw Data'!$L$7:$L$3645,'Diags Raw Data'!$P$7:$P$3645)/J39)</f>
        <v>0</v>
      </c>
      <c r="M39" s="496" cm="1">
        <f t="array" ref="M39">SUMPRODUCT(--(ISNUMBER(SEARCH($A39,'Diags Raw Data'!$A$7:$A$3645))),--('Diags Raw Data'!$Q$7:$Q$3645&lt;&gt;"N/A"),'Diags Raw Data'!$R$7:$R$3645)</f>
        <v>0</v>
      </c>
      <c r="N39" s="497" cm="1">
        <f t="array" ref="N39">SUMPRODUCT(--(ISNUMBER(SEARCH($A39,'Diags Raw Data'!$A$7:$A$3645))),--('Diags Raw Data'!$Q$7:$Q$3645&lt;&gt;"N/A"),'Diags Raw Data'!$T$7:$T$3645)+SUMPRODUCT(--(ISNUMBER(SEARCH($A39,'Diags Raw Data'!$A$7:$A$3645))),--('Diags Raw Data'!$Q$7:$Q$3645&lt;&gt;"N/A"),'Diags Raw Data'!$U$7:$U$3645)</f>
        <v>0</v>
      </c>
      <c r="O39" s="498">
        <f t="shared" si="2"/>
        <v>0</v>
      </c>
      <c r="P39" s="499">
        <f>SUMIF('Diags Raw Data'!$A$7:$A$3645,"*"&amp;$A39&amp;"*",'Diags Raw Data'!$Z$7:$Z$3645)</f>
        <v>0</v>
      </c>
      <c r="Q39" s="500">
        <f>SUM(SUMIF('Diags Raw Data'!$A$7:$A$3645,"*"&amp;$A39&amp;"*",'Diags Raw Data'!$AA$7:$AA$3645),SUMIF('Diags Raw Data'!$A$7:$A$3645,"*"&amp;$A39&amp;"*",'Diags Raw Data'!$AB$7:$AB$3645))</f>
        <v>0</v>
      </c>
      <c r="R39" s="501">
        <f t="shared" si="3"/>
        <v>0</v>
      </c>
      <c r="S39" s="501">
        <f t="shared" si="4"/>
        <v>0</v>
      </c>
      <c r="T39" s="502">
        <f t="shared" si="5"/>
        <v>0</v>
      </c>
      <c r="U39" s="449" t="s">
        <v>440</v>
      </c>
      <c r="V39" s="181" t="s">
        <v>455</v>
      </c>
    </row>
    <row r="40" spans="1:23" x14ac:dyDescent="0.25">
      <c r="A40" s="336" t="s">
        <v>376</v>
      </c>
      <c r="B40" s="445" t="str">
        <f>VLOOKUP(A40,'Feature Raw Data'!$A$3:$B$3985,2,FALSE)</f>
        <v>System level testing + high power draw</v>
      </c>
      <c r="C40" s="446" t="str">
        <f>VLOOKUP(A40,'Feature Raw Data'!$A$3:$C$3985,3,FALSE)</f>
        <v>p2</v>
      </c>
      <c r="D40" s="447" t="str" cm="1">
        <f t="array" ref="D40">_xlfn.TEXTJOIN("",TRUE,IF(ISNUMBER(SEARCH($A40,'Diags Raw Data'!$A$7:$A$3645)),CONCATENATE('Diags Raw Data'!$H$7:$H$3645,", "),""))</f>
        <v xml:space="preserve">mall.throughput.1x4, </v>
      </c>
      <c r="E40" s="341" t="str">
        <f>VLOOKUP(A40,'Diags Raw Data'!$A$7:$D$3645,4,FALSE)</f>
        <v>MALL</v>
      </c>
      <c r="F40" s="341" t="str">
        <f>VLOOKUP(A40,'Feature Raw Data'!$A$3:$E$3985,5,FALSE)</f>
        <v>Legacy</v>
      </c>
      <c r="G40" s="341" t="str">
        <f t="shared" si="6"/>
        <v>Yes</v>
      </c>
      <c r="H40" s="341" t="str">
        <f t="shared" si="7"/>
        <v>Yes</v>
      </c>
      <c r="I40" s="446">
        <f>SUMIF('Diags Raw Data'!$A$7:$A$3645,"*"&amp;$A40&amp;"*",'Diags Raw Data'!$K$7:$K$3645)</f>
        <v>1</v>
      </c>
      <c r="J40" s="448">
        <f>SUMIF('Diags Raw Data'!$A$7:$A$3645,"*"&amp;$A40&amp;"*",'Diags Raw Data'!$L$7:$L$3645)</f>
        <v>1</v>
      </c>
      <c r="K40" s="494" cm="1">
        <f t="array" ref="K40">IF(D40="",0, SUMPRODUCT(--(ISNUMBER(SEARCH($A40,'Diags Raw Data'!$A$7:$A$3645))),'Diags Raw Data'!$L$7:$L$3645,'Diags Raw Data'!$N$7:$N$3645)/J40)</f>
        <v>1</v>
      </c>
      <c r="L40" s="495" cm="1">
        <f t="array" ref="L40">IF(D40="",0, SUMPRODUCT(--(ISNUMBER(SEARCH($A40,'Diags Raw Data'!$A$7:$A$3645))),'Diags Raw Data'!$L$7:$L$3645,'Diags Raw Data'!$P$7:$P$3645)/J40)</f>
        <v>1</v>
      </c>
      <c r="M40" s="496" cm="1">
        <f t="array" ref="M40">SUMPRODUCT(--(ISNUMBER(SEARCH($A40,'Diags Raw Data'!$A$7:$A$3645))),--('Diags Raw Data'!$Q$7:$Q$3645&lt;&gt;"N/A"),'Diags Raw Data'!$R$7:$R$3645)</f>
        <v>1</v>
      </c>
      <c r="N40" s="497" cm="1">
        <f t="array" ref="N40">SUMPRODUCT(--(ISNUMBER(SEARCH($A40,'Diags Raw Data'!$A$7:$A$3645))),--('Diags Raw Data'!$Q$7:$Q$3645&lt;&gt;"N/A"),'Diags Raw Data'!$T$7:$T$3645)+SUMPRODUCT(--(ISNUMBER(SEARCH($A40,'Diags Raw Data'!$A$7:$A$3645))),--('Diags Raw Data'!$Q$7:$Q$3645&lt;&gt;"N/A"),'Diags Raw Data'!$U$7:$U$3645)</f>
        <v>1</v>
      </c>
      <c r="O40" s="498">
        <f t="shared" si="2"/>
        <v>1</v>
      </c>
      <c r="P40" s="499">
        <f>SUMIF('Diags Raw Data'!$A$7:$A$3645,"*"&amp;$A40&amp;"*",'Diags Raw Data'!$Z$7:$Z$3645)</f>
        <v>1</v>
      </c>
      <c r="Q40" s="500">
        <f>SUM(SUMIF('Diags Raw Data'!$A$7:$A$3645,"*"&amp;$A40&amp;"*",'Diags Raw Data'!$AA$7:$AA$3645),SUMIF('Diags Raw Data'!$A$7:$A$3645,"*"&amp;$A40&amp;"*",'Diags Raw Data'!$AB$7:$AB$3645))</f>
        <v>1</v>
      </c>
      <c r="R40" s="501">
        <f t="shared" si="3"/>
        <v>1</v>
      </c>
      <c r="S40" s="501">
        <f t="shared" si="4"/>
        <v>1</v>
      </c>
      <c r="T40" s="502">
        <f t="shared" si="5"/>
        <v>1</v>
      </c>
      <c r="U40" s="449" t="s">
        <v>437</v>
      </c>
      <c r="V40" s="181"/>
    </row>
    <row r="41" spans="1:23" x14ac:dyDescent="0.25">
      <c r="A41" s="336" t="s">
        <v>380</v>
      </c>
      <c r="B41" s="445" t="str">
        <f>VLOOKUP(A41,'Feature Raw Data'!$A$3:$B$3985,2,FALSE)</f>
        <v>Performance and BW validation</v>
      </c>
      <c r="C41" s="446" t="str">
        <f>VLOOKUP(A41,'Feature Raw Data'!$A$3:$C$3985,3,FALSE)</f>
        <v>p2</v>
      </c>
      <c r="D41" s="447" t="str" cm="1">
        <f t="array" ref="D41">_xlfn.TEXTJOIN("",TRUE,IF(ISNUMBER(SEARCH($A41,'Diags Raw Data'!$A$7:$A$3645)),CONCATENATE('Diags Raw Data'!$H$7:$H$3645,", "),""))</f>
        <v xml:space="preserve">mall.throughput.1x4, </v>
      </c>
      <c r="E41" s="341" t="str">
        <f>VLOOKUP(A41,'Diags Raw Data'!$A$7:$D$3645,4,FALSE)</f>
        <v>MALL</v>
      </c>
      <c r="F41" s="341" t="str">
        <f>VLOOKUP(A41,'Feature Raw Data'!$A$3:$E$3985,5,FALSE)</f>
        <v>Legacy</v>
      </c>
      <c r="G41" s="341" t="str">
        <f t="shared" si="6"/>
        <v>Yes</v>
      </c>
      <c r="H41" s="341" t="str">
        <f t="shared" si="7"/>
        <v>Yes</v>
      </c>
      <c r="I41" s="446">
        <f>SUMIF('Diags Raw Data'!$A$7:$A$3645,"*"&amp;$A41&amp;"*",'Diags Raw Data'!$K$7:$K$3645)</f>
        <v>1</v>
      </c>
      <c r="J41" s="448">
        <f>SUMIF('Diags Raw Data'!$A$7:$A$3645,"*"&amp;$A41&amp;"*",'Diags Raw Data'!$L$7:$L$3645)</f>
        <v>1</v>
      </c>
      <c r="K41" s="494" cm="1">
        <f t="array" ref="K41">IF(D41="",0, SUMPRODUCT(--(ISNUMBER(SEARCH($A41,'Diags Raw Data'!$A$7:$A$3645))),'Diags Raw Data'!$L$7:$L$3645,'Diags Raw Data'!$N$7:$N$3645)/J41)</f>
        <v>1</v>
      </c>
      <c r="L41" s="495" cm="1">
        <f t="array" ref="L41">IF(D41="",0, SUMPRODUCT(--(ISNUMBER(SEARCH($A41,'Diags Raw Data'!$A$7:$A$3645))),'Diags Raw Data'!$L$7:$L$3645,'Diags Raw Data'!$P$7:$P$3645)/J41)</f>
        <v>1</v>
      </c>
      <c r="M41" s="496" cm="1">
        <f t="array" ref="M41">SUMPRODUCT(--(ISNUMBER(SEARCH($A41,'Diags Raw Data'!$A$7:$A$3645))),--('Diags Raw Data'!$Q$7:$Q$3645&lt;&gt;"N/A"),'Diags Raw Data'!$R$7:$R$3645)</f>
        <v>1</v>
      </c>
      <c r="N41" s="497" cm="1">
        <f t="array" ref="N41">SUMPRODUCT(--(ISNUMBER(SEARCH($A41,'Diags Raw Data'!$A$7:$A$3645))),--('Diags Raw Data'!$Q$7:$Q$3645&lt;&gt;"N/A"),'Diags Raw Data'!$T$7:$T$3645)+SUMPRODUCT(--(ISNUMBER(SEARCH($A41,'Diags Raw Data'!$A$7:$A$3645))),--('Diags Raw Data'!$Q$7:$Q$3645&lt;&gt;"N/A"),'Diags Raw Data'!$U$7:$U$3645)</f>
        <v>1</v>
      </c>
      <c r="O41" s="498">
        <f t="shared" si="2"/>
        <v>1</v>
      </c>
      <c r="P41" s="499">
        <f>SUMIF('Diags Raw Data'!$A$7:$A$3645,"*"&amp;$A41&amp;"*",'Diags Raw Data'!$Z$7:$Z$3645)</f>
        <v>1</v>
      </c>
      <c r="Q41" s="500">
        <f>SUM(SUMIF('Diags Raw Data'!$A$7:$A$3645,"*"&amp;$A41&amp;"*",'Diags Raw Data'!$AA$7:$AA$3645),SUMIF('Diags Raw Data'!$A$7:$A$3645,"*"&amp;$A41&amp;"*",'Diags Raw Data'!$AB$7:$AB$3645))</f>
        <v>1</v>
      </c>
      <c r="R41" s="501">
        <f t="shared" si="3"/>
        <v>1</v>
      </c>
      <c r="S41" s="501">
        <f t="shared" si="4"/>
        <v>1</v>
      </c>
      <c r="T41" s="502">
        <f t="shared" si="5"/>
        <v>1</v>
      </c>
      <c r="U41" s="449" t="s">
        <v>437</v>
      </c>
      <c r="V41" s="181"/>
    </row>
    <row r="42" spans="1:23" x14ac:dyDescent="0.25">
      <c r="A42" s="336" t="s">
        <v>382</v>
      </c>
      <c r="B42" s="445" t="str">
        <f>VLOOKUP(A42,'Feature Raw Data'!$A$3:$B$3985,2,FALSE)</f>
        <v>MALL fill test</v>
      </c>
      <c r="C42" s="446" t="str">
        <f>VLOOKUP(A42,'Feature Raw Data'!$A$3:$C$3985,3,FALSE)</f>
        <v>p1</v>
      </c>
      <c r="D42" s="447" t="str" cm="1">
        <f t="array" ref="D42">_xlfn.TEXTJOIN("",TRUE,IF(ISNUMBER(SEARCH($A42,'Diags Raw Data'!$A$7:$A$3645)),CONCATENATE('Diags Raw Data'!$H$7:$H$3645,", "),""))</f>
        <v xml:space="preserve">mall.fill.1, </v>
      </c>
      <c r="E42" s="341" t="str">
        <f>VLOOKUP(A42,'Diags Raw Data'!$A$7:$D$3645,4,FALSE)</f>
        <v>MALL</v>
      </c>
      <c r="F42" s="341" t="str">
        <f>VLOOKUP(A42,'Feature Raw Data'!$A$3:$E$3985,5,FALSE)</f>
        <v>Legacy</v>
      </c>
      <c r="G42" s="341" t="str">
        <f t="shared" si="6"/>
        <v>Yes</v>
      </c>
      <c r="H42" s="341" t="str">
        <f t="shared" si="7"/>
        <v>Yes</v>
      </c>
      <c r="I42" s="446">
        <f>SUMIF('Diags Raw Data'!$A$7:$A$3645,"*"&amp;$A42&amp;"*",'Diags Raw Data'!$K$7:$K$3645)</f>
        <v>1</v>
      </c>
      <c r="J42" s="448">
        <f>SUMIF('Diags Raw Data'!$A$7:$A$3645,"*"&amp;$A42&amp;"*",'Diags Raw Data'!$L$7:$L$3645)</f>
        <v>1</v>
      </c>
      <c r="K42" s="494" cm="1">
        <f t="array" ref="K42">IF(D42="",0, SUMPRODUCT(--(ISNUMBER(SEARCH($A42,'Diags Raw Data'!$A$7:$A$3645))),'Diags Raw Data'!$L$7:$L$3645,'Diags Raw Data'!$N$7:$N$3645)/J42)</f>
        <v>1</v>
      </c>
      <c r="L42" s="495" cm="1">
        <f t="array" ref="L42">IF(D42="",0, SUMPRODUCT(--(ISNUMBER(SEARCH($A42,'Diags Raw Data'!$A$7:$A$3645))),'Diags Raw Data'!$L$7:$L$3645,'Diags Raw Data'!$P$7:$P$3645)/J42)</f>
        <v>1</v>
      </c>
      <c r="M42" s="496" cm="1">
        <f t="array" ref="M42">SUMPRODUCT(--(ISNUMBER(SEARCH($A42,'Diags Raw Data'!$A$7:$A$3645))),--('Diags Raw Data'!$Q$7:$Q$3645&lt;&gt;"N/A"),'Diags Raw Data'!$R$7:$R$3645)</f>
        <v>1</v>
      </c>
      <c r="N42" s="497" cm="1">
        <f t="array" ref="N42">SUMPRODUCT(--(ISNUMBER(SEARCH($A42,'Diags Raw Data'!$A$7:$A$3645))),--('Diags Raw Data'!$Q$7:$Q$3645&lt;&gt;"N/A"),'Diags Raw Data'!$T$7:$T$3645)+SUMPRODUCT(--(ISNUMBER(SEARCH($A42,'Diags Raw Data'!$A$7:$A$3645))),--('Diags Raw Data'!$Q$7:$Q$3645&lt;&gt;"N/A"),'Diags Raw Data'!$U$7:$U$3645)</f>
        <v>1</v>
      </c>
      <c r="O42" s="498">
        <f t="shared" si="2"/>
        <v>1</v>
      </c>
      <c r="P42" s="499">
        <f>SUMIF('Diags Raw Data'!$A$7:$A$3645,"*"&amp;$A42&amp;"*",'Diags Raw Data'!$Z$7:$Z$3645)</f>
        <v>1</v>
      </c>
      <c r="Q42" s="500">
        <f>SUM(SUMIF('Diags Raw Data'!$A$7:$A$3645,"*"&amp;$A42&amp;"*",'Diags Raw Data'!$AA$7:$AA$3645),SUMIF('Diags Raw Data'!$A$7:$A$3645,"*"&amp;$A42&amp;"*",'Diags Raw Data'!$AB$7:$AB$3645))</f>
        <v>1</v>
      </c>
      <c r="R42" s="501">
        <f t="shared" si="3"/>
        <v>1</v>
      </c>
      <c r="S42" s="501">
        <f t="shared" si="4"/>
        <v>1</v>
      </c>
      <c r="T42" s="502">
        <f t="shared" si="5"/>
        <v>1</v>
      </c>
      <c r="U42" s="449" t="s">
        <v>435</v>
      </c>
      <c r="V42" s="181"/>
    </row>
    <row r="43" spans="1:23" ht="15.75" thickBot="1" x14ac:dyDescent="0.3">
      <c r="A43" s="386"/>
      <c r="B43" s="416"/>
      <c r="C43" s="340"/>
      <c r="D43" s="82"/>
      <c r="E43" s="180"/>
      <c r="F43" s="180"/>
      <c r="G43" s="180"/>
      <c r="H43" s="180"/>
      <c r="I43" s="340"/>
      <c r="J43" s="193"/>
      <c r="K43" s="503"/>
      <c r="L43" s="504"/>
      <c r="M43" s="505"/>
      <c r="N43" s="506"/>
      <c r="O43" s="507"/>
      <c r="P43" s="508"/>
      <c r="Q43" s="509"/>
      <c r="R43" s="510"/>
      <c r="S43" s="510"/>
      <c r="T43" s="511"/>
      <c r="U43" s="387"/>
      <c r="V43" s="181"/>
    </row>
    <row r="44" spans="1:23" ht="15.75" thickBot="1" x14ac:dyDescent="0.3">
      <c r="A44" s="386"/>
      <c r="B44" s="416"/>
      <c r="C44" s="340"/>
      <c r="D44" s="82"/>
      <c r="E44" s="180"/>
      <c r="F44" s="180"/>
      <c r="G44" s="180"/>
      <c r="H44" s="180"/>
      <c r="I44" s="340"/>
      <c r="J44" s="193"/>
      <c r="K44" s="503"/>
      <c r="L44" s="504"/>
      <c r="M44" s="505"/>
      <c r="N44" s="506"/>
      <c r="O44" s="507"/>
      <c r="P44" s="508"/>
      <c r="Q44" s="509"/>
      <c r="R44" s="510"/>
      <c r="S44" s="510"/>
      <c r="T44" s="511"/>
      <c r="U44" s="387"/>
      <c r="V44" s="181"/>
    </row>
    <row r="45" spans="1:23" ht="15.75" thickBot="1" x14ac:dyDescent="0.3">
      <c r="A45" s="394"/>
      <c r="B45" s="417"/>
      <c r="C45" s="395"/>
      <c r="D45" s="396"/>
      <c r="E45" s="397"/>
      <c r="F45" s="397"/>
      <c r="G45" s="397"/>
      <c r="H45" s="397"/>
      <c r="I45" s="395"/>
      <c r="J45" s="398"/>
      <c r="K45" s="512"/>
      <c r="L45" s="513"/>
      <c r="M45" s="514"/>
      <c r="N45" s="515"/>
      <c r="O45" s="516"/>
      <c r="P45" s="517"/>
      <c r="Q45" s="518"/>
      <c r="R45" s="519"/>
      <c r="S45" s="519"/>
      <c r="T45" s="520"/>
      <c r="U45" s="399"/>
      <c r="V45" s="181"/>
    </row>
    <row r="46" spans="1:23" ht="15.75" thickBot="1" x14ac:dyDescent="0.3">
      <c r="A46" s="652" t="s">
        <v>456</v>
      </c>
      <c r="B46" s="737"/>
      <c r="C46" s="737"/>
      <c r="D46" s="737"/>
      <c r="E46" s="737"/>
      <c r="F46" s="737"/>
      <c r="G46" s="737"/>
      <c r="H46" s="737"/>
      <c r="I46" s="737"/>
      <c r="J46" s="737"/>
      <c r="K46" s="737"/>
      <c r="L46" s="737"/>
      <c r="M46" s="737"/>
      <c r="N46" s="737"/>
      <c r="O46" s="737"/>
      <c r="P46" s="737"/>
      <c r="Q46" s="737"/>
      <c r="R46" s="737"/>
      <c r="S46" s="737"/>
      <c r="T46" s="737"/>
      <c r="U46" s="738"/>
      <c r="V46" s="181"/>
    </row>
    <row r="47" spans="1:23" ht="15.75" thickBot="1" x14ac:dyDescent="0.3">
      <c r="A47" s="739"/>
      <c r="B47" s="740"/>
      <c r="C47" s="740"/>
      <c r="D47" s="740"/>
      <c r="E47" s="740"/>
      <c r="F47" s="740"/>
      <c r="G47" s="740"/>
      <c r="H47" s="740"/>
      <c r="I47" s="740"/>
      <c r="J47" s="740"/>
      <c r="K47" s="740"/>
      <c r="L47" s="740"/>
      <c r="M47" s="740"/>
      <c r="N47" s="740"/>
      <c r="O47" s="740"/>
      <c r="P47" s="740"/>
      <c r="Q47" s="740"/>
      <c r="R47" s="740"/>
      <c r="S47" s="740"/>
      <c r="T47" s="740"/>
      <c r="U47" s="741"/>
      <c r="V47" s="181"/>
    </row>
    <row r="48" spans="1:23" s="187" customFormat="1" ht="18.75" x14ac:dyDescent="0.25">
      <c r="A48" s="690" t="s">
        <v>305</v>
      </c>
      <c r="B48" s="691"/>
      <c r="C48" s="691"/>
      <c r="D48" s="691"/>
      <c r="E48" s="691"/>
      <c r="F48" s="692"/>
      <c r="G48" s="408">
        <f>COUNTIF(G7:G45,"Yes")</f>
        <v>28</v>
      </c>
      <c r="H48" s="408">
        <f>COUNTIF(H7:H45,"Yes")</f>
        <v>23</v>
      </c>
      <c r="I48" s="688">
        <f>'Diags Raw Data'!K35</f>
        <v>23</v>
      </c>
      <c r="J48" s="724">
        <f>'Diags Raw Data'!L35</f>
        <v>30</v>
      </c>
      <c r="K48" s="714">
        <f>'Diags Raw Data'!N35</f>
        <v>1</v>
      </c>
      <c r="L48" s="716">
        <f>'Diags Raw Data'!P35</f>
        <v>0.89130434782608692</v>
      </c>
      <c r="M48" s="718">
        <f>'Diags Raw Data'!R35</f>
        <v>27</v>
      </c>
      <c r="N48" s="710">
        <f>SUM('Diags Raw Data'!T35+'Diags Raw Data'!U35)</f>
        <v>17</v>
      </c>
      <c r="O48" s="742">
        <f>IF((M48=0),0,N48/M48)</f>
        <v>0.62962962962962965</v>
      </c>
      <c r="P48" s="744">
        <f>'Diags Raw Data'!Z35</f>
        <v>23</v>
      </c>
      <c r="Q48" s="700">
        <f>SUM('Diags Raw Data'!AA35+'Diags Raw Data'!AB35)</f>
        <v>23</v>
      </c>
      <c r="R48" s="720">
        <f>IF((J48=0),0,P48/J48)</f>
        <v>0.76666666666666672</v>
      </c>
      <c r="S48" s="720">
        <f>IF((P48=0),0,Q48/P48)</f>
        <v>1</v>
      </c>
      <c r="T48" s="720">
        <f>R48*S48</f>
        <v>0.76666666666666672</v>
      </c>
      <c r="U48" s="722"/>
      <c r="V48" s="186"/>
    </row>
    <row r="49" spans="1:22" ht="19.5" thickBot="1" x14ac:dyDescent="0.3">
      <c r="A49" s="693"/>
      <c r="B49" s="694"/>
      <c r="C49" s="694"/>
      <c r="D49" s="694"/>
      <c r="E49" s="694"/>
      <c r="F49" s="695"/>
      <c r="G49" s="409">
        <f>COUNTIF(G7:G45,"Yes")/COUNTA(A7:A45)</f>
        <v>0.77777777777777779</v>
      </c>
      <c r="H49" s="409">
        <f>(COUNTIF(H7:H45,"Yes")/G48)</f>
        <v>0.8214285714285714</v>
      </c>
      <c r="I49" s="689"/>
      <c r="J49" s="725"/>
      <c r="K49" s="715"/>
      <c r="L49" s="717"/>
      <c r="M49" s="719"/>
      <c r="N49" s="711"/>
      <c r="O49" s="743"/>
      <c r="P49" s="745"/>
      <c r="Q49" s="701"/>
      <c r="R49" s="721"/>
      <c r="S49" s="721"/>
      <c r="T49" s="721"/>
      <c r="U49" s="723"/>
      <c r="V49" s="181"/>
    </row>
    <row r="50" spans="1:22" x14ac:dyDescent="0.25">
      <c r="A50" s="188"/>
      <c r="B50" s="189"/>
      <c r="C50" s="189"/>
      <c r="D50" s="188"/>
      <c r="E50" s="189"/>
      <c r="F50" s="189"/>
      <c r="G50" s="390"/>
      <c r="H50" s="189"/>
      <c r="I50" s="400"/>
      <c r="J50" s="400"/>
      <c r="K50" s="194"/>
      <c r="L50" s="194"/>
      <c r="M50" s="195"/>
      <c r="N50" s="195"/>
      <c r="O50" s="194"/>
      <c r="P50" s="191"/>
      <c r="Q50" s="191"/>
      <c r="R50" s="198"/>
      <c r="S50" s="198"/>
      <c r="T50" s="199"/>
      <c r="U50" s="188"/>
    </row>
  </sheetData>
  <sheetProtection insertColumns="0" insertRows="0" deleteRows="0" sort="0"/>
  <autoFilter ref="A6:U49" xr:uid="{00000000-0009-0000-0000-000004000000}"/>
  <mergeCells count="36">
    <mergeCell ref="K5:L5"/>
    <mergeCell ref="A5:J5"/>
    <mergeCell ref="M5:O5"/>
    <mergeCell ref="P5:U5"/>
    <mergeCell ref="A48:F49"/>
    <mergeCell ref="A46:U47"/>
    <mergeCell ref="O48:O49"/>
    <mergeCell ref="P48:P49"/>
    <mergeCell ref="N48:N49"/>
    <mergeCell ref="V2:V3"/>
    <mergeCell ref="A4:U4"/>
    <mergeCell ref="K48:K49"/>
    <mergeCell ref="L48:L49"/>
    <mergeCell ref="M48:M49"/>
    <mergeCell ref="T2:T3"/>
    <mergeCell ref="U2:U3"/>
    <mergeCell ref="R2:R3"/>
    <mergeCell ref="S2:S3"/>
    <mergeCell ref="S48:S49"/>
    <mergeCell ref="T48:T49"/>
    <mergeCell ref="U48:U49"/>
    <mergeCell ref="Q48:Q49"/>
    <mergeCell ref="R48:R49"/>
    <mergeCell ref="I48:I49"/>
    <mergeCell ref="J48:J49"/>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457</v>
      </c>
      <c r="C1" s="36" t="s">
        <v>458</v>
      </c>
      <c r="D1" s="36" t="s">
        <v>459</v>
      </c>
      <c r="E1" s="36" t="s">
        <v>460</v>
      </c>
      <c r="F1" s="36" t="s">
        <v>461</v>
      </c>
      <c r="G1" s="37" t="s">
        <v>462</v>
      </c>
      <c r="H1" s="12"/>
      <c r="I1" s="12"/>
      <c r="J1" s="12"/>
      <c r="K1" s="12"/>
      <c r="L1" s="13"/>
      <c r="M1" s="1"/>
      <c r="N1" s="11"/>
      <c r="X1" s="11"/>
      <c r="AB1" s="746" t="s">
        <v>463</v>
      </c>
      <c r="AM1" s="746" t="s">
        <v>464</v>
      </c>
    </row>
    <row r="2" spans="1:40" s="14" customFormat="1" ht="12" x14ac:dyDescent="0.2">
      <c r="A2" s="35" t="s">
        <v>465</v>
      </c>
      <c r="B2" s="15">
        <v>42994</v>
      </c>
      <c r="C2" s="15">
        <v>43190</v>
      </c>
      <c r="D2" s="16" t="e">
        <f>#REF!</f>
        <v>#REF!</v>
      </c>
      <c r="E2" s="16" t="e">
        <f>#REF!</f>
        <v>#REF!</v>
      </c>
      <c r="F2" s="16">
        <f>(C2-B2)/7</f>
        <v>28</v>
      </c>
      <c r="G2" s="17" t="e">
        <f>E2/F2</f>
        <v>#REF!</v>
      </c>
      <c r="H2" s="18"/>
      <c r="I2" s="18"/>
      <c r="J2" s="18"/>
      <c r="K2" s="18"/>
      <c r="L2" s="19"/>
      <c r="M2" s="20"/>
      <c r="N2" s="21"/>
      <c r="X2" s="21"/>
      <c r="AB2" s="747"/>
      <c r="AM2" s="74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48" t="s">
        <v>466</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49"/>
      <c r="B5" s="47" t="s">
        <v>467</v>
      </c>
      <c r="C5" s="47" t="s">
        <v>468</v>
      </c>
      <c r="D5" s="47" t="s">
        <v>469</v>
      </c>
      <c r="E5" s="47" t="s">
        <v>470</v>
      </c>
      <c r="F5" s="47" t="s">
        <v>471</v>
      </c>
      <c r="G5" s="47" t="s">
        <v>472</v>
      </c>
      <c r="H5" s="47" t="s">
        <v>473</v>
      </c>
      <c r="I5" s="47" t="s">
        <v>474</v>
      </c>
      <c r="J5" s="47" t="s">
        <v>475</v>
      </c>
      <c r="K5" s="47" t="s">
        <v>476</v>
      </c>
      <c r="L5" s="47" t="s">
        <v>477</v>
      </c>
      <c r="M5" s="47" t="s">
        <v>478</v>
      </c>
      <c r="N5" s="47" t="s">
        <v>479</v>
      </c>
      <c r="O5" s="47" t="s">
        <v>480</v>
      </c>
      <c r="P5" s="47" t="s">
        <v>481</v>
      </c>
      <c r="Q5" s="47" t="s">
        <v>482</v>
      </c>
      <c r="R5" s="47" t="s">
        <v>483</v>
      </c>
      <c r="S5" s="47" t="s">
        <v>484</v>
      </c>
      <c r="T5" s="47" t="s">
        <v>485</v>
      </c>
      <c r="U5" s="47" t="s">
        <v>486</v>
      </c>
      <c r="V5" s="47" t="s">
        <v>487</v>
      </c>
      <c r="W5" s="47" t="s">
        <v>488</v>
      </c>
      <c r="X5" s="47" t="s">
        <v>489</v>
      </c>
      <c r="Y5" s="47" t="s">
        <v>490</v>
      </c>
      <c r="Z5" s="47" t="s">
        <v>491</v>
      </c>
      <c r="AA5" s="47" t="s">
        <v>492</v>
      </c>
      <c r="AB5" s="47" t="s">
        <v>493</v>
      </c>
      <c r="AC5" s="47" t="s">
        <v>494</v>
      </c>
      <c r="AD5" s="47" t="s">
        <v>495</v>
      </c>
      <c r="AE5" s="47" t="s">
        <v>496</v>
      </c>
      <c r="AF5" s="47" t="s">
        <v>497</v>
      </c>
      <c r="AG5" s="47" t="s">
        <v>498</v>
      </c>
      <c r="AH5" s="47" t="s">
        <v>499</v>
      </c>
      <c r="AI5" s="47" t="s">
        <v>500</v>
      </c>
      <c r="AJ5" s="47" t="s">
        <v>501</v>
      </c>
      <c r="AK5" s="47" t="s">
        <v>502</v>
      </c>
      <c r="AL5" s="66" t="s">
        <v>503</v>
      </c>
      <c r="AM5" s="65" t="s">
        <v>504</v>
      </c>
      <c r="AN5" s="50"/>
    </row>
    <row r="6" spans="1:40" ht="12" x14ac:dyDescent="0.2">
      <c r="A6" s="48" t="s">
        <v>505</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506</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48" t="s">
        <v>507</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50"/>
      <c r="B10" s="32" t="s">
        <v>467</v>
      </c>
      <c r="C10" s="32" t="s">
        <v>468</v>
      </c>
      <c r="D10" s="32" t="s">
        <v>469</v>
      </c>
      <c r="E10" s="32" t="s">
        <v>470</v>
      </c>
      <c r="F10" s="32" t="s">
        <v>471</v>
      </c>
      <c r="G10" s="32" t="s">
        <v>472</v>
      </c>
      <c r="H10" s="32" t="s">
        <v>473</v>
      </c>
      <c r="I10" s="32" t="s">
        <v>474</v>
      </c>
      <c r="J10" s="32" t="s">
        <v>475</v>
      </c>
      <c r="K10" s="32" t="s">
        <v>476</v>
      </c>
      <c r="L10" s="32" t="s">
        <v>477</v>
      </c>
      <c r="M10" s="32" t="s">
        <v>478</v>
      </c>
      <c r="N10" s="32" t="s">
        <v>479</v>
      </c>
      <c r="O10" s="32" t="s">
        <v>480</v>
      </c>
      <c r="P10" s="32" t="s">
        <v>481</v>
      </c>
      <c r="Q10" s="32" t="s">
        <v>482</v>
      </c>
      <c r="R10" s="32" t="s">
        <v>483</v>
      </c>
      <c r="S10" s="32" t="s">
        <v>484</v>
      </c>
      <c r="T10" s="32" t="s">
        <v>485</v>
      </c>
      <c r="U10" s="32" t="s">
        <v>486</v>
      </c>
      <c r="V10" s="32" t="s">
        <v>487</v>
      </c>
      <c r="W10" s="32" t="s">
        <v>488</v>
      </c>
      <c r="X10" s="32" t="s">
        <v>489</v>
      </c>
      <c r="Y10" s="32" t="s">
        <v>490</v>
      </c>
      <c r="Z10" s="32" t="s">
        <v>491</v>
      </c>
      <c r="AA10" s="32" t="s">
        <v>492</v>
      </c>
      <c r="AB10" s="32" t="s">
        <v>493</v>
      </c>
      <c r="AC10" s="32" t="s">
        <v>494</v>
      </c>
      <c r="AD10" s="32" t="s">
        <v>495</v>
      </c>
      <c r="AE10" s="32" t="s">
        <v>496</v>
      </c>
      <c r="AF10" s="32" t="s">
        <v>497</v>
      </c>
      <c r="AG10" s="32" t="s">
        <v>498</v>
      </c>
      <c r="AH10" s="32" t="s">
        <v>499</v>
      </c>
      <c r="AI10" s="32" t="s">
        <v>500</v>
      </c>
      <c r="AJ10" s="64" t="s">
        <v>501</v>
      </c>
      <c r="AK10" s="63" t="s">
        <v>502</v>
      </c>
      <c r="AL10" s="47" t="s">
        <v>503</v>
      </c>
      <c r="AM10" s="72" t="s">
        <v>504</v>
      </c>
      <c r="AN10" s="68"/>
    </row>
    <row r="11" spans="1:40" x14ac:dyDescent="0.25">
      <c r="A11" s="42" t="s">
        <v>505</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506</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508</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509</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C15" sqref="C1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751" t="s">
        <v>510</v>
      </c>
      <c r="B1" s="752"/>
      <c r="C1" s="752"/>
      <c r="D1" s="752"/>
      <c r="E1" s="752"/>
      <c r="F1" s="752"/>
      <c r="G1" s="752"/>
      <c r="H1" s="752"/>
      <c r="I1" s="752"/>
      <c r="J1" s="752"/>
      <c r="K1" s="752"/>
      <c r="L1" s="752"/>
      <c r="M1" s="752"/>
      <c r="N1" s="752"/>
      <c r="O1" s="752"/>
      <c r="P1" s="752"/>
      <c r="Q1" s="752"/>
      <c r="R1" s="752"/>
      <c r="S1" s="752"/>
      <c r="T1" s="752"/>
      <c r="U1" s="752"/>
      <c r="V1" s="753"/>
    </row>
    <row r="2" spans="1:22" ht="15.75" thickBot="1" x14ac:dyDescent="0.3">
      <c r="A2" s="217" t="s">
        <v>511</v>
      </c>
      <c r="B2" s="754" t="s">
        <v>183</v>
      </c>
      <c r="C2" s="754"/>
      <c r="D2" s="754"/>
      <c r="E2" s="754"/>
      <c r="F2" s="754"/>
      <c r="G2" s="755" t="s">
        <v>194</v>
      </c>
      <c r="H2" s="756"/>
      <c r="I2" s="756"/>
      <c r="J2" s="756"/>
      <c r="K2" s="756"/>
      <c r="L2" s="756"/>
      <c r="M2" s="756"/>
      <c r="N2" s="757"/>
      <c r="O2" s="758" t="s">
        <v>161</v>
      </c>
      <c r="P2" s="759"/>
      <c r="Q2" s="759"/>
      <c r="R2" s="759"/>
      <c r="S2" s="759"/>
      <c r="T2" s="759"/>
      <c r="U2" s="759"/>
      <c r="V2" s="760"/>
    </row>
    <row r="3" spans="1:22" s="250" customFormat="1" ht="15.75" thickBot="1" x14ac:dyDescent="0.3">
      <c r="A3" s="254" t="s">
        <v>105</v>
      </c>
      <c r="B3" s="311" t="s">
        <v>184</v>
      </c>
      <c r="C3" s="312" t="s">
        <v>145</v>
      </c>
      <c r="D3" s="313" t="s">
        <v>122</v>
      </c>
      <c r="E3" s="313" t="s">
        <v>190</v>
      </c>
      <c r="F3" s="314" t="s">
        <v>192</v>
      </c>
      <c r="G3" s="315" t="s">
        <v>149</v>
      </c>
      <c r="H3" s="316" t="s">
        <v>30</v>
      </c>
      <c r="I3" s="316" t="s">
        <v>152</v>
      </c>
      <c r="J3" s="316" t="s">
        <v>36</v>
      </c>
      <c r="K3" s="316" t="s">
        <v>155</v>
      </c>
      <c r="L3" s="316" t="s">
        <v>201</v>
      </c>
      <c r="M3" s="316" t="s">
        <v>157</v>
      </c>
      <c r="N3" s="317" t="s">
        <v>204</v>
      </c>
      <c r="O3" s="318" t="s">
        <v>149</v>
      </c>
      <c r="P3" s="319" t="s">
        <v>30</v>
      </c>
      <c r="Q3" s="319" t="s">
        <v>152</v>
      </c>
      <c r="R3" s="319" t="s">
        <v>36</v>
      </c>
      <c r="S3" s="319" t="s">
        <v>155</v>
      </c>
      <c r="T3" s="319" t="s">
        <v>201</v>
      </c>
      <c r="U3" s="319" t="s">
        <v>157</v>
      </c>
      <c r="V3" s="320" t="s">
        <v>204</v>
      </c>
    </row>
    <row r="4" spans="1:22" x14ac:dyDescent="0.25">
      <c r="A4" s="333" t="s">
        <v>512</v>
      </c>
      <c r="B4" s="251">
        <f>SUMIFS('Diags Raw Data'!$L$7:$L$4649,'Diags Raw Data'!$D$7:$D$4649,$A4)</f>
        <v>0</v>
      </c>
      <c r="C4" s="241">
        <f>SUMIFS('Diags Raw Data'!$R$7:$R$4649,'Diags Raw Data'!$D$7:$D$4649,$A4)</f>
        <v>0</v>
      </c>
      <c r="D4" s="241">
        <f>SUMIFS('Diags Raw Data'!$K$7:$K$4649,'Diags Raw Data'!$D$7:$D$4649,$A4)</f>
        <v>0</v>
      </c>
      <c r="E4" s="241">
        <f>SUMIFS('Diags Raw Data'!$O$7:$O$4649,'Diags Raw Data'!$D$7:$D$4649,$A4)</f>
        <v>0</v>
      </c>
      <c r="F4" s="247" t="str">
        <f>IF(NOT($B4=0), E4/$B4, "---")</f>
        <v>---</v>
      </c>
      <c r="G4" s="219">
        <f>SUMIFS('Diags Raw Data'!$S$7:$S$4649,'Diags Raw Data'!$D$7:$D$4649,$A4)</f>
        <v>0</v>
      </c>
      <c r="H4" s="220">
        <f>SUMIFS('Diags Raw Data'!$T$7:$T$4649,'Diags Raw Data'!$D$7:$D$4649,$A4)</f>
        <v>0</v>
      </c>
      <c r="I4" s="222">
        <f>SUMIFS('Diags Raw Data'!$U$7:$U$4649,'Diags Raw Data'!$D$7:$D$4649,$A4)</f>
        <v>0</v>
      </c>
      <c r="J4" s="220">
        <f>SUMIFS('Diags Raw Data'!$V$7:$V$4649,'Diags Raw Data'!$D$7:$D$4649,$A4)</f>
        <v>0</v>
      </c>
      <c r="K4" s="222">
        <f>SUMIFS('Diags Raw Data'!$W$7:$W$4649,'Diags Raw Data'!$D$7:$D$4649,$A4)</f>
        <v>0</v>
      </c>
      <c r="L4" s="221" t="str">
        <f>IF(NOT($C4=0), G4/$C4, "---")</f>
        <v>---</v>
      </c>
      <c r="M4" s="223" t="str">
        <f>IF(NOT($G4=0), (H4+I4)/$G4, "---")</f>
        <v>---</v>
      </c>
      <c r="N4" s="225" t="str">
        <f>IF(NOT($C4=0), (H4+I4)/$C4, "---")</f>
        <v>---</v>
      </c>
      <c r="O4" s="212">
        <f>SUMIFS('Diags Raw Data'!$Z$7:$Z$4649,'Diags Raw Data'!$D$7:$D$4649,$A4)</f>
        <v>0</v>
      </c>
      <c r="P4" s="209">
        <f>SUMIFS('Diags Raw Data'!$AA$7:$AA$4649,'Diags Raw Data'!$D$7:$D$4649,$A4)</f>
        <v>0</v>
      </c>
      <c r="Q4" s="211">
        <f>SUMIFS('Diags Raw Data'!$AB$7:$AB$4649,'Diags Raw Data'!$D$7:$D$4649,$A4)</f>
        <v>0</v>
      </c>
      <c r="R4" s="209">
        <f>SUMIFS('Diags Raw Data'!$AC$7:$AC$4649,'Diags Raw Data'!$D$7:$D$4649,$A4)</f>
        <v>0</v>
      </c>
      <c r="S4" s="211">
        <f>SUMIFS('Diags Raw Data'!$AD$7:$AD$4649,'Diags Raw Data'!$D$7:$D$4649,$A4)</f>
        <v>0</v>
      </c>
      <c r="T4" s="210" t="str">
        <f>IF(NOT($B4=0), O4/$B4, "---")</f>
        <v>---</v>
      </c>
      <c r="U4" s="224" t="str">
        <f>IF(NOT($O4=0), (P4+Q4)/$O4, "---")</f>
        <v>---</v>
      </c>
      <c r="V4" s="240" t="str">
        <f>IF(NOT($B4=0), (P4+Q4)/$B4, "---")</f>
        <v>---</v>
      </c>
    </row>
    <row r="5" spans="1:22" x14ac:dyDescent="0.25">
      <c r="A5" s="333" t="s">
        <v>513</v>
      </c>
      <c r="B5" s="252">
        <f>SUMIFS('Diags Raw Data'!$L$7:$L$4649,'Diags Raw Data'!$D$7:$D$4649,$A5)</f>
        <v>0</v>
      </c>
      <c r="C5" s="242">
        <f>SUMIFS('Diags Raw Data'!$R$7:$R$4649,'Diags Raw Data'!$D$7:$D$4649,$A5)</f>
        <v>0</v>
      </c>
      <c r="D5" s="242">
        <f>SUMIFS('Diags Raw Data'!$K$7:$K$4649,'Diags Raw Data'!$D$7:$D$4649,$A5)</f>
        <v>0</v>
      </c>
      <c r="E5" s="242">
        <f>SUMIFS('Diags Raw Data'!$O$7:$O$4649,'Diags Raw Data'!$D$7:$D$4649,$A5)</f>
        <v>0</v>
      </c>
      <c r="F5" s="248" t="str">
        <f t="shared" ref="F5:F12" si="0">IF(NOT($B5=0), E5/$B5, "---")</f>
        <v>---</v>
      </c>
      <c r="G5" s="230">
        <f>SUMIFS('Diags Raw Data'!$S$7:$S$4649,'Diags Raw Data'!$D$7:$D$4649,$A5)</f>
        <v>0</v>
      </c>
      <c r="H5" s="226">
        <f>SUMIFS('Diags Raw Data'!$T$7:$T$4649,'Diags Raw Data'!$D$7:$D$4649,$A5)</f>
        <v>0</v>
      </c>
      <c r="I5" s="227">
        <f>SUMIFS('Diags Raw Data'!$U$7:$U$4649,'Diags Raw Data'!$D$7:$D$4649,$A5)</f>
        <v>0</v>
      </c>
      <c r="J5" s="226">
        <f>SUMIFS('Diags Raw Data'!$V$7:$V$4649,'Diags Raw Data'!$D$7:$D$4649,$A5)</f>
        <v>0</v>
      </c>
      <c r="K5" s="227">
        <f>SUMIFS('Diags Raw Data'!$W$7:$W$4649,'Diags Raw Data'!$D$7:$D$4649,$A5)</f>
        <v>0</v>
      </c>
      <c r="L5" s="243" t="str">
        <f t="shared" ref="L5:L13" si="1">IF(NOT($C5=0), G5/$C5, "---")</f>
        <v>---</v>
      </c>
      <c r="M5" s="228" t="str">
        <f t="shared" ref="M5:M13" si="2">IF(NOT($G5=0), (H5+I5)/$G5, "---")</f>
        <v>---</v>
      </c>
      <c r="N5" s="237" t="str">
        <f t="shared" ref="N5:N12" si="3">IF(NOT($C5=0), (H5+I5)/$C5, "---")</f>
        <v>---</v>
      </c>
      <c r="O5" s="213">
        <f>SUMIFS('Diags Raw Data'!$Z$7:$Z$4649,'Diags Raw Data'!$D$7:$D$4649,$A5)</f>
        <v>0</v>
      </c>
      <c r="P5" s="203">
        <f>SUMIFS('Diags Raw Data'!$AA$7:$AA$4649,'Diags Raw Data'!$D$7:$D$4649,$A5)</f>
        <v>0</v>
      </c>
      <c r="Q5" s="205">
        <f>SUMIFS('Diags Raw Data'!$AB$7:$AB$4649,'Diags Raw Data'!$D$7:$D$4649,$A5)</f>
        <v>0</v>
      </c>
      <c r="R5" s="203">
        <f>SUMIFS('Diags Raw Data'!$AC$7:$AC$4649,'Diags Raw Data'!$D$7:$D$4649,$A5)</f>
        <v>0</v>
      </c>
      <c r="S5" s="205">
        <f>SUMIFS('Diags Raw Data'!$AD$7:$AD$4649,'Diags Raw Data'!$D$7:$D$4649,$A5)</f>
        <v>0</v>
      </c>
      <c r="T5" s="204" t="str">
        <f t="shared" ref="T5:T13" si="4">IF(NOT($B5=0), O5/$B5, "---")</f>
        <v>---</v>
      </c>
      <c r="U5" s="229" t="str">
        <f t="shared" ref="U5:U8" si="5">IF(NOT($O5=0), (P5+Q5)/$O5, "---")</f>
        <v>---</v>
      </c>
      <c r="V5" s="231" t="str">
        <f t="shared" ref="V5:V13" si="6">IF(NOT($B5=0), (P5+Q5)/$B5, "---")</f>
        <v>---</v>
      </c>
    </row>
    <row r="6" spans="1:22" x14ac:dyDescent="0.25">
      <c r="A6" s="333" t="s">
        <v>514</v>
      </c>
      <c r="B6" s="252">
        <f>SUMIFS('Diags Raw Data'!$L$7:$L$4649,'Diags Raw Data'!$D$7:$D$4649,$A6)</f>
        <v>0</v>
      </c>
      <c r="C6" s="242">
        <f>SUMIFS('Diags Raw Data'!$R$7:$R$4649,'Diags Raw Data'!$D$7:$D$4649,$A6)</f>
        <v>0</v>
      </c>
      <c r="D6" s="242">
        <f>SUMIFS('Diags Raw Data'!$K$7:$K$4649,'Diags Raw Data'!$D$7:$D$4649,$A6)</f>
        <v>0</v>
      </c>
      <c r="E6" s="242">
        <f>SUMIFS('Diags Raw Data'!$O$7:$O$4649,'Diags Raw Data'!$D$7:$D$4649,$A6)</f>
        <v>0</v>
      </c>
      <c r="F6" s="248" t="str">
        <f t="shared" si="0"/>
        <v>---</v>
      </c>
      <c r="G6" s="230">
        <f>SUMIFS('Diags Raw Data'!$S$7:$S$4649,'Diags Raw Data'!$D$7:$D$4649,$A6)</f>
        <v>0</v>
      </c>
      <c r="H6" s="226">
        <f>SUMIFS('Diags Raw Data'!$T$7:$T$4649,'Diags Raw Data'!$D$7:$D$4649,$A6)</f>
        <v>0</v>
      </c>
      <c r="I6" s="227">
        <f>SUMIFS('Diags Raw Data'!$U$7:$U$4649,'Diags Raw Data'!$D$7:$D$4649,$A6)</f>
        <v>0</v>
      </c>
      <c r="J6" s="226">
        <f>SUMIFS('Diags Raw Data'!$V$7:$V$4649,'Diags Raw Data'!$D$7:$D$4649,$A6)</f>
        <v>0</v>
      </c>
      <c r="K6" s="227">
        <f>SUMIFS('Diags Raw Data'!$W$7:$W$4649,'Diags Raw Data'!$D$7:$D$4649,$A6)</f>
        <v>0</v>
      </c>
      <c r="L6" s="243" t="str">
        <f t="shared" si="1"/>
        <v>---</v>
      </c>
      <c r="M6" s="228" t="str">
        <f t="shared" si="2"/>
        <v>---</v>
      </c>
      <c r="N6" s="237" t="str">
        <f t="shared" si="3"/>
        <v>---</v>
      </c>
      <c r="O6" s="213">
        <f>SUMIFS('Diags Raw Data'!$Z$7:$Z$4649,'Diags Raw Data'!$D$7:$D$4649,$A6)</f>
        <v>0</v>
      </c>
      <c r="P6" s="203">
        <f>SUMIFS('Diags Raw Data'!$AA$7:$AA$4649,'Diags Raw Data'!$D$7:$D$4649,$A6)</f>
        <v>0</v>
      </c>
      <c r="Q6" s="205">
        <f>SUMIFS('Diags Raw Data'!$AB$7:$AB$4649,'Diags Raw Data'!$D$7:$D$4649,$A6)</f>
        <v>0</v>
      </c>
      <c r="R6" s="203">
        <f>SUMIFS('Diags Raw Data'!$AC$7:$AC$4649,'Diags Raw Data'!$D$7:$D$4649,$A6)</f>
        <v>0</v>
      </c>
      <c r="S6" s="205">
        <f>SUMIFS('Diags Raw Data'!$AD$7:$AD$4649,'Diags Raw Data'!$D$7:$D$4649,$A6)</f>
        <v>0</v>
      </c>
      <c r="T6" s="204" t="str">
        <f t="shared" si="4"/>
        <v>---</v>
      </c>
      <c r="U6" s="229" t="str">
        <f t="shared" si="5"/>
        <v>---</v>
      </c>
      <c r="V6" s="231" t="str">
        <f t="shared" si="6"/>
        <v>---</v>
      </c>
    </row>
    <row r="7" spans="1:22" x14ac:dyDescent="0.25">
      <c r="A7" s="333" t="s">
        <v>515</v>
      </c>
      <c r="B7" s="252">
        <f>SUMIFS('Diags Raw Data'!$L$7:$L$4649,'Diags Raw Data'!$D$7:$D$4649,$A7)</f>
        <v>0</v>
      </c>
      <c r="C7" s="242">
        <f>SUMIFS('Diags Raw Data'!$R$7:$R$4649,'Diags Raw Data'!$D$7:$D$4649,$A7)</f>
        <v>0</v>
      </c>
      <c r="D7" s="242">
        <f>SUMIFS('Diags Raw Data'!$K$7:$K$4649,'Diags Raw Data'!$D$7:$D$4649,$A7)</f>
        <v>0</v>
      </c>
      <c r="E7" s="242">
        <f>SUMIFS('Diags Raw Data'!$O$7:$O$4649,'Diags Raw Data'!$D$7:$D$4649,$A7)</f>
        <v>0</v>
      </c>
      <c r="F7" s="248" t="str">
        <f t="shared" si="0"/>
        <v>---</v>
      </c>
      <c r="G7" s="230">
        <f>SUMIFS('Diags Raw Data'!$S$7:$S$4649,'Diags Raw Data'!$D$7:$D$4649,$A7)</f>
        <v>0</v>
      </c>
      <c r="H7" s="226">
        <f>SUMIFS('Diags Raw Data'!$T$7:$T$4649,'Diags Raw Data'!$D$7:$D$4649,$A7)</f>
        <v>0</v>
      </c>
      <c r="I7" s="227">
        <f>SUMIFS('Diags Raw Data'!$U$7:$U$4649,'Diags Raw Data'!$D$7:$D$4649,$A7)</f>
        <v>0</v>
      </c>
      <c r="J7" s="226">
        <f>SUMIFS('Diags Raw Data'!$V$7:$V$4649,'Diags Raw Data'!$D$7:$D$4649,$A7)</f>
        <v>0</v>
      </c>
      <c r="K7" s="227">
        <f>SUMIFS('Diags Raw Data'!$W$7:$W$4649,'Diags Raw Data'!$D$7:$D$4649,$A7)</f>
        <v>0</v>
      </c>
      <c r="L7" s="243" t="str">
        <f t="shared" si="1"/>
        <v>---</v>
      </c>
      <c r="M7" s="228" t="str">
        <f t="shared" si="2"/>
        <v>---</v>
      </c>
      <c r="N7" s="237" t="str">
        <f t="shared" si="3"/>
        <v>---</v>
      </c>
      <c r="O7" s="213">
        <f>SUMIFS('Diags Raw Data'!$Z$7:$Z$4649,'Diags Raw Data'!$D$7:$D$4649,$A7)</f>
        <v>0</v>
      </c>
      <c r="P7" s="203">
        <f>SUMIFS('Diags Raw Data'!$AA$7:$AA$4649,'Diags Raw Data'!$D$7:$D$4649,$A7)</f>
        <v>0</v>
      </c>
      <c r="Q7" s="205">
        <f>SUMIFS('Diags Raw Data'!$AB$7:$AB$4649,'Diags Raw Data'!$D$7:$D$4649,$A7)</f>
        <v>0</v>
      </c>
      <c r="R7" s="203">
        <f>SUMIFS('Diags Raw Data'!$AC$7:$AC$4649,'Diags Raw Data'!$D$7:$D$4649,$A7)</f>
        <v>0</v>
      </c>
      <c r="S7" s="205">
        <f>SUMIFS('Diags Raw Data'!$AD$7:$AD$4649,'Diags Raw Data'!$D$7:$D$4649,$A7)</f>
        <v>0</v>
      </c>
      <c r="T7" s="204" t="str">
        <f t="shared" si="4"/>
        <v>---</v>
      </c>
      <c r="U7" s="229" t="str">
        <f t="shared" si="5"/>
        <v>---</v>
      </c>
      <c r="V7" s="231" t="str">
        <f t="shared" si="6"/>
        <v>---</v>
      </c>
    </row>
    <row r="8" spans="1:22" x14ac:dyDescent="0.25">
      <c r="A8" s="333" t="s">
        <v>516</v>
      </c>
      <c r="B8" s="252">
        <f>SUMIFS('Diags Raw Data'!$L$7:$L$4649,'Diags Raw Data'!$D$7:$D$4649,$A8)</f>
        <v>0</v>
      </c>
      <c r="C8" s="242">
        <f>SUMIFS('Diags Raw Data'!$R$7:$R$4649,'Diags Raw Data'!$D$7:$D$4649,$A8)</f>
        <v>0</v>
      </c>
      <c r="D8" s="242">
        <f>SUMIFS('Diags Raw Data'!$K$7:$K$4649,'Diags Raw Data'!$D$7:$D$4649,$A8)</f>
        <v>0</v>
      </c>
      <c r="E8" s="242">
        <f>SUMIFS('Diags Raw Data'!$O$7:$O$4649,'Diags Raw Data'!$D$7:$D$4649,$A8)</f>
        <v>0</v>
      </c>
      <c r="F8" s="248" t="str">
        <f t="shared" si="0"/>
        <v>---</v>
      </c>
      <c r="G8" s="230">
        <f>SUMIFS('Diags Raw Data'!$S$7:$S$4649,'Diags Raw Data'!$D$7:$D$4649,$A8)</f>
        <v>0</v>
      </c>
      <c r="H8" s="226">
        <f>SUMIFS('Diags Raw Data'!$T$7:$T$4649,'Diags Raw Data'!$D$7:$D$4649,$A8)</f>
        <v>0</v>
      </c>
      <c r="I8" s="227">
        <f>SUMIFS('Diags Raw Data'!$U$7:$U$4649,'Diags Raw Data'!$D$7:$D$4649,$A8)</f>
        <v>0</v>
      </c>
      <c r="J8" s="226">
        <f>SUMIFS('Diags Raw Data'!$V$7:$V$4649,'Diags Raw Data'!$D$7:$D$4649,$A8)</f>
        <v>0</v>
      </c>
      <c r="K8" s="227">
        <f>SUMIFS('Diags Raw Data'!$W$7:$W$4649,'Diags Raw Data'!$D$7:$D$4649,$A8)</f>
        <v>0</v>
      </c>
      <c r="L8" s="243" t="str">
        <f t="shared" si="1"/>
        <v>---</v>
      </c>
      <c r="M8" s="228" t="str">
        <f t="shared" si="2"/>
        <v>---</v>
      </c>
      <c r="N8" s="237" t="str">
        <f t="shared" si="3"/>
        <v>---</v>
      </c>
      <c r="O8" s="213">
        <f>SUMIFS('Diags Raw Data'!$Z$7:$Z$4649,'Diags Raw Data'!$D$7:$D$4649,$A8)</f>
        <v>0</v>
      </c>
      <c r="P8" s="203">
        <f>SUMIFS('Diags Raw Data'!$AA$7:$AA$4649,'Diags Raw Data'!$D$7:$D$4649,$A8)</f>
        <v>0</v>
      </c>
      <c r="Q8" s="205">
        <f>SUMIFS('Diags Raw Data'!$AB$7:$AB$4649,'Diags Raw Data'!$D$7:$D$4649,$A8)</f>
        <v>0</v>
      </c>
      <c r="R8" s="203">
        <f>SUMIFS('Diags Raw Data'!$AC$7:$AC$4649,'Diags Raw Data'!$D$7:$D$4649,$A8)</f>
        <v>0</v>
      </c>
      <c r="S8" s="205">
        <f>SUMIFS('Diags Raw Data'!$AD$7:$AD$4649,'Diags Raw Data'!$D$7:$D$4649,$A8)</f>
        <v>0</v>
      </c>
      <c r="T8" s="204" t="str">
        <f t="shared" si="4"/>
        <v>---</v>
      </c>
      <c r="U8" s="229" t="str">
        <f t="shared" si="5"/>
        <v>---</v>
      </c>
      <c r="V8" s="231" t="str">
        <f t="shared" si="6"/>
        <v>---</v>
      </c>
    </row>
    <row r="9" spans="1:22" x14ac:dyDescent="0.25">
      <c r="A9" s="333" t="s">
        <v>517</v>
      </c>
      <c r="B9" s="252">
        <f>SUMIFS('Diags Raw Data'!$L$7:$L$4649,'Diags Raw Data'!$D$7:$D$4649,$A9)</f>
        <v>0</v>
      </c>
      <c r="C9" s="242">
        <f>SUMIFS('Diags Raw Data'!$R$7:$R$4649,'Diags Raw Data'!$D$7:$D$4649,$A9)</f>
        <v>0</v>
      </c>
      <c r="D9" s="242">
        <f>SUMIFS('Diags Raw Data'!$K$7:$K$4649,'Diags Raw Data'!$D$7:$D$4649,$A9)</f>
        <v>0</v>
      </c>
      <c r="E9" s="242">
        <f>SUMIFS('Diags Raw Data'!$O$7:$O$4649,'Diags Raw Data'!$D$7:$D$4649,$A9)</f>
        <v>0</v>
      </c>
      <c r="F9" s="248" t="str">
        <f t="shared" si="0"/>
        <v>---</v>
      </c>
      <c r="G9" s="230">
        <f>SUMIFS('Diags Raw Data'!$S$7:$S$4649,'Diags Raw Data'!$D$7:$D$4649,$A9)</f>
        <v>0</v>
      </c>
      <c r="H9" s="226">
        <f>SUMIFS('Diags Raw Data'!$T$7:$T$4649,'Diags Raw Data'!$D$7:$D$4649,$A9)</f>
        <v>0</v>
      </c>
      <c r="I9" s="227">
        <f>SUMIFS('Diags Raw Data'!$U$7:$U$4649,'Diags Raw Data'!$D$7:$D$4649,$A9)</f>
        <v>0</v>
      </c>
      <c r="J9" s="226">
        <f>SUMIFS('Diags Raw Data'!$V$7:$V$4649,'Diags Raw Data'!$D$7:$D$4649,$A9)</f>
        <v>0</v>
      </c>
      <c r="K9" s="227">
        <f>SUMIFS('Diags Raw Data'!$W$7:$W$4649,'Diags Raw Data'!$D$7:$D$4649,$A9)</f>
        <v>0</v>
      </c>
      <c r="L9" s="243" t="str">
        <f t="shared" si="1"/>
        <v>---</v>
      </c>
      <c r="M9" s="228" t="str">
        <f t="shared" si="2"/>
        <v>---</v>
      </c>
      <c r="N9" s="237" t="str">
        <f t="shared" si="3"/>
        <v>---</v>
      </c>
      <c r="O9" s="213">
        <f>SUMIFS('Diags Raw Data'!$Z$7:$Z$4649,'Diags Raw Data'!$D$7:$D$4649,$A9)</f>
        <v>0</v>
      </c>
      <c r="P9" s="203">
        <f>SUMIFS('Diags Raw Data'!$AA$7:$AA$4649,'Diags Raw Data'!$D$7:$D$4649,$A9)</f>
        <v>0</v>
      </c>
      <c r="Q9" s="205">
        <f>SUMIFS('Diags Raw Data'!$AB$7:$AB$4649,'Diags Raw Data'!$D$7:$D$4649,$A9)</f>
        <v>0</v>
      </c>
      <c r="R9" s="203">
        <f>SUMIFS('Diags Raw Data'!$AC$7:$AC$4649,'Diags Raw Data'!$D$7:$D$4649,$A9)</f>
        <v>0</v>
      </c>
      <c r="S9" s="205">
        <f>SUMIFS('Diags Raw Data'!$AD$7:$AD$4649,'Diags Raw Data'!$D$7:$D$4649,$A9)</f>
        <v>0</v>
      </c>
      <c r="T9" s="204" t="str">
        <f t="shared" si="4"/>
        <v>---</v>
      </c>
      <c r="U9" s="229" t="str">
        <f>IF(NOT($O9=0), (P9+Q9)/$O9, "---")</f>
        <v>---</v>
      </c>
      <c r="V9" s="231" t="str">
        <f t="shared" si="6"/>
        <v>---</v>
      </c>
    </row>
    <row r="10" spans="1:22" x14ac:dyDescent="0.25">
      <c r="A10" s="333" t="s">
        <v>518</v>
      </c>
      <c r="B10" s="252">
        <f>SUMIFS('Diags Raw Data'!$L$7:$L$4649,'Diags Raw Data'!$D$7:$D$4649,$A10)</f>
        <v>0</v>
      </c>
      <c r="C10" s="242">
        <f>SUMIFS('Diags Raw Data'!$R$7:$R$4649,'Diags Raw Data'!$D$7:$D$4649,$A10)</f>
        <v>0</v>
      </c>
      <c r="D10" s="242">
        <f>SUMIFS('Diags Raw Data'!$K$7:$K$4649,'Diags Raw Data'!$D$7:$D$4649,$A10)</f>
        <v>0</v>
      </c>
      <c r="E10" s="242">
        <f>SUMIFS('Diags Raw Data'!$O$7:$O$4649,'Diags Raw Data'!$D$7:$D$4649,$A10)</f>
        <v>0</v>
      </c>
      <c r="F10" s="248" t="str">
        <f>IF(NOT($B10=0), E10/$B10, "---")</f>
        <v>---</v>
      </c>
      <c r="G10" s="230">
        <f>SUMIFS('Diags Raw Data'!$S$7:$S$4649,'Diags Raw Data'!$D$7:$D$4649,$A10)</f>
        <v>0</v>
      </c>
      <c r="H10" s="226">
        <f>SUMIFS('Diags Raw Data'!$T$7:$T$4649,'Diags Raw Data'!$D$7:$D$4649,$A10)</f>
        <v>0</v>
      </c>
      <c r="I10" s="227">
        <f>SUMIFS('Diags Raw Data'!$U$7:$U$4649,'Diags Raw Data'!$D$7:$D$4649,$A10)</f>
        <v>0</v>
      </c>
      <c r="J10" s="226">
        <f>SUMIFS('Diags Raw Data'!$V$7:$V$4649,'Diags Raw Data'!$D$7:$D$4649,$A10)</f>
        <v>0</v>
      </c>
      <c r="K10" s="227">
        <f>SUMIFS('Diags Raw Data'!$W$7:$W$4649,'Diags Raw Data'!$D$7:$D$4649,$A10)</f>
        <v>0</v>
      </c>
      <c r="L10" s="243" t="str">
        <f t="shared" si="1"/>
        <v>---</v>
      </c>
      <c r="M10" s="228" t="str">
        <f t="shared" si="2"/>
        <v>---</v>
      </c>
      <c r="N10" s="237" t="str">
        <f t="shared" si="3"/>
        <v>---</v>
      </c>
      <c r="O10" s="213">
        <f>SUMIFS('Diags Raw Data'!$Z$7:$Z$4649,'Diags Raw Data'!$D$7:$D$4649,$A10)</f>
        <v>0</v>
      </c>
      <c r="P10" s="203">
        <f>SUMIFS('Diags Raw Data'!$AA$7:$AA$4649,'Diags Raw Data'!$D$7:$D$4649,$A10)</f>
        <v>0</v>
      </c>
      <c r="Q10" s="205">
        <f>SUMIFS('Diags Raw Data'!$AB$7:$AB$4649,'Diags Raw Data'!$D$7:$D$4649,$A10)</f>
        <v>0</v>
      </c>
      <c r="R10" s="203">
        <f>SUMIFS('Diags Raw Data'!$AC$7:$AC$4649,'Diags Raw Data'!$D$7:$D$4649,$A10)</f>
        <v>0</v>
      </c>
      <c r="S10" s="205">
        <f>SUMIFS('Diags Raw Data'!$AD$7:$AD$4649,'Diags Raw Data'!$D$7:$D$4649,$A10)</f>
        <v>0</v>
      </c>
      <c r="T10" s="204" t="str">
        <f t="shared" si="4"/>
        <v>---</v>
      </c>
      <c r="U10" s="229" t="str">
        <f t="shared" ref="U10:U13" si="7">IF(NOT($O10=0), (P10+Q10)/$O10, "---")</f>
        <v>---</v>
      </c>
      <c r="V10" s="231" t="str">
        <f t="shared" si="6"/>
        <v>---</v>
      </c>
    </row>
    <row r="11" spans="1:22" x14ac:dyDescent="0.25">
      <c r="A11" s="333" t="s">
        <v>519</v>
      </c>
      <c r="B11" s="252">
        <f>SUMIFS('Diags Raw Data'!$L$7:$L$4649,'Diags Raw Data'!$D$7:$D$4649,$A11)</f>
        <v>0</v>
      </c>
      <c r="C11" s="242">
        <f>SUMIFS('Diags Raw Data'!$R$7:$R$4649,'Diags Raw Data'!$D$7:$D$4649,$A11)</f>
        <v>0</v>
      </c>
      <c r="D11" s="242">
        <f>SUMIFS('Diags Raw Data'!$K$7:$K$4649,'Diags Raw Data'!$D$7:$D$4649,$A11)</f>
        <v>0</v>
      </c>
      <c r="E11" s="242">
        <f>SUMIFS('Diags Raw Data'!$O$7:$O$4649,'Diags Raw Data'!$D$7:$D$4649,$A11)</f>
        <v>0</v>
      </c>
      <c r="F11" s="248" t="str">
        <f t="shared" si="0"/>
        <v>---</v>
      </c>
      <c r="G11" s="230">
        <f>SUMIFS('Diags Raw Data'!$S$7:$S$4649,'Diags Raw Data'!$D$7:$D$4649,$A11)</f>
        <v>0</v>
      </c>
      <c r="H11" s="226">
        <f>SUMIFS('Diags Raw Data'!$T$7:$T$4649,'Diags Raw Data'!$D$7:$D$4649,$A11)</f>
        <v>0</v>
      </c>
      <c r="I11" s="227">
        <f>SUMIFS('Diags Raw Data'!$U$7:$U$4649,'Diags Raw Data'!$D$7:$D$4649,$A11)</f>
        <v>0</v>
      </c>
      <c r="J11" s="226">
        <f>SUMIFS('Diags Raw Data'!$V$7:$V$4649,'Diags Raw Data'!$D$7:$D$4649,$A11)</f>
        <v>0</v>
      </c>
      <c r="K11" s="227">
        <f>SUMIFS('Diags Raw Data'!$W$7:$W$4649,'Diags Raw Data'!$D$7:$D$4649,$A11)</f>
        <v>0</v>
      </c>
      <c r="L11" s="243" t="str">
        <f t="shared" si="1"/>
        <v>---</v>
      </c>
      <c r="M11" s="228" t="str">
        <f t="shared" si="2"/>
        <v>---</v>
      </c>
      <c r="N11" s="237" t="str">
        <f t="shared" si="3"/>
        <v>---</v>
      </c>
      <c r="O11" s="213">
        <f>SUMIFS('Diags Raw Data'!$Z$7:$Z$4649,'Diags Raw Data'!$D$7:$D$4649,$A11)</f>
        <v>0</v>
      </c>
      <c r="P11" s="203">
        <f>SUMIFS('Diags Raw Data'!$AA$7:$AA$4649,'Diags Raw Data'!$D$7:$D$4649,$A11)</f>
        <v>0</v>
      </c>
      <c r="Q11" s="205">
        <f>SUMIFS('Diags Raw Data'!$AB$7:$AB$4649,'Diags Raw Data'!$D$7:$D$4649,$A11)</f>
        <v>0</v>
      </c>
      <c r="R11" s="203">
        <f>SUMIFS('Diags Raw Data'!$AC$7:$AC$4649,'Diags Raw Data'!$D$7:$D$4649,$A11)</f>
        <v>0</v>
      </c>
      <c r="S11" s="205">
        <f>SUMIFS('Diags Raw Data'!$AD$7:$AD$4649,'Diags Raw Data'!$D$7:$D$4649,$A11)</f>
        <v>0</v>
      </c>
      <c r="T11" s="204" t="str">
        <f t="shared" si="4"/>
        <v>---</v>
      </c>
      <c r="U11" s="229" t="str">
        <f t="shared" si="7"/>
        <v>---</v>
      </c>
      <c r="V11" s="231" t="str">
        <f t="shared" si="6"/>
        <v>---</v>
      </c>
    </row>
    <row r="12" spans="1:22" x14ac:dyDescent="0.25">
      <c r="A12" s="333" t="s">
        <v>520</v>
      </c>
      <c r="B12" s="252">
        <f>SUMIFS('Diags Raw Data'!$L$7:$L$4649,'Diags Raw Data'!$D$7:$D$4649,$A12)</f>
        <v>0</v>
      </c>
      <c r="C12" s="242">
        <f>SUMIFS('Diags Raw Data'!$R$7:$R$4649,'Diags Raw Data'!$D$7:$D$4649,$A12)</f>
        <v>0</v>
      </c>
      <c r="D12" s="242">
        <f>SUMIFS('Diags Raw Data'!$K$7:$K$4649,'Diags Raw Data'!$D$7:$D$4649,$A12)</f>
        <v>0</v>
      </c>
      <c r="E12" s="242">
        <f>SUMIFS('Diags Raw Data'!$O$7:$O$4649,'Diags Raw Data'!$D$7:$D$4649,$A12)</f>
        <v>0</v>
      </c>
      <c r="F12" s="248" t="str">
        <f t="shared" si="0"/>
        <v>---</v>
      </c>
      <c r="G12" s="230">
        <f>SUMIFS('Diags Raw Data'!$S$7:$S$4649,'Diags Raw Data'!$D$7:$D$4649,$A12)</f>
        <v>0</v>
      </c>
      <c r="H12" s="226">
        <f>SUMIFS('Diags Raw Data'!$T$7:$T$4649,'Diags Raw Data'!$D$7:$D$4649,$A12)</f>
        <v>0</v>
      </c>
      <c r="I12" s="227">
        <f>SUMIFS('Diags Raw Data'!$U$7:$U$4649,'Diags Raw Data'!$D$7:$D$4649,$A12)</f>
        <v>0</v>
      </c>
      <c r="J12" s="226">
        <f>SUMIFS('Diags Raw Data'!$V$7:$V$4649,'Diags Raw Data'!$D$7:$D$4649,$A12)</f>
        <v>0</v>
      </c>
      <c r="K12" s="227">
        <f>SUMIFS('Diags Raw Data'!$W$7:$W$4649,'Diags Raw Data'!$D$7:$D$4649,$A12)</f>
        <v>0</v>
      </c>
      <c r="L12" s="243" t="str">
        <f t="shared" si="1"/>
        <v>---</v>
      </c>
      <c r="M12" s="228" t="str">
        <f t="shared" si="2"/>
        <v>---</v>
      </c>
      <c r="N12" s="237" t="str">
        <f t="shared" si="3"/>
        <v>---</v>
      </c>
      <c r="O12" s="213">
        <f>SUMIFS('Diags Raw Data'!$Z$7:$Z$4649,'Diags Raw Data'!$D$7:$D$4649,$A12)</f>
        <v>0</v>
      </c>
      <c r="P12" s="203">
        <f>SUMIFS('Diags Raw Data'!$AA$7:$AA$4649,'Diags Raw Data'!$D$7:$D$4649,$A12)</f>
        <v>0</v>
      </c>
      <c r="Q12" s="205">
        <f>SUMIFS('Diags Raw Data'!$AB$7:$AB$4649,'Diags Raw Data'!$D$7:$D$4649,$A12)</f>
        <v>0</v>
      </c>
      <c r="R12" s="203">
        <f>SUMIFS('Diags Raw Data'!$AC$7:$AC$4649,'Diags Raw Data'!$D$7:$D$4649,$A12)</f>
        <v>0</v>
      </c>
      <c r="S12" s="205">
        <f>SUMIFS('Diags Raw Data'!$AD$7:$AD$4649,'Diags Raw Data'!$D$7:$D$4649,$A12)</f>
        <v>0</v>
      </c>
      <c r="T12" s="204" t="str">
        <f t="shared" si="4"/>
        <v>---</v>
      </c>
      <c r="U12" s="229" t="str">
        <f t="shared" si="7"/>
        <v>---</v>
      </c>
      <c r="V12" s="231" t="str">
        <f t="shared" si="6"/>
        <v>---</v>
      </c>
    </row>
    <row r="13" spans="1:22" ht="15.75" thickBot="1" x14ac:dyDescent="0.3">
      <c r="A13" s="334" t="s">
        <v>521</v>
      </c>
      <c r="B13" s="253">
        <f>SUMIFS('Diags Raw Data'!$L$7:$L$4649,'Diags Raw Data'!$D$7:$D$4649,$A13)</f>
        <v>0</v>
      </c>
      <c r="C13" s="244">
        <f>SUMIFS('Diags Raw Data'!$R$7:$R$4649,'Diags Raw Data'!$D$7:$D$4649,$A13)</f>
        <v>0</v>
      </c>
      <c r="D13" s="244">
        <f>SUMIFS('Diags Raw Data'!$K$7:$K$4649,'Diags Raw Data'!$D$7:$D$4649,$A13)</f>
        <v>0</v>
      </c>
      <c r="E13" s="244">
        <f>SUMIFS('Diags Raw Data'!$O$7:$O$4649,'Diags Raw Data'!$D$7:$D$4649,$A13)</f>
        <v>0</v>
      </c>
      <c r="F13" s="249" t="str">
        <f>IF(NOT($B13=0), E13/$B13, "---")</f>
        <v>---</v>
      </c>
      <c r="G13" s="232">
        <f>SUMIFS('Diags Raw Data'!$S$7:$S$4649,'Diags Raw Data'!$D$7:$D$4649,$A13)</f>
        <v>0</v>
      </c>
      <c r="H13" s="233">
        <f>SUMIFS('Diags Raw Data'!$T$7:$T$4649,'Diags Raw Data'!$D$7:$D$4649,$A13)</f>
        <v>0</v>
      </c>
      <c r="I13" s="234">
        <f>SUMIFS('Diags Raw Data'!$U$7:$U$4649,'Diags Raw Data'!$D$7:$D$4649,$A13)</f>
        <v>0</v>
      </c>
      <c r="J13" s="233">
        <f>SUMIFS('Diags Raw Data'!$V$7:$V$4649,'Diags Raw Data'!$D$7:$D$4649,$A13)</f>
        <v>0</v>
      </c>
      <c r="K13" s="234">
        <f>SUMIFS('Diags Raw Data'!$W$7:$W$4649,'Diags Raw Data'!$D$7:$D$4649,$A13)</f>
        <v>0</v>
      </c>
      <c r="L13" s="245" t="str">
        <f t="shared" si="1"/>
        <v>---</v>
      </c>
      <c r="M13" s="235" t="str">
        <f t="shared" si="2"/>
        <v>---</v>
      </c>
      <c r="N13" s="238" t="str">
        <f>IF(NOT($C13=0), (H13+I13)/$C13, "---")</f>
        <v>---</v>
      </c>
      <c r="O13" s="214">
        <f>SUMIFS('Diags Raw Data'!$Z$7:$Z$4649,'Diags Raw Data'!$D$7:$D$4649,$A13)</f>
        <v>0</v>
      </c>
      <c r="P13" s="206">
        <f>SUMIFS('Diags Raw Data'!$AA$7:$AA$4649,'Diags Raw Data'!$D$7:$D$4649,$A13)</f>
        <v>0</v>
      </c>
      <c r="Q13" s="208">
        <f>SUMIFS('Diags Raw Data'!$AB$7:$AB$4649,'Diags Raw Data'!$D$7:$D$4649,$A13)</f>
        <v>0</v>
      </c>
      <c r="R13" s="206">
        <f>SUMIFS('Diags Raw Data'!$AC$7:$AC$4649,'Diags Raw Data'!$D$7:$D$4649,$A13)</f>
        <v>0</v>
      </c>
      <c r="S13" s="208">
        <f>SUMIFS('Diags Raw Data'!$AD$7:$AD$4649,'Diags Raw Data'!$D$7:$D$4649,$A13)</f>
        <v>0</v>
      </c>
      <c r="T13" s="207" t="str">
        <f t="shared" si="4"/>
        <v>---</v>
      </c>
      <c r="U13" s="239" t="str">
        <f t="shared" si="7"/>
        <v>---</v>
      </c>
      <c r="V13" s="236" t="str">
        <f t="shared" si="6"/>
        <v>---</v>
      </c>
    </row>
    <row r="14" spans="1:22" ht="16.5" thickBot="1" x14ac:dyDescent="0.3">
      <c r="A14" s="272" t="s">
        <v>522</v>
      </c>
      <c r="B14" s="256">
        <f>SUM(B4:B13)</f>
        <v>0</v>
      </c>
      <c r="C14" s="257">
        <f>SUM(C4:C13)</f>
        <v>0</v>
      </c>
      <c r="D14" s="257">
        <f>SUM(D4:D13)</f>
        <v>0</v>
      </c>
      <c r="E14" s="257">
        <f>SUM(E4:E13)</f>
        <v>0</v>
      </c>
      <c r="F14" s="258" t="e" cm="1">
        <f t="array" ref="F14">SUMPRODUCT(--(ISNUMBER(SEARCH("New",'Diags Raw Data'!$M$7:$M$4649))),'Diags Raw Data'!$K$7:$K$4649,'Diags Raw Data'!$P$7:$P$4649)/D14+SUMPRODUCT(--(ISNUMBER(SEARCH("Delta",'Diags Raw Data'!$M$7:$M$4649))),'Diags Raw Data'!$K$7:$K$4649,'Diags Raw Data'!$P$7:$P$4649)/D14+SUMPRODUCT(--(ISNUMBER(SEARCH("Legacy",'Diags Raw Data'!$M$7:$M$4649))),'Diags Raw Data'!$K$7:$K$4649,'Diags Raw Data'!$P$7:$P$4649)/D14</f>
        <v>#DIV/0!</v>
      </c>
      <c r="G14" s="259">
        <f>SUM(G4:G13)</f>
        <v>0</v>
      </c>
      <c r="H14" s="260">
        <f>SUM(H4:H13)</f>
        <v>0</v>
      </c>
      <c r="I14" s="261">
        <f>SUM(I4:I13)</f>
        <v>0</v>
      </c>
      <c r="J14" s="260">
        <f>SUM(J4:J13)</f>
        <v>0</v>
      </c>
      <c r="K14" s="261">
        <f>SUM(K4:K13)</f>
        <v>0</v>
      </c>
      <c r="L14" s="262" t="str">
        <f>IF(NOT($C14=0), G14/$C14, "---")</f>
        <v>---</v>
      </c>
      <c r="M14" s="263" t="str">
        <f>IF(NOT($G14=0), (H14+I14)/$G14, "---")</f>
        <v>---</v>
      </c>
      <c r="N14" s="264" t="str">
        <f>IF(NOT($C14=0), (H14+I14)/$C14, "---")</f>
        <v>---</v>
      </c>
      <c r="O14" s="265">
        <f>SUM(O4:O13)</f>
        <v>0</v>
      </c>
      <c r="P14" s="266">
        <f>SUM(P4:P13)</f>
        <v>0</v>
      </c>
      <c r="Q14" s="267">
        <f>SUM(Q4:Q13)</f>
        <v>0</v>
      </c>
      <c r="R14" s="266">
        <f>SUM(R4:R13)</f>
        <v>0</v>
      </c>
      <c r="S14" s="267">
        <f>SUM(S4:S13)</f>
        <v>0</v>
      </c>
      <c r="T14" s="268" t="str">
        <f>IF(NOT($B14=0), O14/$B14, "---")</f>
        <v>---</v>
      </c>
      <c r="U14" s="269" t="str">
        <f>IF(NOT($O14=0), (P14+Q14)/$O14, "---")</f>
        <v>---</v>
      </c>
      <c r="V14" s="270" t="str">
        <f>IF(NOT($B14=0), (P14+Q14)/$B14, "---")</f>
        <v>---</v>
      </c>
    </row>
    <row r="15" spans="1:22" ht="15.75" thickBot="1" x14ac:dyDescent="0.3"/>
    <row r="16" spans="1:22" ht="15.75" thickBot="1" x14ac:dyDescent="0.3">
      <c r="A16" s="215" t="s">
        <v>523</v>
      </c>
      <c r="B16" s="754" t="s">
        <v>183</v>
      </c>
      <c r="C16" s="754"/>
      <c r="D16" s="754"/>
      <c r="E16" s="754"/>
      <c r="F16" s="754"/>
      <c r="G16" s="755" t="s">
        <v>194</v>
      </c>
      <c r="H16" s="756"/>
      <c r="I16" s="756"/>
      <c r="J16" s="756"/>
      <c r="K16" s="756"/>
      <c r="L16" s="756"/>
      <c r="M16" s="756"/>
      <c r="N16" s="757"/>
      <c r="O16" s="758" t="s">
        <v>161</v>
      </c>
      <c r="P16" s="759"/>
      <c r="Q16" s="759"/>
      <c r="R16" s="759"/>
      <c r="S16" s="759"/>
      <c r="T16" s="759"/>
      <c r="U16" s="759"/>
      <c r="V16" s="760"/>
    </row>
    <row r="17" spans="1:22" s="250" customFormat="1" ht="15.75" thickBot="1" x14ac:dyDescent="0.3">
      <c r="A17" s="254" t="s">
        <v>105</v>
      </c>
      <c r="B17" s="311" t="s">
        <v>184</v>
      </c>
      <c r="C17" s="312" t="s">
        <v>145</v>
      </c>
      <c r="D17" s="313" t="s">
        <v>122</v>
      </c>
      <c r="E17" s="313" t="s">
        <v>190</v>
      </c>
      <c r="F17" s="314" t="s">
        <v>192</v>
      </c>
      <c r="G17" s="315" t="s">
        <v>149</v>
      </c>
      <c r="H17" s="316" t="s">
        <v>30</v>
      </c>
      <c r="I17" s="316" t="s">
        <v>152</v>
      </c>
      <c r="J17" s="316" t="s">
        <v>36</v>
      </c>
      <c r="K17" s="316" t="s">
        <v>155</v>
      </c>
      <c r="L17" s="316" t="s">
        <v>201</v>
      </c>
      <c r="M17" s="316" t="s">
        <v>157</v>
      </c>
      <c r="N17" s="317" t="s">
        <v>204</v>
      </c>
      <c r="O17" s="318" t="s">
        <v>149</v>
      </c>
      <c r="P17" s="319" t="s">
        <v>30</v>
      </c>
      <c r="Q17" s="319" t="s">
        <v>152</v>
      </c>
      <c r="R17" s="319" t="s">
        <v>36</v>
      </c>
      <c r="S17" s="319" t="s">
        <v>155</v>
      </c>
      <c r="T17" s="319" t="s">
        <v>201</v>
      </c>
      <c r="U17" s="319" t="s">
        <v>157</v>
      </c>
      <c r="V17" s="320" t="s">
        <v>204</v>
      </c>
    </row>
    <row r="18" spans="1:22" x14ac:dyDescent="0.25">
      <c r="A18" s="333" t="s">
        <v>512</v>
      </c>
      <c r="B18" s="251">
        <f>SUMIFS('Diags Raw Data'!$L$7:$L$4649,'Diags Raw Data'!$D$7:$D$4649,$A18,'Diags Raw Data'!$M$7:$M$4649,"New")+SUMIFS('Diags Raw Data'!$L$7:$L$4649,'Diags Raw Data'!$D$7:$D$4649,$A18,'Diags Raw Data'!$M$7:$M$4649,"Delta")</f>
        <v>0</v>
      </c>
      <c r="C18" s="241">
        <f>SUMIFS('Diags Raw Data'!$R$7:$R$4649,'Diags Raw Data'!$D$7:$D$4649,$A18,'Diags Raw Data'!$M$7:$M$4649,"New")+SUMIFS('Diags Raw Data'!$R$7:$R$4649,'Diags Raw Data'!$D$7:$D$4649,$A18,'Diags Raw Data'!$M$7:$M$4649,"Delta")</f>
        <v>0</v>
      </c>
      <c r="D18" s="241">
        <f>SUMIFS('Diags Raw Data'!$K$7:$K$4649,'Diags Raw Data'!$D$7:$D$4649,$A18,'Diags Raw Data'!$M$7:$M$4649,"New")+SUMIFS('Diags Raw Data'!$K$7:$K$4649,'Diags Raw Data'!$D$7:$D$4649,$A18,'Diags Raw Data'!$M$7:$M$4649,"Delta")</f>
        <v>0</v>
      </c>
      <c r="E18" s="241">
        <f>SUMIFS('Diags Raw Data'!$O$7:$O$4649,'Diags Raw Data'!$D$7:$D$4649,$A18,'Diags Raw Data'!$M$7:$M$4649,"New")+SUMIFS('Diags Raw Data'!$O$7:$O$4649,'Diags Raw Data'!$D$7:$D$4649,$A18,'Diags Raw Data'!$M$7:$M$4649,"Delta")</f>
        <v>0</v>
      </c>
      <c r="F18" s="247" t="str">
        <f t="shared" ref="F18:F27" si="8">IF(NOT($B18=0), E18/$B18, "---")</f>
        <v>---</v>
      </c>
      <c r="G18" s="219">
        <f>SUMIFS('Diags Raw Data'!$S$7:$S$4649,'Diags Raw Data'!$D$7:$D$4649,$A18,'Diags Raw Data'!$M$7:$M$4649,"New")+SUMIFS('Diags Raw Data'!$S$7:$S$4649,'Diags Raw Data'!$D$7:$D$4649,$A18,'Diags Raw Data'!$M$7:$M$4649,"Delta")</f>
        <v>0</v>
      </c>
      <c r="H18" s="220">
        <f>SUMIFS('Diags Raw Data'!$T$7:$T$4649,'Diags Raw Data'!$D$7:$D$4649,$A18,'Diags Raw Data'!$M$7:$M$4649,"New")+SUMIFS('Diags Raw Data'!$T$7:$T$4649,'Diags Raw Data'!$D$7:$D$4649,$A18,'Diags Raw Data'!$M$7:$M$4649,"Delta")</f>
        <v>0</v>
      </c>
      <c r="I18" s="220">
        <f>SUMIFS('Diags Raw Data'!$U$7:$U$4649,'Diags Raw Data'!$D$7:$D$4649,$A18,'Diags Raw Data'!$M$7:$M$4649,"New")+SUMIFS('Diags Raw Data'!$U$7:$U$4649,'Diags Raw Data'!$D$7:$D$4649,$A18,'Diags Raw Data'!$M$7:$M$4649,"Delta")</f>
        <v>0</v>
      </c>
      <c r="J18" s="220">
        <f>SUMIFS('Diags Raw Data'!$V$7:$V$4649,'Diags Raw Data'!$D$7:$D$4649,$A18,'Diags Raw Data'!$M$7:$M$4649,"New")+SUMIFS('Diags Raw Data'!$V$7:$V$4649,'Diags Raw Data'!$D$7:$D$4649,$A18,'Diags Raw Data'!$M$7:$M$4649,"Delta")</f>
        <v>0</v>
      </c>
      <c r="K18" s="220">
        <f>SUMIFS('Diags Raw Data'!$W$7:$W$4649,'Diags Raw Data'!$D$7:$D$4649,$A18,'Diags Raw Data'!$M$7:$M$4649,"New")+SUMIFS('Diags Raw Data'!$W$7:$W$4649,'Diags Raw Data'!$D$7:$D$4649,$A18,'Diags Raw Data'!$M$7:$M$4649,"Delta")</f>
        <v>0</v>
      </c>
      <c r="L18" s="221" t="str">
        <f>IF(NOT($C18=0), G18/$C18, "---")</f>
        <v>---</v>
      </c>
      <c r="M18" s="223" t="str">
        <f>IF(NOT($G18=0), (H18+I18)/$G18, "---")</f>
        <v>---</v>
      </c>
      <c r="N18" s="225" t="str">
        <f>IF(NOT($C18=0), (H18+I18)/$C18, "---")</f>
        <v>---</v>
      </c>
      <c r="O18" s="212">
        <f>SUMIFS('Diags Raw Data'!$Z$7:$Z$4649,'Diags Raw Data'!$D$7:$D$4649,$A18,'Diags Raw Data'!$M$7:$M$4649,"New")+SUMIFS('Diags Raw Data'!$Z$7:$Z$4649,'Diags Raw Data'!$D$7:$D$4649,$A18,'Diags Raw Data'!$M$7:$M$4649,"Delta")</f>
        <v>0</v>
      </c>
      <c r="P18" s="209">
        <f>SUMIFS('Diags Raw Data'!$AA$7:$AA$4649,'Diags Raw Data'!$D$7:$D$4649,$A18,'Diags Raw Data'!$M$7:$M$4649,"New")+SUMIFS('Diags Raw Data'!$AA$7:$AA$4649,'Diags Raw Data'!$D$7:$D$4649,$A18,'Diags Raw Data'!$M$7:$M$4649,"Delta")</f>
        <v>0</v>
      </c>
      <c r="Q18" s="209">
        <f>SUMIFS('Diags Raw Data'!$AB$7:$AB$4649,'Diags Raw Data'!$D$7:$D$4649,$A18,'Diags Raw Data'!$M$7:$M$4649,"New")+SUMIFS('Diags Raw Data'!$AB$7:$AB$4649,'Diags Raw Data'!$D$7:$D$4649,$A18,'Diags Raw Data'!$M$7:$M$4649,"Delta")</f>
        <v>0</v>
      </c>
      <c r="R18" s="209">
        <f>SUMIFS('Diags Raw Data'!$AC$7:$AC$4649,'Diags Raw Data'!$D$7:$D$4649,$A18,'Diags Raw Data'!$M$7:$M$4649,"New")+SUMIFS('Diags Raw Data'!$AC$7:$AC$4649,'Diags Raw Data'!$D$7:$D$4649,$A18,'Diags Raw Data'!$M$7:$M$4649,"Delta")</f>
        <v>0</v>
      </c>
      <c r="S18" s="209">
        <f>SUMIFS('Diags Raw Data'!$AD$7:$AD$4649,'Diags Raw Data'!$D$7:$D$4649,$A18,'Diags Raw Data'!$M$7:$M$4649,"New")+SUMIFS('Diags Raw Data'!$AD$7:$AD$4649,'Diags Raw Data'!$D$7:$D$4649,$A18,'Diags Raw Data'!$M$7:$M$4649,"Delta")</f>
        <v>0</v>
      </c>
      <c r="T18" s="210" t="str">
        <f>IF(NOT($B18=0), O18/$B18, "---")</f>
        <v>---</v>
      </c>
      <c r="U18" s="224" t="str">
        <f>IF(NOT($O18=0), (P18+Q18)/$O18, "---")</f>
        <v>---</v>
      </c>
      <c r="V18" s="240" t="str">
        <f>IF(NOT($B18=0), (P18+Q18)/$B18, "---")</f>
        <v>---</v>
      </c>
    </row>
    <row r="19" spans="1:22" x14ac:dyDescent="0.25">
      <c r="A19" s="333" t="s">
        <v>513</v>
      </c>
      <c r="B19" s="252">
        <f>SUMIFS('Diags Raw Data'!$L$7:$L$4649,'Diags Raw Data'!$D$7:$D$4649,$A19,'Diags Raw Data'!$M$7:$M$4649,"New")+SUMIFS('Diags Raw Data'!$L$7:$L$4649,'Diags Raw Data'!$D$7:$D$4649,$A19,'Diags Raw Data'!$M$7:$M$4649,"Delta")</f>
        <v>0</v>
      </c>
      <c r="C19" s="242">
        <f>SUMIFS('Diags Raw Data'!$R$7:$R$4649,'Diags Raw Data'!$D$7:$D$4649,$A19,'Diags Raw Data'!$M$7:$M$4649,"New")+SUMIFS('Diags Raw Data'!$R$7:$R$4649,'Diags Raw Data'!$D$7:$D$4649,$A19,'Diags Raw Data'!$M$7:$M$4649,"Delta")</f>
        <v>0</v>
      </c>
      <c r="D19" s="242">
        <f>SUMIFS('Diags Raw Data'!$K$7:$K$4649,'Diags Raw Data'!$D$7:$D$4649,$A19,'Diags Raw Data'!$M$7:$M$4649,"New")+SUMIFS('Diags Raw Data'!$K$7:$K$4649,'Diags Raw Data'!$D$7:$D$4649,$A19,'Diags Raw Data'!$M$7:$M$4649,"Delta")</f>
        <v>0</v>
      </c>
      <c r="E19" s="242">
        <f>SUMIFS('Diags Raw Data'!$O$7:$O$4649,'Diags Raw Data'!$D$7:$D$4649,$A19,'Diags Raw Data'!$M$7:$M$4649,"New")+SUMIFS('Diags Raw Data'!$O$7:$O$4649,'Diags Raw Data'!$D$7:$D$4649,$A19,'Diags Raw Data'!$M$7:$M$4649,"Delta")</f>
        <v>0</v>
      </c>
      <c r="F19" s="248" t="str">
        <f t="shared" si="8"/>
        <v>---</v>
      </c>
      <c r="G19" s="230">
        <f>SUMIFS('Diags Raw Data'!$S$7:$S$4649,'Diags Raw Data'!$D$7:$D$4649,$A19,'Diags Raw Data'!$M$7:$M$4649,"New")+SUMIFS('Diags Raw Data'!$S$7:$S$4649,'Diags Raw Data'!$D$7:$D$4649,$A19,'Diags Raw Data'!$M$7:$M$4649,"Delta")</f>
        <v>0</v>
      </c>
      <c r="H19" s="226">
        <f>SUMIFS('Diags Raw Data'!$T$7:$T$4649,'Diags Raw Data'!$D$7:$D$4649,$A19,'Diags Raw Data'!$M$7:$M$4649,"New")+SUMIFS('Diags Raw Data'!$T$7:$T$4649,'Diags Raw Data'!$D$7:$D$4649,$A19,'Diags Raw Data'!$M$7:$M$4649,"Delta")</f>
        <v>0</v>
      </c>
      <c r="I19" s="226">
        <f>SUMIFS('Diags Raw Data'!$U$7:$U$4649,'Diags Raw Data'!$D$7:$D$4649,$A19,'Diags Raw Data'!$M$7:$M$4649,"New")+SUMIFS('Diags Raw Data'!$U$7:$U$4649,'Diags Raw Data'!$D$7:$D$4649,$A19,'Diags Raw Data'!$M$7:$M$4649,"Delta")</f>
        <v>0</v>
      </c>
      <c r="J19" s="226">
        <f>SUMIFS('Diags Raw Data'!$V$7:$V$4649,'Diags Raw Data'!$D$7:$D$4649,$A19,'Diags Raw Data'!$M$7:$M$4649,"New")+SUMIFS('Diags Raw Data'!$V$7:$V$4649,'Diags Raw Data'!$D$7:$D$4649,$A19,'Diags Raw Data'!$M$7:$M$4649,"Delta")</f>
        <v>0</v>
      </c>
      <c r="K19" s="226">
        <f>SUMIFS('Diags Raw Data'!$W$7:$W$4649,'Diags Raw Data'!$D$7:$D$4649,$A19,'Diags Raw Data'!$M$7:$M$4649,"New")+SUMIFS('Diags Raw Data'!$W$7:$W$4649,'Diags Raw Data'!$D$7:$D$4649,$A19,'Diags Raw Data'!$M$7:$M$4649,"Delta")</f>
        <v>0</v>
      </c>
      <c r="L19" s="243" t="str">
        <f>IF(NOT($C19=0), G19/$C19, "---")</f>
        <v>---</v>
      </c>
      <c r="M19" s="228" t="str">
        <f>IF(NOT($G19=0), (H19+I19)/$G19, "---")</f>
        <v>---</v>
      </c>
      <c r="N19" s="237" t="str">
        <f>IF(NOT($C19=0), (H19+I19)/$C19, "---")</f>
        <v>---</v>
      </c>
      <c r="O19" s="213">
        <f>SUMIFS('Diags Raw Data'!$Z$7:$Z$4649,'Diags Raw Data'!$D$7:$D$4649,$A19,'Diags Raw Data'!$M$7:$M$4649,"New")+SUMIFS('Diags Raw Data'!$Z$7:$Z$4649,'Diags Raw Data'!$D$7:$D$4649,$A19,'Diags Raw Data'!$M$7:$M$4649,"Delta")</f>
        <v>0</v>
      </c>
      <c r="P19" s="203">
        <f>SUMIFS('Diags Raw Data'!$AA$7:$AA$4649,'Diags Raw Data'!$D$7:$D$4649,$A19,'Diags Raw Data'!$M$7:$M$4649,"New")+SUMIFS('Diags Raw Data'!$AA$7:$AA$4649,'Diags Raw Data'!$D$7:$D$4649,$A19,'Diags Raw Data'!$M$7:$M$4649,"Delta")</f>
        <v>0</v>
      </c>
      <c r="Q19" s="203">
        <f>SUMIFS('Diags Raw Data'!$AB$7:$AB$4649,'Diags Raw Data'!$D$7:$D$4649,$A19,'Diags Raw Data'!$M$7:$M$4649,"New")+SUMIFS('Diags Raw Data'!$AB$7:$AB$4649,'Diags Raw Data'!$D$7:$D$4649,$A19,'Diags Raw Data'!$M$7:$M$4649,"Delta")</f>
        <v>0</v>
      </c>
      <c r="R19" s="203">
        <f>SUMIFS('Diags Raw Data'!$AC$7:$AC$4649,'Diags Raw Data'!$D$7:$D$4649,$A19,'Diags Raw Data'!$M$7:$M$4649,"New")+SUMIFS('Diags Raw Data'!$AC$7:$AC$4649,'Diags Raw Data'!$D$7:$D$4649,$A19,'Diags Raw Data'!$M$7:$M$4649,"Delta")</f>
        <v>0</v>
      </c>
      <c r="S19" s="203">
        <f>SUMIFS('Diags Raw Data'!$AD$7:$AD$4649,'Diags Raw Data'!$D$7:$D$4649,$A19,'Diags Raw Data'!$M$7:$M$4649,"New")+SUMIFS('Diags Raw Data'!$AD$7:$AD$4649,'Diags Raw Data'!$D$7:$D$4649,$A19,'Diags Raw Data'!$M$7:$M$4649,"Delta")</f>
        <v>0</v>
      </c>
      <c r="T19" s="204" t="str">
        <f>IF(NOT($B19=0), O19/$B19, "---")</f>
        <v>---</v>
      </c>
      <c r="U19" s="229" t="str">
        <f>IF(NOT($O19=0), (P19+Q19)/$O19, "---")</f>
        <v>---</v>
      </c>
      <c r="V19" s="231" t="str">
        <f t="shared" ref="V19:V28" si="9">IF(NOT($B19=0), (P19+Q19)/$B19, "---")</f>
        <v>---</v>
      </c>
    </row>
    <row r="20" spans="1:22" x14ac:dyDescent="0.25">
      <c r="A20" s="333" t="s">
        <v>514</v>
      </c>
      <c r="B20" s="252">
        <f>SUMIFS('Diags Raw Data'!$L$7:$L$4649,'Diags Raw Data'!$D$7:$D$4649,$A20,'Diags Raw Data'!$M$7:$M$4649,"New")+SUMIFS('Diags Raw Data'!$L$7:$L$4649,'Diags Raw Data'!$D$7:$D$4649,$A20,'Diags Raw Data'!$M$7:$M$4649,"Delta")</f>
        <v>0</v>
      </c>
      <c r="C20" s="242">
        <f>SUMIFS('Diags Raw Data'!$R$7:$R$4649,'Diags Raw Data'!$D$7:$D$4649,$A20,'Diags Raw Data'!$M$7:$M$4649,"New")+SUMIFS('Diags Raw Data'!$R$7:$R$4649,'Diags Raw Data'!$D$7:$D$4649,$A20,'Diags Raw Data'!$M$7:$M$4649,"Delta")</f>
        <v>0</v>
      </c>
      <c r="D20" s="242">
        <f>SUMIFS('Diags Raw Data'!$K$7:$K$4649,'Diags Raw Data'!$D$7:$D$4649,$A20,'Diags Raw Data'!$M$7:$M$4649,"New")+SUMIFS('Diags Raw Data'!$K$7:$K$4649,'Diags Raw Data'!$D$7:$D$4649,$A20,'Diags Raw Data'!$M$7:$M$4649,"Delta")</f>
        <v>0</v>
      </c>
      <c r="E20" s="242">
        <f>SUMIFS('Diags Raw Data'!$O$7:$O$4649,'Diags Raw Data'!$D$7:$D$4649,$A20,'Diags Raw Data'!$M$7:$M$4649,"New")+SUMIFS('Diags Raw Data'!$O$7:$O$4649,'Diags Raw Data'!$D$7:$D$4649,$A20,'Diags Raw Data'!$M$7:$M$4649,"Delta")</f>
        <v>0</v>
      </c>
      <c r="F20" s="248" t="str">
        <f>IF(NOT($B20=0), E20/$B20, "---")</f>
        <v>---</v>
      </c>
      <c r="G20" s="230">
        <f>SUMIFS('Diags Raw Data'!$S$7:$S$4649,'Diags Raw Data'!$D$7:$D$4649,$A20,'Diags Raw Data'!$M$7:$M$4649,"New")+SUMIFS('Diags Raw Data'!$S$7:$S$4649,'Diags Raw Data'!$D$7:$D$4649,$A20,'Diags Raw Data'!$M$7:$M$4649,"Delta")</f>
        <v>0</v>
      </c>
      <c r="H20" s="226">
        <f>SUMIFS('Diags Raw Data'!$T$7:$T$4649,'Diags Raw Data'!$D$7:$D$4649,$A20,'Diags Raw Data'!$M$7:$M$4649,"New")+SUMIFS('Diags Raw Data'!$T$7:$T$4649,'Diags Raw Data'!$D$7:$D$4649,$A20,'Diags Raw Data'!$M$7:$M$4649,"Delta")</f>
        <v>0</v>
      </c>
      <c r="I20" s="226">
        <f>SUMIFS('Diags Raw Data'!$U$7:$U$4649,'Diags Raw Data'!$D$7:$D$4649,$A20,'Diags Raw Data'!$M$7:$M$4649,"New")+SUMIFS('Diags Raw Data'!$U$7:$U$4649,'Diags Raw Data'!$D$7:$D$4649,$A20,'Diags Raw Data'!$M$7:$M$4649,"Delta")</f>
        <v>0</v>
      </c>
      <c r="J20" s="226">
        <f>SUMIFS('Diags Raw Data'!$V$7:$V$4649,'Diags Raw Data'!$D$7:$D$4649,$A20,'Diags Raw Data'!$M$7:$M$4649,"New")+SUMIFS('Diags Raw Data'!$V$7:$V$4649,'Diags Raw Data'!$D$7:$D$4649,$A20,'Diags Raw Data'!$M$7:$M$4649,"Delta")</f>
        <v>0</v>
      </c>
      <c r="K20" s="226">
        <f>SUMIFS('Diags Raw Data'!$W$7:$W$4649,'Diags Raw Data'!$D$7:$D$4649,$A20,'Diags Raw Data'!$M$7:$M$4649,"New")+SUMIFS('Diags Raw Data'!$W$7:$W$4649,'Diags Raw Data'!$D$7:$D$4649,$A20,'Diags Raw Data'!$M$7:$M$4649,"Delta")</f>
        <v>0</v>
      </c>
      <c r="L20" s="243" t="str">
        <f t="shared" ref="L20:L27" si="10">IF(NOT($C20=0), G20/$C20, "---")</f>
        <v>---</v>
      </c>
      <c r="M20" s="228" t="str">
        <f>IF(NOT($G20=0), (H20+I20)/$G20, "---")</f>
        <v>---</v>
      </c>
      <c r="N20" s="237" t="str">
        <f t="shared" ref="N20:N27" si="11">IF(NOT($C20=0), (H20+I20)/$C20, "---")</f>
        <v>---</v>
      </c>
      <c r="O20" s="213">
        <f>SUMIFS('Diags Raw Data'!$Z$7:$Z$4649,'Diags Raw Data'!$D$7:$D$4649,$A20,'Diags Raw Data'!$M$7:$M$4649,"New")+SUMIFS('Diags Raw Data'!$Z$7:$Z$4649,'Diags Raw Data'!$D$7:$D$4649,$A20,'Diags Raw Data'!$M$7:$M$4649,"Delta")</f>
        <v>0</v>
      </c>
      <c r="P20" s="203">
        <f>SUMIFS('Diags Raw Data'!$AA$7:$AA$4649,'Diags Raw Data'!$D$7:$D$4649,$A20,'Diags Raw Data'!$M$7:$M$4649,"New")+SUMIFS('Diags Raw Data'!$AA$7:$AA$4649,'Diags Raw Data'!$D$7:$D$4649,$A20,'Diags Raw Data'!$M$7:$M$4649,"Delta")</f>
        <v>0</v>
      </c>
      <c r="Q20" s="203">
        <f>SUMIFS('Diags Raw Data'!$AB$7:$AB$4649,'Diags Raw Data'!$D$7:$D$4649,$A20,'Diags Raw Data'!$M$7:$M$4649,"New")+SUMIFS('Diags Raw Data'!$AB$7:$AB$4649,'Diags Raw Data'!$D$7:$D$4649,$A20,'Diags Raw Data'!$M$7:$M$4649,"Delta")</f>
        <v>0</v>
      </c>
      <c r="R20" s="203">
        <f>SUMIFS('Diags Raw Data'!$AC$7:$AC$4649,'Diags Raw Data'!$D$7:$D$4649,$A20,'Diags Raw Data'!$M$7:$M$4649,"New")+SUMIFS('Diags Raw Data'!$AC$7:$AC$4649,'Diags Raw Data'!$D$7:$D$4649,$A20,'Diags Raw Data'!$M$7:$M$4649,"Delta")</f>
        <v>0</v>
      </c>
      <c r="S20" s="203">
        <f>SUMIFS('Diags Raw Data'!$AD$7:$AD$4649,'Diags Raw Data'!$D$7:$D$4649,$A20,'Diags Raw Data'!$M$7:$M$4649,"New")+SUMIFS('Diags Raw Data'!$AD$7:$AD$4649,'Diags Raw Data'!$D$7:$D$4649,$A20,'Diags Raw Data'!$M$7:$M$4649,"Delta")</f>
        <v>0</v>
      </c>
      <c r="T20" s="204" t="str">
        <f t="shared" ref="T20:T27" si="12">IF(NOT($B20=0), O20/$B20, "---")</f>
        <v>---</v>
      </c>
      <c r="U20" s="229" t="str">
        <f t="shared" ref="U20:U28" si="13">IF(NOT($O20=0), (P20+Q20)/$O20, "---")</f>
        <v>---</v>
      </c>
      <c r="V20" s="231" t="str">
        <f>IF(NOT($B20=0), (P20+Q20)/$B20, "---")</f>
        <v>---</v>
      </c>
    </row>
    <row r="21" spans="1:22" x14ac:dyDescent="0.25">
      <c r="A21" s="333" t="s">
        <v>515</v>
      </c>
      <c r="B21" s="252">
        <f>SUMIFS('Diags Raw Data'!$L$7:$L$4649,'Diags Raw Data'!$D$7:$D$4649,$A21,'Diags Raw Data'!$M$7:$M$4649,"New")+SUMIFS('Diags Raw Data'!$L$7:$L$4649,'Diags Raw Data'!$D$7:$D$4649,$A21,'Diags Raw Data'!$M$7:$M$4649,"Delta")</f>
        <v>0</v>
      </c>
      <c r="C21" s="242">
        <f>SUMIFS('Diags Raw Data'!$R$7:$R$4649,'Diags Raw Data'!$D$7:$D$4649,$A21,'Diags Raw Data'!$M$7:$M$4649,"New")+SUMIFS('Diags Raw Data'!$R$7:$R$4649,'Diags Raw Data'!$D$7:$D$4649,$A21,'Diags Raw Data'!$M$7:$M$4649,"Delta")</f>
        <v>0</v>
      </c>
      <c r="D21" s="242">
        <f>SUMIFS('Diags Raw Data'!$K$7:$K$4649,'Diags Raw Data'!$D$7:$D$4649,$A21,'Diags Raw Data'!$M$7:$M$4649,"New")+SUMIFS('Diags Raw Data'!$K$7:$K$4649,'Diags Raw Data'!$D$7:$D$4649,$A21,'Diags Raw Data'!$M$7:$M$4649,"Delta")</f>
        <v>0</v>
      </c>
      <c r="E21" s="242">
        <f>SUMIFS('Diags Raw Data'!$O$7:$O$4649,'Diags Raw Data'!$D$7:$D$4649,$A21,'Diags Raw Data'!$M$7:$M$4649,"New")+SUMIFS('Diags Raw Data'!$O$7:$O$4649,'Diags Raw Data'!$D$7:$D$4649,$A21,'Diags Raw Data'!$M$7:$M$4649,"Delta")</f>
        <v>0</v>
      </c>
      <c r="F21" s="248" t="str">
        <f t="shared" si="8"/>
        <v>---</v>
      </c>
      <c r="G21" s="230">
        <f>SUMIFS('Diags Raw Data'!$S$7:$S$4649,'Diags Raw Data'!$D$7:$D$4649,$A21,'Diags Raw Data'!$M$7:$M$4649,"New")+SUMIFS('Diags Raw Data'!$S$7:$S$4649,'Diags Raw Data'!$D$7:$D$4649,$A21,'Diags Raw Data'!$M$7:$M$4649,"Delta")</f>
        <v>0</v>
      </c>
      <c r="H21" s="226">
        <f>SUMIFS('Diags Raw Data'!$T$7:$T$4649,'Diags Raw Data'!$D$7:$D$4649,$A21,'Diags Raw Data'!$M$7:$M$4649,"New")+SUMIFS('Diags Raw Data'!$T$7:$T$4649,'Diags Raw Data'!$D$7:$D$4649,$A21,'Diags Raw Data'!$M$7:$M$4649,"Delta")</f>
        <v>0</v>
      </c>
      <c r="I21" s="226">
        <f>SUMIFS('Diags Raw Data'!$U$7:$U$4649,'Diags Raw Data'!$D$7:$D$4649,$A21,'Diags Raw Data'!$M$7:$M$4649,"New")+SUMIFS('Diags Raw Data'!$U$7:$U$4649,'Diags Raw Data'!$D$7:$D$4649,$A21,'Diags Raw Data'!$M$7:$M$4649,"Delta")</f>
        <v>0</v>
      </c>
      <c r="J21" s="226">
        <f>SUMIFS('Diags Raw Data'!$V$7:$V$4649,'Diags Raw Data'!$D$7:$D$4649,$A21,'Diags Raw Data'!$M$7:$M$4649,"New")+SUMIFS('Diags Raw Data'!$V$7:$V$4649,'Diags Raw Data'!$D$7:$D$4649,$A21,'Diags Raw Data'!$M$7:$M$4649,"Delta")</f>
        <v>0</v>
      </c>
      <c r="K21" s="226">
        <f>SUMIFS('Diags Raw Data'!$W$7:$W$4649,'Diags Raw Data'!$D$7:$D$4649,$A21,'Diags Raw Data'!$M$7:$M$4649,"New")+SUMIFS('Diags Raw Data'!$W$7:$W$4649,'Diags Raw Data'!$D$7:$D$4649,$A21,'Diags Raw Data'!$M$7:$M$4649,"Delta")</f>
        <v>0</v>
      </c>
      <c r="L21" s="243" t="str">
        <f t="shared" si="10"/>
        <v>---</v>
      </c>
      <c r="M21" s="228" t="str">
        <f t="shared" ref="M21:M28" si="14">IF(NOT($G21=0), (H21+I21)/$G21, "---")</f>
        <v>---</v>
      </c>
      <c r="N21" s="237" t="str">
        <f>IF(NOT($C21=0), (H21+I21)/$C21, "---")</f>
        <v>---</v>
      </c>
      <c r="O21" s="213">
        <f>SUMIFS('Diags Raw Data'!$Z$7:$Z$4649,'Diags Raw Data'!$D$7:$D$4649,$A21,'Diags Raw Data'!$M$7:$M$4649,"New")+SUMIFS('Diags Raw Data'!$Z$7:$Z$4649,'Diags Raw Data'!$D$7:$D$4649,$A21,'Diags Raw Data'!$M$7:$M$4649,"Delta")</f>
        <v>0</v>
      </c>
      <c r="P21" s="203">
        <f>SUMIFS('Diags Raw Data'!$AA$7:$AA$4649,'Diags Raw Data'!$D$7:$D$4649,$A21,'Diags Raw Data'!$M$7:$M$4649,"New")+SUMIFS('Diags Raw Data'!$AA$7:$AA$4649,'Diags Raw Data'!$D$7:$D$4649,$A21,'Diags Raw Data'!$M$7:$M$4649,"Delta")</f>
        <v>0</v>
      </c>
      <c r="Q21" s="203">
        <f>SUMIFS('Diags Raw Data'!$AB$7:$AB$4649,'Diags Raw Data'!$D$7:$D$4649,$A21,'Diags Raw Data'!$M$7:$M$4649,"New")+SUMIFS('Diags Raw Data'!$AB$7:$AB$4649,'Diags Raw Data'!$D$7:$D$4649,$A21,'Diags Raw Data'!$M$7:$M$4649,"Delta")</f>
        <v>0</v>
      </c>
      <c r="R21" s="203">
        <f>SUMIFS('Diags Raw Data'!$AC$7:$AC$4649,'Diags Raw Data'!$D$7:$D$4649,$A21,'Diags Raw Data'!$M$7:$M$4649,"New")+SUMIFS('Diags Raw Data'!$AC$7:$AC$4649,'Diags Raw Data'!$D$7:$D$4649,$A21,'Diags Raw Data'!$M$7:$M$4649,"Delta")</f>
        <v>0</v>
      </c>
      <c r="S21" s="203">
        <f>SUMIFS('Diags Raw Data'!$AD$7:$AD$4649,'Diags Raw Data'!$D$7:$D$4649,$A21,'Diags Raw Data'!$M$7:$M$4649,"New")+SUMIFS('Diags Raw Data'!$AD$7:$AD$4649,'Diags Raw Data'!$D$7:$D$4649,$A21,'Diags Raw Data'!$M$7:$M$4649,"Delta")</f>
        <v>0</v>
      </c>
      <c r="T21" s="204" t="str">
        <f t="shared" si="12"/>
        <v>---</v>
      </c>
      <c r="U21" s="229" t="str">
        <f t="shared" si="13"/>
        <v>---</v>
      </c>
      <c r="V21" s="231" t="str">
        <f>IF(NOT($B21=0), (P21+Q21)/$B21, "---")</f>
        <v>---</v>
      </c>
    </row>
    <row r="22" spans="1:22" x14ac:dyDescent="0.25">
      <c r="A22" s="333" t="s">
        <v>516</v>
      </c>
      <c r="B22" s="252">
        <f>SUMIFS('Diags Raw Data'!$L$7:$L$4649,'Diags Raw Data'!$D$7:$D$4649,$A22,'Diags Raw Data'!$M$7:$M$4649,"New")+SUMIFS('Diags Raw Data'!$L$7:$L$4649,'Diags Raw Data'!$D$7:$D$4649,$A22,'Diags Raw Data'!$M$7:$M$4649,"Delta")</f>
        <v>0</v>
      </c>
      <c r="C22" s="242">
        <f>SUMIFS('Diags Raw Data'!$R$7:$R$4649,'Diags Raw Data'!$D$7:$D$4649,$A22,'Diags Raw Data'!$M$7:$M$4649,"New")+SUMIFS('Diags Raw Data'!$R$7:$R$4649,'Diags Raw Data'!$D$7:$D$4649,$A22,'Diags Raw Data'!$M$7:$M$4649,"Delta")</f>
        <v>0</v>
      </c>
      <c r="D22" s="242">
        <f>SUMIFS('Diags Raw Data'!$K$7:$K$4649,'Diags Raw Data'!$D$7:$D$4649,$A22,'Diags Raw Data'!$M$7:$M$4649,"New")+SUMIFS('Diags Raw Data'!$K$7:$K$4649,'Diags Raw Data'!$D$7:$D$4649,$A22,'Diags Raw Data'!$M$7:$M$4649,"Delta")</f>
        <v>0</v>
      </c>
      <c r="E22" s="242">
        <f>SUMIFS('Diags Raw Data'!$O$7:$O$4649,'Diags Raw Data'!$D$7:$D$4649,$A22,'Diags Raw Data'!$M$7:$M$4649,"New")+SUMIFS('Diags Raw Data'!$O$7:$O$4649,'Diags Raw Data'!$D$7:$D$4649,$A22,'Diags Raw Data'!$M$7:$M$4649,"Delta")</f>
        <v>0</v>
      </c>
      <c r="F22" s="248" t="str">
        <f>IF(NOT($B22=0), E22/$B22, "---")</f>
        <v>---</v>
      </c>
      <c r="G22" s="230">
        <f>SUMIFS('Diags Raw Data'!$S$7:$S$4649,'Diags Raw Data'!$D$7:$D$4649,$A22,'Diags Raw Data'!$M$7:$M$4649,"New")+SUMIFS('Diags Raw Data'!$S$7:$S$4649,'Diags Raw Data'!$D$7:$D$4649,$A22,'Diags Raw Data'!$M$7:$M$4649,"Delta")</f>
        <v>0</v>
      </c>
      <c r="H22" s="226">
        <f>SUMIFS('Diags Raw Data'!$T$7:$T$4649,'Diags Raw Data'!$D$7:$D$4649,$A22,'Diags Raw Data'!$M$7:$M$4649,"New")+SUMIFS('Diags Raw Data'!$T$7:$T$4649,'Diags Raw Data'!$D$7:$D$4649,$A22,'Diags Raw Data'!$M$7:$M$4649,"Delta")</f>
        <v>0</v>
      </c>
      <c r="I22" s="226">
        <f>SUMIFS('Diags Raw Data'!$U$7:$U$4649,'Diags Raw Data'!$D$7:$D$4649,$A22,'Diags Raw Data'!$M$7:$M$4649,"New")+SUMIFS('Diags Raw Data'!$U$7:$U$4649,'Diags Raw Data'!$D$7:$D$4649,$A22,'Diags Raw Data'!$M$7:$M$4649,"Delta")</f>
        <v>0</v>
      </c>
      <c r="J22" s="226">
        <f>SUMIFS('Diags Raw Data'!$V$7:$V$4649,'Diags Raw Data'!$D$7:$D$4649,$A22,'Diags Raw Data'!$M$7:$M$4649,"New")+SUMIFS('Diags Raw Data'!$V$7:$V$4649,'Diags Raw Data'!$D$7:$D$4649,$A22,'Diags Raw Data'!$M$7:$M$4649,"Delta")</f>
        <v>0</v>
      </c>
      <c r="K22" s="226">
        <f>SUMIFS('Diags Raw Data'!$W$7:$W$4649,'Diags Raw Data'!$D$7:$D$4649,$A22,'Diags Raw Data'!$M$7:$M$4649,"New")+SUMIFS('Diags Raw Data'!$W$7:$W$4649,'Diags Raw Data'!$D$7:$D$4649,$A22,'Diags Raw Data'!$M$7:$M$4649,"Delta")</f>
        <v>0</v>
      </c>
      <c r="L22" s="243" t="str">
        <f t="shared" si="10"/>
        <v>---</v>
      </c>
      <c r="M22" s="228" t="str">
        <f t="shared" si="14"/>
        <v>---</v>
      </c>
      <c r="N22" s="237" t="str">
        <f t="shared" si="11"/>
        <v>---</v>
      </c>
      <c r="O22" s="213">
        <f>SUMIFS('Diags Raw Data'!$Z$7:$Z$4649,'Diags Raw Data'!$D$7:$D$4649,$A22,'Diags Raw Data'!$M$7:$M$4649,"New")+SUMIFS('Diags Raw Data'!$Z$7:$Z$4649,'Diags Raw Data'!$D$7:$D$4649,$A22,'Diags Raw Data'!$M$7:$M$4649,"Delta")</f>
        <v>0</v>
      </c>
      <c r="P22" s="203">
        <f>SUMIFS('Diags Raw Data'!$AA$7:$AA$4649,'Diags Raw Data'!$D$7:$D$4649,$A22,'Diags Raw Data'!$M$7:$M$4649,"New")+SUMIFS('Diags Raw Data'!$AA$7:$AA$4649,'Diags Raw Data'!$D$7:$D$4649,$A22,'Diags Raw Data'!$M$7:$M$4649,"Delta")</f>
        <v>0</v>
      </c>
      <c r="Q22" s="203">
        <f>SUMIFS('Diags Raw Data'!$AB$7:$AB$4649,'Diags Raw Data'!$D$7:$D$4649,$A22,'Diags Raw Data'!$M$7:$M$4649,"New")+SUMIFS('Diags Raw Data'!$AB$7:$AB$4649,'Diags Raw Data'!$D$7:$D$4649,$A22,'Diags Raw Data'!$M$7:$M$4649,"Delta")</f>
        <v>0</v>
      </c>
      <c r="R22" s="203">
        <f>SUMIFS('Diags Raw Data'!$AC$7:$AC$4649,'Diags Raw Data'!$D$7:$D$4649,$A22,'Diags Raw Data'!$M$7:$M$4649,"New")+SUMIFS('Diags Raw Data'!$AC$7:$AC$4649,'Diags Raw Data'!$D$7:$D$4649,$A22,'Diags Raw Data'!$M$7:$M$4649,"Delta")</f>
        <v>0</v>
      </c>
      <c r="S22" s="203">
        <f>SUMIFS('Diags Raw Data'!$AD$7:$AD$4649,'Diags Raw Data'!$D$7:$D$4649,$A22,'Diags Raw Data'!$M$7:$M$4649,"New")+SUMIFS('Diags Raw Data'!$AD$7:$AD$4649,'Diags Raw Data'!$D$7:$D$4649,$A22,'Diags Raw Data'!$M$7:$M$4649,"Delta")</f>
        <v>0</v>
      </c>
      <c r="T22" s="204" t="str">
        <f t="shared" si="12"/>
        <v>---</v>
      </c>
      <c r="U22" s="229" t="str">
        <f t="shared" si="13"/>
        <v>---</v>
      </c>
      <c r="V22" s="231" t="str">
        <f t="shared" si="9"/>
        <v>---</v>
      </c>
    </row>
    <row r="23" spans="1:22" x14ac:dyDescent="0.25">
      <c r="A23" s="333" t="s">
        <v>517</v>
      </c>
      <c r="B23" s="252">
        <f>SUMIFS('Diags Raw Data'!$L$7:$L$4649,'Diags Raw Data'!$D$7:$D$4649,$A23,'Diags Raw Data'!$M$7:$M$4649,"New")+SUMIFS('Diags Raw Data'!$L$7:$L$4649,'Diags Raw Data'!$D$7:$D$4649,$A23,'Diags Raw Data'!$M$7:$M$4649,"Delta")</f>
        <v>0</v>
      </c>
      <c r="C23" s="242">
        <f>SUMIFS('Diags Raw Data'!$R$7:$R$4649,'Diags Raw Data'!$D$7:$D$4649,$A23,'Diags Raw Data'!$M$7:$M$4649,"New")+SUMIFS('Diags Raw Data'!$R$7:$R$4649,'Diags Raw Data'!$D$7:$D$4649,$A23,'Diags Raw Data'!$M$7:$M$4649,"Delta")</f>
        <v>0</v>
      </c>
      <c r="D23" s="242">
        <f>SUMIFS('Diags Raw Data'!$K$7:$K$4649,'Diags Raw Data'!$D$7:$D$4649,$A23,'Diags Raw Data'!$M$7:$M$4649,"New")+SUMIFS('Diags Raw Data'!$K$7:$K$4649,'Diags Raw Data'!$D$7:$D$4649,$A23,'Diags Raw Data'!$M$7:$M$4649,"Delta")</f>
        <v>0</v>
      </c>
      <c r="E23" s="242">
        <f>SUMIFS('Diags Raw Data'!$O$7:$O$4649,'Diags Raw Data'!$D$7:$D$4649,$A23,'Diags Raw Data'!$M$7:$M$4649,"New")+SUMIFS('Diags Raw Data'!$O$7:$O$4649,'Diags Raw Data'!$D$7:$D$4649,$A23,'Diags Raw Data'!$M$7:$M$4649,"Delta")</f>
        <v>0</v>
      </c>
      <c r="F23" s="248" t="str">
        <f t="shared" si="8"/>
        <v>---</v>
      </c>
      <c r="G23" s="230">
        <f>SUMIFS('Diags Raw Data'!$S$7:$S$4649,'Diags Raw Data'!$D$7:$D$4649,$A23,'Diags Raw Data'!$M$7:$M$4649,"New")+SUMIFS('Diags Raw Data'!$S$7:$S$4649,'Diags Raw Data'!$D$7:$D$4649,$A23,'Diags Raw Data'!$M$7:$M$4649,"Delta")</f>
        <v>0</v>
      </c>
      <c r="H23" s="226">
        <f>SUMIFS('Diags Raw Data'!$T$7:$T$4649,'Diags Raw Data'!$D$7:$D$4649,$A23,'Diags Raw Data'!$M$7:$M$4649,"New")+SUMIFS('Diags Raw Data'!$T$7:$T$4649,'Diags Raw Data'!$D$7:$D$4649,$A23,'Diags Raw Data'!$M$7:$M$4649,"Delta")</f>
        <v>0</v>
      </c>
      <c r="I23" s="226">
        <f>SUMIFS('Diags Raw Data'!$U$7:$U$4649,'Diags Raw Data'!$D$7:$D$4649,$A23,'Diags Raw Data'!$M$7:$M$4649,"New")+SUMIFS('Diags Raw Data'!$U$7:$U$4649,'Diags Raw Data'!$D$7:$D$4649,$A23,'Diags Raw Data'!$M$7:$M$4649,"Delta")</f>
        <v>0</v>
      </c>
      <c r="J23" s="226">
        <f>SUMIFS('Diags Raw Data'!$V$7:$V$4649,'Diags Raw Data'!$D$7:$D$4649,$A23,'Diags Raw Data'!$M$7:$M$4649,"New")+SUMIFS('Diags Raw Data'!$V$7:$V$4649,'Diags Raw Data'!$D$7:$D$4649,$A23,'Diags Raw Data'!$M$7:$M$4649,"Delta")</f>
        <v>0</v>
      </c>
      <c r="K23" s="226">
        <f>SUMIFS('Diags Raw Data'!$W$7:$W$4649,'Diags Raw Data'!$D$7:$D$4649,$A23,'Diags Raw Data'!$M$7:$M$4649,"New")+SUMIFS('Diags Raw Data'!$W$7:$W$4649,'Diags Raw Data'!$D$7:$D$4649,$A23,'Diags Raw Data'!$M$7:$M$4649,"Delta")</f>
        <v>0</v>
      </c>
      <c r="L23" s="243" t="str">
        <f t="shared" si="10"/>
        <v>---</v>
      </c>
      <c r="M23" s="228" t="str">
        <f t="shared" si="14"/>
        <v>---</v>
      </c>
      <c r="N23" s="237" t="str">
        <f t="shared" si="11"/>
        <v>---</v>
      </c>
      <c r="O23" s="213">
        <f>SUMIFS('Diags Raw Data'!$Z$7:$Z$4649,'Diags Raw Data'!$D$7:$D$4649,$A23,'Diags Raw Data'!$M$7:$M$4649,"New")+SUMIFS('Diags Raw Data'!$Z$7:$Z$4649,'Diags Raw Data'!$D$7:$D$4649,$A23,'Diags Raw Data'!$M$7:$M$4649,"Delta")</f>
        <v>0</v>
      </c>
      <c r="P23" s="203">
        <f>SUMIFS('Diags Raw Data'!$AA$7:$AA$4649,'Diags Raw Data'!$D$7:$D$4649,$A23,'Diags Raw Data'!$M$7:$M$4649,"New")+SUMIFS('Diags Raw Data'!$AA$7:$AA$4649,'Diags Raw Data'!$D$7:$D$4649,$A23,'Diags Raw Data'!$M$7:$M$4649,"Delta")</f>
        <v>0</v>
      </c>
      <c r="Q23" s="203">
        <f>SUMIFS('Diags Raw Data'!$AB$7:$AB$4649,'Diags Raw Data'!$D$7:$D$4649,$A23,'Diags Raw Data'!$M$7:$M$4649,"New")+SUMIFS('Diags Raw Data'!$AB$7:$AB$4649,'Diags Raw Data'!$D$7:$D$4649,$A23,'Diags Raw Data'!$M$7:$M$4649,"Delta")</f>
        <v>0</v>
      </c>
      <c r="R23" s="203">
        <f>SUMIFS('Diags Raw Data'!$AC$7:$AC$4649,'Diags Raw Data'!$D$7:$D$4649,$A23,'Diags Raw Data'!$M$7:$M$4649,"New")+SUMIFS('Diags Raw Data'!$AC$7:$AC$4649,'Diags Raw Data'!$D$7:$D$4649,$A23,'Diags Raw Data'!$M$7:$M$4649,"Delta")</f>
        <v>0</v>
      </c>
      <c r="S23" s="203">
        <f>SUMIFS('Diags Raw Data'!$AD$7:$AD$4649,'Diags Raw Data'!$D$7:$D$4649,$A23,'Diags Raw Data'!$M$7:$M$4649,"New")+SUMIFS('Diags Raw Data'!$AD$7:$AD$4649,'Diags Raw Data'!$D$7:$D$4649,$A23,'Diags Raw Data'!$M$7:$M$4649,"Delta")</f>
        <v>0</v>
      </c>
      <c r="T23" s="204" t="str">
        <f t="shared" si="12"/>
        <v>---</v>
      </c>
      <c r="U23" s="229" t="str">
        <f t="shared" si="13"/>
        <v>---</v>
      </c>
      <c r="V23" s="231" t="str">
        <f t="shared" si="9"/>
        <v>---</v>
      </c>
    </row>
    <row r="24" spans="1:22" x14ac:dyDescent="0.25">
      <c r="A24" s="333" t="s">
        <v>518</v>
      </c>
      <c r="B24" s="252">
        <f>SUMIFS('Diags Raw Data'!$L$7:$L$4649,'Diags Raw Data'!$D$7:$D$4649,$A24,'Diags Raw Data'!$M$7:$M$4649,"New")+SUMIFS('Diags Raw Data'!$L$7:$L$4649,'Diags Raw Data'!$D$7:$D$4649,$A24,'Diags Raw Data'!$M$7:$M$4649,"Delta")</f>
        <v>0</v>
      </c>
      <c r="C24" s="242">
        <f>SUMIFS('Diags Raw Data'!$R$7:$R$4649,'Diags Raw Data'!$D$7:$D$4649,$A24,'Diags Raw Data'!$M$7:$M$4649,"New")+SUMIFS('Diags Raw Data'!$R$7:$R$4649,'Diags Raw Data'!$D$7:$D$4649,$A24,'Diags Raw Data'!$M$7:$M$4649,"Delta")</f>
        <v>0</v>
      </c>
      <c r="D24" s="242">
        <f>SUMIFS('Diags Raw Data'!$K$7:$K$4649,'Diags Raw Data'!$D$7:$D$4649,$A24,'Diags Raw Data'!$M$7:$M$4649,"New")+SUMIFS('Diags Raw Data'!$K$7:$K$4649,'Diags Raw Data'!$D$7:$D$4649,$A24,'Diags Raw Data'!$M$7:$M$4649,"Delta")</f>
        <v>0</v>
      </c>
      <c r="E24" s="242">
        <f>SUMIFS('Diags Raw Data'!$O$7:$O$4649,'Diags Raw Data'!$D$7:$D$4649,$A24,'Diags Raw Data'!$M$7:$M$4649,"New")+SUMIFS('Diags Raw Data'!$O$7:$O$4649,'Diags Raw Data'!$D$7:$D$4649,$A24,'Diags Raw Data'!$M$7:$M$4649,"Delta")</f>
        <v>0</v>
      </c>
      <c r="F24" s="248" t="str">
        <f t="shared" si="8"/>
        <v>---</v>
      </c>
      <c r="G24" s="230">
        <f>SUMIFS('Diags Raw Data'!$S$7:$S$4649,'Diags Raw Data'!$D$7:$D$4649,$A24,'Diags Raw Data'!$M$7:$M$4649,"New")+SUMIFS('Diags Raw Data'!$S$7:$S$4649,'Diags Raw Data'!$D$7:$D$4649,$A24,'Diags Raw Data'!$M$7:$M$4649,"Delta")</f>
        <v>0</v>
      </c>
      <c r="H24" s="226">
        <f>SUMIFS('Diags Raw Data'!$T$7:$T$4649,'Diags Raw Data'!$D$7:$D$4649,$A24,'Diags Raw Data'!$M$7:$M$4649,"New")+SUMIFS('Diags Raw Data'!$T$7:$T$4649,'Diags Raw Data'!$D$7:$D$4649,$A24,'Diags Raw Data'!$M$7:$M$4649,"Delta")</f>
        <v>0</v>
      </c>
      <c r="I24" s="226">
        <f>SUMIFS('Diags Raw Data'!$U$7:$U$4649,'Diags Raw Data'!$D$7:$D$4649,$A24,'Diags Raw Data'!$M$7:$M$4649,"New")+SUMIFS('Diags Raw Data'!$U$7:$U$4649,'Diags Raw Data'!$D$7:$D$4649,$A24,'Diags Raw Data'!$M$7:$M$4649,"Delta")</f>
        <v>0</v>
      </c>
      <c r="J24" s="226">
        <f>SUMIFS('Diags Raw Data'!$V$7:$V$4649,'Diags Raw Data'!$D$7:$D$4649,$A24,'Diags Raw Data'!$M$7:$M$4649,"New")+SUMIFS('Diags Raw Data'!$V$7:$V$4649,'Diags Raw Data'!$D$7:$D$4649,$A24,'Diags Raw Data'!$M$7:$M$4649,"Delta")</f>
        <v>0</v>
      </c>
      <c r="K24" s="226">
        <f>SUMIFS('Diags Raw Data'!$W$7:$W$4649,'Diags Raw Data'!$D$7:$D$4649,$A24,'Diags Raw Data'!$M$7:$M$4649,"New")+SUMIFS('Diags Raw Data'!$W$7:$W$4649,'Diags Raw Data'!$D$7:$D$4649,$A24,'Diags Raw Data'!$M$7:$M$4649,"Delta")</f>
        <v>0</v>
      </c>
      <c r="L24" s="243" t="str">
        <f t="shared" si="10"/>
        <v>---</v>
      </c>
      <c r="M24" s="228" t="str">
        <f t="shared" si="14"/>
        <v>---</v>
      </c>
      <c r="N24" s="237" t="str">
        <f t="shared" si="11"/>
        <v>---</v>
      </c>
      <c r="O24" s="213">
        <f>SUMIFS('Diags Raw Data'!$Z$7:$Z$4649,'Diags Raw Data'!$D$7:$D$4649,$A24,'Diags Raw Data'!$M$7:$M$4649,"New")+SUMIFS('Diags Raw Data'!$Z$7:$Z$4649,'Diags Raw Data'!$D$7:$D$4649,$A24,'Diags Raw Data'!$M$7:$M$4649,"Delta")</f>
        <v>0</v>
      </c>
      <c r="P24" s="203">
        <f>SUMIFS('Diags Raw Data'!$AA$7:$AA$4649,'Diags Raw Data'!$D$7:$D$4649,$A24,'Diags Raw Data'!$M$7:$M$4649,"New")+SUMIFS('Diags Raw Data'!$AA$7:$AA$4649,'Diags Raw Data'!$D$7:$D$4649,$A24,'Diags Raw Data'!$M$7:$M$4649,"Delta")</f>
        <v>0</v>
      </c>
      <c r="Q24" s="203">
        <f>SUMIFS('Diags Raw Data'!$AB$7:$AB$4649,'Diags Raw Data'!$D$7:$D$4649,$A24,'Diags Raw Data'!$M$7:$M$4649,"New")+SUMIFS('Diags Raw Data'!$AB$7:$AB$4649,'Diags Raw Data'!$D$7:$D$4649,$A24,'Diags Raw Data'!$M$7:$M$4649,"Delta")</f>
        <v>0</v>
      </c>
      <c r="R24" s="203">
        <f>SUMIFS('Diags Raw Data'!$AC$7:$AC$4649,'Diags Raw Data'!$D$7:$D$4649,$A24,'Diags Raw Data'!$M$7:$M$4649,"New")+SUMIFS('Diags Raw Data'!$AC$7:$AC$4649,'Diags Raw Data'!$D$7:$D$4649,$A24,'Diags Raw Data'!$M$7:$M$4649,"Delta")</f>
        <v>0</v>
      </c>
      <c r="S24" s="203">
        <f>SUMIFS('Diags Raw Data'!$AD$7:$AD$4649,'Diags Raw Data'!$D$7:$D$4649,$A24,'Diags Raw Data'!$M$7:$M$4649,"New")+SUMIFS('Diags Raw Data'!$AD$7:$AD$4649,'Diags Raw Data'!$D$7:$D$4649,$A24,'Diags Raw Data'!$M$7:$M$4649,"Delta")</f>
        <v>0</v>
      </c>
      <c r="T24" s="204" t="str">
        <f t="shared" si="12"/>
        <v>---</v>
      </c>
      <c r="U24" s="229" t="str">
        <f t="shared" si="13"/>
        <v>---</v>
      </c>
      <c r="V24" s="231" t="str">
        <f t="shared" si="9"/>
        <v>---</v>
      </c>
    </row>
    <row r="25" spans="1:22" x14ac:dyDescent="0.25">
      <c r="A25" s="333" t="s">
        <v>519</v>
      </c>
      <c r="B25" s="252">
        <f>SUMIFS('Diags Raw Data'!$L$7:$L$4649,'Diags Raw Data'!$D$7:$D$4649,$A25,'Diags Raw Data'!$M$7:$M$4649,"New")+SUMIFS('Diags Raw Data'!$L$7:$L$4649,'Diags Raw Data'!$D$7:$D$4649,$A25,'Diags Raw Data'!$M$7:$M$4649,"Delta")</f>
        <v>0</v>
      </c>
      <c r="C25" s="242">
        <f>SUMIFS('Diags Raw Data'!$R$7:$R$4649,'Diags Raw Data'!$D$7:$D$4649,$A25,'Diags Raw Data'!$M$7:$M$4649,"New")+SUMIFS('Diags Raw Data'!$R$7:$R$4649,'Diags Raw Data'!$D$7:$D$4649,$A25,'Diags Raw Data'!$M$7:$M$4649,"Delta")</f>
        <v>0</v>
      </c>
      <c r="D25" s="242">
        <f>SUMIFS('Diags Raw Data'!$K$7:$K$4649,'Diags Raw Data'!$D$7:$D$4649,$A25,'Diags Raw Data'!$M$7:$M$4649,"New")+SUMIFS('Diags Raw Data'!$K$7:$K$4649,'Diags Raw Data'!$D$7:$D$4649,$A25,'Diags Raw Data'!$M$7:$M$4649,"Delta")</f>
        <v>0</v>
      </c>
      <c r="E25" s="242">
        <f>SUMIFS('Diags Raw Data'!$O$7:$O$4649,'Diags Raw Data'!$D$7:$D$4649,$A25,'Diags Raw Data'!$M$7:$M$4649,"New")+SUMIFS('Diags Raw Data'!$O$7:$O$4649,'Diags Raw Data'!$D$7:$D$4649,$A25,'Diags Raw Data'!$M$7:$M$4649,"Delta")</f>
        <v>0</v>
      </c>
      <c r="F25" s="248" t="str">
        <f t="shared" si="8"/>
        <v>---</v>
      </c>
      <c r="G25" s="230">
        <f>SUMIFS('Diags Raw Data'!$S$7:$S$4649,'Diags Raw Data'!$D$7:$D$4649,$A25,'Diags Raw Data'!$M$7:$M$4649,"New")+SUMIFS('Diags Raw Data'!$S$7:$S$4649,'Diags Raw Data'!$D$7:$D$4649,$A25,'Diags Raw Data'!$M$7:$M$4649,"Delta")</f>
        <v>0</v>
      </c>
      <c r="H25" s="226">
        <f>SUMIFS('Diags Raw Data'!$T$7:$T$4649,'Diags Raw Data'!$D$7:$D$4649,$A25,'Diags Raw Data'!$M$7:$M$4649,"New")+SUMIFS('Diags Raw Data'!$T$7:$T$4649,'Diags Raw Data'!$D$7:$D$4649,$A25,'Diags Raw Data'!$M$7:$M$4649,"Delta")</f>
        <v>0</v>
      </c>
      <c r="I25" s="226">
        <f>SUMIFS('Diags Raw Data'!$U$7:$U$4649,'Diags Raw Data'!$D$7:$D$4649,$A25,'Diags Raw Data'!$M$7:$M$4649,"New")+SUMIFS('Diags Raw Data'!$U$7:$U$4649,'Diags Raw Data'!$D$7:$D$4649,$A25,'Diags Raw Data'!$M$7:$M$4649,"Delta")</f>
        <v>0</v>
      </c>
      <c r="J25" s="226">
        <f>SUMIFS('Diags Raw Data'!$V$7:$V$4649,'Diags Raw Data'!$D$7:$D$4649,$A25,'Diags Raw Data'!$M$7:$M$4649,"New")+SUMIFS('Diags Raw Data'!$V$7:$V$4649,'Diags Raw Data'!$D$7:$D$4649,$A25,'Diags Raw Data'!$M$7:$M$4649,"Delta")</f>
        <v>0</v>
      </c>
      <c r="K25" s="226">
        <f>SUMIFS('Diags Raw Data'!$W$7:$W$4649,'Diags Raw Data'!$D$7:$D$4649,$A25,'Diags Raw Data'!$M$7:$M$4649,"New")+SUMIFS('Diags Raw Data'!$W$7:$W$4649,'Diags Raw Data'!$D$7:$D$4649,$A25,'Diags Raw Data'!$M$7:$M$4649,"Delta")</f>
        <v>0</v>
      </c>
      <c r="L25" s="243" t="str">
        <f t="shared" si="10"/>
        <v>---</v>
      </c>
      <c r="M25" s="228" t="str">
        <f>IF(NOT($G25=0), (H25+I25)/$G25, "---")</f>
        <v>---</v>
      </c>
      <c r="N25" s="237" t="str">
        <f t="shared" si="11"/>
        <v>---</v>
      </c>
      <c r="O25" s="213">
        <f>SUMIFS('Diags Raw Data'!$Z$7:$Z$4649,'Diags Raw Data'!$D$7:$D$4649,$A25,'Diags Raw Data'!$M$7:$M$4649,"New")+SUMIFS('Diags Raw Data'!$Z$7:$Z$4649,'Diags Raw Data'!$D$7:$D$4649,$A25,'Diags Raw Data'!$M$7:$M$4649,"Delta")</f>
        <v>0</v>
      </c>
      <c r="P25" s="203">
        <f>SUMIFS('Diags Raw Data'!$AA$7:$AA$4649,'Diags Raw Data'!$D$7:$D$4649,$A25,'Diags Raw Data'!$M$7:$M$4649,"New")+SUMIFS('Diags Raw Data'!$AA$7:$AA$4649,'Diags Raw Data'!$D$7:$D$4649,$A25,'Diags Raw Data'!$M$7:$M$4649,"Delta")</f>
        <v>0</v>
      </c>
      <c r="Q25" s="203">
        <f>SUMIFS('Diags Raw Data'!$AB$7:$AB$4649,'Diags Raw Data'!$D$7:$D$4649,$A25,'Diags Raw Data'!$M$7:$M$4649,"New")+SUMIFS('Diags Raw Data'!$AB$7:$AB$4649,'Diags Raw Data'!$D$7:$D$4649,$A25,'Diags Raw Data'!$M$7:$M$4649,"Delta")</f>
        <v>0</v>
      </c>
      <c r="R25" s="203">
        <f>SUMIFS('Diags Raw Data'!$AC$7:$AC$4649,'Diags Raw Data'!$D$7:$D$4649,$A25,'Diags Raw Data'!$M$7:$M$4649,"New")+SUMIFS('Diags Raw Data'!$AC$7:$AC$4649,'Diags Raw Data'!$D$7:$D$4649,$A25,'Diags Raw Data'!$M$7:$M$4649,"Delta")</f>
        <v>0</v>
      </c>
      <c r="S25" s="203">
        <f>SUMIFS('Diags Raw Data'!$AD$7:$AD$4649,'Diags Raw Data'!$D$7:$D$4649,$A25,'Diags Raw Data'!$M$7:$M$4649,"New")+SUMIFS('Diags Raw Data'!$AD$7:$AD$4649,'Diags Raw Data'!$D$7:$D$4649,$A25,'Diags Raw Data'!$M$7:$M$4649,"Delta")</f>
        <v>0</v>
      </c>
      <c r="T25" s="204" t="str">
        <f t="shared" si="12"/>
        <v>---</v>
      </c>
      <c r="U25" s="229" t="str">
        <f t="shared" si="13"/>
        <v>---</v>
      </c>
      <c r="V25" s="231" t="str">
        <f t="shared" si="9"/>
        <v>---</v>
      </c>
    </row>
    <row r="26" spans="1:22" x14ac:dyDescent="0.25">
      <c r="A26" s="333" t="s">
        <v>520</v>
      </c>
      <c r="B26" s="252">
        <f>SUMIFS('Diags Raw Data'!$L$7:$L$4649,'Diags Raw Data'!$D$7:$D$4649,$A26,'Diags Raw Data'!$M$7:$M$4649,"New")+SUMIFS('Diags Raw Data'!$L$7:$L$4649,'Diags Raw Data'!$D$7:$D$4649,$A26,'Diags Raw Data'!$M$7:$M$4649,"Delta")</f>
        <v>0</v>
      </c>
      <c r="C26" s="242">
        <f>SUMIFS('Diags Raw Data'!$R$7:$R$4649,'Diags Raw Data'!$D$7:$D$4649,$A26,'Diags Raw Data'!$M$7:$M$4649,"New")+SUMIFS('Diags Raw Data'!$R$7:$R$4649,'Diags Raw Data'!$D$7:$D$4649,$A26,'Diags Raw Data'!$M$7:$M$4649,"Delta")</f>
        <v>0</v>
      </c>
      <c r="D26" s="242">
        <f>SUMIFS('Diags Raw Data'!$K$7:$K$4649,'Diags Raw Data'!$D$7:$D$4649,$A26,'Diags Raw Data'!$M$7:$M$4649,"New")+SUMIFS('Diags Raw Data'!$K$7:$K$4649,'Diags Raw Data'!$D$7:$D$4649,$A26,'Diags Raw Data'!$M$7:$M$4649,"Delta")</f>
        <v>0</v>
      </c>
      <c r="E26" s="242">
        <f>SUMIFS('Diags Raw Data'!$O$7:$O$4649,'Diags Raw Data'!$D$7:$D$4649,$A26,'Diags Raw Data'!$M$7:$M$4649,"New")+SUMIFS('Diags Raw Data'!$O$7:$O$4649,'Diags Raw Data'!$D$7:$D$4649,$A26,'Diags Raw Data'!$M$7:$M$4649,"Delta")</f>
        <v>0</v>
      </c>
      <c r="F26" s="248" t="str">
        <f t="shared" si="8"/>
        <v>---</v>
      </c>
      <c r="G26" s="230">
        <f>SUMIFS('Diags Raw Data'!$S$7:$S$4649,'Diags Raw Data'!$D$7:$D$4649,$A26,'Diags Raw Data'!$M$7:$M$4649,"New")+SUMIFS('Diags Raw Data'!$S$7:$S$4649,'Diags Raw Data'!$D$7:$D$4649,$A26,'Diags Raw Data'!$M$7:$M$4649,"Delta")</f>
        <v>0</v>
      </c>
      <c r="H26" s="226">
        <f>SUMIFS('Diags Raw Data'!$T$7:$T$4649,'Diags Raw Data'!$D$7:$D$4649,$A26,'Diags Raw Data'!$M$7:$M$4649,"New")+SUMIFS('Diags Raw Data'!$T$7:$T$4649,'Diags Raw Data'!$D$7:$D$4649,$A26,'Diags Raw Data'!$M$7:$M$4649,"Delta")</f>
        <v>0</v>
      </c>
      <c r="I26" s="226">
        <f>SUMIFS('Diags Raw Data'!$U$7:$U$4649,'Diags Raw Data'!$D$7:$D$4649,$A26,'Diags Raw Data'!$M$7:$M$4649,"New")+SUMIFS('Diags Raw Data'!$U$7:$U$4649,'Diags Raw Data'!$D$7:$D$4649,$A26,'Diags Raw Data'!$M$7:$M$4649,"Delta")</f>
        <v>0</v>
      </c>
      <c r="J26" s="226">
        <f>SUMIFS('Diags Raw Data'!$V$7:$V$4649,'Diags Raw Data'!$D$7:$D$4649,$A26,'Diags Raw Data'!$M$7:$M$4649,"New")+SUMIFS('Diags Raw Data'!$V$7:$V$4649,'Diags Raw Data'!$D$7:$D$4649,$A26,'Diags Raw Data'!$M$7:$M$4649,"Delta")</f>
        <v>0</v>
      </c>
      <c r="K26" s="226">
        <f>SUMIFS('Diags Raw Data'!$W$7:$W$4649,'Diags Raw Data'!$D$7:$D$4649,$A26,'Diags Raw Data'!$M$7:$M$4649,"New")+SUMIFS('Diags Raw Data'!$W$7:$W$4649,'Diags Raw Data'!$D$7:$D$4649,$A26,'Diags Raw Data'!$M$7:$M$4649,"Delta")</f>
        <v>0</v>
      </c>
      <c r="L26" s="243" t="str">
        <f t="shared" si="10"/>
        <v>---</v>
      </c>
      <c r="M26" s="228" t="str">
        <f t="shared" si="14"/>
        <v>---</v>
      </c>
      <c r="N26" s="237" t="str">
        <f t="shared" si="11"/>
        <v>---</v>
      </c>
      <c r="O26" s="213">
        <f>SUMIFS('Diags Raw Data'!$Z$7:$Z$4649,'Diags Raw Data'!$D$7:$D$4649,$A26,'Diags Raw Data'!$M$7:$M$4649,"New")+SUMIFS('Diags Raw Data'!$Z$7:$Z$4649,'Diags Raw Data'!$D$7:$D$4649,$A26,'Diags Raw Data'!$M$7:$M$4649,"Delta")</f>
        <v>0</v>
      </c>
      <c r="P26" s="203">
        <f>SUMIFS('Diags Raw Data'!$AA$7:$AA$4649,'Diags Raw Data'!$D$7:$D$4649,$A26,'Diags Raw Data'!$M$7:$M$4649,"New")+SUMIFS('Diags Raw Data'!$AA$7:$AA$4649,'Diags Raw Data'!$D$7:$D$4649,$A26,'Diags Raw Data'!$M$7:$M$4649,"Delta")</f>
        <v>0</v>
      </c>
      <c r="Q26" s="203">
        <f>SUMIFS('Diags Raw Data'!$AB$7:$AB$4649,'Diags Raw Data'!$D$7:$D$4649,$A26,'Diags Raw Data'!$M$7:$M$4649,"New")+SUMIFS('Diags Raw Data'!$AB$7:$AB$4649,'Diags Raw Data'!$D$7:$D$4649,$A26,'Diags Raw Data'!$M$7:$M$4649,"Delta")</f>
        <v>0</v>
      </c>
      <c r="R26" s="203">
        <f>SUMIFS('Diags Raw Data'!$AC$7:$AC$4649,'Diags Raw Data'!$D$7:$D$4649,$A26,'Diags Raw Data'!$M$7:$M$4649,"New")+SUMIFS('Diags Raw Data'!$AC$7:$AC$4649,'Diags Raw Data'!$D$7:$D$4649,$A26,'Diags Raw Data'!$M$7:$M$4649,"Delta")</f>
        <v>0</v>
      </c>
      <c r="S26" s="203">
        <f>SUMIFS('Diags Raw Data'!$AD$7:$AD$4649,'Diags Raw Data'!$D$7:$D$4649,$A26,'Diags Raw Data'!$M$7:$M$4649,"New")+SUMIFS('Diags Raw Data'!$AD$7:$AD$4649,'Diags Raw Data'!$D$7:$D$4649,$A26,'Diags Raw Data'!$M$7:$M$4649,"Delta")</f>
        <v>0</v>
      </c>
      <c r="T26" s="204" t="str">
        <f t="shared" si="12"/>
        <v>---</v>
      </c>
      <c r="U26" s="229" t="str">
        <f t="shared" si="13"/>
        <v>---</v>
      </c>
      <c r="V26" s="231" t="str">
        <f t="shared" si="9"/>
        <v>---</v>
      </c>
    </row>
    <row r="27" spans="1:22" ht="15.75" thickBot="1" x14ac:dyDescent="0.3">
      <c r="A27" s="334" t="s">
        <v>521</v>
      </c>
      <c r="B27" s="253">
        <f>SUMIFS('Diags Raw Data'!$L$7:$L$4649,'Diags Raw Data'!$D$7:$D$4649,$A27,'Diags Raw Data'!$M$7:$M$4649,"New")+SUMIFS('Diags Raw Data'!$L$7:$L$4649,'Diags Raw Data'!$D$7:$D$4649,$A27,'Diags Raw Data'!$M$7:$M$4649,"Delta")</f>
        <v>0</v>
      </c>
      <c r="C27" s="244">
        <f>SUMIFS('Diags Raw Data'!$R$7:$R$4649,'Diags Raw Data'!$D$7:$D$4649,$A27,'Diags Raw Data'!$M$7:$M$4649,"New")+SUMIFS('Diags Raw Data'!$R$7:$R$4649,'Diags Raw Data'!$D$7:$D$4649,$A27,'Diags Raw Data'!$M$7:$M$4649,"Delta")</f>
        <v>0</v>
      </c>
      <c r="D27" s="244">
        <f>SUMIFS('Diags Raw Data'!$K$7:$K$4649,'Diags Raw Data'!$D$7:$D$4649,$A27,'Diags Raw Data'!$M$7:$M$4649,"New")+SUMIFS('Diags Raw Data'!$K$7:$K$4649,'Diags Raw Data'!$D$7:$D$4649,$A27,'Diags Raw Data'!$M$7:$M$4649,"Delta")</f>
        <v>0</v>
      </c>
      <c r="E27" s="244">
        <f>SUMIFS('Diags Raw Data'!$O$7:$O$4649,'Diags Raw Data'!$D$7:$D$4649,$A27,'Diags Raw Data'!$M$7:$M$4649,"New")+SUMIFS('Diags Raw Data'!$O$7:$O$4649,'Diags Raw Data'!$D$7:$D$4649,$A27,'Diags Raw Data'!$M$7:$M$4649,"Delta")</f>
        <v>0</v>
      </c>
      <c r="F27" s="249" t="str">
        <f t="shared" si="8"/>
        <v>---</v>
      </c>
      <c r="G27" s="232">
        <f>SUMIFS('Diags Raw Data'!$S$7:$S$4649,'Diags Raw Data'!$D$7:$D$4649,$A27,'Diags Raw Data'!$M$7:$M$4649,"New")+SUMIFS('Diags Raw Data'!$S$7:$S$4649,'Diags Raw Data'!$D$7:$D$4649,$A27,'Diags Raw Data'!$M$7:$M$4649,"Delta")</f>
        <v>0</v>
      </c>
      <c r="H27" s="233">
        <f>SUMIFS('Diags Raw Data'!$T$7:$T$4649,'Diags Raw Data'!$D$7:$D$4649,$A27,'Diags Raw Data'!$M$7:$M$4649,"New")+SUMIFS('Diags Raw Data'!$T$7:$T$4649,'Diags Raw Data'!$D$7:$D$4649,$A27,'Diags Raw Data'!$M$7:$M$4649,"Delta")</f>
        <v>0</v>
      </c>
      <c r="I27" s="233">
        <f>SUMIFS('Diags Raw Data'!$U$7:$U$4649,'Diags Raw Data'!$D$7:$D$4649,$A27,'Diags Raw Data'!$M$7:$M$4649,"New")+SUMIFS('Diags Raw Data'!$U$7:$U$4649,'Diags Raw Data'!$D$7:$D$4649,$A27,'Diags Raw Data'!$M$7:$M$4649,"Delta")</f>
        <v>0</v>
      </c>
      <c r="J27" s="233">
        <f>SUMIFS('Diags Raw Data'!$V$7:$V$4649,'Diags Raw Data'!$D$7:$D$4649,$A27,'Diags Raw Data'!$M$7:$M$4649,"New")+SUMIFS('Diags Raw Data'!$V$7:$V$4649,'Diags Raw Data'!$D$7:$D$4649,$A27,'Diags Raw Data'!$M$7:$M$4649,"Delta")</f>
        <v>0</v>
      </c>
      <c r="K27" s="233">
        <f>SUMIFS('Diags Raw Data'!$W$7:$W$4649,'Diags Raw Data'!$D$7:$D$4649,$A27,'Diags Raw Data'!$M$7:$M$4649,"New")+SUMIFS('Diags Raw Data'!$W$7:$W$4649,'Diags Raw Data'!$D$7:$D$4649,$A27,'Diags Raw Data'!$M$7:$M$4649,"Delta")</f>
        <v>0</v>
      </c>
      <c r="L27" s="245" t="str">
        <f t="shared" si="10"/>
        <v>---</v>
      </c>
      <c r="M27" s="235" t="str">
        <f t="shared" si="14"/>
        <v>---</v>
      </c>
      <c r="N27" s="238" t="str">
        <f t="shared" si="11"/>
        <v>---</v>
      </c>
      <c r="O27" s="214">
        <f>SUMIFS('Diags Raw Data'!$Z$7:$Z$4649,'Diags Raw Data'!$D$7:$D$4649,$A27,'Diags Raw Data'!$M$7:$M$4649,"New")+SUMIFS('Diags Raw Data'!$Z$7:$Z$4649,'Diags Raw Data'!$D$7:$D$4649,$A27,'Diags Raw Data'!$M$7:$M$4649,"Delta")</f>
        <v>0</v>
      </c>
      <c r="P27" s="206">
        <f>SUMIFS('Diags Raw Data'!$AA$7:$AA$4649,'Diags Raw Data'!$D$7:$D$4649,$A27,'Diags Raw Data'!$M$7:$M$4649,"New")+SUMIFS('Diags Raw Data'!$AA$7:$AA$4649,'Diags Raw Data'!$D$7:$D$4649,$A27,'Diags Raw Data'!$M$7:$M$4649,"Delta")</f>
        <v>0</v>
      </c>
      <c r="Q27" s="206">
        <f>SUMIFS('Diags Raw Data'!$AB$7:$AB$4649,'Diags Raw Data'!$D$7:$D$4649,$A27,'Diags Raw Data'!$M$7:$M$4649,"New")+SUMIFS('Diags Raw Data'!$AB$7:$AB$4649,'Diags Raw Data'!$D$7:$D$4649,$A27,'Diags Raw Data'!$M$7:$M$4649,"Delta")</f>
        <v>0</v>
      </c>
      <c r="R27" s="206">
        <f>SUMIFS('Diags Raw Data'!$AC$7:$AC$4649,'Diags Raw Data'!$D$7:$D$4649,$A27,'Diags Raw Data'!$M$7:$M$4649,"New")+SUMIFS('Diags Raw Data'!$AC$7:$AC$4649,'Diags Raw Data'!$D$7:$D$4649,$A27,'Diags Raw Data'!$M$7:$M$4649,"Delta")</f>
        <v>0</v>
      </c>
      <c r="S27" s="206">
        <f>SUMIFS('Diags Raw Data'!$AD$7:$AD$4649,'Diags Raw Data'!$D$7:$D$4649,$A27,'Diags Raw Data'!$M$7:$M$4649,"New")+SUMIFS('Diags Raw Data'!$AD$7:$AD$4649,'Diags Raw Data'!$D$7:$D$4649,$A27,'Diags Raw Data'!$M$7:$M$4649,"Delta")</f>
        <v>0</v>
      </c>
      <c r="T27" s="207" t="str">
        <f t="shared" si="12"/>
        <v>---</v>
      </c>
      <c r="U27" s="239" t="str">
        <f t="shared" si="13"/>
        <v>---</v>
      </c>
      <c r="V27" s="236" t="str">
        <f t="shared" si="9"/>
        <v>---</v>
      </c>
    </row>
    <row r="28" spans="1:22" ht="16.5" thickBot="1" x14ac:dyDescent="0.3">
      <c r="A28" s="255" t="s">
        <v>524</v>
      </c>
      <c r="B28" s="256">
        <f>SUM(B18:B27)</f>
        <v>0</v>
      </c>
      <c r="C28" s="257">
        <f>SUM(C18:C27)</f>
        <v>0</v>
      </c>
      <c r="D28" s="257">
        <f>SUM(D18:D27)</f>
        <v>0</v>
      </c>
      <c r="E28" s="257">
        <f>SUM(E18:E27)</f>
        <v>0</v>
      </c>
      <c r="F28" s="258" t="e" cm="1">
        <f t="array" ref="F28">SUMPRODUCT(--(ISNUMBER(SEARCH("New",'Diags Raw Data'!$M$7:$M$4649))),'Diags Raw Data'!$K$7:$K$4649,'Diags Raw Data'!$P$7:$P$4649)/D28+SUMPRODUCT(--(ISNUMBER(SEARCH("Delta",'Diags Raw Data'!$M$7:$M$4649))),'Diags Raw Data'!$K$7:$K$4649,'Diags Raw Data'!$P$7:$P$4649)/D28</f>
        <v>#DIV/0!</v>
      </c>
      <c r="G28" s="259">
        <f>SUM(G18:G27)</f>
        <v>0</v>
      </c>
      <c r="H28" s="260">
        <f>SUM(H18:H27)</f>
        <v>0</v>
      </c>
      <c r="I28" s="261">
        <f>SUM(I18:I27)</f>
        <v>0</v>
      </c>
      <c r="J28" s="260">
        <f>SUM(J18:J27)</f>
        <v>0</v>
      </c>
      <c r="K28" s="261">
        <f>SUM(K18:K27)</f>
        <v>0</v>
      </c>
      <c r="L28" s="262" t="str">
        <f>IF(NOT($C28=0), G28/$C28, "---")</f>
        <v>---</v>
      </c>
      <c r="M28" s="263" t="str">
        <f t="shared" si="14"/>
        <v>---</v>
      </c>
      <c r="N28" s="264" t="str">
        <f>IF(NOT($C28=0), (H28+I28)/$C28, "---")</f>
        <v>---</v>
      </c>
      <c r="O28" s="265">
        <f>SUM(O18:O27)</f>
        <v>0</v>
      </c>
      <c r="P28" s="266">
        <f>SUM(P18:P27)</f>
        <v>0</v>
      </c>
      <c r="Q28" s="267">
        <f>SUM(Q18:Q27)</f>
        <v>0</v>
      </c>
      <c r="R28" s="266">
        <f>SUM(R18:R27)</f>
        <v>0</v>
      </c>
      <c r="S28" s="267">
        <f>SUM(S18:S27)</f>
        <v>0</v>
      </c>
      <c r="T28" s="268" t="str">
        <f>IF(NOT($B28=0), O28/$B28, "---")</f>
        <v>---</v>
      </c>
      <c r="U28" s="269" t="str">
        <f t="shared" si="13"/>
        <v>---</v>
      </c>
      <c r="V28" s="270" t="str">
        <f t="shared" si="9"/>
        <v>---</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754" t="s">
        <v>183</v>
      </c>
      <c r="C30" s="754"/>
      <c r="D30" s="754"/>
      <c r="E30" s="754"/>
      <c r="F30" s="754"/>
      <c r="G30" s="755" t="s">
        <v>194</v>
      </c>
      <c r="H30" s="756"/>
      <c r="I30" s="756"/>
      <c r="J30" s="756"/>
      <c r="K30" s="756"/>
      <c r="L30" s="756"/>
      <c r="M30" s="756"/>
      <c r="N30" s="757"/>
      <c r="O30" s="758" t="s">
        <v>161</v>
      </c>
      <c r="P30" s="759"/>
      <c r="Q30" s="759"/>
      <c r="R30" s="759"/>
      <c r="S30" s="759"/>
      <c r="T30" s="759"/>
      <c r="U30" s="759"/>
      <c r="V30" s="760"/>
    </row>
    <row r="31" spans="1:22" s="250" customFormat="1" ht="15.75" thickBot="1" x14ac:dyDescent="0.3">
      <c r="A31" s="254" t="s">
        <v>105</v>
      </c>
      <c r="B31" s="311" t="s">
        <v>184</v>
      </c>
      <c r="C31" s="312" t="s">
        <v>145</v>
      </c>
      <c r="D31" s="313" t="s">
        <v>122</v>
      </c>
      <c r="E31" s="313" t="s">
        <v>190</v>
      </c>
      <c r="F31" s="314" t="s">
        <v>192</v>
      </c>
      <c r="G31" s="315" t="s">
        <v>149</v>
      </c>
      <c r="H31" s="316" t="s">
        <v>30</v>
      </c>
      <c r="I31" s="316" t="s">
        <v>152</v>
      </c>
      <c r="J31" s="316" t="s">
        <v>36</v>
      </c>
      <c r="K31" s="316" t="s">
        <v>155</v>
      </c>
      <c r="L31" s="316" t="s">
        <v>201</v>
      </c>
      <c r="M31" s="316" t="s">
        <v>157</v>
      </c>
      <c r="N31" s="317" t="s">
        <v>204</v>
      </c>
      <c r="O31" s="318" t="s">
        <v>149</v>
      </c>
      <c r="P31" s="319" t="s">
        <v>30</v>
      </c>
      <c r="Q31" s="319" t="s">
        <v>152</v>
      </c>
      <c r="R31" s="319" t="s">
        <v>36</v>
      </c>
      <c r="S31" s="319" t="s">
        <v>155</v>
      </c>
      <c r="T31" s="319" t="s">
        <v>201</v>
      </c>
      <c r="U31" s="319" t="s">
        <v>157</v>
      </c>
      <c r="V31" s="320" t="s">
        <v>204</v>
      </c>
    </row>
    <row r="32" spans="1:22" x14ac:dyDescent="0.25">
      <c r="A32" s="333" t="s">
        <v>512</v>
      </c>
      <c r="B32" s="251">
        <f>SUMIFS('Diags Raw Data'!$L$7:$L$4649,'Diags Raw Data'!$D$7:$D$4649,$A32,'Diags Raw Data'!$M$7:$M$4649,"Legacy")</f>
        <v>0</v>
      </c>
      <c r="C32" s="241">
        <f>SUMIFS('Diags Raw Data'!$R$7:$R$4649,'Diags Raw Data'!$D$7:$D$4649,$A32,'Diags Raw Data'!$M$7:$M$4649,"Legacy")</f>
        <v>0</v>
      </c>
      <c r="D32" s="241">
        <f>SUMIFS('Diags Raw Data'!$K$7:$K$4649,'Diags Raw Data'!$D$7:$D$4649,$A32,'Diags Raw Data'!$M$7:$M$4649,"Legacy")</f>
        <v>0</v>
      </c>
      <c r="E32" s="241">
        <f>SUMIFS('Diags Raw Data'!$O$7:$O$4649,'Diags Raw Data'!$D$7:$D$4649,$A32,'Diags Raw Data'!$M$7:$M$4649,"Legacy")</f>
        <v>0</v>
      </c>
      <c r="F32" s="247" t="str">
        <f>IF(NOT($B32=0), E32/$B32, "---")</f>
        <v>---</v>
      </c>
      <c r="G32" s="219">
        <f>SUMIFS('Diags Raw Data'!$S$7:$S$4649,'Diags Raw Data'!$D$7:$D$4649,$A32,'Diags Raw Data'!$M$7:$M$4649,"Legacy")</f>
        <v>0</v>
      </c>
      <c r="H32" s="220">
        <f>SUMIFS('Diags Raw Data'!$T$7:$T$4649,'Diags Raw Data'!$D$7:$D$4649,$A32,'Diags Raw Data'!$M$7:$M$4649,"Legacy")</f>
        <v>0</v>
      </c>
      <c r="I32" s="222">
        <f>SUMIFS('Diags Raw Data'!$U$7:$U$4649,'Diags Raw Data'!$D$7:$D$4649,$A32,'Diags Raw Data'!$M$7:$M$4649,"Legacy")</f>
        <v>0</v>
      </c>
      <c r="J32" s="220">
        <f>SUMIFS('Diags Raw Data'!$V$7:$V$4649,'Diags Raw Data'!$D$7:$D$4649,$A32,'Diags Raw Data'!$M$7:$M$4649,"Legacy")</f>
        <v>0</v>
      </c>
      <c r="K32" s="222">
        <f>SUMIFS('Diags Raw Data'!$W$7:$W$4649,'Diags Raw Data'!$D$7:$D$4649,$A32,'Diags Raw Data'!$M$7:$M$4649,"Legacy")</f>
        <v>0</v>
      </c>
      <c r="L32" s="221" t="str">
        <f>IF(NOT($C32=0), G32/$C32, "---")</f>
        <v>---</v>
      </c>
      <c r="M32" s="223" t="str">
        <f>IF(NOT($G32=0), (H32+I32)/$G32, "---")</f>
        <v>---</v>
      </c>
      <c r="N32" s="225" t="str">
        <f>IF(NOT($C32=0), (H32+I32)/$C32, "---")</f>
        <v>---</v>
      </c>
      <c r="O32" s="212">
        <f>SUMIFS('Diags Raw Data'!$Z$7:$Z$4649,'Diags Raw Data'!$D$7:$D$4649,$A32,'Diags Raw Data'!$M$7:$M$4649,"Legacy")</f>
        <v>0</v>
      </c>
      <c r="P32" s="209">
        <f>SUMIFS('Diags Raw Data'!$AA$7:$AA$4649,'Diags Raw Data'!$D$7:$D$4649,$A32,'Diags Raw Data'!$M$7:$M$4649,"Legacy")</f>
        <v>0</v>
      </c>
      <c r="Q32" s="211">
        <f>SUMIFS('Diags Raw Data'!$AB$7:$AB$4649,'Diags Raw Data'!$D$7:$D$4649,$A32,'Diags Raw Data'!$M$7:$M$4649,"Legacy")</f>
        <v>0</v>
      </c>
      <c r="R32" s="209">
        <f>SUMIFS('Diags Raw Data'!$AC$7:$AC$4649,'Diags Raw Data'!$D$7:$D$4649,$A32,'Diags Raw Data'!$M$7:$M$4649,"Legacy")</f>
        <v>0</v>
      </c>
      <c r="S32" s="211">
        <f>SUMIFS('Diags Raw Data'!$AD$7:$AD$4649,'Diags Raw Data'!$D$7:$D$4649,$A32,'Diags Raw Data'!$M$7:$M$4649,"Legacy")</f>
        <v>0</v>
      </c>
      <c r="T32" s="210" t="str">
        <f>IF(NOT($B32=0), O32/$B32, "---")</f>
        <v>---</v>
      </c>
      <c r="U32" s="224" t="str">
        <f>IF(NOT($O32=0), (P32+Q32)/$O32, "---")</f>
        <v>---</v>
      </c>
      <c r="V32" s="240" t="str">
        <f>IF(NOT($B32=0), (P32+Q32)/$B32, "---")</f>
        <v>---</v>
      </c>
    </row>
    <row r="33" spans="1:22" x14ac:dyDescent="0.25">
      <c r="A33" s="333" t="s">
        <v>513</v>
      </c>
      <c r="B33" s="252">
        <f>SUMIFS('Diags Raw Data'!$L$7:$L$4649,'Diags Raw Data'!$D$7:$D$4649,$A33,'Diags Raw Data'!$M$7:$M$4649,"Legacy")</f>
        <v>0</v>
      </c>
      <c r="C33" s="242">
        <f>SUMIFS('Diags Raw Data'!$R$7:$R$4649,'Diags Raw Data'!$D$7:$D$4649,$A33,'Diags Raw Data'!$M$7:$M$4649,"Legacy")</f>
        <v>0</v>
      </c>
      <c r="D33" s="242">
        <f>SUMIFS('Diags Raw Data'!$K$7:$K$4649,'Diags Raw Data'!$D$7:$D$4649,$A33,'Diags Raw Data'!$M$7:$M$4649,"Legacy")</f>
        <v>0</v>
      </c>
      <c r="E33" s="242">
        <f>SUMIFS('Diags Raw Data'!$O$7:$O$4649,'Diags Raw Data'!$D$7:$D$4649,$A33,'Diags Raw Data'!$M$7:$M$4649,"Legacy")</f>
        <v>0</v>
      </c>
      <c r="F33" s="248" t="str">
        <f t="shared" ref="F33:F41" si="15">IF(NOT($B33=0), E33/$B33, "---")</f>
        <v>---</v>
      </c>
      <c r="G33" s="230">
        <f>SUMIFS('Diags Raw Data'!$S$7:$S$4649,'Diags Raw Data'!$D$7:$D$4649,$A33,'Diags Raw Data'!$M$7:$M$4649,"Legacy")</f>
        <v>0</v>
      </c>
      <c r="H33" s="226">
        <f>SUMIFS('Diags Raw Data'!$T$7:$T$4649,'Diags Raw Data'!$D$7:$D$4649,$A33,'Diags Raw Data'!$M$7:$M$4649,"Legacy")</f>
        <v>0</v>
      </c>
      <c r="I33" s="227">
        <f>SUMIFS('Diags Raw Data'!$U$7:$U$4649,'Diags Raw Data'!$D$7:$D$4649,$A33,'Diags Raw Data'!$M$7:$M$4649,"Legacy")</f>
        <v>0</v>
      </c>
      <c r="J33" s="226">
        <f>SUMIFS('Diags Raw Data'!$V$7:$V$4649,'Diags Raw Data'!$D$7:$D$4649,$A33,'Diags Raw Data'!$M$7:$M$4649,"Legacy")</f>
        <v>0</v>
      </c>
      <c r="K33" s="227">
        <f>SUMIFS('Diags Raw Data'!$W$7:$W$4649,'Diags Raw Data'!$D$7:$D$4649,$A33,'Diags Raw Data'!$M$7:$M$4649,"Legacy")</f>
        <v>0</v>
      </c>
      <c r="L33" s="243" t="str">
        <f t="shared" ref="L33:L41" si="16">IF(NOT($C33=0), G33/$C33, "---")</f>
        <v>---</v>
      </c>
      <c r="M33" s="228" t="str">
        <f t="shared" ref="M33:M42" si="17">IF(NOT($G33=0), (H33+I33)/$G33, "---")</f>
        <v>---</v>
      </c>
      <c r="N33" s="237" t="str">
        <f t="shared" ref="N33:N42" si="18">IF(NOT($C33=0), (H33+I33)/$C33, "---")</f>
        <v>---</v>
      </c>
      <c r="O33" s="213">
        <f>SUMIFS('Diags Raw Data'!$Z$7:$Z$4649,'Diags Raw Data'!$D$7:$D$4649,$A33,'Diags Raw Data'!$M$7:$M$4649,"Legacy")</f>
        <v>0</v>
      </c>
      <c r="P33" s="203">
        <f>SUMIFS('Diags Raw Data'!$AA$7:$AA$4649,'Diags Raw Data'!$D$7:$D$4649,$A33,'Diags Raw Data'!$M$7:$M$4649,"Legacy")</f>
        <v>0</v>
      </c>
      <c r="Q33" s="205">
        <f>SUMIFS('Diags Raw Data'!$AB$7:$AB$4649,'Diags Raw Data'!$D$7:$D$4649,$A33,'Diags Raw Data'!$M$7:$M$4649,"Legacy")</f>
        <v>0</v>
      </c>
      <c r="R33" s="203">
        <f>SUMIFS('Diags Raw Data'!$AC$7:$AC$4649,'Diags Raw Data'!$D$7:$D$4649,$A33,'Diags Raw Data'!$M$7:$M$4649,"Legacy")</f>
        <v>0</v>
      </c>
      <c r="S33" s="205">
        <f>SUMIFS('Diags Raw Data'!$AD$7:$AD$4649,'Diags Raw Data'!$D$7:$D$4649,$A33,'Diags Raw Data'!$M$7:$M$4649,"Legacy")</f>
        <v>0</v>
      </c>
      <c r="T33" s="204" t="str">
        <f t="shared" ref="T33:T41" si="19">IF(NOT($B33=0), O33/$B33, "---")</f>
        <v>---</v>
      </c>
      <c r="U33" s="229" t="str">
        <f t="shared" ref="U33:U42" si="20">IF(NOT($O33=0), (P33+Q33)/$O33, "---")</f>
        <v>---</v>
      </c>
      <c r="V33" s="231" t="str">
        <f t="shared" ref="V33:V41" si="21">IF(NOT($B33=0), (P33+Q33)/$B33, "---")</f>
        <v>---</v>
      </c>
    </row>
    <row r="34" spans="1:22" x14ac:dyDescent="0.25">
      <c r="A34" s="333" t="s">
        <v>514</v>
      </c>
      <c r="B34" s="252">
        <f>SUMIFS('Diags Raw Data'!$L$7:$L$4649,'Diags Raw Data'!$D$7:$D$4649,$A34,'Diags Raw Data'!$M$7:$M$4649,"Legacy")</f>
        <v>0</v>
      </c>
      <c r="C34" s="242">
        <f>SUMIFS('Diags Raw Data'!$R$7:$R$4649,'Diags Raw Data'!$D$7:$D$4649,$A34,'Diags Raw Data'!$M$7:$M$4649,"Legacy")</f>
        <v>0</v>
      </c>
      <c r="D34" s="242">
        <f>SUMIFS('Diags Raw Data'!$K$7:$K$4649,'Diags Raw Data'!$D$7:$D$4649,$A34,'Diags Raw Data'!$M$7:$M$4649,"Legacy")</f>
        <v>0</v>
      </c>
      <c r="E34" s="242">
        <f>SUMIFS('Diags Raw Data'!$O$7:$O$4649,'Diags Raw Data'!$D$7:$D$4649,$A34,'Diags Raw Data'!$M$7:$M$4649,"Legacy")</f>
        <v>0</v>
      </c>
      <c r="F34" s="248" t="str">
        <f t="shared" si="15"/>
        <v>---</v>
      </c>
      <c r="G34" s="230">
        <f>SUMIFS('Diags Raw Data'!$S$7:$S$4649,'Diags Raw Data'!$D$7:$D$4649,$A34,'Diags Raw Data'!$M$7:$M$4649,"Legacy")</f>
        <v>0</v>
      </c>
      <c r="H34" s="226">
        <f>SUMIFS('Diags Raw Data'!$T$7:$T$4649,'Diags Raw Data'!$D$7:$D$4649,$A34,'Diags Raw Data'!$M$7:$M$4649,"Legacy")</f>
        <v>0</v>
      </c>
      <c r="I34" s="227">
        <f>SUMIFS('Diags Raw Data'!$U$7:$U$4649,'Diags Raw Data'!$D$7:$D$4649,$A34,'Diags Raw Data'!$M$7:$M$4649,"Legacy")</f>
        <v>0</v>
      </c>
      <c r="J34" s="226">
        <f>SUMIFS('Diags Raw Data'!$V$7:$V$4649,'Diags Raw Data'!$D$7:$D$4649,$A34,'Diags Raw Data'!$M$7:$M$4649,"Legacy")</f>
        <v>0</v>
      </c>
      <c r="K34" s="227">
        <f>SUMIFS('Diags Raw Data'!$W$7:$W$4649,'Diags Raw Data'!$D$7:$D$4649,$A34,'Diags Raw Data'!$M$7:$M$4649,"Legacy")</f>
        <v>0</v>
      </c>
      <c r="L34" s="243" t="str">
        <f t="shared" si="16"/>
        <v>---</v>
      </c>
      <c r="M34" s="228" t="str">
        <f t="shared" si="17"/>
        <v>---</v>
      </c>
      <c r="N34" s="237" t="str">
        <f t="shared" si="18"/>
        <v>---</v>
      </c>
      <c r="O34" s="213">
        <f>SUMIFS('Diags Raw Data'!$Z$7:$Z$4649,'Diags Raw Data'!$D$7:$D$4649,$A34,'Diags Raw Data'!$M$7:$M$4649,"Legacy")</f>
        <v>0</v>
      </c>
      <c r="P34" s="203">
        <f>SUMIFS('Diags Raw Data'!$AA$7:$AA$4649,'Diags Raw Data'!$D$7:$D$4649,$A34,'Diags Raw Data'!$M$7:$M$4649,"Legacy")</f>
        <v>0</v>
      </c>
      <c r="Q34" s="205">
        <f>SUMIFS('Diags Raw Data'!$AB$7:$AB$4649,'Diags Raw Data'!$D$7:$D$4649,$A34,'Diags Raw Data'!$M$7:$M$4649,"Legacy")</f>
        <v>0</v>
      </c>
      <c r="R34" s="203">
        <f>SUMIFS('Diags Raw Data'!$AC$7:$AC$4649,'Diags Raw Data'!$D$7:$D$4649,$A34,'Diags Raw Data'!$M$7:$M$4649,"Legacy")</f>
        <v>0</v>
      </c>
      <c r="S34" s="205">
        <f>SUMIFS('Diags Raw Data'!$AD$7:$AD$4649,'Diags Raw Data'!$D$7:$D$4649,$A34,'Diags Raw Data'!$M$7:$M$4649,"Legacy")</f>
        <v>0</v>
      </c>
      <c r="T34" s="204" t="str">
        <f t="shared" si="19"/>
        <v>---</v>
      </c>
      <c r="U34" s="229" t="str">
        <f t="shared" si="20"/>
        <v>---</v>
      </c>
      <c r="V34" s="231" t="str">
        <f t="shared" si="21"/>
        <v>---</v>
      </c>
    </row>
    <row r="35" spans="1:22" x14ac:dyDescent="0.25">
      <c r="A35" s="333" t="s">
        <v>515</v>
      </c>
      <c r="B35" s="252">
        <f>SUMIFS('Diags Raw Data'!$L$7:$L$4649,'Diags Raw Data'!$D$7:$D$4649,$A35,'Diags Raw Data'!$M$7:$M$4649,"Legacy")</f>
        <v>0</v>
      </c>
      <c r="C35" s="242">
        <f>SUMIFS('Diags Raw Data'!$R$7:$R$4649,'Diags Raw Data'!$D$7:$D$4649,$A35,'Diags Raw Data'!$M$7:$M$4649,"Legacy")</f>
        <v>0</v>
      </c>
      <c r="D35" s="242">
        <f>SUMIFS('Diags Raw Data'!$K$7:$K$4649,'Diags Raw Data'!$D$7:$D$4649,$A35,'Diags Raw Data'!$M$7:$M$4649,"Legacy")</f>
        <v>0</v>
      </c>
      <c r="E35" s="242">
        <f>SUMIFS('Diags Raw Data'!$O$7:$O$4649,'Diags Raw Data'!$D$7:$D$4649,$A35,'Diags Raw Data'!$M$7:$M$4649,"Legacy")</f>
        <v>0</v>
      </c>
      <c r="F35" s="248" t="str">
        <f t="shared" si="15"/>
        <v>---</v>
      </c>
      <c r="G35" s="230">
        <f>SUMIFS('Diags Raw Data'!$S$7:$S$4649,'Diags Raw Data'!$D$7:$D$4649,$A35,'Diags Raw Data'!$M$7:$M$4649,"Legacy")</f>
        <v>0</v>
      </c>
      <c r="H35" s="226">
        <f>SUMIFS('Diags Raw Data'!$T$7:$T$4649,'Diags Raw Data'!$D$7:$D$4649,$A35,'Diags Raw Data'!$M$7:$M$4649,"Legacy")</f>
        <v>0</v>
      </c>
      <c r="I35" s="227">
        <f>SUMIFS('Diags Raw Data'!$U$7:$U$4649,'Diags Raw Data'!$D$7:$D$4649,$A35,'Diags Raw Data'!$M$7:$M$4649,"Legacy")</f>
        <v>0</v>
      </c>
      <c r="J35" s="226">
        <f>SUMIFS('Diags Raw Data'!$V$7:$V$4649,'Diags Raw Data'!$D$7:$D$4649,$A35,'Diags Raw Data'!$M$7:$M$4649,"Legacy")</f>
        <v>0</v>
      </c>
      <c r="K35" s="227">
        <f>SUMIFS('Diags Raw Data'!$W$7:$W$4649,'Diags Raw Data'!$D$7:$D$4649,$A35,'Diags Raw Data'!$M$7:$M$4649,"Legacy")</f>
        <v>0</v>
      </c>
      <c r="L35" s="243" t="str">
        <f t="shared" si="16"/>
        <v>---</v>
      </c>
      <c r="M35" s="228" t="str">
        <f t="shared" si="17"/>
        <v>---</v>
      </c>
      <c r="N35" s="237" t="str">
        <f t="shared" si="18"/>
        <v>---</v>
      </c>
      <c r="O35" s="213">
        <f>SUMIFS('Diags Raw Data'!$Z$7:$Z$4649,'Diags Raw Data'!$D$7:$D$4649,$A35,'Diags Raw Data'!$M$7:$M$4649,"Legacy")</f>
        <v>0</v>
      </c>
      <c r="P35" s="203">
        <f>SUMIFS('Diags Raw Data'!$AA$7:$AA$4649,'Diags Raw Data'!$D$7:$D$4649,$A35,'Diags Raw Data'!$M$7:$M$4649,"Legacy")</f>
        <v>0</v>
      </c>
      <c r="Q35" s="205">
        <f>SUMIFS('Diags Raw Data'!$AB$7:$AB$4649,'Diags Raw Data'!$D$7:$D$4649,$A35,'Diags Raw Data'!$M$7:$M$4649,"Legacy")</f>
        <v>0</v>
      </c>
      <c r="R35" s="203">
        <f>SUMIFS('Diags Raw Data'!$AC$7:$AC$4649,'Diags Raw Data'!$D$7:$D$4649,$A35,'Diags Raw Data'!$M$7:$M$4649,"Legacy")</f>
        <v>0</v>
      </c>
      <c r="S35" s="205">
        <f>SUMIFS('Diags Raw Data'!$AD$7:$AD$4649,'Diags Raw Data'!$D$7:$D$4649,$A35,'Diags Raw Data'!$M$7:$M$4649,"Legacy")</f>
        <v>0</v>
      </c>
      <c r="T35" s="204" t="str">
        <f t="shared" si="19"/>
        <v>---</v>
      </c>
      <c r="U35" s="229" t="str">
        <f t="shared" si="20"/>
        <v>---</v>
      </c>
      <c r="V35" s="231" t="str">
        <f t="shared" si="21"/>
        <v>---</v>
      </c>
    </row>
    <row r="36" spans="1:22" x14ac:dyDescent="0.25">
      <c r="A36" s="333" t="s">
        <v>516</v>
      </c>
      <c r="B36" s="252">
        <f>SUMIFS('Diags Raw Data'!$L$7:$L$4649,'Diags Raw Data'!$D$7:$D$4649,$A36,'Diags Raw Data'!$M$7:$M$4649,"Legacy")</f>
        <v>0</v>
      </c>
      <c r="C36" s="242">
        <f>SUMIFS('Diags Raw Data'!$R$7:$R$4649,'Diags Raw Data'!$D$7:$D$4649,$A36,'Diags Raw Data'!$M$7:$M$4649,"Legacy")</f>
        <v>0</v>
      </c>
      <c r="D36" s="242">
        <f>SUMIFS('Diags Raw Data'!$K$7:$K$4649,'Diags Raw Data'!$D$7:$D$4649,$A36,'Diags Raw Data'!$M$7:$M$4649,"Legacy")</f>
        <v>0</v>
      </c>
      <c r="E36" s="242">
        <f>SUMIFS('Diags Raw Data'!$O$7:$O$4649,'Diags Raw Data'!$D$7:$D$4649,$A36,'Diags Raw Data'!$M$7:$M$4649,"Legacy")</f>
        <v>0</v>
      </c>
      <c r="F36" s="248" t="str">
        <f t="shared" si="15"/>
        <v>---</v>
      </c>
      <c r="G36" s="230">
        <f>SUMIFS('Diags Raw Data'!$S$7:$S$4649,'Diags Raw Data'!$D$7:$D$4649,$A36,'Diags Raw Data'!$M$7:$M$4649,"Legacy")</f>
        <v>0</v>
      </c>
      <c r="H36" s="226">
        <f>SUMIFS('Diags Raw Data'!$T$7:$T$4649,'Diags Raw Data'!$D$7:$D$4649,$A36,'Diags Raw Data'!$M$7:$M$4649,"Legacy")</f>
        <v>0</v>
      </c>
      <c r="I36" s="227">
        <f>SUMIFS('Diags Raw Data'!$U$7:$U$4649,'Diags Raw Data'!$D$7:$D$4649,$A36,'Diags Raw Data'!$M$7:$M$4649,"Legacy")</f>
        <v>0</v>
      </c>
      <c r="J36" s="226">
        <f>SUMIFS('Diags Raw Data'!$V$7:$V$4649,'Diags Raw Data'!$D$7:$D$4649,$A36,'Diags Raw Data'!$M$7:$M$4649,"Legacy")</f>
        <v>0</v>
      </c>
      <c r="K36" s="227">
        <f>SUMIFS('Diags Raw Data'!$W$7:$W$4649,'Diags Raw Data'!$D$7:$D$4649,$A36,'Diags Raw Data'!$M$7:$M$4649,"Legacy")</f>
        <v>0</v>
      </c>
      <c r="L36" s="243" t="str">
        <f t="shared" si="16"/>
        <v>---</v>
      </c>
      <c r="M36" s="228" t="str">
        <f t="shared" si="17"/>
        <v>---</v>
      </c>
      <c r="N36" s="237" t="str">
        <f t="shared" si="18"/>
        <v>---</v>
      </c>
      <c r="O36" s="213">
        <f>SUMIFS('Diags Raw Data'!$Z$7:$Z$4649,'Diags Raw Data'!$D$7:$D$4649,$A36,'Diags Raw Data'!$M$7:$M$4649,"Legacy")</f>
        <v>0</v>
      </c>
      <c r="P36" s="203">
        <f>SUMIFS('Diags Raw Data'!$AA$7:$AA$4649,'Diags Raw Data'!$D$7:$D$4649,$A36,'Diags Raw Data'!$M$7:$M$4649,"Legacy")</f>
        <v>0</v>
      </c>
      <c r="Q36" s="205">
        <f>SUMIFS('Diags Raw Data'!$AB$7:$AB$4649,'Diags Raw Data'!$D$7:$D$4649,$A36,'Diags Raw Data'!$M$7:$M$4649,"Legacy")</f>
        <v>0</v>
      </c>
      <c r="R36" s="203">
        <f>SUMIFS('Diags Raw Data'!$AC$7:$AC$4649,'Diags Raw Data'!$D$7:$D$4649,$A36,'Diags Raw Data'!$M$7:$M$4649,"Legacy")</f>
        <v>0</v>
      </c>
      <c r="S36" s="205">
        <f>SUMIFS('Diags Raw Data'!$AD$7:$AD$4649,'Diags Raw Data'!$D$7:$D$4649,$A36,'Diags Raw Data'!$M$7:$M$4649,"Legacy")</f>
        <v>0</v>
      </c>
      <c r="T36" s="204" t="str">
        <f t="shared" si="19"/>
        <v>---</v>
      </c>
      <c r="U36" s="229" t="str">
        <f t="shared" si="20"/>
        <v>---</v>
      </c>
      <c r="V36" s="231" t="str">
        <f t="shared" si="21"/>
        <v>---</v>
      </c>
    </row>
    <row r="37" spans="1:22" x14ac:dyDescent="0.25">
      <c r="A37" s="333" t="s">
        <v>517</v>
      </c>
      <c r="B37" s="252">
        <f>SUMIFS('Diags Raw Data'!$L$7:$L$4649,'Diags Raw Data'!$D$7:$D$4649,$A37,'Diags Raw Data'!$M$7:$M$4649,"Legacy")</f>
        <v>0</v>
      </c>
      <c r="C37" s="242">
        <f>SUMIFS('Diags Raw Data'!$R$7:$R$4649,'Diags Raw Data'!$D$7:$D$4649,$A37,'Diags Raw Data'!$M$7:$M$4649,"Legacy")</f>
        <v>0</v>
      </c>
      <c r="D37" s="242">
        <f>SUMIFS('Diags Raw Data'!$K$7:$K$4649,'Diags Raw Data'!$D$7:$D$4649,$A37,'Diags Raw Data'!$M$7:$M$4649,"Legacy")</f>
        <v>0</v>
      </c>
      <c r="E37" s="242">
        <f>SUMIFS('Diags Raw Data'!$O$7:$O$4649,'Diags Raw Data'!$D$7:$D$4649,$A37,'Diags Raw Data'!$M$7:$M$4649,"Legacy")</f>
        <v>0</v>
      </c>
      <c r="F37" s="248" t="str">
        <f t="shared" si="15"/>
        <v>---</v>
      </c>
      <c r="G37" s="230">
        <f>SUMIFS('Diags Raw Data'!$S$7:$S$4649,'Diags Raw Data'!$D$7:$D$4649,$A37,'Diags Raw Data'!$M$7:$M$4649,"Legacy")</f>
        <v>0</v>
      </c>
      <c r="H37" s="226">
        <f>SUMIFS('Diags Raw Data'!$T$7:$T$4649,'Diags Raw Data'!$D$7:$D$4649,$A37,'Diags Raw Data'!$M$7:$M$4649,"Legacy")</f>
        <v>0</v>
      </c>
      <c r="I37" s="227">
        <f>SUMIFS('Diags Raw Data'!$U$7:$U$4649,'Diags Raw Data'!$D$7:$D$4649,$A37,'Diags Raw Data'!$M$7:$M$4649,"Legacy")</f>
        <v>0</v>
      </c>
      <c r="J37" s="226">
        <f>SUMIFS('Diags Raw Data'!$V$7:$V$4649,'Diags Raw Data'!$D$7:$D$4649,$A37,'Diags Raw Data'!$M$7:$M$4649,"Legacy")</f>
        <v>0</v>
      </c>
      <c r="K37" s="227">
        <f>SUMIFS('Diags Raw Data'!$W$7:$W$4649,'Diags Raw Data'!$D$7:$D$4649,$A37,'Diags Raw Data'!$M$7:$M$4649,"Legacy")</f>
        <v>0</v>
      </c>
      <c r="L37" s="243" t="str">
        <f t="shared" si="16"/>
        <v>---</v>
      </c>
      <c r="M37" s="228" t="str">
        <f t="shared" si="17"/>
        <v>---</v>
      </c>
      <c r="N37" s="237" t="str">
        <f t="shared" si="18"/>
        <v>---</v>
      </c>
      <c r="O37" s="213">
        <f>SUMIFS('Diags Raw Data'!$Z$7:$Z$4649,'Diags Raw Data'!$D$7:$D$4649,$A37,'Diags Raw Data'!$M$7:$M$4649,"Legacy")</f>
        <v>0</v>
      </c>
      <c r="P37" s="203">
        <f>SUMIFS('Diags Raw Data'!$AA$7:$AA$4649,'Diags Raw Data'!$D$7:$D$4649,$A37,'Diags Raw Data'!$M$7:$M$4649,"Legacy")</f>
        <v>0</v>
      </c>
      <c r="Q37" s="205">
        <f>SUMIFS('Diags Raw Data'!$AB$7:$AB$4649,'Diags Raw Data'!$D$7:$D$4649,$A37,'Diags Raw Data'!$M$7:$M$4649,"Legacy")</f>
        <v>0</v>
      </c>
      <c r="R37" s="203">
        <f>SUMIFS('Diags Raw Data'!$AC$7:$AC$4649,'Diags Raw Data'!$D$7:$D$4649,$A37,'Diags Raw Data'!$M$7:$M$4649,"Legacy")</f>
        <v>0</v>
      </c>
      <c r="S37" s="205">
        <f>SUMIFS('Diags Raw Data'!$AD$7:$AD$4649,'Diags Raw Data'!$D$7:$D$4649,$A37,'Diags Raw Data'!$M$7:$M$4649,"Legacy")</f>
        <v>0</v>
      </c>
      <c r="T37" s="204" t="str">
        <f t="shared" si="19"/>
        <v>---</v>
      </c>
      <c r="U37" s="229" t="str">
        <f t="shared" si="20"/>
        <v>---</v>
      </c>
      <c r="V37" s="231" t="str">
        <f t="shared" si="21"/>
        <v>---</v>
      </c>
    </row>
    <row r="38" spans="1:22" x14ac:dyDescent="0.25">
      <c r="A38" s="333" t="s">
        <v>518</v>
      </c>
      <c r="B38" s="252">
        <f>SUMIFS('Diags Raw Data'!$L$7:$L$4649,'Diags Raw Data'!$D$7:$D$4649,$A38,'Diags Raw Data'!$M$7:$M$4649,"Legacy")</f>
        <v>0</v>
      </c>
      <c r="C38" s="242">
        <f>SUMIFS('Diags Raw Data'!$R$7:$R$4649,'Diags Raw Data'!$D$7:$D$4649,$A38,'Diags Raw Data'!$M$7:$M$4649,"Legacy")</f>
        <v>0</v>
      </c>
      <c r="D38" s="242">
        <f>SUMIFS('Diags Raw Data'!$K$7:$K$4649,'Diags Raw Data'!$D$7:$D$4649,$A38,'Diags Raw Data'!$M$7:$M$4649,"Legacy")</f>
        <v>0</v>
      </c>
      <c r="E38" s="242">
        <f>SUMIFS('Diags Raw Data'!$O$7:$O$4649,'Diags Raw Data'!$D$7:$D$4649,$A38,'Diags Raw Data'!$M$7:$M$4649,"Legacy")</f>
        <v>0</v>
      </c>
      <c r="F38" s="248" t="str">
        <f t="shared" si="15"/>
        <v>---</v>
      </c>
      <c r="G38" s="230">
        <f>SUMIFS('Diags Raw Data'!$S$7:$S$4649,'Diags Raw Data'!$D$7:$D$4649,$A38,'Diags Raw Data'!$M$7:$M$4649,"Legacy")</f>
        <v>0</v>
      </c>
      <c r="H38" s="226">
        <f>SUMIFS('Diags Raw Data'!$T$7:$T$4649,'Diags Raw Data'!$D$7:$D$4649,$A38,'Diags Raw Data'!$M$7:$M$4649,"Legacy")</f>
        <v>0</v>
      </c>
      <c r="I38" s="227">
        <f>SUMIFS('Diags Raw Data'!$U$7:$U$4649,'Diags Raw Data'!$D$7:$D$4649,$A38,'Diags Raw Data'!$M$7:$M$4649,"Legacy")</f>
        <v>0</v>
      </c>
      <c r="J38" s="226">
        <f>SUMIFS('Diags Raw Data'!$V$7:$V$4649,'Diags Raw Data'!$D$7:$D$4649,$A38,'Diags Raw Data'!$M$7:$M$4649,"Legacy")</f>
        <v>0</v>
      </c>
      <c r="K38" s="227">
        <f>SUMIFS('Diags Raw Data'!$W$7:$W$4649,'Diags Raw Data'!$D$7:$D$4649,$A38,'Diags Raw Data'!$M$7:$M$4649,"Legacy")</f>
        <v>0</v>
      </c>
      <c r="L38" s="243" t="str">
        <f t="shared" si="16"/>
        <v>---</v>
      </c>
      <c r="M38" s="228" t="str">
        <f t="shared" si="17"/>
        <v>---</v>
      </c>
      <c r="N38" s="237" t="str">
        <f t="shared" si="18"/>
        <v>---</v>
      </c>
      <c r="O38" s="213">
        <f>SUMIFS('Diags Raw Data'!$Z$7:$Z$4649,'Diags Raw Data'!$D$7:$D$4649,$A38,'Diags Raw Data'!$M$7:$M$4649,"Legacy")</f>
        <v>0</v>
      </c>
      <c r="P38" s="203">
        <f>SUMIFS('Diags Raw Data'!$AA$7:$AA$4649,'Diags Raw Data'!$D$7:$D$4649,$A38,'Diags Raw Data'!$M$7:$M$4649,"Legacy")</f>
        <v>0</v>
      </c>
      <c r="Q38" s="205">
        <f>SUMIFS('Diags Raw Data'!$AB$7:$AB$4649,'Diags Raw Data'!$D$7:$D$4649,$A38,'Diags Raw Data'!$M$7:$M$4649,"Legacy")</f>
        <v>0</v>
      </c>
      <c r="R38" s="203">
        <f>SUMIFS('Diags Raw Data'!$AC$7:$AC$4649,'Diags Raw Data'!$D$7:$D$4649,$A38,'Diags Raw Data'!$M$7:$M$4649,"Legacy")</f>
        <v>0</v>
      </c>
      <c r="S38" s="205">
        <f>SUMIFS('Diags Raw Data'!$AD$7:$AD$4649,'Diags Raw Data'!$D$7:$D$4649,$A38,'Diags Raw Data'!$M$7:$M$4649,"Legacy")</f>
        <v>0</v>
      </c>
      <c r="T38" s="204" t="str">
        <f t="shared" si="19"/>
        <v>---</v>
      </c>
      <c r="U38" s="229" t="str">
        <f t="shared" si="20"/>
        <v>---</v>
      </c>
      <c r="V38" s="231" t="str">
        <f t="shared" si="21"/>
        <v>---</v>
      </c>
    </row>
    <row r="39" spans="1:22" x14ac:dyDescent="0.25">
      <c r="A39" s="333" t="s">
        <v>519</v>
      </c>
      <c r="B39" s="252">
        <f>SUMIFS('Diags Raw Data'!$L$7:$L$4649,'Diags Raw Data'!$D$7:$D$4649,$A39,'Diags Raw Data'!$M$7:$M$4649,"Legacy")</f>
        <v>0</v>
      </c>
      <c r="C39" s="242">
        <f>SUMIFS('Diags Raw Data'!$R$7:$R$4649,'Diags Raw Data'!$D$7:$D$4649,$A39,'Diags Raw Data'!$M$7:$M$4649,"Legacy")</f>
        <v>0</v>
      </c>
      <c r="D39" s="242">
        <f>SUMIFS('Diags Raw Data'!$K$7:$K$4649,'Diags Raw Data'!$D$7:$D$4649,$A39,'Diags Raw Data'!$M$7:$M$4649,"Legacy")</f>
        <v>0</v>
      </c>
      <c r="E39" s="242">
        <f>SUMIFS('Diags Raw Data'!$O$7:$O$4649,'Diags Raw Data'!$D$7:$D$4649,$A39,'Diags Raw Data'!$M$7:$M$4649,"Legacy")</f>
        <v>0</v>
      </c>
      <c r="F39" s="248" t="str">
        <f t="shared" si="15"/>
        <v>---</v>
      </c>
      <c r="G39" s="230">
        <f>SUMIFS('Diags Raw Data'!$S$7:$S$4649,'Diags Raw Data'!$D$7:$D$4649,$A39,'Diags Raw Data'!$M$7:$M$4649,"Legacy")</f>
        <v>0</v>
      </c>
      <c r="H39" s="226">
        <f>SUMIFS('Diags Raw Data'!$T$7:$T$4649,'Diags Raw Data'!$D$7:$D$4649,$A39,'Diags Raw Data'!$M$7:$M$4649,"Legacy")</f>
        <v>0</v>
      </c>
      <c r="I39" s="227">
        <f>SUMIFS('Diags Raw Data'!$U$7:$U$4649,'Diags Raw Data'!$D$7:$D$4649,$A39,'Diags Raw Data'!$M$7:$M$4649,"Legacy")</f>
        <v>0</v>
      </c>
      <c r="J39" s="226">
        <f>SUMIFS('Diags Raw Data'!$V$7:$V$4649,'Diags Raw Data'!$D$7:$D$4649,$A39,'Diags Raw Data'!$M$7:$M$4649,"Legacy")</f>
        <v>0</v>
      </c>
      <c r="K39" s="227">
        <f>SUMIFS('Diags Raw Data'!$W$7:$W$4649,'Diags Raw Data'!$D$7:$D$4649,$A39,'Diags Raw Data'!$M$7:$M$4649,"Legacy")</f>
        <v>0</v>
      </c>
      <c r="L39" s="243" t="str">
        <f t="shared" si="16"/>
        <v>---</v>
      </c>
      <c r="M39" s="228" t="str">
        <f t="shared" si="17"/>
        <v>---</v>
      </c>
      <c r="N39" s="237" t="str">
        <f t="shared" si="18"/>
        <v>---</v>
      </c>
      <c r="O39" s="213">
        <f>SUMIFS('Diags Raw Data'!$Z$7:$Z$4649,'Diags Raw Data'!$D$7:$D$4649,$A39,'Diags Raw Data'!$M$7:$M$4649,"Legacy")</f>
        <v>0</v>
      </c>
      <c r="P39" s="203">
        <f>SUMIFS('Diags Raw Data'!$AA$7:$AA$4649,'Diags Raw Data'!$D$7:$D$4649,$A39,'Diags Raw Data'!$M$7:$M$4649,"Legacy")</f>
        <v>0</v>
      </c>
      <c r="Q39" s="205">
        <f>SUMIFS('Diags Raw Data'!$AB$7:$AB$4649,'Diags Raw Data'!$D$7:$D$4649,$A39,'Diags Raw Data'!$M$7:$M$4649,"Legacy")</f>
        <v>0</v>
      </c>
      <c r="R39" s="203">
        <f>SUMIFS('Diags Raw Data'!$AC$7:$AC$4649,'Diags Raw Data'!$D$7:$D$4649,$A39,'Diags Raw Data'!$M$7:$M$4649,"Legacy")</f>
        <v>0</v>
      </c>
      <c r="S39" s="205">
        <f>SUMIFS('Diags Raw Data'!$AD$7:$AD$4649,'Diags Raw Data'!$D$7:$D$4649,$A39,'Diags Raw Data'!$M$7:$M$4649,"Legacy")</f>
        <v>0</v>
      </c>
      <c r="T39" s="204" t="str">
        <f t="shared" si="19"/>
        <v>---</v>
      </c>
      <c r="U39" s="229" t="str">
        <f t="shared" si="20"/>
        <v>---</v>
      </c>
      <c r="V39" s="231" t="str">
        <f t="shared" si="21"/>
        <v>---</v>
      </c>
    </row>
    <row r="40" spans="1:22" x14ac:dyDescent="0.25">
      <c r="A40" s="333" t="s">
        <v>520</v>
      </c>
      <c r="B40" s="252">
        <f>SUMIFS('Diags Raw Data'!$L$7:$L$4649,'Diags Raw Data'!$D$7:$D$4649,$A40,'Diags Raw Data'!$M$7:$M$4649,"Legacy")</f>
        <v>0</v>
      </c>
      <c r="C40" s="242">
        <f>SUMIFS('Diags Raw Data'!$R$7:$R$4649,'Diags Raw Data'!$D$7:$D$4649,$A40,'Diags Raw Data'!$M$7:$M$4649,"Legacy")</f>
        <v>0</v>
      </c>
      <c r="D40" s="242">
        <f>SUMIFS('Diags Raw Data'!$K$7:$K$4649,'Diags Raw Data'!$D$7:$D$4649,$A40,'Diags Raw Data'!$M$7:$M$4649,"Legacy")</f>
        <v>0</v>
      </c>
      <c r="E40" s="242">
        <f>SUMIFS('Diags Raw Data'!$O$7:$O$4649,'Diags Raw Data'!$D$7:$D$4649,$A40,'Diags Raw Data'!$M$7:$M$4649,"Legacy")</f>
        <v>0</v>
      </c>
      <c r="F40" s="248" t="str">
        <f t="shared" si="15"/>
        <v>---</v>
      </c>
      <c r="G40" s="230">
        <f>SUMIFS('Diags Raw Data'!$S$7:$S$4649,'Diags Raw Data'!$D$7:$D$4649,$A40,'Diags Raw Data'!$M$7:$M$4649,"Legacy")</f>
        <v>0</v>
      </c>
      <c r="H40" s="226">
        <f>SUMIFS('Diags Raw Data'!$T$7:$T$4649,'Diags Raw Data'!$D$7:$D$4649,$A40,'Diags Raw Data'!$M$7:$M$4649,"Legacy")</f>
        <v>0</v>
      </c>
      <c r="I40" s="227">
        <f>SUMIFS('Diags Raw Data'!$U$7:$U$4649,'Diags Raw Data'!$D$7:$D$4649,$A40,'Diags Raw Data'!$M$7:$M$4649,"Legacy")</f>
        <v>0</v>
      </c>
      <c r="J40" s="226">
        <f>SUMIFS('Diags Raw Data'!$V$7:$V$4649,'Diags Raw Data'!$D$7:$D$4649,$A40,'Diags Raw Data'!$M$7:$M$4649,"Legacy")</f>
        <v>0</v>
      </c>
      <c r="K40" s="227">
        <f>SUMIFS('Diags Raw Data'!$W$7:$W$4649,'Diags Raw Data'!$D$7:$D$4649,$A40,'Diags Raw Data'!$M$7:$M$4649,"Legacy")</f>
        <v>0</v>
      </c>
      <c r="L40" s="243" t="str">
        <f t="shared" si="16"/>
        <v>---</v>
      </c>
      <c r="M40" s="228" t="str">
        <f t="shared" si="17"/>
        <v>---</v>
      </c>
      <c r="N40" s="237" t="str">
        <f t="shared" si="18"/>
        <v>---</v>
      </c>
      <c r="O40" s="213">
        <f>SUMIFS('Diags Raw Data'!$Z$7:$Z$4649,'Diags Raw Data'!$D$7:$D$4649,$A40,'Diags Raw Data'!$M$7:$M$4649,"Legacy")</f>
        <v>0</v>
      </c>
      <c r="P40" s="203">
        <f>SUMIFS('Diags Raw Data'!$AA$7:$AA$4649,'Diags Raw Data'!$D$7:$D$4649,$A40,'Diags Raw Data'!$M$7:$M$4649,"Legacy")</f>
        <v>0</v>
      </c>
      <c r="Q40" s="205">
        <f>SUMIFS('Diags Raw Data'!$AB$7:$AB$4649,'Diags Raw Data'!$D$7:$D$4649,$A40,'Diags Raw Data'!$M$7:$M$4649,"Legacy")</f>
        <v>0</v>
      </c>
      <c r="R40" s="203">
        <f>SUMIFS('Diags Raw Data'!$AC$7:$AC$4649,'Diags Raw Data'!$D$7:$D$4649,$A40,'Diags Raw Data'!$M$7:$M$4649,"Legacy")</f>
        <v>0</v>
      </c>
      <c r="S40" s="205">
        <f>SUMIFS('Diags Raw Data'!$AD$7:$AD$4649,'Diags Raw Data'!$D$7:$D$4649,$A40,'Diags Raw Data'!$M$7:$M$4649,"Legacy")</f>
        <v>0</v>
      </c>
      <c r="T40" s="204" t="str">
        <f t="shared" si="19"/>
        <v>---</v>
      </c>
      <c r="U40" s="229" t="str">
        <f t="shared" si="20"/>
        <v>---</v>
      </c>
      <c r="V40" s="231" t="str">
        <f t="shared" si="21"/>
        <v>---</v>
      </c>
    </row>
    <row r="41" spans="1:22" ht="15.75" thickBot="1" x14ac:dyDescent="0.3">
      <c r="A41" s="334" t="s">
        <v>521</v>
      </c>
      <c r="B41" s="253">
        <f>SUMIFS('Diags Raw Data'!$L$7:$L$4649,'Diags Raw Data'!$D$7:$D$4649,$A41,'Diags Raw Data'!$M$7:$M$4649,"Legacy")</f>
        <v>0</v>
      </c>
      <c r="C41" s="244">
        <f>SUMIFS('Diags Raw Data'!$R$7:$R$4649,'Diags Raw Data'!$D$7:$D$4649,$A41,'Diags Raw Data'!$M$7:$M$4649,"Legacy")</f>
        <v>0</v>
      </c>
      <c r="D41" s="244">
        <f>SUMIFS('Diags Raw Data'!$K$7:$K$4649,'Diags Raw Data'!$D$7:$D$4649,$A41,'Diags Raw Data'!$M$7:$M$4649,"Legacy")</f>
        <v>0</v>
      </c>
      <c r="E41" s="244">
        <f>SUMIFS('Diags Raw Data'!$O$7:$O$4649,'Diags Raw Data'!$D$7:$D$4649,$A41,'Diags Raw Data'!$M$7:$M$4649,"Legacy")</f>
        <v>0</v>
      </c>
      <c r="F41" s="249" t="str">
        <f t="shared" si="15"/>
        <v>---</v>
      </c>
      <c r="G41" s="232">
        <f>SUMIFS('Diags Raw Data'!$S$7:$S$4649,'Diags Raw Data'!$D$7:$D$4649,$A41,'Diags Raw Data'!$M$7:$M$4649,"Legacy")</f>
        <v>0</v>
      </c>
      <c r="H41" s="233">
        <f>SUMIFS('Diags Raw Data'!$T$7:$T$4649,'Diags Raw Data'!$D$7:$D$4649,$A41,'Diags Raw Data'!$M$7:$M$4649,"Legacy")</f>
        <v>0</v>
      </c>
      <c r="I41" s="234">
        <f>SUMIFS('Diags Raw Data'!$U$7:$U$4649,'Diags Raw Data'!$D$7:$D$4649,$A41,'Diags Raw Data'!$M$7:$M$4649,"Legacy")</f>
        <v>0</v>
      </c>
      <c r="J41" s="233">
        <f>SUMIFS('Diags Raw Data'!$V$7:$V$4649,'Diags Raw Data'!$D$7:$D$4649,$A41,'Diags Raw Data'!$M$7:$M$4649,"Legacy")</f>
        <v>0</v>
      </c>
      <c r="K41" s="234">
        <f>SUMIFS('Diags Raw Data'!$W$7:$W$4649,'Diags Raw Data'!$D$7:$D$4649,$A41,'Diags Raw Data'!$M$7:$M$4649,"Legacy")</f>
        <v>0</v>
      </c>
      <c r="L41" s="245" t="str">
        <f t="shared" si="16"/>
        <v>---</v>
      </c>
      <c r="M41" s="235" t="str">
        <f t="shared" si="17"/>
        <v>---</v>
      </c>
      <c r="N41" s="238" t="str">
        <f t="shared" si="18"/>
        <v>---</v>
      </c>
      <c r="O41" s="214">
        <f>SUMIFS('Diags Raw Data'!$Z$7:$Z$4649,'Diags Raw Data'!$D$7:$D$4649,$A41,'Diags Raw Data'!$M$7:$M$4649,"Legacy")</f>
        <v>0</v>
      </c>
      <c r="P41" s="206">
        <f>SUMIFS('Diags Raw Data'!$AA$7:$AA$4649,'Diags Raw Data'!$D$7:$D$4649,$A41,'Diags Raw Data'!$M$7:$M$4649,"Legacy")</f>
        <v>0</v>
      </c>
      <c r="Q41" s="208">
        <f>SUMIFS('Diags Raw Data'!$AB$7:$AB$4649,'Diags Raw Data'!$D$7:$D$4649,$A41,'Diags Raw Data'!$M$7:$M$4649,"Legacy")</f>
        <v>0</v>
      </c>
      <c r="R41" s="206">
        <f>SUMIFS('Diags Raw Data'!$AC$7:$AC$4649,'Diags Raw Data'!$D$7:$D$4649,$A41,'Diags Raw Data'!$M$7:$M$4649,"Legacy")</f>
        <v>0</v>
      </c>
      <c r="S41" s="208">
        <f>SUMIFS('Diags Raw Data'!$AD$7:$AD$4649,'Diags Raw Data'!$D$7:$D$4649,$A41,'Diags Raw Data'!$M$7:$M$4649,"Legacy")</f>
        <v>0</v>
      </c>
      <c r="T41" s="207" t="str">
        <f t="shared" si="19"/>
        <v>---</v>
      </c>
      <c r="U41" s="239" t="str">
        <f t="shared" si="20"/>
        <v>---</v>
      </c>
      <c r="V41" s="236" t="str">
        <f t="shared" si="21"/>
        <v>---</v>
      </c>
    </row>
    <row r="42" spans="1:22" ht="16.5" thickBot="1" x14ac:dyDescent="0.3">
      <c r="A42" s="271" t="s">
        <v>525</v>
      </c>
      <c r="B42" s="256">
        <f>SUM(B32:B41)</f>
        <v>0</v>
      </c>
      <c r="C42" s="257">
        <f>SUM(C32:C41)</f>
        <v>0</v>
      </c>
      <c r="D42" s="257">
        <f>SUM(D32:D41)</f>
        <v>0</v>
      </c>
      <c r="E42" s="257">
        <f>SUM(E32:E41)</f>
        <v>0</v>
      </c>
      <c r="F42" s="258" t="e" cm="1">
        <f t="array" ref="F42">SUMPRODUCT(--(ISNUMBER(SEARCH("Legacy",'Diags Raw Data'!$M$7:$M$4649))),'Diags Raw Data'!$K$7:$K$4649,'Diags Raw Data'!$P$7:$P$4649)/D42</f>
        <v>#DIV/0!</v>
      </c>
      <c r="G42" s="259">
        <f>SUM(G32:G41)</f>
        <v>0</v>
      </c>
      <c r="H42" s="260">
        <f>SUM(H32:H41)</f>
        <v>0</v>
      </c>
      <c r="I42" s="261">
        <f>SUM(I32:I41)</f>
        <v>0</v>
      </c>
      <c r="J42" s="260">
        <f>SUM(J32:J41)</f>
        <v>0</v>
      </c>
      <c r="K42" s="261">
        <f>SUM(K32:K41)</f>
        <v>0</v>
      </c>
      <c r="L42" s="262" t="str">
        <f>IF(NOT($C42=0), G42/$C42, "---")</f>
        <v>---</v>
      </c>
      <c r="M42" s="263" t="str">
        <f t="shared" si="17"/>
        <v>---</v>
      </c>
      <c r="N42" s="264" t="str">
        <f t="shared" si="18"/>
        <v>---</v>
      </c>
      <c r="O42" s="265">
        <f>SUM(O32:O41)</f>
        <v>0</v>
      </c>
      <c r="P42" s="266">
        <f>SUM(P32:P41)</f>
        <v>0</v>
      </c>
      <c r="Q42" s="267">
        <f>SUM(Q32:Q41)</f>
        <v>0</v>
      </c>
      <c r="R42" s="266">
        <f>SUM(R32:R41)</f>
        <v>0</v>
      </c>
      <c r="S42" s="267">
        <f>SUM(S32:S41)</f>
        <v>0</v>
      </c>
      <c r="T42" s="268" t="str">
        <f>IF(NOT($B42=0), O42/$B42, "---")</f>
        <v>---</v>
      </c>
      <c r="U42" s="269" t="str">
        <f t="shared" si="20"/>
        <v>---</v>
      </c>
      <c r="V42" s="270" t="str">
        <f>IF(NOT($B42=0), (P42+Q42)/$B42, "---")</f>
        <v>---</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412"/>
    </row>
    <row r="49" spans="6:6" x14ac:dyDescent="0.25">
      <c r="F49" s="411"/>
    </row>
    <row r="50" spans="6:6" x14ac:dyDescent="0.25">
      <c r="F50" s="41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526</v>
      </c>
      <c r="B1" s="157" t="s">
        <v>527</v>
      </c>
      <c r="C1" s="158" t="s">
        <v>528</v>
      </c>
      <c r="D1" s="158" t="s">
        <v>529</v>
      </c>
      <c r="E1" s="158" t="s">
        <v>530</v>
      </c>
      <c r="F1" s="158" t="s">
        <v>531</v>
      </c>
      <c r="G1" s="158" t="s">
        <v>532</v>
      </c>
      <c r="H1" s="158" t="s">
        <v>533</v>
      </c>
      <c r="I1" s="158" t="s">
        <v>534</v>
      </c>
      <c r="J1" s="158" t="s">
        <v>535</v>
      </c>
      <c r="K1" s="158" t="s">
        <v>536</v>
      </c>
      <c r="L1" s="158" t="s">
        <v>537</v>
      </c>
      <c r="M1" s="158" t="s">
        <v>538</v>
      </c>
      <c r="N1" s="158" t="s">
        <v>539</v>
      </c>
      <c r="O1" s="158" t="s">
        <v>540</v>
      </c>
      <c r="P1" s="158" t="s">
        <v>541</v>
      </c>
      <c r="Q1" s="158" t="s">
        <v>542</v>
      </c>
      <c r="R1" s="158" t="s">
        <v>543</v>
      </c>
      <c r="S1" s="158" t="s">
        <v>544</v>
      </c>
      <c r="T1" s="158" t="s">
        <v>545</v>
      </c>
      <c r="U1" s="158" t="s">
        <v>546</v>
      </c>
      <c r="V1" s="158" t="s">
        <v>547</v>
      </c>
      <c r="W1" s="158" t="s">
        <v>548</v>
      </c>
      <c r="X1" s="158" t="s">
        <v>549</v>
      </c>
      <c r="Y1" s="158" t="s">
        <v>550</v>
      </c>
      <c r="Z1" s="158" t="s">
        <v>551</v>
      </c>
      <c r="AA1" s="158" t="s">
        <v>552</v>
      </c>
      <c r="AB1" s="158" t="s">
        <v>553</v>
      </c>
      <c r="AC1" s="158" t="s">
        <v>554</v>
      </c>
      <c r="AD1" s="158" t="s">
        <v>555</v>
      </c>
      <c r="AE1" s="158" t="s">
        <v>556</v>
      </c>
      <c r="AF1" s="158" t="s">
        <v>557</v>
      </c>
      <c r="AG1" s="158" t="s">
        <v>558</v>
      </c>
      <c r="AH1" s="158" t="s">
        <v>559</v>
      </c>
      <c r="AI1" s="158" t="s">
        <v>560</v>
      </c>
      <c r="AJ1" s="158" t="s">
        <v>561</v>
      </c>
      <c r="AK1" s="158" t="s">
        <v>562</v>
      </c>
      <c r="AL1" s="158" t="s">
        <v>563</v>
      </c>
      <c r="AM1" s="158" t="s">
        <v>564</v>
      </c>
      <c r="AN1" s="158" t="s">
        <v>565</v>
      </c>
      <c r="AO1" s="158" t="s">
        <v>566</v>
      </c>
      <c r="AP1" s="158" t="s">
        <v>567</v>
      </c>
      <c r="AQ1" s="158" t="s">
        <v>568</v>
      </c>
      <c r="AR1" s="158" t="s">
        <v>569</v>
      </c>
      <c r="AS1" s="158" t="s">
        <v>570</v>
      </c>
      <c r="AT1" s="158" t="s">
        <v>571</v>
      </c>
      <c r="AU1" s="158" t="s">
        <v>572</v>
      </c>
      <c r="AV1" s="158" t="s">
        <v>573</v>
      </c>
      <c r="AW1" s="158" t="s">
        <v>574</v>
      </c>
      <c r="AX1" s="158" t="s">
        <v>575</v>
      </c>
      <c r="AY1" s="158" t="s">
        <v>576</v>
      </c>
      <c r="AZ1" s="158" t="s">
        <v>577</v>
      </c>
      <c r="BA1" s="158" t="s">
        <v>578</v>
      </c>
      <c r="BB1" s="159" t="s">
        <v>579</v>
      </c>
    </row>
    <row r="2" spans="1:54" s="135" customFormat="1" x14ac:dyDescent="0.2">
      <c r="A2" s="151" t="s">
        <v>506</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509</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204</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507</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506</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508</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204</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580</v>
      </c>
      <c r="B3" s="129" t="s">
        <v>581</v>
      </c>
      <c r="C3" s="129"/>
      <c r="D3" s="218"/>
      <c r="E3" s="129"/>
    </row>
    <row r="4" spans="1:5" x14ac:dyDescent="0.25">
      <c r="A4" s="79" t="s">
        <v>47</v>
      </c>
      <c r="B4">
        <v>0</v>
      </c>
    </row>
    <row r="5" spans="1:5" x14ac:dyDescent="0.25">
      <c r="A5" s="79" t="s">
        <v>582</v>
      </c>
      <c r="B5">
        <v>85</v>
      </c>
      <c r="D5" s="130">
        <f>GETPIVOTDATA("#Tests",$A$3,"ETA","wk-1")/GETPIVOTDATA("#Tests",$A$3)</f>
        <v>0.17</v>
      </c>
      <c r="E5" s="131">
        <f>D5</f>
        <v>0.17</v>
      </c>
    </row>
    <row r="6" spans="1:5" x14ac:dyDescent="0.25">
      <c r="A6" s="79" t="s">
        <v>583</v>
      </c>
      <c r="B6">
        <v>48</v>
      </c>
      <c r="D6" s="130">
        <f>GETPIVOTDATA("#Tests",$A$3,"ETA","wk-2")/GETPIVOTDATA("#Tests",$A$3)</f>
        <v>9.6000000000000002E-2</v>
      </c>
      <c r="E6" s="131">
        <f t="shared" ref="E6:E12" si="0">E5+D6</f>
        <v>0.26600000000000001</v>
      </c>
    </row>
    <row r="7" spans="1:5" x14ac:dyDescent="0.25">
      <c r="A7" s="79" t="s">
        <v>584</v>
      </c>
      <c r="B7">
        <v>96</v>
      </c>
      <c r="D7" s="130">
        <f>GETPIVOTDATA("#Tests",$A$3,"ETA","wk-3")/GETPIVOTDATA("#Tests",$A$3)</f>
        <v>0.192</v>
      </c>
      <c r="E7" s="131">
        <f t="shared" si="0"/>
        <v>0.45800000000000002</v>
      </c>
    </row>
    <row r="8" spans="1:5" x14ac:dyDescent="0.25">
      <c r="A8" s="79" t="s">
        <v>585</v>
      </c>
      <c r="B8">
        <v>79</v>
      </c>
      <c r="D8" s="130">
        <f>GETPIVOTDATA("#Tests",$A$3,"ETA","wk-4")/GETPIVOTDATA("#Tests",$A$3)</f>
        <v>0.158</v>
      </c>
      <c r="E8" s="131">
        <f t="shared" si="0"/>
        <v>0.61599999999999999</v>
      </c>
    </row>
    <row r="9" spans="1:5" x14ac:dyDescent="0.25">
      <c r="A9" s="79" t="s">
        <v>586</v>
      </c>
      <c r="B9">
        <v>82</v>
      </c>
      <c r="D9" s="130">
        <f>GETPIVOTDATA("#Tests",$A$3,"ETA","wk-5")/GETPIVOTDATA("#Tests",$A$3)</f>
        <v>0.16400000000000001</v>
      </c>
      <c r="E9" s="131">
        <f t="shared" si="0"/>
        <v>0.78</v>
      </c>
    </row>
    <row r="10" spans="1:5" x14ac:dyDescent="0.25">
      <c r="A10" s="79" t="s">
        <v>587</v>
      </c>
      <c r="B10">
        <v>60</v>
      </c>
      <c r="D10" s="130">
        <f>GETPIVOTDATA("#Tests",$A$3,"ETA","wk-6")/GETPIVOTDATA("#Tests",$A$3)</f>
        <v>0.12</v>
      </c>
      <c r="E10" s="131">
        <f t="shared" si="0"/>
        <v>0.9</v>
      </c>
    </row>
    <row r="11" spans="1:5" x14ac:dyDescent="0.25">
      <c r="A11" s="79" t="s">
        <v>588</v>
      </c>
      <c r="B11">
        <v>30</v>
      </c>
      <c r="D11" s="130">
        <f>GETPIVOTDATA("#Tests",$A$3,"ETA","wk-7")/GETPIVOTDATA("#Tests",$A$3)</f>
        <v>0.06</v>
      </c>
      <c r="E11" s="131">
        <f t="shared" si="0"/>
        <v>0.96</v>
      </c>
    </row>
    <row r="12" spans="1:5" x14ac:dyDescent="0.25">
      <c r="A12" s="79" t="s">
        <v>589</v>
      </c>
      <c r="B12">
        <v>20</v>
      </c>
      <c r="D12" s="130">
        <f>GETPIVOTDATA("#Tests",$A$3,"ETA","wk-8")/GETPIVOTDATA("#Tests",$A$3)</f>
        <v>0.04</v>
      </c>
      <c r="E12" s="131">
        <f t="shared" si="0"/>
        <v>1</v>
      </c>
    </row>
    <row r="13" spans="1:5" x14ac:dyDescent="0.25">
      <c r="A13" s="79" t="s">
        <v>522</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980FBA6-706D-4C44-8DB2-77DA44903F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22A514-3872-4BC6-85FB-7D9D07F457A6}">
  <ds:schemaRefs>
    <ds:schemaRef ds:uri="http://purl.org/dc/terms/"/>
    <ds:schemaRef ds:uri="http://schemas.microsoft.com/office/2006/metadata/properties"/>
    <ds:schemaRef ds:uri="http://schemas.microsoft.com/office/2006/documentManagement/types"/>
    <ds:schemaRef ds:uri="http://www.w3.org/XML/1998/namespace"/>
    <ds:schemaRef ds:uri="6d5e1dd9-3d6d-4d57-aaa4-c6398f910d60"/>
    <ds:schemaRef ds:uri="http://purl.org/dc/dcmitype/"/>
    <ds:schemaRef ds:uri="http://purl.org/dc/elements/1.1/"/>
    <ds:schemaRef ds:uri="http://schemas.openxmlformats.org/package/2006/metadata/core-properties"/>
    <ds:schemaRef ds:uri="http://schemas.microsoft.com/office/infopath/2007/PartnerControls"/>
    <ds:schemaRef ds:uri="ec5a97c5-2653-49c6-b3a5-07f7dd96f613"/>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Revision History</vt:lpstr>
      <vt:lpstr>Usage</vt:lpstr>
      <vt:lpstr>Cross-IP trackingHowTo</vt:lpstr>
      <vt:lpstr>Diags Raw Data</vt:lpstr>
      <vt:lpstr>Feature Raw Data</vt:lpstr>
      <vt:lpstr>Feature Summary</vt:lpstr>
      <vt:lpstr>Progress (WIP)</vt:lpstr>
      <vt:lpstr>Sub-IP Block Summary</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2024-04-08T17:26:03Z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