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3.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workbookPr codeName="ThisWorkbook"/>
  <mc:AlternateContent xmlns:mc="http://schemas.openxmlformats.org/markup-compatibility/2006">
    <mc:Choice Requires="x15">
      <x15ac:absPath xmlns:x15ac="http://schemas.microsoft.com/office/spreadsheetml/2010/11/ac" url="C:\Users\pregier\Documents\qTest\python\flatten\flatten\outputdir\krk1_Staged\"/>
    </mc:Choice>
  </mc:AlternateContent>
  <xr:revisionPtr revIDLastSave="0" documentId="8_{040C75BE-05F8-4CA7-A689-216881904B72}" xr6:coauthVersionLast="47" xr6:coauthVersionMax="47" xr10:uidLastSave="{00000000-0000-0000-0000-000000000000}"/>
  <bookViews>
    <workbookView xWindow="-27450" yWindow="1035" windowWidth="24990" windowHeight="14805" firstSheet="2" activeTab="5" xr2:uid="{00000000-000D-0000-FFFF-FFFF00000000}"/>
  </bookViews>
  <sheets>
    <sheet name="Log" sheetId="47" state="hidden" r:id="rId1"/>
    <sheet name="List Options" sheetId="31" state="hidden" r:id="rId2"/>
    <sheet name="Usage" sheetId="56" r:id="rId3"/>
    <sheet name="Revision History" sheetId="58" r:id="rId4"/>
    <sheet name="Sub-IP Block Summary" sheetId="59" r:id="rId5"/>
    <sheet name="Diags Raw Data" sheetId="53" r:id="rId6"/>
    <sheet name="Feature Summary" sheetId="55" r:id="rId7"/>
    <sheet name="Progress" sheetId="51" r:id="rId8"/>
    <sheet name="Feature Raw Data" sheetId="52" r:id="rId9"/>
    <sheet name="Progress (WIP)" sheetId="26" state="hidden" r:id="rId10"/>
    <sheet name="Coverage Plan" sheetId="57" state="hidden" r:id="rId11"/>
  </sheets>
  <definedNames>
    <definedName name="_xlnm._FilterDatabase" localSheetId="5" hidden="1">'Diags Raw Data'!$A$5:$AG$83</definedName>
    <definedName name="_xlnm._FilterDatabase" localSheetId="8" hidden="1">'Feature Raw Data'!$A$2:$E$40</definedName>
    <definedName name="_xlnm._FilterDatabase" localSheetId="6" hidden="1">'Feature Summary'!$A$6:$U$66</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101" r:id="rId12"/>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9" i="55" l="1"/>
  <c r="I7" i="55"/>
  <c r="J7" i="55"/>
  <c r="I40" i="55"/>
  <c r="D50" i="55" a="1"/>
  <c r="D50" i="55" s="1"/>
  <c r="G50" i="55" s="1"/>
  <c r="D49" i="55" a="1"/>
  <c r="D49" i="55" s="1"/>
  <c r="G49" i="55" s="1"/>
  <c r="D48" i="55" a="1"/>
  <c r="D48" i="55" s="1"/>
  <c r="G48" i="55" s="1"/>
  <c r="D47" i="55" a="1"/>
  <c r="D47" i="55" s="1"/>
  <c r="G47" i="55" s="1"/>
  <c r="D46" i="55" a="1"/>
  <c r="D46" i="55" s="1"/>
  <c r="D45" i="55" a="1"/>
  <c r="D45" i="55" s="1"/>
  <c r="H45" i="55" s="1"/>
  <c r="D44" i="55" a="1"/>
  <c r="D44" i="55" s="1"/>
  <c r="Q50" i="55"/>
  <c r="P50" i="55"/>
  <c r="S50" i="55" s="1"/>
  <c r="J50" i="55"/>
  <c r="R50" i="55" s="1"/>
  <c r="I50" i="55"/>
  <c r="F50" i="55"/>
  <c r="E50" i="55"/>
  <c r="C50" i="55"/>
  <c r="Q49" i="55"/>
  <c r="J49" i="55"/>
  <c r="I49" i="55"/>
  <c r="F49" i="55"/>
  <c r="E49" i="55"/>
  <c r="C49" i="55"/>
  <c r="Q48" i="55"/>
  <c r="J48" i="55"/>
  <c r="I48" i="55"/>
  <c r="F48" i="55"/>
  <c r="E48" i="55"/>
  <c r="C48" i="55"/>
  <c r="Q47" i="55"/>
  <c r="P47" i="55"/>
  <c r="J47" i="55"/>
  <c r="I47" i="55"/>
  <c r="F47" i="55"/>
  <c r="E47" i="55"/>
  <c r="C47" i="55"/>
  <c r="Q46" i="55"/>
  <c r="J46" i="55"/>
  <c r="I46" i="55"/>
  <c r="F46" i="55"/>
  <c r="E46" i="55"/>
  <c r="C46" i="55"/>
  <c r="Q45" i="55"/>
  <c r="J45" i="55"/>
  <c r="I45" i="55"/>
  <c r="F45" i="55"/>
  <c r="E45" i="55"/>
  <c r="C45" i="55"/>
  <c r="Q44" i="55"/>
  <c r="J44" i="55"/>
  <c r="I44" i="55"/>
  <c r="F44" i="55"/>
  <c r="E44" i="55"/>
  <c r="C44" i="55"/>
  <c r="B50" i="55"/>
  <c r="B49" i="55"/>
  <c r="B48" i="55"/>
  <c r="B47" i="55"/>
  <c r="B46" i="55"/>
  <c r="B45" i="55"/>
  <c r="B44" i="55"/>
  <c r="P8" i="55"/>
  <c r="Q8" i="55"/>
  <c r="Q13" i="55"/>
  <c r="Q16" i="55"/>
  <c r="P16" i="55"/>
  <c r="Q25" i="55"/>
  <c r="P25" i="55"/>
  <c r="Q26" i="55"/>
  <c r="P26" i="55"/>
  <c r="P39" i="55"/>
  <c r="Q39" i="55"/>
  <c r="Q42" i="55"/>
  <c r="D33" i="55" a="1"/>
  <c r="D33" i="55" s="1"/>
  <c r="K83" i="53"/>
  <c r="J65" i="55" s="1"/>
  <c r="J83" i="53"/>
  <c r="M83" i="53" s="1"/>
  <c r="J33" i="55"/>
  <c r="R33" i="55" s="1"/>
  <c r="B15" i="55"/>
  <c r="S18" i="59"/>
  <c r="R18" i="59"/>
  <c r="Q18" i="59"/>
  <c r="P18" i="59"/>
  <c r="K18" i="59"/>
  <c r="J18" i="59"/>
  <c r="I18" i="59"/>
  <c r="C18" i="59"/>
  <c r="H18" i="59"/>
  <c r="E18" i="59"/>
  <c r="D18" i="59"/>
  <c r="B18" i="59"/>
  <c r="S19" i="59"/>
  <c r="R19" i="59"/>
  <c r="Q19" i="59"/>
  <c r="P19" i="59"/>
  <c r="O19" i="59"/>
  <c r="U19" i="59" s="1"/>
  <c r="K19" i="59"/>
  <c r="J19" i="59"/>
  <c r="I19" i="59"/>
  <c r="H19" i="59"/>
  <c r="G19" i="59"/>
  <c r="M19" i="59" s="1"/>
  <c r="E19" i="59"/>
  <c r="D19" i="59"/>
  <c r="C19" i="59"/>
  <c r="N19" i="59" s="1"/>
  <c r="B19" i="59"/>
  <c r="F19" i="59" s="1"/>
  <c r="S11" i="59"/>
  <c r="R11" i="59"/>
  <c r="Q11" i="59"/>
  <c r="B11" i="59"/>
  <c r="P11" i="59"/>
  <c r="K11" i="59"/>
  <c r="J11" i="59"/>
  <c r="I11" i="59"/>
  <c r="H11" i="59"/>
  <c r="E11" i="59"/>
  <c r="D11" i="59"/>
  <c r="C11" i="59"/>
  <c r="S12" i="59"/>
  <c r="R12" i="59"/>
  <c r="Q12" i="59"/>
  <c r="P12" i="59"/>
  <c r="O12" i="59"/>
  <c r="U12" i="59" s="1"/>
  <c r="K12" i="59"/>
  <c r="J12" i="59"/>
  <c r="I12" i="59"/>
  <c r="H12" i="59"/>
  <c r="G12" i="59"/>
  <c r="M12" i="59" s="1"/>
  <c r="E12" i="59"/>
  <c r="D12" i="59"/>
  <c r="C12" i="59"/>
  <c r="N12" i="59" s="1"/>
  <c r="B12" i="59"/>
  <c r="V12" i="59" s="1"/>
  <c r="S4" i="59"/>
  <c r="R4" i="59"/>
  <c r="Q4" i="59"/>
  <c r="P4" i="59"/>
  <c r="K4" i="59"/>
  <c r="J4" i="59"/>
  <c r="I4" i="59"/>
  <c r="H4" i="59"/>
  <c r="E4" i="59"/>
  <c r="D4" i="59"/>
  <c r="C4" i="59"/>
  <c r="N4" i="59" s="1"/>
  <c r="G4" i="59"/>
  <c r="B4" i="59"/>
  <c r="S5" i="59"/>
  <c r="R5" i="59"/>
  <c r="Q5" i="59"/>
  <c r="P5" i="59"/>
  <c r="O5" i="59"/>
  <c r="U5" i="59" s="1"/>
  <c r="K5" i="59"/>
  <c r="J5" i="59"/>
  <c r="I5" i="59"/>
  <c r="H5" i="59"/>
  <c r="G5" i="59"/>
  <c r="M5" i="59" s="1"/>
  <c r="E5" i="59"/>
  <c r="D5" i="59"/>
  <c r="C5" i="59"/>
  <c r="N5" i="59" s="1"/>
  <c r="B5" i="59"/>
  <c r="V5" i="59" s="1"/>
  <c r="Q12" i="55"/>
  <c r="J12" i="55"/>
  <c r="I12" i="55"/>
  <c r="F12" i="55"/>
  <c r="E12" i="55"/>
  <c r="D12" i="55" a="1"/>
  <c r="D12" i="55" s="1"/>
  <c r="G12" i="55" s="1"/>
  <c r="C12" i="55"/>
  <c r="B12" i="55"/>
  <c r="Q24" i="55"/>
  <c r="J24" i="55"/>
  <c r="I24" i="55"/>
  <c r="F24" i="55"/>
  <c r="E24" i="55"/>
  <c r="D24" i="55" a="1"/>
  <c r="D24" i="55" s="1"/>
  <c r="H24" i="55" s="1"/>
  <c r="C24" i="55"/>
  <c r="B24" i="55"/>
  <c r="Q23" i="55"/>
  <c r="J23" i="55"/>
  <c r="R23" i="55" s="1"/>
  <c r="F23" i="55"/>
  <c r="E23" i="55"/>
  <c r="D23" i="55" a="1"/>
  <c r="D23" i="55" s="1"/>
  <c r="C23" i="55"/>
  <c r="B23" i="55"/>
  <c r="Q22" i="55"/>
  <c r="J22" i="55"/>
  <c r="I22" i="55"/>
  <c r="F22" i="55"/>
  <c r="E22" i="55"/>
  <c r="D22" i="55" a="1"/>
  <c r="D22" i="55" s="1"/>
  <c r="C22" i="55"/>
  <c r="B22" i="55"/>
  <c r="Q21" i="55"/>
  <c r="J21" i="55"/>
  <c r="I21" i="55"/>
  <c r="F21" i="55"/>
  <c r="E21" i="55"/>
  <c r="D21" i="55" a="1"/>
  <c r="D21" i="55" s="1"/>
  <c r="C21" i="55"/>
  <c r="B21" i="55"/>
  <c r="Q20" i="55"/>
  <c r="J20" i="55"/>
  <c r="I20" i="55"/>
  <c r="F20" i="55"/>
  <c r="E20" i="55"/>
  <c r="D20" i="55" a="1"/>
  <c r="D20" i="55" s="1"/>
  <c r="H20" i="55" s="1"/>
  <c r="C20" i="55"/>
  <c r="B20" i="55"/>
  <c r="Q19" i="55"/>
  <c r="J19" i="55"/>
  <c r="I19" i="55"/>
  <c r="F19" i="55"/>
  <c r="E19" i="55"/>
  <c r="D19" i="55" a="1"/>
  <c r="D19" i="55" s="1"/>
  <c r="C19" i="55"/>
  <c r="B19" i="55"/>
  <c r="Q18" i="55"/>
  <c r="J18" i="55"/>
  <c r="I18" i="55"/>
  <c r="F18" i="55"/>
  <c r="E18" i="55"/>
  <c r="D18" i="55" a="1"/>
  <c r="D18" i="55" s="1"/>
  <c r="C18" i="55"/>
  <c r="B18" i="55"/>
  <c r="Q17" i="55"/>
  <c r="J17" i="55"/>
  <c r="I17" i="55"/>
  <c r="F17" i="55"/>
  <c r="E17" i="55"/>
  <c r="D17" i="55" a="1"/>
  <c r="D17" i="55" s="1"/>
  <c r="C17" i="55"/>
  <c r="B17" i="55"/>
  <c r="J16" i="55"/>
  <c r="I16" i="55"/>
  <c r="F16" i="55"/>
  <c r="E16" i="55"/>
  <c r="D16" i="55" a="1"/>
  <c r="D16" i="55" s="1"/>
  <c r="H16" i="55" s="1"/>
  <c r="C16" i="55"/>
  <c r="B16" i="55"/>
  <c r="Q15" i="55"/>
  <c r="F15" i="55"/>
  <c r="E15" i="55"/>
  <c r="D15" i="55" a="1"/>
  <c r="D15" i="55" s="1"/>
  <c r="C15" i="55"/>
  <c r="Q14" i="55"/>
  <c r="J14" i="55"/>
  <c r="I14" i="55"/>
  <c r="F14" i="55"/>
  <c r="E14" i="55"/>
  <c r="D14" i="55" a="1"/>
  <c r="D14" i="55" s="1"/>
  <c r="C14" i="55"/>
  <c r="B14" i="55"/>
  <c r="J13" i="55"/>
  <c r="I13" i="55"/>
  <c r="F13" i="55"/>
  <c r="E13" i="55"/>
  <c r="D13" i="55" a="1"/>
  <c r="D13" i="55" s="1"/>
  <c r="G13" i="55" s="1"/>
  <c r="C13" i="55"/>
  <c r="B13" i="55"/>
  <c r="Q11" i="55"/>
  <c r="J11" i="55"/>
  <c r="I11" i="55"/>
  <c r="F11" i="55"/>
  <c r="E11" i="55"/>
  <c r="D11" i="55" a="1"/>
  <c r="D11" i="55" s="1"/>
  <c r="H11" i="55" s="1"/>
  <c r="C11" i="55"/>
  <c r="B11" i="55"/>
  <c r="Q43" i="55"/>
  <c r="J43" i="55"/>
  <c r="R43" i="55" s="1"/>
  <c r="I43" i="55"/>
  <c r="F43" i="55"/>
  <c r="E43" i="55"/>
  <c r="D43" i="55" a="1"/>
  <c r="D43" i="55" s="1"/>
  <c r="C43" i="55"/>
  <c r="B43" i="55"/>
  <c r="J42" i="55"/>
  <c r="I42" i="55"/>
  <c r="F42" i="55"/>
  <c r="E42" i="55"/>
  <c r="D42" i="55" a="1"/>
  <c r="D42" i="55" s="1"/>
  <c r="G42" i="55" s="1"/>
  <c r="C42" i="55"/>
  <c r="B42" i="55"/>
  <c r="Q41" i="55"/>
  <c r="J41" i="55"/>
  <c r="I41" i="55"/>
  <c r="F41" i="55"/>
  <c r="E41" i="55"/>
  <c r="D41" i="55" a="1"/>
  <c r="D41" i="55" s="1"/>
  <c r="G41" i="55" s="1"/>
  <c r="C41" i="55"/>
  <c r="B41" i="55"/>
  <c r="Q40" i="55"/>
  <c r="J40" i="55"/>
  <c r="R40" i="55" s="1"/>
  <c r="F40" i="55"/>
  <c r="E40" i="55"/>
  <c r="D40" i="55" a="1"/>
  <c r="D40" i="55" s="1"/>
  <c r="C40" i="55"/>
  <c r="B40" i="55"/>
  <c r="J39" i="55"/>
  <c r="I39" i="55"/>
  <c r="F39" i="55"/>
  <c r="E39" i="55"/>
  <c r="D39" i="55" a="1"/>
  <c r="D39" i="55" s="1"/>
  <c r="C39" i="55"/>
  <c r="B39" i="55"/>
  <c r="Q38" i="55"/>
  <c r="J38" i="55"/>
  <c r="I38" i="55"/>
  <c r="F38" i="55"/>
  <c r="E38" i="55"/>
  <c r="D38" i="55" a="1"/>
  <c r="D38" i="55" s="1"/>
  <c r="C38" i="55"/>
  <c r="B38" i="55"/>
  <c r="Q37" i="55"/>
  <c r="J37" i="55"/>
  <c r="I37" i="55"/>
  <c r="F37" i="55"/>
  <c r="E37" i="55"/>
  <c r="D37" i="55" a="1"/>
  <c r="D37" i="55" s="1"/>
  <c r="C37" i="55"/>
  <c r="B37" i="55"/>
  <c r="Q36" i="55"/>
  <c r="J36" i="55"/>
  <c r="I36" i="55"/>
  <c r="F36" i="55"/>
  <c r="E36" i="55"/>
  <c r="D36" i="55" a="1"/>
  <c r="D36" i="55" s="1"/>
  <c r="C36" i="55"/>
  <c r="B36" i="55"/>
  <c r="Q35" i="55"/>
  <c r="J35" i="55"/>
  <c r="I35" i="55"/>
  <c r="F35" i="55"/>
  <c r="E35" i="55"/>
  <c r="D35" i="55" a="1"/>
  <c r="D35" i="55" s="1"/>
  <c r="C35" i="55"/>
  <c r="B35" i="55"/>
  <c r="Q34" i="55"/>
  <c r="J34" i="55"/>
  <c r="I34" i="55"/>
  <c r="F34" i="55"/>
  <c r="E34" i="55"/>
  <c r="D34" i="55" a="1"/>
  <c r="D34" i="55" s="1"/>
  <c r="C34" i="55"/>
  <c r="B34" i="55"/>
  <c r="Q33" i="55"/>
  <c r="I33" i="55"/>
  <c r="F33" i="55"/>
  <c r="E33" i="55"/>
  <c r="C33" i="55"/>
  <c r="B33" i="55"/>
  <c r="Q32" i="55"/>
  <c r="J32" i="55"/>
  <c r="I32" i="55"/>
  <c r="F32" i="55"/>
  <c r="E32" i="55"/>
  <c r="D32" i="55" a="1"/>
  <c r="D32" i="55" s="1"/>
  <c r="C32" i="55"/>
  <c r="B32" i="55"/>
  <c r="Q31" i="55"/>
  <c r="J31" i="55"/>
  <c r="I31" i="55"/>
  <c r="F31" i="55"/>
  <c r="E31" i="55"/>
  <c r="D31" i="55" a="1"/>
  <c r="D31" i="55" s="1"/>
  <c r="H31" i="55" s="1"/>
  <c r="C31" i="55"/>
  <c r="B31" i="55"/>
  <c r="Q30" i="55"/>
  <c r="J30" i="55"/>
  <c r="R30" i="55" s="1"/>
  <c r="I30" i="55"/>
  <c r="F30" i="55"/>
  <c r="E30" i="55"/>
  <c r="D30" i="55" a="1"/>
  <c r="D30" i="55" s="1"/>
  <c r="C30" i="55"/>
  <c r="B30" i="55"/>
  <c r="Q29" i="55"/>
  <c r="J29" i="55"/>
  <c r="I29" i="55"/>
  <c r="F29" i="55"/>
  <c r="E29" i="55"/>
  <c r="D29" i="55" a="1"/>
  <c r="D29" i="55" s="1"/>
  <c r="C29" i="55"/>
  <c r="B29" i="55"/>
  <c r="Q28" i="55"/>
  <c r="J28" i="55"/>
  <c r="P28" i="55"/>
  <c r="I28" i="55"/>
  <c r="F28" i="55"/>
  <c r="E28" i="55"/>
  <c r="D28" i="55" a="1"/>
  <c r="D28" i="55" s="1"/>
  <c r="C28" i="55"/>
  <c r="B28" i="55"/>
  <c r="Q27" i="55"/>
  <c r="J27" i="55"/>
  <c r="R27" i="55" s="1"/>
  <c r="P27" i="55"/>
  <c r="S27" i="55" s="1"/>
  <c r="I27" i="55"/>
  <c r="F27" i="55"/>
  <c r="E27" i="55"/>
  <c r="D27" i="55" a="1"/>
  <c r="D27" i="55" s="1"/>
  <c r="C27" i="55"/>
  <c r="B27" i="55"/>
  <c r="J26" i="55"/>
  <c r="I26" i="55"/>
  <c r="F26" i="55"/>
  <c r="E26" i="55"/>
  <c r="D26" i="55" a="1"/>
  <c r="D26" i="55" s="1"/>
  <c r="H26" i="55" s="1"/>
  <c r="C26" i="55"/>
  <c r="B26" i="55"/>
  <c r="J25" i="55"/>
  <c r="I25" i="55"/>
  <c r="F25" i="55"/>
  <c r="E25" i="55"/>
  <c r="D25" i="55" a="1"/>
  <c r="D25" i="55" s="1"/>
  <c r="H25" i="55" s="1"/>
  <c r="C25" i="55"/>
  <c r="B25" i="55"/>
  <c r="P24" i="55"/>
  <c r="P22" i="55"/>
  <c r="P21" i="55"/>
  <c r="P18" i="55"/>
  <c r="P11" i="55"/>
  <c r="P40" i="55"/>
  <c r="S40" i="55" s="1"/>
  <c r="P37" i="55"/>
  <c r="P36" i="55"/>
  <c r="S36" i="55" s="1"/>
  <c r="B7" i="55"/>
  <c r="S2" i="53"/>
  <c r="Q83" i="53"/>
  <c r="M33" i="55" s="1" a="1"/>
  <c r="M33" i="55" s="1"/>
  <c r="O33" i="55" s="1"/>
  <c r="S83" i="53"/>
  <c r="T83" i="53"/>
  <c r="N83" i="53"/>
  <c r="J2" i="53"/>
  <c r="C6" i="59"/>
  <c r="N6" i="59" s="1"/>
  <c r="D20" i="59"/>
  <c r="D13" i="59"/>
  <c r="D6" i="59"/>
  <c r="I8" i="55"/>
  <c r="AC2" i="53"/>
  <c r="AB2" i="53"/>
  <c r="AA2" i="53"/>
  <c r="Z2" i="53"/>
  <c r="V2" i="53"/>
  <c r="U2" i="53"/>
  <c r="T2" i="53"/>
  <c r="Q2" i="53"/>
  <c r="N2" i="53"/>
  <c r="K2" i="53"/>
  <c r="S6" i="59"/>
  <c r="R6" i="59"/>
  <c r="Q6" i="59"/>
  <c r="P6" i="59"/>
  <c r="K6" i="59"/>
  <c r="J6" i="59"/>
  <c r="I6" i="59"/>
  <c r="G6" i="59"/>
  <c r="M6" i="59" s="1"/>
  <c r="H6" i="59"/>
  <c r="E6" i="59"/>
  <c r="B6" i="59"/>
  <c r="F6" i="59" s="1"/>
  <c r="D9" i="55" a="1"/>
  <c r="D9" i="55" s="1"/>
  <c r="D10" i="55" a="1"/>
  <c r="D10" i="55" s="1"/>
  <c r="G10" i="55" s="1"/>
  <c r="I9" i="55"/>
  <c r="I10" i="55"/>
  <c r="Q9" i="55"/>
  <c r="Q10" i="55"/>
  <c r="Q7" i="55"/>
  <c r="J9" i="55"/>
  <c r="J10" i="55"/>
  <c r="J8" i="55"/>
  <c r="E9" i="55"/>
  <c r="E10" i="55"/>
  <c r="E8" i="55"/>
  <c r="E7" i="55"/>
  <c r="D8" i="55" a="1"/>
  <c r="D8" i="55" s="1"/>
  <c r="D7" i="55" a="1"/>
  <c r="D7" i="55" s="1"/>
  <c r="B9" i="55"/>
  <c r="B10" i="55"/>
  <c r="B8" i="55"/>
  <c r="C7" i="55"/>
  <c r="F8" i="55"/>
  <c r="I3" i="52"/>
  <c r="F9" i="55"/>
  <c r="F10" i="55"/>
  <c r="C10" i="55"/>
  <c r="C8" i="55"/>
  <c r="I13" i="52"/>
  <c r="I12" i="52"/>
  <c r="I11" i="52"/>
  <c r="I10" i="52"/>
  <c r="I9" i="52"/>
  <c r="I8" i="52"/>
  <c r="I7" i="52"/>
  <c r="I6" i="52"/>
  <c r="I5" i="52"/>
  <c r="I4" i="52"/>
  <c r="C20" i="59"/>
  <c r="N20" i="59" s="1"/>
  <c r="K20" i="59"/>
  <c r="J20" i="59"/>
  <c r="K13" i="59"/>
  <c r="J13" i="59"/>
  <c r="S20" i="59"/>
  <c r="R20" i="59"/>
  <c r="S13" i="59"/>
  <c r="R13" i="59"/>
  <c r="AC83" i="53"/>
  <c r="AB83" i="53"/>
  <c r="AA83" i="53"/>
  <c r="Z83" i="53"/>
  <c r="V83" i="53"/>
  <c r="U83" i="53"/>
  <c r="P13" i="59"/>
  <c r="B13" i="59"/>
  <c r="F13" i="59" s="1"/>
  <c r="Q13" i="59"/>
  <c r="C13" i="59"/>
  <c r="L13" i="59" s="1"/>
  <c r="I13" i="59"/>
  <c r="H13" i="59"/>
  <c r="E13" i="59"/>
  <c r="E20" i="59"/>
  <c r="Q20" i="59"/>
  <c r="P20" i="59"/>
  <c r="I20" i="59"/>
  <c r="H20" i="59"/>
  <c r="B20" i="59"/>
  <c r="T20" i="59" s="1"/>
  <c r="G20" i="59"/>
  <c r="M20" i="59" s="1"/>
  <c r="G13" i="59"/>
  <c r="M13" i="59" s="1"/>
  <c r="C7" i="26"/>
  <c r="D7" i="26" s="1"/>
  <c r="E7" i="26" s="1"/>
  <c r="C9" i="26"/>
  <c r="D9" i="26"/>
  <c r="E9" i="26"/>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s="1"/>
  <c r="G4" i="26" s="1"/>
  <c r="H4" i="26" s="1"/>
  <c r="I4" i="26" s="1"/>
  <c r="J4" i="26" s="1"/>
  <c r="K4" i="26" s="1"/>
  <c r="L4" i="26" s="1"/>
  <c r="M4" i="26" s="1"/>
  <c r="N4" i="26" s="1"/>
  <c r="O4" i="26"/>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E12" i="26" s="1"/>
  <c r="O6" i="59"/>
  <c r="U6" i="59" s="1"/>
  <c r="O20" i="59"/>
  <c r="U20" i="59" s="1"/>
  <c r="O13" i="59"/>
  <c r="U13" i="59" s="1"/>
  <c r="F7" i="55"/>
  <c r="P41" i="55"/>
  <c r="P14" i="55"/>
  <c r="G18" i="59"/>
  <c r="M18" i="59" s="1"/>
  <c r="P31" i="55"/>
  <c r="P35" i="55"/>
  <c r="S35" i="55" s="1"/>
  <c r="P12" i="55"/>
  <c r="P17" i="55"/>
  <c r="P7" i="55"/>
  <c r="S7" i="55" s="1"/>
  <c r="P29" i="55"/>
  <c r="G11" i="59"/>
  <c r="R83" i="53"/>
  <c r="P32" i="55"/>
  <c r="P38" i="55"/>
  <c r="O18" i="59"/>
  <c r="R2" i="53"/>
  <c r="P23" i="55"/>
  <c r="S23" i="55" s="1"/>
  <c r="K14" i="26"/>
  <c r="R15" i="55"/>
  <c r="R7" i="55"/>
  <c r="L14" i="26"/>
  <c r="M14" i="26"/>
  <c r="S14" i="26"/>
  <c r="F12" i="26"/>
  <c r="AF14" i="26"/>
  <c r="R14" i="26"/>
  <c r="AA14" i="26"/>
  <c r="AJ14" i="26"/>
  <c r="M12" i="26"/>
  <c r="G12" i="26"/>
  <c r="I14" i="26"/>
  <c r="N14" i="26"/>
  <c r="Y12" i="26"/>
  <c r="T12" i="26"/>
  <c r="AD12" i="26"/>
  <c r="AH12" i="26"/>
  <c r="P12" i="26"/>
  <c r="G2" i="26"/>
  <c r="Z12" i="26"/>
  <c r="D12" i="26"/>
  <c r="N12" i="26"/>
  <c r="F11" i="59"/>
  <c r="AF12" i="26"/>
  <c r="AJ12" i="26"/>
  <c r="H14" i="26"/>
  <c r="B12" i="26"/>
  <c r="T14" i="26"/>
  <c r="Q14" i="26"/>
  <c r="D12" i="57"/>
  <c r="D6" i="57"/>
  <c r="D8" i="57"/>
  <c r="D5" i="57"/>
  <c r="D7" i="57"/>
  <c r="D9" i="57"/>
  <c r="D10" i="57"/>
  <c r="D11" i="57"/>
  <c r="N8" i="55" l="1" a="1"/>
  <c r="N8" i="55" s="1"/>
  <c r="H48" i="55"/>
  <c r="P20" i="55"/>
  <c r="S20" i="55" s="1"/>
  <c r="P46" i="55"/>
  <c r="R46" i="55" s="1"/>
  <c r="H47" i="55"/>
  <c r="N12" i="55" a="1"/>
  <c r="N12" i="55" s="1"/>
  <c r="F5" i="59"/>
  <c r="S25" i="55"/>
  <c r="H41" i="55"/>
  <c r="L50" i="55" a="1"/>
  <c r="L50" i="55" s="1"/>
  <c r="H49" i="55"/>
  <c r="M15" i="55" a="1"/>
  <c r="M15" i="55" s="1"/>
  <c r="O15" i="55" s="1"/>
  <c r="R39" i="55"/>
  <c r="R36" i="55"/>
  <c r="S8" i="55"/>
  <c r="R35" i="55"/>
  <c r="T35" i="55" s="1"/>
  <c r="R29" i="55"/>
  <c r="P7" i="59"/>
  <c r="P44" i="55"/>
  <c r="R44" i="55" s="1"/>
  <c r="T12" i="59"/>
  <c r="R18" i="55"/>
  <c r="R26" i="55"/>
  <c r="O11" i="59"/>
  <c r="T11" i="59" s="1"/>
  <c r="H21" i="59"/>
  <c r="R24" i="55"/>
  <c r="P43" i="55"/>
  <c r="S43" i="55" s="1"/>
  <c r="T43" i="55" s="1"/>
  <c r="R8" i="55"/>
  <c r="N48" i="55" a="1"/>
  <c r="N48" i="55" s="1"/>
  <c r="R21" i="55"/>
  <c r="M2" i="53"/>
  <c r="R32" i="55"/>
  <c r="H13" i="55"/>
  <c r="M18" i="55" a="1"/>
  <c r="M18" i="55" s="1"/>
  <c r="N46" i="55" a="1"/>
  <c r="N46" i="55" s="1"/>
  <c r="S18" i="55"/>
  <c r="T18" i="55" s="1"/>
  <c r="N49" i="55" a="1"/>
  <c r="N49" i="55" s="1"/>
  <c r="K21" i="55" a="1"/>
  <c r="K21" i="55" s="1"/>
  <c r="M20" i="55" a="1"/>
  <c r="M20" i="55" s="1"/>
  <c r="S12" i="55"/>
  <c r="R25" i="55"/>
  <c r="T25" i="55" s="1"/>
  <c r="I65" i="55"/>
  <c r="N13" i="55" a="1"/>
  <c r="N13" i="55" s="1"/>
  <c r="N34" i="55" a="1"/>
  <c r="N34" i="55" s="1"/>
  <c r="I2" i="55"/>
  <c r="S22" i="55"/>
  <c r="N16" i="55" a="1"/>
  <c r="N16" i="55" s="1"/>
  <c r="N20" i="55" a="1"/>
  <c r="N20" i="55" s="1"/>
  <c r="S14" i="59"/>
  <c r="N50" i="55" a="1"/>
  <c r="N50" i="55" s="1"/>
  <c r="N36" i="55" a="1"/>
  <c r="N36" i="55" s="1"/>
  <c r="T7" i="55"/>
  <c r="H12" i="55"/>
  <c r="I21" i="59"/>
  <c r="M40" i="55" a="1"/>
  <c r="M40" i="55" s="1"/>
  <c r="O40" i="55" s="1"/>
  <c r="G16" i="55"/>
  <c r="F12" i="59"/>
  <c r="M38" i="55" a="1"/>
  <c r="M38" i="55" s="1"/>
  <c r="P19" i="55"/>
  <c r="R19" i="55" s="1"/>
  <c r="Q7" i="59"/>
  <c r="P49" i="55"/>
  <c r="R49" i="55" s="1"/>
  <c r="S31" i="55"/>
  <c r="M11" i="55" a="1"/>
  <c r="M11" i="55" s="1"/>
  <c r="G31" i="55"/>
  <c r="M14" i="55" a="1"/>
  <c r="M14" i="55" s="1"/>
  <c r="M34" i="55" a="1"/>
  <c r="M34" i="55" s="1"/>
  <c r="M28" i="55" a="1"/>
  <c r="M28" i="55" s="1"/>
  <c r="M24" i="55" a="1"/>
  <c r="M24" i="55" s="1"/>
  <c r="M35" i="55" a="1"/>
  <c r="M35" i="55" s="1"/>
  <c r="O35" i="55" s="1"/>
  <c r="M10" i="55" a="1"/>
  <c r="M10" i="55" s="1"/>
  <c r="P34" i="55"/>
  <c r="R34" i="55" s="1"/>
  <c r="R14" i="55"/>
  <c r="N21" i="55" a="1"/>
  <c r="N21" i="55" s="1"/>
  <c r="K48" i="55" a="1"/>
  <c r="K48" i="55" s="1"/>
  <c r="K12" i="55" a="1"/>
  <c r="K12" i="55" s="1"/>
  <c r="K49" i="55" a="1"/>
  <c r="K49" i="55" s="1"/>
  <c r="K65" i="55"/>
  <c r="K33" i="55" a="1"/>
  <c r="K33" i="55" s="1"/>
  <c r="T5" i="59"/>
  <c r="N47" i="55" a="1"/>
  <c r="N47" i="55" s="1"/>
  <c r="G25" i="55"/>
  <c r="N7" i="55" a="1"/>
  <c r="N7" i="55" s="1"/>
  <c r="S21" i="55"/>
  <c r="G24" i="55"/>
  <c r="N19" i="55" a="1"/>
  <c r="N19" i="55" s="1"/>
  <c r="S41" i="55"/>
  <c r="Q2" i="55"/>
  <c r="S11" i="55"/>
  <c r="G20" i="55"/>
  <c r="S14" i="55"/>
  <c r="N2" i="55"/>
  <c r="N35" i="55" a="1"/>
  <c r="N35" i="55" s="1"/>
  <c r="R22" i="55"/>
  <c r="K8" i="55" a="1"/>
  <c r="K8" i="55" s="1"/>
  <c r="O2" i="53"/>
  <c r="N24" i="55" a="1"/>
  <c r="N24" i="55" s="1"/>
  <c r="O24" i="55" s="1"/>
  <c r="W83" i="53"/>
  <c r="K36" i="55" a="1"/>
  <c r="K36" i="55" s="1"/>
  <c r="N44" i="55" a="1"/>
  <c r="N44" i="55" s="1"/>
  <c r="S37" i="55"/>
  <c r="P42" i="55"/>
  <c r="S42" i="55" s="1"/>
  <c r="K20" i="55" a="1"/>
  <c r="K20" i="55" s="1"/>
  <c r="N32" i="55" a="1"/>
  <c r="N32" i="55" s="1"/>
  <c r="N10" i="55" a="1"/>
  <c r="N10" i="55" s="1"/>
  <c r="K7" i="59"/>
  <c r="H14" i="55"/>
  <c r="K14" i="55" a="1"/>
  <c r="K14" i="55" s="1"/>
  <c r="G14" i="55"/>
  <c r="K45" i="55" a="1"/>
  <c r="K45" i="55" s="1"/>
  <c r="R12" i="55"/>
  <c r="M41" i="55" a="1"/>
  <c r="M41" i="55" s="1"/>
  <c r="P15" i="55"/>
  <c r="S15" i="55" s="1"/>
  <c r="T15" i="55" s="1"/>
  <c r="Y2" i="53"/>
  <c r="M45" i="55" a="1"/>
  <c r="M45" i="55" s="1"/>
  <c r="K2" i="55"/>
  <c r="K24" i="55" a="1"/>
  <c r="K24" i="55" s="1"/>
  <c r="M31" i="55" a="1"/>
  <c r="M31" i="55" s="1"/>
  <c r="R7" i="59"/>
  <c r="M39" i="55" a="1"/>
  <c r="M39" i="55" s="1"/>
  <c r="O4" i="59"/>
  <c r="T4" i="59" s="1"/>
  <c r="R28" i="55"/>
  <c r="P45" i="55"/>
  <c r="R45" i="55" s="1"/>
  <c r="K35" i="55" a="1"/>
  <c r="K35" i="55" s="1"/>
  <c r="M37" i="55" a="1"/>
  <c r="M37" i="55" s="1"/>
  <c r="M26" i="55" a="1"/>
  <c r="M26" i="55" s="1"/>
  <c r="M23" i="55" a="1"/>
  <c r="M23" i="55" s="1"/>
  <c r="O23" i="55" s="1"/>
  <c r="P10" i="55"/>
  <c r="S10" i="55" s="1"/>
  <c r="K25" i="55" a="1"/>
  <c r="K25" i="55" s="1"/>
  <c r="M44" i="55" a="1"/>
  <c r="M44" i="55" s="1"/>
  <c r="M50" i="55" a="1"/>
  <c r="M50" i="55" s="1"/>
  <c r="O50" i="55" s="1"/>
  <c r="Y83" i="53"/>
  <c r="AD2" i="53" s="1"/>
  <c r="K16" i="55" a="1"/>
  <c r="K16" i="55" s="1"/>
  <c r="K31" i="55" a="1"/>
  <c r="K31" i="55" s="1"/>
  <c r="M12" i="55" a="1"/>
  <c r="M12" i="55" s="1"/>
  <c r="M17" i="55" a="1"/>
  <c r="M17" i="55" s="1"/>
  <c r="N45" i="55" a="1"/>
  <c r="N45" i="55" s="1"/>
  <c r="K7" i="55" a="1"/>
  <c r="K7" i="55" s="1"/>
  <c r="H30" i="55"/>
  <c r="S24" i="55"/>
  <c r="T24" i="55" s="1"/>
  <c r="M9" i="55" a="1"/>
  <c r="M9" i="55" s="1"/>
  <c r="M29" i="55" a="1"/>
  <c r="M29" i="55" s="1"/>
  <c r="L11" i="59"/>
  <c r="M48" i="55" a="1"/>
  <c r="M48" i="55" s="1"/>
  <c r="K30" i="55" a="1"/>
  <c r="K30" i="55" s="1"/>
  <c r="M21" i="55" a="1"/>
  <c r="M21" i="55" s="1"/>
  <c r="O21" i="55" s="1"/>
  <c r="M49" i="55" a="1"/>
  <c r="M49" i="55" s="1"/>
  <c r="K13" i="55" a="1"/>
  <c r="K13" i="55" s="1"/>
  <c r="K32" i="55" a="1"/>
  <c r="K32" i="55" s="1"/>
  <c r="H32" i="55"/>
  <c r="G32" i="55"/>
  <c r="H17" i="55"/>
  <c r="G17" i="55"/>
  <c r="K17" i="55" a="1"/>
  <c r="K17" i="55" s="1"/>
  <c r="K28" i="55" a="1"/>
  <c r="K28" i="55" s="1"/>
  <c r="G28" i="55"/>
  <c r="R37" i="55"/>
  <c r="R31" i="55"/>
  <c r="S39" i="55"/>
  <c r="T50" i="55"/>
  <c r="S32" i="55"/>
  <c r="T32" i="55" s="1"/>
  <c r="H10" i="55"/>
  <c r="T36" i="55"/>
  <c r="S17" i="55"/>
  <c r="R47" i="55"/>
  <c r="K38" i="55" a="1"/>
  <c r="K38" i="55" s="1"/>
  <c r="H38" i="55"/>
  <c r="G38" i="55"/>
  <c r="K40" i="55" a="1"/>
  <c r="K40" i="55" s="1"/>
  <c r="G29" i="55"/>
  <c r="H29" i="55"/>
  <c r="K29" i="55" a="1"/>
  <c r="K29" i="55" s="1"/>
  <c r="T40" i="55"/>
  <c r="H37" i="55"/>
  <c r="G37" i="55"/>
  <c r="K37" i="55" a="1"/>
  <c r="K37" i="55" s="1"/>
  <c r="H39" i="55"/>
  <c r="G39" i="55"/>
  <c r="K39" i="55" a="1"/>
  <c r="K39" i="55" s="1"/>
  <c r="K43" i="55" a="1"/>
  <c r="K43" i="55" s="1"/>
  <c r="G34" i="55"/>
  <c r="H34" i="55"/>
  <c r="K34" i="55" a="1"/>
  <c r="K34" i="55" s="1"/>
  <c r="H19" i="55"/>
  <c r="K19" i="55" a="1"/>
  <c r="K19" i="55" s="1"/>
  <c r="G19" i="55"/>
  <c r="G22" i="55"/>
  <c r="T8" i="55"/>
  <c r="H28" i="55"/>
  <c r="N14" i="55" a="1"/>
  <c r="N14" i="55" s="1"/>
  <c r="O14" i="55" s="1"/>
  <c r="N43" i="55" a="1"/>
  <c r="N43" i="55" s="1"/>
  <c r="M47" i="55" a="1"/>
  <c r="M47" i="55" s="1"/>
  <c r="P33" i="55"/>
  <c r="S33" i="55" s="1"/>
  <c r="T33" i="55" s="1"/>
  <c r="R20" i="55"/>
  <c r="T20" i="55" s="1"/>
  <c r="K47" i="55" a="1"/>
  <c r="K47" i="55" s="1"/>
  <c r="N9" i="55" a="1"/>
  <c r="N9" i="55" s="1"/>
  <c r="M16" i="55" a="1"/>
  <c r="M16" i="55" s="1"/>
  <c r="O16" i="55" s="1"/>
  <c r="I7" i="59"/>
  <c r="P30" i="55"/>
  <c r="S30" i="55" s="1"/>
  <c r="T30" i="55" s="1"/>
  <c r="O83" i="53"/>
  <c r="L29" i="55" s="1" a="1"/>
  <c r="L29" i="55" s="1"/>
  <c r="N31" i="55" a="1"/>
  <c r="N31" i="55" s="1"/>
  <c r="N23" i="55" a="1"/>
  <c r="N23" i="55" s="1"/>
  <c r="M30" i="55" a="1"/>
  <c r="M30" i="55" s="1"/>
  <c r="O30" i="55" s="1"/>
  <c r="M27" i="55" a="1"/>
  <c r="M27" i="55" s="1"/>
  <c r="O27" i="55" s="1"/>
  <c r="M25" i="55" a="1"/>
  <c r="M25" i="55" s="1"/>
  <c r="M7" i="55" a="1"/>
  <c r="M7" i="55" s="1"/>
  <c r="O7" i="55" s="1"/>
  <c r="R16" i="55"/>
  <c r="S16" i="55"/>
  <c r="S28" i="55"/>
  <c r="R11" i="55"/>
  <c r="P13" i="55"/>
  <c r="R38" i="55"/>
  <c r="D21" i="59"/>
  <c r="J2" i="55"/>
  <c r="P9" i="55"/>
  <c r="K10" i="55" a="1"/>
  <c r="K10" i="55" s="1"/>
  <c r="N26" i="55" a="1"/>
  <c r="N26" i="55" s="1"/>
  <c r="N39" i="55" a="1"/>
  <c r="N39" i="55" s="1"/>
  <c r="K42" i="55" a="1"/>
  <c r="K42" i="55" s="1"/>
  <c r="M22" i="55" a="1"/>
  <c r="M22" i="55" s="1"/>
  <c r="N28" i="55" a="1"/>
  <c r="N28" i="55" s="1"/>
  <c r="H42" i="55"/>
  <c r="G45" i="55"/>
  <c r="H21" i="55"/>
  <c r="S38" i="55"/>
  <c r="M13" i="55" a="1"/>
  <c r="M13" i="55" s="1"/>
  <c r="M2" i="55"/>
  <c r="K15" i="55" a="1"/>
  <c r="K15" i="55" s="1"/>
  <c r="T23" i="55"/>
  <c r="N17" i="55" a="1"/>
  <c r="N17" i="55" s="1"/>
  <c r="G21" i="55"/>
  <c r="R17" i="55"/>
  <c r="K11" i="55" a="1"/>
  <c r="K11" i="55" s="1"/>
  <c r="M42" i="55" a="1"/>
  <c r="M42" i="55" s="1"/>
  <c r="M43" i="55" a="1"/>
  <c r="M43" i="55" s="1"/>
  <c r="O43" i="55" s="1"/>
  <c r="M36" i="55" a="1"/>
  <c r="M36" i="55" s="1"/>
  <c r="O36" i="55" s="1"/>
  <c r="M65" i="55"/>
  <c r="N27" i="55" a="1"/>
  <c r="N27" i="55" s="1"/>
  <c r="L19" i="59"/>
  <c r="W2" i="53"/>
  <c r="N29" i="55" a="1"/>
  <c r="N29" i="55" s="1"/>
  <c r="T27" i="55"/>
  <c r="R41" i="55"/>
  <c r="T41" i="55" s="1"/>
  <c r="K26" i="55" a="1"/>
  <c r="K26" i="55" s="1"/>
  <c r="M32" i="55" a="1"/>
  <c r="M32" i="55" s="1"/>
  <c r="M46" i="55" a="1"/>
  <c r="M46" i="55" s="1"/>
  <c r="M8" i="55" a="1"/>
  <c r="M8" i="55" s="1"/>
  <c r="O8" i="55" s="1"/>
  <c r="M19" i="55" a="1"/>
  <c r="M19" i="55" s="1"/>
  <c r="N42" i="55" a="1"/>
  <c r="N42" i="55" s="1"/>
  <c r="S29" i="55"/>
  <c r="P48" i="55"/>
  <c r="S26" i="55"/>
  <c r="T26" i="55" s="1"/>
  <c r="F4" i="59"/>
  <c r="F18" i="59"/>
  <c r="E14" i="59"/>
  <c r="M4" i="59"/>
  <c r="J7" i="59"/>
  <c r="R21" i="59"/>
  <c r="V19" i="59"/>
  <c r="H7" i="59"/>
  <c r="E21" i="59"/>
  <c r="N11" i="59"/>
  <c r="V18" i="59"/>
  <c r="S7" i="59"/>
  <c r="L20" i="59"/>
  <c r="C21" i="59"/>
  <c r="N21" i="59" s="1"/>
  <c r="N18" i="59"/>
  <c r="J14" i="59"/>
  <c r="P14" i="59"/>
  <c r="Q21" i="59"/>
  <c r="B21" i="59"/>
  <c r="I14" i="59"/>
  <c r="E7" i="59"/>
  <c r="H14" i="59"/>
  <c r="V20" i="59"/>
  <c r="J21" i="59"/>
  <c r="F20" i="59"/>
  <c r="U18" i="59"/>
  <c r="K21" i="59"/>
  <c r="L6" i="59"/>
  <c r="L12" i="59"/>
  <c r="L18" i="59"/>
  <c r="D14" i="59"/>
  <c r="G7" i="59"/>
  <c r="L5" i="59"/>
  <c r="D7" i="59"/>
  <c r="P21" i="59"/>
  <c r="S21" i="59"/>
  <c r="C14" i="59"/>
  <c r="V13" i="59"/>
  <c r="Q14" i="59"/>
  <c r="L4" i="59"/>
  <c r="R14" i="59"/>
  <c r="N13" i="59"/>
  <c r="V4" i="59"/>
  <c r="M11" i="59"/>
  <c r="B14" i="59"/>
  <c r="G14" i="59"/>
  <c r="D13" i="57"/>
  <c r="E5" i="57"/>
  <c r="E6" i="57" s="1"/>
  <c r="E7" i="57" s="1"/>
  <c r="E8" i="57" s="1"/>
  <c r="E9" i="57" s="1"/>
  <c r="E10" i="57" s="1"/>
  <c r="E11" i="57" s="1"/>
  <c r="E12" i="57" s="1"/>
  <c r="G18" i="55"/>
  <c r="H18" i="55"/>
  <c r="K18" i="55" a="1"/>
  <c r="K18" i="55" s="1"/>
  <c r="H8" i="55"/>
  <c r="D6" i="26"/>
  <c r="H9" i="55"/>
  <c r="G9" i="55"/>
  <c r="K9" i="55" a="1"/>
  <c r="K9" i="55" s="1"/>
  <c r="V6" i="59"/>
  <c r="C7" i="59"/>
  <c r="K14" i="59"/>
  <c r="T6" i="59"/>
  <c r="K41" i="55" a="1"/>
  <c r="K41" i="55" s="1"/>
  <c r="G44" i="55"/>
  <c r="H44" i="55"/>
  <c r="K44" i="55" a="1"/>
  <c r="K44" i="55" s="1"/>
  <c r="F7" i="26"/>
  <c r="E6" i="26"/>
  <c r="K23" i="55" a="1"/>
  <c r="K23" i="55" s="1"/>
  <c r="L23" i="55" a="1"/>
  <c r="L23" i="55" s="1"/>
  <c r="G46" i="55"/>
  <c r="H46" i="55"/>
  <c r="T18" i="59"/>
  <c r="G11" i="55"/>
  <c r="K46" i="55" a="1"/>
  <c r="K46" i="55" s="1"/>
  <c r="H50" i="55"/>
  <c r="K50" i="55" a="1"/>
  <c r="K50" i="55" s="1"/>
  <c r="G26" i="55"/>
  <c r="H22" i="55"/>
  <c r="K22" i="55" a="1"/>
  <c r="K22" i="55" s="1"/>
  <c r="O21" i="59"/>
  <c r="U21" i="59" s="1"/>
  <c r="B7" i="59"/>
  <c r="Q65" i="55"/>
  <c r="AD83" i="53"/>
  <c r="G8" i="55"/>
  <c r="L27" i="55" a="1"/>
  <c r="L27" i="55" s="1"/>
  <c r="K27" i="55" a="1"/>
  <c r="K27" i="55" s="1"/>
  <c r="N40" i="55" a="1"/>
  <c r="N40" i="55" s="1"/>
  <c r="Q12" i="26"/>
  <c r="X12" i="26"/>
  <c r="AB14" i="26"/>
  <c r="U12" i="26"/>
  <c r="X14" i="26"/>
  <c r="I12" i="26"/>
  <c r="AC12" i="26"/>
  <c r="C12" i="26"/>
  <c r="N15" i="55" a="1"/>
  <c r="N15" i="55" s="1"/>
  <c r="B6" i="26"/>
  <c r="V11" i="59"/>
  <c r="N41" i="55" a="1"/>
  <c r="N41" i="55" s="1"/>
  <c r="N30" i="55" a="1"/>
  <c r="N30" i="55" s="1"/>
  <c r="T19" i="59"/>
  <c r="H12" i="26"/>
  <c r="AB12" i="26"/>
  <c r="AH14" i="26"/>
  <c r="N18" i="55" a="1"/>
  <c r="N18" i="55" s="1"/>
  <c r="V14" i="26"/>
  <c r="N22" i="55" a="1"/>
  <c r="N22" i="55" s="1"/>
  <c r="G21" i="59"/>
  <c r="M21" i="59" s="1"/>
  <c r="N25" i="55" a="1"/>
  <c r="N25" i="55" s="1"/>
  <c r="N65" i="55"/>
  <c r="N33" i="55" a="1"/>
  <c r="N33" i="55" s="1"/>
  <c r="C6" i="26"/>
  <c r="AI12" i="26"/>
  <c r="T13" i="59"/>
  <c r="AL12" i="26"/>
  <c r="R12" i="26"/>
  <c r="G14" i="26"/>
  <c r="AC14" i="26"/>
  <c r="J12" i="26"/>
  <c r="P14" i="26"/>
  <c r="S12" i="26"/>
  <c r="L12" i="26"/>
  <c r="AI14" i="26"/>
  <c r="J14" i="26"/>
  <c r="AG14" i="26"/>
  <c r="S47" i="55"/>
  <c r="V12" i="26"/>
  <c r="O14" i="26"/>
  <c r="AE14" i="26"/>
  <c r="AE12" i="26"/>
  <c r="N37" i="55" a="1"/>
  <c r="N37" i="55" s="1"/>
  <c r="Y14" i="26"/>
  <c r="AG12" i="26"/>
  <c r="O12" i="26"/>
  <c r="AL14" i="26"/>
  <c r="N11" i="55" a="1"/>
  <c r="N11" i="55" s="1"/>
  <c r="O11" i="55" s="1"/>
  <c r="K12" i="26"/>
  <c r="F14" i="26"/>
  <c r="AD14" i="26"/>
  <c r="W12" i="26"/>
  <c r="W14" i="26"/>
  <c r="N38" i="55" a="1"/>
  <c r="N38" i="55" s="1"/>
  <c r="O38" i="55" s="1"/>
  <c r="AK12" i="26"/>
  <c r="AK14" i="26"/>
  <c r="Z14" i="26"/>
  <c r="U14" i="26"/>
  <c r="AA12" i="26"/>
  <c r="O44" i="55" l="1"/>
  <c r="S44" i="55"/>
  <c r="T37" i="55"/>
  <c r="O7" i="59"/>
  <c r="U7" i="59" s="1"/>
  <c r="U11" i="59"/>
  <c r="O14" i="59"/>
  <c r="T14" i="55"/>
  <c r="S45" i="55"/>
  <c r="T45" i="55" s="1"/>
  <c r="P65" i="55"/>
  <c r="R2" i="55" s="1"/>
  <c r="S46" i="55"/>
  <c r="T12" i="55"/>
  <c r="O32" i="55"/>
  <c r="O46" i="55"/>
  <c r="O37" i="55"/>
  <c r="O39" i="55"/>
  <c r="O34" i="55"/>
  <c r="O41" i="55"/>
  <c r="T39" i="55"/>
  <c r="T31" i="55"/>
  <c r="T22" i="55"/>
  <c r="O18" i="55"/>
  <c r="O20" i="55"/>
  <c r="O31" i="55"/>
  <c r="O10" i="55"/>
  <c r="O12" i="55"/>
  <c r="O48" i="55"/>
  <c r="O25" i="55"/>
  <c r="U4" i="59"/>
  <c r="O13" i="55"/>
  <c r="T28" i="55"/>
  <c r="S19" i="55"/>
  <c r="T19" i="55" s="1"/>
  <c r="O29" i="55"/>
  <c r="S49" i="55"/>
  <c r="T49" i="55" s="1"/>
  <c r="R10" i="55"/>
  <c r="T10" i="55" s="1"/>
  <c r="O28" i="55"/>
  <c r="T44" i="55"/>
  <c r="S34" i="55"/>
  <c r="T34" i="55" s="1"/>
  <c r="R42" i="55"/>
  <c r="T42" i="55" s="1"/>
  <c r="T29" i="55"/>
  <c r="O19" i="55"/>
  <c r="T46" i="55"/>
  <c r="T11" i="55"/>
  <c r="T21" i="55"/>
  <c r="O49" i="55"/>
  <c r="L12" i="55" a="1"/>
  <c r="L12" i="55" s="1"/>
  <c r="L41" i="55" a="1"/>
  <c r="L41" i="55" s="1"/>
  <c r="L40" i="55" a="1"/>
  <c r="L40" i="55" s="1"/>
  <c r="L17" i="55" a="1"/>
  <c r="L17" i="55" s="1"/>
  <c r="F7" i="59" a="1"/>
  <c r="F7" i="59" s="1"/>
  <c r="T17" i="55"/>
  <c r="T47" i="55"/>
  <c r="O26" i="55"/>
  <c r="L42" i="55" a="1"/>
  <c r="L42" i="55" s="1"/>
  <c r="O47" i="55"/>
  <c r="P2" i="55"/>
  <c r="O9" i="55"/>
  <c r="O17" i="55"/>
  <c r="L10" i="55" a="1"/>
  <c r="L10" i="55" s="1"/>
  <c r="L22" i="55" a="1"/>
  <c r="L22" i="55" s="1"/>
  <c r="L39" i="55" a="1"/>
  <c r="L39" i="55" s="1"/>
  <c r="L46" i="55" a="1"/>
  <c r="L46" i="55" s="1"/>
  <c r="L48" i="55" a="1"/>
  <c r="L48" i="55" s="1"/>
  <c r="L15" i="55" a="1"/>
  <c r="L15" i="55" s="1"/>
  <c r="F14" i="59" a="1"/>
  <c r="F14" i="59" s="1"/>
  <c r="L7" i="55" a="1"/>
  <c r="L7" i="55" s="1"/>
  <c r="L37" i="55" a="1"/>
  <c r="L37" i="55" s="1"/>
  <c r="L21" i="55" a="1"/>
  <c r="L21" i="55" s="1"/>
  <c r="L19" i="55" a="1"/>
  <c r="L19" i="55" s="1"/>
  <c r="L35" i="55" a="1"/>
  <c r="L35" i="55" s="1"/>
  <c r="L38" i="55" a="1"/>
  <c r="L38" i="55" s="1"/>
  <c r="L18" i="55" a="1"/>
  <c r="L18" i="55" s="1"/>
  <c r="O45" i="55"/>
  <c r="L28" i="55" a="1"/>
  <c r="L28" i="55" s="1"/>
  <c r="L26" i="55" a="1"/>
  <c r="L26" i="55" s="1"/>
  <c r="L16" i="55" a="1"/>
  <c r="L16" i="55" s="1"/>
  <c r="L31" i="55" a="1"/>
  <c r="L31" i="55" s="1"/>
  <c r="L34" i="55" a="1"/>
  <c r="L34" i="55" s="1"/>
  <c r="L43" i="55" a="1"/>
  <c r="L43" i="55" s="1"/>
  <c r="L44" i="55" a="1"/>
  <c r="L44" i="55" s="1"/>
  <c r="L30" i="55" a="1"/>
  <c r="L30" i="55" s="1"/>
  <c r="L32" i="55" a="1"/>
  <c r="L32" i="55" s="1"/>
  <c r="L36" i="55" a="1"/>
  <c r="L36" i="55" s="1"/>
  <c r="T38" i="55"/>
  <c r="R65" i="55"/>
  <c r="L65" i="55"/>
  <c r="L25" i="55" a="1"/>
  <c r="L25" i="55" s="1"/>
  <c r="F21" i="59" a="1"/>
  <c r="F21" i="59" s="1"/>
  <c r="L47" i="55" a="1"/>
  <c r="L47" i="55" s="1"/>
  <c r="L11" i="55" a="1"/>
  <c r="L11" i="55" s="1"/>
  <c r="L24" i="55" a="1"/>
  <c r="L24" i="55" s="1"/>
  <c r="L20" i="55" a="1"/>
  <c r="L20" i="55" s="1"/>
  <c r="L14" i="55" a="1"/>
  <c r="L14" i="55" s="1"/>
  <c r="L2" i="55"/>
  <c r="L8" i="55" a="1"/>
  <c r="L8" i="55" s="1"/>
  <c r="L13" i="55" a="1"/>
  <c r="L13" i="55" s="1"/>
  <c r="L33" i="55" a="1"/>
  <c r="L33" i="55" s="1"/>
  <c r="L45" i="55" a="1"/>
  <c r="L45" i="55" s="1"/>
  <c r="L49" i="55" a="1"/>
  <c r="L49" i="55" s="1"/>
  <c r="L9" i="55" a="1"/>
  <c r="L9" i="55" s="1"/>
  <c r="S13" i="55"/>
  <c r="R13" i="55"/>
  <c r="S48" i="55"/>
  <c r="R48" i="55"/>
  <c r="G66" i="55"/>
  <c r="O22" i="55"/>
  <c r="S2" i="55"/>
  <c r="O42" i="55"/>
  <c r="T16" i="55"/>
  <c r="R9" i="55"/>
  <c r="S9" i="55"/>
  <c r="M7" i="59"/>
  <c r="T14" i="59"/>
  <c r="V21" i="59"/>
  <c r="M14" i="59"/>
  <c r="V14" i="59"/>
  <c r="N14" i="59"/>
  <c r="L14" i="59"/>
  <c r="U14" i="59"/>
  <c r="V7" i="59"/>
  <c r="T7" i="59"/>
  <c r="L7" i="59"/>
  <c r="N7" i="59"/>
  <c r="T21" i="59"/>
  <c r="G3" i="55"/>
  <c r="G65" i="55"/>
  <c r="H65" i="55"/>
  <c r="H2" i="55"/>
  <c r="G7" i="26"/>
  <c r="F6" i="26"/>
  <c r="L21" i="59"/>
  <c r="S65" i="55"/>
  <c r="G2" i="55"/>
  <c r="O2" i="55"/>
  <c r="O65" i="55"/>
  <c r="T13" i="55" l="1"/>
  <c r="T48" i="55"/>
  <c r="T9" i="55"/>
  <c r="T65" i="55"/>
  <c r="T2" i="55"/>
  <c r="G6" i="26"/>
  <c r="H7" i="26"/>
  <c r="H66" i="55"/>
  <c r="H3" i="55"/>
  <c r="H6" i="26" l="1"/>
  <c r="I7" i="26"/>
  <c r="I6" i="26" l="1"/>
  <c r="J7" i="26"/>
  <c r="J6" i="26" l="1"/>
  <c r="K7" i="26"/>
  <c r="L7" i="26" l="1"/>
  <c r="K6" i="26"/>
  <c r="M7" i="26" l="1"/>
  <c r="L6" i="26"/>
  <c r="M6" i="26" l="1"/>
  <c r="N7" i="26"/>
  <c r="N6" i="26" l="1"/>
  <c r="O7" i="26"/>
  <c r="O6" i="26" l="1"/>
  <c r="P7" i="26"/>
  <c r="P6" i="26" l="1"/>
  <c r="Q7" i="26"/>
  <c r="R7" i="26" l="1"/>
  <c r="Q6" i="26"/>
  <c r="R6" i="26" l="1"/>
  <c r="S7" i="26"/>
  <c r="T7" i="26" l="1"/>
  <c r="S6" i="26"/>
  <c r="T6" i="26" l="1"/>
  <c r="U7" i="26"/>
  <c r="U6" i="26" l="1"/>
  <c r="V7" i="26"/>
  <c r="W7" i="26" l="1"/>
  <c r="V6" i="26"/>
  <c r="W6" i="26" l="1"/>
  <c r="X7" i="26"/>
  <c r="X6" i="26" l="1"/>
  <c r="Y7" i="26"/>
  <c r="Y6" i="26" l="1"/>
  <c r="Z7" i="26"/>
  <c r="AA7" i="26" l="1"/>
  <c r="Z6" i="26"/>
  <c r="AA6" i="26" l="1"/>
  <c r="AB7" i="26"/>
  <c r="AC7" i="26" l="1"/>
  <c r="AB6" i="26"/>
  <c r="AD7" i="26" l="1"/>
  <c r="AC6" i="26"/>
  <c r="AD6" i="26" l="1"/>
  <c r="AE7" i="26"/>
  <c r="AF7" i="26" l="1"/>
  <c r="AE6" i="26"/>
  <c r="AF6" i="26" l="1"/>
  <c r="AG7" i="26"/>
  <c r="AH7" i="26" l="1"/>
  <c r="AG6" i="26"/>
  <c r="AI7" i="26" l="1"/>
  <c r="AH6" i="26"/>
  <c r="AI6" i="26" l="1"/>
  <c r="AJ7" i="26"/>
  <c r="AJ6" i="26" l="1"/>
  <c r="AK7" i="26"/>
  <c r="AK6" i="26" l="1"/>
  <c r="AL7"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0"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<sst xmlns="http://schemas.openxmlformats.org/spreadsheetml/2006/main" count="3020" uniqueCount="707">
  <si>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</si>
  <si>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</si>
  <si>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</si>
  <si>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</si>
  <si>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</si>
  <si>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</si>
  <si>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</si>
  <si>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</si>
  <si>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</si>
  <si>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</si>
  <si>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</si>
  <si>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</si>
  <si>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</si>
  <si>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</si>
  <si>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</si>
  <si>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</si>
  <si>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</si>
  <si>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</si>
  <si>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</si>
  <si>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</si>
  <si>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</si>
  <si>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</si>
  <si>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</si>
  <si>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</si>
  <si>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</si>
  <si>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</si>
  <si>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</si>
  <si>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</si>
  <si>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</si>
  <si>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</si>
  <si>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</si>
  <si>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</si>
  <si>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</si>
  <si>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</si>
  <si>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</si>
  <si>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</si>
  <si>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</si>
  <si>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</si>
  <si>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</si>
  <si>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</si>
  <si>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</si>
  <si>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</si>
  <si>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</si>
  <si>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</si>
  <si>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</si>
  <si>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</si>
  <si>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</si>
  <si>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</si>
  <si>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</si>
  <si>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</si>
  <si>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</si>
  <si>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</si>
  <si>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</si>
  <si>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</si>
  <si>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</si>
  <si>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</si>
  <si>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</si>
  <si>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</si>
  <si>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</si>
  <si>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</si>
  <si>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</si>
  <si>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</si>
  <si>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</si>
  <si>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</si>
  <si>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</si>
  <si>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</si>
  <si>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</si>
  <si>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</si>
  <si>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</si>
  <si>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</si>
  <si>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</si>
  <si>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</si>
  <si>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</si>
  <si>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</si>
  <si>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</si>
  <si>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</si>
  <si>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</si>
  <si>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</si>
  <si>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</si>
  <si>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</si>
  <si>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</si>
  <si>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</si>
  <si>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</si>
  <si>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</si>
  <si>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</si>
  <si>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</si>
  <si>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</si>
  <si>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</si>
  <si>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</si>
  <si>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</si>
  <si>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</si>
  <si>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</si>
  <si>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</si>
  <si>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</si>
  <si>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</si>
  <si>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</si>
  <si>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</si>
  <si>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</si>
  <si>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</si>
  <si>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</si>
  <si>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</si>
  <si>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</si>
  <si>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</si>
  <si>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</si>
  <si>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</si>
  <si>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</si>
  <si>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</si>
  <si>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</si>
  <si>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</si>
  <si>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</si>
  <si>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</si>
  <si>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</si>
  <si>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</si>
  <si>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</si>
  <si>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</si>
  <si>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</si>
  <si>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</si>
  <si>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</si>
  <si>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</si>
  <si>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</si>
  <si>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</si>
  <si>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</si>
  <si>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</si>
  <si>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</si>
  <si>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</si>
  <si>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</si>
  <si>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</si>
  <si>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</si>
  <si>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</si>
  <si>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</si>
  <si>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</si>
  <si>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</si>
  <si>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</si>
  <si>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</si>
  <si>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</si>
  <si>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</si>
  <si>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</si>
  <si>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</si>
  <si>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</si>
  <si>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</si>
  <si>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</si>
  <si>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</si>
  <si>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</si>
  <si>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</si>
  <si>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</si>
  <si>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</si>
  <si>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</si>
  <si>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</si>
  <si>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</si>
  <si>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</si>
  <si>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</si>
  <si>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</si>
  <si>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</si>
  <si>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</si>
  <si>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</si>
  <si>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</si>
  <si>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</si>
  <si>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</si>
  <si>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</si>
  <si>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</si>
  <si>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</si>
  <si>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</si>
  <si>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</si>
  <si>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</si>
  <si>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</si>
  <si>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</si>
  <si>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</si>
  <si>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</si>
  <si>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</si>
  <si>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</si>
  <si>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</si>
  <si>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</si>
  <si>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</si>
  <si>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</si>
  <si>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</si>
  <si>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</si>
  <si>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</si>
  <si>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</si>
  <si>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</si>
  <si>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</si>
  <si>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</si>
  <si>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</si>
  <si>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</si>
  <si>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</si>
  <si>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</si>
  <si>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</si>
  <si>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</si>
  <si>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</si>
  <si>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</si>
  <si>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</si>
  <si>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</si>
  <si>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</si>
  <si>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</si>
  <si>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</si>
  <si>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</si>
  <si>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</si>
  <si>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</si>
  <si>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</si>
  <si>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</si>
  <si>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</si>
  <si>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</si>
  <si>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</si>
  <si>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</si>
  <si>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</si>
  <si>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</si>
  <si>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</si>
  <si>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</si>
  <si>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</si>
  <si>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</si>
  <si>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</si>
  <si>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</si>
  <si>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</si>
  <si>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</si>
  <si>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</si>
  <si>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</si>
  <si>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</si>
  <si>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</si>
  <si>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</si>
  <si>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</si>
  <si>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</si>
  <si>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</si>
  <si>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</si>
  <si>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</si>
  <si>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</si>
  <si>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</si>
  <si>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</si>
  <si>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</si>
  <si>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</si>
  <si>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</si>
  <si>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</si>
  <si>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</si>
  <si>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</si>
  <si>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</si>
  <si>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</si>
  <si>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</si>
  <si>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</si>
  <si>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</si>
  <si>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</si>
  <si>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</si>
  <si>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</si>
  <si>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</si>
  <si>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</si>
  <si>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</si>
  <si>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</si>
  <si>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</si>
  <si>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</si>
  <si>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</si>
  <si>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</si>
  <si>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SMU</t>
  </si>
  <si>
    <t>Grand Total</t>
  </si>
  <si>
    <t>New+Delta</t>
  </si>
  <si>
    <t>New+Delta Total</t>
  </si>
  <si>
    <t>Legacy Total</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</si>
  <si>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</si>
  <si>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</si>
  <si>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</si>
  <si>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</si>
  <si>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</si>
  <si>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</si>
  <si>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STRIX1-SMU-001</t>
  </si>
  <si>
    <t>Core Complex address/id/user translation</t>
  </si>
  <si>
    <t>STRIX1-SMU-002</t>
  </si>
  <si>
    <t>[CLK] Clock Debug Features</t>
  </si>
  <si>
    <t>CLK Debug feature</t>
  </si>
  <si>
    <t>Tick Counter/Clock Measurement</t>
  </si>
  <si>
    <t>PM002.900</t>
  </si>
  <si>
    <t>STRIX1-SMU-003</t>
  </si>
  <si>
    <t>[CLK] Deep Sleep</t>
  </si>
  <si>
    <t>GFX CLK deepSleep</t>
  </si>
  <si>
    <t>GFXCLK DS</t>
  </si>
  <si>
    <t>PM010.800</t>
  </si>
  <si>
    <t>FEATURE_DS_GFXCLK_BIT</t>
  </si>
  <si>
    <t>Covered by GFX CGCG</t>
  </si>
  <si>
    <t>SOC CLK DeepSleep</t>
  </si>
  <si>
    <t>SOCCLK DS</t>
  </si>
  <si>
    <t>PM010.032</t>
  </si>
  <si>
    <t>FEATURE_DS_SOCCLK_BIT, disable_deepsleep_sideband needs to be fixed</t>
  </si>
  <si>
    <t>LCLK DS</t>
  </si>
  <si>
    <t>PM010.033</t>
  </si>
  <si>
    <t>FEATURE_DS_LCLK_BIT</t>
  </si>
  <si>
    <t>SHUBCLK DS</t>
  </si>
  <si>
    <t>PM010.039</t>
  </si>
  <si>
    <t>FEATURE_DS_SHUBCLK_BIT, disable_deepsleep_sideband needs to be fixed</t>
  </si>
  <si>
    <t>FCLK DS</t>
  </si>
  <si>
    <t>PM010.038</t>
  </si>
  <si>
    <t>FEATURE_DS_FCLK_BIT, need to check RSMU counter config</t>
  </si>
  <si>
    <t>SMNCLK DS</t>
  </si>
  <si>
    <t>PM010.036</t>
  </si>
  <si>
    <t>FEATURE_DS_SMNCLK_BIT</t>
  </si>
  <si>
    <t>MP1CLK DS</t>
  </si>
  <si>
    <t>PM010.035</t>
  </si>
  <si>
    <t xml:space="preserve">FEATURE_DS_MP1CLK_BIT  </t>
  </si>
  <si>
    <t>VCN DS</t>
  </si>
  <si>
    <t>PM010.042</t>
  </si>
  <si>
    <t xml:space="preserve">FEATURE_DS_VCN_BIT     </t>
  </si>
  <si>
    <t>UMCCLK DS</t>
  </si>
  <si>
    <t>PM010.045</t>
  </si>
  <si>
    <t xml:space="preserve">  -pm_deepsleep_clock=PM_DFS_UMCCLK</t>
  </si>
  <si>
    <t>VDDOFF covers</t>
  </si>
  <si>
    <t>ISPCLK DS</t>
  </si>
  <si>
    <t xml:space="preserve">  -pm_deepsleep_clock=PM_DFS_ISPCLK</t>
  </si>
  <si>
    <t>HSPCLK DS</t>
  </si>
  <si>
    <t xml:space="preserve">  -pm_deepsleep_clock=PM_DFS_HSPCLK</t>
  </si>
  <si>
    <t>IPUCLK DS</t>
  </si>
  <si>
    <t xml:space="preserve">  -pm_deepsleep_clock=PM_DFS_IPUCLK</t>
  </si>
  <si>
    <t>VPECLK DS</t>
  </si>
  <si>
    <t xml:space="preserve">  -pm_deepsleep_clock=PM_DFS_VPECLK</t>
  </si>
  <si>
    <t>STRIX1-SMU-004</t>
  </si>
  <si>
    <t>[CLK] DFS</t>
  </si>
  <si>
    <t>DFS sweep</t>
  </si>
  <si>
    <t>DFS DID Sweep: LCLK DFS Sweep Test: Divide by 8 to 128</t>
  </si>
  <si>
    <t>PM002.002</t>
  </si>
  <si>
    <t>DFS DID Sweep: VCLK DFS Sweep Test: Divide by 8 to 128</t>
  </si>
  <si>
    <t>PM002.003</t>
  </si>
  <si>
    <t>DFS DID Sweep: DCLK DFS Sweep Test: Divide by 8 to 128</t>
  </si>
  <si>
    <t>PM002.004</t>
  </si>
  <si>
    <t>DFS DID Sweep: SOCCLK Sweep Test: Divide by 8 to 128</t>
  </si>
  <si>
    <t>PM002.009</t>
  </si>
  <si>
    <t>DFS DID Sweep: DISPCLK Sweep Test: Divide by 8 to 128</t>
  </si>
  <si>
    <t>PM002.025</t>
  </si>
  <si>
    <t>DFS DID Sweep: HSPCLK Sweep Test: Divide by 8 to 128</t>
  </si>
  <si>
    <t>PM002.028</t>
  </si>
  <si>
    <t>DFS DID Sweep: FCLK Sweep Test: Divide by 8 to 128</t>
  </si>
  <si>
    <t>PM015.001</t>
  </si>
  <si>
    <t>Covered by DF-PState</t>
  </si>
  <si>
    <t>DFS DID Sweep: SHUBCLK Sweep Test: Divide by 8 to 128</t>
  </si>
  <si>
    <t>PM002.104</t>
  </si>
  <si>
    <t>DFS DID Sweep: DPP Sweep Test: Divide by 8 to 128</t>
  </si>
  <si>
    <t>PM002.113</t>
  </si>
  <si>
    <t>STRIX1-SMU-005</t>
  </si>
  <si>
    <t>[CLK] Dynamic REFCLK Gating</t>
  </si>
  <si>
    <t>DYN refclk gating</t>
  </si>
  <si>
    <t>Dynamic ReFCLK gating test</t>
  </si>
  <si>
    <t>PM002.300</t>
  </si>
  <si>
    <t>-pm_clock_domain=PM_DFS_SOCCLK</t>
  </si>
  <si>
    <t>STRIX1-SMU-006</t>
  </si>
  <si>
    <t>[CLK] FCState</t>
  </si>
  <si>
    <t>CLK FCState</t>
  </si>
  <si>
    <t>CLKC FCState INST0</t>
  </si>
  <si>
    <t>-pm_clock_domain=PM_DFS_FCLK</t>
  </si>
  <si>
    <t>Not enabled yet.
DPM Hasn't been enabled after initializing!</t>
  </si>
  <si>
    <t>CLKC FCState INST1</t>
  </si>
  <si>
    <t>PM060.005</t>
  </si>
  <si>
    <t>-pm_clock_domain=PM_DFS_ACLK</t>
  </si>
  <si>
    <t>DF-CState covers</t>
  </si>
  <si>
    <t>STRIX1-SMU-007</t>
  </si>
  <si>
    <t>[CLK] Fuses</t>
  </si>
  <si>
    <t>Fuse Check</t>
  </si>
  <si>
    <t>FUSES check</t>
  </si>
  <si>
    <t>PM001.200</t>
  </si>
  <si>
    <t>DIAG-17862</t>
  </si>
  <si>
    <t>STRIX1-SMU-009</t>
  </si>
  <si>
    <t>[CLK] Spread Spectrum</t>
  </si>
  <si>
    <t>CLK SS</t>
  </si>
  <si>
    <t>Test for SystemPLL_CLKC5  INST0 Spread Spectrum</t>
  </si>
  <si>
    <t>PM060.105</t>
  </si>
  <si>
    <t>-pm_clock_domain=PM_DFS_DISPCLK</t>
  </si>
  <si>
    <t>[error][-PM-] [device=1] [PID:7f01ca1bd640] Not support this pll type[1] in is_spread_spectrum_enable.
[debug][-PM-] [device=1] [PID:7f01ca1bd640] refclk is 48.000000, real_count is 132, timer_threshold is 480.
[debug][-PM-] [device=1] [PID:7f01ca1bd640] current clk is PM_DFS_DCLK, and its rate is 13.200000.
[debug][-PM-] [device=1] [PID:7f01ca1bd640] refclk is 48.000000, real_count is 132, timer_threshold is 480.
[debug][-PM-] [device=1] [PID:7f01ca1bd640] current clk rate is 13.200000.
[error][-PM-] [device=1] [PID:7f01ca1bd640] Not support this PLL type:[1] in get_per_vco_config.
[debug][-PM-] [device=1] [PID:7f01ca1bd640] Spread Spectrum enable
[error][-PM-] [device=1] [PID:7f01ca1bd640] Not support this pll type[1] in enable spread_spectrum
[error][-PM-] [device=1] [PID:7f01ca1bd640] clk pll is not changed in ssc, and its orignal rate is 13.200000, min rate in ssc is 13.200000
[error][-PM-] [device=1] [PID:7f01ca1bd640] Not support this PLL type:[1] in get_per_vco_config.
[debug][-PM-] [device=1] [PID:7f01ca1bd640] Spread Spectrum disable
[error][-PM-] [device=1] [PID:7f01ca1bd640] Not support this pll type[1] in disable spread_spectrum</t>
  </si>
  <si>
    <t>Test for SystemPLL_CLKC1_0 Spread Spectrum</t>
  </si>
  <si>
    <t>Test for SystemPLL_CLKC1_1 Spread Spectrum</t>
  </si>
  <si>
    <t>-pm_clock_domain=PM_DFS_DPPCLK</t>
  </si>
  <si>
    <t>STRIX1-SMU-010</t>
  </si>
  <si>
    <t>[FUSE] Fuse Clock Gating and Deep Sleep</t>
  </si>
  <si>
    <t>STRIX1-SMU-011</t>
  </si>
  <si>
    <t>[FUSE] Fuse Distribution</t>
  </si>
  <si>
    <t>Fuse Distribution</t>
  </si>
  <si>
    <t>PLL/DFS Fuse distribution</t>
  </si>
  <si>
    <t>STRIX1-SMU-014</t>
  </si>
  <si>
    <t>[MP1] CRU</t>
  </si>
  <si>
    <t>SMU MSG Check</t>
  </si>
  <si>
    <t>Basic smu message check test</t>
  </si>
  <si>
    <t>PM080.010</t>
  </si>
  <si>
    <t>STRIX1-SMU-015</t>
  </si>
  <si>
    <t>[MP1] MMHUB IF</t>
  </si>
  <si>
    <t>SMU MMHUB IF</t>
  </si>
  <si>
    <t>Transfer agm table by MMHUB  data path</t>
  </si>
  <si>
    <t>PM082.006</t>
  </si>
  <si>
    <t>STRIX1-SMU-016</t>
  </si>
  <si>
    <t>[MP1] SMN IF</t>
  </si>
  <si>
    <t>SMU SMN IF</t>
  </si>
  <si>
    <t>Test GPU address access by SMNIF</t>
  </si>
  <si>
    <t>PM082.001</t>
  </si>
  <si>
    <t>Test MP0 address access by SMNIF</t>
  </si>
  <si>
    <t>PM082.002</t>
  </si>
  <si>
    <t>STRIX1-SMU-017</t>
  </si>
  <si>
    <t>[MP1] SRAM</t>
  </si>
  <si>
    <t>SMU SRAM</t>
  </si>
  <si>
    <t>System boot OS can verify this feature</t>
  </si>
  <si>
    <t>BOOT cover</t>
  </si>
  <si>
    <t>STRIX1-SMU-020</t>
  </si>
  <si>
    <t>[MP1] SYSTEMHUB IF</t>
  </si>
  <si>
    <t>SMU SYSHUB IF</t>
  </si>
  <si>
    <t>Transfer agm table by SYSHUB  data path</t>
  </si>
  <si>
    <t>PM082.005</t>
  </si>
  <si>
    <t>Panmi</t>
  </si>
  <si>
    <t>STRIX1-SMU-021</t>
  </si>
  <si>
    <t>[MP1] Tensilica</t>
  </si>
  <si>
    <t>SMU sanity Check</t>
  </si>
  <si>
    <t>Covered in CRU</t>
  </si>
  <si>
    <t>STRIX1-SMU-022</t>
  </si>
  <si>
    <t>[MP1] DFP</t>
  </si>
  <si>
    <t>STRIX1-SMU-023</t>
  </si>
  <si>
    <t>[RSMU] AXI and Register Interface</t>
  </si>
  <si>
    <t>RSMU AXI path</t>
  </si>
  <si>
    <t>Covered in Timestamp counter</t>
  </si>
  <si>
    <t>Timestamp cover</t>
  </si>
  <si>
    <t>STRIX1-SMU-025</t>
  </si>
  <si>
    <t>[RSMU] Clock Gating Control Registers</t>
  </si>
  <si>
    <t>RSMU CG</t>
  </si>
  <si>
    <t>Clock Gating Control Registers</t>
  </si>
  <si>
    <t>PM051.010</t>
  </si>
  <si>
    <t>-pm_rsmu_inst=gc</t>
  </si>
  <si>
    <t>STRIX1-SMU-026</t>
  </si>
  <si>
    <t>[RSMU] DPM Signal</t>
  </si>
  <si>
    <t>RSMU DPM Signal</t>
  </si>
  <si>
    <t>DPM Signal</t>
  </si>
  <si>
    <t>PM051.007</t>
  </si>
  <si>
    <t>there might be some issues with RSMU lib, use HDT to manually test</t>
  </si>
  <si>
    <t>[RSMU] Fuse</t>
  </si>
  <si>
    <t>STRIX1-SMU-028</t>
  </si>
  <si>
    <t>[RSMU] Interrupt</t>
  </si>
  <si>
    <t>RSMU INTR</t>
  </si>
  <si>
    <t>Interrupt</t>
  </si>
  <si>
    <t>PM051.008</t>
  </si>
  <si>
    <t>STRIX1-SMU-030</t>
  </si>
  <si>
    <t>[RSMU] Residency Counter</t>
  </si>
  <si>
    <t>Residency Counter</t>
  </si>
  <si>
    <t>Coverd by deepsleep</t>
  </si>
  <si>
    <t>DeepSleep cover</t>
  </si>
  <si>
    <t>STRIX1-SMU-031</t>
  </si>
  <si>
    <t>[RSMU] RM</t>
  </si>
  <si>
    <t>STRIX1-SMU-032</t>
  </si>
  <si>
    <t>[RSMU] Timestamp Counter</t>
  </si>
  <si>
    <t>Timestamp</t>
  </si>
  <si>
    <t>Timestamp counter</t>
  </si>
  <si>
    <t>PM051.004</t>
  </si>
  <si>
    <t>   -pm_rsmu_inst=dmu</t>
  </si>
  <si>
    <t>Use lsdma instance, with db32, RSMU_T_RATE 0.1</t>
  </si>
  <si>
    <t>STRIX1-SMU-033</t>
  </si>
  <si>
    <t>[SMUIO] Display Timer</t>
  </si>
  <si>
    <t>One-shot mode</t>
  </si>
  <si>
    <t>Display timer: One-shot mode</t>
  </si>
  <si>
    <t>PM001.005</t>
  </si>
  <si>
    <t>Periodic mode</t>
  </si>
  <si>
    <t>Display timer: Periodic mode</t>
  </si>
  <si>
    <t>PM001.006</t>
  </si>
  <si>
    <t>STRIX1-SMU-038</t>
  </si>
  <si>
    <t>[SMUIO] SVI3</t>
  </si>
  <si>
    <t>SVI3</t>
  </si>
  <si>
    <t>VID Sweep - PM_VDDCR_VDD &amp; Telemetry</t>
  </si>
  <si>
    <t>PM033.004</t>
  </si>
  <si>
    <t>-pm_volt_start=0.75 -pm_volt_end=1.15 -pm_volt_step=0.01 -pm_volt_threshold=0.02</t>
  </si>
  <si>
    <t>VID Sweep - PM_VDDCR_SOC &amp; Telemetry</t>
  </si>
  <si>
    <t>PM033.005</t>
  </si>
  <si>
    <t>-pm_volt_start=0.90 -pm_volt_end=1.2 -pm_volt_step=0.01 -pm_volt_threshold=0.03</t>
  </si>
  <si>
    <t>Invalid Slave check</t>
  </si>
  <si>
    <t>PM033.021</t>
  </si>
  <si>
    <t>VID Change wDelay check</t>
  </si>
  <si>
    <t>PM033.022</t>
  </si>
  <si>
    <t>PSI Change</t>
  </si>
  <si>
    <t>PM033.023</t>
  </si>
  <si>
    <t>Clock Gating</t>
  </si>
  <si>
    <t>VID Sweep</t>
  </si>
  <si>
    <t>-pm_svi3_cg_en=1</t>
  </si>
  <si>
    <t>Pass with PM33.4</t>
  </si>
  <si>
    <t>STRIX1-SMU-039</t>
  </si>
  <si>
    <t>[SMN] Output Port Disable for Router</t>
  </si>
  <si>
    <t>STRIX1-SMU-040</t>
  </si>
  <si>
    <t>[SMN] INIU Request Port Disable</t>
  </si>
  <si>
    <t>STRIX1-SMU-041</t>
  </si>
  <si>
    <t>[THM] PROCHOT</t>
  </si>
  <si>
    <t>THM</t>
  </si>
  <si>
    <t>Thermal throttling</t>
  </si>
  <si>
    <t>PM012.021</t>
  </si>
  <si>
    <t>Wenzhao</t>
  </si>
  <si>
    <t>Can see Core freq drop to 600MHz</t>
  </si>
  <si>
    <t>STRIX1-SMU-042</t>
  </si>
  <si>
    <t>[THM] Temperature Collection and Calculation Using TCON and TMON/RDI Macro</t>
  </si>
  <si>
    <t>Temperature collection and calculation using TCON and TMON/RDI macro</t>
  </si>
  <si>
    <t>PM013.024</t>
  </si>
  <si>
    <t>-pm_thermal_debug=false</t>
  </si>
  <si>
    <t>STRIX1-SMU-043</t>
  </si>
  <si>
    <t>[THM] Temperature Report Through SMBUS Interface (THM)</t>
  </si>
  <si>
    <t>Temperature report through SMBUS interface</t>
  </si>
  <si>
    <t>PM013.022</t>
  </si>
  <si>
    <t>SMUBS case covers</t>
  </si>
  <si>
    <t>STRIX1-SMU-044</t>
  </si>
  <si>
    <t>[THM] Thermal Trip</t>
  </si>
  <si>
    <t>STRIX1-SMU-045</t>
  </si>
  <si>
    <t>[THM] THM Interrupt to IH</t>
  </si>
  <si>
    <t>Covered by Prochot</t>
  </si>
  <si>
    <t>Prochot cover</t>
  </si>
  <si>
    <t>STRIX1-SMU-047</t>
  </si>
  <si>
    <t>[MSMU] Register access</t>
  </si>
  <si>
    <t>MSMU</t>
  </si>
  <si>
    <t>Sanity Register Access</t>
  </si>
  <si>
    <t>PM100.001</t>
  </si>
  <si>
    <t>-pm_msmu_instance=&lt;0,1&gt; -pm_msmu_cg_save_restore</t>
  </si>
  <si>
    <t>Instruction RAM and Data RAM</t>
  </si>
  <si>
    <t>PM100.002</t>
  </si>
  <si>
    <t>FSM Read/Write Instruction</t>
  </si>
  <si>
    <t>PM100.003</t>
  </si>
  <si>
    <t>FSM Test/Jump Instruction</t>
  </si>
  <si>
    <t>PM100.004</t>
  </si>
  <si>
    <t>FSM Poll Instruction</t>
  </si>
  <si>
    <t>PM100.005</t>
  </si>
  <si>
    <t>IRAM and DRAM Deep Sleep</t>
  </si>
  <si>
    <t>PM100.006</t>
  </si>
  <si>
    <t>-pm_msmu_instance=&lt;0,1&gt; -pm_msmu_cg_save_restore -pm_msmu_cg_en=1</t>
  </si>
  <si>
    <t>STRIX1-SMU-048</t>
  </si>
  <si>
    <t>ROM Clock Gating</t>
  </si>
  <si>
    <t>SMUIO</t>
  </si>
  <si>
    <t>STRIX1-SMU-037</t>
  </si>
  <si>
    <t>[SMUIO] ODPR</t>
  </si>
  <si>
    <t>STRIX1-SMU-049</t>
  </si>
  <si>
    <t>CLDO</t>
  </si>
  <si>
    <t>L3 DFLL</t>
  </si>
  <si>
    <t>PM033.011</t>
  </si>
  <si>
    <t>STRIX1-SMU-051</t>
  </si>
  <si>
    <t xml:space="preserve">VPE </t>
  </si>
  <si>
    <t>PM041.961</t>
  </si>
  <si>
    <t>Manually test pass</t>
  </si>
  <si>
    <t>PM041.962</t>
  </si>
  <si>
    <t>PPSMC_MSG_PowerDownVpe cannot power down VPE. Can manually powerup/down by PGFSM_CONTROL regs.</t>
  </si>
  <si>
    <t>STRIX1-SMU-052</t>
  </si>
  <si>
    <t>PM041.963</t>
  </si>
  <si>
    <t>SMU hang. Manually set PGFSM will make RSMU hang.</t>
  </si>
  <si>
    <t>DIAG-18236, DIAG-18447</t>
  </si>
  <si>
    <t>Power Gate</t>
  </si>
  <si>
    <t>PM041.964</t>
  </si>
  <si>
    <t>STRIX1-SMU-053</t>
  </si>
  <si>
    <t>PM041.965</t>
  </si>
  <si>
    <t>PM041.966</t>
  </si>
  <si>
    <t>RSMU_PGFSM regs stay at 0x0 after sending PPSMC_MSG_DisableLSdma. Can manually powerup/down by PGFSM_CONTROL regs.</t>
  </si>
  <si>
    <t>STRIX1-SMU-054</t>
  </si>
  <si>
    <t>STRIX1-SMU-055</t>
  </si>
  <si>
    <t>PM041.967</t>
  </si>
  <si>
    <t>Manually test pass. Write 0x1006 to CONTROL reg to check.</t>
  </si>
  <si>
    <t>PM041.968</t>
  </si>
  <si>
    <t>STRIX1-SMU-056</t>
  </si>
  <si>
    <t>PM041.969</t>
  </si>
  <si>
    <t>PM041.970</t>
  </si>
  <si>
    <t xml:space="preserve">PLEASE DO NOT CROSS THIS LINE.   Insert New Rows OR Copied Cells "Above" The Last Known Good Row Only So Each Copied Cells &amp; Rows Still Contains The Right Formulas (Similar Concept for Removing or Deleting Rows)        </t>
  </si>
  <si>
    <t xml:space="preserve"> </t>
  </si>
  <si>
    <t>PLEASE CAREFULLY READ 'Usage' tab’s descriptions and instructions of all columns and tabs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</si>
  <si>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</si>
  <si>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No
covered in CPU OFF/CPU clock etc test</t>
  </si>
  <si>
    <t>wk-1</t>
  </si>
  <si>
    <t>wk-2</t>
  </si>
  <si>
    <t>wk-3</t>
  </si>
  <si>
    <t>wk-4</t>
  </si>
  <si>
    <t>wk-6</t>
  </si>
  <si>
    <t>No
Easy to verify it in pre-silicon, Limmted resource for Diag PMM, Not commit for PHX</t>
  </si>
  <si>
    <t>wk-5</t>
  </si>
  <si>
    <t>STRIX1-SMU-027</t>
  </si>
  <si>
    <t>No
Resource issue</t>
  </si>
  <si>
    <t>wk-7</t>
  </si>
  <si>
    <t xml:space="preserve">No
SMN output port can be disabled by reg, but  tiny granularity feature, easy to verify in pre-silicon,but cause hang in Diag test env, Not entiled for Diag
</t>
  </si>
  <si>
    <t xml:space="preserve">No
INIU Request port can be disabled by reg, but  tiny granularity feature, easy to verify in pre-silicon,but cause hang in Diag test env, Not entiled for Diag
</t>
  </si>
  <si>
    <t>No
ROM clock gating reg can not access</t>
  </si>
  <si>
    <t>STRIX1-SMU-057</t>
  </si>
  <si>
    <t>PLEASE DO NOT CROSS THIS LINE.   Insert New Rows OR Copied Cells "Above" The Last Known Good Row Only So Each Copied Cells &amp; Rows Still Contains The Right Formulas (Similar Concept for Removing or Deleting Rows)</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</si>
  <si>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</si>
  <si>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</si>
  <si>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</si>
  <si>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</si>
  <si>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</si>
  <si>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</si>
  <si>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</si>
  <si>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</si>
  <si>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</si>
  <si>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</si>
  <si>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</si>
  <si>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</si>
  <si>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</si>
  <si>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</si>
  <si>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</si>
  <si>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</si>
  <si>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</si>
  <si>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</si>
  <si>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</si>
  <si>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</si>
  <si>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</si>
  <si>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</si>
  <si>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</si>
  <si>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</si>
  <si>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</si>
  <si>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</si>
  <si>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</si>
  <si>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</si>
  <si>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</si>
  <si>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</si>
  <si>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</si>
  <si>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</si>
  <si>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</si>
  <si>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</si>
  <si>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</si>
  <si>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</si>
  <si>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</si>
  <si>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</si>
  <si>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</si>
  <si>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</si>
  <si>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</si>
  <si>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</si>
  <si>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</si>
  <si>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</si>
  <si>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</si>
  <si>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</si>
  <si>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</si>
  <si>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</si>
  <si>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</si>
  <si>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</si>
  <si>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</si>
  <si>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</si>
  <si>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</si>
  <si>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</si>
  <si>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 Coded</t>
  </si>
  <si>
    <t>% Verified</t>
  </si>
  <si>
    <t>Actual</t>
  </si>
  <si>
    <t># Verified</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</si>
  <si>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</si>
  <si>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P2</t>
  </si>
  <si>
    <t>Total # of Features</t>
  </si>
  <si>
    <t>Total # of P1</t>
  </si>
  <si>
    <t>Total # of P2</t>
  </si>
  <si>
    <t>Total # of P3</t>
  </si>
  <si>
    <t>Total # of Diagnostics</t>
  </si>
  <si>
    <t>Total # of Driver</t>
  </si>
  <si>
    <t>Total # of IPSE</t>
  </si>
  <si>
    <t>STRIX1-SMU-008</t>
  </si>
  <si>
    <t>[CLK] PLL and Clock Mapping</t>
  </si>
  <si>
    <t>Total # of N/A</t>
  </si>
  <si>
    <t>Total # of Legacy</t>
  </si>
  <si>
    <t>Total # of Delta</t>
  </si>
  <si>
    <t>Total # of New</t>
  </si>
  <si>
    <t>P1</t>
  </si>
  <si>
    <t>VPE On/Off</t>
  </si>
  <si>
    <t>Power gate/ungate DPIA</t>
  </si>
  <si>
    <t>Power gate/ungate LSDMA</t>
  </si>
  <si>
    <t>Power gate/ungate ISP</t>
  </si>
  <si>
    <t>DFX power gating</t>
  </si>
  <si>
    <t>Power gate/ungate VCN</t>
  </si>
  <si>
    <t>MPCCX</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</si>
  <si>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</si>
  <si>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</si>
  <si>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</si>
  <si>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</si>
  <si>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</si>
  <si>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</si>
  <si>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</si>
  <si>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</si>
  <si>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</si>
  <si>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</si>
  <si>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</si>
  <si>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</si>
  <si>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</si>
  <si>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</si>
  <si>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</si>
  <si>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</si>
  <si>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</si>
  <si>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</si>
  <si>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</si>
  <si>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</si>
  <si>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</si>
  <si>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</si>
  <si>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</si>
  <si>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</si>
  <si>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</si>
  <si>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</si>
  <si>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</si>
  <si>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</si>
  <si>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</si>
  <si>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</si>
  <si>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</si>
  <si>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</si>
  <si>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</si>
  <si>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</si>
  <si>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</si>
  <si>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</si>
  <si>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</si>
  <si>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</si>
  <si>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</si>
  <si>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</si>
  <si>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</si>
  <si>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</si>
  <si>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</si>
  <si>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</si>
  <si>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</si>
  <si>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</si>
  <si>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</si>
  <si>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</si>
  <si>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</si>
  <si>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Row Labels</t>
  </si>
  <si>
    <t>Sum of #Tests</t>
  </si>
  <si>
    <t>wk-8</t>
  </si>
  <si>
    <t>Jane</t>
  </si>
  <si>
    <t>CLK</t>
  </si>
  <si>
    <t>FUSE</t>
  </si>
  <si>
    <t>MP1</t>
  </si>
  <si>
    <t>RSMU</t>
  </si>
  <si>
    <t>Total Run.1</t>
  </si>
  <si>
    <t>Unnamed: 25</t>
  </si>
  <si>
    <t>Unnamed: 26</t>
  </si>
  <si>
    <t>Unnamed: 27</t>
  </si>
  <si>
    <t>Unnamed: 28</t>
  </si>
  <si>
    <t>% Pass Rate.1</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</si>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</sst>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48"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sz val="11"/>
      <color rgb="FF000000"/>
      <name val="Calibri"/>
      <family val="2"/>
      <scheme val="minor"/>
    </font>
    <font>
      <sz val="11"/>
      <color rgb="FF0070C0"/>
      <name val="Calibri"/>
      <family val="2"/>
      <scheme val="minor"/>
    </font>
    <font>
      <b/>
      <sz val="11"/>
      <name val="Calibri"/>
      <family val="2"/>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s>
  <borders count="7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653">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6"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0" applyNumberFormat="1" applyFont="1" applyBorder="1"/>
    <xf numFmtId="9" fontId="35" fillId="0" borderId="36" xfId="0" applyNumberFormat="1" applyFont="1" applyBorder="1"/>
    <xf numFmtId="9" fontId="35" fillId="0" borderId="10" xfId="42" applyFont="1" applyBorder="1"/>
    <xf numFmtId="9" fontId="35" fillId="0" borderId="14" xfId="42" applyFont="1" applyBorder="1"/>
    <xf numFmtId="9" fontId="35" fillId="0" borderId="0" xfId="42" applyFont="1"/>
    <xf numFmtId="9" fontId="33" fillId="35" borderId="48" xfId="0" applyNumberFormat="1" applyFont="1" applyFill="1" applyBorder="1" applyAlignment="1">
      <alignment vertical="center"/>
    </xf>
    <xf numFmtId="9" fontId="33" fillId="35" borderId="48" xfId="42" applyFont="1" applyFill="1" applyBorder="1" applyAlignment="1">
      <alignment vertical="center"/>
    </xf>
    <xf numFmtId="9" fontId="33" fillId="35" borderId="49" xfId="0" applyNumberFormat="1" applyFont="1" applyFill="1" applyBorder="1" applyAlignment="1">
      <alignment vertical="center"/>
    </xf>
    <xf numFmtId="9" fontId="33" fillId="35" borderId="47" xfId="0" applyNumberFormat="1" applyFont="1" applyFill="1" applyBorder="1" applyAlignment="1">
      <alignment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7" xfId="0" applyFont="1" applyFill="1" applyBorder="1" applyAlignment="1">
      <alignment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8" xfId="0" applyFont="1" applyFill="1" applyBorder="1" applyAlignment="1">
      <alignment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0" fontId="18" fillId="0" borderId="0" xfId="0" applyFont="1" applyAlignment="1">
      <alignment horizontal="center" vertical="center"/>
    </xf>
    <xf numFmtId="0" fontId="0" fillId="0" borderId="0" xfId="0" applyAlignment="1">
      <alignment wrapText="1"/>
    </xf>
    <xf numFmtId="166" fontId="31" fillId="44" borderId="60" xfId="42" applyNumberFormat="1" applyFont="1" applyFill="1" applyBorder="1" applyAlignment="1">
      <alignment horizontal="center" vertical="center"/>
    </xf>
    <xf numFmtId="1" fontId="31" fillId="49" borderId="59" xfId="0" applyNumberFormat="1" applyFont="1" applyFill="1" applyBorder="1" applyAlignment="1">
      <alignment horizontal="center" vertical="center"/>
    </xf>
    <xf numFmtId="1" fontId="31" fillId="49" borderId="57" xfId="0" applyNumberFormat="1" applyFont="1" applyFill="1" applyBorder="1" applyAlignment="1">
      <alignment horizontal="center" vertical="center"/>
    </xf>
    <xf numFmtId="166" fontId="31" fillId="49" borderId="57" xfId="42" applyNumberFormat="1" applyFont="1" applyFill="1" applyBorder="1" applyAlignment="1">
      <alignment horizontal="center" vertical="center"/>
    </xf>
    <xf numFmtId="166" fontId="31" fillId="49" borderId="57" xfId="0"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 fontId="31" fillId="45" borderId="71" xfId="0" applyNumberFormat="1" applyFont="1" applyFill="1" applyBorder="1" applyAlignment="1">
      <alignment horizontal="center" vertical="center"/>
    </xf>
    <xf numFmtId="1" fontId="31" fillId="45" borderId="57" xfId="0" applyNumberFormat="1" applyFont="1" applyFill="1" applyBorder="1" applyAlignment="1">
      <alignment horizontal="center" vertical="center"/>
    </xf>
    <xf numFmtId="166" fontId="31" fillId="45" borderId="57" xfId="42" applyNumberFormat="1" applyFont="1" applyFill="1" applyBorder="1" applyAlignment="1">
      <alignment horizontal="center" vertical="center"/>
    </xf>
    <xf numFmtId="166" fontId="31" fillId="45" borderId="57" xfId="0"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2" xfId="0" applyFont="1" applyFill="1" applyBorder="1" applyAlignment="1">
      <alignment horizontal="center" vertical="center"/>
    </xf>
    <xf numFmtId="0" fontId="0" fillId="35" borderId="50" xfId="0" applyFill="1" applyBorder="1"/>
    <xf numFmtId="0" fontId="0" fillId="35" borderId="55" xfId="0" applyFill="1" applyBorder="1"/>
    <xf numFmtId="0" fontId="0" fillId="35" borderId="48" xfId="0" applyFill="1" applyBorder="1"/>
    <xf numFmtId="0" fontId="0" fillId="35" borderId="49"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3" xfId="0" applyFont="1" applyFill="1" applyBorder="1" applyAlignment="1">
      <alignment horizontal="center" vertical="center" wrapText="1"/>
    </xf>
    <xf numFmtId="0" fontId="38" fillId="44" borderId="69" xfId="0" applyFont="1" applyFill="1" applyBorder="1" applyAlignment="1">
      <alignment horizontal="center" vertical="center" wrapText="1"/>
    </xf>
    <xf numFmtId="1" fontId="38" fillId="44" borderId="69" xfId="0" applyNumberFormat="1" applyFont="1" applyFill="1" applyBorder="1" applyAlignment="1">
      <alignment horizontal="center" vertical="center" wrapText="1"/>
    </xf>
    <xf numFmtId="166" fontId="38" fillId="44" borderId="72" xfId="42" applyNumberFormat="1" applyFont="1" applyFill="1" applyBorder="1" applyAlignment="1">
      <alignment horizontal="center" vertical="center" wrapText="1"/>
    </xf>
    <xf numFmtId="0" fontId="14" fillId="40" borderId="14" xfId="0" applyFont="1" applyFill="1" applyBorder="1" applyAlignment="1">
      <alignment vertical="center" wrapText="1"/>
    </xf>
    <xf numFmtId="0" fontId="0" fillId="52" borderId="10" xfId="0" applyFill="1" applyBorder="1" applyAlignment="1" applyProtection="1">
      <alignment horizontal="center"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0" fillId="40" borderId="10" xfId="0" applyFill="1" applyBorder="1" applyAlignment="1">
      <alignment horizontal="center" vertical="center" wrapText="1"/>
    </xf>
    <xf numFmtId="0" fontId="0" fillId="0" borderId="48" xfId="0" applyBorder="1" applyAlignment="1">
      <alignment vertical="center"/>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0" fillId="53" borderId="10" xfId="0" applyFill="1" applyBorder="1" applyAlignment="1">
      <alignment vertical="center" wrapText="1"/>
    </xf>
    <xf numFmtId="0" fontId="0" fillId="52" borderId="17" xfId="0" applyFill="1" applyBorder="1" applyAlignment="1" applyProtection="1">
      <alignment horizontal="center" vertical="center"/>
      <protection locked="0"/>
    </xf>
    <xf numFmtId="0" fontId="0" fillId="40" borderId="17" xfId="0" applyFill="1" applyBorder="1" applyAlignment="1">
      <alignment horizontal="center" vertical="center" wrapText="1"/>
    </xf>
    <xf numFmtId="0" fontId="0" fillId="40" borderId="17" xfId="0" applyFill="1" applyBorder="1" applyAlignment="1" applyProtection="1">
      <alignment horizontal="center" vertical="center" wrapText="1"/>
      <protection locked="0"/>
    </xf>
    <xf numFmtId="0" fontId="0" fillId="40" borderId="18" xfId="0" applyFill="1" applyBorder="1" applyAlignment="1">
      <alignment horizontal="center" vertical="center" wrapText="1"/>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0" fontId="18" fillId="41" borderId="24" xfId="0" applyFont="1" applyFill="1" applyBorder="1" applyAlignment="1" applyProtection="1">
      <alignment horizontal="center" vertical="center"/>
      <protection locked="0"/>
    </xf>
    <xf numFmtId="0" fontId="0" fillId="33" borderId="2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6" fillId="43" borderId="54"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164" fontId="16" fillId="44" borderId="62" xfId="0" applyNumberFormat="1" applyFont="1" applyFill="1" applyBorder="1" applyAlignment="1">
      <alignment horizontal="center" vertical="center"/>
    </xf>
    <xf numFmtId="0" fontId="16" fillId="44" borderId="50" xfId="0" applyFont="1" applyFill="1" applyBorder="1" applyAlignment="1">
      <alignment vertical="center"/>
    </xf>
    <xf numFmtId="164" fontId="0" fillId="0" borderId="16" xfId="0" applyNumberFormat="1" applyBorder="1" applyAlignment="1">
      <alignment horizontal="center" vertical="center"/>
    </xf>
    <xf numFmtId="164" fontId="0" fillId="0" borderId="13" xfId="0" applyNumberFormat="1" applyBorder="1" applyAlignment="1">
      <alignment horizontal="center" vertical="center"/>
    </xf>
    <xf numFmtId="164" fontId="0" fillId="0" borderId="23" xfId="0" applyNumberFormat="1" applyBorder="1" applyAlignment="1">
      <alignment horizontal="center" vertical="center"/>
    </xf>
    <xf numFmtId="0" fontId="16" fillId="44" borderId="62" xfId="0" applyFont="1" applyFill="1" applyBorder="1" applyAlignment="1">
      <alignment vertical="center"/>
    </xf>
    <xf numFmtId="0" fontId="0" fillId="0" borderId="39" xfId="0" applyBorder="1" applyAlignment="1">
      <alignment vertical="center"/>
    </xf>
    <xf numFmtId="0" fontId="0" fillId="0" borderId="56" xfId="0" applyBorder="1" applyAlignment="1">
      <alignment vertical="center" wrapText="1"/>
    </xf>
    <xf numFmtId="0" fontId="0" fillId="0" borderId="56" xfId="0" applyBorder="1" applyAlignment="1">
      <alignment vertical="center"/>
    </xf>
    <xf numFmtId="0" fontId="0" fillId="0" borderId="40" xfId="0" applyBorder="1" applyAlignment="1">
      <alignment vertical="center" wrapText="1"/>
    </xf>
    <xf numFmtId="0" fontId="0" fillId="0" borderId="55" xfId="0" applyBorder="1" applyAlignment="1">
      <alignment vertical="center"/>
    </xf>
    <xf numFmtId="0" fontId="0" fillId="0" borderId="49" xfId="0" applyBorder="1" applyAlignment="1">
      <alignment vertical="center"/>
    </xf>
    <xf numFmtId="0" fontId="0" fillId="40" borderId="24" xfId="0" applyFill="1" applyBorder="1" applyAlignment="1" applyProtection="1">
      <alignment horizontal="left" vertical="center"/>
      <protection locked="0"/>
    </xf>
    <xf numFmtId="0" fontId="0" fillId="40" borderId="17" xfId="0" applyFill="1" applyBorder="1" applyAlignment="1">
      <alignment horizontal="left" vertical="center" wrapText="1"/>
    </xf>
    <xf numFmtId="0" fontId="0" fillId="40" borderId="10"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0" fillId="40" borderId="25"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0"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0" fontId="0" fillId="52" borderId="14" xfId="0"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0" fontId="41" fillId="33" borderId="11" xfId="0" applyFont="1" applyFill="1" applyBorder="1" applyAlignment="1" applyProtection="1">
      <alignment horizontal="center" vertical="center"/>
      <protection locked="0"/>
    </xf>
    <xf numFmtId="0" fontId="19" fillId="43" borderId="34" xfId="0" applyFont="1" applyFill="1" applyBorder="1" applyAlignment="1">
      <alignment horizontal="left" vertical="center"/>
    </xf>
    <xf numFmtId="0" fontId="16" fillId="43" borderId="29" xfId="0" applyFont="1" applyFill="1" applyBorder="1" applyAlignment="1">
      <alignment horizontal="left"/>
    </xf>
    <xf numFmtId="0" fontId="19" fillId="43" borderId="29" xfId="0" applyFont="1" applyFill="1" applyBorder="1" applyAlignment="1">
      <alignment horizontal="left" vertical="center"/>
    </xf>
    <xf numFmtId="0" fontId="19" fillId="43" borderId="78" xfId="0" applyFont="1" applyFill="1" applyBorder="1" applyAlignment="1">
      <alignment horizontal="left" vertical="center"/>
    </xf>
    <xf numFmtId="0" fontId="0" fillId="40" borderId="23" xfId="0" applyFill="1" applyBorder="1" applyAlignment="1" applyProtection="1">
      <alignment vertical="center"/>
      <protection locked="0"/>
    </xf>
    <xf numFmtId="0" fontId="0" fillId="40" borderId="24" xfId="0" applyFill="1" applyBorder="1" applyAlignment="1">
      <alignment horizontal="left" vertical="center" wrapText="1"/>
    </xf>
    <xf numFmtId="0" fontId="0" fillId="40" borderId="24" xfId="0" applyFill="1" applyBorder="1" applyAlignment="1">
      <alignment horizontal="center" vertical="center" wrapText="1"/>
    </xf>
    <xf numFmtId="0" fontId="0" fillId="40" borderId="24" xfId="0" applyFill="1" applyBorder="1" applyAlignment="1" applyProtection="1">
      <alignment horizontal="center" vertical="center" wrapText="1"/>
      <protection locked="0"/>
    </xf>
    <xf numFmtId="0" fontId="0" fillId="40" borderId="36" xfId="0" applyFill="1" applyBorder="1" applyAlignment="1">
      <alignment horizontal="center" vertical="center" wrapText="1"/>
    </xf>
    <xf numFmtId="43" fontId="18" fillId="40" borderId="36" xfId="44" applyFont="1" applyFill="1" applyBorder="1" applyAlignment="1" applyProtection="1">
      <alignment vertical="center"/>
      <protection locked="0"/>
    </xf>
    <xf numFmtId="0" fontId="0" fillId="41" borderId="23" xfId="0" applyFill="1" applyBorder="1" applyAlignment="1" applyProtection="1">
      <alignment vertical="center"/>
      <protection locked="0"/>
    </xf>
    <xf numFmtId="1" fontId="0" fillId="41" borderId="36" xfId="0" applyNumberFormat="1" applyFill="1" applyBorder="1" applyAlignment="1" applyProtection="1">
      <alignment vertical="center"/>
      <protection locked="0"/>
    </xf>
    <xf numFmtId="9" fontId="18" fillId="42" borderId="30" xfId="0" applyNumberFormat="1" applyFont="1" applyFill="1" applyBorder="1" applyAlignment="1" applyProtection="1">
      <alignment horizontal="center" vertical="center"/>
      <protection locked="0"/>
    </xf>
    <xf numFmtId="0" fontId="0" fillId="52" borderId="17" xfId="0" applyFill="1" applyBorder="1" applyAlignment="1">
      <alignment horizontal="center" vertical="center"/>
    </xf>
    <xf numFmtId="0" fontId="0" fillId="52" borderId="10" xfId="0" applyFill="1" applyBorder="1" applyAlignment="1">
      <alignment horizontal="center" vertical="center"/>
    </xf>
    <xf numFmtId="0" fontId="42" fillId="35" borderId="64"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166" fontId="0" fillId="42" borderId="31" xfId="42" applyNumberFormat="1" applyFont="1" applyFill="1" applyBorder="1" applyAlignment="1">
      <alignment horizontal="center" vertical="center" wrapText="1"/>
    </xf>
    <xf numFmtId="166" fontId="0" fillId="42" borderId="39" xfId="42" applyNumberFormat="1" applyFont="1" applyFill="1" applyBorder="1" applyAlignment="1">
      <alignment horizontal="center" vertical="center" wrapText="1"/>
    </xf>
    <xf numFmtId="1" fontId="0" fillId="41" borderId="16" xfId="42" applyNumberFormat="1" applyFont="1" applyFill="1" applyBorder="1" applyAlignment="1">
      <alignment horizontal="center" vertical="center" wrapText="1"/>
    </xf>
    <xf numFmtId="1" fontId="0" fillId="41" borderId="17" xfId="42" applyNumberFormat="1" applyFont="1" applyFill="1" applyBorder="1" applyAlignment="1">
      <alignment horizontal="center" vertical="center" wrapText="1"/>
    </xf>
    <xf numFmtId="0" fontId="0" fillId="33" borderId="16" xfId="0" applyFill="1" applyBorder="1" applyAlignment="1">
      <alignment horizontal="center" vertical="center" wrapText="1"/>
    </xf>
    <xf numFmtId="0" fontId="0" fillId="33" borderId="17" xfId="0" applyFill="1" applyBorder="1" applyAlignment="1">
      <alignment horizontal="center" vertical="center" wrapText="1"/>
    </xf>
    <xf numFmtId="166" fontId="0" fillId="33" borderId="17" xfId="0" applyNumberFormat="1" applyFill="1" applyBorder="1" applyAlignment="1">
      <alignment horizontal="center" vertical="center" wrapText="1"/>
    </xf>
    <xf numFmtId="166" fontId="0" fillId="33" borderId="17"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6"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0" fontId="0" fillId="33" borderId="13"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5"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0" fontId="0" fillId="33" borderId="23" xfId="0" applyFill="1" applyBorder="1" applyAlignment="1">
      <alignment horizontal="center" vertical="center" wrapText="1"/>
    </xf>
    <xf numFmtId="0" fontId="0" fillId="33" borderId="24" xfId="0" applyFill="1" applyBorder="1" applyAlignment="1">
      <alignment horizontal="center" vertical="center" wrapText="1"/>
    </xf>
    <xf numFmtId="166" fontId="0" fillId="33" borderId="24" xfId="0" applyNumberFormat="1" applyFill="1" applyBorder="1" applyAlignment="1">
      <alignment horizontal="center" vertical="center" wrapText="1"/>
    </xf>
    <xf numFmtId="166" fontId="0" fillId="33" borderId="24" xfId="42" applyNumberFormat="1" applyFont="1" applyFill="1" applyBorder="1" applyAlignment="1">
      <alignment horizontal="center" vertical="center" wrapText="1"/>
    </xf>
    <xf numFmtId="0" fontId="0" fillId="33" borderId="36" xfId="0" applyFill="1" applyBorder="1" applyAlignment="1" applyProtection="1">
      <alignment horizontal="left" vertical="center" wrapText="1"/>
      <protection locked="0"/>
    </xf>
    <xf numFmtId="0" fontId="16" fillId="0" borderId="0" xfId="0" applyFont="1" applyAlignment="1">
      <alignment horizontal="left" vertical="center"/>
    </xf>
    <xf numFmtId="49" fontId="0" fillId="0" borderId="0" xfId="0" applyNumberFormat="1" applyAlignment="1">
      <alignment horizontal="lef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0" fillId="52" borderId="16" xfId="0" applyFill="1" applyBorder="1" applyAlignment="1">
      <alignment vertical="center"/>
    </xf>
    <xf numFmtId="0" fontId="0" fillId="52" borderId="13" xfId="0" applyFill="1" applyBorder="1" applyAlignment="1">
      <alignment vertical="center"/>
    </xf>
    <xf numFmtId="0" fontId="0" fillId="52" borderId="10" xfId="0"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26" xfId="42" applyFont="1" applyBorder="1" applyAlignment="1">
      <alignment horizontal="center" vertical="center"/>
    </xf>
    <xf numFmtId="9" fontId="35" fillId="0" borderId="10" xfId="42" applyFont="1" applyBorder="1" applyAlignment="1">
      <alignment horizontal="center" vertical="center"/>
    </xf>
    <xf numFmtId="9" fontId="35" fillId="0" borderId="30" xfId="42" applyFont="1" applyBorder="1" applyAlignment="1">
      <alignment horizontal="center" vertical="center"/>
    </xf>
    <xf numFmtId="9" fontId="35" fillId="0" borderId="24" xfId="42" applyFont="1" applyBorder="1" applyAlignment="1">
      <alignment horizontal="center" vertical="center"/>
    </xf>
    <xf numFmtId="9" fontId="35" fillId="0" borderId="10" xfId="42" applyFont="1" applyBorder="1" applyAlignment="1">
      <alignment horizontal="center"/>
    </xf>
    <xf numFmtId="0" fontId="0" fillId="52" borderId="17" xfId="0" applyFill="1" applyBorder="1" applyAlignment="1">
      <alignment vertical="center"/>
    </xf>
    <xf numFmtId="166" fontId="0" fillId="41" borderId="39" xfId="42" applyNumberFormat="1" applyFont="1" applyFill="1" applyBorder="1" applyAlignment="1">
      <alignment horizontal="center" vertical="center" wrapText="1"/>
    </xf>
    <xf numFmtId="166" fontId="0" fillId="41" borderId="56" xfId="42" applyNumberFormat="1" applyFont="1" applyFill="1" applyBorder="1" applyAlignment="1">
      <alignment horizontal="center" vertical="center" wrapText="1"/>
    </xf>
    <xf numFmtId="166" fontId="0" fillId="41" borderId="65" xfId="42" applyNumberFormat="1" applyFont="1" applyFill="1" applyBorder="1" applyAlignment="1">
      <alignment horizontal="center" vertical="center" wrapText="1"/>
    </xf>
    <xf numFmtId="0" fontId="0" fillId="52" borderId="18" xfId="0" applyFill="1" applyBorder="1" applyAlignment="1">
      <alignment vertical="center" wrapText="1"/>
    </xf>
    <xf numFmtId="0" fontId="0" fillId="52" borderId="14" xfId="0" applyFill="1" applyBorder="1" applyAlignment="1">
      <alignment vertical="center" wrapText="1"/>
    </xf>
    <xf numFmtId="0" fontId="45" fillId="52" borderId="10" xfId="0" applyFont="1" applyFill="1" applyBorder="1" applyAlignment="1">
      <alignment horizontal="left" vertical="center"/>
    </xf>
    <xf numFmtId="0" fontId="19" fillId="43" borderId="50" xfId="0" applyFont="1" applyFill="1" applyBorder="1" applyAlignment="1">
      <alignment horizontal="center" vertical="center" wrapText="1"/>
    </xf>
    <xf numFmtId="0" fontId="38" fillId="49" borderId="68" xfId="0" applyFont="1" applyFill="1" applyBorder="1" applyAlignment="1">
      <alignment horizontal="center" vertical="center" wrapText="1"/>
    </xf>
    <xf numFmtId="0" fontId="38" fillId="49" borderId="69" xfId="0" applyFont="1" applyFill="1" applyBorder="1" applyAlignment="1">
      <alignment horizontal="center" vertical="center" wrapText="1"/>
    </xf>
    <xf numFmtId="0" fontId="38" fillId="49" borderId="70" xfId="0" applyFont="1" applyFill="1" applyBorder="1" applyAlignment="1">
      <alignment horizontal="center" vertical="center" wrapText="1"/>
    </xf>
    <xf numFmtId="0" fontId="38" fillId="45" borderId="73" xfId="0" applyFont="1" applyFill="1" applyBorder="1" applyAlignment="1">
      <alignment horizontal="center" vertical="center" wrapText="1"/>
    </xf>
    <xf numFmtId="0" fontId="38" fillId="45" borderId="69" xfId="0" applyFont="1" applyFill="1" applyBorder="1" applyAlignment="1">
      <alignment horizontal="center" vertical="center" wrapText="1"/>
    </xf>
    <xf numFmtId="0" fontId="38" fillId="45" borderId="70" xfId="0" applyFont="1" applyFill="1" applyBorder="1" applyAlignment="1">
      <alignment horizontal="center" vertical="center" wrapText="1"/>
    </xf>
    <xf numFmtId="0" fontId="38" fillId="43" borderId="11" xfId="0" applyFont="1" applyFill="1" applyBorder="1" applyAlignment="1">
      <alignment horizontal="lef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19" fillId="43" borderId="11" xfId="0" applyFont="1" applyFill="1" applyBorder="1" applyAlignment="1" applyProtection="1">
      <alignment horizontal="left" vertical="center" wrapText="1"/>
      <protection locked="0"/>
    </xf>
    <xf numFmtId="0" fontId="16" fillId="43" borderId="12" xfId="0" applyFont="1" applyFill="1" applyBorder="1" applyAlignment="1" applyProtection="1">
      <alignment horizontal="left" vertical="center" wrapText="1"/>
      <protection locked="0"/>
    </xf>
    <xf numFmtId="0" fontId="38" fillId="43" borderId="12" xfId="0" applyFont="1" applyFill="1" applyBorder="1" applyAlignment="1" applyProtection="1">
      <alignment horizontal="left" vertical="center" wrapText="1"/>
      <protection locked="0"/>
    </xf>
    <xf numFmtId="0" fontId="38" fillId="43" borderId="15" xfId="0" applyFont="1" applyFill="1" applyBorder="1" applyAlignment="1">
      <alignment horizontal="left" vertical="center" wrapText="1"/>
    </xf>
    <xf numFmtId="0" fontId="18" fillId="40" borderId="10" xfId="0"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166" fontId="18" fillId="50" borderId="10" xfId="0" applyNumberFormat="1" applyFont="1" applyFill="1" applyBorder="1" applyAlignment="1">
      <alignment horizontal="center" vertical="center"/>
    </xf>
    <xf numFmtId="1" fontId="18" fillId="46" borderId="10" xfId="0" applyNumberFormat="1" applyFont="1" applyFill="1" applyBorder="1" applyAlignment="1">
      <alignment horizontal="center" vertical="center"/>
    </xf>
    <xf numFmtId="0" fontId="18" fillId="46" borderId="10" xfId="0" applyFont="1" applyFill="1" applyBorder="1" applyAlignment="1">
      <alignment horizontal="center" vertical="center"/>
    </xf>
    <xf numFmtId="166" fontId="18" fillId="46" borderId="10" xfId="42"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0" fontId="18" fillId="40" borderId="17" xfId="0" applyFont="1" applyFill="1" applyBorder="1" applyAlignment="1">
      <alignment horizontal="center" vertical="center"/>
    </xf>
    <xf numFmtId="1" fontId="18" fillId="50" borderId="17" xfId="0" applyNumberFormat="1" applyFont="1" applyFill="1" applyBorder="1" applyAlignment="1">
      <alignment horizontal="center" vertical="center"/>
    </xf>
    <xf numFmtId="0" fontId="18" fillId="50" borderId="17" xfId="0" applyFont="1" applyFill="1" applyBorder="1" applyAlignment="1">
      <alignment horizontal="center" vertical="center"/>
    </xf>
    <xf numFmtId="166" fontId="18" fillId="50" borderId="17" xfId="42" applyNumberFormat="1" applyFont="1" applyFill="1" applyBorder="1" applyAlignment="1">
      <alignment horizontal="center" vertical="center"/>
    </xf>
    <xf numFmtId="166" fontId="18" fillId="50" borderId="17" xfId="0" applyNumberFormat="1" applyFont="1" applyFill="1" applyBorder="1" applyAlignment="1">
      <alignment horizontal="center" vertical="center"/>
    </xf>
    <xf numFmtId="1" fontId="18" fillId="46" borderId="17" xfId="0" applyNumberFormat="1" applyFont="1" applyFill="1" applyBorder="1" applyAlignment="1">
      <alignment horizontal="center" vertical="center"/>
    </xf>
    <xf numFmtId="0" fontId="18" fillId="46" borderId="17" xfId="0" applyFont="1" applyFill="1" applyBorder="1" applyAlignment="1">
      <alignment horizontal="center" vertical="center"/>
    </xf>
    <xf numFmtId="166" fontId="18" fillId="46" borderId="17" xfId="42" applyNumberFormat="1" applyFont="1" applyFill="1" applyBorder="1" applyAlignment="1">
      <alignment horizontal="center" vertical="center"/>
    </xf>
    <xf numFmtId="166" fontId="18" fillId="46" borderId="17" xfId="0" applyNumberFormat="1" applyFont="1" applyFill="1" applyBorder="1" applyAlignment="1">
      <alignment horizontal="center" vertical="center"/>
    </xf>
    <xf numFmtId="166" fontId="18" fillId="46" borderId="18"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52" borderId="55" xfId="0" applyFont="1" applyFill="1" applyBorder="1" applyAlignment="1" applyProtection="1">
      <alignment horizontal="center" vertical="center"/>
      <protection locked="0"/>
    </xf>
    <xf numFmtId="0" fontId="18" fillId="52" borderId="48" xfId="0" applyFont="1" applyFill="1" applyBorder="1" applyAlignment="1" applyProtection="1">
      <alignment horizontal="center" vertical="center"/>
      <protection locked="0"/>
    </xf>
    <xf numFmtId="0" fontId="31" fillId="47" borderId="52" xfId="0" applyFont="1" applyFill="1" applyBorder="1" applyAlignment="1">
      <alignment horizontal="center" vertical="center"/>
    </xf>
    <xf numFmtId="0" fontId="31" fillId="44" borderId="71" xfId="0" applyFont="1" applyFill="1" applyBorder="1" applyAlignment="1">
      <alignment horizontal="center" vertical="center"/>
    </xf>
    <xf numFmtId="0" fontId="31" fillId="44" borderId="57" xfId="0" applyFont="1" applyFill="1" applyBorder="1" applyAlignment="1">
      <alignment horizontal="center" vertical="center"/>
    </xf>
    <xf numFmtId="0" fontId="18" fillId="52" borderId="49" xfId="0" applyFont="1" applyFill="1" applyBorder="1" applyAlignment="1" applyProtection="1">
      <alignment horizontal="center" vertical="center"/>
      <protection locked="0"/>
    </xf>
    <xf numFmtId="0" fontId="18" fillId="40" borderId="30" xfId="0" applyFont="1" applyFill="1" applyBorder="1" applyAlignment="1">
      <alignment horizontal="center" vertical="center"/>
    </xf>
    <xf numFmtId="0" fontId="18" fillId="40" borderId="24" xfId="0"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166" fontId="18" fillId="50" borderId="24" xfId="0" applyNumberFormat="1" applyFont="1" applyFill="1" applyBorder="1" applyAlignment="1">
      <alignment horizontal="center" vertical="center"/>
    </xf>
    <xf numFmtId="1" fontId="18" fillId="46" borderId="24" xfId="0" applyNumberFormat="1" applyFont="1" applyFill="1" applyBorder="1" applyAlignment="1">
      <alignment horizontal="center" vertical="center"/>
    </xf>
    <xf numFmtId="0" fontId="18" fillId="46" borderId="24" xfId="0" applyFont="1" applyFill="1" applyBorder="1" applyAlignment="1">
      <alignment horizontal="center" vertical="center"/>
    </xf>
    <xf numFmtId="166" fontId="18" fillId="46" borderId="24" xfId="42"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0" fontId="31" fillId="37" borderId="52" xfId="0" applyFont="1" applyFill="1" applyBorder="1" applyAlignment="1">
      <alignment horizontal="center" vertical="center"/>
    </xf>
    <xf numFmtId="0" fontId="31" fillId="48" borderId="52" xfId="0" applyFont="1" applyFill="1" applyBorder="1" applyAlignment="1">
      <alignment horizontal="center" vertical="center"/>
    </xf>
    <xf numFmtId="166" fontId="18" fillId="40" borderId="39" xfId="0" applyNumberFormat="1" applyFont="1" applyFill="1" applyBorder="1" applyAlignment="1">
      <alignment horizontal="center" vertical="center"/>
    </xf>
    <xf numFmtId="166" fontId="18" fillId="40" borderId="56"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1" fontId="18" fillId="46" borderId="31"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1" fontId="18" fillId="50" borderId="16" xfId="0" applyNumberFormat="1" applyFont="1" applyFill="1" applyBorder="1" applyAlignment="1">
      <alignment horizontal="center" vertical="center"/>
    </xf>
    <xf numFmtId="166" fontId="18" fillId="50" borderId="18"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0" fontId="0" fillId="53" borderId="25" xfId="0" applyFill="1" applyBorder="1" applyAlignment="1">
      <alignment vertical="center" wrapText="1"/>
    </xf>
    <xf numFmtId="0" fontId="46" fillId="40" borderId="10" xfId="0" applyFont="1" applyFill="1" applyBorder="1" applyAlignment="1" applyProtection="1">
      <alignment horizontal="center" vertical="center" wrapText="1"/>
      <protection locked="0"/>
    </xf>
    <xf numFmtId="0" fontId="46" fillId="40" borderId="10" xfId="0" applyFont="1" applyFill="1" applyBorder="1" applyAlignment="1">
      <alignment horizontal="center" vertical="center" wrapText="1"/>
    </xf>
    <xf numFmtId="0" fontId="14" fillId="40" borderId="10" xfId="0" applyFont="1" applyFill="1" applyBorder="1" applyAlignment="1" applyProtection="1">
      <alignment horizontal="center" vertical="center" wrapText="1"/>
      <protection locked="0"/>
    </xf>
    <xf numFmtId="0" fontId="0" fillId="52" borderId="29" xfId="0" applyFill="1" applyBorder="1" applyAlignment="1">
      <alignment horizontal="center" vertical="center"/>
    </xf>
    <xf numFmtId="0" fontId="45" fillId="53" borderId="10" xfId="0" applyFont="1" applyFill="1" applyBorder="1" applyAlignment="1">
      <alignment horizontal="left" vertical="center"/>
    </xf>
    <xf numFmtId="0" fontId="14" fillId="53" borderId="10" xfId="0" applyFont="1" applyFill="1" applyBorder="1" applyAlignment="1" applyProtection="1">
      <alignment horizontal="center" vertical="center" wrapText="1"/>
      <protection locked="0"/>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35" borderId="6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2" borderId="6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1" borderId="6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5"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5"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78" xfId="0" applyFont="1" applyFill="1" applyBorder="1" applyAlignment="1">
      <alignment horizontal="left" vertical="center" wrapText="1"/>
    </xf>
    <xf numFmtId="0" fontId="14" fillId="41" borderId="58" xfId="0" applyFont="1" applyFill="1" applyBorder="1" applyAlignment="1">
      <alignment horizontal="left" vertical="center" wrapText="1"/>
    </xf>
    <xf numFmtId="0" fontId="0" fillId="49" borderId="70" xfId="0" applyFill="1" applyBorder="1" applyAlignment="1">
      <alignment horizontal="left" vertical="center" wrapText="1"/>
    </xf>
    <xf numFmtId="0" fontId="0" fillId="49" borderId="78" xfId="0" applyFill="1" applyBorder="1" applyAlignment="1">
      <alignment horizontal="left" vertical="center" wrapText="1"/>
    </xf>
    <xf numFmtId="0" fontId="0" fillId="49" borderId="58" xfId="0" applyFill="1" applyBorder="1" applyAlignment="1">
      <alignment horizontal="left" vertical="center" wrapText="1"/>
    </xf>
    <xf numFmtId="0" fontId="16" fillId="42" borderId="50"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33" borderId="55"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37" fillId="51" borderId="66" xfId="0" applyFont="1" applyFill="1" applyBorder="1" applyAlignment="1">
      <alignment horizontal="center" vertical="center" wrapText="1"/>
    </xf>
    <xf numFmtId="0" fontId="37" fillId="51" borderId="61" xfId="0" applyFont="1" applyFill="1" applyBorder="1" applyAlignment="1">
      <alignment horizontal="center" vertical="center"/>
    </xf>
    <xf numFmtId="0" fontId="37" fillId="51" borderId="67" xfId="0" applyFont="1" applyFill="1" applyBorder="1" applyAlignment="1">
      <alignment horizontal="center" vertical="center"/>
    </xf>
    <xf numFmtId="0" fontId="19" fillId="44" borderId="63" xfId="0"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0" fontId="19" fillId="45" borderId="73" xfId="0" applyFont="1" applyFill="1" applyBorder="1" applyAlignment="1">
      <alignment horizontal="center" vertical="center"/>
    </xf>
    <xf numFmtId="0" fontId="19" fillId="45" borderId="69" xfId="0" applyFont="1" applyFill="1" applyBorder="1" applyAlignment="1">
      <alignment horizontal="center" vertical="center"/>
    </xf>
    <xf numFmtId="0" fontId="19" fillId="45" borderId="70" xfId="0" applyFont="1" applyFill="1" applyBorder="1" applyAlignment="1">
      <alignment horizontal="center" vertical="center"/>
    </xf>
    <xf numFmtId="0" fontId="39" fillId="51" borderId="53" xfId="0" applyFont="1" applyFill="1" applyBorder="1" applyAlignment="1" applyProtection="1">
      <alignment horizontal="center" vertical="center" wrapText="1"/>
      <protection locked="0"/>
    </xf>
    <xf numFmtId="0" fontId="39" fillId="51" borderId="0" xfId="0" applyFont="1" applyFill="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77" xfId="0" applyFont="1" applyFill="1" applyBorder="1" applyAlignment="1" applyProtection="1">
      <alignment horizontal="center" vertical="center" wrapText="1"/>
      <protection locked="0"/>
    </xf>
    <xf numFmtId="0" fontId="39" fillId="51" borderId="66" xfId="0" applyFont="1" applyFill="1" applyBorder="1" applyAlignment="1" applyProtection="1">
      <alignment horizontal="center" vertical="center" wrapText="1"/>
      <protection locked="0"/>
    </xf>
    <xf numFmtId="0" fontId="39" fillId="51" borderId="6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41" fillId="40" borderId="66"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66" xfId="11" applyFont="1" applyFill="1" applyBorder="1" applyAlignment="1" applyProtection="1">
      <alignment horizontal="center" vertical="center"/>
      <protection locked="0"/>
    </xf>
    <xf numFmtId="0" fontId="37" fillId="40" borderId="61" xfId="11" applyFont="1" applyFill="1" applyBorder="1" applyAlignment="1" applyProtection="1">
      <alignment horizontal="center" vertical="center"/>
      <protection locked="0"/>
    </xf>
    <xf numFmtId="0" fontId="37" fillId="40" borderId="67" xfId="11" applyFont="1" applyFill="1" applyBorder="1" applyAlignment="1" applyProtection="1">
      <alignment horizontal="center" vertical="center"/>
      <protection locked="0"/>
    </xf>
    <xf numFmtId="9" fontId="37" fillId="42" borderId="66" xfId="0" applyNumberFormat="1" applyFont="1" applyFill="1" applyBorder="1" applyAlignment="1" applyProtection="1">
      <alignment horizontal="center" vertical="center"/>
      <protection locked="0"/>
    </xf>
    <xf numFmtId="9" fontId="37" fillId="42" borderId="61" xfId="0" applyNumberFormat="1" applyFont="1" applyFill="1" applyBorder="1" applyAlignment="1" applyProtection="1">
      <alignment horizontal="center" vertical="center"/>
      <protection locked="0"/>
    </xf>
    <xf numFmtId="9" fontId="37" fillId="42" borderId="67" xfId="0" applyNumberFormat="1" applyFont="1" applyFill="1" applyBorder="1" applyAlignment="1" applyProtection="1">
      <alignment horizontal="center" vertical="center"/>
      <protection locked="0"/>
    </xf>
    <xf numFmtId="0" fontId="37" fillId="33" borderId="66" xfId="0" applyFont="1" applyFill="1" applyBorder="1" applyAlignment="1" applyProtection="1">
      <alignment horizontal="center" vertical="center"/>
      <protection locked="0"/>
    </xf>
    <xf numFmtId="0" fontId="37" fillId="33" borderId="61" xfId="0" applyFont="1" applyFill="1" applyBorder="1" applyAlignment="1" applyProtection="1">
      <alignment horizontal="center" vertical="center"/>
      <protection locked="0"/>
    </xf>
    <xf numFmtId="0" fontId="37" fillId="33" borderId="67" xfId="0" applyFont="1" applyFill="1" applyBorder="1" applyAlignment="1" applyProtection="1">
      <alignment horizontal="center" vertical="center"/>
      <protection locked="0"/>
    </xf>
    <xf numFmtId="0" fontId="37" fillId="41" borderId="66" xfId="0" applyFont="1" applyFill="1" applyBorder="1" applyAlignment="1" applyProtection="1">
      <alignment horizontal="center" vertical="center"/>
      <protection locked="0"/>
    </xf>
    <xf numFmtId="0" fontId="37" fillId="41" borderId="61" xfId="0" applyFont="1" applyFill="1" applyBorder="1" applyAlignment="1" applyProtection="1">
      <alignment horizontal="center" vertical="center"/>
      <protection locked="0"/>
    </xf>
    <xf numFmtId="0" fontId="37" fillId="41" borderId="67" xfId="0" applyFont="1" applyFill="1" applyBorder="1" applyAlignment="1" applyProtection="1">
      <alignment horizontal="center" vertical="center"/>
      <protection locked="0"/>
    </xf>
    <xf numFmtId="0" fontId="41" fillId="40" borderId="62"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5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71" xfId="0" applyFont="1" applyFill="1" applyBorder="1" applyAlignment="1">
      <alignment horizontal="center" vertical="center" wrapText="1"/>
    </xf>
    <xf numFmtId="0" fontId="0" fillId="51" borderId="0" xfId="0" applyFill="1" applyAlignment="1" applyProtection="1">
      <alignment horizontal="center" vertical="center" wrapText="1"/>
      <protection locked="0"/>
    </xf>
    <xf numFmtId="0" fontId="0" fillId="51" borderId="63" xfId="0" applyFill="1" applyBorder="1" applyAlignment="1" applyProtection="1">
      <alignment horizontal="center" vertical="center" wrapText="1"/>
      <protection locked="0"/>
    </xf>
    <xf numFmtId="0" fontId="0" fillId="51" borderId="46" xfId="0" applyFill="1" applyBorder="1" applyAlignment="1" applyProtection="1">
      <alignment horizontal="center" vertical="center" wrapText="1"/>
      <protection locked="0"/>
    </xf>
    <xf numFmtId="0" fontId="0" fillId="51" borderId="53"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51" borderId="62" xfId="0" applyFont="1" applyFill="1" applyBorder="1" applyAlignment="1" applyProtection="1">
      <alignment horizontal="center" vertical="center" wrapText="1"/>
      <protection locked="0"/>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39" fillId="42" borderId="68" xfId="0" applyFont="1" applyFill="1" applyBorder="1" applyAlignment="1" applyProtection="1">
      <alignment horizontal="center" vertical="center" wrapText="1"/>
      <protection locked="0"/>
    </xf>
    <xf numFmtId="0" fontId="39" fillId="42" borderId="70" xfId="0" applyFont="1" applyFill="1" applyBorder="1" applyAlignment="1" applyProtection="1">
      <alignment horizontal="center" vertical="center" wrapText="1"/>
      <protection locked="0"/>
    </xf>
    <xf numFmtId="0" fontId="39" fillId="40" borderId="62"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1" borderId="62"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33" borderId="62"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16" fillId="43" borderId="45" xfId="0" applyFont="1" applyFill="1" applyBorder="1" applyAlignment="1">
      <alignment horizontal="center" vertical="center" wrapText="1"/>
    </xf>
    <xf numFmtId="0" fontId="16" fillId="43" borderId="75" xfId="0" applyFont="1" applyFill="1" applyBorder="1" applyAlignment="1">
      <alignment horizontal="center" vertical="center" wrapText="1"/>
    </xf>
    <xf numFmtId="0" fontId="16" fillId="43" borderId="76"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5" xfId="0" applyFont="1" applyFill="1" applyBorder="1" applyAlignment="1">
      <alignment horizontal="center" vertical="center"/>
    </xf>
    <xf numFmtId="0" fontId="16" fillId="43" borderId="76" xfId="0" applyFont="1" applyFill="1" applyBorder="1" applyAlignment="1">
      <alignment horizontal="center" vertical="center"/>
    </xf>
    <xf numFmtId="0" fontId="0" fillId="52" borderId="66" xfId="0" applyFill="1" applyBorder="1" applyAlignment="1">
      <alignment horizontal="center" vertical="center"/>
    </xf>
    <xf numFmtId="0" fontId="0" fillId="52" borderId="67" xfId="0" applyFill="1" applyBorder="1" applyAlignment="1">
      <alignment horizontal="center" vertical="center"/>
    </xf>
    <xf numFmtId="0" fontId="39" fillId="51" borderId="66" xfId="0" applyFont="1" applyFill="1" applyBorder="1" applyAlignment="1">
      <alignment horizontal="center" wrapText="1"/>
    </xf>
    <xf numFmtId="0" fontId="40" fillId="51" borderId="61" xfId="0" applyFont="1" applyFill="1" applyBorder="1" applyAlignment="1">
      <alignment horizontal="center" wrapText="1"/>
    </xf>
    <xf numFmtId="0" fontId="40" fillId="51" borderId="67" xfId="0" applyFont="1" applyFill="1" applyBorder="1" applyAlignment="1">
      <alignment horizont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47" fillId="0" borderId="10" xfId="0" applyFont="1" applyBorder="1" applyAlignment="1">
      <alignment horizontal="center" vertical="top"/>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E101"/>
      <color rgb="FFFF96EB"/>
      <color rgb="FFFF7DD7"/>
      <color rgb="FFFFB9EB"/>
      <color rgb="FFFF66CC"/>
      <color rgb="FFFF66FF"/>
      <color rgb="FFFF99FF"/>
      <color rgb="FFFB8FFB"/>
      <color rgb="FFFA64FA"/>
      <color rgb="FFF018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7">
                  <c:v>0.05</c:v>
                </c:pt>
                <c:pt idx="28">
                  <c:v>0.1</c:v>
                </c:pt>
                <c:pt idx="29">
                  <c:v>0.2</c:v>
                </c:pt>
                <c:pt idx="30">
                  <c:v>0.3</c:v>
                </c:pt>
                <c:pt idx="31">
                  <c:v>0.4</c:v>
                </c:pt>
                <c:pt idx="32">
                  <c:v>0.5</c:v>
                </c:pt>
                <c:pt idx="33">
                  <c:v>0.6</c:v>
                </c:pt>
                <c:pt idx="34">
                  <c:v>0.7</c:v>
                </c:pt>
                <c:pt idx="35">
                  <c:v>0.8</c:v>
                </c:pt>
                <c:pt idx="36">
                  <c:v>0.85</c:v>
                </c:pt>
                <c:pt idx="37">
                  <c:v>0.9</c:v>
                </c:pt>
                <c:pt idx="38">
                  <c:v>0.95</c:v>
                </c:pt>
                <c:pt idx="39">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0.16</c:v>
                </c:pt>
                <c:pt idx="29">
                  <c:v>0.27</c:v>
                </c:pt>
                <c:pt idx="30">
                  <c:v>0.5</c:v>
                </c:pt>
                <c:pt idx="31">
                  <c:v>0.53</c:v>
                </c:pt>
                <c:pt idx="32">
                  <c:v>0.59</c:v>
                </c:pt>
                <c:pt idx="33">
                  <c:v>0.62</c:v>
                </c:pt>
                <c:pt idx="34">
                  <c:v>0.62</c:v>
                </c:pt>
                <c:pt idx="35">
                  <c:v>0.67</c:v>
                </c:pt>
                <c:pt idx="36">
                  <c:v>0.76</c:v>
                </c:pt>
                <c:pt idx="37">
                  <c:v>0.8</c:v>
                </c:pt>
                <c:pt idx="38">
                  <c:v>0.97399999999999998</c:v>
                </c:pt>
                <c:pt idx="39">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10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7"/>
  <sheetViews>
    <sheetView workbookViewId="0">
      <selection activeCell="E7" sqref="E7"/>
    </sheetView>
  </sheetViews>
  <sheetFormatPr defaultColWidth="8.42578125" defaultRowHeight="15" x14ac:dyDescent="0.25"/>
  <cols>
    <col min="1" max="1" width="8.42578125" style="79"/>
    <col min="5" max="5" width="9" style="79" bestFit="1" customWidth="1"/>
    <col min="9" max="9" width="11" bestFit="1" customWidth="1"/>
  </cols>
  <sheetData>
    <row r="1" spans="1:9" x14ac:dyDescent="0.25">
      <c r="A1" s="79" t="s">
        <v>30</v>
      </c>
      <c r="C1" t="s">
        <v>31</v>
      </c>
      <c r="E1" s="79" t="s">
        <v>32</v>
      </c>
      <c r="G1" t="s">
        <v>33</v>
      </c>
      <c r="I1" t="s">
        <v>34</v>
      </c>
    </row>
    <row r="2" spans="1:9" x14ac:dyDescent="0.25">
      <c r="A2" s="79" t="s">
        <v>35</v>
      </c>
      <c r="C2" t="s">
        <v>36</v>
      </c>
      <c r="E2" s="79" t="s">
        <v>37</v>
      </c>
      <c r="G2" t="s">
        <v>38</v>
      </c>
      <c r="I2" t="s">
        <v>39</v>
      </c>
    </row>
    <row r="3" spans="1:9" x14ac:dyDescent="0.25">
      <c r="A3" s="79" t="s">
        <v>40</v>
      </c>
      <c r="E3" s="79" t="s">
        <v>41</v>
      </c>
      <c r="G3" t="s">
        <v>42</v>
      </c>
      <c r="I3" t="s">
        <v>43</v>
      </c>
    </row>
    <row r="4" spans="1:9" x14ac:dyDescent="0.25">
      <c r="A4" s="79" t="s">
        <v>44</v>
      </c>
      <c r="E4" s="79" t="s">
        <v>45</v>
      </c>
      <c r="I4" t="s">
        <v>44</v>
      </c>
    </row>
    <row r="5" spans="1:9" x14ac:dyDescent="0.25">
      <c r="E5" s="79" t="s">
        <v>46</v>
      </c>
    </row>
    <row r="6" spans="1:9" x14ac:dyDescent="0.25">
      <c r="E6" s="79" t="s">
        <v>47</v>
      </c>
    </row>
    <row r="7" spans="1:9" x14ac:dyDescent="0.25">
      <c r="E7" s="79"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9" activePane="bottomRight" state="frozen"/>
      <selection pane="topRight" activeCell="D1" sqref="D1"/>
      <selection pane="bottomLeft" activeCell="A9" sqref="A9"/>
      <selection pane="bottomRight" activeCell="D20" sqref="D20"/>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48</v>
      </c>
      <c r="B1" s="519" t="s">
        <v>49</v>
      </c>
      <c r="C1" s="520"/>
      <c r="D1" s="520"/>
      <c r="E1" s="156" t="s">
        <v>50</v>
      </c>
      <c r="F1" s="156" t="s">
        <v>51</v>
      </c>
      <c r="G1" s="110" t="s">
        <v>52</v>
      </c>
    </row>
    <row r="2" spans="1:7" x14ac:dyDescent="0.25">
      <c r="A2" s="116" t="s">
        <v>53</v>
      </c>
      <c r="B2" s="521" t="s">
        <v>54</v>
      </c>
      <c r="C2" s="522"/>
      <c r="D2" s="522"/>
      <c r="E2" s="229" t="s">
        <v>55</v>
      </c>
      <c r="F2" s="229" t="s">
        <v>56</v>
      </c>
      <c r="G2" s="252" t="s">
        <v>57</v>
      </c>
    </row>
    <row r="3" spans="1:7" s="81" customFormat="1" x14ac:dyDescent="0.25">
      <c r="A3" s="190" t="s">
        <v>58</v>
      </c>
      <c r="B3" s="528" t="s">
        <v>59</v>
      </c>
      <c r="C3" s="529"/>
      <c r="D3" s="530"/>
      <c r="E3" s="80" t="s">
        <v>55</v>
      </c>
      <c r="F3" s="80" t="s">
        <v>56</v>
      </c>
      <c r="G3" s="253" t="s">
        <v>57</v>
      </c>
    </row>
    <row r="4" spans="1:7" x14ac:dyDescent="0.25">
      <c r="A4" s="190" t="s">
        <v>60</v>
      </c>
      <c r="B4" s="525" t="s">
        <v>61</v>
      </c>
      <c r="C4" s="526"/>
      <c r="D4" s="527"/>
      <c r="E4" s="80" t="s">
        <v>62</v>
      </c>
      <c r="F4" s="80" t="s">
        <v>56</v>
      </c>
      <c r="G4" s="253" t="s">
        <v>57</v>
      </c>
    </row>
    <row r="5" spans="1:7" x14ac:dyDescent="0.25">
      <c r="A5" s="117" t="s">
        <v>63</v>
      </c>
      <c r="B5" s="525" t="s">
        <v>64</v>
      </c>
      <c r="C5" s="526"/>
      <c r="D5" s="527"/>
      <c r="E5" s="80" t="s">
        <v>62</v>
      </c>
      <c r="F5" s="80" t="s">
        <v>56</v>
      </c>
      <c r="G5" s="253" t="s">
        <v>57</v>
      </c>
    </row>
    <row r="6" spans="1:7" x14ac:dyDescent="0.25">
      <c r="A6" s="117" t="s">
        <v>65</v>
      </c>
      <c r="B6" s="525" t="s">
        <v>66</v>
      </c>
      <c r="C6" s="526"/>
      <c r="D6" s="527"/>
      <c r="E6" s="80" t="s">
        <v>67</v>
      </c>
      <c r="F6" s="80" t="s">
        <v>56</v>
      </c>
      <c r="G6" s="85"/>
    </row>
    <row r="7" spans="1:7" ht="15.75" thickBot="1" x14ac:dyDescent="0.3">
      <c r="A7" s="118" t="s">
        <v>68</v>
      </c>
      <c r="B7" s="523" t="s">
        <v>69</v>
      </c>
      <c r="C7" s="524"/>
      <c r="D7" s="524"/>
      <c r="E7" s="86" t="s">
        <v>67</v>
      </c>
      <c r="F7" s="86"/>
      <c r="G7" s="87"/>
    </row>
    <row r="8" spans="1:7" s="84" customFormat="1" ht="15.75" thickBot="1" x14ac:dyDescent="0.3">
      <c r="A8" s="115" t="s">
        <v>48</v>
      </c>
      <c r="B8" s="312" t="s">
        <v>1</v>
      </c>
      <c r="C8" s="156" t="s">
        <v>70</v>
      </c>
      <c r="D8" s="156" t="s">
        <v>49</v>
      </c>
      <c r="E8" s="156" t="s">
        <v>50</v>
      </c>
      <c r="F8" s="156" t="s">
        <v>51</v>
      </c>
      <c r="G8" s="110" t="s">
        <v>52</v>
      </c>
    </row>
    <row r="9" spans="1:7" ht="105" x14ac:dyDescent="0.25">
      <c r="A9" s="496" t="s">
        <v>53</v>
      </c>
      <c r="B9" s="493" t="s">
        <v>71</v>
      </c>
      <c r="C9" s="259" t="s">
        <v>72</v>
      </c>
      <c r="D9" s="94" t="s">
        <v>73</v>
      </c>
      <c r="E9" s="94" t="s">
        <v>55</v>
      </c>
      <c r="F9" s="94" t="s">
        <v>74</v>
      </c>
      <c r="G9" s="313" t="s">
        <v>75</v>
      </c>
    </row>
    <row r="10" spans="1:7" ht="75" x14ac:dyDescent="0.25">
      <c r="A10" s="497"/>
      <c r="B10" s="494"/>
      <c r="C10" s="255" t="s">
        <v>76</v>
      </c>
      <c r="D10" s="82" t="s">
        <v>77</v>
      </c>
      <c r="E10" s="82" t="s">
        <v>55</v>
      </c>
      <c r="F10" s="82" t="s">
        <v>74</v>
      </c>
      <c r="G10" s="250" t="s">
        <v>78</v>
      </c>
    </row>
    <row r="11" spans="1:7" ht="45" x14ac:dyDescent="0.25">
      <c r="A11" s="497"/>
      <c r="B11" s="494"/>
      <c r="C11" s="255" t="s">
        <v>79</v>
      </c>
      <c r="D11" s="82" t="s">
        <v>80</v>
      </c>
      <c r="E11" s="82" t="s">
        <v>81</v>
      </c>
      <c r="F11" s="82" t="s">
        <v>74</v>
      </c>
      <c r="G11" s="95" t="s">
        <v>82</v>
      </c>
    </row>
    <row r="12" spans="1:7" ht="120" x14ac:dyDescent="0.25">
      <c r="A12" s="497"/>
      <c r="B12" s="494"/>
      <c r="C12" s="255" t="s">
        <v>83</v>
      </c>
      <c r="D12" s="266" t="s">
        <v>84</v>
      </c>
      <c r="E12" s="82" t="s">
        <v>81</v>
      </c>
      <c r="F12" s="82" t="s">
        <v>74</v>
      </c>
      <c r="G12" s="250" t="s">
        <v>85</v>
      </c>
    </row>
    <row r="13" spans="1:7" ht="30" x14ac:dyDescent="0.25">
      <c r="A13" s="497"/>
      <c r="B13" s="494"/>
      <c r="C13" s="255" t="s">
        <v>86</v>
      </c>
      <c r="D13" s="82" t="s">
        <v>87</v>
      </c>
      <c r="E13" s="82" t="s">
        <v>81</v>
      </c>
      <c r="F13" s="82" t="s">
        <v>74</v>
      </c>
      <c r="G13" s="95" t="s">
        <v>88</v>
      </c>
    </row>
    <row r="14" spans="1:7" ht="30" x14ac:dyDescent="0.25">
      <c r="A14" s="497"/>
      <c r="B14" s="494"/>
      <c r="C14" s="255" t="s">
        <v>89</v>
      </c>
      <c r="D14" s="82" t="s">
        <v>90</v>
      </c>
      <c r="E14" s="82" t="s">
        <v>81</v>
      </c>
      <c r="F14" s="82" t="s">
        <v>74</v>
      </c>
      <c r="G14" s="95" t="s">
        <v>88</v>
      </c>
    </row>
    <row r="15" spans="1:7" ht="30" x14ac:dyDescent="0.25">
      <c r="A15" s="497"/>
      <c r="B15" s="494"/>
      <c r="C15" s="121" t="s">
        <v>91</v>
      </c>
      <c r="D15" s="82" t="s">
        <v>92</v>
      </c>
      <c r="E15" s="82" t="s">
        <v>55</v>
      </c>
      <c r="F15" s="82" t="s">
        <v>74</v>
      </c>
      <c r="G15" s="95" t="s">
        <v>93</v>
      </c>
    </row>
    <row r="16" spans="1:7" ht="60" x14ac:dyDescent="0.25">
      <c r="A16" s="497"/>
      <c r="B16" s="494"/>
      <c r="C16" s="255" t="s">
        <v>94</v>
      </c>
      <c r="D16" s="266" t="s">
        <v>95</v>
      </c>
      <c r="E16" s="82" t="s">
        <v>81</v>
      </c>
      <c r="F16" s="82" t="s">
        <v>74</v>
      </c>
      <c r="G16" s="250" t="s">
        <v>96</v>
      </c>
    </row>
    <row r="17" spans="1:7" ht="30" x14ac:dyDescent="0.25">
      <c r="A17" s="497"/>
      <c r="B17" s="494"/>
      <c r="C17" s="255" t="s">
        <v>97</v>
      </c>
      <c r="D17" s="82" t="s">
        <v>98</v>
      </c>
      <c r="E17" s="82" t="s">
        <v>81</v>
      </c>
      <c r="F17" s="82" t="s">
        <v>74</v>
      </c>
      <c r="G17" s="95" t="s">
        <v>99</v>
      </c>
    </row>
    <row r="18" spans="1:7" ht="45" x14ac:dyDescent="0.25">
      <c r="A18" s="497"/>
      <c r="B18" s="494"/>
      <c r="C18" s="255" t="s">
        <v>100</v>
      </c>
      <c r="D18" s="82" t="s">
        <v>101</v>
      </c>
      <c r="E18" s="82" t="s">
        <v>81</v>
      </c>
      <c r="F18" s="82" t="s">
        <v>74</v>
      </c>
      <c r="G18" s="95" t="s">
        <v>102</v>
      </c>
    </row>
    <row r="19" spans="1:7" x14ac:dyDescent="0.25">
      <c r="A19" s="497"/>
      <c r="B19" s="494"/>
      <c r="C19" s="255" t="s">
        <v>103</v>
      </c>
      <c r="D19" s="82" t="s">
        <v>104</v>
      </c>
      <c r="E19" s="82" t="s">
        <v>81</v>
      </c>
      <c r="F19" s="82" t="s">
        <v>74</v>
      </c>
      <c r="G19" s="95" t="s">
        <v>105</v>
      </c>
    </row>
    <row r="20" spans="1:7" ht="105.75" thickBot="1" x14ac:dyDescent="0.3">
      <c r="A20" s="497"/>
      <c r="B20" s="495"/>
      <c r="C20" s="314" t="s">
        <v>1</v>
      </c>
      <c r="D20" s="486" t="s">
        <v>106</v>
      </c>
      <c r="E20" s="315" t="s">
        <v>81</v>
      </c>
      <c r="F20" s="315" t="s">
        <v>74</v>
      </c>
      <c r="G20" s="316" t="s">
        <v>107</v>
      </c>
    </row>
    <row r="21" spans="1:7" ht="45" x14ac:dyDescent="0.25">
      <c r="A21" s="497"/>
      <c r="B21" s="510" t="s">
        <v>108</v>
      </c>
      <c r="C21" s="256" t="s">
        <v>109</v>
      </c>
      <c r="D21" s="105" t="s">
        <v>110</v>
      </c>
      <c r="E21" s="105" t="s">
        <v>81</v>
      </c>
      <c r="F21" s="105" t="s">
        <v>111</v>
      </c>
      <c r="G21" s="157" t="s">
        <v>112</v>
      </c>
    </row>
    <row r="22" spans="1:7" ht="30" x14ac:dyDescent="0.25">
      <c r="A22" s="497"/>
      <c r="B22" s="511"/>
      <c r="C22" s="257" t="s">
        <v>113</v>
      </c>
      <c r="D22" s="320" t="s">
        <v>114</v>
      </c>
      <c r="E22" s="320" t="s">
        <v>81</v>
      </c>
      <c r="F22" s="320" t="s">
        <v>111</v>
      </c>
      <c r="G22" s="321" t="s">
        <v>115</v>
      </c>
    </row>
    <row r="23" spans="1:7" ht="15.75" thickBot="1" x14ac:dyDescent="0.3">
      <c r="A23" s="497"/>
      <c r="B23" s="512"/>
      <c r="C23" s="322" t="s">
        <v>116</v>
      </c>
      <c r="D23" s="107" t="s">
        <v>117</v>
      </c>
      <c r="E23" s="107" t="s">
        <v>81</v>
      </c>
      <c r="F23" s="107" t="s">
        <v>111</v>
      </c>
      <c r="G23" s="108" t="s">
        <v>118</v>
      </c>
    </row>
    <row r="24" spans="1:7" ht="30" customHeight="1" x14ac:dyDescent="0.25">
      <c r="A24" s="497"/>
      <c r="B24" s="513" t="s">
        <v>119</v>
      </c>
      <c r="C24" s="317" t="s">
        <v>120</v>
      </c>
      <c r="D24" s="318" t="s">
        <v>121</v>
      </c>
      <c r="E24" s="318" t="s">
        <v>81</v>
      </c>
      <c r="F24" s="318" t="s">
        <v>74</v>
      </c>
      <c r="G24" s="319" t="s">
        <v>122</v>
      </c>
    </row>
    <row r="25" spans="1:7" ht="30" customHeight="1" x14ac:dyDescent="0.25">
      <c r="A25" s="497"/>
      <c r="B25" s="514"/>
      <c r="C25" s="257" t="s">
        <v>123</v>
      </c>
      <c r="D25" s="109" t="s">
        <v>124</v>
      </c>
      <c r="E25" s="109" t="s">
        <v>81</v>
      </c>
      <c r="F25" s="109" t="s">
        <v>125</v>
      </c>
      <c r="G25" s="531" t="s">
        <v>126</v>
      </c>
    </row>
    <row r="26" spans="1:7" ht="30" x14ac:dyDescent="0.25">
      <c r="A26" s="497"/>
      <c r="B26" s="514"/>
      <c r="C26" s="210" t="s">
        <v>127</v>
      </c>
      <c r="D26" s="109" t="s">
        <v>128</v>
      </c>
      <c r="E26" s="109" t="s">
        <v>81</v>
      </c>
      <c r="F26" s="109" t="s">
        <v>125</v>
      </c>
      <c r="G26" s="532"/>
    </row>
    <row r="27" spans="1:7" x14ac:dyDescent="0.25">
      <c r="A27" s="497"/>
      <c r="B27" s="514"/>
      <c r="C27" s="257" t="s">
        <v>30</v>
      </c>
      <c r="D27" s="109" t="s">
        <v>129</v>
      </c>
      <c r="E27" s="109" t="s">
        <v>81</v>
      </c>
      <c r="F27" s="109" t="s">
        <v>125</v>
      </c>
      <c r="G27" s="532"/>
    </row>
    <row r="28" spans="1:7" x14ac:dyDescent="0.25">
      <c r="A28" s="497"/>
      <c r="B28" s="514"/>
      <c r="C28" s="257" t="s">
        <v>130</v>
      </c>
      <c r="D28" s="109" t="s">
        <v>131</v>
      </c>
      <c r="E28" s="109" t="s">
        <v>81</v>
      </c>
      <c r="F28" s="109" t="s">
        <v>125</v>
      </c>
      <c r="G28" s="532"/>
    </row>
    <row r="29" spans="1:7" x14ac:dyDescent="0.25">
      <c r="A29" s="497"/>
      <c r="B29" s="514"/>
      <c r="C29" s="257" t="s">
        <v>35</v>
      </c>
      <c r="D29" s="109" t="s">
        <v>132</v>
      </c>
      <c r="E29" s="109" t="s">
        <v>81</v>
      </c>
      <c r="F29" s="109" t="s">
        <v>125</v>
      </c>
      <c r="G29" s="532"/>
    </row>
    <row r="30" spans="1:7" x14ac:dyDescent="0.25">
      <c r="A30" s="497"/>
      <c r="B30" s="514"/>
      <c r="C30" s="257" t="s">
        <v>133</v>
      </c>
      <c r="D30" s="109" t="s">
        <v>134</v>
      </c>
      <c r="E30" s="109" t="s">
        <v>81</v>
      </c>
      <c r="F30" s="109" t="s">
        <v>125</v>
      </c>
      <c r="G30" s="532"/>
    </row>
    <row r="31" spans="1:7" x14ac:dyDescent="0.25">
      <c r="A31" s="497"/>
      <c r="B31" s="514"/>
      <c r="C31" s="210" t="s">
        <v>135</v>
      </c>
      <c r="D31" s="109" t="s">
        <v>136</v>
      </c>
      <c r="E31" s="109" t="s">
        <v>81</v>
      </c>
      <c r="F31" s="109" t="s">
        <v>125</v>
      </c>
      <c r="G31" s="532"/>
    </row>
    <row r="32" spans="1:7" ht="30.75" thickBot="1" x14ac:dyDescent="0.3">
      <c r="A32" s="497"/>
      <c r="B32" s="515"/>
      <c r="C32" s="258" t="s">
        <v>137</v>
      </c>
      <c r="D32" s="104" t="s">
        <v>138</v>
      </c>
      <c r="E32" s="104" t="s">
        <v>81</v>
      </c>
      <c r="F32" s="104" t="s">
        <v>125</v>
      </c>
      <c r="G32" s="533"/>
    </row>
    <row r="33" spans="1:7" ht="30" x14ac:dyDescent="0.25">
      <c r="A33" s="497"/>
      <c r="B33" s="516" t="s">
        <v>139</v>
      </c>
      <c r="C33" s="245" t="s">
        <v>127</v>
      </c>
      <c r="D33" s="208" t="s">
        <v>140</v>
      </c>
      <c r="E33" s="208" t="s">
        <v>81</v>
      </c>
      <c r="F33" s="208" t="s">
        <v>141</v>
      </c>
      <c r="G33" s="209" t="s">
        <v>142</v>
      </c>
    </row>
    <row r="34" spans="1:7" x14ac:dyDescent="0.25">
      <c r="A34" s="497"/>
      <c r="B34" s="517"/>
      <c r="C34" s="255" t="s">
        <v>30</v>
      </c>
      <c r="D34" s="83" t="s">
        <v>143</v>
      </c>
      <c r="E34" s="83" t="s">
        <v>81</v>
      </c>
      <c r="F34" s="83" t="s">
        <v>141</v>
      </c>
      <c r="G34" s="99"/>
    </row>
    <row r="35" spans="1:7" x14ac:dyDescent="0.25">
      <c r="A35" s="497"/>
      <c r="B35" s="517"/>
      <c r="C35" s="255" t="s">
        <v>130</v>
      </c>
      <c r="D35" s="83" t="s">
        <v>144</v>
      </c>
      <c r="E35" s="83" t="s">
        <v>81</v>
      </c>
      <c r="F35" s="83" t="s">
        <v>141</v>
      </c>
      <c r="G35" s="99" t="s">
        <v>145</v>
      </c>
    </row>
    <row r="36" spans="1:7" x14ac:dyDescent="0.25">
      <c r="A36" s="497"/>
      <c r="B36" s="517"/>
      <c r="C36" s="255" t="s">
        <v>35</v>
      </c>
      <c r="D36" s="83" t="s">
        <v>146</v>
      </c>
      <c r="E36" s="83" t="s">
        <v>81</v>
      </c>
      <c r="F36" s="83" t="s">
        <v>141</v>
      </c>
      <c r="G36" s="113"/>
    </row>
    <row r="37" spans="1:7" x14ac:dyDescent="0.25">
      <c r="A37" s="497"/>
      <c r="B37" s="517"/>
      <c r="C37" s="255" t="s">
        <v>133</v>
      </c>
      <c r="D37" s="83" t="s">
        <v>147</v>
      </c>
      <c r="E37" s="83" t="s">
        <v>81</v>
      </c>
      <c r="F37" s="83" t="s">
        <v>141</v>
      </c>
      <c r="G37" s="99" t="s">
        <v>148</v>
      </c>
    </row>
    <row r="38" spans="1:7" x14ac:dyDescent="0.25">
      <c r="A38" s="497"/>
      <c r="B38" s="517"/>
      <c r="C38" s="211" t="s">
        <v>135</v>
      </c>
      <c r="D38" s="83" t="s">
        <v>149</v>
      </c>
      <c r="E38" s="83" t="s">
        <v>81</v>
      </c>
      <c r="F38" s="83" t="s">
        <v>141</v>
      </c>
      <c r="G38" s="99"/>
    </row>
    <row r="39" spans="1:7" ht="30" x14ac:dyDescent="0.25">
      <c r="A39" s="497"/>
      <c r="B39" s="517"/>
      <c r="C39" s="257" t="s">
        <v>150</v>
      </c>
      <c r="D39" s="83" t="s">
        <v>151</v>
      </c>
      <c r="E39" s="83" t="s">
        <v>81</v>
      </c>
      <c r="F39" s="83" t="s">
        <v>141</v>
      </c>
      <c r="G39" s="99"/>
    </row>
    <row r="40" spans="1:7" ht="30" x14ac:dyDescent="0.25">
      <c r="A40" s="497"/>
      <c r="B40" s="517"/>
      <c r="C40" s="211" t="s">
        <v>152</v>
      </c>
      <c r="D40" s="83" t="s">
        <v>153</v>
      </c>
      <c r="E40" s="83" t="s">
        <v>55</v>
      </c>
      <c r="F40" s="83" t="s">
        <v>141</v>
      </c>
      <c r="G40" s="99" t="s">
        <v>154</v>
      </c>
    </row>
    <row r="41" spans="1:7" ht="45.75" thickBot="1" x14ac:dyDescent="0.3">
      <c r="A41" s="497"/>
      <c r="B41" s="518"/>
      <c r="C41" s="254" t="s">
        <v>155</v>
      </c>
      <c r="D41" s="100" t="s">
        <v>156</v>
      </c>
      <c r="E41" s="100" t="s">
        <v>81</v>
      </c>
      <c r="F41" s="100" t="s">
        <v>141</v>
      </c>
      <c r="G41" s="101" t="s">
        <v>157</v>
      </c>
    </row>
    <row r="42" spans="1:7" ht="135.75" thickBot="1" x14ac:dyDescent="0.3">
      <c r="A42" s="496" t="s">
        <v>58</v>
      </c>
      <c r="B42" s="323" t="s">
        <v>158</v>
      </c>
      <c r="C42" s="259" t="s">
        <v>83</v>
      </c>
      <c r="D42" s="324" t="s">
        <v>159</v>
      </c>
      <c r="E42" s="324" t="s">
        <v>81</v>
      </c>
      <c r="F42" s="324" t="s">
        <v>74</v>
      </c>
      <c r="G42" s="325" t="s">
        <v>160</v>
      </c>
    </row>
    <row r="43" spans="1:7" ht="15" customHeight="1" x14ac:dyDescent="0.25">
      <c r="A43" s="497"/>
      <c r="B43" s="501" t="s">
        <v>161</v>
      </c>
      <c r="C43" s="242" t="s">
        <v>162</v>
      </c>
      <c r="D43" s="230" t="s">
        <v>163</v>
      </c>
      <c r="E43" s="230" t="s">
        <v>62</v>
      </c>
      <c r="F43" s="230" t="s">
        <v>74</v>
      </c>
      <c r="G43" s="213" t="s">
        <v>164</v>
      </c>
    </row>
    <row r="44" spans="1:7" ht="30" x14ac:dyDescent="0.25">
      <c r="A44" s="497"/>
      <c r="B44" s="502"/>
      <c r="C44" s="243" t="s">
        <v>123</v>
      </c>
      <c r="D44" s="231" t="s">
        <v>165</v>
      </c>
      <c r="E44" s="231" t="s">
        <v>62</v>
      </c>
      <c r="F44" s="231" t="s">
        <v>74</v>
      </c>
      <c r="G44" s="214" t="s">
        <v>164</v>
      </c>
    </row>
    <row r="45" spans="1:7" ht="30" x14ac:dyDescent="0.25">
      <c r="A45" s="497"/>
      <c r="B45" s="502"/>
      <c r="C45" s="243" t="s">
        <v>100</v>
      </c>
      <c r="D45" s="231" t="s">
        <v>166</v>
      </c>
      <c r="E45" s="231" t="s">
        <v>62</v>
      </c>
      <c r="F45" s="231" t="s">
        <v>74</v>
      </c>
      <c r="G45" s="214" t="s">
        <v>167</v>
      </c>
    </row>
    <row r="46" spans="1:7" x14ac:dyDescent="0.25">
      <c r="A46" s="497"/>
      <c r="B46" s="502"/>
      <c r="C46" s="243" t="s">
        <v>168</v>
      </c>
      <c r="D46" s="231" t="s">
        <v>169</v>
      </c>
      <c r="E46" s="231" t="s">
        <v>62</v>
      </c>
      <c r="F46" s="231" t="s">
        <v>74</v>
      </c>
      <c r="G46" s="214" t="s">
        <v>164</v>
      </c>
    </row>
    <row r="47" spans="1:7" ht="15.75" thickBot="1" x14ac:dyDescent="0.3">
      <c r="A47" s="497"/>
      <c r="B47" s="503"/>
      <c r="C47" s="244" t="s">
        <v>170</v>
      </c>
      <c r="D47" s="232" t="s">
        <v>171</v>
      </c>
      <c r="E47" s="231" t="s">
        <v>62</v>
      </c>
      <c r="F47" s="232" t="s">
        <v>74</v>
      </c>
      <c r="G47" s="215" t="s">
        <v>164</v>
      </c>
    </row>
    <row r="48" spans="1:7" ht="30" x14ac:dyDescent="0.25">
      <c r="A48" s="497"/>
      <c r="B48" s="504" t="s">
        <v>172</v>
      </c>
      <c r="C48" s="239" t="s">
        <v>127</v>
      </c>
      <c r="D48" s="233" t="s">
        <v>173</v>
      </c>
      <c r="E48" s="233" t="s">
        <v>62</v>
      </c>
      <c r="F48" s="233" t="s">
        <v>125</v>
      </c>
      <c r="G48" s="534" t="s">
        <v>174</v>
      </c>
    </row>
    <row r="49" spans="1:7" ht="30" x14ac:dyDescent="0.25">
      <c r="A49" s="497"/>
      <c r="B49" s="504"/>
      <c r="C49" s="240" t="s">
        <v>30</v>
      </c>
      <c r="D49" s="216" t="s">
        <v>175</v>
      </c>
      <c r="E49" s="216" t="s">
        <v>62</v>
      </c>
      <c r="F49" s="216" t="s">
        <v>125</v>
      </c>
      <c r="G49" s="535"/>
    </row>
    <row r="50" spans="1:7" ht="30" x14ac:dyDescent="0.25">
      <c r="A50" s="497"/>
      <c r="B50" s="504"/>
      <c r="C50" s="240" t="s">
        <v>130</v>
      </c>
      <c r="D50" s="216" t="s">
        <v>176</v>
      </c>
      <c r="E50" s="216" t="s">
        <v>62</v>
      </c>
      <c r="F50" s="216" t="s">
        <v>125</v>
      </c>
      <c r="G50" s="535"/>
    </row>
    <row r="51" spans="1:7" ht="30" x14ac:dyDescent="0.25">
      <c r="A51" s="497"/>
      <c r="B51" s="504"/>
      <c r="C51" s="240" t="s">
        <v>35</v>
      </c>
      <c r="D51" s="216" t="s">
        <v>177</v>
      </c>
      <c r="E51" s="216" t="s">
        <v>62</v>
      </c>
      <c r="F51" s="216" t="s">
        <v>125</v>
      </c>
      <c r="G51" s="535"/>
    </row>
    <row r="52" spans="1:7" ht="30" x14ac:dyDescent="0.25">
      <c r="A52" s="497"/>
      <c r="B52" s="504"/>
      <c r="C52" s="240" t="s">
        <v>133</v>
      </c>
      <c r="D52" s="216" t="s">
        <v>178</v>
      </c>
      <c r="E52" s="216" t="s">
        <v>62</v>
      </c>
      <c r="F52" s="216" t="s">
        <v>125</v>
      </c>
      <c r="G52" s="535"/>
    </row>
    <row r="53" spans="1:7" ht="30" x14ac:dyDescent="0.25">
      <c r="A53" s="497"/>
      <c r="B53" s="504"/>
      <c r="C53" s="240" t="s">
        <v>179</v>
      </c>
      <c r="D53" s="216" t="s">
        <v>180</v>
      </c>
      <c r="E53" s="216" t="s">
        <v>62</v>
      </c>
      <c r="F53" s="216" t="s">
        <v>125</v>
      </c>
      <c r="G53" s="535"/>
    </row>
    <row r="54" spans="1:7" x14ac:dyDescent="0.25">
      <c r="A54" s="497"/>
      <c r="B54" s="504"/>
      <c r="C54" s="240" t="s">
        <v>135</v>
      </c>
      <c r="D54" s="216" t="s">
        <v>181</v>
      </c>
      <c r="E54" s="216" t="s">
        <v>62</v>
      </c>
      <c r="F54" s="216" t="s">
        <v>125</v>
      </c>
      <c r="G54" s="535"/>
    </row>
    <row r="55" spans="1:7" ht="30.75" thickBot="1" x14ac:dyDescent="0.3">
      <c r="A55" s="497"/>
      <c r="B55" s="505"/>
      <c r="C55" s="241" t="s">
        <v>182</v>
      </c>
      <c r="D55" s="234" t="s">
        <v>183</v>
      </c>
      <c r="E55" s="234" t="s">
        <v>62</v>
      </c>
      <c r="F55" s="234" t="s">
        <v>125</v>
      </c>
      <c r="G55" s="536"/>
    </row>
    <row r="56" spans="1:7" ht="30" x14ac:dyDescent="0.25">
      <c r="A56" s="497"/>
      <c r="B56" s="506" t="s">
        <v>139</v>
      </c>
      <c r="C56" s="309" t="s">
        <v>127</v>
      </c>
      <c r="D56" s="310" t="s">
        <v>184</v>
      </c>
      <c r="E56" s="310" t="s">
        <v>62</v>
      </c>
      <c r="F56" s="310" t="s">
        <v>141</v>
      </c>
      <c r="G56" s="311" t="s">
        <v>164</v>
      </c>
    </row>
    <row r="57" spans="1:7" ht="30" x14ac:dyDescent="0.25">
      <c r="A57" s="497"/>
      <c r="B57" s="507"/>
      <c r="C57" s="237" t="s">
        <v>30</v>
      </c>
      <c r="D57" s="235" t="s">
        <v>185</v>
      </c>
      <c r="E57" s="235" t="s">
        <v>62</v>
      </c>
      <c r="F57" s="235" t="s">
        <v>141</v>
      </c>
      <c r="G57" s="212" t="s">
        <v>164</v>
      </c>
    </row>
    <row r="58" spans="1:7" ht="30" x14ac:dyDescent="0.25">
      <c r="A58" s="497"/>
      <c r="B58" s="507"/>
      <c r="C58" s="237" t="s">
        <v>130</v>
      </c>
      <c r="D58" s="235" t="s">
        <v>186</v>
      </c>
      <c r="E58" s="235" t="s">
        <v>62</v>
      </c>
      <c r="F58" s="235" t="s">
        <v>141</v>
      </c>
      <c r="G58" s="212" t="s">
        <v>164</v>
      </c>
    </row>
    <row r="59" spans="1:7" x14ac:dyDescent="0.25">
      <c r="A59" s="497"/>
      <c r="B59" s="507"/>
      <c r="C59" s="237" t="s">
        <v>35</v>
      </c>
      <c r="D59" s="235" t="s">
        <v>187</v>
      </c>
      <c r="E59" s="235" t="s">
        <v>62</v>
      </c>
      <c r="F59" s="235" t="s">
        <v>141</v>
      </c>
      <c r="G59" s="212" t="s">
        <v>164</v>
      </c>
    </row>
    <row r="60" spans="1:7" ht="30" x14ac:dyDescent="0.25">
      <c r="A60" s="497"/>
      <c r="B60" s="507"/>
      <c r="C60" s="237" t="s">
        <v>133</v>
      </c>
      <c r="D60" s="235" t="s">
        <v>188</v>
      </c>
      <c r="E60" s="235" t="s">
        <v>62</v>
      </c>
      <c r="F60" s="235" t="s">
        <v>141</v>
      </c>
      <c r="G60" s="212" t="s">
        <v>164</v>
      </c>
    </row>
    <row r="61" spans="1:7" x14ac:dyDescent="0.25">
      <c r="A61" s="497"/>
      <c r="B61" s="507"/>
      <c r="C61" s="237" t="s">
        <v>179</v>
      </c>
      <c r="D61" s="235" t="s">
        <v>189</v>
      </c>
      <c r="E61" s="235" t="s">
        <v>62</v>
      </c>
      <c r="F61" s="235" t="s">
        <v>141</v>
      </c>
      <c r="G61" s="212" t="s">
        <v>164</v>
      </c>
    </row>
    <row r="62" spans="1:7" x14ac:dyDescent="0.25">
      <c r="A62" s="497"/>
      <c r="B62" s="507"/>
      <c r="C62" s="237" t="s">
        <v>135</v>
      </c>
      <c r="D62" s="235" t="s">
        <v>190</v>
      </c>
      <c r="E62" s="235" t="s">
        <v>62</v>
      </c>
      <c r="F62" s="235" t="s">
        <v>141</v>
      </c>
      <c r="G62" s="212" t="s">
        <v>164</v>
      </c>
    </row>
    <row r="63" spans="1:7" ht="15.75" thickBot="1" x14ac:dyDescent="0.3">
      <c r="A63" s="509"/>
      <c r="B63" s="508"/>
      <c r="C63" s="238" t="s">
        <v>182</v>
      </c>
      <c r="D63" s="236" t="s">
        <v>191</v>
      </c>
      <c r="E63" s="236" t="s">
        <v>62</v>
      </c>
      <c r="F63" s="236" t="s">
        <v>141</v>
      </c>
      <c r="G63" s="217" t="s">
        <v>164</v>
      </c>
    </row>
    <row r="64" spans="1:7" ht="120" x14ac:dyDescent="0.25">
      <c r="A64" s="497" t="s">
        <v>60</v>
      </c>
      <c r="B64" s="498" t="s">
        <v>192</v>
      </c>
      <c r="C64" s="256" t="s">
        <v>72</v>
      </c>
      <c r="D64" s="219" t="s">
        <v>193</v>
      </c>
      <c r="E64" s="219" t="s">
        <v>55</v>
      </c>
      <c r="F64" s="219" t="s">
        <v>74</v>
      </c>
      <c r="G64" s="326" t="s">
        <v>194</v>
      </c>
    </row>
    <row r="65" spans="1:7" ht="60" x14ac:dyDescent="0.25">
      <c r="A65" s="497"/>
      <c r="B65" s="499"/>
      <c r="C65" s="257" t="s">
        <v>76</v>
      </c>
      <c r="D65" s="220" t="s">
        <v>77</v>
      </c>
      <c r="E65" s="220" t="s">
        <v>55</v>
      </c>
      <c r="F65" s="220" t="s">
        <v>74</v>
      </c>
      <c r="G65" s="328" t="s">
        <v>195</v>
      </c>
    </row>
    <row r="66" spans="1:7" ht="30" x14ac:dyDescent="0.25">
      <c r="A66" s="497"/>
      <c r="B66" s="499"/>
      <c r="C66" s="257" t="s">
        <v>91</v>
      </c>
      <c r="D66" s="220" t="s">
        <v>92</v>
      </c>
      <c r="E66" s="220" t="s">
        <v>55</v>
      </c>
      <c r="F66" s="220" t="s">
        <v>74</v>
      </c>
      <c r="G66" s="221" t="s">
        <v>196</v>
      </c>
    </row>
    <row r="67" spans="1:7" ht="30" x14ac:dyDescent="0.25">
      <c r="A67" s="497"/>
      <c r="B67" s="499"/>
      <c r="C67" s="257" t="s">
        <v>197</v>
      </c>
      <c r="D67" s="220" t="s">
        <v>198</v>
      </c>
      <c r="E67" s="220" t="s">
        <v>55</v>
      </c>
      <c r="F67" s="220" t="s">
        <v>74</v>
      </c>
      <c r="G67" s="221" t="s">
        <v>199</v>
      </c>
    </row>
    <row r="68" spans="1:7" x14ac:dyDescent="0.25">
      <c r="A68" s="497"/>
      <c r="B68" s="499"/>
      <c r="C68" s="257" t="s">
        <v>1</v>
      </c>
      <c r="D68" s="220" t="s">
        <v>200</v>
      </c>
      <c r="E68" s="220" t="s">
        <v>55</v>
      </c>
      <c r="F68" s="220" t="s">
        <v>74</v>
      </c>
      <c r="G68" s="221" t="s">
        <v>201</v>
      </c>
    </row>
    <row r="69" spans="1:7" ht="15.75" thickBot="1" x14ac:dyDescent="0.3">
      <c r="A69" s="497"/>
      <c r="B69" s="500"/>
      <c r="C69" s="258" t="s">
        <v>202</v>
      </c>
      <c r="D69" s="222" t="s">
        <v>203</v>
      </c>
      <c r="E69" s="222" t="s">
        <v>55</v>
      </c>
      <c r="F69" s="222" t="s">
        <v>74</v>
      </c>
      <c r="G69" s="223"/>
    </row>
    <row r="70" spans="1:7" ht="150" x14ac:dyDescent="0.25">
      <c r="A70" s="496" t="s">
        <v>63</v>
      </c>
      <c r="B70" s="493" t="s">
        <v>71</v>
      </c>
      <c r="C70" s="262" t="s">
        <v>72</v>
      </c>
      <c r="D70" s="218" t="s">
        <v>204</v>
      </c>
      <c r="E70" s="218" t="s">
        <v>55</v>
      </c>
      <c r="F70" s="218" t="s">
        <v>74</v>
      </c>
      <c r="G70" s="327" t="s">
        <v>205</v>
      </c>
    </row>
    <row r="71" spans="1:7" x14ac:dyDescent="0.25">
      <c r="A71" s="497"/>
      <c r="B71" s="494"/>
      <c r="C71" s="121" t="s">
        <v>76</v>
      </c>
      <c r="D71" s="82" t="s">
        <v>77</v>
      </c>
      <c r="E71" s="82" t="s">
        <v>55</v>
      </c>
      <c r="F71" s="82" t="s">
        <v>74</v>
      </c>
      <c r="G71" s="95" t="s">
        <v>164</v>
      </c>
    </row>
    <row r="72" spans="1:7" ht="30" x14ac:dyDescent="0.25">
      <c r="A72" s="497"/>
      <c r="B72" s="494"/>
      <c r="C72" s="121" t="s">
        <v>91</v>
      </c>
      <c r="D72" s="82" t="s">
        <v>92</v>
      </c>
      <c r="E72" s="82" t="s">
        <v>55</v>
      </c>
      <c r="F72" s="82" t="s">
        <v>74</v>
      </c>
      <c r="G72" s="95" t="s">
        <v>206</v>
      </c>
    </row>
    <row r="73" spans="1:7" x14ac:dyDescent="0.25">
      <c r="A73" s="497"/>
      <c r="B73" s="494"/>
      <c r="C73" s="121" t="s">
        <v>207</v>
      </c>
      <c r="D73" s="82" t="s">
        <v>208</v>
      </c>
      <c r="E73" s="82" t="s">
        <v>81</v>
      </c>
      <c r="F73" s="82" t="s">
        <v>74</v>
      </c>
      <c r="G73" s="95" t="s">
        <v>164</v>
      </c>
    </row>
    <row r="74" spans="1:7" ht="60" customHeight="1" x14ac:dyDescent="0.25">
      <c r="A74" s="497"/>
      <c r="B74" s="494"/>
      <c r="C74" s="121" t="s">
        <v>83</v>
      </c>
      <c r="D74" s="82" t="s">
        <v>209</v>
      </c>
      <c r="E74" s="82" t="s">
        <v>81</v>
      </c>
      <c r="F74" s="82" t="s">
        <v>74</v>
      </c>
      <c r="G74" s="95" t="s">
        <v>164</v>
      </c>
    </row>
    <row r="75" spans="1:7" x14ac:dyDescent="0.25">
      <c r="A75" s="497"/>
      <c r="B75" s="494"/>
      <c r="C75" s="121" t="s">
        <v>1</v>
      </c>
      <c r="D75" s="82" t="s">
        <v>200</v>
      </c>
      <c r="E75" s="82" t="s">
        <v>81</v>
      </c>
      <c r="F75" s="82" t="s">
        <v>74</v>
      </c>
      <c r="G75" s="95" t="s">
        <v>164</v>
      </c>
    </row>
    <row r="76" spans="1:7" ht="90" x14ac:dyDescent="0.25">
      <c r="A76" s="497"/>
      <c r="B76" s="494"/>
      <c r="C76" s="121" t="s">
        <v>210</v>
      </c>
      <c r="D76" s="82" t="s">
        <v>211</v>
      </c>
      <c r="E76" s="82" t="s">
        <v>55</v>
      </c>
      <c r="F76" s="82" t="s">
        <v>74</v>
      </c>
      <c r="G76" s="250" t="s">
        <v>212</v>
      </c>
    </row>
    <row r="77" spans="1:7" ht="90" x14ac:dyDescent="0.25">
      <c r="A77" s="497"/>
      <c r="B77" s="494"/>
      <c r="C77" s="121" t="s">
        <v>213</v>
      </c>
      <c r="D77" s="82" t="s">
        <v>214</v>
      </c>
      <c r="E77" s="82" t="s">
        <v>55</v>
      </c>
      <c r="F77" s="82" t="s">
        <v>74</v>
      </c>
      <c r="G77" s="250" t="s">
        <v>215</v>
      </c>
    </row>
    <row r="78" spans="1:7" ht="30" x14ac:dyDescent="0.25">
      <c r="A78" s="497"/>
      <c r="B78" s="494"/>
      <c r="C78" s="121" t="s">
        <v>100</v>
      </c>
      <c r="D78" s="82" t="s">
        <v>166</v>
      </c>
      <c r="E78" s="82" t="s">
        <v>81</v>
      </c>
      <c r="F78" s="82" t="s">
        <v>74</v>
      </c>
      <c r="G78" s="95" t="s">
        <v>167</v>
      </c>
    </row>
    <row r="79" spans="1:7" ht="30.75" thickBot="1" x14ac:dyDescent="0.3">
      <c r="A79" s="497"/>
      <c r="B79" s="495"/>
      <c r="C79" s="122" t="s">
        <v>216</v>
      </c>
      <c r="D79" s="96" t="s">
        <v>217</v>
      </c>
      <c r="E79" s="96" t="s">
        <v>55</v>
      </c>
      <c r="F79" s="96" t="s">
        <v>74</v>
      </c>
      <c r="G79" s="97" t="s">
        <v>218</v>
      </c>
    </row>
    <row r="80" spans="1:7" ht="30" x14ac:dyDescent="0.25">
      <c r="A80" s="497"/>
      <c r="B80" s="537" t="s">
        <v>108</v>
      </c>
      <c r="C80" s="123" t="s">
        <v>109</v>
      </c>
      <c r="D80" s="105" t="s">
        <v>219</v>
      </c>
      <c r="E80" s="105" t="s">
        <v>55</v>
      </c>
      <c r="F80" s="105" t="s">
        <v>220</v>
      </c>
      <c r="G80" s="106" t="s">
        <v>218</v>
      </c>
    </row>
    <row r="81" spans="1:7" ht="30.75" thickBot="1" x14ac:dyDescent="0.3">
      <c r="A81" s="497"/>
      <c r="B81" s="538"/>
      <c r="C81" s="124" t="s">
        <v>116</v>
      </c>
      <c r="D81" s="107" t="s">
        <v>221</v>
      </c>
      <c r="E81" s="107" t="s">
        <v>55</v>
      </c>
      <c r="F81" s="107" t="s">
        <v>220</v>
      </c>
      <c r="G81" s="108" t="s">
        <v>218</v>
      </c>
    </row>
    <row r="82" spans="1:7" ht="30" x14ac:dyDescent="0.25">
      <c r="A82" s="497"/>
      <c r="B82" s="539" t="s">
        <v>119</v>
      </c>
      <c r="C82" s="125" t="s">
        <v>222</v>
      </c>
      <c r="D82" s="102" t="s">
        <v>223</v>
      </c>
      <c r="E82" s="102" t="s">
        <v>55</v>
      </c>
      <c r="F82" s="102" t="s">
        <v>74</v>
      </c>
      <c r="G82" s="103" t="s">
        <v>218</v>
      </c>
    </row>
    <row r="83" spans="1:7" ht="30" x14ac:dyDescent="0.25">
      <c r="A83" s="497"/>
      <c r="B83" s="540"/>
      <c r="C83" s="127" t="s">
        <v>224</v>
      </c>
      <c r="D83" s="109" t="s">
        <v>225</v>
      </c>
      <c r="E83" s="109" t="s">
        <v>55</v>
      </c>
      <c r="F83" s="109" t="s">
        <v>220</v>
      </c>
      <c r="G83" s="114" t="s">
        <v>218</v>
      </c>
    </row>
    <row r="84" spans="1:7" ht="30.75" thickBot="1" x14ac:dyDescent="0.3">
      <c r="A84" s="497"/>
      <c r="B84" s="541"/>
      <c r="C84" s="128" t="s">
        <v>182</v>
      </c>
      <c r="D84" s="119" t="s">
        <v>226</v>
      </c>
      <c r="E84" s="119" t="s">
        <v>55</v>
      </c>
      <c r="F84" s="119" t="s">
        <v>220</v>
      </c>
      <c r="G84" s="120" t="s">
        <v>218</v>
      </c>
    </row>
    <row r="85" spans="1:7" ht="30" x14ac:dyDescent="0.25">
      <c r="A85" s="497"/>
      <c r="B85" s="542" t="s">
        <v>139</v>
      </c>
      <c r="C85" s="126" t="s">
        <v>227</v>
      </c>
      <c r="D85" s="111" t="s">
        <v>228</v>
      </c>
      <c r="E85" s="111" t="s">
        <v>55</v>
      </c>
      <c r="F85" s="111" t="s">
        <v>220</v>
      </c>
      <c r="G85" s="112" t="s">
        <v>218</v>
      </c>
    </row>
    <row r="86" spans="1:7" ht="30" x14ac:dyDescent="0.25">
      <c r="A86" s="497"/>
      <c r="B86" s="543"/>
      <c r="C86" s="98" t="s">
        <v>224</v>
      </c>
      <c r="D86" s="83" t="s">
        <v>229</v>
      </c>
      <c r="E86" s="83" t="s">
        <v>55</v>
      </c>
      <c r="F86" s="83" t="s">
        <v>220</v>
      </c>
      <c r="G86" s="99" t="s">
        <v>218</v>
      </c>
    </row>
    <row r="87" spans="1:7" ht="30" x14ac:dyDescent="0.25">
      <c r="A87" s="497"/>
      <c r="B87" s="543"/>
      <c r="C87" s="98" t="s">
        <v>179</v>
      </c>
      <c r="D87" s="83" t="s">
        <v>230</v>
      </c>
      <c r="E87" s="83" t="s">
        <v>55</v>
      </c>
      <c r="F87" s="83" t="s">
        <v>220</v>
      </c>
      <c r="G87" s="99" t="s">
        <v>218</v>
      </c>
    </row>
    <row r="88" spans="1:7" ht="30" x14ac:dyDescent="0.25">
      <c r="A88" s="497"/>
      <c r="B88" s="543"/>
      <c r="C88" s="98" t="s">
        <v>135</v>
      </c>
      <c r="D88" s="83" t="s">
        <v>231</v>
      </c>
      <c r="E88" s="83" t="s">
        <v>55</v>
      </c>
      <c r="F88" s="83" t="s">
        <v>220</v>
      </c>
      <c r="G88" s="99" t="s">
        <v>218</v>
      </c>
    </row>
    <row r="89" spans="1:7" ht="45" customHeight="1" x14ac:dyDescent="0.25">
      <c r="A89" s="497"/>
      <c r="B89" s="543"/>
      <c r="C89" s="98" t="s">
        <v>182</v>
      </c>
      <c r="D89" s="83" t="s">
        <v>232</v>
      </c>
      <c r="E89" s="83" t="s">
        <v>55</v>
      </c>
      <c r="F89" s="83" t="s">
        <v>220</v>
      </c>
      <c r="G89" s="99" t="s">
        <v>218</v>
      </c>
    </row>
    <row r="90" spans="1:7" ht="30.75" thickBot="1" x14ac:dyDescent="0.3">
      <c r="A90" s="509"/>
      <c r="B90" s="544"/>
      <c r="C90" s="254" t="s">
        <v>152</v>
      </c>
      <c r="D90" s="100" t="s">
        <v>153</v>
      </c>
      <c r="E90" s="100" t="s">
        <v>55</v>
      </c>
      <c r="F90" s="100" t="s">
        <v>233</v>
      </c>
      <c r="G90" s="101" t="s">
        <v>234</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9"/>
  <sheetViews>
    <sheetView workbookViewId="0">
      <pane xSplit="1" ySplit="1" topLeftCell="B9" activePane="bottomRight" state="frozen"/>
      <selection pane="topRight" activeCell="B1" sqref="B1"/>
      <selection pane="bottomLeft" activeCell="A2" sqref="A2"/>
      <selection pane="bottomRight" activeCell="E13" sqref="E13"/>
    </sheetView>
  </sheetViews>
  <sheetFormatPr defaultColWidth="9.140625" defaultRowHeight="15" x14ac:dyDescent="0.25"/>
  <cols>
    <col min="1" max="1" width="9.7109375" style="158" bestFit="1" customWidth="1"/>
    <col min="2" max="2" width="123" style="81" bestFit="1" customWidth="1"/>
    <col min="3" max="3" width="7.140625" style="81" bestFit="1" customWidth="1"/>
    <col min="4" max="16384" width="9.140625" style="81"/>
  </cols>
  <sheetData>
    <row r="1" spans="1:3" ht="15.75" thickBot="1" x14ac:dyDescent="0.3">
      <c r="A1" s="294" t="s">
        <v>0</v>
      </c>
      <c r="B1" s="299" t="s">
        <v>235</v>
      </c>
      <c r="C1" s="295" t="s">
        <v>236</v>
      </c>
    </row>
    <row r="2" spans="1:3" x14ac:dyDescent="0.25">
      <c r="A2" s="296">
        <v>43807</v>
      </c>
      <c r="B2" s="300" t="s">
        <v>237</v>
      </c>
      <c r="C2" s="304" t="s">
        <v>11</v>
      </c>
    </row>
    <row r="3" spans="1:3" ht="30" x14ac:dyDescent="0.25">
      <c r="A3" s="297">
        <v>43937</v>
      </c>
      <c r="B3" s="301" t="s">
        <v>238</v>
      </c>
      <c r="C3" s="261" t="s">
        <v>11</v>
      </c>
    </row>
    <row r="4" spans="1:3" x14ac:dyDescent="0.25">
      <c r="A4" s="297">
        <v>43941</v>
      </c>
      <c r="B4" s="302" t="s">
        <v>239</v>
      </c>
      <c r="C4" s="261" t="s">
        <v>11</v>
      </c>
    </row>
    <row r="5" spans="1:3" x14ac:dyDescent="0.25">
      <c r="A5" s="297">
        <v>43942</v>
      </c>
      <c r="B5" s="302" t="s">
        <v>240</v>
      </c>
      <c r="C5" s="261" t="s">
        <v>11</v>
      </c>
    </row>
    <row r="6" spans="1:3" x14ac:dyDescent="0.25">
      <c r="A6" s="297">
        <v>43963</v>
      </c>
      <c r="B6" s="302" t="s">
        <v>241</v>
      </c>
      <c r="C6" s="261" t="s">
        <v>11</v>
      </c>
    </row>
    <row r="7" spans="1:3" x14ac:dyDescent="0.25">
      <c r="A7" s="297">
        <v>43990</v>
      </c>
      <c r="B7" s="302" t="s">
        <v>242</v>
      </c>
      <c r="C7" s="261" t="s">
        <v>11</v>
      </c>
    </row>
    <row r="8" spans="1:3" ht="30" x14ac:dyDescent="0.25">
      <c r="A8" s="297">
        <v>44104</v>
      </c>
      <c r="B8" s="301" t="s">
        <v>243</v>
      </c>
      <c r="C8" s="261" t="s">
        <v>244</v>
      </c>
    </row>
    <row r="9" spans="1:3" ht="150.75" thickBot="1" x14ac:dyDescent="0.3">
      <c r="A9" s="298">
        <v>44128</v>
      </c>
      <c r="B9" s="303" t="s">
        <v>245</v>
      </c>
      <c r="C9" s="305" t="s">
        <v>244</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29"/>
  <sheetViews>
    <sheetView zoomScaleNormal="100" workbookViewId="0">
      <pane xSplit="1" ySplit="3" topLeftCell="B4" activePane="bottomRight" state="frozen"/>
      <selection pane="topRight" activeCell="B1" sqref="B1"/>
      <selection pane="bottomLeft" activeCell="A4" sqref="A4"/>
      <selection pane="bottomRight" activeCell="C23" sqref="C23"/>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545" t="s">
        <v>246</v>
      </c>
      <c r="B1" s="546"/>
      <c r="C1" s="546"/>
      <c r="D1" s="546"/>
      <c r="E1" s="546"/>
      <c r="F1" s="546"/>
      <c r="G1" s="546"/>
      <c r="H1" s="546"/>
      <c r="I1" s="546"/>
      <c r="J1" s="546"/>
      <c r="K1" s="546"/>
      <c r="L1" s="546"/>
      <c r="M1" s="546"/>
      <c r="N1" s="546"/>
      <c r="O1" s="546"/>
      <c r="P1" s="546"/>
      <c r="Q1" s="546"/>
      <c r="R1" s="546"/>
      <c r="S1" s="546"/>
      <c r="T1" s="546"/>
      <c r="U1" s="546"/>
      <c r="V1" s="547"/>
    </row>
    <row r="2" spans="1:22" ht="15.75" thickBot="1" x14ac:dyDescent="0.3">
      <c r="A2" s="193" t="s">
        <v>247</v>
      </c>
      <c r="B2" s="548" t="s">
        <v>161</v>
      </c>
      <c r="C2" s="548"/>
      <c r="D2" s="548"/>
      <c r="E2" s="548"/>
      <c r="F2" s="548"/>
      <c r="G2" s="549" t="s">
        <v>172</v>
      </c>
      <c r="H2" s="550"/>
      <c r="I2" s="550"/>
      <c r="J2" s="550"/>
      <c r="K2" s="550"/>
      <c r="L2" s="550"/>
      <c r="M2" s="550"/>
      <c r="N2" s="551"/>
      <c r="O2" s="552" t="s">
        <v>139</v>
      </c>
      <c r="P2" s="553"/>
      <c r="Q2" s="553"/>
      <c r="R2" s="553"/>
      <c r="S2" s="553"/>
      <c r="T2" s="553"/>
      <c r="U2" s="553"/>
      <c r="V2" s="554"/>
    </row>
    <row r="3" spans="1:22" s="196" customFormat="1" ht="15.75" thickBot="1" x14ac:dyDescent="0.3">
      <c r="A3" s="417" t="s">
        <v>83</v>
      </c>
      <c r="B3" s="246" t="s">
        <v>162</v>
      </c>
      <c r="C3" s="247" t="s">
        <v>123</v>
      </c>
      <c r="D3" s="248" t="s">
        <v>100</v>
      </c>
      <c r="E3" s="248" t="s">
        <v>168</v>
      </c>
      <c r="F3" s="249" t="s">
        <v>170</v>
      </c>
      <c r="G3" s="418" t="s">
        <v>127</v>
      </c>
      <c r="H3" s="419" t="s">
        <v>30</v>
      </c>
      <c r="I3" s="419" t="s">
        <v>130</v>
      </c>
      <c r="J3" s="419" t="s">
        <v>35</v>
      </c>
      <c r="K3" s="419" t="s">
        <v>133</v>
      </c>
      <c r="L3" s="419" t="s">
        <v>179</v>
      </c>
      <c r="M3" s="419" t="s">
        <v>135</v>
      </c>
      <c r="N3" s="420" t="s">
        <v>182</v>
      </c>
      <c r="O3" s="421" t="s">
        <v>127</v>
      </c>
      <c r="P3" s="422" t="s">
        <v>30</v>
      </c>
      <c r="Q3" s="422" t="s">
        <v>130</v>
      </c>
      <c r="R3" s="422" t="s">
        <v>35</v>
      </c>
      <c r="S3" s="422" t="s">
        <v>133</v>
      </c>
      <c r="T3" s="422" t="s">
        <v>179</v>
      </c>
      <c r="U3" s="422" t="s">
        <v>135</v>
      </c>
      <c r="V3" s="423" t="s">
        <v>182</v>
      </c>
    </row>
    <row r="4" spans="1:22" x14ac:dyDescent="0.25">
      <c r="A4" s="455" t="s">
        <v>248</v>
      </c>
      <c r="B4" s="453">
        <f>SUMIFS('Diags Raw Data'!$K$6:$K$4697,'Diags Raw Data'!$D$6:$D$4697,$A4)</f>
        <v>0</v>
      </c>
      <c r="C4" s="442">
        <f>SUMIFS('Diags Raw Data'!$Q$6:$Q$4697,'Diags Raw Data'!$D$6:$D$4697,$A4)</f>
        <v>0</v>
      </c>
      <c r="D4" s="442">
        <f>SUMIFS('Diags Raw Data'!$J$6:$J$4697,'Diags Raw Data'!$D$6:$D$4697,$A4)</f>
        <v>0</v>
      </c>
      <c r="E4" s="442">
        <f>SUMIFS('Diags Raw Data'!$N$6:$N$4697,'Diags Raw Data'!$D$6:$D$4697,$A4)</f>
        <v>0</v>
      </c>
      <c r="F4" s="474" t="str">
        <f>IF(NOT($B4=0), E4/$B4, "---")</f>
        <v>---</v>
      </c>
      <c r="G4" s="480">
        <f>SUMIFS('Diags Raw Data'!$R$6:$R$4697,'Diags Raw Data'!$D$6:$D$4697,$A4)</f>
        <v>0</v>
      </c>
      <c r="H4" s="443">
        <f>SUMIFS('Diags Raw Data'!$S$6:$S$4697,'Diags Raw Data'!$D$6:$D$4697,$A4)</f>
        <v>0</v>
      </c>
      <c r="I4" s="444">
        <f>SUMIFS('Diags Raw Data'!$T$6:$T$4697,'Diags Raw Data'!$D$6:$D$4697,$A4)</f>
        <v>0</v>
      </c>
      <c r="J4" s="443">
        <f>SUMIFS('Diags Raw Data'!$U$6:$U$4697,'Diags Raw Data'!$D$6:$D$4697,$A4)</f>
        <v>0</v>
      </c>
      <c r="K4" s="444">
        <f>SUMIFS('Diags Raw Data'!$V$6:$V$4697,'Diags Raw Data'!$D$6:$D$4697,$A4)</f>
        <v>0</v>
      </c>
      <c r="L4" s="445" t="str">
        <f t="shared" ref="L4" si="0">IF(NOT($C4=0), G4/$C4, "---")</f>
        <v>---</v>
      </c>
      <c r="M4" s="446" t="str">
        <f t="shared" ref="M4" si="1">IF(NOT($G4=0), (H4+I4)/$G4, "---")</f>
        <v>---</v>
      </c>
      <c r="N4" s="481" t="str">
        <f>IF(NOT($C4=0), (H4+I4)/$C4, "---")</f>
        <v>---</v>
      </c>
      <c r="O4" s="477">
        <f>SUMIFS('Diags Raw Data'!$Y$6:$Y$4697,'Diags Raw Data'!$D$6:$D$4697,$A4)</f>
        <v>0</v>
      </c>
      <c r="P4" s="447">
        <f>SUMIFS('Diags Raw Data'!$Z$6:$Z$4697,'Diags Raw Data'!$D$6:$D$4697,$A4)</f>
        <v>0</v>
      </c>
      <c r="Q4" s="448">
        <f>SUMIFS('Diags Raw Data'!$AA$6:$AA$4697,'Diags Raw Data'!$D$6:$D$4697,$A4)</f>
        <v>0</v>
      </c>
      <c r="R4" s="447">
        <f>SUMIFS('Diags Raw Data'!$AB$6:$AB$4697,'Diags Raw Data'!$D$6:$D$4697,$A4)</f>
        <v>0</v>
      </c>
      <c r="S4" s="448">
        <f>SUMIFS('Diags Raw Data'!$AC$6:$AC$4697,'Diags Raw Data'!$D$6:$D$4697,$A4)</f>
        <v>0</v>
      </c>
      <c r="T4" s="449" t="str">
        <f t="shared" ref="T4" si="2">IF(NOT($B4=0), O4/$B4, "---")</f>
        <v>---</v>
      </c>
      <c r="U4" s="450" t="str">
        <f t="shared" ref="U4" si="3">IF(NOT($O4=0), (P4+Q4)/$O4, "---")</f>
        <v>---</v>
      </c>
      <c r="V4" s="451" t="str">
        <f t="shared" ref="V4" si="4">IF(NOT($B4=0), (P4+Q4)/$B4, "---")</f>
        <v>---</v>
      </c>
    </row>
    <row r="5" spans="1:22" x14ac:dyDescent="0.25">
      <c r="A5" s="456"/>
      <c r="B5" s="454">
        <f>SUMIFS('Diags Raw Data'!$K$6:$K$4697,'Diags Raw Data'!$D$6:$D$4697,$A5)</f>
        <v>0</v>
      </c>
      <c r="C5" s="433">
        <f>SUMIFS('Diags Raw Data'!$Q$6:$Q$4697,'Diags Raw Data'!$D$6:$D$4697,$A5)</f>
        <v>0</v>
      </c>
      <c r="D5" s="433">
        <f>SUMIFS('Diags Raw Data'!$J$6:$J$4697,'Diags Raw Data'!$D$6:$D$4697,$A5)</f>
        <v>0</v>
      </c>
      <c r="E5" s="433">
        <f>SUMIFS('Diags Raw Data'!$N$6:$N$4697,'Diags Raw Data'!$D$6:$D$4697,$A5)</f>
        <v>0</v>
      </c>
      <c r="F5" s="475" t="str">
        <f>IF(NOT($B5=0), E5/$B5, "---")</f>
        <v>---</v>
      </c>
      <c r="G5" s="482">
        <f>SUMIFS('Diags Raw Data'!$R$6:$R$4697,'Diags Raw Data'!$D$6:$D$4697,$A5)</f>
        <v>0</v>
      </c>
      <c r="H5" s="434">
        <f>SUMIFS('Diags Raw Data'!$S$6:$S$4697,'Diags Raw Data'!$D$6:$D$4697,$A5)</f>
        <v>0</v>
      </c>
      <c r="I5" s="435">
        <f>SUMIFS('Diags Raw Data'!$T$6:$T$4697,'Diags Raw Data'!$D$6:$D$4697,$A5)</f>
        <v>0</v>
      </c>
      <c r="J5" s="434">
        <f>SUMIFS('Diags Raw Data'!$U$6:$U$4697,'Diags Raw Data'!$D$6:$D$4697,$A5)</f>
        <v>0</v>
      </c>
      <c r="K5" s="435">
        <f>SUMIFS('Diags Raw Data'!$V$6:$V$4697,'Diags Raw Data'!$D$6:$D$4697,$A5)</f>
        <v>0</v>
      </c>
      <c r="L5" s="436" t="str">
        <f t="shared" ref="L5" si="5">IF(NOT($C5=0), G5/$C5, "---")</f>
        <v>---</v>
      </c>
      <c r="M5" s="437" t="str">
        <f t="shared" ref="M5" si="6">IF(NOT($G5=0), (H5+I5)/$G5, "---")</f>
        <v>---</v>
      </c>
      <c r="N5" s="483" t="str">
        <f>IF(NOT($C5=0), (H5+I5)/$C5, "---")</f>
        <v>---</v>
      </c>
      <c r="O5" s="478">
        <f>SUMIFS('Diags Raw Data'!$Y$6:$Y$4697,'Diags Raw Data'!$D$6:$D$4697,$A5)</f>
        <v>0</v>
      </c>
      <c r="P5" s="438">
        <f>SUMIFS('Diags Raw Data'!$Z$6:$Z$4697,'Diags Raw Data'!$D$6:$D$4697,$A5)</f>
        <v>0</v>
      </c>
      <c r="Q5" s="439">
        <f>SUMIFS('Diags Raw Data'!$AA$6:$AA$4697,'Diags Raw Data'!$D$6:$D$4697,$A5)</f>
        <v>0</v>
      </c>
      <c r="R5" s="438">
        <f>SUMIFS('Diags Raw Data'!$AB$6:$AB$4697,'Diags Raw Data'!$D$6:$D$4697,$A5)</f>
        <v>0</v>
      </c>
      <c r="S5" s="439">
        <f>SUMIFS('Diags Raw Data'!$AC$6:$AC$4697,'Diags Raw Data'!$D$6:$D$4697,$A5)</f>
        <v>0</v>
      </c>
      <c r="T5" s="440" t="str">
        <f t="shared" ref="T5" si="7">IF(NOT($B5=0), O5/$B5, "---")</f>
        <v>---</v>
      </c>
      <c r="U5" s="441" t="str">
        <f t="shared" ref="U5" si="8">IF(NOT($O5=0), (P5+Q5)/$O5, "---")</f>
        <v>---</v>
      </c>
      <c r="V5" s="452" t="str">
        <f t="shared" ref="V5" si="9">IF(NOT($B5=0), (P5+Q5)/$B5, "---")</f>
        <v>---</v>
      </c>
    </row>
    <row r="6" spans="1:22" ht="15.75" thickBot="1" x14ac:dyDescent="0.3">
      <c r="A6" s="460"/>
      <c r="B6" s="461">
        <f>SUMIFS('Diags Raw Data'!$K$6:$K$4697,'Diags Raw Data'!$D$6:$D$4697,$A6)</f>
        <v>0</v>
      </c>
      <c r="C6" s="462">
        <f>SUMIFS('Diags Raw Data'!$Q$6:$Q$4697,'Diags Raw Data'!$D$6:$D$4697,$A6)</f>
        <v>0</v>
      </c>
      <c r="D6" s="462">
        <f>SUMIFS('Diags Raw Data'!$J$6:$J$4697,'Diags Raw Data'!$D$6:$D$4697,$A6)</f>
        <v>0</v>
      </c>
      <c r="E6" s="462">
        <f>SUMIFS('Diags Raw Data'!$N$6:$N$4697,'Diags Raw Data'!$D$6:$D$4697,$A6)</f>
        <v>0</v>
      </c>
      <c r="F6" s="476" t="str">
        <f>IF(NOT($B6=0), E6/$B6, "---")</f>
        <v>---</v>
      </c>
      <c r="G6" s="484">
        <f>SUMIFS('Diags Raw Data'!$R$6:$R$4697,'Diags Raw Data'!$D$6:$D$4697,$A6)</f>
        <v>0</v>
      </c>
      <c r="H6" s="463">
        <f>SUMIFS('Diags Raw Data'!$S$6:$S$4697,'Diags Raw Data'!$D$6:$D$4697,$A6)</f>
        <v>0</v>
      </c>
      <c r="I6" s="464">
        <f>SUMIFS('Diags Raw Data'!$T$6:$T$4697,'Diags Raw Data'!$D$6:$D$4697,$A6)</f>
        <v>0</v>
      </c>
      <c r="J6" s="463">
        <f>SUMIFS('Diags Raw Data'!$U$6:$U$4697,'Diags Raw Data'!$D$6:$D$4697,$A6)</f>
        <v>0</v>
      </c>
      <c r="K6" s="464">
        <f>SUMIFS('Diags Raw Data'!$V$6:$V$4697,'Diags Raw Data'!$D$6:$D$4697,$A6)</f>
        <v>0</v>
      </c>
      <c r="L6" s="465" t="str">
        <f t="shared" ref="L6" si="10">IF(NOT($C6=0), G6/$C6, "---")</f>
        <v>---</v>
      </c>
      <c r="M6" s="466" t="str">
        <f t="shared" ref="M6" si="11">IF(NOT($G6=0), (H6+I6)/$G6, "---")</f>
        <v>---</v>
      </c>
      <c r="N6" s="485" t="str">
        <f>IF(NOT($C6=0), (H6+I6)/$C6, "---")</f>
        <v>---</v>
      </c>
      <c r="O6" s="479">
        <f>SUMIFS('Diags Raw Data'!$Y$6:$Y$4697,'Diags Raw Data'!$D$6:$D$4697,$A6)</f>
        <v>0</v>
      </c>
      <c r="P6" s="467">
        <f>SUMIFS('Diags Raw Data'!$Z$6:$Z$4697,'Diags Raw Data'!$D$6:$D$4697,$A6)</f>
        <v>0</v>
      </c>
      <c r="Q6" s="468">
        <f>SUMIFS('Diags Raw Data'!$AA$6:$AA$4697,'Diags Raw Data'!$D$6:$D$4697,$A6)</f>
        <v>0</v>
      </c>
      <c r="R6" s="467">
        <f>SUMIFS('Diags Raw Data'!$AB$6:$AB$4697,'Diags Raw Data'!$D$6:$D$4697,$A6)</f>
        <v>0</v>
      </c>
      <c r="S6" s="468">
        <f>SUMIFS('Diags Raw Data'!$AC$6:$AC$4697,'Diags Raw Data'!$D$6:$D$4697,$A6)</f>
        <v>0</v>
      </c>
      <c r="T6" s="469" t="str">
        <f t="shared" ref="T6" si="12">IF(NOT($B6=0), O6/$B6, "---")</f>
        <v>---</v>
      </c>
      <c r="U6" s="470" t="str">
        <f t="shared" ref="U6" si="13">IF(NOT($O6=0), (P6+Q6)/$O6, "---")</f>
        <v>---</v>
      </c>
      <c r="V6" s="471" t="str">
        <f t="shared" ref="V6" si="14">IF(NOT($B6=0), (P6+Q6)/$B6, "---")</f>
        <v>---</v>
      </c>
    </row>
    <row r="7" spans="1:22" ht="16.5" thickBot="1" x14ac:dyDescent="0.3">
      <c r="A7" s="473" t="s">
        <v>249</v>
      </c>
      <c r="B7" s="458">
        <f>SUM(B4:B6)</f>
        <v>0</v>
      </c>
      <c r="C7" s="459">
        <f t="shared" ref="C7:E7" si="15">SUM(C4:C6)</f>
        <v>0</v>
      </c>
      <c r="D7" s="459">
        <f t="shared" si="15"/>
        <v>0</v>
      </c>
      <c r="E7" s="459">
        <f t="shared" si="15"/>
        <v>0</v>
      </c>
      <c r="F7" s="197" t="e" cm="1">
        <f t="array" ref="F7">SUMPRODUCT(--(ISNUMBER(SEARCH("New",'Diags Raw Data'!$L$6:$L$4697))),'Diags Raw Data'!$J$6:$J$4697,'Diags Raw Data'!$O$6:$O$4697)/D7+SUMPRODUCT(--(ISNUMBER(SEARCH("Delta",'Diags Raw Data'!$L$6:$L$4697))),'Diags Raw Data'!$J$6:$J$4697,'Diags Raw Data'!$O$6:$O$4697)/D7+SUMPRODUCT(--(ISNUMBER(SEARCH("Legacy",'Diags Raw Data'!$L$6:$L$4697))),'Diags Raw Data'!$J$6:$J$4697,'Diags Raw Data'!$O$6:$O$4697)/D7</f>
        <v>#DIV/0!</v>
      </c>
      <c r="G7" s="198">
        <f>SUM(G4:G6)</f>
        <v>0</v>
      </c>
      <c r="H7" s="199">
        <f t="shared" ref="H7:K7" si="16">SUM(H4:H6)</f>
        <v>0</v>
      </c>
      <c r="I7" s="199">
        <f t="shared" si="16"/>
        <v>0</v>
      </c>
      <c r="J7" s="199">
        <f t="shared" si="16"/>
        <v>0</v>
      </c>
      <c r="K7" s="199">
        <f t="shared" si="16"/>
        <v>0</v>
      </c>
      <c r="L7" s="200" t="str">
        <f>IF(NOT($C7=0), G7/$C7, "---")</f>
        <v>---</v>
      </c>
      <c r="M7" s="201" t="str">
        <f>IF(NOT($G7=0), (H7+I7)/$G7, "---")</f>
        <v>---</v>
      </c>
      <c r="N7" s="202" t="str">
        <f>IF(NOT($C7=0), (H7+I7)/$C7, "---")</f>
        <v>---</v>
      </c>
      <c r="O7" s="203">
        <f>SUM(O4:O6)</f>
        <v>0</v>
      </c>
      <c r="P7" s="204">
        <f t="shared" ref="P7:S7" si="17">SUM(P4:P6)</f>
        <v>0</v>
      </c>
      <c r="Q7" s="204">
        <f t="shared" si="17"/>
        <v>0</v>
      </c>
      <c r="R7" s="204">
        <f t="shared" si="17"/>
        <v>0</v>
      </c>
      <c r="S7" s="204">
        <f t="shared" si="17"/>
        <v>0</v>
      </c>
      <c r="T7" s="205" t="str">
        <f>IF(NOT($B7=0), O7/$B7, "---")</f>
        <v>---</v>
      </c>
      <c r="U7" s="206" t="str">
        <f>IF(NOT($O7=0), (P7+Q7)/$O7, "---")</f>
        <v>---</v>
      </c>
      <c r="V7" s="207" t="str">
        <f>IF(NOT($B7=0), (P7+Q7)/$B7, "---")</f>
        <v>---</v>
      </c>
    </row>
    <row r="8" spans="1:22" ht="15.75" thickBot="1" x14ac:dyDescent="0.3"/>
    <row r="9" spans="1:22" ht="15.75" thickBot="1" x14ac:dyDescent="0.3">
      <c r="A9" s="191" t="s">
        <v>250</v>
      </c>
      <c r="B9" s="548" t="s">
        <v>161</v>
      </c>
      <c r="C9" s="548"/>
      <c r="D9" s="548"/>
      <c r="E9" s="548"/>
      <c r="F9" s="548"/>
      <c r="G9" s="549" t="s">
        <v>172</v>
      </c>
      <c r="H9" s="550"/>
      <c r="I9" s="550"/>
      <c r="J9" s="550"/>
      <c r="K9" s="550"/>
      <c r="L9" s="550"/>
      <c r="M9" s="550"/>
      <c r="N9" s="551"/>
      <c r="O9" s="552" t="s">
        <v>139</v>
      </c>
      <c r="P9" s="553"/>
      <c r="Q9" s="553"/>
      <c r="R9" s="553"/>
      <c r="S9" s="553"/>
      <c r="T9" s="553"/>
      <c r="U9" s="553"/>
      <c r="V9" s="554"/>
    </row>
    <row r="10" spans="1:22" s="196" customFormat="1" ht="15.75" thickBot="1" x14ac:dyDescent="0.3">
      <c r="A10" s="417" t="s">
        <v>83</v>
      </c>
      <c r="B10" s="246" t="s">
        <v>162</v>
      </c>
      <c r="C10" s="247" t="s">
        <v>123</v>
      </c>
      <c r="D10" s="248" t="s">
        <v>100</v>
      </c>
      <c r="E10" s="248" t="s">
        <v>168</v>
      </c>
      <c r="F10" s="249" t="s">
        <v>170</v>
      </c>
      <c r="G10" s="418" t="s">
        <v>127</v>
      </c>
      <c r="H10" s="419" t="s">
        <v>30</v>
      </c>
      <c r="I10" s="419" t="s">
        <v>130</v>
      </c>
      <c r="J10" s="419" t="s">
        <v>35</v>
      </c>
      <c r="K10" s="419" t="s">
        <v>133</v>
      </c>
      <c r="L10" s="419" t="s">
        <v>179</v>
      </c>
      <c r="M10" s="419" t="s">
        <v>135</v>
      </c>
      <c r="N10" s="420" t="s">
        <v>182</v>
      </c>
      <c r="O10" s="421" t="s">
        <v>127</v>
      </c>
      <c r="P10" s="422" t="s">
        <v>30</v>
      </c>
      <c r="Q10" s="422" t="s">
        <v>130</v>
      </c>
      <c r="R10" s="422" t="s">
        <v>35</v>
      </c>
      <c r="S10" s="422" t="s">
        <v>133</v>
      </c>
      <c r="T10" s="422" t="s">
        <v>179</v>
      </c>
      <c r="U10" s="422" t="s">
        <v>135</v>
      </c>
      <c r="V10" s="423" t="s">
        <v>182</v>
      </c>
    </row>
    <row r="11" spans="1:22" x14ac:dyDescent="0.25">
      <c r="A11" s="455" t="s">
        <v>248</v>
      </c>
      <c r="B11" s="453">
        <f>SUMIFS('Diags Raw Data'!$K$6:$K$4697,'Diags Raw Data'!$D$6:$D$4697,$A11,'Diags Raw Data'!$L$6:$L$4697,"New")+SUMIFS('Diags Raw Data'!$K$6:$K$4697,'Diags Raw Data'!$D$6:$D$4697,$A11,'Diags Raw Data'!$L$6:$L$4697,"Delta")</f>
        <v>0</v>
      </c>
      <c r="C11" s="442">
        <f>SUMIFS('Diags Raw Data'!$Q$6:$Q$4697,'Diags Raw Data'!$D$6:$D$4697,$A11,'Diags Raw Data'!$L$6:$L$4697,"New")+SUMIFS('Diags Raw Data'!$Q$6:$Q$4697,'Diags Raw Data'!$D$6:$D$4697,$A11,'Diags Raw Data'!$L$6:$L$4697,"Delta")</f>
        <v>0</v>
      </c>
      <c r="D11" s="442">
        <f>SUMIFS('Diags Raw Data'!$J$6:$J$4697,'Diags Raw Data'!$D$6:$D$4697,$A11,'Diags Raw Data'!$L$6:$L$4697,"New")+SUMIFS('Diags Raw Data'!$J$6:$J$4697,'Diags Raw Data'!$D$6:$D$4697,$A11,'Diags Raw Data'!$L$6:$L$4697,"Delta")</f>
        <v>0</v>
      </c>
      <c r="E11" s="442">
        <f>SUMIFS('Diags Raw Data'!$N$6:$N$4697,'Diags Raw Data'!$D$6:$D$4697,$A11,'Diags Raw Data'!$L$6:$L$4697,"New")+SUMIFS('Diags Raw Data'!$N$6:$N$4697,'Diags Raw Data'!$D$6:$D$4697,$A11,'Diags Raw Data'!$L$6:$L$4697,"Delta")</f>
        <v>0</v>
      </c>
      <c r="F11" s="474" t="str">
        <f t="shared" ref="F11" si="18">IF(NOT($B11=0), E11/$B11, "---")</f>
        <v>---</v>
      </c>
      <c r="G11" s="480">
        <f>SUMIFS('Diags Raw Data'!$R$6:$R$4697,'Diags Raw Data'!$D$6:$D$4697,$A11,'Diags Raw Data'!$L$6:$L$4697,"New")+SUMIFS('Diags Raw Data'!$R$6:$R$4697,'Diags Raw Data'!$D$6:$D$4697,$A11,'Diags Raw Data'!$L$6:$L$4697,"Delta")</f>
        <v>0</v>
      </c>
      <c r="H11" s="443">
        <f>SUMIFS('Diags Raw Data'!$S$6:$S$4697,'Diags Raw Data'!$D$6:$D$4697,$A11,'Diags Raw Data'!$L$6:$L$4697,"New")+SUMIFS('Diags Raw Data'!$S$6:$S$4697,'Diags Raw Data'!$D$6:$D$4697,$A11,'Diags Raw Data'!$L$6:$L$4697,"Delta")</f>
        <v>0</v>
      </c>
      <c r="I11" s="443">
        <f>SUMIFS('Diags Raw Data'!$T$6:$T$4697,'Diags Raw Data'!$D$6:$D$4697,$A11,'Diags Raw Data'!$L$6:$L$4697,"New")+SUMIFS('Diags Raw Data'!$T$6:$T$4697,'Diags Raw Data'!$D$6:$D$4697,$A11,'Diags Raw Data'!$L$6:$L$4697,"Delta")</f>
        <v>0</v>
      </c>
      <c r="J11" s="443">
        <f>SUMIFS('Diags Raw Data'!$U$6:$U$4697,'Diags Raw Data'!$D$6:$D$4697,$A11,'Diags Raw Data'!$L$6:$L$4697,"New")+SUMIFS('Diags Raw Data'!$U$6:$U$4697,'Diags Raw Data'!$D$6:$D$4697,$A11,'Diags Raw Data'!$L$6:$L$4697,"Delta")</f>
        <v>0</v>
      </c>
      <c r="K11" s="443">
        <f>SUMIFS('Diags Raw Data'!$V$6:$V$4697,'Diags Raw Data'!$D$6:$D$4697,$A11,'Diags Raw Data'!$L$6:$L$4697,"New")+SUMIFS('Diags Raw Data'!$V$6:$V$4697,'Diags Raw Data'!$D$6:$D$4697,$A11,'Diags Raw Data'!$L$6:$L$4697,"Delta")</f>
        <v>0</v>
      </c>
      <c r="L11" s="445" t="str">
        <f t="shared" ref="L11" si="19">IF(NOT($C11=0), G11/$C11, "---")</f>
        <v>---</v>
      </c>
      <c r="M11" s="446" t="str">
        <f t="shared" ref="M11" si="20">IF(NOT($G11=0), (H11+I11)/$G11, "---")</f>
        <v>---</v>
      </c>
      <c r="N11" s="481" t="str">
        <f t="shared" ref="N11" si="21">IF(NOT($C11=0), (H11+I11)/$C11, "---")</f>
        <v>---</v>
      </c>
      <c r="O11" s="477">
        <f>SUMIFS('Diags Raw Data'!$Y$6:$Y$4697,'Diags Raw Data'!$D$6:$D$4697,$A11,'Diags Raw Data'!$L$6:$L$4697,"New")+SUMIFS('Diags Raw Data'!$Y$6:$Y$4697,'Diags Raw Data'!$D$6:$D$4697,$A11,'Diags Raw Data'!$L$6:$L$4697,"Delta")</f>
        <v>0</v>
      </c>
      <c r="P11" s="447">
        <f>SUMIFS('Diags Raw Data'!$Z$6:$Z$4697,'Diags Raw Data'!$D$6:$D$4697,$A11,'Diags Raw Data'!$L$6:$L$4697,"New")+SUMIFS('Diags Raw Data'!$Z$6:$Z$4697,'Diags Raw Data'!$D$6:$D$4697,$A11,'Diags Raw Data'!$L$6:$L$4697,"Delta")</f>
        <v>0</v>
      </c>
      <c r="Q11" s="447">
        <f>SUMIFS('Diags Raw Data'!$AA$6:$AA$4697,'Diags Raw Data'!$D$6:$D$4697,$A11,'Diags Raw Data'!$L$6:$L$4697,"New")+SUMIFS('Diags Raw Data'!$AA$6:$AA$4697,'Diags Raw Data'!$D$6:$D$4697,$A11,'Diags Raw Data'!$L$6:$L$4697,"Delta")</f>
        <v>0</v>
      </c>
      <c r="R11" s="447">
        <f>SUMIFS('Diags Raw Data'!$AB$6:$AB$4697,'Diags Raw Data'!$D$6:$D$4697,$A11,'Diags Raw Data'!$L$6:$L$4697,"New")+SUMIFS('Diags Raw Data'!$AB$6:$AB$4697,'Diags Raw Data'!$D$6:$D$4697,$A11,'Diags Raw Data'!$L$6:$L$4697,"Delta")</f>
        <v>0</v>
      </c>
      <c r="S11" s="447">
        <f>SUMIFS('Diags Raw Data'!$AC$6:$AC$4697,'Diags Raw Data'!$D$6:$D$4697,$A11,'Diags Raw Data'!$L$6:$L$4697,"New")+SUMIFS('Diags Raw Data'!$AC$6:$AC$4697,'Diags Raw Data'!$D$6:$D$4697,$A11,'Diags Raw Data'!$L$6:$L$4697,"Delta")</f>
        <v>0</v>
      </c>
      <c r="T11" s="449" t="str">
        <f t="shared" ref="T11" si="22">IF(NOT($B11=0), O11/$B11, "---")</f>
        <v>---</v>
      </c>
      <c r="U11" s="450" t="str">
        <f t="shared" ref="U11" si="23">IF(NOT($O11=0), (P11+Q11)/$O11, "---")</f>
        <v>---</v>
      </c>
      <c r="V11" s="451" t="str">
        <f t="shared" ref="V11" si="24">IF(NOT($B11=0), (P11+Q11)/$B11, "---")</f>
        <v>---</v>
      </c>
    </row>
    <row r="12" spans="1:22" x14ac:dyDescent="0.25">
      <c r="A12" s="456"/>
      <c r="B12" s="454">
        <f>SUMIFS('Diags Raw Data'!$K$6:$K$4697,'Diags Raw Data'!$D$6:$D$4697,$A12,'Diags Raw Data'!$L$6:$L$4697,"New")+SUMIFS('Diags Raw Data'!$K$6:$K$4697,'Diags Raw Data'!$D$6:$D$4697,$A12,'Diags Raw Data'!$L$6:$L$4697,"Delta")</f>
        <v>0</v>
      </c>
      <c r="C12" s="433">
        <f>SUMIFS('Diags Raw Data'!$Q$6:$Q$4697,'Diags Raw Data'!$D$6:$D$4697,$A12,'Diags Raw Data'!$L$6:$L$4697,"New")+SUMIFS('Diags Raw Data'!$Q$6:$Q$4697,'Diags Raw Data'!$D$6:$D$4697,$A12,'Diags Raw Data'!$L$6:$L$4697,"Delta")</f>
        <v>0</v>
      </c>
      <c r="D12" s="433">
        <f>SUMIFS('Diags Raw Data'!$J$6:$J$4697,'Diags Raw Data'!$D$6:$D$4697,$A12,'Diags Raw Data'!$L$6:$L$4697,"New")+SUMIFS('Diags Raw Data'!$J$6:$J$4697,'Diags Raw Data'!$D$6:$D$4697,$A12,'Diags Raw Data'!$L$6:$L$4697,"Delta")</f>
        <v>0</v>
      </c>
      <c r="E12" s="433">
        <f>SUMIFS('Diags Raw Data'!$N$6:$N$4697,'Diags Raw Data'!$D$6:$D$4697,$A12,'Diags Raw Data'!$L$6:$L$4697,"New")+SUMIFS('Diags Raw Data'!$N$6:$N$4697,'Diags Raw Data'!$D$6:$D$4697,$A12,'Diags Raw Data'!$L$6:$L$4697,"Delta")</f>
        <v>0</v>
      </c>
      <c r="F12" s="475" t="str">
        <f t="shared" ref="F12" si="25">IF(NOT($B12=0), E12/$B12, "---")</f>
        <v>---</v>
      </c>
      <c r="G12" s="482">
        <f>SUMIFS('Diags Raw Data'!$R$6:$R$4697,'Diags Raw Data'!$D$6:$D$4697,$A12,'Diags Raw Data'!$L$6:$L$4697,"New")+SUMIFS('Diags Raw Data'!$R$6:$R$4697,'Diags Raw Data'!$D$6:$D$4697,$A12,'Diags Raw Data'!$L$6:$L$4697,"Delta")</f>
        <v>0</v>
      </c>
      <c r="H12" s="434">
        <f>SUMIFS('Diags Raw Data'!$S$6:$S$4697,'Diags Raw Data'!$D$6:$D$4697,$A12,'Diags Raw Data'!$L$6:$L$4697,"New")+SUMIFS('Diags Raw Data'!$S$6:$S$4697,'Diags Raw Data'!$D$6:$D$4697,$A12,'Diags Raw Data'!$L$6:$L$4697,"Delta")</f>
        <v>0</v>
      </c>
      <c r="I12" s="434">
        <f>SUMIFS('Diags Raw Data'!$T$6:$T$4697,'Diags Raw Data'!$D$6:$D$4697,$A12,'Diags Raw Data'!$L$6:$L$4697,"New")+SUMIFS('Diags Raw Data'!$T$6:$T$4697,'Diags Raw Data'!$D$6:$D$4697,$A12,'Diags Raw Data'!$L$6:$L$4697,"Delta")</f>
        <v>0</v>
      </c>
      <c r="J12" s="434">
        <f>SUMIFS('Diags Raw Data'!$U$6:$U$4697,'Diags Raw Data'!$D$6:$D$4697,$A12,'Diags Raw Data'!$L$6:$L$4697,"New")+SUMIFS('Diags Raw Data'!$U$6:$U$4697,'Diags Raw Data'!$D$6:$D$4697,$A12,'Diags Raw Data'!$L$6:$L$4697,"Delta")</f>
        <v>0</v>
      </c>
      <c r="K12" s="434">
        <f>SUMIFS('Diags Raw Data'!$V$6:$V$4697,'Diags Raw Data'!$D$6:$D$4697,$A12,'Diags Raw Data'!$L$6:$L$4697,"New")+SUMIFS('Diags Raw Data'!$V$6:$V$4697,'Diags Raw Data'!$D$6:$D$4697,$A12,'Diags Raw Data'!$L$6:$L$4697,"Delta")</f>
        <v>0</v>
      </c>
      <c r="L12" s="436" t="str">
        <f t="shared" ref="L12" si="26">IF(NOT($C12=0), G12/$C12, "---")</f>
        <v>---</v>
      </c>
      <c r="M12" s="437" t="str">
        <f t="shared" ref="M12" si="27">IF(NOT($G12=0), (H12+I12)/$G12, "---")</f>
        <v>---</v>
      </c>
      <c r="N12" s="483" t="str">
        <f t="shared" ref="N12" si="28">IF(NOT($C12=0), (H12+I12)/$C12, "---")</f>
        <v>---</v>
      </c>
      <c r="O12" s="478">
        <f>SUMIFS('Diags Raw Data'!$Y$6:$Y$4697,'Diags Raw Data'!$D$6:$D$4697,$A12,'Diags Raw Data'!$L$6:$L$4697,"New")+SUMIFS('Diags Raw Data'!$Y$6:$Y$4697,'Diags Raw Data'!$D$6:$D$4697,$A12,'Diags Raw Data'!$L$6:$L$4697,"Delta")</f>
        <v>0</v>
      </c>
      <c r="P12" s="438">
        <f>SUMIFS('Diags Raw Data'!$Z$6:$Z$4697,'Diags Raw Data'!$D$6:$D$4697,$A12,'Diags Raw Data'!$L$6:$L$4697,"New")+SUMIFS('Diags Raw Data'!$Z$6:$Z$4697,'Diags Raw Data'!$D$6:$D$4697,$A12,'Diags Raw Data'!$L$6:$L$4697,"Delta")</f>
        <v>0</v>
      </c>
      <c r="Q12" s="438">
        <f>SUMIFS('Diags Raw Data'!$AA$6:$AA$4697,'Diags Raw Data'!$D$6:$D$4697,$A12,'Diags Raw Data'!$L$6:$L$4697,"New")+SUMIFS('Diags Raw Data'!$AA$6:$AA$4697,'Diags Raw Data'!$D$6:$D$4697,$A12,'Diags Raw Data'!$L$6:$L$4697,"Delta")</f>
        <v>0</v>
      </c>
      <c r="R12" s="438">
        <f>SUMIFS('Diags Raw Data'!$AB$6:$AB$4697,'Diags Raw Data'!$D$6:$D$4697,$A12,'Diags Raw Data'!$L$6:$L$4697,"New")+SUMIFS('Diags Raw Data'!$AB$6:$AB$4697,'Diags Raw Data'!$D$6:$D$4697,$A12,'Diags Raw Data'!$L$6:$L$4697,"Delta")</f>
        <v>0</v>
      </c>
      <c r="S12" s="438">
        <f>SUMIFS('Diags Raw Data'!$AC$6:$AC$4697,'Diags Raw Data'!$D$6:$D$4697,$A12,'Diags Raw Data'!$L$6:$L$4697,"New")+SUMIFS('Diags Raw Data'!$AC$6:$AC$4697,'Diags Raw Data'!$D$6:$D$4697,$A12,'Diags Raw Data'!$L$6:$L$4697,"Delta")</f>
        <v>0</v>
      </c>
      <c r="T12" s="440" t="str">
        <f t="shared" ref="T12" si="29">IF(NOT($B12=0), O12/$B12, "---")</f>
        <v>---</v>
      </c>
      <c r="U12" s="441" t="str">
        <f t="shared" ref="U12" si="30">IF(NOT($O12=0), (P12+Q12)/$O12, "---")</f>
        <v>---</v>
      </c>
      <c r="V12" s="452" t="str">
        <f t="shared" ref="V12" si="31">IF(NOT($B12=0), (P12+Q12)/$B12, "---")</f>
        <v>---</v>
      </c>
    </row>
    <row r="13" spans="1:22" ht="15.75" thickBot="1" x14ac:dyDescent="0.3">
      <c r="A13" s="460"/>
      <c r="B13" s="461">
        <f>SUMIFS('Diags Raw Data'!$K$6:$K$4697,'Diags Raw Data'!$D$6:$D$4697,$A13,'Diags Raw Data'!$L$6:$L$4697,"New")+SUMIFS('Diags Raw Data'!$K$6:$K$4697,'Diags Raw Data'!$D$6:$D$4697,$A13,'Diags Raw Data'!$L$6:$L$4697,"Delta")</f>
        <v>0</v>
      </c>
      <c r="C13" s="462">
        <f>SUMIFS('Diags Raw Data'!$Q$6:$Q$4697,'Diags Raw Data'!$D$6:$D$4697,$A13,'Diags Raw Data'!$L$6:$L$4697,"New")+SUMIFS('Diags Raw Data'!$Q$6:$Q$4697,'Diags Raw Data'!$D$6:$D$4697,$A13,'Diags Raw Data'!$L$6:$L$4697,"Delta")</f>
        <v>0</v>
      </c>
      <c r="D13" s="462">
        <f>SUMIFS('Diags Raw Data'!$J$6:$J$4697,'Diags Raw Data'!$D$6:$D$4697,$A13,'Diags Raw Data'!$L$6:$L$4697,"New")+SUMIFS('Diags Raw Data'!$J$6:$J$4697,'Diags Raw Data'!$D$6:$D$4697,$A13,'Diags Raw Data'!$L$6:$L$4697,"Delta")</f>
        <v>0</v>
      </c>
      <c r="E13" s="462">
        <f>SUMIFS('Diags Raw Data'!$N$6:$N$4697,'Diags Raw Data'!$D$6:$D$4697,$A13,'Diags Raw Data'!$L$6:$L$4697,"New")+SUMIFS('Diags Raw Data'!$N$6:$N$4697,'Diags Raw Data'!$D$6:$D$4697,$A13,'Diags Raw Data'!$L$6:$L$4697,"Delta")</f>
        <v>0</v>
      </c>
      <c r="F13" s="476" t="str">
        <f t="shared" ref="F13" si="32">IF(NOT($B13=0), E13/$B13, "---")</f>
        <v>---</v>
      </c>
      <c r="G13" s="484">
        <f>SUMIFS('Diags Raw Data'!$R$6:$R$4697,'Diags Raw Data'!$D$6:$D$4697,$A13,'Diags Raw Data'!$L$6:$L$4697,"New")+SUMIFS('Diags Raw Data'!$R$6:$R$4697,'Diags Raw Data'!$D$6:$D$4697,$A13,'Diags Raw Data'!$L$6:$L$4697,"Delta")</f>
        <v>0</v>
      </c>
      <c r="H13" s="463">
        <f>SUMIFS('Diags Raw Data'!$S$6:$S$4697,'Diags Raw Data'!$D$6:$D$4697,$A13,'Diags Raw Data'!$L$6:$L$4697,"New")+SUMIFS('Diags Raw Data'!$S$6:$S$4697,'Diags Raw Data'!$D$6:$D$4697,$A13,'Diags Raw Data'!$L$6:$L$4697,"Delta")</f>
        <v>0</v>
      </c>
      <c r="I13" s="463">
        <f>SUMIFS('Diags Raw Data'!$T$6:$T$4697,'Diags Raw Data'!$D$6:$D$4697,$A13,'Diags Raw Data'!$L$6:$L$4697,"New")+SUMIFS('Diags Raw Data'!$T$6:$T$4697,'Diags Raw Data'!$D$6:$D$4697,$A13,'Diags Raw Data'!$L$6:$L$4697,"Delta")</f>
        <v>0</v>
      </c>
      <c r="J13" s="463">
        <f>SUMIFS('Diags Raw Data'!$U$6:$U$4697,'Diags Raw Data'!$D$6:$D$4697,$A13,'Diags Raw Data'!$L$6:$L$4697,"New")+SUMIFS('Diags Raw Data'!$U$6:$U$4697,'Diags Raw Data'!$D$6:$D$4697,$A13,'Diags Raw Data'!$L$6:$L$4697,"Delta")</f>
        <v>0</v>
      </c>
      <c r="K13" s="463">
        <f>SUMIFS('Diags Raw Data'!$V$6:$V$4697,'Diags Raw Data'!$D$6:$D$4697,$A13,'Diags Raw Data'!$L$6:$L$4697,"New")+SUMIFS('Diags Raw Data'!$V$6:$V$4697,'Diags Raw Data'!$D$6:$D$4697,$A13,'Diags Raw Data'!$L$6:$L$4697,"Delta")</f>
        <v>0</v>
      </c>
      <c r="L13" s="465" t="str">
        <f t="shared" ref="L13" si="33">IF(NOT($C13=0), G13/$C13, "---")</f>
        <v>---</v>
      </c>
      <c r="M13" s="466" t="str">
        <f t="shared" ref="M13:M14" si="34">IF(NOT($G13=0), (H13+I13)/$G13, "---")</f>
        <v>---</v>
      </c>
      <c r="N13" s="485" t="str">
        <f t="shared" ref="N13" si="35">IF(NOT($C13=0), (H13+I13)/$C13, "---")</f>
        <v>---</v>
      </c>
      <c r="O13" s="479">
        <f>SUMIFS('Diags Raw Data'!$Y$6:$Y$4697,'Diags Raw Data'!$D$6:$D$4697,$A13,'Diags Raw Data'!$L$6:$L$4697,"New")+SUMIFS('Diags Raw Data'!$Y$6:$Y$4697,'Diags Raw Data'!$D$6:$D$4697,$A13,'Diags Raw Data'!$L$6:$L$4697,"Delta")</f>
        <v>0</v>
      </c>
      <c r="P13" s="467">
        <f>SUMIFS('Diags Raw Data'!$Z$6:$Z$4697,'Diags Raw Data'!$D$6:$D$4697,$A13,'Diags Raw Data'!$L$6:$L$4697,"New")+SUMIFS('Diags Raw Data'!$Z$6:$Z$4697,'Diags Raw Data'!$D$6:$D$4697,$A13,'Diags Raw Data'!$L$6:$L$4697,"Delta")</f>
        <v>0</v>
      </c>
      <c r="Q13" s="467">
        <f>SUMIFS('Diags Raw Data'!$AA$6:$AA$4697,'Diags Raw Data'!$D$6:$D$4697,$A13,'Diags Raw Data'!$L$6:$L$4697,"New")+SUMIFS('Diags Raw Data'!$AA$6:$AA$4697,'Diags Raw Data'!$D$6:$D$4697,$A13,'Diags Raw Data'!$L$6:$L$4697,"Delta")</f>
        <v>0</v>
      </c>
      <c r="R13" s="467">
        <f>SUMIFS('Diags Raw Data'!$AB$6:$AB$4697,'Diags Raw Data'!$D$6:$D$4697,$A13,'Diags Raw Data'!$L$6:$L$4697,"New")+SUMIFS('Diags Raw Data'!$AB$6:$AB$4697,'Diags Raw Data'!$D$6:$D$4697,$A13,'Diags Raw Data'!$L$6:$L$4697,"Delta")</f>
        <v>0</v>
      </c>
      <c r="S13" s="467">
        <f>SUMIFS('Diags Raw Data'!$AC$6:$AC$4697,'Diags Raw Data'!$D$6:$D$4697,$A13,'Diags Raw Data'!$L$6:$L$4697,"New")+SUMIFS('Diags Raw Data'!$AC$6:$AC$4697,'Diags Raw Data'!$D$6:$D$4697,$A13,'Diags Raw Data'!$L$6:$L$4697,"Delta")</f>
        <v>0</v>
      </c>
      <c r="T13" s="469" t="str">
        <f t="shared" ref="T13" si="36">IF(NOT($B13=0), O13/$B13, "---")</f>
        <v>---</v>
      </c>
      <c r="U13" s="470" t="str">
        <f t="shared" ref="U13:U14" si="37">IF(NOT($O13=0), (P13+Q13)/$O13, "---")</f>
        <v>---</v>
      </c>
      <c r="V13" s="471" t="str">
        <f t="shared" ref="V13:V14" si="38">IF(NOT($B13=0), (P13+Q13)/$B13, "---")</f>
        <v>---</v>
      </c>
    </row>
    <row r="14" spans="1:22" ht="16.5" thickBot="1" x14ac:dyDescent="0.3">
      <c r="A14" s="472" t="s">
        <v>251</v>
      </c>
      <c r="B14" s="458">
        <f>SUM(B11:B13)</f>
        <v>0</v>
      </c>
      <c r="C14" s="459">
        <f t="shared" ref="C14:E14" si="39">SUM(C11:C13)</f>
        <v>0</v>
      </c>
      <c r="D14" s="459">
        <f t="shared" si="39"/>
        <v>0</v>
      </c>
      <c r="E14" s="459">
        <f t="shared" si="39"/>
        <v>0</v>
      </c>
      <c r="F14" s="197" t="e" cm="1">
        <f t="array" ref="F14">SUMPRODUCT(--(ISNUMBER(SEARCH("New",'Diags Raw Data'!$L$6:$L$4697))),'Diags Raw Data'!$J$6:$J$4697,'Diags Raw Data'!$O$6:$O$4697)/D14+SUMPRODUCT(--(ISNUMBER(SEARCH("Delta",'Diags Raw Data'!$L$6:$L$4697))),'Diags Raw Data'!$J$6:$J$4697,'Diags Raw Data'!$O$6:$O$4697)/D14</f>
        <v>#DIV/0!</v>
      </c>
      <c r="G14" s="198">
        <f>SUM(G11:G13)</f>
        <v>0</v>
      </c>
      <c r="H14" s="199">
        <f t="shared" ref="H14:K14" si="40">SUM(H11:H13)</f>
        <v>0</v>
      </c>
      <c r="I14" s="199">
        <f t="shared" si="40"/>
        <v>0</v>
      </c>
      <c r="J14" s="199">
        <f t="shared" si="40"/>
        <v>0</v>
      </c>
      <c r="K14" s="199">
        <f t="shared" si="40"/>
        <v>0</v>
      </c>
      <c r="L14" s="200" t="str">
        <f>IF(NOT($C14=0), G14/$C14, "---")</f>
        <v>---</v>
      </c>
      <c r="M14" s="201" t="str">
        <f t="shared" si="34"/>
        <v>---</v>
      </c>
      <c r="N14" s="202" t="str">
        <f>IF(NOT($C14=0), (H14+I14)/$C14, "---")</f>
        <v>---</v>
      </c>
      <c r="O14" s="203">
        <f>SUM(O11:O13)</f>
        <v>0</v>
      </c>
      <c r="P14" s="204">
        <f t="shared" ref="P14:S14" si="41">SUM(P11:P13)</f>
        <v>0</v>
      </c>
      <c r="Q14" s="204">
        <f t="shared" si="41"/>
        <v>0</v>
      </c>
      <c r="R14" s="204">
        <f t="shared" si="41"/>
        <v>0</v>
      </c>
      <c r="S14" s="204">
        <f t="shared" si="41"/>
        <v>0</v>
      </c>
      <c r="T14" s="205" t="str">
        <f>IF(NOT($B14=0), O14/$B14, "---")</f>
        <v>---</v>
      </c>
      <c r="U14" s="206" t="str">
        <f t="shared" si="37"/>
        <v>---</v>
      </c>
      <c r="V14" s="207" t="str">
        <f t="shared" si="38"/>
        <v>---</v>
      </c>
    </row>
    <row r="15" spans="1:22" ht="15.75" thickBot="1" x14ac:dyDescent="0.3">
      <c r="A15" s="195"/>
      <c r="B15" s="195"/>
      <c r="C15" s="195"/>
      <c r="D15" s="195"/>
      <c r="E15" s="195"/>
      <c r="F15" s="195"/>
      <c r="G15" s="195"/>
      <c r="H15" s="195"/>
      <c r="I15" s="195"/>
      <c r="J15" s="195"/>
      <c r="K15" s="195"/>
      <c r="L15" s="195"/>
      <c r="M15" s="195"/>
      <c r="N15" s="195"/>
      <c r="O15" s="195"/>
      <c r="P15" s="195"/>
      <c r="Q15" s="195"/>
      <c r="R15" s="195"/>
      <c r="S15" s="195"/>
      <c r="T15" s="195"/>
      <c r="U15" s="195"/>
      <c r="V15" s="195"/>
    </row>
    <row r="16" spans="1:22" ht="15.75" thickBot="1" x14ac:dyDescent="0.3">
      <c r="A16" s="192" t="s">
        <v>33</v>
      </c>
      <c r="B16" s="548" t="s">
        <v>161</v>
      </c>
      <c r="C16" s="548"/>
      <c r="D16" s="548"/>
      <c r="E16" s="548"/>
      <c r="F16" s="548"/>
      <c r="G16" s="549" t="s">
        <v>172</v>
      </c>
      <c r="H16" s="550"/>
      <c r="I16" s="550"/>
      <c r="J16" s="550"/>
      <c r="K16" s="550"/>
      <c r="L16" s="550"/>
      <c r="M16" s="550"/>
      <c r="N16" s="551"/>
      <c r="O16" s="552" t="s">
        <v>139</v>
      </c>
      <c r="P16" s="553"/>
      <c r="Q16" s="553"/>
      <c r="R16" s="553"/>
      <c r="S16" s="553"/>
      <c r="T16" s="553"/>
      <c r="U16" s="553"/>
      <c r="V16" s="554"/>
    </row>
    <row r="17" spans="1:22" s="196" customFormat="1" ht="15.75" thickBot="1" x14ac:dyDescent="0.3">
      <c r="A17" s="417" t="s">
        <v>83</v>
      </c>
      <c r="B17" s="246" t="s">
        <v>162</v>
      </c>
      <c r="C17" s="247" t="s">
        <v>123</v>
      </c>
      <c r="D17" s="248" t="s">
        <v>100</v>
      </c>
      <c r="E17" s="248" t="s">
        <v>168</v>
      </c>
      <c r="F17" s="249" t="s">
        <v>170</v>
      </c>
      <c r="G17" s="418" t="s">
        <v>127</v>
      </c>
      <c r="H17" s="419" t="s">
        <v>30</v>
      </c>
      <c r="I17" s="419" t="s">
        <v>130</v>
      </c>
      <c r="J17" s="419" t="s">
        <v>35</v>
      </c>
      <c r="K17" s="419" t="s">
        <v>133</v>
      </c>
      <c r="L17" s="419" t="s">
        <v>179</v>
      </c>
      <c r="M17" s="419" t="s">
        <v>135</v>
      </c>
      <c r="N17" s="420" t="s">
        <v>182</v>
      </c>
      <c r="O17" s="421" t="s">
        <v>127</v>
      </c>
      <c r="P17" s="422" t="s">
        <v>30</v>
      </c>
      <c r="Q17" s="422" t="s">
        <v>130</v>
      </c>
      <c r="R17" s="422" t="s">
        <v>35</v>
      </c>
      <c r="S17" s="422" t="s">
        <v>133</v>
      </c>
      <c r="T17" s="422" t="s">
        <v>179</v>
      </c>
      <c r="U17" s="422" t="s">
        <v>135</v>
      </c>
      <c r="V17" s="423" t="s">
        <v>182</v>
      </c>
    </row>
    <row r="18" spans="1:22" x14ac:dyDescent="0.25">
      <c r="A18" s="455" t="s">
        <v>248</v>
      </c>
      <c r="B18" s="453">
        <f>SUMIFS('Diags Raw Data'!$K$6:$K$4697,'Diags Raw Data'!$D$6:$D$4697,$A18,'Diags Raw Data'!$L$6:$L$4697,"Legacy")</f>
        <v>0</v>
      </c>
      <c r="C18" s="442">
        <f>SUMIFS('Diags Raw Data'!$Q$6:$Q$4697,'Diags Raw Data'!$D$6:$D$4697,$A18,'Diags Raw Data'!$L$6:$L$4697,"Legacy")</f>
        <v>0</v>
      </c>
      <c r="D18" s="442">
        <f>SUMIFS('Diags Raw Data'!$J$6:$J$4697,'Diags Raw Data'!$D$6:$D$4697,$A18,'Diags Raw Data'!$L$6:$L$4697,"Legacy")</f>
        <v>0</v>
      </c>
      <c r="E18" s="442">
        <f>SUMIFS('Diags Raw Data'!$N$6:$N$4697,'Diags Raw Data'!$D$6:$D$4697,$A18,'Diags Raw Data'!$L$6:$L$4697,"Legacy")</f>
        <v>0</v>
      </c>
      <c r="F18" s="474" t="str">
        <f t="shared" ref="F18" si="42">IF(NOT($B18=0), E18/$B18, "---")</f>
        <v>---</v>
      </c>
      <c r="G18" s="480">
        <f>SUMIFS('Diags Raw Data'!$R$6:$R$4697,'Diags Raw Data'!$D$6:$D$4697,$A18,'Diags Raw Data'!$L$6:$L$4697,"Legacy")</f>
        <v>0</v>
      </c>
      <c r="H18" s="443">
        <f>SUMIFS('Diags Raw Data'!$S$6:$S$4697,'Diags Raw Data'!$D$6:$D$4697,$A18,'Diags Raw Data'!$L$6:$L$4697,"Legacy")</f>
        <v>0</v>
      </c>
      <c r="I18" s="444">
        <f>SUMIFS('Diags Raw Data'!$T$6:$T$4697,'Diags Raw Data'!$D$6:$D$4697,$A18,'Diags Raw Data'!$L$6:$L$4697,"Legacy")</f>
        <v>0</v>
      </c>
      <c r="J18" s="443">
        <f>SUMIFS('Diags Raw Data'!$U$6:$U$4697,'Diags Raw Data'!$D$6:$D$4697,$A18,'Diags Raw Data'!$L$6:$L$4697,"Legacy")</f>
        <v>0</v>
      </c>
      <c r="K18" s="444">
        <f>SUMIFS('Diags Raw Data'!$V$6:$V$4697,'Diags Raw Data'!$D$6:$D$4697,$A18,'Diags Raw Data'!$L$6:$L$4697,"Legacy")</f>
        <v>0</v>
      </c>
      <c r="L18" s="445" t="str">
        <f t="shared" ref="L18" si="43">IF(NOT($C18=0), G18/$C18, "---")</f>
        <v>---</v>
      </c>
      <c r="M18" s="446" t="str">
        <f t="shared" ref="M18" si="44">IF(NOT($G18=0), (H18+I18)/$G18, "---")</f>
        <v>---</v>
      </c>
      <c r="N18" s="481" t="str">
        <f t="shared" ref="N18" si="45">IF(NOT($C18=0), (H18+I18)/$C18, "---")</f>
        <v>---</v>
      </c>
      <c r="O18" s="477">
        <f>SUMIFS('Diags Raw Data'!$Y$6:$Y$4697,'Diags Raw Data'!$D$6:$D$4697,$A18,'Diags Raw Data'!$L$6:$L$4697,"Legacy")</f>
        <v>0</v>
      </c>
      <c r="P18" s="447">
        <f>SUMIFS('Diags Raw Data'!$Z$6:$Z$4697,'Diags Raw Data'!$D$6:$D$4697,$A18,'Diags Raw Data'!$L$6:$L$4697,"Legacy")</f>
        <v>0</v>
      </c>
      <c r="Q18" s="448">
        <f>SUMIFS('Diags Raw Data'!$AA$6:$AA$4697,'Diags Raw Data'!$D$6:$D$4697,$A18,'Diags Raw Data'!$L$6:$L$4697,"Legacy")</f>
        <v>0</v>
      </c>
      <c r="R18" s="447">
        <f>SUMIFS('Diags Raw Data'!$AB$6:$AB$4697,'Diags Raw Data'!$D$6:$D$4697,$A18,'Diags Raw Data'!$L$6:$L$4697,"Legacy")</f>
        <v>0</v>
      </c>
      <c r="S18" s="448">
        <f>SUMIFS('Diags Raw Data'!$AC$6:$AC$4697,'Diags Raw Data'!$D$6:$D$4697,$A18,'Diags Raw Data'!$L$6:$L$4697,"Legacy")</f>
        <v>0</v>
      </c>
      <c r="T18" s="449" t="str">
        <f t="shared" ref="T18" si="46">IF(NOT($B18=0), O18/$B18, "---")</f>
        <v>---</v>
      </c>
      <c r="U18" s="450" t="str">
        <f t="shared" ref="U18" si="47">IF(NOT($O18=0), (P18+Q18)/$O18, "---")</f>
        <v>---</v>
      </c>
      <c r="V18" s="451" t="str">
        <f t="shared" ref="V18" si="48">IF(NOT($B18=0), (P18+Q18)/$B18, "---")</f>
        <v>---</v>
      </c>
    </row>
    <row r="19" spans="1:22" x14ac:dyDescent="0.25">
      <c r="A19" s="456"/>
      <c r="B19" s="454">
        <f>SUMIFS('Diags Raw Data'!$K$6:$K$4697,'Diags Raw Data'!$D$6:$D$4697,$A19,'Diags Raw Data'!$L$6:$L$4697,"Legacy")</f>
        <v>0</v>
      </c>
      <c r="C19" s="433">
        <f>SUMIFS('Diags Raw Data'!$Q$6:$Q$4697,'Diags Raw Data'!$D$6:$D$4697,$A19,'Diags Raw Data'!$L$6:$L$4697,"Legacy")</f>
        <v>0</v>
      </c>
      <c r="D19" s="433">
        <f>SUMIFS('Diags Raw Data'!$J$6:$J$4697,'Diags Raw Data'!$D$6:$D$4697,$A19,'Diags Raw Data'!$L$6:$L$4697,"Legacy")</f>
        <v>0</v>
      </c>
      <c r="E19" s="433">
        <f>SUMIFS('Diags Raw Data'!$N$6:$N$4697,'Diags Raw Data'!$D$6:$D$4697,$A19,'Diags Raw Data'!$L$6:$L$4697,"Legacy")</f>
        <v>0</v>
      </c>
      <c r="F19" s="475" t="str">
        <f t="shared" ref="F19" si="49">IF(NOT($B19=0), E19/$B19, "---")</f>
        <v>---</v>
      </c>
      <c r="G19" s="482">
        <f>SUMIFS('Diags Raw Data'!$R$6:$R$4697,'Diags Raw Data'!$D$6:$D$4697,$A19,'Diags Raw Data'!$L$6:$L$4697,"Legacy")</f>
        <v>0</v>
      </c>
      <c r="H19" s="434">
        <f>SUMIFS('Diags Raw Data'!$S$6:$S$4697,'Diags Raw Data'!$D$6:$D$4697,$A19,'Diags Raw Data'!$L$6:$L$4697,"Legacy")</f>
        <v>0</v>
      </c>
      <c r="I19" s="435">
        <f>SUMIFS('Diags Raw Data'!$T$6:$T$4697,'Diags Raw Data'!$D$6:$D$4697,$A19,'Diags Raw Data'!$L$6:$L$4697,"Legacy")</f>
        <v>0</v>
      </c>
      <c r="J19" s="434">
        <f>SUMIFS('Diags Raw Data'!$U$6:$U$4697,'Diags Raw Data'!$D$6:$D$4697,$A19,'Diags Raw Data'!$L$6:$L$4697,"Legacy")</f>
        <v>0</v>
      </c>
      <c r="K19" s="435">
        <f>SUMIFS('Diags Raw Data'!$V$6:$V$4697,'Diags Raw Data'!$D$6:$D$4697,$A19,'Diags Raw Data'!$L$6:$L$4697,"Legacy")</f>
        <v>0</v>
      </c>
      <c r="L19" s="436" t="str">
        <f t="shared" ref="L19" si="50">IF(NOT($C19=0), G19/$C19, "---")</f>
        <v>---</v>
      </c>
      <c r="M19" s="437" t="str">
        <f t="shared" ref="M19" si="51">IF(NOT($G19=0), (H19+I19)/$G19, "---")</f>
        <v>---</v>
      </c>
      <c r="N19" s="483" t="str">
        <f t="shared" ref="N19" si="52">IF(NOT($C19=0), (H19+I19)/$C19, "---")</f>
        <v>---</v>
      </c>
      <c r="O19" s="478">
        <f>SUMIFS('Diags Raw Data'!$Y$6:$Y$4697,'Diags Raw Data'!$D$6:$D$4697,$A19,'Diags Raw Data'!$L$6:$L$4697,"Legacy")</f>
        <v>0</v>
      </c>
      <c r="P19" s="438">
        <f>SUMIFS('Diags Raw Data'!$Z$6:$Z$4697,'Diags Raw Data'!$D$6:$D$4697,$A19,'Diags Raw Data'!$L$6:$L$4697,"Legacy")</f>
        <v>0</v>
      </c>
      <c r="Q19" s="439">
        <f>SUMIFS('Diags Raw Data'!$AA$6:$AA$4697,'Diags Raw Data'!$D$6:$D$4697,$A19,'Diags Raw Data'!$L$6:$L$4697,"Legacy")</f>
        <v>0</v>
      </c>
      <c r="R19" s="438">
        <f>SUMIFS('Diags Raw Data'!$AB$6:$AB$4697,'Diags Raw Data'!$D$6:$D$4697,$A19,'Diags Raw Data'!$L$6:$L$4697,"Legacy")</f>
        <v>0</v>
      </c>
      <c r="S19" s="439">
        <f>SUMIFS('Diags Raw Data'!$AC$6:$AC$4697,'Diags Raw Data'!$D$6:$D$4697,$A19,'Diags Raw Data'!$L$6:$L$4697,"Legacy")</f>
        <v>0</v>
      </c>
      <c r="T19" s="440" t="str">
        <f t="shared" ref="T19" si="53">IF(NOT($B19=0), O19/$B19, "---")</f>
        <v>---</v>
      </c>
      <c r="U19" s="441" t="str">
        <f t="shared" ref="U19" si="54">IF(NOT($O19=0), (P19+Q19)/$O19, "---")</f>
        <v>---</v>
      </c>
      <c r="V19" s="452" t="str">
        <f t="shared" ref="V19" si="55">IF(NOT($B19=0), (P19+Q19)/$B19, "---")</f>
        <v>---</v>
      </c>
    </row>
    <row r="20" spans="1:22" ht="15.75" thickBot="1" x14ac:dyDescent="0.3">
      <c r="A20" s="460"/>
      <c r="B20" s="461">
        <f>SUMIFS('Diags Raw Data'!$K$6:$K$4697,'Diags Raw Data'!$D$6:$D$4697,$A20,'Diags Raw Data'!$L$6:$L$4697,"Legacy")</f>
        <v>0</v>
      </c>
      <c r="C20" s="462">
        <f>SUMIFS('Diags Raw Data'!$Q$6:$Q$4697,'Diags Raw Data'!$D$6:$D$4697,$A20,'Diags Raw Data'!$L$6:$L$4697,"Legacy")</f>
        <v>0</v>
      </c>
      <c r="D20" s="462">
        <f>SUMIFS('Diags Raw Data'!$J$6:$J$4697,'Diags Raw Data'!$D$6:$D$4697,$A20,'Diags Raw Data'!$L$6:$L$4697,"Legacy")</f>
        <v>0</v>
      </c>
      <c r="E20" s="462">
        <f>SUMIFS('Diags Raw Data'!$N$6:$N$4697,'Diags Raw Data'!$D$6:$D$4697,$A20,'Diags Raw Data'!$L$6:$L$4697,"Legacy")</f>
        <v>0</v>
      </c>
      <c r="F20" s="476" t="str">
        <f t="shared" ref="F20" si="56">IF(NOT($B20=0), E20/$B20, "---")</f>
        <v>---</v>
      </c>
      <c r="G20" s="484">
        <f>SUMIFS('Diags Raw Data'!$R$6:$R$4697,'Diags Raw Data'!$D$6:$D$4697,$A20,'Diags Raw Data'!$L$6:$L$4697,"Legacy")</f>
        <v>0</v>
      </c>
      <c r="H20" s="463">
        <f>SUMIFS('Diags Raw Data'!$S$6:$S$4697,'Diags Raw Data'!$D$6:$D$4697,$A20,'Diags Raw Data'!$L$6:$L$4697,"Legacy")</f>
        <v>0</v>
      </c>
      <c r="I20" s="464">
        <f>SUMIFS('Diags Raw Data'!$T$6:$T$4697,'Diags Raw Data'!$D$6:$D$4697,$A20,'Diags Raw Data'!$L$6:$L$4697,"Legacy")</f>
        <v>0</v>
      </c>
      <c r="J20" s="463">
        <f>SUMIFS('Diags Raw Data'!$U$6:$U$4697,'Diags Raw Data'!$D$6:$D$4697,$A20,'Diags Raw Data'!$L$6:$L$4697,"Legacy")</f>
        <v>0</v>
      </c>
      <c r="K20" s="464">
        <f>SUMIFS('Diags Raw Data'!$V$6:$V$4697,'Diags Raw Data'!$D$6:$D$4697,$A20,'Diags Raw Data'!$L$6:$L$4697,"Legacy")</f>
        <v>0</v>
      </c>
      <c r="L20" s="465" t="str">
        <f t="shared" ref="L20" si="57">IF(NOT($C20=0), G20/$C20, "---")</f>
        <v>---</v>
      </c>
      <c r="M20" s="466" t="str">
        <f t="shared" ref="M20:M21" si="58">IF(NOT($G20=0), (H20+I20)/$G20, "---")</f>
        <v>---</v>
      </c>
      <c r="N20" s="485" t="str">
        <f t="shared" ref="N20:N21" si="59">IF(NOT($C20=0), (H20+I20)/$C20, "---")</f>
        <v>---</v>
      </c>
      <c r="O20" s="479">
        <f>SUMIFS('Diags Raw Data'!$Y$6:$Y$4697,'Diags Raw Data'!$D$6:$D$4697,$A20,'Diags Raw Data'!$L$6:$L$4697,"Legacy")</f>
        <v>0</v>
      </c>
      <c r="P20" s="467">
        <f>SUMIFS('Diags Raw Data'!$Z$6:$Z$4697,'Diags Raw Data'!$D$6:$D$4697,$A20,'Diags Raw Data'!$L$6:$L$4697,"Legacy")</f>
        <v>0</v>
      </c>
      <c r="Q20" s="468">
        <f>SUMIFS('Diags Raw Data'!$AA$6:$AA$4697,'Diags Raw Data'!$D$6:$D$4697,$A20,'Diags Raw Data'!$L$6:$L$4697,"Legacy")</f>
        <v>0</v>
      </c>
      <c r="R20" s="467">
        <f>SUMIFS('Diags Raw Data'!$AB$6:$AB$4697,'Diags Raw Data'!$D$6:$D$4697,$A20,'Diags Raw Data'!$L$6:$L$4697,"Legacy")</f>
        <v>0</v>
      </c>
      <c r="S20" s="468">
        <f>SUMIFS('Diags Raw Data'!$AC$6:$AC$4697,'Diags Raw Data'!$D$6:$D$4697,$A20,'Diags Raw Data'!$L$6:$L$4697,"Legacy")</f>
        <v>0</v>
      </c>
      <c r="T20" s="469" t="str">
        <f t="shared" ref="T20" si="60">IF(NOT($B20=0), O20/$B20, "---")</f>
        <v>---</v>
      </c>
      <c r="U20" s="470" t="str">
        <f t="shared" ref="U20:U21" si="61">IF(NOT($O20=0), (P20+Q20)/$O20, "---")</f>
        <v>---</v>
      </c>
      <c r="V20" s="471" t="str">
        <f t="shared" ref="V20" si="62">IF(NOT($B20=0), (P20+Q20)/$B20, "---")</f>
        <v>---</v>
      </c>
    </row>
    <row r="21" spans="1:22" ht="16.5" thickBot="1" x14ac:dyDescent="0.3">
      <c r="A21" s="457" t="s">
        <v>252</v>
      </c>
      <c r="B21" s="458">
        <f>SUM(B18:B20)</f>
        <v>0</v>
      </c>
      <c r="C21" s="459">
        <f t="shared" ref="C21:E21" si="63">SUM(C18:C20)</f>
        <v>0</v>
      </c>
      <c r="D21" s="459">
        <f t="shared" si="63"/>
        <v>0</v>
      </c>
      <c r="E21" s="459">
        <f t="shared" si="63"/>
        <v>0</v>
      </c>
      <c r="F21" s="197" t="e" cm="1">
        <f t="array" ref="F21">SUMPRODUCT(--(ISNUMBER(SEARCH("Legacy",'Diags Raw Data'!$L$6:$L$4697))),'Diags Raw Data'!$J$6:$J$4697,'Diags Raw Data'!$O$6:$O$4697)/D21</f>
        <v>#DIV/0!</v>
      </c>
      <c r="G21" s="198">
        <f>SUM(G18:G20)</f>
        <v>0</v>
      </c>
      <c r="H21" s="199">
        <f t="shared" ref="H21:K21" si="64">SUM(H18:H20)</f>
        <v>0</v>
      </c>
      <c r="I21" s="199">
        <f t="shared" si="64"/>
        <v>0</v>
      </c>
      <c r="J21" s="199">
        <f t="shared" si="64"/>
        <v>0</v>
      </c>
      <c r="K21" s="199">
        <f t="shared" si="64"/>
        <v>0</v>
      </c>
      <c r="L21" s="200" t="str">
        <f>IF(NOT($C21=0), G21/$C21, "---")</f>
        <v>---</v>
      </c>
      <c r="M21" s="201" t="str">
        <f t="shared" si="58"/>
        <v>---</v>
      </c>
      <c r="N21" s="202" t="str">
        <f t="shared" si="59"/>
        <v>---</v>
      </c>
      <c r="O21" s="203">
        <f>SUM(O18:O20)</f>
        <v>0</v>
      </c>
      <c r="P21" s="204">
        <f t="shared" ref="P21:S21" si="65">SUM(P18:P20)</f>
        <v>0</v>
      </c>
      <c r="Q21" s="204">
        <f t="shared" si="65"/>
        <v>0</v>
      </c>
      <c r="R21" s="204">
        <f t="shared" si="65"/>
        <v>0</v>
      </c>
      <c r="S21" s="204">
        <f t="shared" si="65"/>
        <v>0</v>
      </c>
      <c r="T21" s="205" t="str">
        <f>IF(NOT($B21=0), O21/$B21, "---")</f>
        <v>---</v>
      </c>
      <c r="U21" s="206" t="str">
        <f t="shared" si="61"/>
        <v>---</v>
      </c>
      <c r="V21" s="207" t="str">
        <f>IF(NOT($B21=0), (P21+Q21)/$B21, "---")</f>
        <v>---</v>
      </c>
    </row>
    <row r="22" spans="1:22" x14ac:dyDescent="0.25">
      <c r="A22" s="195"/>
      <c r="B22" s="195"/>
      <c r="C22" s="195"/>
      <c r="D22" s="195"/>
      <c r="E22" s="195"/>
      <c r="F22" s="195"/>
      <c r="G22" s="195"/>
      <c r="H22" s="195"/>
      <c r="I22" s="195"/>
      <c r="J22" s="195"/>
      <c r="K22" s="195"/>
      <c r="L22" s="195"/>
      <c r="M22" s="195"/>
      <c r="N22" s="195"/>
      <c r="O22" s="195"/>
      <c r="P22" s="195"/>
      <c r="Q22" s="195"/>
      <c r="R22" s="195"/>
      <c r="S22" s="195"/>
      <c r="T22" s="195"/>
      <c r="U22" s="195"/>
      <c r="V22" s="195"/>
    </row>
    <row r="24" spans="1:22" x14ac:dyDescent="0.25">
      <c r="F24" s="130"/>
    </row>
    <row r="27" spans="1:22" x14ac:dyDescent="0.25">
      <c r="F27" s="293"/>
    </row>
    <row r="28" spans="1:22" x14ac:dyDescent="0.25">
      <c r="F28" s="292"/>
    </row>
    <row r="29" spans="1:22" x14ac:dyDescent="0.25">
      <c r="F29" s="292"/>
    </row>
  </sheetData>
  <mergeCells count="10">
    <mergeCell ref="A1:V1"/>
    <mergeCell ref="B9:F9"/>
    <mergeCell ref="B16:F16"/>
    <mergeCell ref="G16:N16"/>
    <mergeCell ref="O16:V16"/>
    <mergeCell ref="G9:N9"/>
    <mergeCell ref="O9:V9"/>
    <mergeCell ref="B2:F2"/>
    <mergeCell ref="G2:N2"/>
    <mergeCell ref="O2:V2"/>
  </mergeCells>
  <phoneticPr fontId="30" type="noConversion"/>
  <conditionalFormatting sqref="F4">
    <cfRule type="colorScale" priority="76">
      <colorScale>
        <cfvo type="percent" val="20"/>
        <cfvo type="percent" val="50"/>
        <cfvo type="percent" val="100"/>
        <color rgb="FFF8696B"/>
        <color rgb="FFFFEB84"/>
        <color rgb="FF63BE7B"/>
      </colorScale>
    </cfRule>
    <cfRule type="colorScale" priority="77">
      <colorScale>
        <cfvo type="min"/>
        <cfvo type="percentile" val="50"/>
        <cfvo type="max"/>
        <color rgb="FFF8696B"/>
        <color rgb="FFFFEB84"/>
        <color rgb="FF63BE7B"/>
      </colorScale>
    </cfRule>
    <cfRule type="colorScale" priority="75">
      <colorScale>
        <cfvo type="percentile" val="10"/>
        <cfvo type="percentile" val="50"/>
        <cfvo type="percentile" val="90"/>
        <color rgb="FFF8696B"/>
        <color rgb="FFFFEB84"/>
        <color rgb="FF63BE7B"/>
      </colorScale>
    </cfRule>
    <cfRule type="colorScale" priority="74">
      <colorScale>
        <cfvo type="percent" val="0"/>
        <cfvo type="percent" val="50"/>
        <cfvo type="percent" val="100"/>
        <color rgb="FFF8696B"/>
        <color rgb="FFFFEB84"/>
        <color rgb="FF63BE7B"/>
      </colorScale>
    </cfRule>
    <cfRule type="colorScale" priority="73">
      <colorScale>
        <cfvo type="percentile" val="10"/>
        <cfvo type="percentile" val="50"/>
        <cfvo type="percentile" val="9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onditionalFormatting>
  <conditionalFormatting sqref="F5">
    <cfRule type="colorScale" priority="92">
      <colorScale>
        <cfvo type="percentile" val="10"/>
        <cfvo type="percentile" val="50"/>
        <cfvo type="percentile" val="90"/>
        <color rgb="FFF8696B"/>
        <color rgb="FFFFEB84"/>
        <color rgb="FF63BE7B"/>
      </colorScale>
    </cfRule>
    <cfRule type="colorScale" priority="88">
      <colorScale>
        <cfvo type="percent" val="0"/>
        <cfvo type="percent" val="50"/>
        <cfvo type="percent" val="10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0">
      <colorScale>
        <cfvo type="percentile" val="10"/>
        <cfvo type="percentile" val="50"/>
        <cfvo type="percentile" val="90"/>
        <color rgb="FFF8696B"/>
        <color rgb="FFFFEB84"/>
        <color rgb="FF63BE7B"/>
      </colorScale>
    </cfRule>
    <cfRule type="colorScale" priority="91">
      <colorScale>
        <cfvo type="percent" val="0"/>
        <cfvo type="percent" val="50"/>
        <cfvo type="percent" val="10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6">
    <cfRule type="colorScale" priority="546">
      <colorScale>
        <cfvo type="percent" val="20"/>
        <cfvo type="percent" val="50"/>
        <cfvo type="percent" val="100"/>
        <color rgb="FFF8696B"/>
        <color rgb="FFFFEB84"/>
        <color rgb="FF63BE7B"/>
      </colorScale>
    </cfRule>
    <cfRule type="colorScale" priority="541">
      <colorScale>
        <cfvo type="percent" val="0"/>
        <cfvo type="percent" val="50"/>
        <cfvo type="percent" val="100"/>
        <color rgb="FFF8696B"/>
        <color rgb="FFFFEB84"/>
        <color rgb="FF63BE7B"/>
      </colorScale>
    </cfRule>
    <cfRule type="colorScale" priority="545">
      <colorScale>
        <cfvo type="percentile" val="10"/>
        <cfvo type="percentile" val="50"/>
        <cfvo type="percentile" val="90"/>
        <color rgb="FFF8696B"/>
        <color rgb="FFFFEB84"/>
        <color rgb="FF63BE7B"/>
      </colorScale>
    </cfRule>
    <cfRule type="colorScale" priority="544">
      <colorScale>
        <cfvo type="percent" val="0"/>
        <cfvo type="percent" val="50"/>
        <cfvo type="percent" val="100"/>
        <color rgb="FFF8696B"/>
        <color rgb="FFFFEB84"/>
        <color rgb="FF63BE7B"/>
      </colorScale>
    </cfRule>
    <cfRule type="colorScale" priority="543">
      <colorScale>
        <cfvo type="percentile" val="10"/>
        <cfvo type="percentile" val="50"/>
        <cfvo type="percentile" val="90"/>
        <color rgb="FFF8696B"/>
        <color rgb="FFFFEB84"/>
        <color rgb="FF63BE7B"/>
      </colorScale>
    </cfRule>
    <cfRule type="colorScale" priority="542">
      <colorScale>
        <cfvo type="percent" val="0"/>
        <cfvo type="percent" val="50"/>
        <cfvo type="percent" val="100"/>
        <color rgb="FFF8696B"/>
        <color rgb="FFFFEB84"/>
        <color rgb="FF63BE7B"/>
      </colorScale>
    </cfRule>
    <cfRule type="colorScale" priority="547">
      <colorScale>
        <cfvo type="min"/>
        <cfvo type="percentile" val="50"/>
        <cfvo type="max"/>
        <color rgb="FFF8696B"/>
        <color rgb="FFFFEB84"/>
        <color rgb="FF63BE7B"/>
      </colorScale>
    </cfRule>
  </conditionalFormatting>
  <conditionalFormatting sqref="F11">
    <cfRule type="colorScale" priority="43">
      <colorScale>
        <cfvo type="percentile" val="10"/>
        <cfvo type="percentile" val="50"/>
        <cfvo type="percentile" val="90"/>
        <color rgb="FFF8696B"/>
        <color rgb="FFFFEB84"/>
        <color rgb="FF63BE7B"/>
      </colorScale>
    </cfRule>
    <cfRule type="colorScale" priority="44">
      <colorScale>
        <cfvo type="percent" val="0"/>
        <cfvo type="percent" val="50"/>
        <cfvo type="percent" val="100"/>
        <color rgb="FFF8696B"/>
        <color rgb="FFFFEB84"/>
        <color rgb="FF63BE7B"/>
      </colorScale>
    </cfRule>
    <cfRule type="colorScale" priority="47">
      <colorScale>
        <cfvo type="min"/>
        <cfvo type="percentile" val="50"/>
        <cfvo type="max"/>
        <color rgb="FFF8696B"/>
        <color rgb="FFFFEB84"/>
        <color rgb="FF63BE7B"/>
      </colorScale>
    </cfRule>
    <cfRule type="colorScale" priority="45">
      <colorScale>
        <cfvo type="percentile" val="10"/>
        <cfvo type="percentile" val="50"/>
        <cfvo type="percentile" val="90"/>
        <color rgb="FFF8696B"/>
        <color rgb="FFFFEB84"/>
        <color rgb="FF63BE7B"/>
      </colorScale>
    </cfRule>
    <cfRule type="colorScale" priority="46">
      <colorScale>
        <cfvo type="percent" val="20"/>
        <cfvo type="percent" val="50"/>
        <cfvo type="percent" val="100"/>
        <color rgb="FFF8696B"/>
        <color rgb="FFFFEB84"/>
        <color rgb="FF63BE7B"/>
      </colorScale>
    </cfRule>
    <cfRule type="colorScale" priority="41">
      <colorScale>
        <cfvo type="percent" val="0"/>
        <cfvo type="percent" val="50"/>
        <cfvo type="percent" val="100"/>
        <color rgb="FFF8696B"/>
        <color rgb="FFFFEB84"/>
        <color rgb="FF63BE7B"/>
      </colorScale>
    </cfRule>
    <cfRule type="colorScale" priority="42">
      <colorScale>
        <cfvo type="percent" val="0"/>
        <cfvo type="percent" val="50"/>
        <cfvo type="percent" val="100"/>
        <color rgb="FFF8696B"/>
        <color rgb="FFFFEB84"/>
        <color rgb="FF63BE7B"/>
      </colorScale>
    </cfRule>
  </conditionalFormatting>
  <conditionalFormatting sqref="F12">
    <cfRule type="colorScale" priority="57">
      <colorScale>
        <cfvo type="percent" val="0"/>
        <cfvo type="percent" val="50"/>
        <cfvo type="percent" val="100"/>
        <color rgb="FFF8696B"/>
        <color rgb="FFFFEB84"/>
        <color rgb="FF63BE7B"/>
      </colorScale>
    </cfRule>
    <cfRule type="colorScale" priority="58">
      <colorScale>
        <cfvo type="percentile" val="10"/>
        <cfvo type="percentile" val="50"/>
        <cfvo type="percentile" val="90"/>
        <color rgb="FFF8696B"/>
        <color rgb="FFFFEB84"/>
        <color rgb="FF63BE7B"/>
      </colorScale>
    </cfRule>
    <cfRule type="colorScale" priority="59">
      <colorScale>
        <cfvo type="percent" val="0"/>
        <cfvo type="percent" val="50"/>
        <cfvo type="percent" val="100"/>
        <color rgb="FFF8696B"/>
        <color rgb="FFFFEB84"/>
        <color rgb="FF63BE7B"/>
      </colorScale>
    </cfRule>
    <cfRule type="colorScale" priority="60">
      <colorScale>
        <cfvo type="percentile" val="10"/>
        <cfvo type="percentile" val="50"/>
        <cfvo type="percentile" val="90"/>
        <color rgb="FFF8696B"/>
        <color rgb="FFFFEB84"/>
        <color rgb="FF63BE7B"/>
      </colorScale>
    </cfRule>
    <cfRule type="colorScale" priority="62">
      <colorScale>
        <cfvo type="min"/>
        <cfvo type="percentile" val="50"/>
        <cfvo type="max"/>
        <color rgb="FFF8696B"/>
        <color rgb="FFFFEB84"/>
        <color rgb="FF63BE7B"/>
      </colorScale>
    </cfRule>
    <cfRule type="colorScale" priority="56">
      <colorScale>
        <cfvo type="percent" val="0"/>
        <cfvo type="percent" val="50"/>
        <cfvo type="percent" val="100"/>
        <color rgb="FFF8696B"/>
        <color rgb="FFFFEB84"/>
        <color rgb="FF63BE7B"/>
      </colorScale>
    </cfRule>
    <cfRule type="colorScale" priority="61">
      <colorScale>
        <cfvo type="percent" val="20"/>
        <cfvo type="percent" val="50"/>
        <cfvo type="percent" val="100"/>
        <color rgb="FFF8696B"/>
        <color rgb="FFFFEB84"/>
        <color rgb="FF63BE7B"/>
      </colorScale>
    </cfRule>
  </conditionalFormatting>
  <conditionalFormatting sqref="F13">
    <cfRule type="colorScale" priority="564">
      <colorScale>
        <cfvo type="min"/>
        <cfvo type="percentile" val="50"/>
        <cfvo type="max"/>
        <color rgb="FFF8696B"/>
        <color rgb="FFFFEB84"/>
        <color rgb="FF63BE7B"/>
      </colorScale>
    </cfRule>
    <cfRule type="colorScale" priority="558">
      <colorScale>
        <cfvo type="percent" val="0"/>
        <cfvo type="percent" val="50"/>
        <cfvo type="percent" val="100"/>
        <color rgb="FFF8696B"/>
        <color rgb="FFFFEB84"/>
        <color rgb="FF63BE7B"/>
      </colorScale>
    </cfRule>
    <cfRule type="colorScale" priority="559">
      <colorScale>
        <cfvo type="percent" val="0"/>
        <cfvo type="percent" val="50"/>
        <cfvo type="percent" val="100"/>
        <color rgb="FFF8696B"/>
        <color rgb="FFFFEB84"/>
        <color rgb="FF63BE7B"/>
      </colorScale>
    </cfRule>
    <cfRule type="colorScale" priority="560">
      <colorScale>
        <cfvo type="percentile" val="10"/>
        <cfvo type="percentile" val="50"/>
        <cfvo type="percentile" val="90"/>
        <color rgb="FFF8696B"/>
        <color rgb="FFFFEB84"/>
        <color rgb="FF63BE7B"/>
      </colorScale>
    </cfRule>
    <cfRule type="colorScale" priority="561">
      <colorScale>
        <cfvo type="percent" val="0"/>
        <cfvo type="percent" val="50"/>
        <cfvo type="percent" val="100"/>
        <color rgb="FFF8696B"/>
        <color rgb="FFFFEB84"/>
        <color rgb="FF63BE7B"/>
      </colorScale>
    </cfRule>
    <cfRule type="colorScale" priority="562">
      <colorScale>
        <cfvo type="percentile" val="10"/>
        <cfvo type="percentile" val="50"/>
        <cfvo type="percentile" val="90"/>
        <color rgb="FFF8696B"/>
        <color rgb="FFFFEB84"/>
        <color rgb="FF63BE7B"/>
      </colorScale>
    </cfRule>
    <cfRule type="colorScale" priority="563">
      <colorScale>
        <cfvo type="percent" val="20"/>
        <cfvo type="percent" val="50"/>
        <cfvo type="percent" val="100"/>
        <color rgb="FFF8696B"/>
        <color rgb="FFFFEB84"/>
        <color rgb="FF63BE7B"/>
      </colorScale>
    </cfRule>
  </conditionalFormatting>
  <conditionalFormatting sqref="F18">
    <cfRule type="colorScale" priority="2">
      <colorScale>
        <cfvo type="percent" val="20"/>
        <cfvo type="percent" val="60"/>
        <cfvo type="percent" val="90"/>
        <color rgb="FFF8696B"/>
        <color rgb="FFFFEB84"/>
        <color rgb="FF63BE7B"/>
      </colorScale>
    </cfRule>
    <cfRule type="colorScale" priority="3">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fRule type="colorScale" priority="1">
      <colorScale>
        <cfvo type="percent" val="0"/>
        <cfvo type="percent" val="50"/>
        <cfvo type="percent" val="100"/>
        <color rgb="FFF8696B"/>
        <color rgb="FFFFEB84"/>
        <color rgb="FF63BE7B"/>
      </colorScale>
    </cfRule>
    <cfRule type="colorScale" priority="10">
      <colorScale>
        <cfvo type="min"/>
        <cfvo type="percentile" val="50"/>
        <cfvo type="max"/>
        <color rgb="FFF8696B"/>
        <color rgb="FFFFEB84"/>
        <color rgb="FF63BE7B"/>
      </colorScale>
    </cfRule>
    <cfRule type="colorScale" priority="9">
      <colorScale>
        <cfvo type="percent" val="20"/>
        <cfvo type="percent" val="50"/>
        <cfvo type="percent" val="100"/>
        <color rgb="FFF8696B"/>
        <color rgb="FFFFEB84"/>
        <color rgb="FF63BE7B"/>
      </colorScale>
    </cfRule>
    <cfRule type="colorScale" priority="8">
      <colorScale>
        <cfvo type="percentile" val="10"/>
        <cfvo type="percentile" val="50"/>
        <cfvo type="percentile" val="90"/>
        <color rgb="FFF8696B"/>
        <color rgb="FFFFEB84"/>
        <color rgb="FF63BE7B"/>
      </colorScale>
    </cfRule>
    <cfRule type="colorScale" priority="6">
      <colorScale>
        <cfvo type="percentile" val="10"/>
        <cfvo type="percentile" val="50"/>
        <cfvo type="percentile" val="90"/>
        <color rgb="FFF8696B"/>
        <color rgb="FFFFEB84"/>
        <color rgb="FF63BE7B"/>
      </colorScale>
    </cfRule>
  </conditionalFormatting>
  <conditionalFormatting sqref="F19">
    <cfRule type="colorScale" priority="29">
      <colorScale>
        <cfvo type="percent" val="20"/>
        <cfvo type="percent" val="50"/>
        <cfvo type="percent" val="100"/>
        <color rgb="FFF8696B"/>
        <color rgb="FFFFEB84"/>
        <color rgb="FF63BE7B"/>
      </colorScale>
    </cfRule>
    <cfRule type="colorScale" priority="30">
      <colorScale>
        <cfvo type="min"/>
        <cfvo type="percentile" val="50"/>
        <cfvo type="max"/>
        <color rgb="FFF8696B"/>
        <color rgb="FFFFEB84"/>
        <color rgb="FF63BE7B"/>
      </colorScale>
    </cfRule>
    <cfRule type="colorScale" priority="23">
      <colorScale>
        <cfvo type="percent" val="0"/>
        <cfvo type="percent" val="50"/>
        <cfvo type="percent" val="100"/>
        <color rgb="FFF8696B"/>
        <color rgb="FFFFEB84"/>
        <color rgb="FF63BE7B"/>
      </colorScale>
    </cfRule>
    <cfRule type="colorScale" priority="21">
      <colorScale>
        <cfvo type="percent" val="0"/>
        <cfvo type="percent" val="50"/>
        <cfvo type="percent" val="100"/>
        <color rgb="FFF8696B"/>
        <color rgb="FFFFEB84"/>
        <color rgb="FF63BE7B"/>
      </colorScale>
    </cfRule>
    <cfRule type="colorScale" priority="22">
      <colorScale>
        <cfvo type="percent" val="20"/>
        <cfvo type="percent" val="60"/>
        <cfvo type="percent" val="90"/>
        <color rgb="FFF8696B"/>
        <color rgb="FFFFEB84"/>
        <color rgb="FF63BE7B"/>
      </colorScale>
    </cfRule>
    <cfRule type="colorScale" priority="24">
      <colorScale>
        <cfvo type="percent" val="0"/>
        <cfvo type="percent" val="50"/>
        <cfvo type="percent" val="100"/>
        <color rgb="FFF8696B"/>
        <color rgb="FFFFEB84"/>
        <color rgb="FF63BE7B"/>
      </colorScale>
    </cfRule>
    <cfRule type="colorScale" priority="25">
      <colorScale>
        <cfvo type="percent" val="0"/>
        <cfvo type="percent" val="50"/>
        <cfvo type="percent" val="100"/>
        <color rgb="FFF8696B"/>
        <color rgb="FFFFEB84"/>
        <color rgb="FF63BE7B"/>
      </colorScale>
    </cfRule>
    <cfRule type="colorScale" priority="26">
      <colorScale>
        <cfvo type="percentile" val="10"/>
        <cfvo type="percentile" val="50"/>
        <cfvo type="percentile" val="90"/>
        <color rgb="FFF8696B"/>
        <color rgb="FFFFEB84"/>
        <color rgb="FF63BE7B"/>
      </colorScale>
    </cfRule>
    <cfRule type="colorScale" priority="27">
      <colorScale>
        <cfvo type="percent" val="0"/>
        <cfvo type="percent" val="50"/>
        <cfvo type="percent" val="100"/>
        <color rgb="FFF8696B"/>
        <color rgb="FFFFEB84"/>
        <color rgb="FF63BE7B"/>
      </colorScale>
    </cfRule>
    <cfRule type="colorScale" priority="28">
      <colorScale>
        <cfvo type="percentile" val="10"/>
        <cfvo type="percentile" val="50"/>
        <cfvo type="percentile" val="90"/>
        <color rgb="FFF8696B"/>
        <color rgb="FFFFEB84"/>
        <color rgb="FF63BE7B"/>
      </colorScale>
    </cfRule>
  </conditionalFormatting>
  <conditionalFormatting sqref="F20">
    <cfRule type="colorScale" priority="576">
      <colorScale>
        <cfvo type="percent" val="0"/>
        <cfvo type="percent" val="50"/>
        <cfvo type="percent" val="100"/>
        <color rgb="FFF8696B"/>
        <color rgb="FFFFEB84"/>
        <color rgb="FF63BE7B"/>
      </colorScale>
    </cfRule>
    <cfRule type="colorScale" priority="577">
      <colorScale>
        <cfvo type="percent" val="20"/>
        <cfvo type="percent" val="60"/>
        <cfvo type="percent" val="90"/>
        <color rgb="FFF8696B"/>
        <color rgb="FFFFEB84"/>
        <color rgb="FF63BE7B"/>
      </colorScale>
    </cfRule>
    <cfRule type="colorScale" priority="578">
      <colorScale>
        <cfvo type="percent" val="0"/>
        <cfvo type="percent" val="50"/>
        <cfvo type="percent" val="100"/>
        <color rgb="FFF8696B"/>
        <color rgb="FFFFEB84"/>
        <color rgb="FF63BE7B"/>
      </colorScale>
    </cfRule>
    <cfRule type="colorScale" priority="579">
      <colorScale>
        <cfvo type="percent" val="0"/>
        <cfvo type="percent" val="50"/>
        <cfvo type="percent" val="100"/>
        <color rgb="FFF8696B"/>
        <color rgb="FFFFEB84"/>
        <color rgb="FF63BE7B"/>
      </colorScale>
    </cfRule>
    <cfRule type="colorScale" priority="580">
      <colorScale>
        <cfvo type="percent" val="0"/>
        <cfvo type="percent" val="50"/>
        <cfvo type="percent" val="100"/>
        <color rgb="FFF8696B"/>
        <color rgb="FFFFEB84"/>
        <color rgb="FF63BE7B"/>
      </colorScale>
    </cfRule>
    <cfRule type="colorScale" priority="581">
      <colorScale>
        <cfvo type="percentile" val="10"/>
        <cfvo type="percentile" val="50"/>
        <cfvo type="percentile" val="90"/>
        <color rgb="FFF8696B"/>
        <color rgb="FFFFEB84"/>
        <color rgb="FF63BE7B"/>
      </colorScale>
    </cfRule>
    <cfRule type="colorScale" priority="582">
      <colorScale>
        <cfvo type="percent" val="0"/>
        <cfvo type="percent" val="50"/>
        <cfvo type="percent" val="100"/>
        <color rgb="FFF8696B"/>
        <color rgb="FFFFEB84"/>
        <color rgb="FF63BE7B"/>
      </colorScale>
    </cfRule>
    <cfRule type="colorScale" priority="583">
      <colorScale>
        <cfvo type="percentile" val="10"/>
        <cfvo type="percentile" val="50"/>
        <cfvo type="percentile" val="90"/>
        <color rgb="FFF8696B"/>
        <color rgb="FFFFEB84"/>
        <color rgb="FF63BE7B"/>
      </colorScale>
    </cfRule>
    <cfRule type="colorScale" priority="584">
      <colorScale>
        <cfvo type="percent" val="20"/>
        <cfvo type="percent" val="50"/>
        <cfvo type="percent" val="100"/>
        <color rgb="FFF8696B"/>
        <color rgb="FFFFEB84"/>
        <color rgb="FF63BE7B"/>
      </colorScale>
    </cfRule>
    <cfRule type="colorScale" priority="585">
      <colorScale>
        <cfvo type="min"/>
        <cfvo type="percentile" val="50"/>
        <cfvo type="max"/>
        <color rgb="FFF8696B"/>
        <color rgb="FFFFEB84"/>
        <color rgb="FF63BE7B"/>
      </colorScale>
    </cfRule>
  </conditionalFormatting>
  <conditionalFormatting sqref="L4">
    <cfRule type="colorScale" priority="78">
      <colorScale>
        <cfvo type="percent" val="0"/>
        <cfvo type="percent" val="50"/>
        <cfvo type="percent" val="100"/>
        <color rgb="FFF8696B"/>
        <color rgb="FFFFEB84"/>
        <color rgb="FF63BE7B"/>
      </colorScale>
    </cfRule>
  </conditionalFormatting>
  <conditionalFormatting sqref="L5">
    <cfRule type="colorScale" priority="95">
      <colorScale>
        <cfvo type="percent" val="0"/>
        <cfvo type="percent" val="50"/>
        <cfvo type="percent" val="100"/>
        <color rgb="FFF8696B"/>
        <color rgb="FFFFEB84"/>
        <color rgb="FF63BE7B"/>
      </colorScale>
    </cfRule>
  </conditionalFormatting>
  <conditionalFormatting sqref="L6">
    <cfRule type="colorScale" priority="548">
      <colorScale>
        <cfvo type="percent" val="0"/>
        <cfvo type="percent" val="50"/>
        <cfvo type="percent" val="100"/>
        <color rgb="FFF8696B"/>
        <color rgb="FFFFEB84"/>
        <color rgb="FF63BE7B"/>
      </colorScale>
    </cfRule>
  </conditionalFormatting>
  <conditionalFormatting sqref="L18">
    <cfRule type="colorScale" priority="11">
      <colorScale>
        <cfvo type="percent" val="0"/>
        <cfvo type="percent" val="50"/>
        <cfvo type="percent" val="100"/>
        <color rgb="FFF8696B"/>
        <color rgb="FFFFEB84"/>
        <color rgb="FF63BE7B"/>
      </colorScale>
    </cfRule>
  </conditionalFormatting>
  <conditionalFormatting sqref="L19">
    <cfRule type="colorScale" priority="31">
      <colorScale>
        <cfvo type="percent" val="0"/>
        <cfvo type="percent" val="50"/>
        <cfvo type="percent" val="100"/>
        <color rgb="FFF8696B"/>
        <color rgb="FFFFEB84"/>
        <color rgb="FF63BE7B"/>
      </colorScale>
    </cfRule>
  </conditionalFormatting>
  <conditionalFormatting sqref="L20">
    <cfRule type="colorScale" priority="586">
      <colorScale>
        <cfvo type="percent" val="0"/>
        <cfvo type="percent" val="50"/>
        <cfvo type="percent" val="100"/>
        <color rgb="FFF8696B"/>
        <color rgb="FFFFEB84"/>
        <color rgb="FF63BE7B"/>
      </colorScale>
    </cfRule>
  </conditionalFormatting>
  <conditionalFormatting sqref="L4:N4">
    <cfRule type="colorScale" priority="86">
      <colorScale>
        <cfvo type="percent" val="0"/>
        <cfvo type="percent" val="50"/>
        <cfvo type="percent" val="100"/>
        <color rgb="FFF8696B"/>
        <color rgb="FFFFEB84"/>
        <color rgb="FF63BE7B"/>
      </colorScale>
    </cfRule>
  </conditionalFormatting>
  <conditionalFormatting sqref="L5:N5">
    <cfRule type="colorScale" priority="103">
      <colorScale>
        <cfvo type="percent" val="0"/>
        <cfvo type="percent" val="50"/>
        <cfvo type="percent" val="100"/>
        <color rgb="FFF8696B"/>
        <color rgb="FFFFEB84"/>
        <color rgb="FF63BE7B"/>
      </colorScale>
    </cfRule>
  </conditionalFormatting>
  <conditionalFormatting sqref="L6:N6">
    <cfRule type="colorScale" priority="556">
      <colorScale>
        <cfvo type="percent" val="0"/>
        <cfvo type="percent" val="50"/>
        <cfvo type="percent" val="100"/>
        <color rgb="FFF8696B"/>
        <color rgb="FFFFEB84"/>
        <color rgb="FF63BE7B"/>
      </colorScale>
    </cfRule>
  </conditionalFormatting>
  <conditionalFormatting sqref="L11:N11">
    <cfRule type="colorScale" priority="54">
      <colorScale>
        <cfvo type="percent" val="0"/>
        <cfvo type="percentile" val="50"/>
        <cfvo type="percent" val="100"/>
        <color rgb="FFF8696B"/>
        <color rgb="FFFFEB84"/>
        <color rgb="FF63BE7B"/>
      </colorScale>
    </cfRule>
  </conditionalFormatting>
  <conditionalFormatting sqref="L12:N12">
    <cfRule type="colorScale" priority="69">
      <colorScale>
        <cfvo type="percent" val="0"/>
        <cfvo type="percentile" val="50"/>
        <cfvo type="percent" val="100"/>
        <color rgb="FFF8696B"/>
        <color rgb="FFFFEB84"/>
        <color rgb="FF63BE7B"/>
      </colorScale>
    </cfRule>
  </conditionalFormatting>
  <conditionalFormatting sqref="L13:N13">
    <cfRule type="colorScale" priority="574">
      <colorScale>
        <cfvo type="percent" val="0"/>
        <cfvo type="percentile" val="50"/>
        <cfvo type="percent" val="100"/>
        <color rgb="FFF8696B"/>
        <color rgb="FFFFEB84"/>
        <color rgb="FF63BE7B"/>
      </colorScale>
    </cfRule>
  </conditionalFormatting>
  <conditionalFormatting sqref="L18:N18">
    <cfRule type="colorScale" priority="19">
      <colorScale>
        <cfvo type="percent" val="0"/>
        <cfvo type="percent" val="50"/>
        <cfvo type="percent" val="100"/>
        <color rgb="FFF8696B"/>
        <color rgb="FFFFEB84"/>
        <color rgb="FF63BE7B"/>
      </colorScale>
    </cfRule>
  </conditionalFormatting>
  <conditionalFormatting sqref="L19:N19">
    <cfRule type="colorScale" priority="39">
      <colorScale>
        <cfvo type="percent" val="0"/>
        <cfvo type="percent" val="50"/>
        <cfvo type="percent" val="100"/>
        <color rgb="FFF8696B"/>
        <color rgb="FFFFEB84"/>
        <color rgb="FF63BE7B"/>
      </colorScale>
    </cfRule>
  </conditionalFormatting>
  <conditionalFormatting sqref="L20:N20">
    <cfRule type="colorScale" priority="594">
      <colorScale>
        <cfvo type="percent" val="0"/>
        <cfvo type="percent" val="50"/>
        <cfvo type="percent" val="100"/>
        <color rgb="FFF8696B"/>
        <color rgb="FFFFEB84"/>
        <color rgb="FF63BE7B"/>
      </colorScale>
    </cfRule>
  </conditionalFormatting>
  <conditionalFormatting sqref="M4">
    <cfRule type="colorScale" priority="81">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onditionalFormatting>
  <conditionalFormatting sqref="M5">
    <cfRule type="colorScale" priority="97">
      <colorScale>
        <cfvo type="percent" val="0"/>
        <cfvo type="percent" val="50"/>
        <cfvo type="percent" val="100"/>
        <color rgb="FFF8696B"/>
        <color rgb="FFFFEB84"/>
        <color rgb="FF63BE7B"/>
      </colorScale>
    </cfRule>
    <cfRule type="colorScale" priority="98">
      <colorScale>
        <cfvo type="percent" val="0"/>
        <cfvo type="percent" val="50"/>
        <cfvo type="percent" val="100"/>
        <color rgb="FFF8696B"/>
        <color rgb="FFFFEB84"/>
        <color rgb="FF63BE7B"/>
      </colorScale>
    </cfRule>
  </conditionalFormatting>
  <conditionalFormatting sqref="M6">
    <cfRule type="colorScale" priority="551">
      <colorScale>
        <cfvo type="percent" val="0"/>
        <cfvo type="percent" val="50"/>
        <cfvo type="percent" val="100"/>
        <color rgb="FFF8696B"/>
        <color rgb="FFFFEB84"/>
        <color rgb="FF63BE7B"/>
      </colorScale>
    </cfRule>
    <cfRule type="colorScale" priority="550">
      <colorScale>
        <cfvo type="percent" val="0"/>
        <cfvo type="percent" val="50"/>
        <cfvo type="percent" val="100"/>
        <color rgb="FFF8696B"/>
        <color rgb="FFFFEB84"/>
        <color rgb="FF63BE7B"/>
      </colorScale>
    </cfRule>
  </conditionalFormatting>
  <conditionalFormatting sqref="M11">
    <cfRule type="colorScale" priority="53">
      <colorScale>
        <cfvo type="percent" val="0"/>
        <cfvo type="percent" val="50"/>
        <cfvo type="percent" val="100"/>
        <color rgb="FFF8696B"/>
        <color rgb="FFFFEB84"/>
        <color rgb="FF63BE7B"/>
      </colorScale>
    </cfRule>
    <cfRule type="colorScale" priority="52">
      <colorScale>
        <cfvo type="percent" val="0"/>
        <cfvo type="percent" val="50"/>
        <cfvo type="percent" val="100"/>
        <color rgb="FFF8696B"/>
        <color rgb="FFFFEB84"/>
        <color rgb="FF63BE7B"/>
      </colorScale>
    </cfRule>
  </conditionalFormatting>
  <conditionalFormatting sqref="M12">
    <cfRule type="colorScale" priority="67">
      <colorScale>
        <cfvo type="percent" val="0"/>
        <cfvo type="percent" val="50"/>
        <cfvo type="percent" val="100"/>
        <color rgb="FFF8696B"/>
        <color rgb="FFFFEB84"/>
        <color rgb="FF63BE7B"/>
      </colorScale>
    </cfRule>
    <cfRule type="colorScale" priority="68">
      <colorScale>
        <cfvo type="percent" val="0"/>
        <cfvo type="percent" val="50"/>
        <cfvo type="percent" val="100"/>
        <color rgb="FFF8696B"/>
        <color rgb="FFFFEB84"/>
        <color rgb="FF63BE7B"/>
      </colorScale>
    </cfRule>
  </conditionalFormatting>
  <conditionalFormatting sqref="M13">
    <cfRule type="colorScale" priority="572">
      <colorScale>
        <cfvo type="percent" val="0"/>
        <cfvo type="percent" val="50"/>
        <cfvo type="percent" val="100"/>
        <color rgb="FFF8696B"/>
        <color rgb="FFFFEB84"/>
        <color rgb="FF63BE7B"/>
      </colorScale>
    </cfRule>
    <cfRule type="colorScale" priority="573">
      <colorScale>
        <cfvo type="percent" val="0"/>
        <cfvo type="percent" val="50"/>
        <cfvo type="percent" val="100"/>
        <color rgb="FFF8696B"/>
        <color rgb="FFFFEB84"/>
        <color rgb="FF63BE7B"/>
      </colorScale>
    </cfRule>
  </conditionalFormatting>
  <conditionalFormatting sqref="M18">
    <cfRule type="colorScale" priority="14">
      <colorScale>
        <cfvo type="percent" val="0"/>
        <cfvo type="percent" val="50"/>
        <cfvo type="percent" val="100"/>
        <color rgb="FFF8696B"/>
        <color rgb="FFFFEB84"/>
        <color rgb="FF63BE7B"/>
      </colorScale>
    </cfRule>
    <cfRule type="colorScale" priority="13">
      <colorScale>
        <cfvo type="percent" val="0"/>
        <cfvo type="percent" val="50"/>
        <cfvo type="percent" val="100"/>
        <color rgb="FFF8696B"/>
        <color rgb="FFFFEB84"/>
        <color rgb="FF63BE7B"/>
      </colorScale>
    </cfRule>
  </conditionalFormatting>
  <conditionalFormatting sqref="M19">
    <cfRule type="colorScale" priority="33">
      <colorScale>
        <cfvo type="percent" val="0"/>
        <cfvo type="percent" val="50"/>
        <cfvo type="percent" val="100"/>
        <color rgb="FFF8696B"/>
        <color rgb="FFFFEB84"/>
        <color rgb="FF63BE7B"/>
      </colorScale>
    </cfRule>
    <cfRule type="colorScale" priority="34">
      <colorScale>
        <cfvo type="percent" val="0"/>
        <cfvo type="percent" val="50"/>
        <cfvo type="percent" val="100"/>
        <color rgb="FFF8696B"/>
        <color rgb="FFFFEB84"/>
        <color rgb="FF63BE7B"/>
      </colorScale>
    </cfRule>
  </conditionalFormatting>
  <conditionalFormatting sqref="M20">
    <cfRule type="colorScale" priority="588">
      <colorScale>
        <cfvo type="percent" val="0"/>
        <cfvo type="percent" val="50"/>
        <cfvo type="percent" val="100"/>
        <color rgb="FFF8696B"/>
        <color rgb="FFFFEB84"/>
        <color rgb="FF63BE7B"/>
      </colorScale>
    </cfRule>
    <cfRule type="colorScale" priority="589">
      <colorScale>
        <cfvo type="percent" val="0"/>
        <cfvo type="percent" val="50"/>
        <cfvo type="percent" val="100"/>
        <color rgb="FFF8696B"/>
        <color rgb="FFFFEB84"/>
        <color rgb="FF63BE7B"/>
      </colorScale>
    </cfRule>
  </conditionalFormatting>
  <conditionalFormatting sqref="N4">
    <cfRule type="colorScale" priority="84">
      <colorScale>
        <cfvo type="percent" val="0"/>
        <cfvo type="percent" val="50"/>
        <cfvo type="percent" val="100"/>
        <color rgb="FFF8696B"/>
        <color rgb="FFFFEB84"/>
        <color rgb="FF63BE7B"/>
      </colorScale>
    </cfRule>
    <cfRule type="colorScale" priority="83">
      <colorScale>
        <cfvo type="percent" val="0"/>
        <cfvo type="percent" val="50"/>
        <cfvo type="percent" val="100"/>
        <color rgb="FFF8696B"/>
        <color rgb="FFFFEB84"/>
        <color rgb="FF63BE7B"/>
      </colorScale>
    </cfRule>
  </conditionalFormatting>
  <conditionalFormatting sqref="N5">
    <cfRule type="colorScale" priority="100">
      <colorScale>
        <cfvo type="percent" val="0"/>
        <cfvo type="percent" val="50"/>
        <cfvo type="percent" val="100"/>
        <color rgb="FFF8696B"/>
        <color rgb="FFFFEB84"/>
        <color rgb="FF63BE7B"/>
      </colorScale>
    </cfRule>
    <cfRule type="colorScale" priority="101">
      <colorScale>
        <cfvo type="percent" val="0"/>
        <cfvo type="percent" val="50"/>
        <cfvo type="percent" val="100"/>
        <color rgb="FFF8696B"/>
        <color rgb="FFFFEB84"/>
        <color rgb="FF63BE7B"/>
      </colorScale>
    </cfRule>
  </conditionalFormatting>
  <conditionalFormatting sqref="N6">
    <cfRule type="colorScale" priority="554">
      <colorScale>
        <cfvo type="percent" val="0"/>
        <cfvo type="percent" val="50"/>
        <cfvo type="percent" val="100"/>
        <color rgb="FFF8696B"/>
        <color rgb="FFFFEB84"/>
        <color rgb="FF63BE7B"/>
      </colorScale>
    </cfRule>
    <cfRule type="colorScale" priority="553">
      <colorScale>
        <cfvo type="percent" val="0"/>
        <cfvo type="percent" val="50"/>
        <cfvo type="percent" val="100"/>
        <color rgb="FFF8696B"/>
        <color rgb="FFFFEB84"/>
        <color rgb="FF63BE7B"/>
      </colorScale>
    </cfRule>
  </conditionalFormatting>
  <conditionalFormatting sqref="N11 L11">
    <cfRule type="colorScale" priority="49">
      <colorScale>
        <cfvo type="percent" val="0"/>
        <cfvo type="percent" val="50"/>
        <cfvo type="percent" val="100"/>
        <color rgb="FFF8696B"/>
        <color rgb="FFFFEB84"/>
        <color rgb="FF63BE7B"/>
      </colorScale>
    </cfRule>
    <cfRule type="colorScale" priority="48">
      <colorScale>
        <cfvo type="percent" val="0"/>
        <cfvo type="percent" val="50"/>
        <cfvo type="percent" val="100"/>
        <color rgb="FFF8696B"/>
        <color rgb="FFFFEB84"/>
        <color rgb="FF63BE7B"/>
      </colorScale>
    </cfRule>
  </conditionalFormatting>
  <conditionalFormatting sqref="N12 L12">
    <cfRule type="colorScale" priority="64">
      <colorScale>
        <cfvo type="percent" val="0"/>
        <cfvo type="percent" val="50"/>
        <cfvo type="percent" val="100"/>
        <color rgb="FFF8696B"/>
        <color rgb="FFFFEB84"/>
        <color rgb="FF63BE7B"/>
      </colorScale>
    </cfRule>
    <cfRule type="colorScale" priority="63">
      <colorScale>
        <cfvo type="percent" val="0"/>
        <cfvo type="percent" val="50"/>
        <cfvo type="percent" val="100"/>
        <color rgb="FFF8696B"/>
        <color rgb="FFFFEB84"/>
        <color rgb="FF63BE7B"/>
      </colorScale>
    </cfRule>
  </conditionalFormatting>
  <conditionalFormatting sqref="N13 L13">
    <cfRule type="colorScale" priority="565">
      <colorScale>
        <cfvo type="percent" val="0"/>
        <cfvo type="percent" val="50"/>
        <cfvo type="percent" val="100"/>
        <color rgb="FFF8696B"/>
        <color rgb="FFFFEB84"/>
        <color rgb="FF63BE7B"/>
      </colorScale>
    </cfRule>
    <cfRule type="colorScale" priority="566">
      <colorScale>
        <cfvo type="percent" val="0"/>
        <cfvo type="percent" val="50"/>
        <cfvo type="percent" val="100"/>
        <color rgb="FFF8696B"/>
        <color rgb="FFFFEB84"/>
        <color rgb="FF63BE7B"/>
      </colorScale>
    </cfRule>
  </conditionalFormatting>
  <conditionalFormatting sqref="N18">
    <cfRule type="colorScale" priority="17">
      <colorScale>
        <cfvo type="percent" val="0"/>
        <cfvo type="percent" val="50"/>
        <cfvo type="percent" val="100"/>
        <color rgb="FFF8696B"/>
        <color rgb="FFFFEB84"/>
        <color rgb="FF63BE7B"/>
      </colorScale>
    </cfRule>
    <cfRule type="colorScale" priority="16">
      <colorScale>
        <cfvo type="percent" val="0"/>
        <cfvo type="percent" val="50"/>
        <cfvo type="percent" val="100"/>
        <color rgb="FFF8696B"/>
        <color rgb="FFFFEB84"/>
        <color rgb="FF63BE7B"/>
      </colorScale>
    </cfRule>
  </conditionalFormatting>
  <conditionalFormatting sqref="N19">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N20">
    <cfRule type="colorScale" priority="591">
      <colorScale>
        <cfvo type="percent" val="0"/>
        <cfvo type="percent" val="50"/>
        <cfvo type="percent" val="100"/>
        <color rgb="FFF8696B"/>
        <color rgb="FFFFEB84"/>
        <color rgb="FF63BE7B"/>
      </colorScale>
    </cfRule>
    <cfRule type="colorScale" priority="592">
      <colorScale>
        <cfvo type="percent" val="0"/>
        <cfvo type="percent" val="50"/>
        <cfvo type="percent" val="100"/>
        <color rgb="FFF8696B"/>
        <color rgb="FFFFEB84"/>
        <color rgb="FF63BE7B"/>
      </colorScale>
    </cfRule>
  </conditionalFormatting>
  <conditionalFormatting sqref="T4">
    <cfRule type="colorScale" priority="79">
      <colorScale>
        <cfvo type="percent" val="0"/>
        <cfvo type="percent" val="50"/>
        <cfvo type="percent" val="100"/>
        <color rgb="FFF8696B"/>
        <color rgb="FFFFEB84"/>
        <color rgb="FF63BE7B"/>
      </colorScale>
    </cfRule>
  </conditionalFormatting>
  <conditionalFormatting sqref="T5">
    <cfRule type="colorScale" priority="96">
      <colorScale>
        <cfvo type="percent" val="0"/>
        <cfvo type="percent" val="50"/>
        <cfvo type="percent" val="100"/>
        <color rgb="FFF8696B"/>
        <color rgb="FFFFEB84"/>
        <color rgb="FF63BE7B"/>
      </colorScale>
    </cfRule>
  </conditionalFormatting>
  <conditionalFormatting sqref="T6">
    <cfRule type="colorScale" priority="549">
      <colorScale>
        <cfvo type="percent" val="0"/>
        <cfvo type="percent" val="50"/>
        <cfvo type="percent" val="100"/>
        <color rgb="FFF8696B"/>
        <color rgb="FFFFEB84"/>
        <color rgb="FF63BE7B"/>
      </colorScale>
    </cfRule>
  </conditionalFormatting>
  <conditionalFormatting sqref="T11 V11">
    <cfRule type="colorScale" priority="50">
      <colorScale>
        <cfvo type="percent" val="0"/>
        <cfvo type="percent" val="50"/>
        <cfvo type="percent" val="100"/>
        <color rgb="FFF8696B"/>
        <color rgb="FFFFEB84"/>
        <color rgb="FF63BE7B"/>
      </colorScale>
    </cfRule>
  </conditionalFormatting>
  <conditionalFormatting sqref="T13 V13">
    <cfRule type="colorScale" priority="569">
      <colorScale>
        <cfvo type="percent" val="0"/>
        <cfvo type="percent" val="50"/>
        <cfvo type="percent" val="100"/>
        <color rgb="FFF8696B"/>
        <color rgb="FFFFEB84"/>
        <color rgb="FF63BE7B"/>
      </colorScale>
    </cfRule>
  </conditionalFormatting>
  <conditionalFormatting sqref="T18">
    <cfRule type="colorScale" priority="12">
      <colorScale>
        <cfvo type="percent" val="0"/>
        <cfvo type="percent" val="50"/>
        <cfvo type="percent" val="100"/>
        <color rgb="FFF8696B"/>
        <color rgb="FFFFEB84"/>
        <color rgb="FF63BE7B"/>
      </colorScale>
    </cfRule>
  </conditionalFormatting>
  <conditionalFormatting sqref="T19">
    <cfRule type="colorScale" priority="32">
      <colorScale>
        <cfvo type="percent" val="0"/>
        <cfvo type="percent" val="50"/>
        <cfvo type="percent" val="100"/>
        <color rgb="FFF8696B"/>
        <color rgb="FFFFEB84"/>
        <color rgb="FF63BE7B"/>
      </colorScale>
    </cfRule>
  </conditionalFormatting>
  <conditionalFormatting sqref="T20">
    <cfRule type="colorScale" priority="587">
      <colorScale>
        <cfvo type="percent" val="0"/>
        <cfvo type="percent" val="50"/>
        <cfvo type="percent" val="100"/>
        <color rgb="FFF8696B"/>
        <color rgb="FFFFEB84"/>
        <color rgb="FF63BE7B"/>
      </colorScale>
    </cfRule>
  </conditionalFormatting>
  <conditionalFormatting sqref="T4:V4">
    <cfRule type="colorScale" priority="87">
      <colorScale>
        <cfvo type="percent" val="0"/>
        <cfvo type="percent" val="50"/>
        <cfvo type="percent" val="100"/>
        <color rgb="FFF8696B"/>
        <color rgb="FFFFEB84"/>
        <color rgb="FF63BE7B"/>
      </colorScale>
    </cfRule>
  </conditionalFormatting>
  <conditionalFormatting sqref="T5:V5">
    <cfRule type="colorScale" priority="104">
      <colorScale>
        <cfvo type="percent" val="0"/>
        <cfvo type="percent" val="50"/>
        <cfvo type="percent" val="100"/>
        <color rgb="FFF8696B"/>
        <color rgb="FFFFEB84"/>
        <color rgb="FF63BE7B"/>
      </colorScale>
    </cfRule>
  </conditionalFormatting>
  <conditionalFormatting sqref="T6:V6">
    <cfRule type="colorScale" priority="557">
      <colorScale>
        <cfvo type="percent" val="0"/>
        <cfvo type="percent" val="50"/>
        <cfvo type="percent" val="100"/>
        <color rgb="FFF8696B"/>
        <color rgb="FFFFEB84"/>
        <color rgb="FF63BE7B"/>
      </colorScale>
    </cfRule>
  </conditionalFormatting>
  <conditionalFormatting sqref="T11:V11">
    <cfRule type="colorScale" priority="55">
      <colorScale>
        <cfvo type="percent" val="0"/>
        <cfvo type="percent" val="50"/>
        <cfvo type="percent" val="100"/>
        <color rgb="FFF8696B"/>
        <color rgb="FFFFEB84"/>
        <color rgb="FF63BE7B"/>
      </colorScale>
    </cfRule>
  </conditionalFormatting>
  <conditionalFormatting sqref="T12:V12">
    <cfRule type="colorScale" priority="70">
      <colorScale>
        <cfvo type="percent" val="0"/>
        <cfvo type="percent" val="50"/>
        <cfvo type="percent" val="100"/>
        <color rgb="FFF8696B"/>
        <color rgb="FFFFEB84"/>
        <color rgb="FF63BE7B"/>
      </colorScale>
    </cfRule>
  </conditionalFormatting>
  <conditionalFormatting sqref="T13:V13">
    <cfRule type="colorScale" priority="575">
      <colorScale>
        <cfvo type="percent" val="0"/>
        <cfvo type="percent" val="50"/>
        <cfvo type="percent" val="100"/>
        <color rgb="FFF8696B"/>
        <color rgb="FFFFEB84"/>
        <color rgb="FF63BE7B"/>
      </colorScale>
    </cfRule>
  </conditionalFormatting>
  <conditionalFormatting sqref="T18:V18">
    <cfRule type="colorScale" priority="20">
      <colorScale>
        <cfvo type="percent" val="0"/>
        <cfvo type="percent" val="50"/>
        <cfvo type="percent" val="100"/>
        <color rgb="FFF8696B"/>
        <color rgb="FFFFEB84"/>
        <color rgb="FF63BE7B"/>
      </colorScale>
    </cfRule>
  </conditionalFormatting>
  <conditionalFormatting sqref="T19:V19">
    <cfRule type="colorScale" priority="40">
      <colorScale>
        <cfvo type="percent" val="0"/>
        <cfvo type="percent" val="50"/>
        <cfvo type="percent" val="100"/>
        <color rgb="FFF8696B"/>
        <color rgb="FFFFEB84"/>
        <color rgb="FF63BE7B"/>
      </colorScale>
    </cfRule>
  </conditionalFormatting>
  <conditionalFormatting sqref="T20:V20">
    <cfRule type="colorScale" priority="595">
      <colorScale>
        <cfvo type="percent" val="0"/>
        <cfvo type="percent" val="50"/>
        <cfvo type="percent" val="100"/>
        <color rgb="FFF8696B"/>
        <color rgb="FFFFEB84"/>
        <color rgb="FF63BE7B"/>
      </colorScale>
    </cfRule>
  </conditionalFormatting>
  <conditionalFormatting sqref="U4">
    <cfRule type="colorScale" priority="82">
      <colorScale>
        <cfvo type="percent" val="0"/>
        <cfvo type="percent" val="50"/>
        <cfvo type="percent" val="100"/>
        <color rgb="FFF8696B"/>
        <color rgb="FFFFEB84"/>
        <color rgb="FF63BE7B"/>
      </colorScale>
    </cfRule>
  </conditionalFormatting>
  <conditionalFormatting sqref="U5">
    <cfRule type="colorScale" priority="99">
      <colorScale>
        <cfvo type="percent" val="0"/>
        <cfvo type="percent" val="50"/>
        <cfvo type="percent" val="100"/>
        <color rgb="FFF8696B"/>
        <color rgb="FFFFEB84"/>
        <color rgb="FF63BE7B"/>
      </colorScale>
    </cfRule>
  </conditionalFormatting>
  <conditionalFormatting sqref="U6">
    <cfRule type="colorScale" priority="552">
      <colorScale>
        <cfvo type="percent" val="0"/>
        <cfvo type="percent" val="50"/>
        <cfvo type="percent" val="100"/>
        <color rgb="FFF8696B"/>
        <color rgb="FFFFEB84"/>
        <color rgb="FF63BE7B"/>
      </colorScale>
    </cfRule>
  </conditionalFormatting>
  <conditionalFormatting sqref="U11">
    <cfRule type="colorScale" priority="51">
      <colorScale>
        <cfvo type="percent" val="0"/>
        <cfvo type="percent" val="50"/>
        <cfvo type="percent" val="100"/>
        <color rgb="FFF8696B"/>
        <color rgb="FFFFEB84"/>
        <color rgb="FF63BE7B"/>
      </colorScale>
    </cfRule>
  </conditionalFormatting>
  <conditionalFormatting sqref="U12">
    <cfRule type="colorScale" priority="66">
      <colorScale>
        <cfvo type="percent" val="0"/>
        <cfvo type="percent" val="50"/>
        <cfvo type="percent" val="100"/>
        <color rgb="FFF8696B"/>
        <color rgb="FFFFEB84"/>
        <color rgb="FF63BE7B"/>
      </colorScale>
    </cfRule>
  </conditionalFormatting>
  <conditionalFormatting sqref="U13">
    <cfRule type="colorScale" priority="571">
      <colorScale>
        <cfvo type="percent" val="0"/>
        <cfvo type="percent" val="50"/>
        <cfvo type="percent" val="100"/>
        <color rgb="FFF8696B"/>
        <color rgb="FFFFEB84"/>
        <color rgb="FF63BE7B"/>
      </colorScale>
    </cfRule>
  </conditionalFormatting>
  <conditionalFormatting sqref="U18">
    <cfRule type="colorScale" priority="15">
      <colorScale>
        <cfvo type="percent" val="0"/>
        <cfvo type="percent" val="50"/>
        <cfvo type="percent" val="100"/>
        <color rgb="FFF8696B"/>
        <color rgb="FFFFEB84"/>
        <color rgb="FF63BE7B"/>
      </colorScale>
    </cfRule>
  </conditionalFormatting>
  <conditionalFormatting sqref="U19">
    <cfRule type="colorScale" priority="35">
      <colorScale>
        <cfvo type="percent" val="0"/>
        <cfvo type="percent" val="50"/>
        <cfvo type="percent" val="100"/>
        <color rgb="FFF8696B"/>
        <color rgb="FFFFEB84"/>
        <color rgb="FF63BE7B"/>
      </colorScale>
    </cfRule>
  </conditionalFormatting>
  <conditionalFormatting sqref="U20">
    <cfRule type="colorScale" priority="590">
      <colorScale>
        <cfvo type="percent" val="0"/>
        <cfvo type="percent" val="50"/>
        <cfvo type="percent" val="100"/>
        <color rgb="FFF8696B"/>
        <color rgb="FFFFEB84"/>
        <color rgb="FF63BE7B"/>
      </colorScale>
    </cfRule>
  </conditionalFormatting>
  <conditionalFormatting sqref="V4">
    <cfRule type="colorScale" priority="85">
      <colorScale>
        <cfvo type="percent" val="0"/>
        <cfvo type="percent" val="50"/>
        <cfvo type="percent" val="100"/>
        <color rgb="FFF8696B"/>
        <color rgb="FFFFEB84"/>
        <color rgb="FF63BE7B"/>
      </colorScale>
    </cfRule>
  </conditionalFormatting>
  <conditionalFormatting sqref="V5">
    <cfRule type="colorScale" priority="102">
      <colorScale>
        <cfvo type="percent" val="0"/>
        <cfvo type="percent" val="50"/>
        <cfvo type="percent" val="100"/>
        <color rgb="FFF8696B"/>
        <color rgb="FFFFEB84"/>
        <color rgb="FF63BE7B"/>
      </colorScale>
    </cfRule>
  </conditionalFormatting>
  <conditionalFormatting sqref="V6">
    <cfRule type="colorScale" priority="555">
      <colorScale>
        <cfvo type="percent" val="0"/>
        <cfvo type="percent" val="50"/>
        <cfvo type="percent" val="100"/>
        <color rgb="FFF8696B"/>
        <color rgb="FFFFEB84"/>
        <color rgb="FF63BE7B"/>
      </colorScale>
    </cfRule>
  </conditionalFormatting>
  <conditionalFormatting sqref="V12 T12">
    <cfRule type="colorScale" priority="65">
      <colorScale>
        <cfvo type="percent" val="0"/>
        <cfvo type="percent" val="50"/>
        <cfvo type="percent" val="100"/>
        <color rgb="FFF8696B"/>
        <color rgb="FFFFEB84"/>
        <color rgb="FF63BE7B"/>
      </colorScale>
    </cfRule>
  </conditionalFormatting>
  <conditionalFormatting sqref="V18">
    <cfRule type="colorScale" priority="18">
      <colorScale>
        <cfvo type="percent" val="0"/>
        <cfvo type="percent" val="50"/>
        <cfvo type="percent" val="100"/>
        <color rgb="FFF8696B"/>
        <color rgb="FFFFEB84"/>
        <color rgb="FF63BE7B"/>
      </colorScale>
    </cfRule>
  </conditionalFormatting>
  <conditionalFormatting sqref="V19">
    <cfRule type="colorScale" priority="38">
      <colorScale>
        <cfvo type="percent" val="0"/>
        <cfvo type="percent" val="50"/>
        <cfvo type="percent" val="100"/>
        <color rgb="FFF8696B"/>
        <color rgb="FFFFEB84"/>
        <color rgb="FF63BE7B"/>
      </colorScale>
    </cfRule>
  </conditionalFormatting>
  <conditionalFormatting sqref="V20">
    <cfRule type="colorScale" priority="593">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99"/>
  <sheetViews>
    <sheetView tabSelected="1" workbookViewId="0">
      <pane xSplit="2" ySplit="5" topLeftCell="I64" activePane="bottomRight" state="frozen"/>
      <selection pane="topRight" activeCell="C1" sqref="C1"/>
      <selection pane="bottomLeft" activeCell="A4" sqref="A4"/>
      <selection pane="bottomRight" activeCell="B70" sqref="B70"/>
    </sheetView>
  </sheetViews>
  <sheetFormatPr defaultColWidth="9.140625" defaultRowHeight="15" x14ac:dyDescent="0.25"/>
  <cols>
    <col min="1" max="1" width="16.140625" style="161" bestFit="1" customWidth="1"/>
    <col min="2" max="2" width="40.140625" style="159" customWidth="1"/>
    <col min="3" max="3" width="9" style="159" customWidth="1"/>
    <col min="4" max="4" width="13.5703125" style="162" customWidth="1"/>
    <col min="5" max="5" width="15.5703125" style="159" customWidth="1"/>
    <col min="6" max="6" width="32.42578125" style="159" customWidth="1"/>
    <col min="7" max="7" width="9.5703125" style="159" customWidth="1"/>
    <col min="8" max="8" width="15.5703125" style="162" bestFit="1" customWidth="1"/>
    <col min="9" max="9" width="46.5703125" style="159" customWidth="1"/>
    <col min="10" max="10" width="8" style="159" customWidth="1"/>
    <col min="11" max="11" width="14.42578125" style="159" customWidth="1"/>
    <col min="12" max="12" width="10.7109375" style="159" customWidth="1"/>
    <col min="13" max="13" width="12.140625" style="159" customWidth="1"/>
    <col min="14" max="14" width="11.28515625" style="159" customWidth="1"/>
    <col min="15" max="15" width="14.42578125" style="159" customWidth="1"/>
    <col min="16" max="16" width="10.140625" style="159" customWidth="1"/>
    <col min="17" max="17" width="9.7109375" style="164" customWidth="1"/>
    <col min="18" max="18" width="11.140625" style="164" customWidth="1"/>
    <col min="19" max="19" width="6.85546875" style="163" customWidth="1"/>
    <col min="20" max="20" width="9.85546875" style="163" customWidth="1"/>
    <col min="21" max="21" width="6.28515625" style="163" customWidth="1"/>
    <col min="22" max="22" width="6.85546875" style="163" customWidth="1"/>
    <col min="23" max="23" width="13.140625" style="163" customWidth="1"/>
    <col min="24" max="24" width="36.85546875" style="164" customWidth="1"/>
    <col min="25" max="25" width="11.140625" style="164" bestFit="1" customWidth="1"/>
    <col min="26" max="26" width="6.85546875" style="163" bestFit="1" customWidth="1"/>
    <col min="27" max="27" width="9.85546875" style="163" bestFit="1" customWidth="1"/>
    <col min="28" max="28" width="6.28515625" style="163" bestFit="1" customWidth="1"/>
    <col min="29" max="29" width="6.85546875" style="163" bestFit="1" customWidth="1"/>
    <col min="30" max="30" width="13.140625" style="163" bestFit="1" customWidth="1"/>
    <col min="31" max="31" width="36.140625" style="159" bestFit="1" customWidth="1"/>
    <col min="32" max="32" width="6.42578125" style="159" bestFit="1" customWidth="1"/>
    <col min="33" max="33" width="47.5703125" style="159" bestFit="1" customWidth="1"/>
    <col min="34" max="16384" width="9.140625" style="159"/>
  </cols>
  <sheetData>
    <row r="1" spans="1:34" ht="19.5" customHeight="1" thickBot="1" x14ac:dyDescent="0.3">
      <c r="A1" s="562" t="s">
        <v>253</v>
      </c>
      <c r="B1" s="563"/>
      <c r="C1" s="563"/>
      <c r="D1" s="563"/>
      <c r="E1" s="563"/>
      <c r="F1" s="563"/>
      <c r="G1" s="563"/>
      <c r="H1" s="563"/>
      <c r="I1" s="563"/>
      <c r="J1" s="563"/>
      <c r="K1" s="563"/>
      <c r="L1" s="563"/>
      <c r="M1" s="563"/>
      <c r="N1" s="563"/>
      <c r="O1" s="563"/>
      <c r="P1" s="563"/>
      <c r="Q1" s="563"/>
      <c r="R1" s="563"/>
      <c r="S1" s="563"/>
      <c r="T1" s="563"/>
      <c r="U1" s="563"/>
      <c r="V1" s="563"/>
      <c r="W1" s="563"/>
      <c r="X1" s="563"/>
      <c r="Y1" s="563"/>
      <c r="Z1" s="563"/>
      <c r="AA1" s="563"/>
      <c r="AB1" s="563"/>
      <c r="AC1" s="563"/>
      <c r="AD1" s="563"/>
      <c r="AE1" s="563"/>
      <c r="AF1" s="563"/>
      <c r="AG1" s="564"/>
    </row>
    <row r="2" spans="1:34" ht="19.5" customHeight="1" thickBot="1" x14ac:dyDescent="0.3">
      <c r="A2" s="565" t="s">
        <v>254</v>
      </c>
      <c r="B2" s="566"/>
      <c r="C2" s="566"/>
      <c r="D2" s="566"/>
      <c r="E2" s="566"/>
      <c r="F2" s="566"/>
      <c r="G2" s="566"/>
      <c r="H2" s="566"/>
      <c r="I2" s="567"/>
      <c r="J2" s="282">
        <f>SUM(J6:J80)</f>
        <v>74</v>
      </c>
      <c r="K2" s="282">
        <f>SUM(K6:K80)</f>
        <v>74</v>
      </c>
      <c r="L2" s="283"/>
      <c r="M2" s="329">
        <f>SUMPRODUCT(J6:J80,M6:M80)/J83</f>
        <v>1</v>
      </c>
      <c r="N2" s="330">
        <f>SUM(N6:N80)</f>
        <v>48.600000000000072</v>
      </c>
      <c r="O2" s="331">
        <f>SUMPRODUCT(J6:J80,O6:O80)/J83</f>
        <v>0.65675675675675771</v>
      </c>
      <c r="P2" s="284"/>
      <c r="Q2" s="285">
        <f t="shared" ref="Q2:V2" si="0">SUM(Q6:Q80)</f>
        <v>73</v>
      </c>
      <c r="R2" s="332">
        <f t="shared" si="0"/>
        <v>23</v>
      </c>
      <c r="S2" s="332">
        <f t="shared" si="0"/>
        <v>23</v>
      </c>
      <c r="T2" s="332">
        <f t="shared" si="0"/>
        <v>0</v>
      </c>
      <c r="U2" s="332">
        <f t="shared" si="0"/>
        <v>0</v>
      </c>
      <c r="V2" s="332">
        <f t="shared" si="0"/>
        <v>0</v>
      </c>
      <c r="W2" s="333">
        <f>IF((R83=0),0,((S83+T83)/R83*100%))</f>
        <v>1</v>
      </c>
      <c r="X2" s="286"/>
      <c r="Y2" s="334">
        <f>SUM(Y6:Y80)</f>
        <v>0</v>
      </c>
      <c r="Z2" s="335">
        <f>SUM(Z6:Z80)</f>
        <v>0</v>
      </c>
      <c r="AA2" s="335">
        <f>SUM(AA6:AA80)</f>
        <v>0</v>
      </c>
      <c r="AB2" s="335">
        <f>SUM(AB6:AB80)</f>
        <v>0</v>
      </c>
      <c r="AC2" s="335">
        <f>SUM(AC6:AC80)</f>
        <v>0</v>
      </c>
      <c r="AD2" s="336">
        <f>IF((Y83=0),0,((Z83+AA83)/Y83*100%))</f>
        <v>0</v>
      </c>
      <c r="AE2" s="287"/>
      <c r="AF2" s="287"/>
      <c r="AG2" s="288"/>
    </row>
    <row r="3" spans="1:34" ht="19.5" customHeight="1" thickBot="1" x14ac:dyDescent="0.3">
      <c r="A3" s="562" t="s">
        <v>255</v>
      </c>
      <c r="B3" s="563"/>
      <c r="C3" s="563"/>
      <c r="D3" s="563"/>
      <c r="E3" s="563"/>
      <c r="F3" s="563"/>
      <c r="G3" s="563"/>
      <c r="H3" s="563"/>
      <c r="I3" s="563"/>
      <c r="J3" s="563"/>
      <c r="K3" s="563"/>
      <c r="L3" s="563"/>
      <c r="M3" s="563"/>
      <c r="N3" s="563"/>
      <c r="O3" s="563"/>
      <c r="P3" s="563"/>
      <c r="Q3" s="563"/>
      <c r="R3" s="563"/>
      <c r="S3" s="563"/>
      <c r="T3" s="563"/>
      <c r="U3" s="563"/>
      <c r="V3" s="563"/>
      <c r="W3" s="563"/>
      <c r="X3" s="563"/>
      <c r="Y3" s="563"/>
      <c r="Z3" s="563"/>
      <c r="AA3" s="563"/>
      <c r="AB3" s="563"/>
      <c r="AC3" s="563"/>
      <c r="AD3" s="563"/>
      <c r="AE3" s="563"/>
      <c r="AF3" s="563"/>
      <c r="AG3" s="564"/>
    </row>
    <row r="4" spans="1:34" ht="11.45" customHeight="1" thickBot="1" x14ac:dyDescent="0.3">
      <c r="A4" s="568" t="s">
        <v>71</v>
      </c>
      <c r="B4" s="569"/>
      <c r="C4" s="569"/>
      <c r="D4" s="569"/>
      <c r="E4" s="569"/>
      <c r="F4" s="569"/>
      <c r="G4" s="569"/>
      <c r="H4" s="569"/>
      <c r="I4" s="569"/>
      <c r="J4" s="569"/>
      <c r="K4" s="569"/>
      <c r="L4" s="570"/>
      <c r="M4" s="571" t="s">
        <v>256</v>
      </c>
      <c r="N4" s="572"/>
      <c r="O4" s="573"/>
      <c r="P4" s="577" t="s">
        <v>257</v>
      </c>
      <c r="Q4" s="578"/>
      <c r="R4" s="578"/>
      <c r="S4" s="578"/>
      <c r="T4" s="578"/>
      <c r="U4" s="578"/>
      <c r="V4" s="578"/>
      <c r="W4" s="578"/>
      <c r="X4" s="579"/>
      <c r="Y4" s="574" t="s">
        <v>258</v>
      </c>
      <c r="Z4" s="575"/>
      <c r="AA4" s="575"/>
      <c r="AB4" s="575"/>
      <c r="AC4" s="575"/>
      <c r="AD4" s="575"/>
      <c r="AE4" s="575"/>
      <c r="AF4" s="575"/>
      <c r="AG4" s="576"/>
    </row>
    <row r="5" spans="1:34" s="160" customFormat="1" x14ac:dyDescent="0.25">
      <c r="A5" s="652" t="s">
        <v>72</v>
      </c>
      <c r="B5" s="652" t="s">
        <v>76</v>
      </c>
      <c r="C5" s="652" t="s">
        <v>79</v>
      </c>
      <c r="D5" s="652" t="s">
        <v>83</v>
      </c>
      <c r="E5" s="652" t="s">
        <v>86</v>
      </c>
      <c r="F5" s="652" t="s">
        <v>89</v>
      </c>
      <c r="G5" s="652" t="s">
        <v>91</v>
      </c>
      <c r="H5" s="652" t="s">
        <v>94</v>
      </c>
      <c r="I5" s="652" t="s">
        <v>97</v>
      </c>
      <c r="J5" s="652" t="s">
        <v>100</v>
      </c>
      <c r="K5" s="652" t="s">
        <v>103</v>
      </c>
      <c r="L5" s="652" t="s">
        <v>1</v>
      </c>
      <c r="M5" s="652" t="s">
        <v>109</v>
      </c>
      <c r="N5" s="652" t="s">
        <v>113</v>
      </c>
      <c r="O5" s="652" t="s">
        <v>116</v>
      </c>
      <c r="P5" s="652" t="s">
        <v>120</v>
      </c>
      <c r="Q5" s="652" t="s">
        <v>123</v>
      </c>
      <c r="R5" s="652" t="s">
        <v>127</v>
      </c>
      <c r="S5" s="652" t="s">
        <v>30</v>
      </c>
      <c r="T5" s="652" t="s">
        <v>130</v>
      </c>
      <c r="U5" s="652" t="s">
        <v>35</v>
      </c>
      <c r="V5" s="652" t="s">
        <v>133</v>
      </c>
      <c r="W5" s="652" t="s">
        <v>135</v>
      </c>
      <c r="X5" s="652" t="s">
        <v>137</v>
      </c>
      <c r="Y5" s="652" t="s">
        <v>700</v>
      </c>
      <c r="Z5" s="652" t="s">
        <v>701</v>
      </c>
      <c r="AA5" s="652" t="s">
        <v>702</v>
      </c>
      <c r="AB5" s="652" t="s">
        <v>703</v>
      </c>
      <c r="AC5" s="652" t="s">
        <v>704</v>
      </c>
      <c r="AD5" s="652" t="s">
        <v>705</v>
      </c>
      <c r="AE5" s="652" t="s">
        <v>150</v>
      </c>
      <c r="AF5" s="652" t="s">
        <v>152</v>
      </c>
      <c r="AG5" s="652" t="s">
        <v>155</v>
      </c>
      <c r="AH5"/>
    </row>
    <row r="6" spans="1:34" x14ac:dyDescent="0.25">
      <c r="A6" t="s">
        <v>261</v>
      </c>
      <c r="B6" t="s">
        <v>262</v>
      </c>
      <c r="C6" t="s">
        <v>695</v>
      </c>
      <c r="D6" t="s">
        <v>696</v>
      </c>
      <c r="E6" t="s">
        <v>263</v>
      </c>
      <c r="F6" t="s">
        <v>264</v>
      </c>
      <c r="G6" t="s">
        <v>621</v>
      </c>
      <c r="H6" t="s">
        <v>265</v>
      </c>
      <c r="I6" t="s">
        <v>706</v>
      </c>
      <c r="J6">
        <v>1</v>
      </c>
      <c r="K6">
        <v>1</v>
      </c>
      <c r="L6" t="s">
        <v>33</v>
      </c>
      <c r="M6">
        <v>1</v>
      </c>
      <c r="N6">
        <v>0.8</v>
      </c>
      <c r="O6">
        <v>0.8</v>
      </c>
      <c r="P6" t="s">
        <v>45</v>
      </c>
      <c r="Q6">
        <v>1</v>
      </c>
      <c r="R6">
        <v>1</v>
      </c>
      <c r="S6">
        <v>1</v>
      </c>
      <c r="T6" t="s">
        <v>706</v>
      </c>
      <c r="U6" t="s">
        <v>706</v>
      </c>
      <c r="V6" t="s">
        <v>706</v>
      </c>
      <c r="W6" t="s">
        <v>706</v>
      </c>
      <c r="X6" t="s">
        <v>706</v>
      </c>
      <c r="Y6">
        <v>0</v>
      </c>
      <c r="Z6" t="s">
        <v>706</v>
      </c>
      <c r="AA6" t="s">
        <v>706</v>
      </c>
      <c r="AB6" t="s">
        <v>706</v>
      </c>
      <c r="AC6" t="s">
        <v>706</v>
      </c>
      <c r="AD6">
        <v>0</v>
      </c>
      <c r="AE6" t="s">
        <v>706</v>
      </c>
      <c r="AF6" t="s">
        <v>547</v>
      </c>
      <c r="AG6" t="s">
        <v>706</v>
      </c>
      <c r="AH6"/>
    </row>
    <row r="7" spans="1:34" x14ac:dyDescent="0.25">
      <c r="A7" t="s">
        <v>266</v>
      </c>
      <c r="B7" t="s">
        <v>267</v>
      </c>
      <c r="C7" t="s">
        <v>695</v>
      </c>
      <c r="D7" t="s">
        <v>696</v>
      </c>
      <c r="E7" t="s">
        <v>268</v>
      </c>
      <c r="F7" t="s">
        <v>269</v>
      </c>
      <c r="G7" t="s">
        <v>621</v>
      </c>
      <c r="H7" t="s">
        <v>270</v>
      </c>
      <c r="I7" t="s">
        <v>271</v>
      </c>
      <c r="J7">
        <v>1</v>
      </c>
      <c r="K7">
        <v>1</v>
      </c>
      <c r="L7" t="s">
        <v>33</v>
      </c>
      <c r="M7">
        <v>1</v>
      </c>
      <c r="N7">
        <v>0.8</v>
      </c>
      <c r="O7">
        <v>0.8</v>
      </c>
      <c r="P7" t="s">
        <v>45</v>
      </c>
      <c r="Q7">
        <v>1</v>
      </c>
      <c r="R7">
        <v>1</v>
      </c>
      <c r="S7">
        <v>1</v>
      </c>
      <c r="T7" t="s">
        <v>706</v>
      </c>
      <c r="U7" t="s">
        <v>706</v>
      </c>
      <c r="V7" t="s">
        <v>706</v>
      </c>
      <c r="W7" t="s">
        <v>706</v>
      </c>
      <c r="X7" t="s">
        <v>706</v>
      </c>
      <c r="Y7">
        <v>0</v>
      </c>
      <c r="Z7" t="s">
        <v>706</v>
      </c>
      <c r="AA7" t="s">
        <v>706</v>
      </c>
      <c r="AB7" t="s">
        <v>706</v>
      </c>
      <c r="AC7" t="s">
        <v>706</v>
      </c>
      <c r="AD7">
        <v>0</v>
      </c>
      <c r="AE7" t="s">
        <v>272</v>
      </c>
      <c r="AF7" t="s">
        <v>548</v>
      </c>
      <c r="AG7" t="s">
        <v>706</v>
      </c>
      <c r="AH7"/>
    </row>
    <row r="8" spans="1:34" x14ac:dyDescent="0.25">
      <c r="A8" t="s">
        <v>266</v>
      </c>
      <c r="B8" t="s">
        <v>267</v>
      </c>
      <c r="C8" t="s">
        <v>695</v>
      </c>
      <c r="D8" t="s">
        <v>696</v>
      </c>
      <c r="E8" t="s">
        <v>273</v>
      </c>
      <c r="F8" t="s">
        <v>274</v>
      </c>
      <c r="G8" t="s">
        <v>621</v>
      </c>
      <c r="H8" t="s">
        <v>275</v>
      </c>
      <c r="I8" t="s">
        <v>276</v>
      </c>
      <c r="J8">
        <v>1</v>
      </c>
      <c r="K8">
        <v>1</v>
      </c>
      <c r="L8" t="s">
        <v>33</v>
      </c>
      <c r="M8">
        <v>1</v>
      </c>
      <c r="N8">
        <v>0.8</v>
      </c>
      <c r="O8">
        <v>0.8</v>
      </c>
      <c r="P8" t="s">
        <v>45</v>
      </c>
      <c r="Q8">
        <v>1</v>
      </c>
      <c r="R8">
        <v>1</v>
      </c>
      <c r="S8">
        <v>1</v>
      </c>
      <c r="T8" t="s">
        <v>706</v>
      </c>
      <c r="U8" t="s">
        <v>706</v>
      </c>
      <c r="V8" t="s">
        <v>706</v>
      </c>
      <c r="W8" t="s">
        <v>706</v>
      </c>
      <c r="X8" t="s">
        <v>706</v>
      </c>
      <c r="Y8">
        <v>0</v>
      </c>
      <c r="Z8" t="s">
        <v>706</v>
      </c>
      <c r="AA8" t="s">
        <v>706</v>
      </c>
      <c r="AB8" t="s">
        <v>706</v>
      </c>
      <c r="AC8" t="s">
        <v>706</v>
      </c>
      <c r="AD8">
        <v>0</v>
      </c>
      <c r="AE8" t="s">
        <v>706</v>
      </c>
      <c r="AF8" t="s">
        <v>548</v>
      </c>
      <c r="AG8" t="s">
        <v>706</v>
      </c>
      <c r="AH8"/>
    </row>
    <row r="9" spans="1:34" x14ac:dyDescent="0.25">
      <c r="A9" t="s">
        <v>266</v>
      </c>
      <c r="B9" t="s">
        <v>267</v>
      </c>
      <c r="C9" t="s">
        <v>695</v>
      </c>
      <c r="D9" t="s">
        <v>696</v>
      </c>
      <c r="E9" t="s">
        <v>273</v>
      </c>
      <c r="F9" t="s">
        <v>277</v>
      </c>
      <c r="G9" t="s">
        <v>621</v>
      </c>
      <c r="H9" t="s">
        <v>278</v>
      </c>
      <c r="I9" t="s">
        <v>279</v>
      </c>
      <c r="J9">
        <v>1</v>
      </c>
      <c r="K9">
        <v>1</v>
      </c>
      <c r="L9" t="s">
        <v>33</v>
      </c>
      <c r="M9">
        <v>1</v>
      </c>
      <c r="N9">
        <v>0.8</v>
      </c>
      <c r="O9">
        <v>0.8</v>
      </c>
      <c r="P9" t="s">
        <v>45</v>
      </c>
      <c r="Q9">
        <v>1</v>
      </c>
      <c r="R9">
        <v>1</v>
      </c>
      <c r="S9">
        <v>1</v>
      </c>
      <c r="T9" t="s">
        <v>706</v>
      </c>
      <c r="U9" t="s">
        <v>706</v>
      </c>
      <c r="V9" t="s">
        <v>706</v>
      </c>
      <c r="W9" t="s">
        <v>706</v>
      </c>
      <c r="X9" t="s">
        <v>706</v>
      </c>
      <c r="Y9">
        <v>0</v>
      </c>
      <c r="Z9" t="s">
        <v>706</v>
      </c>
      <c r="AA9" t="s">
        <v>706</v>
      </c>
      <c r="AB9" t="s">
        <v>706</v>
      </c>
      <c r="AC9" t="s">
        <v>706</v>
      </c>
      <c r="AD9">
        <v>0</v>
      </c>
      <c r="AE9" t="s">
        <v>706</v>
      </c>
      <c r="AF9" t="s">
        <v>548</v>
      </c>
      <c r="AG9" t="s">
        <v>706</v>
      </c>
      <c r="AH9"/>
    </row>
    <row r="10" spans="1:34" x14ac:dyDescent="0.25">
      <c r="A10" t="s">
        <v>266</v>
      </c>
      <c r="B10" t="s">
        <v>267</v>
      </c>
      <c r="C10" t="s">
        <v>695</v>
      </c>
      <c r="D10" t="s">
        <v>696</v>
      </c>
      <c r="E10" t="s">
        <v>273</v>
      </c>
      <c r="F10" t="s">
        <v>280</v>
      </c>
      <c r="G10" t="s">
        <v>621</v>
      </c>
      <c r="H10" t="s">
        <v>281</v>
      </c>
      <c r="I10" t="s">
        <v>282</v>
      </c>
      <c r="J10">
        <v>1</v>
      </c>
      <c r="K10">
        <v>1</v>
      </c>
      <c r="L10" t="s">
        <v>33</v>
      </c>
      <c r="M10">
        <v>1</v>
      </c>
      <c r="N10">
        <v>0.8</v>
      </c>
      <c r="O10">
        <v>0.8</v>
      </c>
      <c r="P10" t="s">
        <v>45</v>
      </c>
      <c r="Q10">
        <v>1</v>
      </c>
      <c r="R10">
        <v>1</v>
      </c>
      <c r="S10">
        <v>1</v>
      </c>
      <c r="T10" t="s">
        <v>706</v>
      </c>
      <c r="U10" t="s">
        <v>706</v>
      </c>
      <c r="V10" t="s">
        <v>706</v>
      </c>
      <c r="W10" t="s">
        <v>706</v>
      </c>
      <c r="X10" t="s">
        <v>706</v>
      </c>
      <c r="Y10">
        <v>0</v>
      </c>
      <c r="Z10" t="s">
        <v>706</v>
      </c>
      <c r="AA10" t="s">
        <v>706</v>
      </c>
      <c r="AB10" t="s">
        <v>706</v>
      </c>
      <c r="AC10" t="s">
        <v>706</v>
      </c>
      <c r="AD10">
        <v>0</v>
      </c>
      <c r="AE10" t="s">
        <v>706</v>
      </c>
      <c r="AF10" t="s">
        <v>548</v>
      </c>
      <c r="AG10" t="s">
        <v>706</v>
      </c>
      <c r="AH10"/>
    </row>
    <row r="11" spans="1:34" x14ac:dyDescent="0.25">
      <c r="A11" t="s">
        <v>266</v>
      </c>
      <c r="B11" t="s">
        <v>267</v>
      </c>
      <c r="C11" t="s">
        <v>695</v>
      </c>
      <c r="D11" t="s">
        <v>696</v>
      </c>
      <c r="E11" t="s">
        <v>273</v>
      </c>
      <c r="F11" t="s">
        <v>283</v>
      </c>
      <c r="G11" t="s">
        <v>621</v>
      </c>
      <c r="H11" t="s">
        <v>284</v>
      </c>
      <c r="I11" t="s">
        <v>285</v>
      </c>
      <c r="J11">
        <v>1</v>
      </c>
      <c r="K11">
        <v>1</v>
      </c>
      <c r="L11" t="s">
        <v>33</v>
      </c>
      <c r="M11">
        <v>1</v>
      </c>
      <c r="N11">
        <v>0.8</v>
      </c>
      <c r="O11">
        <v>0.8</v>
      </c>
      <c r="P11" t="s">
        <v>45</v>
      </c>
      <c r="Q11">
        <v>1</v>
      </c>
      <c r="R11">
        <v>1</v>
      </c>
      <c r="S11">
        <v>1</v>
      </c>
      <c r="T11" t="s">
        <v>706</v>
      </c>
      <c r="U11" t="s">
        <v>706</v>
      </c>
      <c r="V11" t="s">
        <v>706</v>
      </c>
      <c r="W11" t="s">
        <v>706</v>
      </c>
      <c r="X11" t="s">
        <v>706</v>
      </c>
      <c r="Y11">
        <v>0</v>
      </c>
      <c r="Z11" t="s">
        <v>706</v>
      </c>
      <c r="AA11" t="s">
        <v>706</v>
      </c>
      <c r="AB11" t="s">
        <v>706</v>
      </c>
      <c r="AC11" t="s">
        <v>706</v>
      </c>
      <c r="AD11">
        <v>0</v>
      </c>
      <c r="AE11" t="s">
        <v>706</v>
      </c>
      <c r="AF11" t="s">
        <v>548</v>
      </c>
      <c r="AG11" t="s">
        <v>706</v>
      </c>
      <c r="AH11"/>
    </row>
    <row r="12" spans="1:34" x14ac:dyDescent="0.25">
      <c r="A12" t="s">
        <v>266</v>
      </c>
      <c r="B12" t="s">
        <v>267</v>
      </c>
      <c r="C12" t="s">
        <v>695</v>
      </c>
      <c r="D12" t="s">
        <v>696</v>
      </c>
      <c r="E12" t="s">
        <v>273</v>
      </c>
      <c r="F12" t="s">
        <v>286</v>
      </c>
      <c r="G12" t="s">
        <v>621</v>
      </c>
      <c r="H12" t="s">
        <v>287</v>
      </c>
      <c r="I12" t="s">
        <v>288</v>
      </c>
      <c r="J12">
        <v>1</v>
      </c>
      <c r="K12">
        <v>1</v>
      </c>
      <c r="L12" t="s">
        <v>33</v>
      </c>
      <c r="M12">
        <v>1</v>
      </c>
      <c r="N12">
        <v>0.8</v>
      </c>
      <c r="O12">
        <v>0.8</v>
      </c>
      <c r="P12" t="s">
        <v>45</v>
      </c>
      <c r="Q12">
        <v>1</v>
      </c>
      <c r="R12">
        <v>1</v>
      </c>
      <c r="S12">
        <v>1</v>
      </c>
      <c r="T12" t="s">
        <v>706</v>
      </c>
      <c r="U12" t="s">
        <v>706</v>
      </c>
      <c r="V12" t="s">
        <v>706</v>
      </c>
      <c r="W12" t="s">
        <v>706</v>
      </c>
      <c r="X12" t="s">
        <v>706</v>
      </c>
      <c r="Y12">
        <v>0</v>
      </c>
      <c r="Z12" t="s">
        <v>706</v>
      </c>
      <c r="AA12" t="s">
        <v>706</v>
      </c>
      <c r="AB12" t="s">
        <v>706</v>
      </c>
      <c r="AC12" t="s">
        <v>706</v>
      </c>
      <c r="AD12">
        <v>0</v>
      </c>
      <c r="AE12" t="s">
        <v>706</v>
      </c>
      <c r="AF12" t="s">
        <v>548</v>
      </c>
      <c r="AG12" t="s">
        <v>706</v>
      </c>
      <c r="AH12"/>
    </row>
    <row r="13" spans="1:34" x14ac:dyDescent="0.25">
      <c r="A13" t="s">
        <v>266</v>
      </c>
      <c r="B13" t="s">
        <v>267</v>
      </c>
      <c r="C13" t="s">
        <v>695</v>
      </c>
      <c r="D13" t="s">
        <v>696</v>
      </c>
      <c r="E13" t="s">
        <v>273</v>
      </c>
      <c r="F13" t="s">
        <v>289</v>
      </c>
      <c r="G13" t="s">
        <v>621</v>
      </c>
      <c r="H13" t="s">
        <v>290</v>
      </c>
      <c r="I13" t="s">
        <v>291</v>
      </c>
      <c r="J13">
        <v>1</v>
      </c>
      <c r="K13">
        <v>1</v>
      </c>
      <c r="L13" t="s">
        <v>33</v>
      </c>
      <c r="M13">
        <v>1</v>
      </c>
      <c r="N13">
        <v>0.8</v>
      </c>
      <c r="O13">
        <v>0.8</v>
      </c>
      <c r="P13" t="s">
        <v>45</v>
      </c>
      <c r="Q13">
        <v>1</v>
      </c>
      <c r="R13">
        <v>1</v>
      </c>
      <c r="S13">
        <v>1</v>
      </c>
      <c r="T13" t="s">
        <v>706</v>
      </c>
      <c r="U13" t="s">
        <v>706</v>
      </c>
      <c r="V13" t="s">
        <v>706</v>
      </c>
      <c r="W13" t="s">
        <v>706</v>
      </c>
      <c r="X13" t="s">
        <v>706</v>
      </c>
      <c r="Y13">
        <v>0</v>
      </c>
      <c r="Z13" t="s">
        <v>706</v>
      </c>
      <c r="AA13" t="s">
        <v>706</v>
      </c>
      <c r="AB13" t="s">
        <v>706</v>
      </c>
      <c r="AC13" t="s">
        <v>706</v>
      </c>
      <c r="AD13">
        <v>0</v>
      </c>
      <c r="AE13" t="s">
        <v>706</v>
      </c>
      <c r="AF13" t="s">
        <v>548</v>
      </c>
      <c r="AG13" t="s">
        <v>706</v>
      </c>
      <c r="AH13"/>
    </row>
    <row r="14" spans="1:34" x14ac:dyDescent="0.25">
      <c r="A14" t="s">
        <v>266</v>
      </c>
      <c r="B14" t="s">
        <v>267</v>
      </c>
      <c r="C14" t="s">
        <v>695</v>
      </c>
      <c r="D14" t="s">
        <v>696</v>
      </c>
      <c r="E14" t="s">
        <v>273</v>
      </c>
      <c r="F14" t="s">
        <v>292</v>
      </c>
      <c r="G14" t="s">
        <v>621</v>
      </c>
      <c r="H14" t="s">
        <v>293</v>
      </c>
      <c r="I14" t="s">
        <v>294</v>
      </c>
      <c r="J14">
        <v>1</v>
      </c>
      <c r="K14">
        <v>1</v>
      </c>
      <c r="L14" t="s">
        <v>33</v>
      </c>
      <c r="M14">
        <v>1</v>
      </c>
      <c r="N14">
        <v>0.8</v>
      </c>
      <c r="O14">
        <v>0.8</v>
      </c>
      <c r="P14" t="s">
        <v>45</v>
      </c>
      <c r="Q14">
        <v>1</v>
      </c>
      <c r="R14">
        <v>1</v>
      </c>
      <c r="S14">
        <v>1</v>
      </c>
      <c r="T14" t="s">
        <v>706</v>
      </c>
      <c r="U14" t="s">
        <v>706</v>
      </c>
      <c r="V14" t="s">
        <v>706</v>
      </c>
      <c r="W14" t="s">
        <v>706</v>
      </c>
      <c r="X14" t="s">
        <v>706</v>
      </c>
      <c r="Y14">
        <v>0</v>
      </c>
      <c r="Z14" t="s">
        <v>706</v>
      </c>
      <c r="AA14" t="s">
        <v>706</v>
      </c>
      <c r="AB14" t="s">
        <v>706</v>
      </c>
      <c r="AC14" t="s">
        <v>706</v>
      </c>
      <c r="AD14">
        <v>0</v>
      </c>
      <c r="AE14" t="s">
        <v>706</v>
      </c>
      <c r="AF14" t="s">
        <v>548</v>
      </c>
      <c r="AG14" t="s">
        <v>706</v>
      </c>
      <c r="AH14"/>
    </row>
    <row r="15" spans="1:34" x14ac:dyDescent="0.25">
      <c r="A15" t="s">
        <v>266</v>
      </c>
      <c r="B15" t="s">
        <v>267</v>
      </c>
      <c r="C15" t="s">
        <v>695</v>
      </c>
      <c r="D15" t="s">
        <v>696</v>
      </c>
      <c r="E15" t="s">
        <v>273</v>
      </c>
      <c r="F15" t="s">
        <v>295</v>
      </c>
      <c r="G15" t="s">
        <v>621</v>
      </c>
      <c r="H15" t="s">
        <v>296</v>
      </c>
      <c r="I15" t="s">
        <v>297</v>
      </c>
      <c r="J15">
        <v>1</v>
      </c>
      <c r="K15">
        <v>1</v>
      </c>
      <c r="L15" t="s">
        <v>33</v>
      </c>
      <c r="M15">
        <v>1</v>
      </c>
      <c r="N15">
        <v>0.8</v>
      </c>
      <c r="O15">
        <v>0.8</v>
      </c>
      <c r="P15" t="s">
        <v>45</v>
      </c>
      <c r="Q15">
        <v>1</v>
      </c>
      <c r="R15">
        <v>1</v>
      </c>
      <c r="S15">
        <v>1</v>
      </c>
      <c r="T15" t="s">
        <v>706</v>
      </c>
      <c r="U15" t="s">
        <v>706</v>
      </c>
      <c r="V15" t="s">
        <v>706</v>
      </c>
      <c r="W15" t="s">
        <v>706</v>
      </c>
      <c r="X15" t="s">
        <v>706</v>
      </c>
      <c r="Y15">
        <v>0</v>
      </c>
      <c r="Z15" t="s">
        <v>706</v>
      </c>
      <c r="AA15" t="s">
        <v>706</v>
      </c>
      <c r="AB15" t="s">
        <v>706</v>
      </c>
      <c r="AC15" t="s">
        <v>706</v>
      </c>
      <c r="AD15">
        <v>0</v>
      </c>
      <c r="AE15" t="s">
        <v>298</v>
      </c>
      <c r="AF15" t="s">
        <v>548</v>
      </c>
      <c r="AG15" t="s">
        <v>706</v>
      </c>
      <c r="AH15"/>
    </row>
    <row r="16" spans="1:34" x14ac:dyDescent="0.25">
      <c r="A16" t="s">
        <v>266</v>
      </c>
      <c r="B16" t="s">
        <v>267</v>
      </c>
      <c r="C16" t="s">
        <v>695</v>
      </c>
      <c r="D16" t="s">
        <v>696</v>
      </c>
      <c r="E16" t="s">
        <v>273</v>
      </c>
      <c r="F16" t="s">
        <v>299</v>
      </c>
      <c r="G16" t="s">
        <v>621</v>
      </c>
      <c r="H16" t="s">
        <v>296</v>
      </c>
      <c r="I16" t="s">
        <v>300</v>
      </c>
      <c r="J16">
        <v>1</v>
      </c>
      <c r="K16">
        <v>1</v>
      </c>
      <c r="L16" t="s">
        <v>33</v>
      </c>
      <c r="M16">
        <v>1</v>
      </c>
      <c r="N16">
        <v>0.8</v>
      </c>
      <c r="O16">
        <v>0.8</v>
      </c>
      <c r="P16" t="s">
        <v>45</v>
      </c>
      <c r="Q16">
        <v>1</v>
      </c>
      <c r="R16">
        <v>1</v>
      </c>
      <c r="S16">
        <v>1</v>
      </c>
      <c r="T16" t="s">
        <v>706</v>
      </c>
      <c r="U16" t="s">
        <v>706</v>
      </c>
      <c r="V16" t="s">
        <v>706</v>
      </c>
      <c r="W16" t="s">
        <v>706</v>
      </c>
      <c r="X16" t="s">
        <v>706</v>
      </c>
      <c r="Y16">
        <v>0</v>
      </c>
      <c r="Z16" t="s">
        <v>706</v>
      </c>
      <c r="AA16" t="s">
        <v>706</v>
      </c>
      <c r="AB16" t="s">
        <v>706</v>
      </c>
      <c r="AC16" t="s">
        <v>706</v>
      </c>
      <c r="AD16">
        <v>0</v>
      </c>
      <c r="AE16" t="s">
        <v>706</v>
      </c>
      <c r="AF16" t="s">
        <v>548</v>
      </c>
      <c r="AG16" t="s">
        <v>706</v>
      </c>
      <c r="AH16"/>
    </row>
    <row r="17" spans="1:34" x14ac:dyDescent="0.25">
      <c r="A17" t="s">
        <v>266</v>
      </c>
      <c r="B17" t="s">
        <v>267</v>
      </c>
      <c r="C17" t="s">
        <v>695</v>
      </c>
      <c r="D17" t="s">
        <v>696</v>
      </c>
      <c r="E17" t="s">
        <v>273</v>
      </c>
      <c r="F17" t="s">
        <v>301</v>
      </c>
      <c r="G17" t="s">
        <v>621</v>
      </c>
      <c r="H17" t="s">
        <v>296</v>
      </c>
      <c r="I17" t="s">
        <v>302</v>
      </c>
      <c r="J17">
        <v>1</v>
      </c>
      <c r="K17">
        <v>1</v>
      </c>
      <c r="L17" t="s">
        <v>33</v>
      </c>
      <c r="M17">
        <v>1</v>
      </c>
      <c r="N17">
        <v>0.8</v>
      </c>
      <c r="O17">
        <v>0.8</v>
      </c>
      <c r="P17" t="s">
        <v>45</v>
      </c>
      <c r="Q17">
        <v>1</v>
      </c>
      <c r="R17">
        <v>1</v>
      </c>
      <c r="S17">
        <v>1</v>
      </c>
      <c r="T17" t="s">
        <v>706</v>
      </c>
      <c r="U17" t="s">
        <v>706</v>
      </c>
      <c r="V17" t="s">
        <v>706</v>
      </c>
      <c r="W17" t="s">
        <v>706</v>
      </c>
      <c r="X17" t="s">
        <v>706</v>
      </c>
      <c r="Y17">
        <v>0</v>
      </c>
      <c r="Z17" t="s">
        <v>706</v>
      </c>
      <c r="AA17" t="s">
        <v>706</v>
      </c>
      <c r="AB17" t="s">
        <v>706</v>
      </c>
      <c r="AC17" t="s">
        <v>706</v>
      </c>
      <c r="AD17">
        <v>0</v>
      </c>
      <c r="AE17" t="s">
        <v>706</v>
      </c>
      <c r="AF17" t="s">
        <v>548</v>
      </c>
      <c r="AG17" t="s">
        <v>706</v>
      </c>
      <c r="AH17"/>
    </row>
    <row r="18" spans="1:34" x14ac:dyDescent="0.25">
      <c r="A18" t="s">
        <v>266</v>
      </c>
      <c r="B18" t="s">
        <v>267</v>
      </c>
      <c r="C18" t="s">
        <v>695</v>
      </c>
      <c r="D18" t="s">
        <v>696</v>
      </c>
      <c r="E18" t="s">
        <v>273</v>
      </c>
      <c r="F18" t="s">
        <v>303</v>
      </c>
      <c r="G18" t="s">
        <v>621</v>
      </c>
      <c r="H18" t="s">
        <v>296</v>
      </c>
      <c r="I18" t="s">
        <v>304</v>
      </c>
      <c r="J18">
        <v>1</v>
      </c>
      <c r="K18">
        <v>1</v>
      </c>
      <c r="L18" t="s">
        <v>33</v>
      </c>
      <c r="M18">
        <v>1</v>
      </c>
      <c r="N18">
        <v>0.8</v>
      </c>
      <c r="O18">
        <v>0.8</v>
      </c>
      <c r="P18" t="s">
        <v>45</v>
      </c>
      <c r="Q18">
        <v>1</v>
      </c>
      <c r="R18">
        <v>1</v>
      </c>
      <c r="S18">
        <v>1</v>
      </c>
      <c r="T18" t="s">
        <v>706</v>
      </c>
      <c r="U18" t="s">
        <v>706</v>
      </c>
      <c r="V18" t="s">
        <v>706</v>
      </c>
      <c r="W18" t="s">
        <v>706</v>
      </c>
      <c r="X18" t="s">
        <v>706</v>
      </c>
      <c r="Y18">
        <v>0</v>
      </c>
      <c r="Z18" t="s">
        <v>706</v>
      </c>
      <c r="AA18" t="s">
        <v>706</v>
      </c>
      <c r="AB18" t="s">
        <v>706</v>
      </c>
      <c r="AC18" t="s">
        <v>706</v>
      </c>
      <c r="AD18">
        <v>0</v>
      </c>
      <c r="AE18" t="s">
        <v>706</v>
      </c>
      <c r="AF18" t="s">
        <v>548</v>
      </c>
      <c r="AG18" t="s">
        <v>706</v>
      </c>
      <c r="AH18"/>
    </row>
    <row r="19" spans="1:34" x14ac:dyDescent="0.25">
      <c r="A19" t="s">
        <v>266</v>
      </c>
      <c r="B19" t="s">
        <v>267</v>
      </c>
      <c r="C19" t="s">
        <v>695</v>
      </c>
      <c r="D19" t="s">
        <v>696</v>
      </c>
      <c r="E19" t="s">
        <v>273</v>
      </c>
      <c r="F19" t="s">
        <v>305</v>
      </c>
      <c r="G19" t="s">
        <v>621</v>
      </c>
      <c r="H19" t="s">
        <v>296</v>
      </c>
      <c r="I19" t="s">
        <v>306</v>
      </c>
      <c r="J19">
        <v>1</v>
      </c>
      <c r="K19">
        <v>1</v>
      </c>
      <c r="L19" t="s">
        <v>33</v>
      </c>
      <c r="M19">
        <v>1</v>
      </c>
      <c r="N19">
        <v>0.8</v>
      </c>
      <c r="O19">
        <v>0.8</v>
      </c>
      <c r="P19" t="s">
        <v>45</v>
      </c>
      <c r="Q19">
        <v>1</v>
      </c>
      <c r="R19">
        <v>1</v>
      </c>
      <c r="S19">
        <v>1</v>
      </c>
      <c r="T19" t="s">
        <v>706</v>
      </c>
      <c r="U19" t="s">
        <v>706</v>
      </c>
      <c r="V19" t="s">
        <v>706</v>
      </c>
      <c r="W19" t="s">
        <v>706</v>
      </c>
      <c r="X19" t="s">
        <v>706</v>
      </c>
      <c r="Y19">
        <v>0</v>
      </c>
      <c r="Z19" t="s">
        <v>706</v>
      </c>
      <c r="AA19" t="s">
        <v>706</v>
      </c>
      <c r="AB19" t="s">
        <v>706</v>
      </c>
      <c r="AC19" t="s">
        <v>706</v>
      </c>
      <c r="AD19">
        <v>0</v>
      </c>
      <c r="AE19" t="s">
        <v>706</v>
      </c>
      <c r="AF19" t="s">
        <v>548</v>
      </c>
      <c r="AG19" t="s">
        <v>706</v>
      </c>
      <c r="AH19"/>
    </row>
    <row r="20" spans="1:34" x14ac:dyDescent="0.25">
      <c r="A20" t="s">
        <v>307</v>
      </c>
      <c r="B20" t="s">
        <v>308</v>
      </c>
      <c r="C20" t="s">
        <v>695</v>
      </c>
      <c r="D20" t="s">
        <v>696</v>
      </c>
      <c r="E20" t="s">
        <v>309</v>
      </c>
      <c r="F20" t="s">
        <v>310</v>
      </c>
      <c r="G20" t="s">
        <v>621</v>
      </c>
      <c r="H20" t="s">
        <v>311</v>
      </c>
      <c r="I20" t="s">
        <v>706</v>
      </c>
      <c r="J20">
        <v>1</v>
      </c>
      <c r="K20">
        <v>1</v>
      </c>
      <c r="L20" t="s">
        <v>33</v>
      </c>
      <c r="M20">
        <v>1</v>
      </c>
      <c r="N20">
        <v>0.8</v>
      </c>
      <c r="O20">
        <v>0.8</v>
      </c>
      <c r="P20" t="s">
        <v>45</v>
      </c>
      <c r="Q20">
        <v>1</v>
      </c>
      <c r="R20">
        <v>1</v>
      </c>
      <c r="S20">
        <v>1</v>
      </c>
      <c r="T20" t="s">
        <v>706</v>
      </c>
      <c r="U20" t="s">
        <v>706</v>
      </c>
      <c r="V20" t="s">
        <v>706</v>
      </c>
      <c r="W20" t="s">
        <v>706</v>
      </c>
      <c r="X20" t="s">
        <v>706</v>
      </c>
      <c r="Y20">
        <v>0</v>
      </c>
      <c r="Z20" t="s">
        <v>706</v>
      </c>
      <c r="AA20" t="s">
        <v>706</v>
      </c>
      <c r="AB20" t="s">
        <v>706</v>
      </c>
      <c r="AC20" t="s">
        <v>706</v>
      </c>
      <c r="AD20">
        <v>0</v>
      </c>
      <c r="AE20" t="s">
        <v>706</v>
      </c>
      <c r="AF20" t="s">
        <v>549</v>
      </c>
      <c r="AG20" t="s">
        <v>706</v>
      </c>
      <c r="AH20"/>
    </row>
    <row r="21" spans="1:34" x14ac:dyDescent="0.25">
      <c r="A21" t="s">
        <v>307</v>
      </c>
      <c r="B21" t="s">
        <v>308</v>
      </c>
      <c r="C21" t="s">
        <v>695</v>
      </c>
      <c r="D21" t="s">
        <v>696</v>
      </c>
      <c r="E21" t="s">
        <v>309</v>
      </c>
      <c r="F21" t="s">
        <v>312</v>
      </c>
      <c r="G21" t="s">
        <v>621</v>
      </c>
      <c r="H21" t="s">
        <v>313</v>
      </c>
      <c r="I21" t="s">
        <v>706</v>
      </c>
      <c r="J21">
        <v>1</v>
      </c>
      <c r="K21">
        <v>1</v>
      </c>
      <c r="L21" t="s">
        <v>33</v>
      </c>
      <c r="M21">
        <v>1</v>
      </c>
      <c r="N21">
        <v>0.8</v>
      </c>
      <c r="O21">
        <v>0.8</v>
      </c>
      <c r="P21" t="s">
        <v>45</v>
      </c>
      <c r="Q21">
        <v>1</v>
      </c>
      <c r="R21">
        <v>1</v>
      </c>
      <c r="S21">
        <v>1</v>
      </c>
      <c r="T21" t="s">
        <v>706</v>
      </c>
      <c r="U21" t="s">
        <v>706</v>
      </c>
      <c r="V21" t="s">
        <v>706</v>
      </c>
      <c r="W21" t="s">
        <v>706</v>
      </c>
      <c r="X21" t="s">
        <v>706</v>
      </c>
      <c r="Y21">
        <v>0</v>
      </c>
      <c r="Z21" t="s">
        <v>706</v>
      </c>
      <c r="AA21" t="s">
        <v>706</v>
      </c>
      <c r="AB21" t="s">
        <v>706</v>
      </c>
      <c r="AC21" t="s">
        <v>706</v>
      </c>
      <c r="AD21">
        <v>0</v>
      </c>
      <c r="AE21" t="s">
        <v>706</v>
      </c>
      <c r="AF21" t="s">
        <v>549</v>
      </c>
      <c r="AG21" t="s">
        <v>706</v>
      </c>
      <c r="AH21"/>
    </row>
    <row r="22" spans="1:34" x14ac:dyDescent="0.25">
      <c r="A22" t="s">
        <v>307</v>
      </c>
      <c r="B22" t="s">
        <v>308</v>
      </c>
      <c r="C22" t="s">
        <v>695</v>
      </c>
      <c r="D22" t="s">
        <v>696</v>
      </c>
      <c r="E22" t="s">
        <v>309</v>
      </c>
      <c r="F22" t="s">
        <v>314</v>
      </c>
      <c r="G22" t="s">
        <v>621</v>
      </c>
      <c r="H22" t="s">
        <v>315</v>
      </c>
      <c r="I22" t="s">
        <v>706</v>
      </c>
      <c r="J22">
        <v>1</v>
      </c>
      <c r="K22">
        <v>1</v>
      </c>
      <c r="L22" t="s">
        <v>33</v>
      </c>
      <c r="M22">
        <v>1</v>
      </c>
      <c r="N22">
        <v>0.8</v>
      </c>
      <c r="O22">
        <v>0.8</v>
      </c>
      <c r="P22" t="s">
        <v>45</v>
      </c>
      <c r="Q22">
        <v>1</v>
      </c>
      <c r="R22">
        <v>1</v>
      </c>
      <c r="S22">
        <v>1</v>
      </c>
      <c r="T22" t="s">
        <v>706</v>
      </c>
      <c r="U22" t="s">
        <v>706</v>
      </c>
      <c r="V22" t="s">
        <v>706</v>
      </c>
      <c r="W22" t="s">
        <v>706</v>
      </c>
      <c r="X22" t="s">
        <v>706</v>
      </c>
      <c r="Y22">
        <v>0</v>
      </c>
      <c r="Z22" t="s">
        <v>706</v>
      </c>
      <c r="AA22" t="s">
        <v>706</v>
      </c>
      <c r="AB22" t="s">
        <v>706</v>
      </c>
      <c r="AC22" t="s">
        <v>706</v>
      </c>
      <c r="AD22">
        <v>0</v>
      </c>
      <c r="AE22" t="s">
        <v>706</v>
      </c>
      <c r="AF22" t="s">
        <v>549</v>
      </c>
      <c r="AG22" t="s">
        <v>706</v>
      </c>
      <c r="AH22"/>
    </row>
    <row r="23" spans="1:34" x14ac:dyDescent="0.25">
      <c r="A23" t="s">
        <v>307</v>
      </c>
      <c r="B23" t="s">
        <v>308</v>
      </c>
      <c r="C23" t="s">
        <v>695</v>
      </c>
      <c r="D23" t="s">
        <v>696</v>
      </c>
      <c r="E23" t="s">
        <v>309</v>
      </c>
      <c r="F23" t="s">
        <v>316</v>
      </c>
      <c r="G23" t="s">
        <v>621</v>
      </c>
      <c r="H23" t="s">
        <v>317</v>
      </c>
      <c r="I23" t="s">
        <v>706</v>
      </c>
      <c r="J23">
        <v>1</v>
      </c>
      <c r="K23">
        <v>1</v>
      </c>
      <c r="L23" t="s">
        <v>33</v>
      </c>
      <c r="M23">
        <v>1</v>
      </c>
      <c r="N23">
        <v>0.8</v>
      </c>
      <c r="O23">
        <v>0.8</v>
      </c>
      <c r="P23" t="s">
        <v>45</v>
      </c>
      <c r="Q23">
        <v>1</v>
      </c>
      <c r="R23">
        <v>1</v>
      </c>
      <c r="S23">
        <v>1</v>
      </c>
      <c r="T23" t="s">
        <v>706</v>
      </c>
      <c r="U23" t="s">
        <v>706</v>
      </c>
      <c r="V23" t="s">
        <v>706</v>
      </c>
      <c r="W23" t="s">
        <v>706</v>
      </c>
      <c r="X23" t="s">
        <v>706</v>
      </c>
      <c r="Y23">
        <v>0</v>
      </c>
      <c r="Z23" t="s">
        <v>706</v>
      </c>
      <c r="AA23" t="s">
        <v>706</v>
      </c>
      <c r="AB23" t="s">
        <v>706</v>
      </c>
      <c r="AC23" t="s">
        <v>706</v>
      </c>
      <c r="AD23">
        <v>0</v>
      </c>
      <c r="AE23" t="s">
        <v>706</v>
      </c>
      <c r="AF23" t="s">
        <v>549</v>
      </c>
      <c r="AG23" t="s">
        <v>706</v>
      </c>
      <c r="AH23"/>
    </row>
    <row r="24" spans="1:34" x14ac:dyDescent="0.25">
      <c r="A24" t="s">
        <v>307</v>
      </c>
      <c r="B24" t="s">
        <v>308</v>
      </c>
      <c r="C24" t="s">
        <v>695</v>
      </c>
      <c r="D24" t="s">
        <v>696</v>
      </c>
      <c r="E24" t="s">
        <v>309</v>
      </c>
      <c r="F24" t="s">
        <v>318</v>
      </c>
      <c r="G24" t="s">
        <v>621</v>
      </c>
      <c r="H24" t="s">
        <v>319</v>
      </c>
      <c r="I24" t="s">
        <v>706</v>
      </c>
      <c r="J24">
        <v>1</v>
      </c>
      <c r="K24">
        <v>1</v>
      </c>
      <c r="L24" t="s">
        <v>33</v>
      </c>
      <c r="M24">
        <v>1</v>
      </c>
      <c r="N24">
        <v>0.8</v>
      </c>
      <c r="O24">
        <v>0.8</v>
      </c>
      <c r="P24" t="s">
        <v>45</v>
      </c>
      <c r="Q24">
        <v>1</v>
      </c>
      <c r="R24">
        <v>1</v>
      </c>
      <c r="S24">
        <v>1</v>
      </c>
      <c r="T24" t="s">
        <v>706</v>
      </c>
      <c r="U24" t="s">
        <v>706</v>
      </c>
      <c r="V24" t="s">
        <v>706</v>
      </c>
      <c r="W24" t="s">
        <v>706</v>
      </c>
      <c r="X24" t="s">
        <v>706</v>
      </c>
      <c r="Y24">
        <v>0</v>
      </c>
      <c r="Z24" t="s">
        <v>706</v>
      </c>
      <c r="AA24" t="s">
        <v>706</v>
      </c>
      <c r="AB24" t="s">
        <v>706</v>
      </c>
      <c r="AC24" t="s">
        <v>706</v>
      </c>
      <c r="AD24">
        <v>0</v>
      </c>
      <c r="AE24" t="s">
        <v>706</v>
      </c>
      <c r="AF24" t="s">
        <v>549</v>
      </c>
      <c r="AG24" t="s">
        <v>706</v>
      </c>
      <c r="AH24"/>
    </row>
    <row r="25" spans="1:34" x14ac:dyDescent="0.25">
      <c r="A25" t="s">
        <v>307</v>
      </c>
      <c r="B25" t="s">
        <v>308</v>
      </c>
      <c r="C25" t="s">
        <v>695</v>
      </c>
      <c r="D25" t="s">
        <v>696</v>
      </c>
      <c r="E25" t="s">
        <v>309</v>
      </c>
      <c r="F25" t="s">
        <v>320</v>
      </c>
      <c r="G25" t="s">
        <v>621</v>
      </c>
      <c r="H25" t="s">
        <v>321</v>
      </c>
      <c r="I25" t="s">
        <v>706</v>
      </c>
      <c r="J25">
        <v>1</v>
      </c>
      <c r="K25">
        <v>1</v>
      </c>
      <c r="L25" t="s">
        <v>33</v>
      </c>
      <c r="M25">
        <v>1</v>
      </c>
      <c r="N25">
        <v>0.8</v>
      </c>
      <c r="O25">
        <v>0.8</v>
      </c>
      <c r="P25" t="s">
        <v>45</v>
      </c>
      <c r="Q25">
        <v>1</v>
      </c>
      <c r="R25">
        <v>1</v>
      </c>
      <c r="S25">
        <v>1</v>
      </c>
      <c r="T25" t="s">
        <v>706</v>
      </c>
      <c r="U25" t="s">
        <v>706</v>
      </c>
      <c r="V25" t="s">
        <v>706</v>
      </c>
      <c r="W25" t="s">
        <v>706</v>
      </c>
      <c r="X25" t="s">
        <v>706</v>
      </c>
      <c r="Y25">
        <v>0</v>
      </c>
      <c r="Z25" t="s">
        <v>706</v>
      </c>
      <c r="AA25" t="s">
        <v>706</v>
      </c>
      <c r="AB25" t="s">
        <v>706</v>
      </c>
      <c r="AC25" t="s">
        <v>706</v>
      </c>
      <c r="AD25">
        <v>0</v>
      </c>
      <c r="AE25" t="s">
        <v>706</v>
      </c>
      <c r="AF25" t="s">
        <v>549</v>
      </c>
      <c r="AG25" t="s">
        <v>706</v>
      </c>
      <c r="AH25"/>
    </row>
    <row r="26" spans="1:34" x14ac:dyDescent="0.25">
      <c r="A26" t="s">
        <v>307</v>
      </c>
      <c r="B26" t="s">
        <v>308</v>
      </c>
      <c r="C26" t="s">
        <v>695</v>
      </c>
      <c r="D26" t="s">
        <v>696</v>
      </c>
      <c r="E26" t="s">
        <v>309</v>
      </c>
      <c r="F26" t="s">
        <v>322</v>
      </c>
      <c r="G26" t="s">
        <v>621</v>
      </c>
      <c r="H26" t="s">
        <v>323</v>
      </c>
      <c r="I26" t="s">
        <v>706</v>
      </c>
      <c r="J26">
        <v>1</v>
      </c>
      <c r="K26">
        <v>1</v>
      </c>
      <c r="L26" t="s">
        <v>33</v>
      </c>
      <c r="M26">
        <v>1</v>
      </c>
      <c r="N26">
        <v>0</v>
      </c>
      <c r="O26">
        <v>0</v>
      </c>
      <c r="P26" t="s">
        <v>45</v>
      </c>
      <c r="Q26">
        <v>1</v>
      </c>
      <c r="R26" t="s">
        <v>706</v>
      </c>
      <c r="S26" t="s">
        <v>706</v>
      </c>
      <c r="T26" t="s">
        <v>706</v>
      </c>
      <c r="U26" t="s">
        <v>706</v>
      </c>
      <c r="V26" t="s">
        <v>706</v>
      </c>
      <c r="W26" t="s">
        <v>706</v>
      </c>
      <c r="X26" t="s">
        <v>706</v>
      </c>
      <c r="Y26">
        <v>0</v>
      </c>
      <c r="Z26" t="s">
        <v>706</v>
      </c>
      <c r="AA26" t="s">
        <v>706</v>
      </c>
      <c r="AB26" t="s">
        <v>706</v>
      </c>
      <c r="AC26" t="s">
        <v>706</v>
      </c>
      <c r="AD26">
        <v>0</v>
      </c>
      <c r="AE26" t="s">
        <v>324</v>
      </c>
      <c r="AF26" t="s">
        <v>549</v>
      </c>
      <c r="AG26" t="s">
        <v>706</v>
      </c>
      <c r="AH26"/>
    </row>
    <row r="27" spans="1:34" x14ac:dyDescent="0.25">
      <c r="A27" t="s">
        <v>307</v>
      </c>
      <c r="B27" t="s">
        <v>308</v>
      </c>
      <c r="C27" t="s">
        <v>695</v>
      </c>
      <c r="D27" t="s">
        <v>696</v>
      </c>
      <c r="E27" t="s">
        <v>309</v>
      </c>
      <c r="F27" t="s">
        <v>325</v>
      </c>
      <c r="G27" t="s">
        <v>621</v>
      </c>
      <c r="H27" t="s">
        <v>326</v>
      </c>
      <c r="I27" t="s">
        <v>706</v>
      </c>
      <c r="J27">
        <v>1</v>
      </c>
      <c r="K27">
        <v>1</v>
      </c>
      <c r="L27" t="s">
        <v>33</v>
      </c>
      <c r="M27">
        <v>1</v>
      </c>
      <c r="N27">
        <v>0.8</v>
      </c>
      <c r="O27">
        <v>0.8</v>
      </c>
      <c r="P27" t="s">
        <v>45</v>
      </c>
      <c r="Q27">
        <v>1</v>
      </c>
      <c r="R27">
        <v>1</v>
      </c>
      <c r="S27">
        <v>1</v>
      </c>
      <c r="T27" t="s">
        <v>706</v>
      </c>
      <c r="U27" t="s">
        <v>706</v>
      </c>
      <c r="V27" t="s">
        <v>706</v>
      </c>
      <c r="W27" t="s">
        <v>706</v>
      </c>
      <c r="X27" t="s">
        <v>706</v>
      </c>
      <c r="Y27">
        <v>0</v>
      </c>
      <c r="Z27" t="s">
        <v>706</v>
      </c>
      <c r="AA27" t="s">
        <v>706</v>
      </c>
      <c r="AB27" t="s">
        <v>706</v>
      </c>
      <c r="AC27" t="s">
        <v>706</v>
      </c>
      <c r="AD27">
        <v>0</v>
      </c>
      <c r="AE27" t="s">
        <v>706</v>
      </c>
      <c r="AF27" t="s">
        <v>549</v>
      </c>
      <c r="AG27" t="s">
        <v>706</v>
      </c>
      <c r="AH27"/>
    </row>
    <row r="28" spans="1:34" x14ac:dyDescent="0.25">
      <c r="A28" t="s">
        <v>307</v>
      </c>
      <c r="B28" t="s">
        <v>308</v>
      </c>
      <c r="C28" t="s">
        <v>695</v>
      </c>
      <c r="D28" t="s">
        <v>696</v>
      </c>
      <c r="E28" t="s">
        <v>309</v>
      </c>
      <c r="F28" t="s">
        <v>327</v>
      </c>
      <c r="G28" t="s">
        <v>621</v>
      </c>
      <c r="H28" t="s">
        <v>328</v>
      </c>
      <c r="I28" t="s">
        <v>706</v>
      </c>
      <c r="J28">
        <v>1</v>
      </c>
      <c r="K28">
        <v>1</v>
      </c>
      <c r="L28" t="s">
        <v>33</v>
      </c>
      <c r="M28">
        <v>1</v>
      </c>
      <c r="N28">
        <v>0.8</v>
      </c>
      <c r="O28">
        <v>0.8</v>
      </c>
      <c r="P28" t="s">
        <v>45</v>
      </c>
      <c r="Q28">
        <v>1</v>
      </c>
      <c r="R28">
        <v>1</v>
      </c>
      <c r="S28">
        <v>1</v>
      </c>
      <c r="T28" t="s">
        <v>706</v>
      </c>
      <c r="U28" t="s">
        <v>706</v>
      </c>
      <c r="V28" t="s">
        <v>706</v>
      </c>
      <c r="W28" t="s">
        <v>706</v>
      </c>
      <c r="X28" t="s">
        <v>706</v>
      </c>
      <c r="Y28">
        <v>0</v>
      </c>
      <c r="Z28" t="s">
        <v>706</v>
      </c>
      <c r="AA28" t="s">
        <v>706</v>
      </c>
      <c r="AB28" t="s">
        <v>706</v>
      </c>
      <c r="AC28" t="s">
        <v>706</v>
      </c>
      <c r="AD28">
        <v>0</v>
      </c>
      <c r="AE28" t="s">
        <v>706</v>
      </c>
      <c r="AF28" t="s">
        <v>549</v>
      </c>
      <c r="AG28" t="s">
        <v>706</v>
      </c>
      <c r="AH28"/>
    </row>
    <row r="29" spans="1:34" x14ac:dyDescent="0.25">
      <c r="A29" t="s">
        <v>329</v>
      </c>
      <c r="B29" t="s">
        <v>330</v>
      </c>
      <c r="C29" t="s">
        <v>695</v>
      </c>
      <c r="D29" t="s">
        <v>696</v>
      </c>
      <c r="E29" t="s">
        <v>331</v>
      </c>
      <c r="F29" t="s">
        <v>332</v>
      </c>
      <c r="G29" t="s">
        <v>621</v>
      </c>
      <c r="H29" t="s">
        <v>333</v>
      </c>
      <c r="I29" t="s">
        <v>334</v>
      </c>
      <c r="J29">
        <v>1</v>
      </c>
      <c r="K29">
        <v>1</v>
      </c>
      <c r="L29" t="s">
        <v>33</v>
      </c>
      <c r="M29">
        <v>1</v>
      </c>
      <c r="N29">
        <v>0.8</v>
      </c>
      <c r="O29">
        <v>0.8</v>
      </c>
      <c r="P29" t="s">
        <v>45</v>
      </c>
      <c r="Q29">
        <v>1</v>
      </c>
      <c r="R29">
        <v>1</v>
      </c>
      <c r="S29">
        <v>1</v>
      </c>
      <c r="T29" t="s">
        <v>706</v>
      </c>
      <c r="U29" t="s">
        <v>706</v>
      </c>
      <c r="V29" t="s">
        <v>706</v>
      </c>
      <c r="W29" t="s">
        <v>706</v>
      </c>
      <c r="X29" t="s">
        <v>706</v>
      </c>
      <c r="Y29">
        <v>0</v>
      </c>
      <c r="Z29" t="s">
        <v>706</v>
      </c>
      <c r="AA29" t="s">
        <v>706</v>
      </c>
      <c r="AB29" t="s">
        <v>706</v>
      </c>
      <c r="AC29" t="s">
        <v>706</v>
      </c>
      <c r="AD29">
        <v>0</v>
      </c>
      <c r="AE29" t="s">
        <v>706</v>
      </c>
      <c r="AF29" t="s">
        <v>550</v>
      </c>
      <c r="AG29" t="s">
        <v>706</v>
      </c>
      <c r="AH29"/>
    </row>
    <row r="30" spans="1:34" x14ac:dyDescent="0.25">
      <c r="A30" t="s">
        <v>335</v>
      </c>
      <c r="B30" t="s">
        <v>336</v>
      </c>
      <c r="C30" t="s">
        <v>695</v>
      </c>
      <c r="D30" t="s">
        <v>696</v>
      </c>
      <c r="E30" t="s">
        <v>337</v>
      </c>
      <c r="F30" t="s">
        <v>338</v>
      </c>
      <c r="G30" t="s">
        <v>621</v>
      </c>
      <c r="H30" t="s">
        <v>323</v>
      </c>
      <c r="I30" t="s">
        <v>339</v>
      </c>
      <c r="J30">
        <v>1</v>
      </c>
      <c r="K30">
        <v>1</v>
      </c>
      <c r="L30" t="s">
        <v>33</v>
      </c>
      <c r="M30">
        <v>1</v>
      </c>
      <c r="N30">
        <v>0</v>
      </c>
      <c r="O30">
        <v>0</v>
      </c>
      <c r="P30" t="s">
        <v>45</v>
      </c>
      <c r="Q30" t="s">
        <v>706</v>
      </c>
      <c r="R30" t="s">
        <v>706</v>
      </c>
      <c r="S30" t="s">
        <v>706</v>
      </c>
      <c r="T30" t="s">
        <v>706</v>
      </c>
      <c r="U30" t="s">
        <v>706</v>
      </c>
      <c r="V30" t="s">
        <v>706</v>
      </c>
      <c r="W30" t="s">
        <v>706</v>
      </c>
      <c r="X30" t="s">
        <v>706</v>
      </c>
      <c r="Y30">
        <v>0</v>
      </c>
      <c r="Z30" t="s">
        <v>706</v>
      </c>
      <c r="AA30" t="s">
        <v>706</v>
      </c>
      <c r="AB30" t="s">
        <v>706</v>
      </c>
      <c r="AC30" t="s">
        <v>706</v>
      </c>
      <c r="AD30">
        <v>0</v>
      </c>
      <c r="AE30" t="s">
        <v>340</v>
      </c>
      <c r="AF30" t="s">
        <v>547</v>
      </c>
      <c r="AG30" t="s">
        <v>706</v>
      </c>
      <c r="AH30"/>
    </row>
    <row r="31" spans="1:34" x14ac:dyDescent="0.25">
      <c r="A31" t="s">
        <v>335</v>
      </c>
      <c r="B31" t="s">
        <v>336</v>
      </c>
      <c r="C31" t="s">
        <v>695</v>
      </c>
      <c r="D31" t="s">
        <v>696</v>
      </c>
      <c r="E31" t="s">
        <v>337</v>
      </c>
      <c r="F31" t="s">
        <v>341</v>
      </c>
      <c r="G31" t="s">
        <v>621</v>
      </c>
      <c r="H31" t="s">
        <v>342</v>
      </c>
      <c r="I31" t="s">
        <v>343</v>
      </c>
      <c r="J31">
        <v>1</v>
      </c>
      <c r="K31">
        <v>1</v>
      </c>
      <c r="L31" t="s">
        <v>33</v>
      </c>
      <c r="M31">
        <v>1</v>
      </c>
      <c r="N31">
        <v>0.8</v>
      </c>
      <c r="O31">
        <v>0.8</v>
      </c>
      <c r="P31" t="s">
        <v>45</v>
      </c>
      <c r="Q31">
        <v>1</v>
      </c>
      <c r="R31" t="s">
        <v>706</v>
      </c>
      <c r="S31" t="s">
        <v>706</v>
      </c>
      <c r="T31" t="s">
        <v>706</v>
      </c>
      <c r="U31" t="s">
        <v>706</v>
      </c>
      <c r="V31" t="s">
        <v>706</v>
      </c>
      <c r="W31" t="s">
        <v>706</v>
      </c>
      <c r="X31" t="s">
        <v>706</v>
      </c>
      <c r="Y31">
        <v>0</v>
      </c>
      <c r="Z31" t="s">
        <v>706</v>
      </c>
      <c r="AA31" t="s">
        <v>706</v>
      </c>
      <c r="AB31" t="s">
        <v>706</v>
      </c>
      <c r="AC31" t="s">
        <v>706</v>
      </c>
      <c r="AD31">
        <v>0</v>
      </c>
      <c r="AE31" t="s">
        <v>344</v>
      </c>
      <c r="AF31" t="s">
        <v>547</v>
      </c>
      <c r="AG31" t="s">
        <v>706</v>
      </c>
      <c r="AH31"/>
    </row>
    <row r="32" spans="1:34" x14ac:dyDescent="0.25">
      <c r="A32" t="s">
        <v>345</v>
      </c>
      <c r="B32" t="s">
        <v>346</v>
      </c>
      <c r="C32" t="s">
        <v>695</v>
      </c>
      <c r="D32" t="s">
        <v>697</v>
      </c>
      <c r="E32" t="s">
        <v>347</v>
      </c>
      <c r="F32" t="s">
        <v>348</v>
      </c>
      <c r="G32" t="s">
        <v>621</v>
      </c>
      <c r="H32" t="s">
        <v>349</v>
      </c>
      <c r="I32" t="s">
        <v>706</v>
      </c>
      <c r="J32">
        <v>1</v>
      </c>
      <c r="K32">
        <v>1</v>
      </c>
      <c r="L32" t="s">
        <v>33</v>
      </c>
      <c r="M32">
        <v>1</v>
      </c>
      <c r="N32">
        <v>0.6</v>
      </c>
      <c r="O32">
        <v>0.6</v>
      </c>
      <c r="P32" t="s">
        <v>45</v>
      </c>
      <c r="Q32">
        <v>1</v>
      </c>
      <c r="R32" t="s">
        <v>706</v>
      </c>
      <c r="S32" t="s">
        <v>706</v>
      </c>
      <c r="T32" t="s">
        <v>706</v>
      </c>
      <c r="U32" t="s">
        <v>706</v>
      </c>
      <c r="V32" t="s">
        <v>706</v>
      </c>
      <c r="W32" t="s">
        <v>706</v>
      </c>
      <c r="X32" t="s">
        <v>706</v>
      </c>
      <c r="Y32">
        <v>0</v>
      </c>
      <c r="Z32" t="s">
        <v>706</v>
      </c>
      <c r="AA32" t="s">
        <v>706</v>
      </c>
      <c r="AB32" t="s">
        <v>706</v>
      </c>
      <c r="AC32" t="s">
        <v>706</v>
      </c>
      <c r="AD32">
        <v>0</v>
      </c>
      <c r="AE32" t="s">
        <v>350</v>
      </c>
      <c r="AF32" t="s">
        <v>706</v>
      </c>
      <c r="AG32" t="s">
        <v>706</v>
      </c>
      <c r="AH32"/>
    </row>
    <row r="33" spans="1:34" x14ac:dyDescent="0.25">
      <c r="A33" t="s">
        <v>351</v>
      </c>
      <c r="B33" t="s">
        <v>352</v>
      </c>
      <c r="C33" t="s">
        <v>695</v>
      </c>
      <c r="D33" t="s">
        <v>696</v>
      </c>
      <c r="E33" t="s">
        <v>353</v>
      </c>
      <c r="F33" t="s">
        <v>354</v>
      </c>
      <c r="G33" t="s">
        <v>621</v>
      </c>
      <c r="H33" t="s">
        <v>355</v>
      </c>
      <c r="I33" t="s">
        <v>356</v>
      </c>
      <c r="J33">
        <v>1</v>
      </c>
      <c r="K33">
        <v>1</v>
      </c>
      <c r="L33" t="s">
        <v>33</v>
      </c>
      <c r="M33">
        <v>1</v>
      </c>
      <c r="N33">
        <v>0.8</v>
      </c>
      <c r="O33">
        <v>0.8</v>
      </c>
      <c r="P33" t="s">
        <v>45</v>
      </c>
      <c r="Q33">
        <v>1</v>
      </c>
      <c r="R33" t="s">
        <v>706</v>
      </c>
      <c r="S33" t="s">
        <v>706</v>
      </c>
      <c r="T33" t="s">
        <v>706</v>
      </c>
      <c r="U33" t="s">
        <v>706</v>
      </c>
      <c r="V33" t="s">
        <v>706</v>
      </c>
      <c r="W33" t="s">
        <v>706</v>
      </c>
      <c r="X33" t="s">
        <v>706</v>
      </c>
      <c r="Y33">
        <v>0</v>
      </c>
      <c r="Z33" t="s">
        <v>706</v>
      </c>
      <c r="AA33" t="s">
        <v>706</v>
      </c>
      <c r="AB33" t="s">
        <v>706</v>
      </c>
      <c r="AC33" t="s">
        <v>706</v>
      </c>
      <c r="AD33">
        <v>0</v>
      </c>
      <c r="AE33" t="s">
        <v>357</v>
      </c>
      <c r="AF33" t="s">
        <v>548</v>
      </c>
      <c r="AG33" t="s">
        <v>706</v>
      </c>
      <c r="AH33"/>
    </row>
    <row r="34" spans="1:34" x14ac:dyDescent="0.25">
      <c r="A34" t="s">
        <v>351</v>
      </c>
      <c r="B34" t="s">
        <v>352</v>
      </c>
      <c r="C34" t="s">
        <v>695</v>
      </c>
      <c r="D34" t="s">
        <v>696</v>
      </c>
      <c r="E34" t="s">
        <v>353</v>
      </c>
      <c r="F34" t="s">
        <v>358</v>
      </c>
      <c r="G34" t="s">
        <v>621</v>
      </c>
      <c r="H34" t="s">
        <v>355</v>
      </c>
      <c r="I34" t="s">
        <v>356</v>
      </c>
      <c r="J34">
        <v>1</v>
      </c>
      <c r="K34">
        <v>1</v>
      </c>
      <c r="L34" t="s">
        <v>33</v>
      </c>
      <c r="M34">
        <v>1</v>
      </c>
      <c r="N34">
        <v>0.8</v>
      </c>
      <c r="O34">
        <v>0.8</v>
      </c>
      <c r="P34" t="s">
        <v>45</v>
      </c>
      <c r="Q34">
        <v>1</v>
      </c>
      <c r="R34" t="s">
        <v>706</v>
      </c>
      <c r="S34" t="s">
        <v>706</v>
      </c>
      <c r="T34" t="s">
        <v>706</v>
      </c>
      <c r="U34" t="s">
        <v>706</v>
      </c>
      <c r="V34" t="s">
        <v>706</v>
      </c>
      <c r="W34" t="s">
        <v>706</v>
      </c>
      <c r="X34" t="s">
        <v>706</v>
      </c>
      <c r="Y34">
        <v>0</v>
      </c>
      <c r="Z34" t="s">
        <v>706</v>
      </c>
      <c r="AA34" t="s">
        <v>706</v>
      </c>
      <c r="AB34" t="s">
        <v>706</v>
      </c>
      <c r="AC34" t="s">
        <v>706</v>
      </c>
      <c r="AD34">
        <v>0</v>
      </c>
      <c r="AE34" t="s">
        <v>706</v>
      </c>
      <c r="AF34" t="s">
        <v>548</v>
      </c>
      <c r="AG34" t="s">
        <v>706</v>
      </c>
      <c r="AH34"/>
    </row>
    <row r="35" spans="1:34" x14ac:dyDescent="0.25">
      <c r="A35" t="s">
        <v>351</v>
      </c>
      <c r="B35" t="s">
        <v>352</v>
      </c>
      <c r="C35" t="s">
        <v>695</v>
      </c>
      <c r="D35" t="s">
        <v>696</v>
      </c>
      <c r="E35" t="s">
        <v>353</v>
      </c>
      <c r="F35" t="s">
        <v>359</v>
      </c>
      <c r="G35" t="s">
        <v>621</v>
      </c>
      <c r="H35" t="s">
        <v>355</v>
      </c>
      <c r="I35" t="s">
        <v>360</v>
      </c>
      <c r="J35">
        <v>1</v>
      </c>
      <c r="K35">
        <v>1</v>
      </c>
      <c r="L35" t="s">
        <v>33</v>
      </c>
      <c r="M35">
        <v>1</v>
      </c>
      <c r="N35">
        <v>0.8</v>
      </c>
      <c r="O35">
        <v>0.8</v>
      </c>
      <c r="P35" t="s">
        <v>45</v>
      </c>
      <c r="Q35">
        <v>1</v>
      </c>
      <c r="R35" t="s">
        <v>706</v>
      </c>
      <c r="S35" t="s">
        <v>706</v>
      </c>
      <c r="T35" t="s">
        <v>706</v>
      </c>
      <c r="U35" t="s">
        <v>706</v>
      </c>
      <c r="V35" t="s">
        <v>706</v>
      </c>
      <c r="W35" t="s">
        <v>706</v>
      </c>
      <c r="X35" t="s">
        <v>706</v>
      </c>
      <c r="Y35">
        <v>0</v>
      </c>
      <c r="Z35" t="s">
        <v>706</v>
      </c>
      <c r="AA35" t="s">
        <v>706</v>
      </c>
      <c r="AB35" t="s">
        <v>706</v>
      </c>
      <c r="AC35" t="s">
        <v>706</v>
      </c>
      <c r="AD35">
        <v>0</v>
      </c>
      <c r="AE35" t="s">
        <v>706</v>
      </c>
      <c r="AF35" t="s">
        <v>548</v>
      </c>
      <c r="AG35" t="s">
        <v>706</v>
      </c>
      <c r="AH35"/>
    </row>
    <row r="36" spans="1:34" ht="18.600000000000001" customHeight="1" x14ac:dyDescent="0.25">
      <c r="A36" t="s">
        <v>363</v>
      </c>
      <c r="B36" t="s">
        <v>364</v>
      </c>
      <c r="C36" t="s">
        <v>695</v>
      </c>
      <c r="D36" t="s">
        <v>697</v>
      </c>
      <c r="E36" t="s">
        <v>365</v>
      </c>
      <c r="F36" t="s">
        <v>366</v>
      </c>
      <c r="G36" t="s">
        <v>621</v>
      </c>
      <c r="H36" t="s">
        <v>349</v>
      </c>
      <c r="I36" t="s">
        <v>706</v>
      </c>
      <c r="J36">
        <v>1</v>
      </c>
      <c r="K36">
        <v>1</v>
      </c>
      <c r="L36" t="s">
        <v>33</v>
      </c>
      <c r="M36">
        <v>1</v>
      </c>
      <c r="N36">
        <v>0.6</v>
      </c>
      <c r="O36">
        <v>0.6</v>
      </c>
      <c r="P36" t="s">
        <v>45</v>
      </c>
      <c r="Q36">
        <v>1</v>
      </c>
      <c r="R36" t="s">
        <v>706</v>
      </c>
      <c r="S36" t="s">
        <v>706</v>
      </c>
      <c r="T36" t="s">
        <v>706</v>
      </c>
      <c r="U36" t="s">
        <v>706</v>
      </c>
      <c r="V36" t="s">
        <v>706</v>
      </c>
      <c r="W36" t="s">
        <v>706</v>
      </c>
      <c r="X36" t="s">
        <v>706</v>
      </c>
      <c r="Y36">
        <v>0</v>
      </c>
      <c r="Z36" t="s">
        <v>706</v>
      </c>
      <c r="AA36" t="s">
        <v>706</v>
      </c>
      <c r="AB36" t="s">
        <v>706</v>
      </c>
      <c r="AC36" t="s">
        <v>706</v>
      </c>
      <c r="AD36">
        <v>0</v>
      </c>
      <c r="AE36" t="s">
        <v>350</v>
      </c>
      <c r="AF36" t="s">
        <v>549</v>
      </c>
      <c r="AG36" t="s">
        <v>706</v>
      </c>
      <c r="AH36"/>
    </row>
    <row r="37" spans="1:34" x14ac:dyDescent="0.25">
      <c r="A37" t="s">
        <v>367</v>
      </c>
      <c r="B37" t="s">
        <v>368</v>
      </c>
      <c r="C37" t="s">
        <v>695</v>
      </c>
      <c r="D37" t="s">
        <v>698</v>
      </c>
      <c r="E37" t="s">
        <v>369</v>
      </c>
      <c r="F37" t="s">
        <v>370</v>
      </c>
      <c r="G37" t="s">
        <v>621</v>
      </c>
      <c r="H37" t="s">
        <v>371</v>
      </c>
      <c r="I37" t="s">
        <v>706</v>
      </c>
      <c r="J37">
        <v>1</v>
      </c>
      <c r="K37">
        <v>1</v>
      </c>
      <c r="L37" t="s">
        <v>33</v>
      </c>
      <c r="M37">
        <v>1</v>
      </c>
      <c r="N37">
        <v>0.6</v>
      </c>
      <c r="O37">
        <v>0.6</v>
      </c>
      <c r="P37" t="s">
        <v>45</v>
      </c>
      <c r="Q37">
        <v>1</v>
      </c>
      <c r="R37" t="s">
        <v>706</v>
      </c>
      <c r="S37" t="s">
        <v>706</v>
      </c>
      <c r="T37" t="s">
        <v>706</v>
      </c>
      <c r="U37" t="s">
        <v>706</v>
      </c>
      <c r="V37" t="s">
        <v>706</v>
      </c>
      <c r="W37" t="s">
        <v>706</v>
      </c>
      <c r="X37" t="s">
        <v>706</v>
      </c>
      <c r="Y37">
        <v>0</v>
      </c>
      <c r="Z37" t="s">
        <v>706</v>
      </c>
      <c r="AA37" t="s">
        <v>706</v>
      </c>
      <c r="AB37" t="s">
        <v>706</v>
      </c>
      <c r="AC37" t="s">
        <v>706</v>
      </c>
      <c r="AD37">
        <v>0</v>
      </c>
      <c r="AE37" t="s">
        <v>706</v>
      </c>
      <c r="AF37" t="s">
        <v>706</v>
      </c>
      <c r="AG37" t="s">
        <v>706</v>
      </c>
      <c r="AH37"/>
    </row>
    <row r="38" spans="1:34" x14ac:dyDescent="0.25">
      <c r="A38" t="s">
        <v>372</v>
      </c>
      <c r="B38" t="s">
        <v>373</v>
      </c>
      <c r="C38" t="s">
        <v>695</v>
      </c>
      <c r="D38" t="s">
        <v>698</v>
      </c>
      <c r="E38" t="s">
        <v>374</v>
      </c>
      <c r="F38" t="s">
        <v>375</v>
      </c>
      <c r="G38" t="s">
        <v>621</v>
      </c>
      <c r="H38" t="s">
        <v>376</v>
      </c>
      <c r="I38" t="s">
        <v>706</v>
      </c>
      <c r="J38">
        <v>1</v>
      </c>
      <c r="K38">
        <v>1</v>
      </c>
      <c r="L38" t="s">
        <v>33</v>
      </c>
      <c r="M38">
        <v>1</v>
      </c>
      <c r="N38">
        <v>0.6</v>
      </c>
      <c r="O38">
        <v>0.6</v>
      </c>
      <c r="P38" t="s">
        <v>45</v>
      </c>
      <c r="Q38">
        <v>1</v>
      </c>
      <c r="R38" t="s">
        <v>706</v>
      </c>
      <c r="S38" t="s">
        <v>706</v>
      </c>
      <c r="T38" t="s">
        <v>706</v>
      </c>
      <c r="U38" t="s">
        <v>706</v>
      </c>
      <c r="V38" t="s">
        <v>706</v>
      </c>
      <c r="W38" t="s">
        <v>706</v>
      </c>
      <c r="X38" t="s">
        <v>706</v>
      </c>
      <c r="Y38">
        <v>0</v>
      </c>
      <c r="Z38" t="s">
        <v>706</v>
      </c>
      <c r="AA38" t="s">
        <v>706</v>
      </c>
      <c r="AB38" t="s">
        <v>706</v>
      </c>
      <c r="AC38" t="s">
        <v>706</v>
      </c>
      <c r="AD38">
        <v>0</v>
      </c>
      <c r="AE38" t="s">
        <v>706</v>
      </c>
      <c r="AF38" t="s">
        <v>706</v>
      </c>
      <c r="AG38" t="s">
        <v>706</v>
      </c>
      <c r="AH38"/>
    </row>
    <row r="39" spans="1:34" ht="18" customHeight="1" x14ac:dyDescent="0.25">
      <c r="A39" t="s">
        <v>377</v>
      </c>
      <c r="B39" t="s">
        <v>378</v>
      </c>
      <c r="C39" t="s">
        <v>695</v>
      </c>
      <c r="D39" t="s">
        <v>698</v>
      </c>
      <c r="E39" t="s">
        <v>379</v>
      </c>
      <c r="F39" t="s">
        <v>380</v>
      </c>
      <c r="G39" t="s">
        <v>621</v>
      </c>
      <c r="H39" t="s">
        <v>381</v>
      </c>
      <c r="I39" t="s">
        <v>706</v>
      </c>
      <c r="J39">
        <v>1</v>
      </c>
      <c r="K39">
        <v>1</v>
      </c>
      <c r="L39" t="s">
        <v>33</v>
      </c>
      <c r="M39">
        <v>1</v>
      </c>
      <c r="N39">
        <v>0.6</v>
      </c>
      <c r="O39">
        <v>0.6</v>
      </c>
      <c r="P39" t="s">
        <v>45</v>
      </c>
      <c r="Q39">
        <v>1</v>
      </c>
      <c r="R39" t="s">
        <v>706</v>
      </c>
      <c r="S39" t="s">
        <v>706</v>
      </c>
      <c r="T39" t="s">
        <v>706</v>
      </c>
      <c r="U39" t="s">
        <v>706</v>
      </c>
      <c r="V39" t="s">
        <v>706</v>
      </c>
      <c r="W39" t="s">
        <v>706</v>
      </c>
      <c r="X39" t="s">
        <v>706</v>
      </c>
      <c r="Y39">
        <v>0</v>
      </c>
      <c r="Z39" t="s">
        <v>706</v>
      </c>
      <c r="AA39" t="s">
        <v>706</v>
      </c>
      <c r="AB39" t="s">
        <v>706</v>
      </c>
      <c r="AC39" t="s">
        <v>706</v>
      </c>
      <c r="AD39">
        <v>0</v>
      </c>
      <c r="AE39" t="s">
        <v>706</v>
      </c>
      <c r="AF39" t="s">
        <v>706</v>
      </c>
      <c r="AG39" t="s">
        <v>706</v>
      </c>
      <c r="AH39"/>
    </row>
    <row r="40" spans="1:34" ht="20.25" customHeight="1" x14ac:dyDescent="0.25">
      <c r="A40" t="s">
        <v>377</v>
      </c>
      <c r="B40" t="s">
        <v>378</v>
      </c>
      <c r="C40" t="s">
        <v>695</v>
      </c>
      <c r="D40" t="s">
        <v>698</v>
      </c>
      <c r="E40" t="s">
        <v>379</v>
      </c>
      <c r="F40" t="s">
        <v>382</v>
      </c>
      <c r="G40" t="s">
        <v>621</v>
      </c>
      <c r="H40" t="s">
        <v>383</v>
      </c>
      <c r="I40" t="s">
        <v>706</v>
      </c>
      <c r="J40">
        <v>1</v>
      </c>
      <c r="K40">
        <v>1</v>
      </c>
      <c r="L40" t="s">
        <v>33</v>
      </c>
      <c r="M40">
        <v>1</v>
      </c>
      <c r="N40">
        <v>0.6</v>
      </c>
      <c r="O40">
        <v>0.6</v>
      </c>
      <c r="P40" t="s">
        <v>45</v>
      </c>
      <c r="Q40">
        <v>1</v>
      </c>
      <c r="R40" t="s">
        <v>706</v>
      </c>
      <c r="S40" t="s">
        <v>706</v>
      </c>
      <c r="T40" t="s">
        <v>706</v>
      </c>
      <c r="U40" t="s">
        <v>706</v>
      </c>
      <c r="V40" t="s">
        <v>706</v>
      </c>
      <c r="W40" t="s">
        <v>706</v>
      </c>
      <c r="X40" t="s">
        <v>706</v>
      </c>
      <c r="Y40">
        <v>0</v>
      </c>
      <c r="Z40" t="s">
        <v>706</v>
      </c>
      <c r="AA40" t="s">
        <v>706</v>
      </c>
      <c r="AB40" t="s">
        <v>706</v>
      </c>
      <c r="AC40" t="s">
        <v>706</v>
      </c>
      <c r="AD40">
        <v>0</v>
      </c>
      <c r="AE40" t="s">
        <v>706</v>
      </c>
      <c r="AF40" t="s">
        <v>706</v>
      </c>
      <c r="AG40" t="s">
        <v>706</v>
      </c>
      <c r="AH40"/>
    </row>
    <row r="41" spans="1:34" x14ac:dyDescent="0.25">
      <c r="A41" t="s">
        <v>384</v>
      </c>
      <c r="B41" t="s">
        <v>385</v>
      </c>
      <c r="C41" t="s">
        <v>695</v>
      </c>
      <c r="D41" t="s">
        <v>698</v>
      </c>
      <c r="E41" t="s">
        <v>386</v>
      </c>
      <c r="F41" t="s">
        <v>387</v>
      </c>
      <c r="G41" t="s">
        <v>621</v>
      </c>
      <c r="H41" t="s">
        <v>388</v>
      </c>
      <c r="I41" t="s">
        <v>706</v>
      </c>
      <c r="J41">
        <v>1</v>
      </c>
      <c r="K41">
        <v>1</v>
      </c>
      <c r="L41" t="s">
        <v>33</v>
      </c>
      <c r="M41">
        <v>1</v>
      </c>
      <c r="N41">
        <v>0.6</v>
      </c>
      <c r="O41">
        <v>0.6</v>
      </c>
      <c r="P41" t="s">
        <v>45</v>
      </c>
      <c r="Q41">
        <v>1</v>
      </c>
      <c r="R41" t="s">
        <v>706</v>
      </c>
      <c r="S41" t="s">
        <v>706</v>
      </c>
      <c r="T41" t="s">
        <v>706</v>
      </c>
      <c r="U41" t="s">
        <v>706</v>
      </c>
      <c r="V41" t="s">
        <v>706</v>
      </c>
      <c r="W41" t="s">
        <v>706</v>
      </c>
      <c r="X41" t="s">
        <v>706</v>
      </c>
      <c r="Y41">
        <v>0</v>
      </c>
      <c r="Z41" t="s">
        <v>706</v>
      </c>
      <c r="AA41" t="s">
        <v>706</v>
      </c>
      <c r="AB41" t="s">
        <v>706</v>
      </c>
      <c r="AC41" t="s">
        <v>706</v>
      </c>
      <c r="AD41">
        <v>0</v>
      </c>
      <c r="AE41" t="s">
        <v>706</v>
      </c>
      <c r="AF41" t="s">
        <v>549</v>
      </c>
      <c r="AG41" t="s">
        <v>706</v>
      </c>
      <c r="AH41"/>
    </row>
    <row r="42" spans="1:34" x14ac:dyDescent="0.25">
      <c r="A42" t="s">
        <v>389</v>
      </c>
      <c r="B42" t="s">
        <v>390</v>
      </c>
      <c r="C42" t="s">
        <v>695</v>
      </c>
      <c r="D42" t="s">
        <v>698</v>
      </c>
      <c r="E42" t="s">
        <v>391</v>
      </c>
      <c r="F42" t="s">
        <v>392</v>
      </c>
      <c r="G42" t="s">
        <v>621</v>
      </c>
      <c r="H42" t="s">
        <v>393</v>
      </c>
      <c r="I42" t="s">
        <v>394</v>
      </c>
      <c r="J42">
        <v>1</v>
      </c>
      <c r="K42">
        <v>1</v>
      </c>
      <c r="L42" t="s">
        <v>33</v>
      </c>
      <c r="M42">
        <v>1</v>
      </c>
      <c r="N42">
        <v>0.6</v>
      </c>
      <c r="O42">
        <v>0.6</v>
      </c>
      <c r="P42" t="s">
        <v>45</v>
      </c>
      <c r="Q42">
        <v>1</v>
      </c>
      <c r="R42" t="s">
        <v>706</v>
      </c>
      <c r="S42" t="s">
        <v>706</v>
      </c>
      <c r="T42" t="s">
        <v>706</v>
      </c>
      <c r="U42" t="s">
        <v>706</v>
      </c>
      <c r="V42" t="s">
        <v>706</v>
      </c>
      <c r="W42" t="s">
        <v>706</v>
      </c>
      <c r="X42" t="s">
        <v>706</v>
      </c>
      <c r="Y42">
        <v>0</v>
      </c>
      <c r="Z42" t="s">
        <v>706</v>
      </c>
      <c r="AA42" t="s">
        <v>706</v>
      </c>
      <c r="AB42" t="s">
        <v>706</v>
      </c>
      <c r="AC42" t="s">
        <v>706</v>
      </c>
      <c r="AD42">
        <v>0</v>
      </c>
      <c r="AE42" t="s">
        <v>706</v>
      </c>
      <c r="AF42" t="s">
        <v>551</v>
      </c>
      <c r="AG42" t="s">
        <v>706</v>
      </c>
      <c r="AH42"/>
    </row>
    <row r="43" spans="1:34" x14ac:dyDescent="0.25">
      <c r="A43" t="s">
        <v>395</v>
      </c>
      <c r="B43" t="s">
        <v>396</v>
      </c>
      <c r="C43" t="s">
        <v>695</v>
      </c>
      <c r="D43" t="s">
        <v>698</v>
      </c>
      <c r="E43" t="s">
        <v>397</v>
      </c>
      <c r="F43" t="s">
        <v>398</v>
      </c>
      <c r="G43" t="s">
        <v>621</v>
      </c>
      <c r="H43" t="s">
        <v>371</v>
      </c>
      <c r="I43" t="s">
        <v>706</v>
      </c>
      <c r="J43">
        <v>1</v>
      </c>
      <c r="K43">
        <v>1</v>
      </c>
      <c r="L43" t="s">
        <v>33</v>
      </c>
      <c r="M43">
        <v>1</v>
      </c>
      <c r="N43">
        <v>0.6</v>
      </c>
      <c r="O43">
        <v>0.6</v>
      </c>
      <c r="P43" t="s">
        <v>45</v>
      </c>
      <c r="Q43">
        <v>1</v>
      </c>
      <c r="R43" t="s">
        <v>706</v>
      </c>
      <c r="S43" t="s">
        <v>706</v>
      </c>
      <c r="T43" t="s">
        <v>706</v>
      </c>
      <c r="U43" t="s">
        <v>706</v>
      </c>
      <c r="V43" t="s">
        <v>706</v>
      </c>
      <c r="W43" t="s">
        <v>706</v>
      </c>
      <c r="X43" t="s">
        <v>706</v>
      </c>
      <c r="Y43">
        <v>0</v>
      </c>
      <c r="Z43" t="s">
        <v>706</v>
      </c>
      <c r="AA43" t="s">
        <v>706</v>
      </c>
      <c r="AB43" t="s">
        <v>706</v>
      </c>
      <c r="AC43" t="s">
        <v>706</v>
      </c>
      <c r="AD43">
        <v>0</v>
      </c>
      <c r="AE43" t="s">
        <v>706</v>
      </c>
      <c r="AF43" t="s">
        <v>550</v>
      </c>
      <c r="AG43" t="s">
        <v>706</v>
      </c>
      <c r="AH43"/>
    </row>
    <row r="44" spans="1:34" x14ac:dyDescent="0.25">
      <c r="A44" t="s">
        <v>401</v>
      </c>
      <c r="B44" t="s">
        <v>402</v>
      </c>
      <c r="C44" t="s">
        <v>695</v>
      </c>
      <c r="D44" t="s">
        <v>699</v>
      </c>
      <c r="E44" t="s">
        <v>403</v>
      </c>
      <c r="F44" t="s">
        <v>404</v>
      </c>
      <c r="G44" t="s">
        <v>621</v>
      </c>
      <c r="H44" t="s">
        <v>405</v>
      </c>
      <c r="I44" t="s">
        <v>706</v>
      </c>
      <c r="J44">
        <v>1</v>
      </c>
      <c r="K44">
        <v>1</v>
      </c>
      <c r="L44" t="s">
        <v>33</v>
      </c>
      <c r="M44">
        <v>1</v>
      </c>
      <c r="N44">
        <v>0.6</v>
      </c>
      <c r="O44">
        <v>0.6</v>
      </c>
      <c r="P44" t="s">
        <v>45</v>
      </c>
      <c r="Q44">
        <v>1</v>
      </c>
      <c r="R44" t="s">
        <v>706</v>
      </c>
      <c r="S44" t="s">
        <v>706</v>
      </c>
      <c r="T44" t="s">
        <v>706</v>
      </c>
      <c r="U44" t="s">
        <v>706</v>
      </c>
      <c r="V44" t="s">
        <v>706</v>
      </c>
      <c r="W44" t="s">
        <v>706</v>
      </c>
      <c r="X44" t="s">
        <v>706</v>
      </c>
      <c r="Y44">
        <v>0</v>
      </c>
      <c r="Z44" t="s">
        <v>706</v>
      </c>
      <c r="AA44" t="s">
        <v>706</v>
      </c>
      <c r="AB44" t="s">
        <v>706</v>
      </c>
      <c r="AC44" t="s">
        <v>706</v>
      </c>
      <c r="AD44">
        <v>0</v>
      </c>
      <c r="AE44" t="s">
        <v>706</v>
      </c>
      <c r="AF44" t="s">
        <v>549</v>
      </c>
      <c r="AG44" t="s">
        <v>706</v>
      </c>
      <c r="AH44"/>
    </row>
    <row r="45" spans="1:34" x14ac:dyDescent="0.25">
      <c r="A45" t="s">
        <v>406</v>
      </c>
      <c r="B45" t="s">
        <v>407</v>
      </c>
      <c r="C45" t="s">
        <v>695</v>
      </c>
      <c r="D45" t="s">
        <v>699</v>
      </c>
      <c r="E45" t="s">
        <v>408</v>
      </c>
      <c r="F45" t="s">
        <v>409</v>
      </c>
      <c r="G45" t="s">
        <v>621</v>
      </c>
      <c r="H45" t="s">
        <v>410</v>
      </c>
      <c r="I45" t="s">
        <v>411</v>
      </c>
      <c r="J45">
        <v>1</v>
      </c>
      <c r="K45">
        <v>1</v>
      </c>
      <c r="L45" t="s">
        <v>33</v>
      </c>
      <c r="M45">
        <v>1</v>
      </c>
      <c r="N45">
        <v>0.6</v>
      </c>
      <c r="O45">
        <v>0.6</v>
      </c>
      <c r="P45" t="s">
        <v>45</v>
      </c>
      <c r="Q45">
        <v>1</v>
      </c>
      <c r="R45" t="s">
        <v>706</v>
      </c>
      <c r="S45" t="s">
        <v>706</v>
      </c>
      <c r="T45" t="s">
        <v>706</v>
      </c>
      <c r="U45" t="s">
        <v>706</v>
      </c>
      <c r="V45" t="s">
        <v>706</v>
      </c>
      <c r="W45" t="s">
        <v>706</v>
      </c>
      <c r="X45" t="s">
        <v>706</v>
      </c>
      <c r="Y45">
        <v>0</v>
      </c>
      <c r="Z45" t="s">
        <v>706</v>
      </c>
      <c r="AA45" t="s">
        <v>706</v>
      </c>
      <c r="AB45" t="s">
        <v>706</v>
      </c>
      <c r="AC45" t="s">
        <v>706</v>
      </c>
      <c r="AD45">
        <v>0</v>
      </c>
      <c r="AE45" t="s">
        <v>706</v>
      </c>
      <c r="AF45" t="s">
        <v>553</v>
      </c>
      <c r="AG45" t="s">
        <v>706</v>
      </c>
      <c r="AH45"/>
    </row>
    <row r="46" spans="1:34" x14ac:dyDescent="0.25">
      <c r="A46" t="s">
        <v>412</v>
      </c>
      <c r="B46" t="s">
        <v>413</v>
      </c>
      <c r="C46" t="s">
        <v>695</v>
      </c>
      <c r="D46" t="s">
        <v>699</v>
      </c>
      <c r="E46" t="s">
        <v>414</v>
      </c>
      <c r="F46" t="s">
        <v>415</v>
      </c>
      <c r="G46" t="s">
        <v>621</v>
      </c>
      <c r="H46" t="s">
        <v>416</v>
      </c>
      <c r="I46" t="s">
        <v>706</v>
      </c>
      <c r="J46">
        <v>1</v>
      </c>
      <c r="K46">
        <v>1</v>
      </c>
      <c r="L46" t="s">
        <v>33</v>
      </c>
      <c r="M46">
        <v>1</v>
      </c>
      <c r="N46">
        <v>0.6</v>
      </c>
      <c r="O46">
        <v>0.6</v>
      </c>
      <c r="P46" t="s">
        <v>45</v>
      </c>
      <c r="Q46">
        <v>1</v>
      </c>
      <c r="R46" t="s">
        <v>706</v>
      </c>
      <c r="S46" t="s">
        <v>706</v>
      </c>
      <c r="T46" t="s">
        <v>706</v>
      </c>
      <c r="U46" t="s">
        <v>706</v>
      </c>
      <c r="V46" t="s">
        <v>706</v>
      </c>
      <c r="W46" t="s">
        <v>706</v>
      </c>
      <c r="X46" t="s">
        <v>706</v>
      </c>
      <c r="Y46">
        <v>0</v>
      </c>
      <c r="Z46" t="s">
        <v>706</v>
      </c>
      <c r="AA46" t="s">
        <v>706</v>
      </c>
      <c r="AB46" t="s">
        <v>706</v>
      </c>
      <c r="AC46" t="s">
        <v>706</v>
      </c>
      <c r="AD46">
        <v>0</v>
      </c>
      <c r="AE46" t="s">
        <v>417</v>
      </c>
      <c r="AF46" t="s">
        <v>706</v>
      </c>
      <c r="AG46" t="s">
        <v>706</v>
      </c>
      <c r="AH46"/>
    </row>
    <row r="47" spans="1:34" x14ac:dyDescent="0.25">
      <c r="A47" t="s">
        <v>419</v>
      </c>
      <c r="B47" t="s">
        <v>420</v>
      </c>
      <c r="C47" t="s">
        <v>695</v>
      </c>
      <c r="D47" t="s">
        <v>699</v>
      </c>
      <c r="E47" t="s">
        <v>421</v>
      </c>
      <c r="F47" t="s">
        <v>422</v>
      </c>
      <c r="G47" t="s">
        <v>621</v>
      </c>
      <c r="H47" t="s">
        <v>423</v>
      </c>
      <c r="I47" t="s">
        <v>411</v>
      </c>
      <c r="J47">
        <v>1</v>
      </c>
      <c r="K47">
        <v>1</v>
      </c>
      <c r="L47" t="s">
        <v>33</v>
      </c>
      <c r="M47">
        <v>1</v>
      </c>
      <c r="N47">
        <v>0.6</v>
      </c>
      <c r="O47">
        <v>0.6</v>
      </c>
      <c r="P47" t="s">
        <v>45</v>
      </c>
      <c r="Q47">
        <v>1</v>
      </c>
      <c r="R47" t="s">
        <v>706</v>
      </c>
      <c r="S47" t="s">
        <v>706</v>
      </c>
      <c r="T47" t="s">
        <v>706</v>
      </c>
      <c r="U47" t="s">
        <v>706</v>
      </c>
      <c r="V47" t="s">
        <v>706</v>
      </c>
      <c r="W47" t="s">
        <v>706</v>
      </c>
      <c r="X47" t="s">
        <v>706</v>
      </c>
      <c r="Y47">
        <v>0</v>
      </c>
      <c r="Z47" t="s">
        <v>706</v>
      </c>
      <c r="AA47" t="s">
        <v>706</v>
      </c>
      <c r="AB47" t="s">
        <v>706</v>
      </c>
      <c r="AC47" t="s">
        <v>706</v>
      </c>
      <c r="AD47">
        <v>0</v>
      </c>
      <c r="AE47" t="s">
        <v>706</v>
      </c>
      <c r="AF47" t="s">
        <v>550</v>
      </c>
      <c r="AG47" t="s">
        <v>706</v>
      </c>
      <c r="AH47"/>
    </row>
    <row r="48" spans="1:34" x14ac:dyDescent="0.25">
      <c r="A48" t="s">
        <v>424</v>
      </c>
      <c r="B48" t="s">
        <v>425</v>
      </c>
      <c r="C48" t="s">
        <v>695</v>
      </c>
      <c r="D48" t="s">
        <v>699</v>
      </c>
      <c r="E48" t="s">
        <v>426</v>
      </c>
      <c r="F48" t="s">
        <v>427</v>
      </c>
      <c r="G48" t="s">
        <v>621</v>
      </c>
      <c r="H48" t="s">
        <v>428</v>
      </c>
      <c r="I48" t="s">
        <v>706</v>
      </c>
      <c r="J48">
        <v>1</v>
      </c>
      <c r="K48">
        <v>1</v>
      </c>
      <c r="L48" t="s">
        <v>33</v>
      </c>
      <c r="M48">
        <v>1</v>
      </c>
      <c r="N48">
        <v>0.6</v>
      </c>
      <c r="O48">
        <v>0.6</v>
      </c>
      <c r="P48" t="s">
        <v>45</v>
      </c>
      <c r="Q48">
        <v>1</v>
      </c>
      <c r="R48" t="s">
        <v>706</v>
      </c>
      <c r="S48" t="s">
        <v>706</v>
      </c>
      <c r="T48" t="s">
        <v>706</v>
      </c>
      <c r="U48" t="s">
        <v>706</v>
      </c>
      <c r="V48" t="s">
        <v>706</v>
      </c>
      <c r="W48" t="s">
        <v>706</v>
      </c>
      <c r="X48" t="s">
        <v>706</v>
      </c>
      <c r="Y48">
        <v>0</v>
      </c>
      <c r="Z48" t="s">
        <v>706</v>
      </c>
      <c r="AA48" t="s">
        <v>706</v>
      </c>
      <c r="AB48" t="s">
        <v>706</v>
      </c>
      <c r="AC48" t="s">
        <v>706</v>
      </c>
      <c r="AD48">
        <v>0</v>
      </c>
      <c r="AE48" t="s">
        <v>706</v>
      </c>
      <c r="AF48" t="s">
        <v>547</v>
      </c>
      <c r="AG48" t="s">
        <v>706</v>
      </c>
      <c r="AH48"/>
    </row>
    <row r="49" spans="1:34" x14ac:dyDescent="0.25">
      <c r="A49" t="s">
        <v>431</v>
      </c>
      <c r="B49" t="s">
        <v>432</v>
      </c>
      <c r="C49" t="s">
        <v>695</v>
      </c>
      <c r="D49" t="s">
        <v>699</v>
      </c>
      <c r="E49" t="s">
        <v>433</v>
      </c>
      <c r="F49" t="s">
        <v>434</v>
      </c>
      <c r="G49" t="s">
        <v>621</v>
      </c>
      <c r="H49" t="s">
        <v>435</v>
      </c>
      <c r="I49" t="s">
        <v>436</v>
      </c>
      <c r="J49">
        <v>1</v>
      </c>
      <c r="K49">
        <v>1</v>
      </c>
      <c r="L49" t="s">
        <v>33</v>
      </c>
      <c r="M49">
        <v>1</v>
      </c>
      <c r="N49">
        <v>0.6</v>
      </c>
      <c r="O49">
        <v>0.6</v>
      </c>
      <c r="P49" t="s">
        <v>45</v>
      </c>
      <c r="Q49">
        <v>1</v>
      </c>
      <c r="R49" t="s">
        <v>706</v>
      </c>
      <c r="S49" t="s">
        <v>706</v>
      </c>
      <c r="T49" t="s">
        <v>706</v>
      </c>
      <c r="U49" t="s">
        <v>706</v>
      </c>
      <c r="V49" t="s">
        <v>706</v>
      </c>
      <c r="W49" t="s">
        <v>706</v>
      </c>
      <c r="X49" t="s">
        <v>706</v>
      </c>
      <c r="Y49">
        <v>0</v>
      </c>
      <c r="Z49" t="s">
        <v>706</v>
      </c>
      <c r="AA49" t="s">
        <v>706</v>
      </c>
      <c r="AB49" t="s">
        <v>706</v>
      </c>
      <c r="AC49" t="s">
        <v>706</v>
      </c>
      <c r="AD49">
        <v>0</v>
      </c>
      <c r="AE49" t="s">
        <v>437</v>
      </c>
      <c r="AF49" t="s">
        <v>549</v>
      </c>
      <c r="AG49" t="s">
        <v>706</v>
      </c>
      <c r="AH49"/>
    </row>
    <row r="50" spans="1:34" x14ac:dyDescent="0.25">
      <c r="A50" t="s">
        <v>438</v>
      </c>
      <c r="B50" t="s">
        <v>439</v>
      </c>
      <c r="C50" t="s">
        <v>695</v>
      </c>
      <c r="D50" t="s">
        <v>511</v>
      </c>
      <c r="E50" t="s">
        <v>440</v>
      </c>
      <c r="F50" t="s">
        <v>441</v>
      </c>
      <c r="G50" t="s">
        <v>621</v>
      </c>
      <c r="H50" t="s">
        <v>442</v>
      </c>
      <c r="I50" t="s">
        <v>706</v>
      </c>
      <c r="J50">
        <v>1</v>
      </c>
      <c r="K50">
        <v>1</v>
      </c>
      <c r="L50" t="s">
        <v>33</v>
      </c>
      <c r="M50">
        <v>1</v>
      </c>
      <c r="N50">
        <v>0.6</v>
      </c>
      <c r="O50">
        <v>0.6</v>
      </c>
      <c r="P50" t="s">
        <v>45</v>
      </c>
      <c r="Q50">
        <v>1</v>
      </c>
      <c r="R50" t="s">
        <v>706</v>
      </c>
      <c r="S50" t="s">
        <v>706</v>
      </c>
      <c r="T50" t="s">
        <v>706</v>
      </c>
      <c r="U50" t="s">
        <v>706</v>
      </c>
      <c r="V50" t="s">
        <v>706</v>
      </c>
      <c r="W50" t="s">
        <v>706</v>
      </c>
      <c r="X50" t="s">
        <v>706</v>
      </c>
      <c r="Y50">
        <v>0</v>
      </c>
      <c r="Z50" t="s">
        <v>706</v>
      </c>
      <c r="AA50" t="s">
        <v>706</v>
      </c>
      <c r="AB50" t="s">
        <v>706</v>
      </c>
      <c r="AC50" t="s">
        <v>706</v>
      </c>
      <c r="AD50">
        <v>0</v>
      </c>
      <c r="AE50" t="s">
        <v>706</v>
      </c>
      <c r="AF50" t="s">
        <v>706</v>
      </c>
      <c r="AG50" t="s">
        <v>706</v>
      </c>
      <c r="AH50"/>
    </row>
    <row r="51" spans="1:34" x14ac:dyDescent="0.25">
      <c r="A51" t="s">
        <v>438</v>
      </c>
      <c r="B51" t="s">
        <v>439</v>
      </c>
      <c r="C51" t="s">
        <v>695</v>
      </c>
      <c r="D51" t="s">
        <v>511</v>
      </c>
      <c r="E51" t="s">
        <v>443</v>
      </c>
      <c r="F51" t="s">
        <v>444</v>
      </c>
      <c r="G51" t="s">
        <v>621</v>
      </c>
      <c r="H51" t="s">
        <v>445</v>
      </c>
      <c r="I51" t="s">
        <v>706</v>
      </c>
      <c r="J51">
        <v>1</v>
      </c>
      <c r="K51">
        <v>1</v>
      </c>
      <c r="L51" t="s">
        <v>33</v>
      </c>
      <c r="M51">
        <v>1</v>
      </c>
      <c r="N51">
        <v>0.6</v>
      </c>
      <c r="O51">
        <v>0.6</v>
      </c>
      <c r="P51" t="s">
        <v>45</v>
      </c>
      <c r="Q51">
        <v>1</v>
      </c>
      <c r="R51" t="s">
        <v>706</v>
      </c>
      <c r="S51" t="s">
        <v>706</v>
      </c>
      <c r="T51" t="s">
        <v>706</v>
      </c>
      <c r="U51" t="s">
        <v>706</v>
      </c>
      <c r="V51" t="s">
        <v>706</v>
      </c>
      <c r="W51" t="s">
        <v>706</v>
      </c>
      <c r="X51" t="s">
        <v>706</v>
      </c>
      <c r="Y51">
        <v>0</v>
      </c>
      <c r="Z51" t="s">
        <v>706</v>
      </c>
      <c r="AA51" t="s">
        <v>706</v>
      </c>
      <c r="AB51" t="s">
        <v>706</v>
      </c>
      <c r="AC51" t="s">
        <v>706</v>
      </c>
      <c r="AD51">
        <v>0</v>
      </c>
      <c r="AE51" t="s">
        <v>706</v>
      </c>
      <c r="AF51" t="s">
        <v>706</v>
      </c>
      <c r="AG51" t="s">
        <v>706</v>
      </c>
      <c r="AH51"/>
    </row>
    <row r="52" spans="1:34" x14ac:dyDescent="0.25">
      <c r="A52" t="s">
        <v>446</v>
      </c>
      <c r="B52" t="s">
        <v>447</v>
      </c>
      <c r="C52" t="s">
        <v>695</v>
      </c>
      <c r="D52" t="s">
        <v>511</v>
      </c>
      <c r="E52" t="s">
        <v>448</v>
      </c>
      <c r="F52" t="s">
        <v>449</v>
      </c>
      <c r="G52" t="s">
        <v>621</v>
      </c>
      <c r="H52" t="s">
        <v>450</v>
      </c>
      <c r="I52" t="s">
        <v>451</v>
      </c>
      <c r="J52">
        <v>1</v>
      </c>
      <c r="K52">
        <v>1</v>
      </c>
      <c r="L52" t="s">
        <v>33</v>
      </c>
      <c r="M52">
        <v>1</v>
      </c>
      <c r="N52">
        <v>0.6</v>
      </c>
      <c r="O52">
        <v>0.6</v>
      </c>
      <c r="P52" t="s">
        <v>45</v>
      </c>
      <c r="Q52">
        <v>1</v>
      </c>
      <c r="R52" t="s">
        <v>706</v>
      </c>
      <c r="S52" t="s">
        <v>706</v>
      </c>
      <c r="T52" t="s">
        <v>706</v>
      </c>
      <c r="U52" t="s">
        <v>706</v>
      </c>
      <c r="V52" t="s">
        <v>706</v>
      </c>
      <c r="W52" t="s">
        <v>706</v>
      </c>
      <c r="X52" t="s">
        <v>706</v>
      </c>
      <c r="Y52">
        <v>0</v>
      </c>
      <c r="Z52" t="s">
        <v>706</v>
      </c>
      <c r="AA52" t="s">
        <v>706</v>
      </c>
      <c r="AB52" t="s">
        <v>706</v>
      </c>
      <c r="AC52" t="s">
        <v>706</v>
      </c>
      <c r="AD52">
        <v>0</v>
      </c>
      <c r="AE52" t="s">
        <v>706</v>
      </c>
      <c r="AF52" t="s">
        <v>547</v>
      </c>
      <c r="AG52" t="s">
        <v>706</v>
      </c>
      <c r="AH52"/>
    </row>
    <row r="53" spans="1:34" x14ac:dyDescent="0.25">
      <c r="A53" t="s">
        <v>446</v>
      </c>
      <c r="B53" t="s">
        <v>447</v>
      </c>
      <c r="C53" t="s">
        <v>695</v>
      </c>
      <c r="D53" t="s">
        <v>511</v>
      </c>
      <c r="E53" t="s">
        <v>448</v>
      </c>
      <c r="F53" t="s">
        <v>452</v>
      </c>
      <c r="G53" t="s">
        <v>621</v>
      </c>
      <c r="H53" t="s">
        <v>453</v>
      </c>
      <c r="I53" t="s">
        <v>454</v>
      </c>
      <c r="J53">
        <v>1</v>
      </c>
      <c r="K53">
        <v>1</v>
      </c>
      <c r="L53" t="s">
        <v>33</v>
      </c>
      <c r="M53">
        <v>1</v>
      </c>
      <c r="N53">
        <v>0.6</v>
      </c>
      <c r="O53">
        <v>0.6</v>
      </c>
      <c r="P53" t="s">
        <v>45</v>
      </c>
      <c r="Q53">
        <v>1</v>
      </c>
      <c r="R53" t="s">
        <v>706</v>
      </c>
      <c r="S53" t="s">
        <v>706</v>
      </c>
      <c r="T53" t="s">
        <v>706</v>
      </c>
      <c r="U53" t="s">
        <v>706</v>
      </c>
      <c r="V53" t="s">
        <v>706</v>
      </c>
      <c r="W53" t="s">
        <v>706</v>
      </c>
      <c r="X53" t="s">
        <v>706</v>
      </c>
      <c r="Y53">
        <v>0</v>
      </c>
      <c r="Z53" t="s">
        <v>706</v>
      </c>
      <c r="AA53" t="s">
        <v>706</v>
      </c>
      <c r="AB53" t="s">
        <v>706</v>
      </c>
      <c r="AC53" t="s">
        <v>706</v>
      </c>
      <c r="AD53">
        <v>0</v>
      </c>
      <c r="AE53" t="s">
        <v>706</v>
      </c>
      <c r="AF53" t="s">
        <v>547</v>
      </c>
      <c r="AG53" t="s">
        <v>706</v>
      </c>
      <c r="AH53"/>
    </row>
    <row r="54" spans="1:34" x14ac:dyDescent="0.25">
      <c r="A54" t="s">
        <v>446</v>
      </c>
      <c r="B54" t="s">
        <v>447</v>
      </c>
      <c r="C54" t="s">
        <v>695</v>
      </c>
      <c r="D54" t="s">
        <v>511</v>
      </c>
      <c r="E54" t="s">
        <v>448</v>
      </c>
      <c r="F54" t="s">
        <v>455</v>
      </c>
      <c r="G54" t="s">
        <v>621</v>
      </c>
      <c r="H54" t="s">
        <v>456</v>
      </c>
      <c r="I54" t="s">
        <v>706</v>
      </c>
      <c r="J54">
        <v>1</v>
      </c>
      <c r="K54">
        <v>1</v>
      </c>
      <c r="L54" t="s">
        <v>33</v>
      </c>
      <c r="M54">
        <v>1</v>
      </c>
      <c r="N54">
        <v>0.6</v>
      </c>
      <c r="O54">
        <v>0.6</v>
      </c>
      <c r="P54" t="s">
        <v>45</v>
      </c>
      <c r="Q54">
        <v>1</v>
      </c>
      <c r="R54" t="s">
        <v>706</v>
      </c>
      <c r="S54" t="s">
        <v>706</v>
      </c>
      <c r="T54" t="s">
        <v>706</v>
      </c>
      <c r="U54" t="s">
        <v>706</v>
      </c>
      <c r="V54" t="s">
        <v>706</v>
      </c>
      <c r="W54" t="s">
        <v>706</v>
      </c>
      <c r="X54" t="s">
        <v>706</v>
      </c>
      <c r="Y54">
        <v>0</v>
      </c>
      <c r="Z54" t="s">
        <v>706</v>
      </c>
      <c r="AA54" t="s">
        <v>706</v>
      </c>
      <c r="AB54" t="s">
        <v>706</v>
      </c>
      <c r="AC54" t="s">
        <v>706</v>
      </c>
      <c r="AD54">
        <v>0</v>
      </c>
      <c r="AE54" t="s">
        <v>706</v>
      </c>
      <c r="AF54" t="s">
        <v>547</v>
      </c>
      <c r="AG54" t="s">
        <v>706</v>
      </c>
      <c r="AH54"/>
    </row>
    <row r="55" spans="1:34" x14ac:dyDescent="0.25">
      <c r="A55" t="s">
        <v>446</v>
      </c>
      <c r="B55" t="s">
        <v>447</v>
      </c>
      <c r="C55" t="s">
        <v>695</v>
      </c>
      <c r="D55" t="s">
        <v>511</v>
      </c>
      <c r="E55" t="s">
        <v>448</v>
      </c>
      <c r="F55" t="s">
        <v>457</v>
      </c>
      <c r="G55" t="s">
        <v>621</v>
      </c>
      <c r="H55" t="s">
        <v>458</v>
      </c>
      <c r="I55" t="s">
        <v>706</v>
      </c>
      <c r="J55">
        <v>1</v>
      </c>
      <c r="K55">
        <v>1</v>
      </c>
      <c r="L55" t="s">
        <v>33</v>
      </c>
      <c r="M55">
        <v>1</v>
      </c>
      <c r="N55">
        <v>0.6</v>
      </c>
      <c r="O55">
        <v>0.6</v>
      </c>
      <c r="P55" t="s">
        <v>45</v>
      </c>
      <c r="Q55">
        <v>1</v>
      </c>
      <c r="R55" t="s">
        <v>706</v>
      </c>
      <c r="S55" t="s">
        <v>706</v>
      </c>
      <c r="T55" t="s">
        <v>706</v>
      </c>
      <c r="U55" t="s">
        <v>706</v>
      </c>
      <c r="V55" t="s">
        <v>706</v>
      </c>
      <c r="W55" t="s">
        <v>706</v>
      </c>
      <c r="X55" t="s">
        <v>706</v>
      </c>
      <c r="Y55">
        <v>0</v>
      </c>
      <c r="Z55" t="s">
        <v>706</v>
      </c>
      <c r="AA55" t="s">
        <v>706</v>
      </c>
      <c r="AB55" t="s">
        <v>706</v>
      </c>
      <c r="AC55" t="s">
        <v>706</v>
      </c>
      <c r="AD55">
        <v>0</v>
      </c>
      <c r="AE55" t="s">
        <v>706</v>
      </c>
      <c r="AF55" t="s">
        <v>547</v>
      </c>
      <c r="AG55" t="s">
        <v>706</v>
      </c>
      <c r="AH55"/>
    </row>
    <row r="56" spans="1:34" x14ac:dyDescent="0.25">
      <c r="A56" t="s">
        <v>446</v>
      </c>
      <c r="B56" t="s">
        <v>447</v>
      </c>
      <c r="C56" t="s">
        <v>695</v>
      </c>
      <c r="D56" t="s">
        <v>511</v>
      </c>
      <c r="E56" t="s">
        <v>448</v>
      </c>
      <c r="F56" t="s">
        <v>459</v>
      </c>
      <c r="G56" t="s">
        <v>621</v>
      </c>
      <c r="H56" t="s">
        <v>460</v>
      </c>
      <c r="I56" t="s">
        <v>394</v>
      </c>
      <c r="J56">
        <v>1</v>
      </c>
      <c r="K56">
        <v>1</v>
      </c>
      <c r="L56" t="s">
        <v>33</v>
      </c>
      <c r="M56">
        <v>1</v>
      </c>
      <c r="N56">
        <v>0.6</v>
      </c>
      <c r="O56">
        <v>0.6</v>
      </c>
      <c r="P56" t="s">
        <v>45</v>
      </c>
      <c r="Q56">
        <v>1</v>
      </c>
      <c r="R56" t="s">
        <v>706</v>
      </c>
      <c r="S56" t="s">
        <v>706</v>
      </c>
      <c r="T56" t="s">
        <v>706</v>
      </c>
      <c r="U56" t="s">
        <v>706</v>
      </c>
      <c r="V56" t="s">
        <v>706</v>
      </c>
      <c r="W56" t="s">
        <v>706</v>
      </c>
      <c r="X56" t="s">
        <v>706</v>
      </c>
      <c r="Y56">
        <v>0</v>
      </c>
      <c r="Z56" t="s">
        <v>706</v>
      </c>
      <c r="AA56" t="s">
        <v>706</v>
      </c>
      <c r="AB56" t="s">
        <v>706</v>
      </c>
      <c r="AC56" t="s">
        <v>706</v>
      </c>
      <c r="AD56">
        <v>0</v>
      </c>
      <c r="AE56" t="s">
        <v>706</v>
      </c>
      <c r="AF56" t="s">
        <v>547</v>
      </c>
      <c r="AG56" t="s">
        <v>706</v>
      </c>
      <c r="AH56"/>
    </row>
    <row r="57" spans="1:34" ht="48.75" customHeight="1" x14ac:dyDescent="0.25">
      <c r="A57" t="s">
        <v>446</v>
      </c>
      <c r="B57" t="s">
        <v>447</v>
      </c>
      <c r="C57" t="s">
        <v>695</v>
      </c>
      <c r="D57" t="s">
        <v>511</v>
      </c>
      <c r="E57" t="s">
        <v>448</v>
      </c>
      <c r="F57" t="s">
        <v>461</v>
      </c>
      <c r="G57" t="s">
        <v>621</v>
      </c>
      <c r="H57" t="s">
        <v>462</v>
      </c>
      <c r="I57" t="s">
        <v>463</v>
      </c>
      <c r="J57">
        <v>1</v>
      </c>
      <c r="K57">
        <v>1</v>
      </c>
      <c r="L57" t="s">
        <v>33</v>
      </c>
      <c r="M57">
        <v>1</v>
      </c>
      <c r="N57">
        <v>0.6</v>
      </c>
      <c r="O57">
        <v>0.6</v>
      </c>
      <c r="P57" t="s">
        <v>45</v>
      </c>
      <c r="Q57">
        <v>1</v>
      </c>
      <c r="R57" t="s">
        <v>706</v>
      </c>
      <c r="S57" t="s">
        <v>706</v>
      </c>
      <c r="T57" t="s">
        <v>706</v>
      </c>
      <c r="U57" t="s">
        <v>706</v>
      </c>
      <c r="V57" t="s">
        <v>706</v>
      </c>
      <c r="W57" t="s">
        <v>706</v>
      </c>
      <c r="X57" t="s">
        <v>706</v>
      </c>
      <c r="Y57">
        <v>0</v>
      </c>
      <c r="Z57" t="s">
        <v>706</v>
      </c>
      <c r="AA57" t="s">
        <v>706</v>
      </c>
      <c r="AB57" t="s">
        <v>706</v>
      </c>
      <c r="AC57" t="s">
        <v>706</v>
      </c>
      <c r="AD57">
        <v>0</v>
      </c>
      <c r="AE57" t="s">
        <v>464</v>
      </c>
      <c r="AF57" t="s">
        <v>547</v>
      </c>
      <c r="AG57" t="s">
        <v>706</v>
      </c>
      <c r="AH57"/>
    </row>
    <row r="58" spans="1:34" x14ac:dyDescent="0.25">
      <c r="A58" t="s">
        <v>469</v>
      </c>
      <c r="B58" t="s">
        <v>470</v>
      </c>
      <c r="C58" t="s">
        <v>695</v>
      </c>
      <c r="D58" t="s">
        <v>471</v>
      </c>
      <c r="E58" t="s">
        <v>471</v>
      </c>
      <c r="F58" t="s">
        <v>472</v>
      </c>
      <c r="G58" t="s">
        <v>621</v>
      </c>
      <c r="H58" t="s">
        <v>473</v>
      </c>
      <c r="I58" t="s">
        <v>474</v>
      </c>
      <c r="J58">
        <v>1</v>
      </c>
      <c r="K58">
        <v>1</v>
      </c>
      <c r="L58" t="s">
        <v>33</v>
      </c>
      <c r="M58">
        <v>1</v>
      </c>
      <c r="N58">
        <v>0.6</v>
      </c>
      <c r="O58">
        <v>0.6</v>
      </c>
      <c r="P58" t="s">
        <v>45</v>
      </c>
      <c r="Q58">
        <v>1</v>
      </c>
      <c r="R58" t="s">
        <v>706</v>
      </c>
      <c r="S58" t="s">
        <v>706</v>
      </c>
      <c r="T58" t="s">
        <v>706</v>
      </c>
      <c r="U58" t="s">
        <v>706</v>
      </c>
      <c r="V58" t="s">
        <v>706</v>
      </c>
      <c r="W58" t="s">
        <v>706</v>
      </c>
      <c r="X58" t="s">
        <v>706</v>
      </c>
      <c r="Y58">
        <v>0</v>
      </c>
      <c r="Z58" t="s">
        <v>706</v>
      </c>
      <c r="AA58" t="s">
        <v>706</v>
      </c>
      <c r="AB58" t="s">
        <v>706</v>
      </c>
      <c r="AC58" t="s">
        <v>706</v>
      </c>
      <c r="AD58">
        <v>0</v>
      </c>
      <c r="AE58" t="s">
        <v>475</v>
      </c>
      <c r="AF58" t="s">
        <v>547</v>
      </c>
      <c r="AG58" t="s">
        <v>706</v>
      </c>
      <c r="AH58"/>
    </row>
    <row r="59" spans="1:34" x14ac:dyDescent="0.25">
      <c r="A59" t="s">
        <v>476</v>
      </c>
      <c r="B59" t="s">
        <v>477</v>
      </c>
      <c r="C59" t="s">
        <v>695</v>
      </c>
      <c r="D59" t="s">
        <v>471</v>
      </c>
      <c r="E59" t="s">
        <v>471</v>
      </c>
      <c r="F59" t="s">
        <v>478</v>
      </c>
      <c r="G59" t="s">
        <v>621</v>
      </c>
      <c r="H59" t="s">
        <v>479</v>
      </c>
      <c r="I59" t="s">
        <v>480</v>
      </c>
      <c r="J59">
        <v>1</v>
      </c>
      <c r="K59">
        <v>1</v>
      </c>
      <c r="L59" t="s">
        <v>33</v>
      </c>
      <c r="M59">
        <v>1</v>
      </c>
      <c r="N59">
        <v>0.6</v>
      </c>
      <c r="O59">
        <v>0.6</v>
      </c>
      <c r="P59" t="s">
        <v>45</v>
      </c>
      <c r="Q59">
        <v>1</v>
      </c>
      <c r="R59" t="s">
        <v>706</v>
      </c>
      <c r="S59" t="s">
        <v>706</v>
      </c>
      <c r="T59" t="s">
        <v>706</v>
      </c>
      <c r="U59" t="s">
        <v>706</v>
      </c>
      <c r="V59" t="s">
        <v>706</v>
      </c>
      <c r="W59" t="s">
        <v>706</v>
      </c>
      <c r="X59" t="s">
        <v>706</v>
      </c>
      <c r="Y59">
        <v>0</v>
      </c>
      <c r="Z59" t="s">
        <v>706</v>
      </c>
      <c r="AA59" t="s">
        <v>706</v>
      </c>
      <c r="AB59" t="s">
        <v>706</v>
      </c>
      <c r="AC59" t="s">
        <v>706</v>
      </c>
      <c r="AD59">
        <v>0</v>
      </c>
      <c r="AE59" t="s">
        <v>706</v>
      </c>
      <c r="AF59" t="s">
        <v>547</v>
      </c>
      <c r="AG59" t="s">
        <v>706</v>
      </c>
      <c r="AH59"/>
    </row>
    <row r="60" spans="1:34" x14ac:dyDescent="0.25">
      <c r="A60" t="s">
        <v>481</v>
      </c>
      <c r="B60" t="s">
        <v>482</v>
      </c>
      <c r="C60" t="s">
        <v>695</v>
      </c>
      <c r="D60" t="s">
        <v>471</v>
      </c>
      <c r="E60" t="s">
        <v>471</v>
      </c>
      <c r="F60" t="s">
        <v>483</v>
      </c>
      <c r="G60" t="s">
        <v>621</v>
      </c>
      <c r="H60" t="s">
        <v>484</v>
      </c>
      <c r="I60" t="s">
        <v>485</v>
      </c>
      <c r="J60">
        <v>1</v>
      </c>
      <c r="K60">
        <v>1</v>
      </c>
      <c r="L60" t="s">
        <v>33</v>
      </c>
      <c r="M60">
        <v>1</v>
      </c>
      <c r="N60">
        <v>0.6</v>
      </c>
      <c r="O60">
        <v>0.6</v>
      </c>
      <c r="P60" t="s">
        <v>45</v>
      </c>
      <c r="Q60">
        <v>1</v>
      </c>
      <c r="R60" t="s">
        <v>706</v>
      </c>
      <c r="S60" t="s">
        <v>706</v>
      </c>
      <c r="T60" t="s">
        <v>706</v>
      </c>
      <c r="U60" t="s">
        <v>706</v>
      </c>
      <c r="V60" t="s">
        <v>706</v>
      </c>
      <c r="W60" t="s">
        <v>706</v>
      </c>
      <c r="X60" t="s">
        <v>706</v>
      </c>
      <c r="Y60">
        <v>0</v>
      </c>
      <c r="Z60" t="s">
        <v>706</v>
      </c>
      <c r="AA60" t="s">
        <v>706</v>
      </c>
      <c r="AB60" t="s">
        <v>706</v>
      </c>
      <c r="AC60" t="s">
        <v>706</v>
      </c>
      <c r="AD60">
        <v>0</v>
      </c>
      <c r="AE60" t="s">
        <v>706</v>
      </c>
      <c r="AF60" t="s">
        <v>551</v>
      </c>
      <c r="AG60" t="s">
        <v>706</v>
      </c>
      <c r="AH60"/>
    </row>
    <row r="61" spans="1:34" x14ac:dyDescent="0.25">
      <c r="A61" t="s">
        <v>488</v>
      </c>
      <c r="B61" t="s">
        <v>489</v>
      </c>
      <c r="C61" t="s">
        <v>695</v>
      </c>
      <c r="D61" t="s">
        <v>471</v>
      </c>
      <c r="E61" t="s">
        <v>471</v>
      </c>
      <c r="F61" t="s">
        <v>490</v>
      </c>
      <c r="G61" t="s">
        <v>621</v>
      </c>
      <c r="H61" t="s">
        <v>491</v>
      </c>
      <c r="I61" t="s">
        <v>706</v>
      </c>
      <c r="J61">
        <v>1</v>
      </c>
      <c r="K61">
        <v>1</v>
      </c>
      <c r="L61" t="s">
        <v>33</v>
      </c>
      <c r="M61">
        <v>1</v>
      </c>
      <c r="N61">
        <v>0.6</v>
      </c>
      <c r="O61">
        <v>0.6</v>
      </c>
      <c r="P61" t="s">
        <v>45</v>
      </c>
      <c r="Q61">
        <v>1</v>
      </c>
      <c r="R61" t="s">
        <v>706</v>
      </c>
      <c r="S61" t="s">
        <v>706</v>
      </c>
      <c r="T61" t="s">
        <v>706</v>
      </c>
      <c r="U61" t="s">
        <v>706</v>
      </c>
      <c r="V61" t="s">
        <v>706</v>
      </c>
      <c r="W61" t="s">
        <v>706</v>
      </c>
      <c r="X61" t="s">
        <v>706</v>
      </c>
      <c r="Y61">
        <v>0</v>
      </c>
      <c r="Z61" t="s">
        <v>706</v>
      </c>
      <c r="AA61" t="s">
        <v>706</v>
      </c>
      <c r="AB61" t="s">
        <v>706</v>
      </c>
      <c r="AC61" t="s">
        <v>706</v>
      </c>
      <c r="AD61">
        <v>0</v>
      </c>
      <c r="AE61" t="s">
        <v>706</v>
      </c>
      <c r="AF61" t="s">
        <v>706</v>
      </c>
      <c r="AG61" t="s">
        <v>706</v>
      </c>
      <c r="AH61"/>
    </row>
    <row r="62" spans="1:34" x14ac:dyDescent="0.25">
      <c r="A62" t="s">
        <v>492</v>
      </c>
      <c r="B62" t="s">
        <v>493</v>
      </c>
      <c r="C62" t="s">
        <v>695</v>
      </c>
      <c r="D62" t="s">
        <v>494</v>
      </c>
      <c r="E62" t="s">
        <v>494</v>
      </c>
      <c r="F62" t="s">
        <v>495</v>
      </c>
      <c r="G62" t="s">
        <v>621</v>
      </c>
      <c r="H62" t="s">
        <v>496</v>
      </c>
      <c r="I62" t="s">
        <v>497</v>
      </c>
      <c r="J62">
        <v>1</v>
      </c>
      <c r="K62">
        <v>1</v>
      </c>
      <c r="L62" t="s">
        <v>33</v>
      </c>
      <c r="M62">
        <v>1</v>
      </c>
      <c r="N62">
        <v>0.6</v>
      </c>
      <c r="O62">
        <v>0.6</v>
      </c>
      <c r="P62" t="s">
        <v>45</v>
      </c>
      <c r="Q62">
        <v>1</v>
      </c>
      <c r="R62" t="s">
        <v>706</v>
      </c>
      <c r="S62" t="s">
        <v>706</v>
      </c>
      <c r="T62" t="s">
        <v>706</v>
      </c>
      <c r="U62" t="s">
        <v>706</v>
      </c>
      <c r="V62" t="s">
        <v>706</v>
      </c>
      <c r="W62" t="s">
        <v>706</v>
      </c>
      <c r="X62" t="s">
        <v>706</v>
      </c>
      <c r="Y62">
        <v>0</v>
      </c>
      <c r="Z62" t="s">
        <v>706</v>
      </c>
      <c r="AA62" t="s">
        <v>706</v>
      </c>
      <c r="AB62" t="s">
        <v>706</v>
      </c>
      <c r="AC62" t="s">
        <v>706</v>
      </c>
      <c r="AD62">
        <v>0</v>
      </c>
      <c r="AE62" t="s">
        <v>706</v>
      </c>
      <c r="AF62" t="s">
        <v>548</v>
      </c>
      <c r="AG62" t="s">
        <v>706</v>
      </c>
      <c r="AH62"/>
    </row>
    <row r="63" spans="1:34" ht="41.25" customHeight="1" x14ac:dyDescent="0.25">
      <c r="A63" t="s">
        <v>492</v>
      </c>
      <c r="B63" t="s">
        <v>493</v>
      </c>
      <c r="C63" t="s">
        <v>695</v>
      </c>
      <c r="D63" t="s">
        <v>494</v>
      </c>
      <c r="E63" t="s">
        <v>494</v>
      </c>
      <c r="F63" t="s">
        <v>498</v>
      </c>
      <c r="G63" t="s">
        <v>621</v>
      </c>
      <c r="H63" t="s">
        <v>499</v>
      </c>
      <c r="I63" t="s">
        <v>497</v>
      </c>
      <c r="J63">
        <v>1</v>
      </c>
      <c r="K63">
        <v>1</v>
      </c>
      <c r="L63" t="s">
        <v>33</v>
      </c>
      <c r="M63">
        <v>1</v>
      </c>
      <c r="N63">
        <v>0.6</v>
      </c>
      <c r="O63">
        <v>0.6</v>
      </c>
      <c r="P63" t="s">
        <v>45</v>
      </c>
      <c r="Q63">
        <v>1</v>
      </c>
      <c r="R63" t="s">
        <v>706</v>
      </c>
      <c r="S63" t="s">
        <v>706</v>
      </c>
      <c r="T63" t="s">
        <v>706</v>
      </c>
      <c r="U63" t="s">
        <v>706</v>
      </c>
      <c r="V63" t="s">
        <v>706</v>
      </c>
      <c r="W63" t="s">
        <v>706</v>
      </c>
      <c r="X63" t="s">
        <v>706</v>
      </c>
      <c r="Y63">
        <v>0</v>
      </c>
      <c r="Z63" t="s">
        <v>706</v>
      </c>
      <c r="AA63" t="s">
        <v>706</v>
      </c>
      <c r="AB63" t="s">
        <v>706</v>
      </c>
      <c r="AC63" t="s">
        <v>706</v>
      </c>
      <c r="AD63">
        <v>0</v>
      </c>
      <c r="AE63" t="s">
        <v>706</v>
      </c>
      <c r="AF63" t="s">
        <v>548</v>
      </c>
      <c r="AG63" t="s">
        <v>706</v>
      </c>
      <c r="AH63"/>
    </row>
    <row r="64" spans="1:34" x14ac:dyDescent="0.25">
      <c r="A64" t="s">
        <v>492</v>
      </c>
      <c r="B64" t="s">
        <v>493</v>
      </c>
      <c r="C64" t="s">
        <v>695</v>
      </c>
      <c r="D64" t="s">
        <v>494</v>
      </c>
      <c r="E64" t="s">
        <v>494</v>
      </c>
      <c r="F64" t="s">
        <v>500</v>
      </c>
      <c r="G64" t="s">
        <v>621</v>
      </c>
      <c r="H64" t="s">
        <v>501</v>
      </c>
      <c r="I64" t="s">
        <v>497</v>
      </c>
      <c r="J64">
        <v>1</v>
      </c>
      <c r="K64">
        <v>1</v>
      </c>
      <c r="L64" t="s">
        <v>33</v>
      </c>
      <c r="M64">
        <v>1</v>
      </c>
      <c r="N64">
        <v>0.6</v>
      </c>
      <c r="O64">
        <v>0.6</v>
      </c>
      <c r="P64" t="s">
        <v>45</v>
      </c>
      <c r="Q64">
        <v>1</v>
      </c>
      <c r="R64" t="s">
        <v>706</v>
      </c>
      <c r="S64" t="s">
        <v>706</v>
      </c>
      <c r="T64" t="s">
        <v>706</v>
      </c>
      <c r="U64" t="s">
        <v>706</v>
      </c>
      <c r="V64" t="s">
        <v>706</v>
      </c>
      <c r="W64" t="s">
        <v>706</v>
      </c>
      <c r="X64" t="s">
        <v>706</v>
      </c>
      <c r="Y64">
        <v>0</v>
      </c>
      <c r="Z64" t="s">
        <v>706</v>
      </c>
      <c r="AA64" t="s">
        <v>706</v>
      </c>
      <c r="AB64" t="s">
        <v>706</v>
      </c>
      <c r="AC64" t="s">
        <v>706</v>
      </c>
      <c r="AD64">
        <v>0</v>
      </c>
      <c r="AE64" t="s">
        <v>706</v>
      </c>
      <c r="AF64" t="s">
        <v>548</v>
      </c>
      <c r="AG64" t="s">
        <v>706</v>
      </c>
      <c r="AH64"/>
    </row>
    <row r="65" spans="1:34" x14ac:dyDescent="0.25">
      <c r="A65" t="s">
        <v>492</v>
      </c>
      <c r="B65" t="s">
        <v>493</v>
      </c>
      <c r="C65" t="s">
        <v>695</v>
      </c>
      <c r="D65" t="s">
        <v>494</v>
      </c>
      <c r="E65" t="s">
        <v>494</v>
      </c>
      <c r="F65" t="s">
        <v>502</v>
      </c>
      <c r="G65" t="s">
        <v>621</v>
      </c>
      <c r="H65" t="s">
        <v>503</v>
      </c>
      <c r="I65" t="s">
        <v>497</v>
      </c>
      <c r="J65">
        <v>1</v>
      </c>
      <c r="K65">
        <v>1</v>
      </c>
      <c r="L65" t="s">
        <v>33</v>
      </c>
      <c r="M65">
        <v>1</v>
      </c>
      <c r="N65">
        <v>0.6</v>
      </c>
      <c r="O65">
        <v>0.6</v>
      </c>
      <c r="P65" t="s">
        <v>45</v>
      </c>
      <c r="Q65">
        <v>1</v>
      </c>
      <c r="R65" t="s">
        <v>706</v>
      </c>
      <c r="S65" t="s">
        <v>706</v>
      </c>
      <c r="T65" t="s">
        <v>706</v>
      </c>
      <c r="U65" t="s">
        <v>706</v>
      </c>
      <c r="V65" t="s">
        <v>706</v>
      </c>
      <c r="W65" t="s">
        <v>706</v>
      </c>
      <c r="X65" t="s">
        <v>706</v>
      </c>
      <c r="Y65">
        <v>0</v>
      </c>
      <c r="Z65" t="s">
        <v>706</v>
      </c>
      <c r="AA65" t="s">
        <v>706</v>
      </c>
      <c r="AB65" t="s">
        <v>706</v>
      </c>
      <c r="AC65" t="s">
        <v>706</v>
      </c>
      <c r="AD65">
        <v>0</v>
      </c>
      <c r="AE65" t="s">
        <v>706</v>
      </c>
      <c r="AF65" t="s">
        <v>548</v>
      </c>
      <c r="AG65" t="s">
        <v>706</v>
      </c>
      <c r="AH65"/>
    </row>
    <row r="66" spans="1:34" x14ac:dyDescent="0.25">
      <c r="A66" t="s">
        <v>492</v>
      </c>
      <c r="B66" t="s">
        <v>493</v>
      </c>
      <c r="C66" t="s">
        <v>695</v>
      </c>
      <c r="D66" t="s">
        <v>494</v>
      </c>
      <c r="E66" t="s">
        <v>494</v>
      </c>
      <c r="F66" t="s">
        <v>504</v>
      </c>
      <c r="G66" t="s">
        <v>621</v>
      </c>
      <c r="H66" t="s">
        <v>505</v>
      </c>
      <c r="I66" t="s">
        <v>497</v>
      </c>
      <c r="J66">
        <v>1</v>
      </c>
      <c r="K66">
        <v>1</v>
      </c>
      <c r="L66" t="s">
        <v>33</v>
      </c>
      <c r="M66">
        <v>1</v>
      </c>
      <c r="N66">
        <v>0.6</v>
      </c>
      <c r="O66">
        <v>0.6</v>
      </c>
      <c r="P66" t="s">
        <v>45</v>
      </c>
      <c r="Q66">
        <v>1</v>
      </c>
      <c r="R66" t="s">
        <v>706</v>
      </c>
      <c r="S66" t="s">
        <v>706</v>
      </c>
      <c r="T66" t="s">
        <v>706</v>
      </c>
      <c r="U66" t="s">
        <v>706</v>
      </c>
      <c r="V66" t="s">
        <v>706</v>
      </c>
      <c r="W66" t="s">
        <v>706</v>
      </c>
      <c r="X66" t="s">
        <v>706</v>
      </c>
      <c r="Y66">
        <v>0</v>
      </c>
      <c r="Z66" t="s">
        <v>706</v>
      </c>
      <c r="AA66" t="s">
        <v>706</v>
      </c>
      <c r="AB66" t="s">
        <v>706</v>
      </c>
      <c r="AC66" t="s">
        <v>706</v>
      </c>
      <c r="AD66">
        <v>0</v>
      </c>
      <c r="AE66" t="s">
        <v>706</v>
      </c>
      <c r="AF66" t="s">
        <v>548</v>
      </c>
      <c r="AG66" t="s">
        <v>706</v>
      </c>
      <c r="AH66"/>
    </row>
    <row r="67" spans="1:34" ht="26.25" customHeight="1" x14ac:dyDescent="0.25">
      <c r="A67" t="s">
        <v>492</v>
      </c>
      <c r="B67" t="s">
        <v>493</v>
      </c>
      <c r="C67" t="s">
        <v>695</v>
      </c>
      <c r="D67" t="s">
        <v>494</v>
      </c>
      <c r="E67" t="s">
        <v>494</v>
      </c>
      <c r="F67" t="s">
        <v>506</v>
      </c>
      <c r="G67" t="s">
        <v>621</v>
      </c>
      <c r="H67" t="s">
        <v>507</v>
      </c>
      <c r="I67" t="s">
        <v>497</v>
      </c>
      <c r="J67">
        <v>1</v>
      </c>
      <c r="K67">
        <v>1</v>
      </c>
      <c r="L67" t="s">
        <v>33</v>
      </c>
      <c r="M67">
        <v>1</v>
      </c>
      <c r="N67">
        <v>0.6</v>
      </c>
      <c r="O67">
        <v>0.6</v>
      </c>
      <c r="P67" t="s">
        <v>45</v>
      </c>
      <c r="Q67">
        <v>1</v>
      </c>
      <c r="R67" t="s">
        <v>706</v>
      </c>
      <c r="S67" t="s">
        <v>706</v>
      </c>
      <c r="T67" t="s">
        <v>706</v>
      </c>
      <c r="U67" t="s">
        <v>706</v>
      </c>
      <c r="V67" t="s">
        <v>706</v>
      </c>
      <c r="W67" t="s">
        <v>706</v>
      </c>
      <c r="X67" t="s">
        <v>706</v>
      </c>
      <c r="Y67">
        <v>0</v>
      </c>
      <c r="Z67" t="s">
        <v>706</v>
      </c>
      <c r="AA67" t="s">
        <v>706</v>
      </c>
      <c r="AB67" t="s">
        <v>706</v>
      </c>
      <c r="AC67" t="s">
        <v>706</v>
      </c>
      <c r="AD67">
        <v>0</v>
      </c>
      <c r="AE67" t="s">
        <v>706</v>
      </c>
      <c r="AF67" t="s">
        <v>548</v>
      </c>
      <c r="AG67" t="s">
        <v>706</v>
      </c>
      <c r="AH67"/>
    </row>
    <row r="68" spans="1:34" ht="23.25" customHeight="1" x14ac:dyDescent="0.25">
      <c r="A68" t="s">
        <v>492</v>
      </c>
      <c r="B68" t="s">
        <v>493</v>
      </c>
      <c r="C68" t="s">
        <v>695</v>
      </c>
      <c r="D68" t="s">
        <v>494</v>
      </c>
      <c r="E68" t="s">
        <v>494</v>
      </c>
      <c r="F68" t="s">
        <v>461</v>
      </c>
      <c r="G68" t="s">
        <v>621</v>
      </c>
      <c r="H68" t="s">
        <v>499</v>
      </c>
      <c r="I68" t="s">
        <v>508</v>
      </c>
      <c r="J68">
        <v>1</v>
      </c>
      <c r="K68">
        <v>1</v>
      </c>
      <c r="L68" t="s">
        <v>33</v>
      </c>
      <c r="M68">
        <v>1</v>
      </c>
      <c r="N68">
        <v>0.6</v>
      </c>
      <c r="O68">
        <v>0.6</v>
      </c>
      <c r="P68" t="s">
        <v>45</v>
      </c>
      <c r="Q68">
        <v>1</v>
      </c>
      <c r="R68" t="s">
        <v>706</v>
      </c>
      <c r="S68" t="s">
        <v>706</v>
      </c>
      <c r="T68" t="s">
        <v>706</v>
      </c>
      <c r="U68" t="s">
        <v>706</v>
      </c>
      <c r="V68" t="s">
        <v>706</v>
      </c>
      <c r="W68" t="s">
        <v>706</v>
      </c>
      <c r="X68" t="s">
        <v>706</v>
      </c>
      <c r="Y68">
        <v>0</v>
      </c>
      <c r="Z68" t="s">
        <v>706</v>
      </c>
      <c r="AA68" t="s">
        <v>706</v>
      </c>
      <c r="AB68" t="s">
        <v>706</v>
      </c>
      <c r="AC68" t="s">
        <v>706</v>
      </c>
      <c r="AD68">
        <v>0</v>
      </c>
      <c r="AE68" t="s">
        <v>706</v>
      </c>
      <c r="AF68" t="s">
        <v>548</v>
      </c>
      <c r="AG68" t="s">
        <v>706</v>
      </c>
      <c r="AH68"/>
    </row>
    <row r="69" spans="1:34" x14ac:dyDescent="0.25">
      <c r="A69" t="s">
        <v>514</v>
      </c>
      <c r="B69" t="s">
        <v>515</v>
      </c>
      <c r="C69" t="s">
        <v>695</v>
      </c>
      <c r="D69" t="s">
        <v>515</v>
      </c>
      <c r="E69" t="s">
        <v>516</v>
      </c>
      <c r="F69" t="s">
        <v>706</v>
      </c>
      <c r="G69" t="s">
        <v>635</v>
      </c>
      <c r="H69" t="s">
        <v>517</v>
      </c>
      <c r="I69" t="s">
        <v>706</v>
      </c>
      <c r="J69">
        <v>1</v>
      </c>
      <c r="K69">
        <v>1</v>
      </c>
      <c r="L69" t="s">
        <v>42</v>
      </c>
      <c r="M69">
        <v>1</v>
      </c>
      <c r="N69">
        <v>0.6</v>
      </c>
      <c r="O69">
        <v>0.6</v>
      </c>
      <c r="P69" t="s">
        <v>45</v>
      </c>
      <c r="Q69">
        <v>1</v>
      </c>
      <c r="R69" t="s">
        <v>706</v>
      </c>
      <c r="S69" t="s">
        <v>706</v>
      </c>
      <c r="T69" t="s">
        <v>706</v>
      </c>
      <c r="U69" t="s">
        <v>706</v>
      </c>
      <c r="V69" t="s">
        <v>706</v>
      </c>
      <c r="W69" t="s">
        <v>706</v>
      </c>
      <c r="X69" t="s">
        <v>706</v>
      </c>
      <c r="Y69">
        <v>0</v>
      </c>
      <c r="Z69" t="s">
        <v>706</v>
      </c>
      <c r="AA69" t="s">
        <v>706</v>
      </c>
      <c r="AB69" t="s">
        <v>706</v>
      </c>
      <c r="AC69" t="s">
        <v>706</v>
      </c>
      <c r="AD69">
        <v>0</v>
      </c>
      <c r="AE69" t="s">
        <v>706</v>
      </c>
      <c r="AF69" t="s">
        <v>549</v>
      </c>
      <c r="AG69" t="s">
        <v>706</v>
      </c>
      <c r="AH69"/>
    </row>
    <row r="70" spans="1:34" x14ac:dyDescent="0.25">
      <c r="A70" t="s">
        <v>518</v>
      </c>
      <c r="B70" t="s">
        <v>636</v>
      </c>
      <c r="C70" t="s">
        <v>695</v>
      </c>
      <c r="D70" t="s">
        <v>699</v>
      </c>
      <c r="E70" t="s">
        <v>519</v>
      </c>
      <c r="F70" t="s">
        <v>706</v>
      </c>
      <c r="G70" t="s">
        <v>635</v>
      </c>
      <c r="H70" t="s">
        <v>520</v>
      </c>
      <c r="I70" t="s">
        <v>706</v>
      </c>
      <c r="J70">
        <v>1</v>
      </c>
      <c r="K70">
        <v>1</v>
      </c>
      <c r="L70" t="s">
        <v>42</v>
      </c>
      <c r="M70">
        <v>1</v>
      </c>
      <c r="N70">
        <v>0.6</v>
      </c>
      <c r="O70">
        <v>0.6</v>
      </c>
      <c r="P70" t="s">
        <v>45</v>
      </c>
      <c r="Q70">
        <v>1</v>
      </c>
      <c r="R70" t="s">
        <v>706</v>
      </c>
      <c r="S70" t="s">
        <v>706</v>
      </c>
      <c r="T70" t="s">
        <v>706</v>
      </c>
      <c r="U70" t="s">
        <v>706</v>
      </c>
      <c r="V70" t="s">
        <v>706</v>
      </c>
      <c r="W70" t="s">
        <v>706</v>
      </c>
      <c r="X70" t="s">
        <v>706</v>
      </c>
      <c r="Y70">
        <v>0</v>
      </c>
      <c r="Z70" t="s">
        <v>706</v>
      </c>
      <c r="AA70" t="s">
        <v>706</v>
      </c>
      <c r="AB70" t="s">
        <v>706</v>
      </c>
      <c r="AC70" t="s">
        <v>706</v>
      </c>
      <c r="AD70">
        <v>0</v>
      </c>
      <c r="AE70" t="s">
        <v>521</v>
      </c>
      <c r="AF70" t="s">
        <v>549</v>
      </c>
      <c r="AG70" t="s">
        <v>706</v>
      </c>
      <c r="AH70"/>
    </row>
    <row r="71" spans="1:34" x14ac:dyDescent="0.25">
      <c r="A71" t="s">
        <v>518</v>
      </c>
      <c r="B71" t="s">
        <v>636</v>
      </c>
      <c r="C71" t="s">
        <v>695</v>
      </c>
      <c r="D71" t="s">
        <v>699</v>
      </c>
      <c r="E71" t="s">
        <v>519</v>
      </c>
      <c r="F71" t="s">
        <v>706</v>
      </c>
      <c r="G71" t="s">
        <v>635</v>
      </c>
      <c r="H71" t="s">
        <v>522</v>
      </c>
      <c r="I71" t="s">
        <v>706</v>
      </c>
      <c r="J71">
        <v>1</v>
      </c>
      <c r="K71">
        <v>1</v>
      </c>
      <c r="L71" t="s">
        <v>42</v>
      </c>
      <c r="M71">
        <v>1</v>
      </c>
      <c r="N71">
        <v>0.6</v>
      </c>
      <c r="O71">
        <v>0.6</v>
      </c>
      <c r="P71" t="s">
        <v>45</v>
      </c>
      <c r="Q71">
        <v>1</v>
      </c>
      <c r="R71" t="s">
        <v>706</v>
      </c>
      <c r="S71" t="s">
        <v>706</v>
      </c>
      <c r="T71" t="s">
        <v>706</v>
      </c>
      <c r="U71" t="s">
        <v>706</v>
      </c>
      <c r="V71" t="s">
        <v>706</v>
      </c>
      <c r="W71" t="s">
        <v>706</v>
      </c>
      <c r="X71" t="s">
        <v>706</v>
      </c>
      <c r="Y71">
        <v>0</v>
      </c>
      <c r="Z71" t="s">
        <v>706</v>
      </c>
      <c r="AA71" t="s">
        <v>706</v>
      </c>
      <c r="AB71" t="s">
        <v>706</v>
      </c>
      <c r="AC71" t="s">
        <v>706</v>
      </c>
      <c r="AD71">
        <v>0</v>
      </c>
      <c r="AE71" t="s">
        <v>523</v>
      </c>
      <c r="AF71" t="s">
        <v>549</v>
      </c>
      <c r="AG71" t="s">
        <v>706</v>
      </c>
      <c r="AH71"/>
    </row>
    <row r="72" spans="1:34" x14ac:dyDescent="0.25">
      <c r="A72" t="s">
        <v>524</v>
      </c>
      <c r="B72" t="s">
        <v>637</v>
      </c>
      <c r="C72" t="s">
        <v>695</v>
      </c>
      <c r="D72" t="s">
        <v>699</v>
      </c>
      <c r="E72" t="s">
        <v>706</v>
      </c>
      <c r="F72" t="s">
        <v>706</v>
      </c>
      <c r="G72" t="s">
        <v>635</v>
      </c>
      <c r="H72" t="s">
        <v>525</v>
      </c>
      <c r="I72" t="s">
        <v>706</v>
      </c>
      <c r="J72">
        <v>1</v>
      </c>
      <c r="K72">
        <v>1</v>
      </c>
      <c r="L72" t="s">
        <v>42</v>
      </c>
      <c r="M72">
        <v>1</v>
      </c>
      <c r="N72">
        <v>0.6</v>
      </c>
      <c r="O72">
        <v>0.6</v>
      </c>
      <c r="P72" t="s">
        <v>45</v>
      </c>
      <c r="Q72">
        <v>1</v>
      </c>
      <c r="R72" t="s">
        <v>706</v>
      </c>
      <c r="S72" t="s">
        <v>706</v>
      </c>
      <c r="T72" t="s">
        <v>706</v>
      </c>
      <c r="U72" t="s">
        <v>706</v>
      </c>
      <c r="V72" t="s">
        <v>706</v>
      </c>
      <c r="W72" t="s">
        <v>706</v>
      </c>
      <c r="X72" t="s">
        <v>706</v>
      </c>
      <c r="Y72">
        <v>0</v>
      </c>
      <c r="Z72" t="s">
        <v>706</v>
      </c>
      <c r="AA72" t="s">
        <v>706</v>
      </c>
      <c r="AB72" t="s">
        <v>706</v>
      </c>
      <c r="AC72" t="s">
        <v>706</v>
      </c>
      <c r="AD72">
        <v>0</v>
      </c>
      <c r="AE72" t="s">
        <v>526</v>
      </c>
      <c r="AF72" t="s">
        <v>706</v>
      </c>
      <c r="AG72" t="s">
        <v>527</v>
      </c>
      <c r="AH72"/>
    </row>
    <row r="73" spans="1:34" x14ac:dyDescent="0.25">
      <c r="A73" t="s">
        <v>524</v>
      </c>
      <c r="B73" t="s">
        <v>637</v>
      </c>
      <c r="C73" t="s">
        <v>695</v>
      </c>
      <c r="D73" t="s">
        <v>699</v>
      </c>
      <c r="E73" t="s">
        <v>528</v>
      </c>
      <c r="F73" t="s">
        <v>706</v>
      </c>
      <c r="G73" t="s">
        <v>635</v>
      </c>
      <c r="H73" t="s">
        <v>529</v>
      </c>
      <c r="I73" t="s">
        <v>706</v>
      </c>
      <c r="J73">
        <v>1</v>
      </c>
      <c r="K73">
        <v>1</v>
      </c>
      <c r="L73" t="s">
        <v>42</v>
      </c>
      <c r="M73">
        <v>1</v>
      </c>
      <c r="N73">
        <v>0.6</v>
      </c>
      <c r="O73">
        <v>0.6</v>
      </c>
      <c r="P73" t="s">
        <v>45</v>
      </c>
      <c r="Q73">
        <v>1</v>
      </c>
      <c r="R73" t="s">
        <v>706</v>
      </c>
      <c r="S73" t="s">
        <v>706</v>
      </c>
      <c r="T73" t="s">
        <v>706</v>
      </c>
      <c r="U73" t="s">
        <v>706</v>
      </c>
      <c r="V73" t="s">
        <v>706</v>
      </c>
      <c r="W73" t="s">
        <v>706</v>
      </c>
      <c r="X73" t="s">
        <v>706</v>
      </c>
      <c r="Y73">
        <v>0</v>
      </c>
      <c r="Z73" t="s">
        <v>706</v>
      </c>
      <c r="AA73" t="s">
        <v>706</v>
      </c>
      <c r="AB73" t="s">
        <v>706</v>
      </c>
      <c r="AC73" t="s">
        <v>706</v>
      </c>
      <c r="AD73">
        <v>0</v>
      </c>
      <c r="AE73" t="s">
        <v>526</v>
      </c>
      <c r="AF73" t="s">
        <v>549</v>
      </c>
      <c r="AG73" t="s">
        <v>527</v>
      </c>
      <c r="AH73"/>
    </row>
    <row r="74" spans="1:34" x14ac:dyDescent="0.25">
      <c r="A74" t="s">
        <v>530</v>
      </c>
      <c r="B74" t="s">
        <v>638</v>
      </c>
      <c r="C74" t="s">
        <v>695</v>
      </c>
      <c r="D74" t="s">
        <v>699</v>
      </c>
      <c r="E74" t="s">
        <v>528</v>
      </c>
      <c r="F74" t="s">
        <v>706</v>
      </c>
      <c r="G74" t="s">
        <v>635</v>
      </c>
      <c r="H74" t="s">
        <v>531</v>
      </c>
      <c r="I74" t="s">
        <v>706</v>
      </c>
      <c r="J74">
        <v>1</v>
      </c>
      <c r="K74">
        <v>1</v>
      </c>
      <c r="L74" t="s">
        <v>42</v>
      </c>
      <c r="M74">
        <v>1</v>
      </c>
      <c r="N74">
        <v>0.6</v>
      </c>
      <c r="O74">
        <v>0.6</v>
      </c>
      <c r="P74" t="s">
        <v>45</v>
      </c>
      <c r="Q74">
        <v>1</v>
      </c>
      <c r="R74" t="s">
        <v>706</v>
      </c>
      <c r="S74" t="s">
        <v>706</v>
      </c>
      <c r="T74" t="s">
        <v>706</v>
      </c>
      <c r="U74" t="s">
        <v>706</v>
      </c>
      <c r="V74" t="s">
        <v>706</v>
      </c>
      <c r="W74" t="s">
        <v>706</v>
      </c>
      <c r="X74" t="s">
        <v>706</v>
      </c>
      <c r="Y74">
        <v>0</v>
      </c>
      <c r="Z74" t="s">
        <v>706</v>
      </c>
      <c r="AA74" t="s">
        <v>706</v>
      </c>
      <c r="AB74" t="s">
        <v>706</v>
      </c>
      <c r="AC74" t="s">
        <v>706</v>
      </c>
      <c r="AD74">
        <v>0</v>
      </c>
      <c r="AE74" t="s">
        <v>521</v>
      </c>
      <c r="AF74" t="s">
        <v>549</v>
      </c>
      <c r="AG74" t="s">
        <v>706</v>
      </c>
      <c r="AH74"/>
    </row>
    <row r="75" spans="1:34" x14ac:dyDescent="0.25">
      <c r="A75" t="s">
        <v>530</v>
      </c>
      <c r="B75" t="s">
        <v>638</v>
      </c>
      <c r="C75" t="s">
        <v>695</v>
      </c>
      <c r="D75" t="s">
        <v>699</v>
      </c>
      <c r="E75" t="s">
        <v>528</v>
      </c>
      <c r="F75" t="s">
        <v>706</v>
      </c>
      <c r="G75" t="s">
        <v>635</v>
      </c>
      <c r="H75" t="s">
        <v>532</v>
      </c>
      <c r="I75" t="s">
        <v>706</v>
      </c>
      <c r="J75">
        <v>1</v>
      </c>
      <c r="K75">
        <v>1</v>
      </c>
      <c r="L75" t="s">
        <v>42</v>
      </c>
      <c r="M75">
        <v>1</v>
      </c>
      <c r="N75">
        <v>0.6</v>
      </c>
      <c r="O75">
        <v>0.6</v>
      </c>
      <c r="P75" t="s">
        <v>45</v>
      </c>
      <c r="Q75">
        <v>1</v>
      </c>
      <c r="R75" t="s">
        <v>706</v>
      </c>
      <c r="S75" t="s">
        <v>706</v>
      </c>
      <c r="T75" t="s">
        <v>706</v>
      </c>
      <c r="U75" t="s">
        <v>706</v>
      </c>
      <c r="V75" t="s">
        <v>706</v>
      </c>
      <c r="W75" t="s">
        <v>706</v>
      </c>
      <c r="X75" t="s">
        <v>706</v>
      </c>
      <c r="Y75">
        <v>0</v>
      </c>
      <c r="Z75" t="s">
        <v>706</v>
      </c>
      <c r="AA75" t="s">
        <v>706</v>
      </c>
      <c r="AB75" t="s">
        <v>706</v>
      </c>
      <c r="AC75" t="s">
        <v>706</v>
      </c>
      <c r="AD75">
        <v>0</v>
      </c>
      <c r="AE75" t="s">
        <v>533</v>
      </c>
      <c r="AF75" t="s">
        <v>549</v>
      </c>
      <c r="AG75" t="s">
        <v>706</v>
      </c>
      <c r="AH75"/>
    </row>
    <row r="76" spans="1:34" x14ac:dyDescent="0.25">
      <c r="A76" t="s">
        <v>535</v>
      </c>
      <c r="B76" t="s">
        <v>640</v>
      </c>
      <c r="C76" t="s">
        <v>695</v>
      </c>
      <c r="D76" t="s">
        <v>699</v>
      </c>
      <c r="E76" t="s">
        <v>706</v>
      </c>
      <c r="F76" t="s">
        <v>706</v>
      </c>
      <c r="G76" t="s">
        <v>635</v>
      </c>
      <c r="H76" t="s">
        <v>536</v>
      </c>
      <c r="I76" t="s">
        <v>706</v>
      </c>
      <c r="J76">
        <v>1</v>
      </c>
      <c r="K76">
        <v>1</v>
      </c>
      <c r="L76" t="s">
        <v>42</v>
      </c>
      <c r="M76">
        <v>1</v>
      </c>
      <c r="N76">
        <v>0.6</v>
      </c>
      <c r="O76">
        <v>0.6</v>
      </c>
      <c r="P76" t="s">
        <v>45</v>
      </c>
      <c r="Q76">
        <v>1</v>
      </c>
      <c r="R76" t="s">
        <v>706</v>
      </c>
      <c r="S76" t="s">
        <v>706</v>
      </c>
      <c r="T76" t="s">
        <v>706</v>
      </c>
      <c r="U76" t="s">
        <v>706</v>
      </c>
      <c r="V76" t="s">
        <v>706</v>
      </c>
      <c r="W76" t="s">
        <v>706</v>
      </c>
      <c r="X76" t="s">
        <v>706</v>
      </c>
      <c r="Y76">
        <v>0</v>
      </c>
      <c r="Z76" t="s">
        <v>706</v>
      </c>
      <c r="AA76" t="s">
        <v>706</v>
      </c>
      <c r="AB76" t="s">
        <v>706</v>
      </c>
      <c r="AC76" t="s">
        <v>706</v>
      </c>
      <c r="AD76">
        <v>0</v>
      </c>
      <c r="AE76" t="s">
        <v>537</v>
      </c>
      <c r="AF76" t="s">
        <v>706</v>
      </c>
      <c r="AG76" t="s">
        <v>706</v>
      </c>
      <c r="AH76"/>
    </row>
    <row r="77" spans="1:34" x14ac:dyDescent="0.25">
      <c r="A77" t="s">
        <v>535</v>
      </c>
      <c r="B77" t="s">
        <v>640</v>
      </c>
      <c r="C77" t="s">
        <v>695</v>
      </c>
      <c r="D77" t="s">
        <v>699</v>
      </c>
      <c r="E77" t="s">
        <v>528</v>
      </c>
      <c r="F77" t="s">
        <v>706</v>
      </c>
      <c r="G77" t="s">
        <v>635</v>
      </c>
      <c r="H77" t="s">
        <v>538</v>
      </c>
      <c r="I77" t="s">
        <v>706</v>
      </c>
      <c r="J77">
        <v>1</v>
      </c>
      <c r="K77">
        <v>1</v>
      </c>
      <c r="L77" t="s">
        <v>42</v>
      </c>
      <c r="M77">
        <v>1</v>
      </c>
      <c r="N77">
        <v>0.6</v>
      </c>
      <c r="O77">
        <v>0.6</v>
      </c>
      <c r="P77" t="s">
        <v>45</v>
      </c>
      <c r="Q77">
        <v>1</v>
      </c>
      <c r="R77" t="s">
        <v>706</v>
      </c>
      <c r="S77" t="s">
        <v>706</v>
      </c>
      <c r="T77" t="s">
        <v>706</v>
      </c>
      <c r="U77" t="s">
        <v>706</v>
      </c>
      <c r="V77" t="s">
        <v>706</v>
      </c>
      <c r="W77" t="s">
        <v>706</v>
      </c>
      <c r="X77" t="s">
        <v>706</v>
      </c>
      <c r="Y77">
        <v>0</v>
      </c>
      <c r="Z77" t="s">
        <v>706</v>
      </c>
      <c r="AA77" t="s">
        <v>706</v>
      </c>
      <c r="AB77" t="s">
        <v>706</v>
      </c>
      <c r="AC77" t="s">
        <v>706</v>
      </c>
      <c r="AD77">
        <v>0</v>
      </c>
      <c r="AE77" t="s">
        <v>537</v>
      </c>
      <c r="AF77" t="s">
        <v>549</v>
      </c>
      <c r="AG77" t="s">
        <v>706</v>
      </c>
      <c r="AH77"/>
    </row>
    <row r="78" spans="1:34" x14ac:dyDescent="0.25">
      <c r="A78" t="s">
        <v>539</v>
      </c>
      <c r="B78" t="s">
        <v>641</v>
      </c>
      <c r="C78" t="s">
        <v>695</v>
      </c>
      <c r="D78" t="s">
        <v>699</v>
      </c>
      <c r="E78" t="s">
        <v>706</v>
      </c>
      <c r="F78" t="s">
        <v>706</v>
      </c>
      <c r="G78" t="s">
        <v>635</v>
      </c>
      <c r="H78" t="s">
        <v>540</v>
      </c>
      <c r="I78" t="s">
        <v>706</v>
      </c>
      <c r="J78">
        <v>1</v>
      </c>
      <c r="K78">
        <v>1</v>
      </c>
      <c r="L78" t="s">
        <v>42</v>
      </c>
      <c r="M78">
        <v>1</v>
      </c>
      <c r="N78">
        <v>0.6</v>
      </c>
      <c r="O78">
        <v>0.6</v>
      </c>
      <c r="P78" t="s">
        <v>45</v>
      </c>
      <c r="Q78">
        <v>1</v>
      </c>
      <c r="R78" t="s">
        <v>706</v>
      </c>
      <c r="S78" t="s">
        <v>706</v>
      </c>
      <c r="T78" t="s">
        <v>706</v>
      </c>
      <c r="U78" t="s">
        <v>706</v>
      </c>
      <c r="V78" t="s">
        <v>706</v>
      </c>
      <c r="W78" t="s">
        <v>706</v>
      </c>
      <c r="X78" t="s">
        <v>706</v>
      </c>
      <c r="Y78">
        <v>0</v>
      </c>
      <c r="Z78" t="s">
        <v>706</v>
      </c>
      <c r="AA78" t="s">
        <v>706</v>
      </c>
      <c r="AB78" t="s">
        <v>706</v>
      </c>
      <c r="AC78" t="s">
        <v>706</v>
      </c>
      <c r="AD78">
        <v>0</v>
      </c>
      <c r="AE78" t="s">
        <v>521</v>
      </c>
      <c r="AF78" t="s">
        <v>706</v>
      </c>
      <c r="AG78" t="s">
        <v>706</v>
      </c>
      <c r="AH78"/>
    </row>
    <row r="79" spans="1:34" x14ac:dyDescent="0.25">
      <c r="A79" t="s">
        <v>539</v>
      </c>
      <c r="B79" t="s">
        <v>641</v>
      </c>
      <c r="C79" t="s">
        <v>695</v>
      </c>
      <c r="D79" t="s">
        <v>699</v>
      </c>
      <c r="E79" t="s">
        <v>528</v>
      </c>
      <c r="F79" t="s">
        <v>706</v>
      </c>
      <c r="G79" t="s">
        <v>635</v>
      </c>
      <c r="H79" t="s">
        <v>541</v>
      </c>
      <c r="I79" t="s">
        <v>706</v>
      </c>
      <c r="J79">
        <v>1</v>
      </c>
      <c r="K79">
        <v>1</v>
      </c>
      <c r="L79" t="s">
        <v>42</v>
      </c>
      <c r="M79">
        <v>1</v>
      </c>
      <c r="N79">
        <v>0.6</v>
      </c>
      <c r="O79">
        <v>0.6</v>
      </c>
      <c r="P79" t="s">
        <v>45</v>
      </c>
      <c r="Q79">
        <v>1</v>
      </c>
      <c r="R79" t="s">
        <v>706</v>
      </c>
      <c r="S79" t="s">
        <v>706</v>
      </c>
      <c r="T79" t="s">
        <v>706</v>
      </c>
      <c r="U79" t="s">
        <v>706</v>
      </c>
      <c r="V79" t="s">
        <v>706</v>
      </c>
      <c r="W79" t="s">
        <v>706</v>
      </c>
      <c r="X79" t="s">
        <v>706</v>
      </c>
      <c r="Y79">
        <v>0</v>
      </c>
      <c r="Z79" t="s">
        <v>706</v>
      </c>
      <c r="AA79" t="s">
        <v>706</v>
      </c>
      <c r="AB79" t="s">
        <v>706</v>
      </c>
      <c r="AC79" t="s">
        <v>706</v>
      </c>
      <c r="AD79">
        <v>0</v>
      </c>
      <c r="AE79" t="s">
        <v>521</v>
      </c>
      <c r="AF79" t="s">
        <v>549</v>
      </c>
      <c r="AG79" t="s">
        <v>706</v>
      </c>
      <c r="AH79"/>
    </row>
    <row r="80" spans="1:34" ht="15.75" thickBot="1" x14ac:dyDescent="0.3">
      <c r="A80" s="273"/>
      <c r="B80" s="274"/>
      <c r="C80" s="274"/>
      <c r="D80" s="275"/>
      <c r="E80" s="274"/>
      <c r="F80" s="274"/>
      <c r="G80" s="275"/>
      <c r="H80" s="306"/>
      <c r="I80" s="274"/>
      <c r="J80" s="274"/>
      <c r="K80" s="276"/>
      <c r="L80" s="357"/>
      <c r="M80" s="360"/>
      <c r="N80" s="339"/>
      <c r="O80" s="340"/>
      <c r="P80" s="358"/>
      <c r="Q80" s="277"/>
      <c r="R80" s="341"/>
      <c r="S80" s="342"/>
      <c r="T80" s="342"/>
      <c r="U80" s="342"/>
      <c r="V80" s="342"/>
      <c r="W80" s="343"/>
      <c r="X80" s="359"/>
      <c r="Y80" s="344"/>
      <c r="Z80" s="345"/>
      <c r="AA80" s="345"/>
      <c r="AB80" s="345"/>
      <c r="AC80" s="345"/>
      <c r="AD80" s="346"/>
      <c r="AE80" s="278"/>
      <c r="AF80" s="278"/>
      <c r="AG80" s="279"/>
    </row>
    <row r="81" spans="1:33" ht="15" customHeight="1" x14ac:dyDescent="0.25">
      <c r="A81" s="555" t="s">
        <v>542</v>
      </c>
      <c r="B81" s="556"/>
      <c r="C81" s="556"/>
      <c r="D81" s="556"/>
      <c r="E81" s="556"/>
      <c r="F81" s="556"/>
      <c r="G81" s="556"/>
      <c r="H81" s="556"/>
      <c r="I81" s="556"/>
      <c r="J81" s="556"/>
      <c r="K81" s="556"/>
      <c r="L81" s="556"/>
      <c r="M81" s="557"/>
      <c r="N81" s="557"/>
      <c r="O81" s="557"/>
      <c r="P81" s="557"/>
      <c r="Q81" s="557"/>
      <c r="R81" s="557"/>
      <c r="S81" s="557"/>
      <c r="T81" s="557"/>
      <c r="U81" s="557"/>
      <c r="V81" s="557"/>
      <c r="W81" s="557"/>
      <c r="X81" s="557"/>
      <c r="Y81" s="557"/>
      <c r="Z81" s="557"/>
      <c r="AA81" s="557"/>
      <c r="AB81" s="557"/>
      <c r="AC81" s="557"/>
      <c r="AD81" s="557"/>
      <c r="AE81" s="557"/>
      <c r="AF81" s="557"/>
      <c r="AG81" s="558"/>
    </row>
    <row r="82" spans="1:33" ht="15.75" customHeight="1" thickBot="1" x14ac:dyDescent="0.3">
      <c r="A82" s="559"/>
      <c r="B82" s="560"/>
      <c r="C82" s="560"/>
      <c r="D82" s="560"/>
      <c r="E82" s="560"/>
      <c r="F82" s="560"/>
      <c r="G82" s="560"/>
      <c r="H82" s="560"/>
      <c r="I82" s="560"/>
      <c r="J82" s="560"/>
      <c r="K82" s="560"/>
      <c r="L82" s="560"/>
      <c r="M82" s="560"/>
      <c r="N82" s="560"/>
      <c r="O82" s="560"/>
      <c r="P82" s="560"/>
      <c r="Q82" s="560"/>
      <c r="R82" s="560"/>
      <c r="S82" s="560"/>
      <c r="T82" s="560"/>
      <c r="U82" s="560"/>
      <c r="V82" s="560"/>
      <c r="W82" s="560"/>
      <c r="X82" s="560"/>
      <c r="Y82" s="560"/>
      <c r="Z82" s="560"/>
      <c r="AA82" s="560"/>
      <c r="AB82" s="560"/>
      <c r="AC82" s="560"/>
      <c r="AD82" s="560"/>
      <c r="AE82" s="560"/>
      <c r="AF82" s="560"/>
      <c r="AG82" s="561"/>
    </row>
    <row r="83" spans="1:33" ht="19.5" customHeight="1" thickBot="1" x14ac:dyDescent="0.3">
      <c r="A83" s="565" t="s">
        <v>254</v>
      </c>
      <c r="B83" s="566"/>
      <c r="C83" s="566"/>
      <c r="D83" s="566"/>
      <c r="E83" s="566"/>
      <c r="F83" s="566"/>
      <c r="G83" s="566"/>
      <c r="H83" s="566"/>
      <c r="I83" s="567"/>
      <c r="J83" s="282">
        <f>SUM(J6:J80)</f>
        <v>74</v>
      </c>
      <c r="K83" s="282">
        <f>SUM(K6:K80)</f>
        <v>74</v>
      </c>
      <c r="L83" s="283"/>
      <c r="M83" s="329">
        <f>SUMPRODUCT(J6:J80,M6:M80)/J83</f>
        <v>1</v>
      </c>
      <c r="N83" s="330">
        <f>SUM(N6:N80)</f>
        <v>48.600000000000072</v>
      </c>
      <c r="O83" s="331">
        <f>SUMPRODUCT(J6:J80,O6:O80)/J83</f>
        <v>0.65675675675675771</v>
      </c>
      <c r="P83" s="284"/>
      <c r="Q83" s="285">
        <f t="shared" ref="Q83:V83" si="1">SUM(Q6:Q80)</f>
        <v>73</v>
      </c>
      <c r="R83" s="332">
        <f t="shared" si="1"/>
        <v>23</v>
      </c>
      <c r="S83" s="332">
        <f t="shared" si="1"/>
        <v>23</v>
      </c>
      <c r="T83" s="285">
        <f t="shared" si="1"/>
        <v>0</v>
      </c>
      <c r="U83" s="285">
        <f t="shared" si="1"/>
        <v>0</v>
      </c>
      <c r="V83" s="285">
        <f t="shared" si="1"/>
        <v>0</v>
      </c>
      <c r="W83" s="333">
        <f>IF((R83=0),0,((S83+T83)/R83*100%))</f>
        <v>1</v>
      </c>
      <c r="X83" s="286"/>
      <c r="Y83" s="347">
        <f>SUM(Y6:Y80)</f>
        <v>0</v>
      </c>
      <c r="Z83" s="337">
        <f>SUM(Z6:Z80)</f>
        <v>0</v>
      </c>
      <c r="AA83" s="337">
        <f>SUM(AA6:AA80)</f>
        <v>0</v>
      </c>
      <c r="AB83" s="337">
        <f>SUM(AB6:AB80)</f>
        <v>0</v>
      </c>
      <c r="AC83" s="337">
        <f>SUM(AC6:AC80)</f>
        <v>0</v>
      </c>
      <c r="AD83" s="336">
        <f>IF((Y83=0),0,((Z83+AA83)/Y83*100%))</f>
        <v>0</v>
      </c>
      <c r="AE83" s="287"/>
      <c r="AF83" s="287"/>
      <c r="AG83" s="288"/>
    </row>
    <row r="85" spans="1:33" x14ac:dyDescent="0.25">
      <c r="I85" s="394"/>
      <c r="K85" s="159" t="s">
        <v>543</v>
      </c>
    </row>
    <row r="86" spans="1:33" x14ac:dyDescent="0.25">
      <c r="I86" s="395"/>
    </row>
    <row r="87" spans="1:33" x14ac:dyDescent="0.25">
      <c r="I87" s="395"/>
    </row>
    <row r="88" spans="1:33" x14ac:dyDescent="0.25">
      <c r="I88" s="395"/>
    </row>
    <row r="89" spans="1:33" x14ac:dyDescent="0.25">
      <c r="I89" s="395"/>
    </row>
    <row r="90" spans="1:33" x14ac:dyDescent="0.25">
      <c r="I90" s="395"/>
    </row>
    <row r="91" spans="1:33" x14ac:dyDescent="0.25">
      <c r="I91" s="395"/>
    </row>
    <row r="92" spans="1:33" x14ac:dyDescent="0.25">
      <c r="I92" s="395"/>
    </row>
    <row r="93" spans="1:33" x14ac:dyDescent="0.25">
      <c r="I93" s="395"/>
    </row>
    <row r="94" spans="1:33" x14ac:dyDescent="0.25">
      <c r="I94" s="395"/>
    </row>
    <row r="95" spans="1:33" x14ac:dyDescent="0.25">
      <c r="I95" s="395"/>
    </row>
    <row r="96" spans="1:33" x14ac:dyDescent="0.25">
      <c r="I96" s="395"/>
    </row>
    <row r="97" spans="9:9" x14ac:dyDescent="0.25">
      <c r="I97" s="395"/>
    </row>
    <row r="98" spans="9:9" x14ac:dyDescent="0.25">
      <c r="I98" s="395"/>
    </row>
    <row r="99" spans="9:9" x14ac:dyDescent="0.25">
      <c r="I99" s="395"/>
    </row>
  </sheetData>
  <sheetProtection insertColumns="0" insertRows="0" deleteRows="0" sort="0"/>
  <autoFilter ref="A5:AG83" xr:uid="{00000000-0009-0000-0000-000002000000}"/>
  <mergeCells count="9">
    <mergeCell ref="A81:AG82"/>
    <mergeCell ref="A1:AG1"/>
    <mergeCell ref="A3:AG3"/>
    <mergeCell ref="A2:I2"/>
    <mergeCell ref="A83:I83"/>
    <mergeCell ref="A4:L4"/>
    <mergeCell ref="M4:O4"/>
    <mergeCell ref="Y4:AG4"/>
    <mergeCell ref="P4:X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2">
        <x14:dataValidation type="list" allowBlank="1" showInputMessage="1" showErrorMessage="1" xr:uid="{237AC15D-702E-46B4-89E7-DAB1EF5DAEB1}">
          <x14:formula1>
            <xm:f>'List Options'!$E$1:$E$7</xm:f>
          </x14:formula1>
          <xm:sqref>P6:P80</xm:sqref>
        </x14:dataValidation>
        <x14:dataValidation type="list" allowBlank="1" showInputMessage="1" showErrorMessage="1" xr:uid="{5513F172-4253-4807-A8CE-34D720193895}">
          <x14:formula1>
            <xm:f>'List Options'!$G$1:$G$3</xm:f>
          </x14:formula1>
          <xm:sqref>L6:L80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V67"/>
  <sheetViews>
    <sheetView workbookViewId="0">
      <pane xSplit="4" ySplit="6" topLeftCell="E36" activePane="bottomRight" state="frozen"/>
      <selection pane="topRight" activeCell="D1" sqref="D1"/>
      <selection pane="bottomLeft" activeCell="A3" sqref="A3"/>
      <selection pane="bottomRight" activeCell="B55" sqref="B55"/>
    </sheetView>
  </sheetViews>
  <sheetFormatPr defaultColWidth="8.5703125" defaultRowHeight="15" x14ac:dyDescent="0.25"/>
  <cols>
    <col min="1" max="1" width="15.42578125" style="171" customWidth="1"/>
    <col min="2" max="2" width="55.5703125" style="178" customWidth="1"/>
    <col min="3" max="3" width="7.42578125" style="178" customWidth="1"/>
    <col min="4" max="4" width="34" style="171" customWidth="1"/>
    <col min="5" max="5" width="14.140625" style="178" bestFit="1" customWidth="1"/>
    <col min="6" max="6" width="28" style="178" customWidth="1"/>
    <col min="7" max="7" width="37.140625" style="178" customWidth="1"/>
    <col min="8" max="8" width="14.28515625" style="178" bestFit="1" customWidth="1"/>
    <col min="9" max="9" width="8.28515625" style="180" bestFit="1" customWidth="1"/>
    <col min="10" max="10" width="20" style="180" bestFit="1" customWidth="1"/>
    <col min="11" max="11" width="13.140625" style="184" customWidth="1"/>
    <col min="12" max="12" width="15.140625" style="184" customWidth="1"/>
    <col min="13" max="13" width="12" style="185" customWidth="1"/>
    <col min="14" max="14" width="10.85546875" style="185" bestFit="1" customWidth="1"/>
    <col min="15" max="15" width="13.5703125" style="184" bestFit="1" customWidth="1"/>
    <col min="16" max="16" width="12.85546875" style="80" bestFit="1" customWidth="1"/>
    <col min="17" max="17" width="10.85546875" style="80" bestFit="1" customWidth="1"/>
    <col min="18" max="19" width="13.5703125" style="188" bestFit="1" customWidth="1"/>
    <col min="20" max="20" width="13.85546875" style="189" bestFit="1" customWidth="1"/>
    <col min="21" max="21" width="10.85546875" style="171" bestFit="1" customWidth="1"/>
    <col min="22" max="16384" width="8.5703125" style="171"/>
  </cols>
  <sheetData>
    <row r="1" spans="1:22" s="166" customFormat="1" ht="19.5" thickBot="1" x14ac:dyDescent="0.3">
      <c r="A1" s="602" t="s">
        <v>544</v>
      </c>
      <c r="B1" s="557"/>
      <c r="C1" s="557"/>
      <c r="D1" s="557"/>
      <c r="E1" s="557"/>
      <c r="F1" s="557"/>
      <c r="G1" s="557"/>
      <c r="H1" s="557"/>
      <c r="I1" s="557"/>
      <c r="J1" s="557"/>
      <c r="K1" s="557"/>
      <c r="L1" s="557"/>
      <c r="M1" s="557"/>
      <c r="N1" s="557"/>
      <c r="O1" s="557"/>
      <c r="P1" s="557"/>
      <c r="Q1" s="557"/>
      <c r="R1" s="557"/>
      <c r="S1" s="557"/>
      <c r="T1" s="557"/>
      <c r="U1" s="558"/>
      <c r="V1" s="165"/>
    </row>
    <row r="2" spans="1:22" s="175" customFormat="1" ht="18.75" x14ac:dyDescent="0.25">
      <c r="A2" s="580" t="s">
        <v>254</v>
      </c>
      <c r="B2" s="581"/>
      <c r="C2" s="581"/>
      <c r="D2" s="581"/>
      <c r="E2" s="581"/>
      <c r="F2" s="582"/>
      <c r="G2" s="289">
        <f>COUNTIF(G7:G62,"Yes")</f>
        <v>39</v>
      </c>
      <c r="H2" s="289">
        <f>COUNTIF(H7:H62,"Yes")</f>
        <v>33</v>
      </c>
      <c r="I2" s="598">
        <f>'Diags Raw Data'!J83</f>
        <v>74</v>
      </c>
      <c r="J2" s="607">
        <f>'Diags Raw Data'!K83</f>
        <v>74</v>
      </c>
      <c r="K2" s="609">
        <f>'Diags Raw Data'!M83</f>
        <v>1</v>
      </c>
      <c r="L2" s="611">
        <f>'Diags Raw Data'!O83</f>
        <v>0.65675675675675771</v>
      </c>
      <c r="M2" s="613">
        <f>'Diags Raw Data'!Q83</f>
        <v>73</v>
      </c>
      <c r="N2" s="615">
        <f>SUM('Diags Raw Data'!S83+'Diags Raw Data'!T83)</f>
        <v>23</v>
      </c>
      <c r="O2" s="603">
        <f>IF((M65=0),0,N65/M65)</f>
        <v>0.31506849315068491</v>
      </c>
      <c r="P2" s="605">
        <f>'Diags Raw Data'!Y83</f>
        <v>0</v>
      </c>
      <c r="Q2" s="594">
        <f>SUM('Diags Raw Data'!Z83+'Diags Raw Data'!AA83)</f>
        <v>0</v>
      </c>
      <c r="R2" s="596">
        <f>IF((J65=0),0,P65/J65)</f>
        <v>0</v>
      </c>
      <c r="S2" s="596">
        <f>IF((P65=0),0,Q65/P65)</f>
        <v>0</v>
      </c>
      <c r="T2" s="596">
        <f>R65*S65</f>
        <v>0</v>
      </c>
      <c r="U2" s="623"/>
      <c r="V2" s="174"/>
    </row>
    <row r="3" spans="1:22" ht="19.5" thickBot="1" x14ac:dyDescent="0.3">
      <c r="A3" s="583"/>
      <c r="B3" s="584"/>
      <c r="C3" s="584"/>
      <c r="D3" s="584"/>
      <c r="E3" s="584"/>
      <c r="F3" s="585"/>
      <c r="G3" s="290">
        <f>COUNTIF(G7:G62,"Yes")/COUNTA(A7:A62)</f>
        <v>0.88636363636363635</v>
      </c>
      <c r="H3" s="290">
        <f>(COUNTIF(H7:H62,"Yes")/G65)</f>
        <v>0.84615384615384615</v>
      </c>
      <c r="I3" s="599"/>
      <c r="J3" s="608"/>
      <c r="K3" s="610"/>
      <c r="L3" s="612"/>
      <c r="M3" s="614"/>
      <c r="N3" s="616"/>
      <c r="O3" s="604"/>
      <c r="P3" s="606"/>
      <c r="Q3" s="595"/>
      <c r="R3" s="597"/>
      <c r="S3" s="597"/>
      <c r="T3" s="597"/>
      <c r="U3" s="624"/>
      <c r="V3" s="170"/>
    </row>
    <row r="4" spans="1:22" ht="19.5" thickBot="1" x14ac:dyDescent="0.3">
      <c r="A4" s="559" t="s">
        <v>545</v>
      </c>
      <c r="B4" s="560"/>
      <c r="C4" s="560"/>
      <c r="D4" s="560"/>
      <c r="E4" s="560"/>
      <c r="F4" s="560"/>
      <c r="G4" s="560"/>
      <c r="H4" s="560"/>
      <c r="I4" s="560"/>
      <c r="J4" s="560"/>
      <c r="K4" s="560"/>
      <c r="L4" s="560"/>
      <c r="M4" s="560"/>
      <c r="N4" s="560"/>
      <c r="O4" s="560"/>
      <c r="P4" s="560"/>
      <c r="Q4" s="560"/>
      <c r="R4" s="560"/>
      <c r="S4" s="560"/>
      <c r="T4" s="560"/>
      <c r="U4" s="561"/>
      <c r="V4" s="170"/>
    </row>
    <row r="5" spans="1:22" s="166" customFormat="1" ht="19.5" thickBot="1" x14ac:dyDescent="0.3">
      <c r="A5" s="627" t="s">
        <v>71</v>
      </c>
      <c r="B5" s="628"/>
      <c r="C5" s="628"/>
      <c r="D5" s="628"/>
      <c r="E5" s="628"/>
      <c r="F5" s="628"/>
      <c r="G5" s="628"/>
      <c r="H5" s="628"/>
      <c r="I5" s="628"/>
      <c r="J5" s="629"/>
      <c r="K5" s="625" t="s">
        <v>108</v>
      </c>
      <c r="L5" s="626"/>
      <c r="M5" s="630" t="s">
        <v>119</v>
      </c>
      <c r="N5" s="631"/>
      <c r="O5" s="632"/>
      <c r="P5" s="633" t="s">
        <v>139</v>
      </c>
      <c r="Q5" s="634"/>
      <c r="R5" s="634"/>
      <c r="S5" s="634"/>
      <c r="T5" s="634"/>
      <c r="U5" s="635"/>
      <c r="V5" s="165"/>
    </row>
    <row r="6" spans="1:22" s="168" customFormat="1" ht="30.75" thickBot="1" x14ac:dyDescent="0.3">
      <c r="A6" s="429" t="s">
        <v>72</v>
      </c>
      <c r="B6" s="430" t="s">
        <v>76</v>
      </c>
      <c r="C6" s="430" t="s">
        <v>91</v>
      </c>
      <c r="D6" s="430" t="s">
        <v>207</v>
      </c>
      <c r="E6" s="430" t="s">
        <v>83</v>
      </c>
      <c r="F6" s="430" t="s">
        <v>1</v>
      </c>
      <c r="G6" s="431" t="s">
        <v>210</v>
      </c>
      <c r="H6" s="431" t="s">
        <v>213</v>
      </c>
      <c r="I6" s="432" t="s">
        <v>100</v>
      </c>
      <c r="J6" s="432" t="s">
        <v>216</v>
      </c>
      <c r="K6" s="271" t="s">
        <v>109</v>
      </c>
      <c r="L6" s="272" t="s">
        <v>116</v>
      </c>
      <c r="M6" s="264" t="s">
        <v>222</v>
      </c>
      <c r="N6" s="265" t="s">
        <v>224</v>
      </c>
      <c r="O6" s="263" t="s">
        <v>182</v>
      </c>
      <c r="P6" s="424" t="s">
        <v>227</v>
      </c>
      <c r="Q6" s="425" t="s">
        <v>224</v>
      </c>
      <c r="R6" s="426" t="s">
        <v>179</v>
      </c>
      <c r="S6" s="426" t="s">
        <v>135</v>
      </c>
      <c r="T6" s="427" t="s">
        <v>182</v>
      </c>
      <c r="U6" s="428" t="s">
        <v>152</v>
      </c>
      <c r="V6" s="167"/>
    </row>
    <row r="7" spans="1:22" ht="60" x14ac:dyDescent="0.25">
      <c r="A7" s="256" t="s">
        <v>259</v>
      </c>
      <c r="B7" s="307" t="str">
        <f>VLOOKUP(A7,'Feature Raw Data'!$A$3:$B$3835,2,FALSE)</f>
        <v>Core Complex address/id/user translation</v>
      </c>
      <c r="C7" s="268" t="str">
        <f>VLOOKUP(A7,'Feature Raw Data'!$A$3:$C$3835,3,FALSE)</f>
        <v>P2</v>
      </c>
      <c r="D7" s="94" t="str" cm="1">
        <f t="array" ref="D7">_xlfn.TEXTJOIN("",TRUE,IF(ISNUMBER(SEARCH($A7,'Diags Raw Data'!$A$6:$A$3693)),CONCATENATE('Diags Raw Data'!$H$6:$H$3693,", "),""))</f>
        <v/>
      </c>
      <c r="E7" s="269" t="e">
        <f>VLOOKUP(A7,'Diags Raw Data'!$A$6:$D$3693,4,FALSE)</f>
        <v>#N/A</v>
      </c>
      <c r="F7" s="269" t="str">
        <f>VLOOKUP(A7,'Feature Raw Data'!$A$3:$E$3835,5,FALSE)</f>
        <v>New</v>
      </c>
      <c r="G7" s="269" t="s">
        <v>31</v>
      </c>
      <c r="H7" s="489" t="s">
        <v>546</v>
      </c>
      <c r="I7" s="268">
        <f>SUMIF('Diags Raw Data'!$A$6:$A$3693,"*"&amp;$A7&amp;"*",'Diags Raw Data'!$J$6:$J$3693)</f>
        <v>0</v>
      </c>
      <c r="J7" s="270">
        <f>SUMIF('Diags Raw Data'!$A$6:$A$3693,"*"&amp;$A7&amp;"*",'Diags Raw Data'!$K$6:$K$3693)</f>
        <v>0</v>
      </c>
      <c r="K7" s="367" cm="1">
        <f t="array" ref="K7">IF(D7="",0, SUMPRODUCT(--(ISNUMBER(SEARCH($A7,'Diags Raw Data'!$A$6:$A$3693))),'Diags Raw Data'!$K$6:$K$3693,'Diags Raw Data'!$M$6:$M$3693)/J7)</f>
        <v>0</v>
      </c>
      <c r="L7" s="368" cm="1">
        <f t="array" ref="L7">IF(D7="",0, SUMPRODUCT(--(ISNUMBER(SEARCH($A7,'Diags Raw Data'!$A$6:$A$3693))),'Diags Raw Data'!$K$6:$K$3693,'Diags Raw Data'!$O$6:$O$3693)/J7)</f>
        <v>0</v>
      </c>
      <c r="M7" s="369" cm="1">
        <f t="array" ref="M7">SUMPRODUCT(--(ISNUMBER(SEARCH($A7,'Diags Raw Data'!$A$6:$A$3693))),--('Diags Raw Data'!$P$6:$P$3693&lt;&gt;"N/A"),'Diags Raw Data'!$Q$6:$Q$3693)</f>
        <v>0</v>
      </c>
      <c r="N7" s="370" cm="1">
        <f t="array" ref="N7">SUMPRODUCT(--(ISNUMBER(SEARCH($A7,'Diags Raw Data'!$A$6:$A$3693))),--('Diags Raw Data'!$P$6:$P$3693&lt;&gt;"N/A"),'Diags Raw Data'!$S$6:$S$3693)+SUMPRODUCT(--(ISNUMBER(SEARCH($A7,'Diags Raw Data'!$A$6:$A$3693))),--('Diags Raw Data'!$P$6:$P$3693&lt;&gt;"N/A"),'Diags Raw Data'!$T$6:$T$3693)</f>
        <v>0</v>
      </c>
      <c r="O7" s="411">
        <f>IF((M7=0),0,N7/M7)</f>
        <v>0</v>
      </c>
      <c r="P7" s="371">
        <f>SUMIF('Diags Raw Data'!$A$6:$A$3693,"*"&amp;$A7&amp;"*",'Diags Raw Data'!$Y$6:$Y$3693)</f>
        <v>0</v>
      </c>
      <c r="Q7" s="372">
        <f>SUM(SUMIF('Diags Raw Data'!$A$6:$A$3693,"*"&amp;$A7&amp;"*",'Diags Raw Data'!$Z$6:$Z$3693),SUMIF('Diags Raw Data'!$A$6:$A$3693,"*"&amp;$A7&amp;"*",'Diags Raw Data'!$AA$6:$AA$3693))</f>
        <v>0</v>
      </c>
      <c r="R7" s="373">
        <f>IF((J7=0),0,P7/J7)</f>
        <v>0</v>
      </c>
      <c r="S7" s="373">
        <f>IF((P7=0),0,Q7/P7)</f>
        <v>0</v>
      </c>
      <c r="T7" s="374">
        <f>R7*S7</f>
        <v>0</v>
      </c>
      <c r="U7" s="414" t="s">
        <v>547</v>
      </c>
      <c r="V7" s="170"/>
    </row>
    <row r="8" spans="1:22" x14ac:dyDescent="0.25">
      <c r="A8" s="257" t="s">
        <v>261</v>
      </c>
      <c r="B8" s="308" t="str">
        <f>VLOOKUP(A8,'Feature Raw Data'!$A$3:$B$3835,2,FALSE)</f>
        <v>[CLK] Clock Debug Features</v>
      </c>
      <c r="C8" s="260" t="str">
        <f>VLOOKUP(A8,'Feature Raw Data'!$A$3:$C$3835,3,FALSE)</f>
        <v>P2</v>
      </c>
      <c r="D8" s="82" t="str" cm="1">
        <f t="array" ref="D8">_xlfn.TEXTJOIN("",TRUE,IF(ISNUMBER(SEARCH($A8,'Diags Raw Data'!$A$6:$A$3693)),CONCATENATE('Diags Raw Data'!$H$6:$H$3693,", "),""))</f>
        <v xml:space="preserve">PM002.900, </v>
      </c>
      <c r="E8" s="169" t="str">
        <f>VLOOKUP(A8,'Diags Raw Data'!$A$6:$D$3693,4,FALSE)</f>
        <v>CLK</v>
      </c>
      <c r="F8" s="169" t="str">
        <f>VLOOKUP(A8,'Feature Raw Data'!$A$3:$E$3835,5,FALSE)</f>
        <v>Delta</v>
      </c>
      <c r="G8" s="169" t="str">
        <f t="shared" ref="G8:G50" si="0">IF(D8="","No","Yes")</f>
        <v>Yes</v>
      </c>
      <c r="H8" s="169" t="str">
        <f t="shared" ref="H8:H50" si="1">IF(D8="","No","Yes")</f>
        <v>Yes</v>
      </c>
      <c r="I8" s="260">
        <f>SUMIF('Diags Raw Data'!$A$6:$A$3693,"*"&amp;$A8&amp;"*",'Diags Raw Data'!$J$6:$J$3693)</f>
        <v>1</v>
      </c>
      <c r="J8" s="181">
        <f>SUMIF('Diags Raw Data'!$A$6:$A$3693,"*"&amp;$A8&amp;"*",'Diags Raw Data'!$K$6:$K$3693)</f>
        <v>1</v>
      </c>
      <c r="K8" s="375" cm="1">
        <f t="array" ref="K8">IF(D8="",0, SUMPRODUCT(--(ISNUMBER(SEARCH($A8,'Diags Raw Data'!$A$6:$A$3693))),'Diags Raw Data'!$K$6:$K$3693,'Diags Raw Data'!$M$6:$M$3693)/J8)</f>
        <v>1</v>
      </c>
      <c r="L8" s="376" cm="1">
        <f t="array" ref="L8">IF(D8="",0, SUMPRODUCT(--(ISNUMBER(SEARCH($A8,'Diags Raw Data'!$A$6:$A$3693))),'Diags Raw Data'!$K$6:$K$3693,'Diags Raw Data'!$O$6:$O$3693)/J8)</f>
        <v>0.8</v>
      </c>
      <c r="M8" s="377" cm="1">
        <f t="array" ref="M8">SUMPRODUCT(--(ISNUMBER(SEARCH($A8,'Diags Raw Data'!$A$6:$A$3693))),--('Diags Raw Data'!$P$6:$P$3693&lt;&gt;"N/A"),'Diags Raw Data'!$Q$6:$Q$3693)</f>
        <v>1</v>
      </c>
      <c r="N8" s="378" cm="1">
        <f t="array" ref="N8">SUMPRODUCT(--(ISNUMBER(SEARCH($A8,'Diags Raw Data'!$A$6:$A$3693))),--('Diags Raw Data'!$P$6:$P$3693&lt;&gt;"N/A"),'Diags Raw Data'!$S$6:$S$3693)+SUMPRODUCT(--(ISNUMBER(SEARCH($A8,'Diags Raw Data'!$A$6:$A$3693))),--('Diags Raw Data'!$P$6:$P$3693&lt;&gt;"N/A"),'Diags Raw Data'!$T$6:$T$3693)</f>
        <v>1</v>
      </c>
      <c r="O8" s="412">
        <f t="shared" ref="O8:O13" si="2">IF((M8=0),0,N8/M8)</f>
        <v>1</v>
      </c>
      <c r="P8" s="379">
        <f>SUMIF('Diags Raw Data'!$A$6:$A$3693,"*"&amp;$A8&amp;"*",'Diags Raw Data'!$Y$6:$Y$3693)</f>
        <v>0</v>
      </c>
      <c r="Q8" s="380">
        <f>SUM(SUMIF('Diags Raw Data'!$A$6:$A$3693,"*"&amp;$A8&amp;"*",'Diags Raw Data'!$Z$6:$Z$3693),SUMIF('Diags Raw Data'!$A$6:$A$3693,"*"&amp;$A8&amp;"*",'Diags Raw Data'!$AA$6:$AA$3693))</f>
        <v>0</v>
      </c>
      <c r="R8" s="381">
        <f t="shared" ref="R8:R24" si="3">IF((J8=0),0,P8/J8)</f>
        <v>0</v>
      </c>
      <c r="S8" s="381">
        <f t="shared" ref="S8:S24" si="4">IF((P8=0),0,Q8/P8)</f>
        <v>0</v>
      </c>
      <c r="T8" s="382">
        <f t="shared" ref="T8:T24" si="5">R8*S8</f>
        <v>0</v>
      </c>
      <c r="U8" s="415" t="s">
        <v>547</v>
      </c>
      <c r="V8" s="170"/>
    </row>
    <row r="9" spans="1:22" ht="75" x14ac:dyDescent="0.25">
      <c r="A9" s="257" t="s">
        <v>266</v>
      </c>
      <c r="B9" s="308" t="str">
        <f>VLOOKUP(A9,'Feature Raw Data'!$A$3:$B$3835,2,FALSE)</f>
        <v>[CLK] Deep Sleep</v>
      </c>
      <c r="C9" s="260" t="str">
        <f>VLOOKUP(A9,'Feature Raw Data'!$A$3:$C$3835,3,FALSE)</f>
        <v>P2</v>
      </c>
      <c r="D9" s="82" t="str" cm="1">
        <f t="array" ref="D9">_xlfn.TEXTJOIN("",TRUE,IF(ISNUMBER(SEARCH($A9,'Diags Raw Data'!$A$6:$A$3693)),CONCATENATE('Diags Raw Data'!$H$6:$H$3693,", "),""))</f>
        <v xml:space="preserve">PM010.800, PM010.032, PM010.033, PM010.039, PM010.038, PM010.036, PM010.035, PM010.042, PM010.045, PM010.045, PM010.045, PM010.045, PM010.045, </v>
      </c>
      <c r="E9" s="169" t="str">
        <f>VLOOKUP(A9,'Diags Raw Data'!$A$6:$D$3693,4,FALSE)</f>
        <v>CLK</v>
      </c>
      <c r="F9" s="169" t="str">
        <f>VLOOKUP(A9,'Feature Raw Data'!$A$3:$E$3835,5,FALSE)</f>
        <v>Delta</v>
      </c>
      <c r="G9" s="169" t="str">
        <f t="shared" si="0"/>
        <v>Yes</v>
      </c>
      <c r="H9" s="169" t="str">
        <f t="shared" si="1"/>
        <v>Yes</v>
      </c>
      <c r="I9" s="260">
        <f>SUMIF('Diags Raw Data'!$A$6:$A$3693,"*"&amp;$A9&amp;"*",'Diags Raw Data'!$J$6:$J$3693)</f>
        <v>13</v>
      </c>
      <c r="J9" s="181">
        <f>SUMIF('Diags Raw Data'!$A$6:$A$3693,"*"&amp;$A9&amp;"*",'Diags Raw Data'!$K$6:$K$3693)</f>
        <v>13</v>
      </c>
      <c r="K9" s="375" cm="1">
        <f t="array" ref="K9">IF(D9="",0, SUMPRODUCT(--(ISNUMBER(SEARCH($A9,'Diags Raw Data'!$A$6:$A$3693))),'Diags Raw Data'!$K$6:$K$3693,'Diags Raw Data'!$M$6:$M$3693)/J9)</f>
        <v>1</v>
      </c>
      <c r="L9" s="376" cm="1">
        <f t="array" ref="L9">IF(D9="",0, SUMPRODUCT(--(ISNUMBER(SEARCH($A9,'Diags Raw Data'!$A$6:$A$3693))),'Diags Raw Data'!$K$6:$K$3693,'Diags Raw Data'!$O$6:$O$3693)/J9)</f>
        <v>0.8</v>
      </c>
      <c r="M9" s="377" cm="1">
        <f t="array" ref="M9">SUMPRODUCT(--(ISNUMBER(SEARCH($A9,'Diags Raw Data'!$A$6:$A$3693))),--('Diags Raw Data'!$P$6:$P$3693&lt;&gt;"N/A"),'Diags Raw Data'!$Q$6:$Q$3693)</f>
        <v>13</v>
      </c>
      <c r="N9" s="378" cm="1">
        <f t="array" ref="N9">SUMPRODUCT(--(ISNUMBER(SEARCH($A9,'Diags Raw Data'!$A$6:$A$3693))),--('Diags Raw Data'!$P$6:$P$3693&lt;&gt;"N/A"),'Diags Raw Data'!$S$6:$S$3693)+SUMPRODUCT(--(ISNUMBER(SEARCH($A9,'Diags Raw Data'!$A$6:$A$3693))),--('Diags Raw Data'!$P$6:$P$3693&lt;&gt;"N/A"),'Diags Raw Data'!$T$6:$T$3693)</f>
        <v>13</v>
      </c>
      <c r="O9" s="412">
        <f t="shared" si="2"/>
        <v>1</v>
      </c>
      <c r="P9" s="379">
        <f>SUMIF('Diags Raw Data'!$A$6:$A$3693,"*"&amp;$A9&amp;"*",'Diags Raw Data'!$Y$6:$Y$3693)</f>
        <v>0</v>
      </c>
      <c r="Q9" s="380">
        <f>SUM(SUMIF('Diags Raw Data'!$A$6:$A$3693,"*"&amp;$A9&amp;"*",'Diags Raw Data'!$Z$6:$Z$3693),SUMIF('Diags Raw Data'!$A$6:$A$3693,"*"&amp;$A9&amp;"*",'Diags Raw Data'!$AA$6:$AA$3693))</f>
        <v>0</v>
      </c>
      <c r="R9" s="381">
        <f t="shared" si="3"/>
        <v>0</v>
      </c>
      <c r="S9" s="381">
        <f t="shared" si="4"/>
        <v>0</v>
      </c>
      <c r="T9" s="382">
        <f t="shared" si="5"/>
        <v>0</v>
      </c>
      <c r="U9" s="415" t="s">
        <v>548</v>
      </c>
      <c r="V9" s="170"/>
    </row>
    <row r="10" spans="1:22" ht="45" x14ac:dyDescent="0.25">
      <c r="A10" s="257" t="s">
        <v>307</v>
      </c>
      <c r="B10" s="308" t="str">
        <f>VLOOKUP(A10,'Feature Raw Data'!$A$3:$B$3835,2,FALSE)</f>
        <v>[CLK] DFS</v>
      </c>
      <c r="C10" s="260" t="str">
        <f>VLOOKUP(A10,'Feature Raw Data'!$A$3:$C$3835,3,FALSE)</f>
        <v>P2</v>
      </c>
      <c r="D10" s="82" t="str" cm="1">
        <f t="array" ref="D10">_xlfn.TEXTJOIN("",TRUE,IF(ISNUMBER(SEARCH($A10,'Diags Raw Data'!$A$6:$A$3693)),CONCATENATE('Diags Raw Data'!$H$6:$H$3693,", "),""))</f>
        <v xml:space="preserve">PM002.002, PM002.003, PM002.004, PM002.009, PM002.025, PM002.028, PM015.001, PM002.104, PM002.113, </v>
      </c>
      <c r="E10" s="169" t="str">
        <f>VLOOKUP(A10,'Diags Raw Data'!$A$6:$D$3693,4,FALSE)</f>
        <v>CLK</v>
      </c>
      <c r="F10" s="169" t="str">
        <f>VLOOKUP(A10,'Feature Raw Data'!$A$3:$E$3835,5,FALSE)</f>
        <v>Delta</v>
      </c>
      <c r="G10" s="169" t="str">
        <f t="shared" si="0"/>
        <v>Yes</v>
      </c>
      <c r="H10" s="169" t="str">
        <f t="shared" si="1"/>
        <v>Yes</v>
      </c>
      <c r="I10" s="260">
        <f>SUMIF('Diags Raw Data'!$A$6:$A$3693,"*"&amp;$A10&amp;"*",'Diags Raw Data'!$J$6:$J$3693)</f>
        <v>9</v>
      </c>
      <c r="J10" s="181">
        <f>SUMIF('Diags Raw Data'!$A$6:$A$3693,"*"&amp;$A10&amp;"*",'Diags Raw Data'!$K$6:$K$3693)</f>
        <v>9</v>
      </c>
      <c r="K10" s="375" cm="1">
        <f t="array" ref="K10">IF(D10="",0, SUMPRODUCT(--(ISNUMBER(SEARCH($A10,'Diags Raw Data'!$A$6:$A$3693))),'Diags Raw Data'!$K$6:$K$3693,'Diags Raw Data'!$M$6:$M$3693)/J10)</f>
        <v>1</v>
      </c>
      <c r="L10" s="376" cm="1">
        <f t="array" ref="L10">IF(D10="",0, SUMPRODUCT(--(ISNUMBER(SEARCH($A10,'Diags Raw Data'!$A$6:$A$3693))),'Diags Raw Data'!$K$6:$K$3693,'Diags Raw Data'!$O$6:$O$3693)/J10)</f>
        <v>0.71111111111111103</v>
      </c>
      <c r="M10" s="377" cm="1">
        <f t="array" ref="M10">SUMPRODUCT(--(ISNUMBER(SEARCH($A10,'Diags Raw Data'!$A$6:$A$3693))),--('Diags Raw Data'!$P$6:$P$3693&lt;&gt;"N/A"),'Diags Raw Data'!$Q$6:$Q$3693)</f>
        <v>9</v>
      </c>
      <c r="N10" s="378" cm="1">
        <f t="array" ref="N10">SUMPRODUCT(--(ISNUMBER(SEARCH($A10,'Diags Raw Data'!$A$6:$A$3693))),--('Diags Raw Data'!$P$6:$P$3693&lt;&gt;"N/A"),'Diags Raw Data'!$S$6:$S$3693)+SUMPRODUCT(--(ISNUMBER(SEARCH($A10,'Diags Raw Data'!$A$6:$A$3693))),--('Diags Raw Data'!$P$6:$P$3693&lt;&gt;"N/A"),'Diags Raw Data'!$T$6:$T$3693)</f>
        <v>8</v>
      </c>
      <c r="O10" s="412">
        <f t="shared" si="2"/>
        <v>0.88888888888888884</v>
      </c>
      <c r="P10" s="379">
        <f>SUMIF('Diags Raw Data'!$A$6:$A$3693,"*"&amp;$A10&amp;"*",'Diags Raw Data'!$Y$6:$Y$3693)</f>
        <v>0</v>
      </c>
      <c r="Q10" s="380">
        <f>SUM(SUMIF('Diags Raw Data'!$A$6:$A$3693,"*"&amp;$A10&amp;"*",'Diags Raw Data'!$Z$6:$Z$3693),SUMIF('Diags Raw Data'!$A$6:$A$3693,"*"&amp;$A10&amp;"*",'Diags Raw Data'!$AA$6:$AA$3693))</f>
        <v>0</v>
      </c>
      <c r="R10" s="381">
        <f t="shared" si="3"/>
        <v>0</v>
      </c>
      <c r="S10" s="381">
        <f t="shared" si="4"/>
        <v>0</v>
      </c>
      <c r="T10" s="382">
        <f t="shared" si="5"/>
        <v>0</v>
      </c>
      <c r="U10" s="415" t="s">
        <v>549</v>
      </c>
      <c r="V10" s="170"/>
    </row>
    <row r="11" spans="1:22" x14ac:dyDescent="0.25">
      <c r="A11" s="257" t="s">
        <v>329</v>
      </c>
      <c r="B11" s="308" t="str">
        <f>VLOOKUP(A11,'Feature Raw Data'!$A$3:$B$3835,2,FALSE)</f>
        <v>[CLK] Dynamic REFCLK Gating</v>
      </c>
      <c r="C11" s="260" t="str">
        <f>VLOOKUP(A11,'Feature Raw Data'!$A$3:$C$3835,3,FALSE)</f>
        <v>P2</v>
      </c>
      <c r="D11" s="82" t="str" cm="1">
        <f t="array" ref="D11">_xlfn.TEXTJOIN("",TRUE,IF(ISNUMBER(SEARCH($A11,'Diags Raw Data'!$A$6:$A$3693)),CONCATENATE('Diags Raw Data'!$H$6:$H$3693,", "),""))</f>
        <v xml:space="preserve">PM002.300, </v>
      </c>
      <c r="E11" s="169" t="str">
        <f>VLOOKUP(A11,'Diags Raw Data'!$A$6:$D$3693,4,FALSE)</f>
        <v>CLK</v>
      </c>
      <c r="F11" s="169" t="str">
        <f>VLOOKUP(A11,'Feature Raw Data'!$A$3:$E$3835,5,FALSE)</f>
        <v>Delta</v>
      </c>
      <c r="G11" s="169" t="str">
        <f t="shared" si="0"/>
        <v>Yes</v>
      </c>
      <c r="H11" s="169" t="str">
        <f t="shared" si="1"/>
        <v>Yes</v>
      </c>
      <c r="I11" s="260">
        <f>SUMIF('Diags Raw Data'!$A$6:$A$3693,"*"&amp;$A11&amp;"*",'Diags Raw Data'!$J$6:$J$3693)</f>
        <v>1</v>
      </c>
      <c r="J11" s="181">
        <f>SUMIF('Diags Raw Data'!$A$6:$A$3693,"*"&amp;$A11&amp;"*",'Diags Raw Data'!$K$6:$K$3693)</f>
        <v>1</v>
      </c>
      <c r="K11" s="375" cm="1">
        <f t="array" ref="K11">IF(D11="",0, SUMPRODUCT(--(ISNUMBER(SEARCH($A11,'Diags Raw Data'!$A$6:$A$3693))),'Diags Raw Data'!$K$6:$K$3693,'Diags Raw Data'!$M$6:$M$3693)/J11)</f>
        <v>1</v>
      </c>
      <c r="L11" s="376" cm="1">
        <f t="array" ref="L11">IF(D11="",0, SUMPRODUCT(--(ISNUMBER(SEARCH($A11,'Diags Raw Data'!$A$6:$A$3693))),'Diags Raw Data'!$K$6:$K$3693,'Diags Raw Data'!$O$6:$O$3693)/J11)</f>
        <v>0.8</v>
      </c>
      <c r="M11" s="377" cm="1">
        <f t="array" ref="M11">SUMPRODUCT(--(ISNUMBER(SEARCH($A11,'Diags Raw Data'!$A$6:$A$3693))),--('Diags Raw Data'!$P$6:$P$3693&lt;&gt;"N/A"),'Diags Raw Data'!$Q$6:$Q$3693)</f>
        <v>1</v>
      </c>
      <c r="N11" s="378" cm="1">
        <f t="array" ref="N11">SUMPRODUCT(--(ISNUMBER(SEARCH($A11,'Diags Raw Data'!$A$6:$A$3693))),--('Diags Raw Data'!$P$6:$P$3693&lt;&gt;"N/A"),'Diags Raw Data'!$S$6:$S$3693)+SUMPRODUCT(--(ISNUMBER(SEARCH($A11,'Diags Raw Data'!$A$6:$A$3693))),--('Diags Raw Data'!$P$6:$P$3693&lt;&gt;"N/A"),'Diags Raw Data'!$T$6:$T$3693)</f>
        <v>1</v>
      </c>
      <c r="O11" s="412">
        <f t="shared" si="2"/>
        <v>1</v>
      </c>
      <c r="P11" s="379">
        <f>SUMIF('Diags Raw Data'!$A$6:$A$3693,"*"&amp;$A11&amp;"*",'Diags Raw Data'!$Y$6:$Y$3693)</f>
        <v>0</v>
      </c>
      <c r="Q11" s="380">
        <f>SUM(SUMIF('Diags Raw Data'!$A$6:$A$3693,"*"&amp;$A11&amp;"*",'Diags Raw Data'!$Z$6:$Z$3693),SUMIF('Diags Raw Data'!$A$6:$A$3693,"*"&amp;$A11&amp;"*",'Diags Raw Data'!$AA$6:$AA$3693))</f>
        <v>0</v>
      </c>
      <c r="R11" s="381">
        <f t="shared" si="3"/>
        <v>0</v>
      </c>
      <c r="S11" s="381">
        <f t="shared" si="4"/>
        <v>0</v>
      </c>
      <c r="T11" s="382">
        <f t="shared" si="5"/>
        <v>0</v>
      </c>
      <c r="U11" s="415" t="s">
        <v>550</v>
      </c>
      <c r="V11" s="170"/>
    </row>
    <row r="12" spans="1:22" x14ac:dyDescent="0.25">
      <c r="A12" s="257" t="s">
        <v>335</v>
      </c>
      <c r="B12" s="308" t="str">
        <f>VLOOKUP(A12,'Feature Raw Data'!$A$3:$B$3835,2,FALSE)</f>
        <v>[CLK] FCState</v>
      </c>
      <c r="C12" s="260" t="str">
        <f>VLOOKUP(A12,'Feature Raw Data'!$A$3:$C$3835,3,FALSE)</f>
        <v>P2</v>
      </c>
      <c r="D12" s="82" t="str" cm="1">
        <f t="array" ref="D12">_xlfn.TEXTJOIN("",TRUE,IF(ISNUMBER(SEARCH($A12,'Diags Raw Data'!$A$6:$A$3693)),CONCATENATE('Diags Raw Data'!$H$6:$H$3693,", "),""))</f>
        <v xml:space="preserve">PM015.001, PM060.005, </v>
      </c>
      <c r="E12" s="169" t="str">
        <f>VLOOKUP(A12,'Diags Raw Data'!$A$6:$D$3693,4,FALSE)</f>
        <v>CLK</v>
      </c>
      <c r="F12" s="169" t="str">
        <f>VLOOKUP(A12,'Feature Raw Data'!$A$3:$E$3835,5,FALSE)</f>
        <v>Delta</v>
      </c>
      <c r="G12" s="169" t="str">
        <f t="shared" si="0"/>
        <v>Yes</v>
      </c>
      <c r="H12" s="169" t="str">
        <f t="shared" si="1"/>
        <v>Yes</v>
      </c>
      <c r="I12" s="260">
        <f>SUMIF('Diags Raw Data'!$A$6:$A$3693,"*"&amp;$A12&amp;"*",'Diags Raw Data'!$J$6:$J$3693)</f>
        <v>2</v>
      </c>
      <c r="J12" s="181">
        <f>SUMIF('Diags Raw Data'!$A$6:$A$3693,"*"&amp;$A12&amp;"*",'Diags Raw Data'!$K$6:$K$3693)</f>
        <v>2</v>
      </c>
      <c r="K12" s="375" cm="1">
        <f t="array" ref="K12">IF(D12="",0, SUMPRODUCT(--(ISNUMBER(SEARCH($A12,'Diags Raw Data'!$A$6:$A$3693))),'Diags Raw Data'!$K$6:$K$3693,'Diags Raw Data'!$M$6:$M$3693)/J12)</f>
        <v>1</v>
      </c>
      <c r="L12" s="376" cm="1">
        <f t="array" ref="L12">IF(D12="",0, SUMPRODUCT(--(ISNUMBER(SEARCH($A12,'Diags Raw Data'!$A$6:$A$3693))),'Diags Raw Data'!$K$6:$K$3693,'Diags Raw Data'!$O$6:$O$3693)/J12)</f>
        <v>0.4</v>
      </c>
      <c r="M12" s="377" cm="1">
        <f t="array" ref="M12">SUMPRODUCT(--(ISNUMBER(SEARCH($A12,'Diags Raw Data'!$A$6:$A$3693))),--('Diags Raw Data'!$P$6:$P$3693&lt;&gt;"N/A"),'Diags Raw Data'!$Q$6:$Q$3693)</f>
        <v>1</v>
      </c>
      <c r="N12" s="378" cm="1">
        <f t="array" ref="N12">SUMPRODUCT(--(ISNUMBER(SEARCH($A12,'Diags Raw Data'!$A$6:$A$3693))),--('Diags Raw Data'!$P$6:$P$3693&lt;&gt;"N/A"),'Diags Raw Data'!$S$6:$S$3693)+SUMPRODUCT(--(ISNUMBER(SEARCH($A12,'Diags Raw Data'!$A$6:$A$3693))),--('Diags Raw Data'!$P$6:$P$3693&lt;&gt;"N/A"),'Diags Raw Data'!$T$6:$T$3693)</f>
        <v>0</v>
      </c>
      <c r="O12" s="412">
        <f t="shared" ref="O12" si="6">IF((M12=0),0,N12/M12)</f>
        <v>0</v>
      </c>
      <c r="P12" s="379">
        <f>SUMIF('Diags Raw Data'!$A$6:$A$3693,"*"&amp;$A12&amp;"*",'Diags Raw Data'!$Y$6:$Y$3693)</f>
        <v>0</v>
      </c>
      <c r="Q12" s="380">
        <f>SUM(SUMIF('Diags Raw Data'!$A$6:$A$3693,"*"&amp;$A12&amp;"*",'Diags Raw Data'!$Z$6:$Z$3693),SUMIF('Diags Raw Data'!$A$6:$A$3693,"*"&amp;$A12&amp;"*",'Diags Raw Data'!$AA$6:$AA$3693))</f>
        <v>0</v>
      </c>
      <c r="R12" s="381">
        <f t="shared" ref="R12" si="7">IF((J12=0),0,P12/J12)</f>
        <v>0</v>
      </c>
      <c r="S12" s="381">
        <f t="shared" ref="S12" si="8">IF((P12=0),0,Q12/P12)</f>
        <v>0</v>
      </c>
      <c r="T12" s="382">
        <f t="shared" ref="T12" si="9">R12*S12</f>
        <v>0</v>
      </c>
      <c r="U12" s="415" t="s">
        <v>547</v>
      </c>
      <c r="V12" s="170"/>
    </row>
    <row r="13" spans="1:22" x14ac:dyDescent="0.25">
      <c r="A13" s="257" t="s">
        <v>345</v>
      </c>
      <c r="B13" s="308" t="str">
        <f>VLOOKUP(A13,'Feature Raw Data'!$A$3:$B$3835,2,FALSE)</f>
        <v>[CLK] Fuses</v>
      </c>
      <c r="C13" s="260" t="str">
        <f>VLOOKUP(A13,'Feature Raw Data'!$A$3:$C$3835,3,FALSE)</f>
        <v>P2</v>
      </c>
      <c r="D13" s="82" t="str" cm="1">
        <f t="array" ref="D13">_xlfn.TEXTJOIN("",TRUE,IF(ISNUMBER(SEARCH($A13,'Diags Raw Data'!$A$6:$A$3693)),CONCATENATE('Diags Raw Data'!$H$6:$H$3693,", "),""))</f>
        <v xml:space="preserve">PM001.200, </v>
      </c>
      <c r="E13" s="169" t="str">
        <f>VLOOKUP(A13,'Diags Raw Data'!$A$6:$D$3693,4,FALSE)</f>
        <v>FUSE</v>
      </c>
      <c r="F13" s="169" t="str">
        <f>VLOOKUP(A13,'Feature Raw Data'!$A$3:$E$3835,5,FALSE)</f>
        <v>Delta</v>
      </c>
      <c r="G13" s="169" t="str">
        <f t="shared" si="0"/>
        <v>Yes</v>
      </c>
      <c r="H13" s="169" t="str">
        <f t="shared" si="1"/>
        <v>Yes</v>
      </c>
      <c r="I13" s="260">
        <f>SUMIF('Diags Raw Data'!$A$6:$A$3693,"*"&amp;$A13&amp;"*",'Diags Raw Data'!$J$6:$J$3693)</f>
        <v>1</v>
      </c>
      <c r="J13" s="181">
        <f>SUMIF('Diags Raw Data'!$A$6:$A$3693,"*"&amp;$A13&amp;"*",'Diags Raw Data'!$K$6:$K$3693)</f>
        <v>1</v>
      </c>
      <c r="K13" s="375" cm="1">
        <f t="array" ref="K13">IF(D13="",0, SUMPRODUCT(--(ISNUMBER(SEARCH($A13,'Diags Raw Data'!$A$6:$A$3693))),'Diags Raw Data'!$K$6:$K$3693,'Diags Raw Data'!$M$6:$M$3693)/J13)</f>
        <v>1</v>
      </c>
      <c r="L13" s="376" cm="1">
        <f t="array" ref="L13">IF(D13="",0, SUMPRODUCT(--(ISNUMBER(SEARCH($A13,'Diags Raw Data'!$A$6:$A$3693))),'Diags Raw Data'!$K$6:$K$3693,'Diags Raw Data'!$O$6:$O$3693)/J13)</f>
        <v>0.6</v>
      </c>
      <c r="M13" s="377" cm="1">
        <f t="array" ref="M13">SUMPRODUCT(--(ISNUMBER(SEARCH($A13,'Diags Raw Data'!$A$6:$A$3693))),--('Diags Raw Data'!$P$6:$P$3693&lt;&gt;"N/A"),'Diags Raw Data'!$Q$6:$Q$3693)</f>
        <v>1</v>
      </c>
      <c r="N13" s="378" cm="1">
        <f t="array" ref="N13">SUMPRODUCT(--(ISNUMBER(SEARCH($A13,'Diags Raw Data'!$A$6:$A$3693))),--('Diags Raw Data'!$P$6:$P$3693&lt;&gt;"N/A"),'Diags Raw Data'!$S$6:$S$3693)+SUMPRODUCT(--(ISNUMBER(SEARCH($A13,'Diags Raw Data'!$A$6:$A$3693))),--('Diags Raw Data'!$P$6:$P$3693&lt;&gt;"N/A"),'Diags Raw Data'!$T$6:$T$3693)</f>
        <v>0</v>
      </c>
      <c r="O13" s="412">
        <f t="shared" si="2"/>
        <v>0</v>
      </c>
      <c r="P13" s="379">
        <f>SUMIF('Diags Raw Data'!$A$6:$A$3693,"*"&amp;$A13&amp;"*",'Diags Raw Data'!$Y$6:$Y$3693)</f>
        <v>0</v>
      </c>
      <c r="Q13" s="380">
        <f>SUM(SUMIF('Diags Raw Data'!$A$6:$A$3693,"*"&amp;$A13&amp;"*",'Diags Raw Data'!$Z$6:$Z$3693),SUMIF('Diags Raw Data'!$A$6:$A$3693,"*"&amp;$A13&amp;"*",'Diags Raw Data'!$AA$6:$AA$3693))</f>
        <v>0</v>
      </c>
      <c r="R13" s="381">
        <f t="shared" si="3"/>
        <v>0</v>
      </c>
      <c r="S13" s="381">
        <f t="shared" si="4"/>
        <v>0</v>
      </c>
      <c r="T13" s="382">
        <f t="shared" si="5"/>
        <v>0</v>
      </c>
      <c r="U13" s="415" t="s">
        <v>44</v>
      </c>
      <c r="V13" s="170"/>
    </row>
    <row r="14" spans="1:22" x14ac:dyDescent="0.25">
      <c r="A14" s="257" t="s">
        <v>351</v>
      </c>
      <c r="B14" s="308" t="str">
        <f>VLOOKUP(A14,'Feature Raw Data'!$A$3:$B$3835,2,FALSE)</f>
        <v>[CLK] Spread Spectrum</v>
      </c>
      <c r="C14" s="260" t="str">
        <f>VLOOKUP(A14,'Feature Raw Data'!$A$3:$C$3835,3,FALSE)</f>
        <v>P2</v>
      </c>
      <c r="D14" s="82" t="str" cm="1">
        <f t="array" ref="D14">_xlfn.TEXTJOIN("",TRUE,IF(ISNUMBER(SEARCH($A14,'Diags Raw Data'!$A$6:$A$3693)),CONCATENATE('Diags Raw Data'!$H$6:$H$3693,", "),""))</f>
        <v xml:space="preserve">PM060.105, PM060.105, PM060.105, </v>
      </c>
      <c r="E14" s="169" t="str">
        <f>VLOOKUP(A14,'Diags Raw Data'!$A$6:$D$3693,4,FALSE)</f>
        <v>CLK</v>
      </c>
      <c r="F14" s="169" t="str">
        <f>VLOOKUP(A14,'Feature Raw Data'!$A$3:$E$3835,5,FALSE)</f>
        <v>Delta</v>
      </c>
      <c r="G14" s="169" t="str">
        <f t="shared" si="0"/>
        <v>Yes</v>
      </c>
      <c r="H14" s="169" t="str">
        <f t="shared" si="1"/>
        <v>Yes</v>
      </c>
      <c r="I14" s="260">
        <f>SUMIF('Diags Raw Data'!$A$6:$A$3693,"*"&amp;$A14&amp;"*",'Diags Raw Data'!$J$6:$J$3693)</f>
        <v>3</v>
      </c>
      <c r="J14" s="181">
        <f>SUMIF('Diags Raw Data'!$A$6:$A$3693,"*"&amp;$A14&amp;"*",'Diags Raw Data'!$K$6:$K$3693)</f>
        <v>3</v>
      </c>
      <c r="K14" s="375" cm="1">
        <f t="array" ref="K14">IF(D14="",0, SUMPRODUCT(--(ISNUMBER(SEARCH($A14,'Diags Raw Data'!$A$6:$A$3693))),'Diags Raw Data'!$K$6:$K$3693,'Diags Raw Data'!$M$6:$M$3693)/J14)</f>
        <v>1</v>
      </c>
      <c r="L14" s="376" cm="1">
        <f t="array" ref="L14">IF(D14="",0, SUMPRODUCT(--(ISNUMBER(SEARCH($A14,'Diags Raw Data'!$A$6:$A$3693))),'Diags Raw Data'!$K$6:$K$3693,'Diags Raw Data'!$O$6:$O$3693)/J14)</f>
        <v>0.80000000000000016</v>
      </c>
      <c r="M14" s="377" cm="1">
        <f t="array" ref="M14">SUMPRODUCT(--(ISNUMBER(SEARCH($A14,'Diags Raw Data'!$A$6:$A$3693))),--('Diags Raw Data'!$P$6:$P$3693&lt;&gt;"N/A"),'Diags Raw Data'!$Q$6:$Q$3693)</f>
        <v>3</v>
      </c>
      <c r="N14" s="378" cm="1">
        <f t="array" ref="N14">SUMPRODUCT(--(ISNUMBER(SEARCH($A14,'Diags Raw Data'!$A$6:$A$3693))),--('Diags Raw Data'!$P$6:$P$3693&lt;&gt;"N/A"),'Diags Raw Data'!$S$6:$S$3693)+SUMPRODUCT(--(ISNUMBER(SEARCH($A14,'Diags Raw Data'!$A$6:$A$3693))),--('Diags Raw Data'!$P$6:$P$3693&lt;&gt;"N/A"),'Diags Raw Data'!$T$6:$T$3693)</f>
        <v>0</v>
      </c>
      <c r="O14" s="412">
        <f t="shared" ref="O14:O24" si="10">IF((M14=0),0,N14/M14)</f>
        <v>0</v>
      </c>
      <c r="P14" s="379">
        <f>SUMIF('Diags Raw Data'!$A$6:$A$3693,"*"&amp;$A14&amp;"*",'Diags Raw Data'!$Y$6:$Y$3693)</f>
        <v>0</v>
      </c>
      <c r="Q14" s="380">
        <f>SUM(SUMIF('Diags Raw Data'!$A$6:$A$3693,"*"&amp;$A14&amp;"*",'Diags Raw Data'!$Z$6:$Z$3693),SUMIF('Diags Raw Data'!$A$6:$A$3693,"*"&amp;$A14&amp;"*",'Diags Raw Data'!$AA$6:$AA$3693))</f>
        <v>0</v>
      </c>
      <c r="R14" s="381">
        <f t="shared" si="3"/>
        <v>0</v>
      </c>
      <c r="S14" s="381">
        <f t="shared" si="4"/>
        <v>0</v>
      </c>
      <c r="T14" s="382">
        <f t="shared" si="5"/>
        <v>0</v>
      </c>
      <c r="U14" s="415" t="s">
        <v>548</v>
      </c>
      <c r="V14" s="170"/>
    </row>
    <row r="15" spans="1:22" x14ac:dyDescent="0.25">
      <c r="A15" s="257" t="s">
        <v>361</v>
      </c>
      <c r="B15" s="308" t="str">
        <f>VLOOKUP(A15,'Feature Raw Data'!$A$3:$B$3835,2,FALSE)</f>
        <v>[FUSE] Fuse Clock Gating and Deep Sleep</v>
      </c>
      <c r="C15" s="260" t="str">
        <f>VLOOKUP(A15,'Feature Raw Data'!$A$3:$C$3835,3,FALSE)</f>
        <v>P2</v>
      </c>
      <c r="D15" s="82" t="str" cm="1">
        <f t="array" ref="D15">_xlfn.TEXTJOIN("",TRUE,IF(ISNUMBER(SEARCH($A15,'Diags Raw Data'!$A$6:$A$3693)),CONCATENATE('Diags Raw Data'!$H$6:$H$3693,", "),""))</f>
        <v/>
      </c>
      <c r="E15" s="169" t="e">
        <f>VLOOKUP(A15,'Diags Raw Data'!$A$6:$D$3693,4,FALSE)</f>
        <v>#N/A</v>
      </c>
      <c r="F15" s="169" t="str">
        <f>VLOOKUP(A15,'Feature Raw Data'!$A$3:$E$3835,5,FALSE)</f>
        <v>Delta</v>
      </c>
      <c r="G15" s="487" t="s">
        <v>36</v>
      </c>
      <c r="H15" s="487" t="s">
        <v>36</v>
      </c>
      <c r="I15" s="488">
        <v>0</v>
      </c>
      <c r="J15" s="181">
        <v>0</v>
      </c>
      <c r="K15" s="375" cm="1">
        <f t="array" ref="K15">IF(D15="",0, SUMPRODUCT(--(ISNUMBER(SEARCH($A15,'Diags Raw Data'!$A$6:$A$3693))),'Diags Raw Data'!$K$6:$K$3693,'Diags Raw Data'!$M$6:$M$3693)/J15)</f>
        <v>0</v>
      </c>
      <c r="L15" s="376" cm="1">
        <f t="array" ref="L15">IF(D15="",0, SUMPRODUCT(--(ISNUMBER(SEARCH($A15,'Diags Raw Data'!$A$6:$A$3693))),'Diags Raw Data'!$K$6:$K$3693,'Diags Raw Data'!$O$6:$O$3693)/J15)</f>
        <v>0</v>
      </c>
      <c r="M15" s="377" cm="1">
        <f t="array" ref="M15">SUMPRODUCT(--(ISNUMBER(SEARCH($A15,'Diags Raw Data'!$A$6:$A$3693))),--('Diags Raw Data'!$P$6:$P$3693&lt;&gt;"N/A"),'Diags Raw Data'!$Q$6:$Q$3693)</f>
        <v>0</v>
      </c>
      <c r="N15" s="378" cm="1">
        <f t="array" ref="N15">SUMPRODUCT(--(ISNUMBER(SEARCH($A15,'Diags Raw Data'!$A$6:$A$3693))),--('Diags Raw Data'!$P$6:$P$3693&lt;&gt;"N/A"),'Diags Raw Data'!$S$6:$S$3693)+SUMPRODUCT(--(ISNUMBER(SEARCH($A15,'Diags Raw Data'!$A$6:$A$3693))),--('Diags Raw Data'!$P$6:$P$3693&lt;&gt;"N/A"),'Diags Raw Data'!$T$6:$T$3693)</f>
        <v>0</v>
      </c>
      <c r="O15" s="412">
        <f t="shared" si="10"/>
        <v>0</v>
      </c>
      <c r="P15" s="379">
        <f>SUMIF('Diags Raw Data'!$A$6:$A$3693,"*"&amp;$A15&amp;"*",'Diags Raw Data'!$Y$6:$Y$3693)</f>
        <v>0</v>
      </c>
      <c r="Q15" s="380">
        <f>SUM(SUMIF('Diags Raw Data'!$A$6:$A$3693,"*"&amp;$A15&amp;"*",'Diags Raw Data'!$Z$6:$Z$3693),SUMIF('Diags Raw Data'!$A$6:$A$3693,"*"&amp;$A15&amp;"*",'Diags Raw Data'!$AA$6:$AA$3693))</f>
        <v>0</v>
      </c>
      <c r="R15" s="381">
        <f t="shared" si="3"/>
        <v>0</v>
      </c>
      <c r="S15" s="381">
        <f t="shared" si="4"/>
        <v>0</v>
      </c>
      <c r="T15" s="382">
        <f t="shared" si="5"/>
        <v>0</v>
      </c>
      <c r="U15" s="415" t="s">
        <v>548</v>
      </c>
      <c r="V15" s="170"/>
    </row>
    <row r="16" spans="1:22" x14ac:dyDescent="0.25">
      <c r="A16" s="257" t="s">
        <v>363</v>
      </c>
      <c r="B16" s="308" t="str">
        <f>VLOOKUP(A16,'Feature Raw Data'!$A$3:$B$3835,2,FALSE)</f>
        <v>[FUSE] Fuse Distribution</v>
      </c>
      <c r="C16" s="260" t="str">
        <f>VLOOKUP(A16,'Feature Raw Data'!$A$3:$C$3835,3,FALSE)</f>
        <v>P2</v>
      </c>
      <c r="D16" s="82" t="str" cm="1">
        <f t="array" ref="D16">_xlfn.TEXTJOIN("",TRUE,IF(ISNUMBER(SEARCH($A16,'Diags Raw Data'!$A$6:$A$3693)),CONCATENATE('Diags Raw Data'!$H$6:$H$3693,", "),""))</f>
        <v xml:space="preserve">PM001.200, </v>
      </c>
      <c r="E16" s="169" t="str">
        <f>VLOOKUP(A16,'Diags Raw Data'!$A$6:$D$3693,4,FALSE)</f>
        <v>FUSE</v>
      </c>
      <c r="F16" s="169" t="str">
        <f>VLOOKUP(A16,'Feature Raw Data'!$A$3:$E$3835,5,FALSE)</f>
        <v>Delta</v>
      </c>
      <c r="G16" s="169" t="str">
        <f t="shared" si="0"/>
        <v>Yes</v>
      </c>
      <c r="H16" s="169" t="str">
        <f t="shared" si="1"/>
        <v>Yes</v>
      </c>
      <c r="I16" s="260">
        <f>SUMIF('Diags Raw Data'!$A$6:$A$3693,"*"&amp;$A16&amp;"*",'Diags Raw Data'!$J$6:$J$3693)</f>
        <v>1</v>
      </c>
      <c r="J16" s="181">
        <f>SUMIF('Diags Raw Data'!$A$6:$A$3693,"*"&amp;$A16&amp;"*",'Diags Raw Data'!$K$6:$K$3693)</f>
        <v>1</v>
      </c>
      <c r="K16" s="375" cm="1">
        <f t="array" ref="K16">IF(D16="",0, SUMPRODUCT(--(ISNUMBER(SEARCH($A16,'Diags Raw Data'!$A$6:$A$3693))),'Diags Raw Data'!$K$6:$K$3693,'Diags Raw Data'!$M$6:$M$3693)/J16)</f>
        <v>1</v>
      </c>
      <c r="L16" s="376" cm="1">
        <f t="array" ref="L16">IF(D16="",0, SUMPRODUCT(--(ISNUMBER(SEARCH($A16,'Diags Raw Data'!$A$6:$A$3693))),'Diags Raw Data'!$K$6:$K$3693,'Diags Raw Data'!$O$6:$O$3693)/J16)</f>
        <v>0.6</v>
      </c>
      <c r="M16" s="377" cm="1">
        <f t="array" ref="M16">SUMPRODUCT(--(ISNUMBER(SEARCH($A16,'Diags Raw Data'!$A$6:$A$3693))),--('Diags Raw Data'!$P$6:$P$3693&lt;&gt;"N/A"),'Diags Raw Data'!$Q$6:$Q$3693)</f>
        <v>1</v>
      </c>
      <c r="N16" s="378" cm="1">
        <f t="array" ref="N16">SUMPRODUCT(--(ISNUMBER(SEARCH($A16,'Diags Raw Data'!$A$6:$A$3693))),--('Diags Raw Data'!$P$6:$P$3693&lt;&gt;"N/A"),'Diags Raw Data'!$S$6:$S$3693)+SUMPRODUCT(--(ISNUMBER(SEARCH($A16,'Diags Raw Data'!$A$6:$A$3693))),--('Diags Raw Data'!$P$6:$P$3693&lt;&gt;"N/A"),'Diags Raw Data'!$T$6:$T$3693)</f>
        <v>0</v>
      </c>
      <c r="O16" s="412">
        <f t="shared" si="10"/>
        <v>0</v>
      </c>
      <c r="P16" s="379">
        <f>SUMIF('Diags Raw Data'!$A$6:$A$3693,"*"&amp;$A16&amp;"*",'Diags Raw Data'!$Y$6:$Y$3693)</f>
        <v>0</v>
      </c>
      <c r="Q16" s="380">
        <f>SUM(SUMIF('Diags Raw Data'!$A$6:$A$3693,"*"&amp;$A16&amp;"*",'Diags Raw Data'!$Z$6:$Z$3693),SUMIF('Diags Raw Data'!$A$6:$A$3693,"*"&amp;$A16&amp;"*",'Diags Raw Data'!$AA$6:$AA$3693))</f>
        <v>0</v>
      </c>
      <c r="R16" s="381">
        <f t="shared" si="3"/>
        <v>0</v>
      </c>
      <c r="S16" s="381">
        <f t="shared" si="4"/>
        <v>0</v>
      </c>
      <c r="T16" s="382">
        <f t="shared" si="5"/>
        <v>0</v>
      </c>
      <c r="U16" s="415" t="s">
        <v>549</v>
      </c>
      <c r="V16" s="170"/>
    </row>
    <row r="17" spans="1:22" s="173" customFormat="1" x14ac:dyDescent="0.25">
      <c r="A17" s="257" t="s">
        <v>367</v>
      </c>
      <c r="B17" s="308" t="str">
        <f>VLOOKUP(A17,'Feature Raw Data'!$A$3:$B$3835,2,FALSE)</f>
        <v>[MP1] CRU</v>
      </c>
      <c r="C17" s="260" t="str">
        <f>VLOOKUP(A17,'Feature Raw Data'!$A$3:$C$3835,3,FALSE)</f>
        <v>P2</v>
      </c>
      <c r="D17" s="82" t="str" cm="1">
        <f t="array" ref="D17">_xlfn.TEXTJOIN("",TRUE,IF(ISNUMBER(SEARCH($A17,'Diags Raw Data'!$A$6:$A$3693)),CONCATENATE('Diags Raw Data'!$H$6:$H$3693,", "),""))</f>
        <v xml:space="preserve">PM080.010, </v>
      </c>
      <c r="E17" s="169" t="str">
        <f>VLOOKUP(A17,'Diags Raw Data'!$A$6:$D$3693,4,FALSE)</f>
        <v>MP1</v>
      </c>
      <c r="F17" s="169" t="str">
        <f>VLOOKUP(A17,'Feature Raw Data'!$A$3:$E$3835,5,FALSE)</f>
        <v>Delta</v>
      </c>
      <c r="G17" s="169" t="str">
        <f t="shared" si="0"/>
        <v>Yes</v>
      </c>
      <c r="H17" s="169" t="str">
        <f t="shared" si="1"/>
        <v>Yes</v>
      </c>
      <c r="I17" s="260">
        <f>SUMIF('Diags Raw Data'!$A$6:$A$3693,"*"&amp;$A17&amp;"*",'Diags Raw Data'!$J$6:$J$3693)</f>
        <v>1</v>
      </c>
      <c r="J17" s="181">
        <f>SUMIF('Diags Raw Data'!$A$6:$A$3693,"*"&amp;$A17&amp;"*",'Diags Raw Data'!$K$6:$K$3693)</f>
        <v>1</v>
      </c>
      <c r="K17" s="375" cm="1">
        <f t="array" ref="K17">IF(D17="",0, SUMPRODUCT(--(ISNUMBER(SEARCH($A17,'Diags Raw Data'!$A$6:$A$3693))),'Diags Raw Data'!$K$6:$K$3693,'Diags Raw Data'!$M$6:$M$3693)/J17)</f>
        <v>1</v>
      </c>
      <c r="L17" s="376" cm="1">
        <f t="array" ref="L17">IF(D17="",0, SUMPRODUCT(--(ISNUMBER(SEARCH($A17,'Diags Raw Data'!$A$6:$A$3693))),'Diags Raw Data'!$K$6:$K$3693,'Diags Raw Data'!$O$6:$O$3693)/J17)</f>
        <v>0.6</v>
      </c>
      <c r="M17" s="377" cm="1">
        <f t="array" ref="M17">SUMPRODUCT(--(ISNUMBER(SEARCH($A17,'Diags Raw Data'!$A$6:$A$3693))),--('Diags Raw Data'!$P$6:$P$3693&lt;&gt;"N/A"),'Diags Raw Data'!$Q$6:$Q$3693)</f>
        <v>1</v>
      </c>
      <c r="N17" s="378" cm="1">
        <f t="array" ref="N17">SUMPRODUCT(--(ISNUMBER(SEARCH($A17,'Diags Raw Data'!$A$6:$A$3693))),--('Diags Raw Data'!$P$6:$P$3693&lt;&gt;"N/A"),'Diags Raw Data'!$S$6:$S$3693)+SUMPRODUCT(--(ISNUMBER(SEARCH($A17,'Diags Raw Data'!$A$6:$A$3693))),--('Diags Raw Data'!$P$6:$P$3693&lt;&gt;"N/A"),'Diags Raw Data'!$T$6:$T$3693)</f>
        <v>0</v>
      </c>
      <c r="O17" s="412">
        <f t="shared" si="10"/>
        <v>0</v>
      </c>
      <c r="P17" s="379">
        <f>SUMIF('Diags Raw Data'!$A$6:$A$3693,"*"&amp;$A17&amp;"*",'Diags Raw Data'!$Y$6:$Y$3693)</f>
        <v>0</v>
      </c>
      <c r="Q17" s="380">
        <f>SUM(SUMIF('Diags Raw Data'!$A$6:$A$3693,"*"&amp;$A17&amp;"*",'Diags Raw Data'!$Z$6:$Z$3693),SUMIF('Diags Raw Data'!$A$6:$A$3693,"*"&amp;$A17&amp;"*",'Diags Raw Data'!$AA$6:$AA$3693))</f>
        <v>0</v>
      </c>
      <c r="R17" s="381">
        <f t="shared" si="3"/>
        <v>0</v>
      </c>
      <c r="S17" s="383">
        <f t="shared" si="4"/>
        <v>0</v>
      </c>
      <c r="T17" s="384">
        <f t="shared" si="5"/>
        <v>0</v>
      </c>
      <c r="U17" s="415" t="s">
        <v>44</v>
      </c>
      <c r="V17" s="172"/>
    </row>
    <row r="18" spans="1:22" x14ac:dyDescent="0.25">
      <c r="A18" s="257" t="s">
        <v>372</v>
      </c>
      <c r="B18" s="308" t="str">
        <f>VLOOKUP(A18,'Feature Raw Data'!$A$3:$B$3835,2,FALSE)</f>
        <v>[MP1] MMHUB IF</v>
      </c>
      <c r="C18" s="260" t="str">
        <f>VLOOKUP(A18,'Feature Raw Data'!$A$3:$C$3835,3,FALSE)</f>
        <v>P2</v>
      </c>
      <c r="D18" s="82" t="str" cm="1">
        <f t="array" ref="D18">_xlfn.TEXTJOIN("",TRUE,IF(ISNUMBER(SEARCH($A18,'Diags Raw Data'!$A$6:$A$3693)),CONCATENATE('Diags Raw Data'!$H$6:$H$3693,", "),""))</f>
        <v xml:space="preserve">PM082.006, </v>
      </c>
      <c r="E18" s="169" t="str">
        <f>VLOOKUP(A18,'Diags Raw Data'!$A$6:$D$3693,4,FALSE)</f>
        <v>MP1</v>
      </c>
      <c r="F18" s="169" t="str">
        <f>VLOOKUP(A18,'Feature Raw Data'!$A$3:$E$3835,5,FALSE)</f>
        <v>Delta</v>
      </c>
      <c r="G18" s="169" t="str">
        <f t="shared" si="0"/>
        <v>Yes</v>
      </c>
      <c r="H18" s="169" t="str">
        <f t="shared" si="1"/>
        <v>Yes</v>
      </c>
      <c r="I18" s="260">
        <f>SUMIF('Diags Raw Data'!$A$6:$A$3693,"*"&amp;$A18&amp;"*",'Diags Raw Data'!$J$6:$J$3693)</f>
        <v>1</v>
      </c>
      <c r="J18" s="181">
        <f>SUMIF('Diags Raw Data'!$A$6:$A$3693,"*"&amp;$A18&amp;"*",'Diags Raw Data'!$K$6:$K$3693)</f>
        <v>1</v>
      </c>
      <c r="K18" s="375" cm="1">
        <f t="array" ref="K18">IF(D18="",0, SUMPRODUCT(--(ISNUMBER(SEARCH($A18,'Diags Raw Data'!$A$6:$A$3693))),'Diags Raw Data'!$K$6:$K$3693,'Diags Raw Data'!$M$6:$M$3693)/J18)</f>
        <v>1</v>
      </c>
      <c r="L18" s="376" cm="1">
        <f t="array" ref="L18">IF(D18="",0, SUMPRODUCT(--(ISNUMBER(SEARCH($A18,'Diags Raw Data'!$A$6:$A$3693))),'Diags Raw Data'!$K$6:$K$3693,'Diags Raw Data'!$O$6:$O$3693)/J18)</f>
        <v>0.6</v>
      </c>
      <c r="M18" s="377" cm="1">
        <f t="array" ref="M18">SUMPRODUCT(--(ISNUMBER(SEARCH($A18,'Diags Raw Data'!$A$6:$A$3693))),--('Diags Raw Data'!$P$6:$P$3693&lt;&gt;"N/A"),'Diags Raw Data'!$Q$6:$Q$3693)</f>
        <v>1</v>
      </c>
      <c r="N18" s="378" cm="1">
        <f t="array" ref="N18">SUMPRODUCT(--(ISNUMBER(SEARCH($A18,'Diags Raw Data'!$A$6:$A$3693))),--('Diags Raw Data'!$P$6:$P$3693&lt;&gt;"N/A"),'Diags Raw Data'!$S$6:$S$3693)+SUMPRODUCT(--(ISNUMBER(SEARCH($A18,'Diags Raw Data'!$A$6:$A$3693))),--('Diags Raw Data'!$P$6:$P$3693&lt;&gt;"N/A"),'Diags Raw Data'!$T$6:$T$3693)</f>
        <v>0</v>
      </c>
      <c r="O18" s="412">
        <f t="shared" si="10"/>
        <v>0</v>
      </c>
      <c r="P18" s="379">
        <f>SUMIF('Diags Raw Data'!$A$6:$A$3693,"*"&amp;$A18&amp;"*",'Diags Raw Data'!$Y$6:$Y$3693)</f>
        <v>0</v>
      </c>
      <c r="Q18" s="380">
        <f>SUM(SUMIF('Diags Raw Data'!$A$6:$A$3693,"*"&amp;$A18&amp;"*",'Diags Raw Data'!$Z$6:$Z$3693),SUMIF('Diags Raw Data'!$A$6:$A$3693,"*"&amp;$A18&amp;"*",'Diags Raw Data'!$AA$6:$AA$3693))</f>
        <v>0</v>
      </c>
      <c r="R18" s="381">
        <f t="shared" si="3"/>
        <v>0</v>
      </c>
      <c r="S18" s="381">
        <f t="shared" si="4"/>
        <v>0</v>
      </c>
      <c r="T18" s="382">
        <f t="shared" si="5"/>
        <v>0</v>
      </c>
      <c r="U18" s="415" t="s">
        <v>44</v>
      </c>
      <c r="V18" s="170"/>
    </row>
    <row r="19" spans="1:22" x14ac:dyDescent="0.25">
      <c r="A19" s="257" t="s">
        <v>377</v>
      </c>
      <c r="B19" s="308" t="str">
        <f>VLOOKUP(A19,'Feature Raw Data'!$A$3:$B$3835,2,FALSE)</f>
        <v>[MP1] SMN IF</v>
      </c>
      <c r="C19" s="260" t="str">
        <f>VLOOKUP(A19,'Feature Raw Data'!$A$3:$C$3835,3,FALSE)</f>
        <v>P2</v>
      </c>
      <c r="D19" s="82" t="str" cm="1">
        <f t="array" ref="D19">_xlfn.TEXTJOIN("",TRUE,IF(ISNUMBER(SEARCH($A19,'Diags Raw Data'!$A$6:$A$3693)),CONCATENATE('Diags Raw Data'!$H$6:$H$3693,", "),""))</f>
        <v xml:space="preserve">PM082.001, PM082.002, </v>
      </c>
      <c r="E19" s="169" t="str">
        <f>VLOOKUP(A19,'Diags Raw Data'!$A$6:$D$3693,4,FALSE)</f>
        <v>MP1</v>
      </c>
      <c r="F19" s="169" t="str">
        <f>VLOOKUP(A19,'Feature Raw Data'!$A$3:$E$3835,5,FALSE)</f>
        <v>Delta</v>
      </c>
      <c r="G19" s="169" t="str">
        <f t="shared" si="0"/>
        <v>Yes</v>
      </c>
      <c r="H19" s="169" t="str">
        <f t="shared" si="1"/>
        <v>Yes</v>
      </c>
      <c r="I19" s="260">
        <f>SUMIF('Diags Raw Data'!$A$6:$A$3693,"*"&amp;$A19&amp;"*",'Diags Raw Data'!$J$6:$J$3693)</f>
        <v>2</v>
      </c>
      <c r="J19" s="181">
        <f>SUMIF('Diags Raw Data'!$A$6:$A$3693,"*"&amp;$A19&amp;"*",'Diags Raw Data'!$K$6:$K$3693)</f>
        <v>2</v>
      </c>
      <c r="K19" s="375" cm="1">
        <f t="array" ref="K19">IF(D19="",0, SUMPRODUCT(--(ISNUMBER(SEARCH($A19,'Diags Raw Data'!$A$6:$A$3693))),'Diags Raw Data'!$K$6:$K$3693,'Diags Raw Data'!$M$6:$M$3693)/J19)</f>
        <v>1</v>
      </c>
      <c r="L19" s="376" cm="1">
        <f t="array" ref="L19">IF(D19="",0, SUMPRODUCT(--(ISNUMBER(SEARCH($A19,'Diags Raw Data'!$A$6:$A$3693))),'Diags Raw Data'!$K$6:$K$3693,'Diags Raw Data'!$O$6:$O$3693)/J19)</f>
        <v>0.6</v>
      </c>
      <c r="M19" s="377" cm="1">
        <f t="array" ref="M19">SUMPRODUCT(--(ISNUMBER(SEARCH($A19,'Diags Raw Data'!$A$6:$A$3693))),--('Diags Raw Data'!$P$6:$P$3693&lt;&gt;"N/A"),'Diags Raw Data'!$Q$6:$Q$3693)</f>
        <v>2</v>
      </c>
      <c r="N19" s="378" cm="1">
        <f t="array" ref="N19">SUMPRODUCT(--(ISNUMBER(SEARCH($A19,'Diags Raw Data'!$A$6:$A$3693))),--('Diags Raw Data'!$P$6:$P$3693&lt;&gt;"N/A"),'Diags Raw Data'!$S$6:$S$3693)+SUMPRODUCT(--(ISNUMBER(SEARCH($A19,'Diags Raw Data'!$A$6:$A$3693))),--('Diags Raw Data'!$P$6:$P$3693&lt;&gt;"N/A"),'Diags Raw Data'!$T$6:$T$3693)</f>
        <v>0</v>
      </c>
      <c r="O19" s="412">
        <f t="shared" si="10"/>
        <v>0</v>
      </c>
      <c r="P19" s="379">
        <f>SUMIF('Diags Raw Data'!$A$6:$A$3693,"*"&amp;$A19&amp;"*",'Diags Raw Data'!$Y$6:$Y$3693)</f>
        <v>0</v>
      </c>
      <c r="Q19" s="380">
        <f>SUM(SUMIF('Diags Raw Data'!$A$6:$A$3693,"*"&amp;$A19&amp;"*",'Diags Raw Data'!$Z$6:$Z$3693),SUMIF('Diags Raw Data'!$A$6:$A$3693,"*"&amp;$A19&amp;"*",'Diags Raw Data'!$AA$6:$AA$3693))</f>
        <v>0</v>
      </c>
      <c r="R19" s="381">
        <f t="shared" si="3"/>
        <v>0</v>
      </c>
      <c r="S19" s="381">
        <f t="shared" si="4"/>
        <v>0</v>
      </c>
      <c r="T19" s="382">
        <f t="shared" si="5"/>
        <v>0</v>
      </c>
      <c r="U19" s="415" t="s">
        <v>44</v>
      </c>
      <c r="V19" s="170"/>
    </row>
    <row r="20" spans="1:22" x14ac:dyDescent="0.25">
      <c r="A20" s="257" t="s">
        <v>384</v>
      </c>
      <c r="B20" s="308" t="str">
        <f>VLOOKUP(A20,'Feature Raw Data'!$A$3:$B$3835,2,FALSE)</f>
        <v>[MP1] SRAM</v>
      </c>
      <c r="C20" s="260" t="str">
        <f>VLOOKUP(A20,'Feature Raw Data'!$A$3:$C$3835,3,FALSE)</f>
        <v>P2</v>
      </c>
      <c r="D20" s="82" t="str" cm="1">
        <f t="array" ref="D20">_xlfn.TEXTJOIN("",TRUE,IF(ISNUMBER(SEARCH($A20,'Diags Raw Data'!$A$6:$A$3693)),CONCATENATE('Diags Raw Data'!$H$6:$H$3693,", "),""))</f>
        <v xml:space="preserve">BOOT cover, </v>
      </c>
      <c r="E20" s="169" t="str">
        <f>VLOOKUP(A20,'Diags Raw Data'!$A$6:$D$3693,4,FALSE)</f>
        <v>MP1</v>
      </c>
      <c r="F20" s="169" t="str">
        <f>VLOOKUP(A20,'Feature Raw Data'!$A$3:$E$3835,5,FALSE)</f>
        <v>Delta</v>
      </c>
      <c r="G20" s="169" t="str">
        <f t="shared" si="0"/>
        <v>Yes</v>
      </c>
      <c r="H20" s="169" t="str">
        <f t="shared" si="1"/>
        <v>Yes</v>
      </c>
      <c r="I20" s="260">
        <f>SUMIF('Diags Raw Data'!$A$6:$A$3693,"*"&amp;$A20&amp;"*",'Diags Raw Data'!$J$6:$J$3693)</f>
        <v>1</v>
      </c>
      <c r="J20" s="181">
        <f>SUMIF('Diags Raw Data'!$A$6:$A$3693,"*"&amp;$A20&amp;"*",'Diags Raw Data'!$K$6:$K$3693)</f>
        <v>1</v>
      </c>
      <c r="K20" s="375" cm="1">
        <f t="array" ref="K20">IF(D20="",0, SUMPRODUCT(--(ISNUMBER(SEARCH($A20,'Diags Raw Data'!$A$6:$A$3693))),'Diags Raw Data'!$K$6:$K$3693,'Diags Raw Data'!$M$6:$M$3693)/J20)</f>
        <v>1</v>
      </c>
      <c r="L20" s="376" cm="1">
        <f t="array" ref="L20">IF(D20="",0, SUMPRODUCT(--(ISNUMBER(SEARCH($A20,'Diags Raw Data'!$A$6:$A$3693))),'Diags Raw Data'!$K$6:$K$3693,'Diags Raw Data'!$O$6:$O$3693)/J20)</f>
        <v>0.6</v>
      </c>
      <c r="M20" s="377" cm="1">
        <f t="array" ref="M20">SUMPRODUCT(--(ISNUMBER(SEARCH($A20,'Diags Raw Data'!$A$6:$A$3693))),--('Diags Raw Data'!$P$6:$P$3693&lt;&gt;"N/A"),'Diags Raw Data'!$Q$6:$Q$3693)</f>
        <v>1</v>
      </c>
      <c r="N20" s="378" cm="1">
        <f t="array" ref="N20">SUMPRODUCT(--(ISNUMBER(SEARCH($A20,'Diags Raw Data'!$A$6:$A$3693))),--('Diags Raw Data'!$P$6:$P$3693&lt;&gt;"N/A"),'Diags Raw Data'!$S$6:$S$3693)+SUMPRODUCT(--(ISNUMBER(SEARCH($A20,'Diags Raw Data'!$A$6:$A$3693))),--('Diags Raw Data'!$P$6:$P$3693&lt;&gt;"N/A"),'Diags Raw Data'!$T$6:$T$3693)</f>
        <v>0</v>
      </c>
      <c r="O20" s="412">
        <f t="shared" si="10"/>
        <v>0</v>
      </c>
      <c r="P20" s="379">
        <f>SUMIF('Diags Raw Data'!$A$6:$A$3693,"*"&amp;$A20&amp;"*",'Diags Raw Data'!$Y$6:$Y$3693)</f>
        <v>0</v>
      </c>
      <c r="Q20" s="380">
        <f>SUM(SUMIF('Diags Raw Data'!$A$6:$A$3693,"*"&amp;$A20&amp;"*",'Diags Raw Data'!$Z$6:$Z$3693),SUMIF('Diags Raw Data'!$A$6:$A$3693,"*"&amp;$A20&amp;"*",'Diags Raw Data'!$AA$6:$AA$3693))</f>
        <v>0</v>
      </c>
      <c r="R20" s="381">
        <f t="shared" si="3"/>
        <v>0</v>
      </c>
      <c r="S20" s="381">
        <f t="shared" si="4"/>
        <v>0</v>
      </c>
      <c r="T20" s="382">
        <f t="shared" si="5"/>
        <v>0</v>
      </c>
      <c r="U20" s="415" t="s">
        <v>549</v>
      </c>
      <c r="V20" s="170"/>
    </row>
    <row r="21" spans="1:22" x14ac:dyDescent="0.25">
      <c r="A21" s="257" t="s">
        <v>389</v>
      </c>
      <c r="B21" s="308" t="str">
        <f>VLOOKUP(A21,'Feature Raw Data'!$A$3:$B$3835,2,FALSE)</f>
        <v>[MP1] SYSTEMHUB IF</v>
      </c>
      <c r="C21" s="260" t="str">
        <f>VLOOKUP(A21,'Feature Raw Data'!$A$3:$C$3835,3,FALSE)</f>
        <v>P2</v>
      </c>
      <c r="D21" s="82" t="str" cm="1">
        <f t="array" ref="D21">_xlfn.TEXTJOIN("",TRUE,IF(ISNUMBER(SEARCH($A21,'Diags Raw Data'!$A$6:$A$3693)),CONCATENATE('Diags Raw Data'!$H$6:$H$3693,", "),""))</f>
        <v xml:space="preserve">PM082.005, </v>
      </c>
      <c r="E21" s="169" t="str">
        <f>VLOOKUP(A21,'Diags Raw Data'!$A$6:$D$3693,4,FALSE)</f>
        <v>MP1</v>
      </c>
      <c r="F21" s="169" t="str">
        <f>VLOOKUP(A21,'Feature Raw Data'!$A$3:$E$3835,5,FALSE)</f>
        <v>Delta</v>
      </c>
      <c r="G21" s="169" t="str">
        <f t="shared" si="0"/>
        <v>Yes</v>
      </c>
      <c r="H21" s="169" t="str">
        <f t="shared" si="1"/>
        <v>Yes</v>
      </c>
      <c r="I21" s="260">
        <f>SUMIF('Diags Raw Data'!$A$6:$A$3693,"*"&amp;$A21&amp;"*",'Diags Raw Data'!$J$6:$J$3693)</f>
        <v>1</v>
      </c>
      <c r="J21" s="181">
        <f>SUMIF('Diags Raw Data'!$A$6:$A$3693,"*"&amp;$A21&amp;"*",'Diags Raw Data'!$K$6:$K$3693)</f>
        <v>1</v>
      </c>
      <c r="K21" s="375" cm="1">
        <f t="array" ref="K21">IF(D21="",0, SUMPRODUCT(--(ISNUMBER(SEARCH($A21,'Diags Raw Data'!$A$6:$A$3693))),'Diags Raw Data'!$K$6:$K$3693,'Diags Raw Data'!$M$6:$M$3693)/J21)</f>
        <v>1</v>
      </c>
      <c r="L21" s="376" cm="1">
        <f t="array" ref="L21">IF(D21="",0, SUMPRODUCT(--(ISNUMBER(SEARCH($A21,'Diags Raw Data'!$A$6:$A$3693))),'Diags Raw Data'!$K$6:$K$3693,'Diags Raw Data'!$O$6:$O$3693)/J21)</f>
        <v>0.6</v>
      </c>
      <c r="M21" s="377" cm="1">
        <f t="array" ref="M21">SUMPRODUCT(--(ISNUMBER(SEARCH($A21,'Diags Raw Data'!$A$6:$A$3693))),--('Diags Raw Data'!$P$6:$P$3693&lt;&gt;"N/A"),'Diags Raw Data'!$Q$6:$Q$3693)</f>
        <v>1</v>
      </c>
      <c r="N21" s="378" cm="1">
        <f t="array" ref="N21">SUMPRODUCT(--(ISNUMBER(SEARCH($A21,'Diags Raw Data'!$A$6:$A$3693))),--('Diags Raw Data'!$P$6:$P$3693&lt;&gt;"N/A"),'Diags Raw Data'!$S$6:$S$3693)+SUMPRODUCT(--(ISNUMBER(SEARCH($A21,'Diags Raw Data'!$A$6:$A$3693))),--('Diags Raw Data'!$P$6:$P$3693&lt;&gt;"N/A"),'Diags Raw Data'!$T$6:$T$3693)</f>
        <v>0</v>
      </c>
      <c r="O21" s="412">
        <f t="shared" si="10"/>
        <v>0</v>
      </c>
      <c r="P21" s="379">
        <f>SUMIF('Diags Raw Data'!$A$6:$A$3693,"*"&amp;$A21&amp;"*",'Diags Raw Data'!$Y$6:$Y$3693)</f>
        <v>0</v>
      </c>
      <c r="Q21" s="380">
        <f>SUM(SUMIF('Diags Raw Data'!$A$6:$A$3693,"*"&amp;$A21&amp;"*",'Diags Raw Data'!$Z$6:$Z$3693),SUMIF('Diags Raw Data'!$A$6:$A$3693,"*"&amp;$A21&amp;"*",'Diags Raw Data'!$AA$6:$AA$3693))</f>
        <v>0</v>
      </c>
      <c r="R21" s="381">
        <f t="shared" si="3"/>
        <v>0</v>
      </c>
      <c r="S21" s="381">
        <f t="shared" si="4"/>
        <v>0</v>
      </c>
      <c r="T21" s="382">
        <f t="shared" si="5"/>
        <v>0</v>
      </c>
      <c r="U21" s="415" t="s">
        <v>551</v>
      </c>
      <c r="V21" s="170"/>
    </row>
    <row r="22" spans="1:22" x14ac:dyDescent="0.25">
      <c r="A22" s="257" t="s">
        <v>395</v>
      </c>
      <c r="B22" s="308" t="str">
        <f>VLOOKUP(A22,'Feature Raw Data'!$A$3:$B$3835,2,FALSE)</f>
        <v>[MP1] Tensilica</v>
      </c>
      <c r="C22" s="260" t="str">
        <f>VLOOKUP(A22,'Feature Raw Data'!$A$3:$C$3835,3,FALSE)</f>
        <v>P2</v>
      </c>
      <c r="D22" s="82" t="str" cm="1">
        <f t="array" ref="D22">_xlfn.TEXTJOIN("",TRUE,IF(ISNUMBER(SEARCH($A22,'Diags Raw Data'!$A$6:$A$3693)),CONCATENATE('Diags Raw Data'!$H$6:$H$3693,", "),""))</f>
        <v xml:space="preserve">PM080.010, </v>
      </c>
      <c r="E22" s="169" t="str">
        <f>VLOOKUP(A22,'Diags Raw Data'!$A$6:$D$3693,4,FALSE)</f>
        <v>MP1</v>
      </c>
      <c r="F22" s="169" t="str">
        <f>VLOOKUP(A22,'Feature Raw Data'!$A$3:$E$3835,5,FALSE)</f>
        <v>Delta</v>
      </c>
      <c r="G22" s="169" t="str">
        <f t="shared" si="0"/>
        <v>Yes</v>
      </c>
      <c r="H22" s="169" t="str">
        <f t="shared" si="1"/>
        <v>Yes</v>
      </c>
      <c r="I22" s="260">
        <f>SUMIF('Diags Raw Data'!$A$6:$A$3693,"*"&amp;$A22&amp;"*",'Diags Raw Data'!$J$6:$J$3693)</f>
        <v>1</v>
      </c>
      <c r="J22" s="181">
        <f>SUMIF('Diags Raw Data'!$A$6:$A$3693,"*"&amp;$A22&amp;"*",'Diags Raw Data'!$K$6:$K$3693)</f>
        <v>1</v>
      </c>
      <c r="K22" s="375" cm="1">
        <f t="array" ref="K22">IF(D22="",0, SUMPRODUCT(--(ISNUMBER(SEARCH($A22,'Diags Raw Data'!$A$6:$A$3693))),'Diags Raw Data'!$K$6:$K$3693,'Diags Raw Data'!$M$6:$M$3693)/J22)</f>
        <v>1</v>
      </c>
      <c r="L22" s="376" cm="1">
        <f t="array" ref="L22">IF(D22="",0, SUMPRODUCT(--(ISNUMBER(SEARCH($A22,'Diags Raw Data'!$A$6:$A$3693))),'Diags Raw Data'!$K$6:$K$3693,'Diags Raw Data'!$O$6:$O$3693)/J22)</f>
        <v>0.6</v>
      </c>
      <c r="M22" s="377" cm="1">
        <f t="array" ref="M22">SUMPRODUCT(--(ISNUMBER(SEARCH($A22,'Diags Raw Data'!$A$6:$A$3693))),--('Diags Raw Data'!$P$6:$P$3693&lt;&gt;"N/A"),'Diags Raw Data'!$Q$6:$Q$3693)</f>
        <v>1</v>
      </c>
      <c r="N22" s="378" cm="1">
        <f t="array" ref="N22">SUMPRODUCT(--(ISNUMBER(SEARCH($A22,'Diags Raw Data'!$A$6:$A$3693))),--('Diags Raw Data'!$P$6:$P$3693&lt;&gt;"N/A"),'Diags Raw Data'!$S$6:$S$3693)+SUMPRODUCT(--(ISNUMBER(SEARCH($A22,'Diags Raw Data'!$A$6:$A$3693))),--('Diags Raw Data'!$P$6:$P$3693&lt;&gt;"N/A"),'Diags Raw Data'!$T$6:$T$3693)</f>
        <v>0</v>
      </c>
      <c r="O22" s="412">
        <f t="shared" si="10"/>
        <v>0</v>
      </c>
      <c r="P22" s="379">
        <f>SUMIF('Diags Raw Data'!$A$6:$A$3693,"*"&amp;$A22&amp;"*",'Diags Raw Data'!$Y$6:$Y$3693)</f>
        <v>0</v>
      </c>
      <c r="Q22" s="380">
        <f>SUM(SUMIF('Diags Raw Data'!$A$6:$A$3693,"*"&amp;$A22&amp;"*",'Diags Raw Data'!$Z$6:$Z$3693),SUMIF('Diags Raw Data'!$A$6:$A$3693,"*"&amp;$A22&amp;"*",'Diags Raw Data'!$AA$6:$AA$3693))</f>
        <v>0</v>
      </c>
      <c r="R22" s="381">
        <f t="shared" si="3"/>
        <v>0</v>
      </c>
      <c r="S22" s="381">
        <f t="shared" si="4"/>
        <v>0</v>
      </c>
      <c r="T22" s="382">
        <f t="shared" si="5"/>
        <v>0</v>
      </c>
      <c r="U22" s="415" t="s">
        <v>550</v>
      </c>
      <c r="V22" s="170"/>
    </row>
    <row r="23" spans="1:22" ht="135" x14ac:dyDescent="0.25">
      <c r="A23" s="257" t="s">
        <v>399</v>
      </c>
      <c r="B23" s="308" t="str">
        <f>VLOOKUP(A23,'Feature Raw Data'!$A$3:$B$3835,2,FALSE)</f>
        <v>[MP1] DFP</v>
      </c>
      <c r="C23" s="260" t="str">
        <f>VLOOKUP(A23,'Feature Raw Data'!$A$3:$C$3835,3,FALSE)</f>
        <v>P2</v>
      </c>
      <c r="D23" s="82" t="str" cm="1">
        <f t="array" ref="D23">_xlfn.TEXTJOIN("",TRUE,IF(ISNUMBER(SEARCH($A23,'Diags Raw Data'!$A$6:$A$3693)),CONCATENATE('Diags Raw Data'!$H$6:$H$3693,", "),""))</f>
        <v/>
      </c>
      <c r="E23" s="169" t="e">
        <f>VLOOKUP(A23,'Diags Raw Data'!$A$6:$D$3693,4,FALSE)</f>
        <v>#N/A</v>
      </c>
      <c r="F23" s="169" t="str">
        <f>VLOOKUP(A23,'Feature Raw Data'!$A$3:$E$3835,5,FALSE)</f>
        <v>Delta</v>
      </c>
      <c r="G23" s="487" t="s">
        <v>31</v>
      </c>
      <c r="H23" s="492" t="s">
        <v>552</v>
      </c>
      <c r="I23" s="488">
        <v>0</v>
      </c>
      <c r="J23" s="181">
        <f>SUMIF('Diags Raw Data'!$A$6:$A$3693,"*"&amp;$A23&amp;"*",'Diags Raw Data'!$K$6:$K$3693)</f>
        <v>0</v>
      </c>
      <c r="K23" s="375" cm="1">
        <f t="array" ref="K23">IF(D23="",0, SUMPRODUCT(--(ISNUMBER(SEARCH($A23,'Diags Raw Data'!$A$6:$A$3693))),'Diags Raw Data'!$K$6:$K$3693,'Diags Raw Data'!$M$6:$M$3693)/J23)</f>
        <v>0</v>
      </c>
      <c r="L23" s="376" cm="1">
        <f t="array" ref="L23">IF(D23="",0, SUMPRODUCT(--(ISNUMBER(SEARCH($A23,'Diags Raw Data'!$A$6:$A$3693))),'Diags Raw Data'!$K$6:$K$3693,'Diags Raw Data'!$O$6:$O$3693)/J23)</f>
        <v>0</v>
      </c>
      <c r="M23" s="377" cm="1">
        <f t="array" ref="M23">SUMPRODUCT(--(ISNUMBER(SEARCH($A23,'Diags Raw Data'!$A$6:$A$3693))),--('Diags Raw Data'!$P$6:$P$3693&lt;&gt;"N/A"),'Diags Raw Data'!$Q$6:$Q$3693)</f>
        <v>0</v>
      </c>
      <c r="N23" s="378" cm="1">
        <f t="array" ref="N23">SUMPRODUCT(--(ISNUMBER(SEARCH($A23,'Diags Raw Data'!$A$6:$A$3693))),--('Diags Raw Data'!$P$6:$P$3693&lt;&gt;"N/A"),'Diags Raw Data'!$S$6:$S$3693)+SUMPRODUCT(--(ISNUMBER(SEARCH($A23,'Diags Raw Data'!$A$6:$A$3693))),--('Diags Raw Data'!$P$6:$P$3693&lt;&gt;"N/A"),'Diags Raw Data'!$T$6:$T$3693)</f>
        <v>0</v>
      </c>
      <c r="O23" s="412">
        <f t="shared" si="10"/>
        <v>0</v>
      </c>
      <c r="P23" s="379">
        <f>SUMIF('Diags Raw Data'!$A$6:$A$3693,"*"&amp;$A23&amp;"*",'Diags Raw Data'!$Y$6:$Y$3693)</f>
        <v>0</v>
      </c>
      <c r="Q23" s="380">
        <f>SUM(SUMIF('Diags Raw Data'!$A$6:$A$3693,"*"&amp;$A23&amp;"*",'Diags Raw Data'!$Z$6:$Z$3693),SUMIF('Diags Raw Data'!$A$6:$A$3693,"*"&amp;$A23&amp;"*",'Diags Raw Data'!$AA$6:$AA$3693))</f>
        <v>0</v>
      </c>
      <c r="R23" s="381">
        <f t="shared" si="3"/>
        <v>0</v>
      </c>
      <c r="S23" s="381">
        <f t="shared" si="4"/>
        <v>0</v>
      </c>
      <c r="T23" s="382">
        <f t="shared" si="5"/>
        <v>0</v>
      </c>
      <c r="U23" s="415" t="s">
        <v>549</v>
      </c>
      <c r="V23" s="170"/>
    </row>
    <row r="24" spans="1:22" x14ac:dyDescent="0.25">
      <c r="A24" s="257" t="s">
        <v>401</v>
      </c>
      <c r="B24" s="308" t="str">
        <f>VLOOKUP(A24,'Feature Raw Data'!$A$3:$B$3835,2,FALSE)</f>
        <v>[RSMU] AXI and Register Interface</v>
      </c>
      <c r="C24" s="260" t="str">
        <f>VLOOKUP(A24,'Feature Raw Data'!$A$3:$C$3835,3,FALSE)</f>
        <v>P2</v>
      </c>
      <c r="D24" s="82" t="str" cm="1">
        <f t="array" ref="D24">_xlfn.TEXTJOIN("",TRUE,IF(ISNUMBER(SEARCH($A24,'Diags Raw Data'!$A$6:$A$3693)),CONCATENATE('Diags Raw Data'!$H$6:$H$3693,", "),""))</f>
        <v xml:space="preserve">Timestamp cover, </v>
      </c>
      <c r="E24" s="169" t="str">
        <f>VLOOKUP(A24,'Diags Raw Data'!$A$6:$D$3693,4,FALSE)</f>
        <v>RSMU</v>
      </c>
      <c r="F24" s="169" t="str">
        <f>VLOOKUP(A24,'Feature Raw Data'!$A$3:$E$3835,5,FALSE)</f>
        <v>Delta</v>
      </c>
      <c r="G24" s="169" t="str">
        <f t="shared" si="0"/>
        <v>Yes</v>
      </c>
      <c r="H24" s="169" t="str">
        <f t="shared" si="1"/>
        <v>Yes</v>
      </c>
      <c r="I24" s="260">
        <f>SUMIF('Diags Raw Data'!$A$6:$A$3693,"*"&amp;$A24&amp;"*",'Diags Raw Data'!$J$6:$J$3693)</f>
        <v>1</v>
      </c>
      <c r="J24" s="181">
        <f>SUMIF('Diags Raw Data'!$A$6:$A$3693,"*"&amp;$A24&amp;"*",'Diags Raw Data'!$K$6:$K$3693)</f>
        <v>1</v>
      </c>
      <c r="K24" s="375" cm="1">
        <f t="array" ref="K24">IF(D24="",0, SUMPRODUCT(--(ISNUMBER(SEARCH($A24,'Diags Raw Data'!$A$6:$A$3693))),'Diags Raw Data'!$K$6:$K$3693,'Diags Raw Data'!$M$6:$M$3693)/J24)</f>
        <v>1</v>
      </c>
      <c r="L24" s="376" cm="1">
        <f t="array" ref="L24">IF(D24="",0, SUMPRODUCT(--(ISNUMBER(SEARCH($A24,'Diags Raw Data'!$A$6:$A$3693))),'Diags Raw Data'!$K$6:$K$3693,'Diags Raw Data'!$O$6:$O$3693)/J24)</f>
        <v>0.6</v>
      </c>
      <c r="M24" s="377" cm="1">
        <f t="array" ref="M24">SUMPRODUCT(--(ISNUMBER(SEARCH($A24,'Diags Raw Data'!$A$6:$A$3693))),--('Diags Raw Data'!$P$6:$P$3693&lt;&gt;"N/A"),'Diags Raw Data'!$Q$6:$Q$3693)</f>
        <v>1</v>
      </c>
      <c r="N24" s="378" cm="1">
        <f t="array" ref="N24">SUMPRODUCT(--(ISNUMBER(SEARCH($A24,'Diags Raw Data'!$A$6:$A$3693))),--('Diags Raw Data'!$P$6:$P$3693&lt;&gt;"N/A"),'Diags Raw Data'!$S$6:$S$3693)+SUMPRODUCT(--(ISNUMBER(SEARCH($A24,'Diags Raw Data'!$A$6:$A$3693))),--('Diags Raw Data'!$P$6:$P$3693&lt;&gt;"N/A"),'Diags Raw Data'!$T$6:$T$3693)</f>
        <v>0</v>
      </c>
      <c r="O24" s="412">
        <f t="shared" si="10"/>
        <v>0</v>
      </c>
      <c r="P24" s="379">
        <f>SUMIF('Diags Raw Data'!$A$6:$A$3693,"*"&amp;$A24&amp;"*",'Diags Raw Data'!$Y$6:$Y$3693)</f>
        <v>0</v>
      </c>
      <c r="Q24" s="380">
        <f>SUM(SUMIF('Diags Raw Data'!$A$6:$A$3693,"*"&amp;$A24&amp;"*",'Diags Raw Data'!$Z$6:$Z$3693),SUMIF('Diags Raw Data'!$A$6:$A$3693,"*"&amp;$A24&amp;"*",'Diags Raw Data'!$AA$6:$AA$3693))</f>
        <v>0</v>
      </c>
      <c r="R24" s="381">
        <f t="shared" si="3"/>
        <v>0</v>
      </c>
      <c r="S24" s="381">
        <f t="shared" si="4"/>
        <v>0</v>
      </c>
      <c r="T24" s="382">
        <f t="shared" si="5"/>
        <v>0</v>
      </c>
      <c r="U24" s="415" t="s">
        <v>549</v>
      </c>
      <c r="V24" s="170"/>
    </row>
    <row r="25" spans="1:22" x14ac:dyDescent="0.25">
      <c r="A25" s="257" t="s">
        <v>406</v>
      </c>
      <c r="B25" s="308" t="str">
        <f>VLOOKUP(A25,'Feature Raw Data'!$A$3:$B$3835,2,FALSE)</f>
        <v>[RSMU] Clock Gating Control Registers</v>
      </c>
      <c r="C25" s="260" t="str">
        <f>VLOOKUP(A25,'Feature Raw Data'!$A$3:$C$3835,3,FALSE)</f>
        <v>P2</v>
      </c>
      <c r="D25" s="82" t="str" cm="1">
        <f t="array" ref="D25">_xlfn.TEXTJOIN("",TRUE,IF(ISNUMBER(SEARCH($A25,'Diags Raw Data'!$A$6:$A$3693)),CONCATENATE('Diags Raw Data'!$H$6:$H$3693,", "),""))</f>
        <v xml:space="preserve">PM051.010, </v>
      </c>
      <c r="E25" s="169" t="str">
        <f>VLOOKUP(A25,'Diags Raw Data'!$A$6:$D$3693,4,FALSE)</f>
        <v>RSMU</v>
      </c>
      <c r="F25" s="169" t="str">
        <f>VLOOKUP(A25,'Feature Raw Data'!$A$3:$E$3835,5,FALSE)</f>
        <v>Delta</v>
      </c>
      <c r="G25" s="169" t="str">
        <f t="shared" si="0"/>
        <v>Yes</v>
      </c>
      <c r="H25" s="169" t="str">
        <f t="shared" si="1"/>
        <v>Yes</v>
      </c>
      <c r="I25" s="260">
        <f>SUMIF('Diags Raw Data'!$A$6:$A$3693,"*"&amp;$A25&amp;"*",'Diags Raw Data'!$J$6:$J$3693)</f>
        <v>1</v>
      </c>
      <c r="J25" s="181">
        <f>SUMIF('Diags Raw Data'!$A$6:$A$3693,"*"&amp;$A25&amp;"*",'Diags Raw Data'!$K$6:$K$3693)</f>
        <v>1</v>
      </c>
      <c r="K25" s="375" cm="1">
        <f t="array" ref="K25">IF(D25="",0, SUMPRODUCT(--(ISNUMBER(SEARCH($A25,'Diags Raw Data'!$A$6:$A$3693))),'Diags Raw Data'!$K$6:$K$3693,'Diags Raw Data'!$M$6:$M$3693)/J25)</f>
        <v>1</v>
      </c>
      <c r="L25" s="376" cm="1">
        <f t="array" ref="L25">IF(D25="",0, SUMPRODUCT(--(ISNUMBER(SEARCH($A25,'Diags Raw Data'!$A$6:$A$3693))),'Diags Raw Data'!$K$6:$K$3693,'Diags Raw Data'!$O$6:$O$3693)/J25)</f>
        <v>0.6</v>
      </c>
      <c r="M25" s="377" cm="1">
        <f t="array" ref="M25">SUMPRODUCT(--(ISNUMBER(SEARCH($A25,'Diags Raw Data'!$A$6:$A$3693))),--('Diags Raw Data'!$P$6:$P$3693&lt;&gt;"N/A"),'Diags Raw Data'!$Q$6:$Q$3693)</f>
        <v>1</v>
      </c>
      <c r="N25" s="378" cm="1">
        <f t="array" ref="N25">SUMPRODUCT(--(ISNUMBER(SEARCH($A25,'Diags Raw Data'!$A$6:$A$3693))),--('Diags Raw Data'!$P$6:$P$3693&lt;&gt;"N/A"),'Diags Raw Data'!$S$6:$S$3693)+SUMPRODUCT(--(ISNUMBER(SEARCH($A25,'Diags Raw Data'!$A$6:$A$3693))),--('Diags Raw Data'!$P$6:$P$3693&lt;&gt;"N/A"),'Diags Raw Data'!$T$6:$T$3693)</f>
        <v>0</v>
      </c>
      <c r="O25" s="412">
        <f t="shared" ref="O25:O26" si="11">IF((M25=0),0,N25/M25)</f>
        <v>0</v>
      </c>
      <c r="P25" s="379">
        <f>SUMIF('Diags Raw Data'!$A$6:$A$3693,"*"&amp;$A25&amp;"*",'Diags Raw Data'!$Y$6:$Y$3693)</f>
        <v>0</v>
      </c>
      <c r="Q25" s="380">
        <f>SUM(SUMIF('Diags Raw Data'!$A$6:$A$3693,"*"&amp;$A25&amp;"*",'Diags Raw Data'!$Z$6:$Z$3693),SUMIF('Diags Raw Data'!$A$6:$A$3693,"*"&amp;$A25&amp;"*",'Diags Raw Data'!$AA$6:$AA$3693))</f>
        <v>0</v>
      </c>
      <c r="R25" s="381">
        <f t="shared" ref="R25:R43" si="12">IF((J25=0),0,P25/J25)</f>
        <v>0</v>
      </c>
      <c r="S25" s="381">
        <f t="shared" ref="S25:S43" si="13">IF((P25=0),0,Q25/P25)</f>
        <v>0</v>
      </c>
      <c r="T25" s="382">
        <f t="shared" ref="T25:T43" si="14">R25*S25</f>
        <v>0</v>
      </c>
      <c r="U25" s="415" t="s">
        <v>553</v>
      </c>
      <c r="V25" s="170"/>
    </row>
    <row r="26" spans="1:22" x14ac:dyDescent="0.25">
      <c r="A26" s="257" t="s">
        <v>412</v>
      </c>
      <c r="B26" s="308" t="str">
        <f>VLOOKUP(A26,'Feature Raw Data'!$A$3:$B$3835,2,FALSE)</f>
        <v>[RSMU] DPM Signal</v>
      </c>
      <c r="C26" s="260" t="str">
        <f>VLOOKUP(A26,'Feature Raw Data'!$A$3:$C$3835,3,FALSE)</f>
        <v>P2</v>
      </c>
      <c r="D26" s="82" t="str" cm="1">
        <f t="array" ref="D26">_xlfn.TEXTJOIN("",TRUE,IF(ISNUMBER(SEARCH($A26,'Diags Raw Data'!$A$6:$A$3693)),CONCATENATE('Diags Raw Data'!$H$6:$H$3693,", "),""))</f>
        <v xml:space="preserve">PM051.007, </v>
      </c>
      <c r="E26" s="169" t="str">
        <f>VLOOKUP(A26,'Diags Raw Data'!$A$6:$D$3693,4,FALSE)</f>
        <v>RSMU</v>
      </c>
      <c r="F26" s="169" t="str">
        <f>VLOOKUP(A26,'Feature Raw Data'!$A$3:$E$3835,5,FALSE)</f>
        <v>Delta</v>
      </c>
      <c r="G26" s="169" t="str">
        <f t="shared" si="0"/>
        <v>Yes</v>
      </c>
      <c r="H26" s="169" t="str">
        <f t="shared" si="1"/>
        <v>Yes</v>
      </c>
      <c r="I26" s="260">
        <f>SUMIF('Diags Raw Data'!$A$6:$A$3693,"*"&amp;$A26&amp;"*",'Diags Raw Data'!$J$6:$J$3693)</f>
        <v>1</v>
      </c>
      <c r="J26" s="181">
        <f>SUMIF('Diags Raw Data'!$A$6:$A$3693,"*"&amp;$A26&amp;"*",'Diags Raw Data'!$K$6:$K$3693)</f>
        <v>1</v>
      </c>
      <c r="K26" s="375" cm="1">
        <f t="array" ref="K26">IF(D26="",0, SUMPRODUCT(--(ISNUMBER(SEARCH($A26,'Diags Raw Data'!$A$6:$A$3693))),'Diags Raw Data'!$K$6:$K$3693,'Diags Raw Data'!$M$6:$M$3693)/J26)</f>
        <v>1</v>
      </c>
      <c r="L26" s="376" cm="1">
        <f t="array" ref="L26">IF(D26="",0, SUMPRODUCT(--(ISNUMBER(SEARCH($A26,'Diags Raw Data'!$A$6:$A$3693))),'Diags Raw Data'!$K$6:$K$3693,'Diags Raw Data'!$O$6:$O$3693)/J26)</f>
        <v>0.6</v>
      </c>
      <c r="M26" s="377" cm="1">
        <f t="array" ref="M26">SUMPRODUCT(--(ISNUMBER(SEARCH($A26,'Diags Raw Data'!$A$6:$A$3693))),--('Diags Raw Data'!$P$6:$P$3693&lt;&gt;"N/A"),'Diags Raw Data'!$Q$6:$Q$3693)</f>
        <v>1</v>
      </c>
      <c r="N26" s="378" cm="1">
        <f t="array" ref="N26">SUMPRODUCT(--(ISNUMBER(SEARCH($A26,'Diags Raw Data'!$A$6:$A$3693))),--('Diags Raw Data'!$P$6:$P$3693&lt;&gt;"N/A"),'Diags Raw Data'!$S$6:$S$3693)+SUMPRODUCT(--(ISNUMBER(SEARCH($A26,'Diags Raw Data'!$A$6:$A$3693))),--('Diags Raw Data'!$P$6:$P$3693&lt;&gt;"N/A"),'Diags Raw Data'!$T$6:$T$3693)</f>
        <v>0</v>
      </c>
      <c r="O26" s="412">
        <f t="shared" si="11"/>
        <v>0</v>
      </c>
      <c r="P26" s="379">
        <f>SUMIF('Diags Raw Data'!$A$6:$A$3693,"*"&amp;$A26&amp;"*",'Diags Raw Data'!$Y$6:$Y$3693)</f>
        <v>0</v>
      </c>
      <c r="Q26" s="380">
        <f>SUM(SUMIF('Diags Raw Data'!$A$6:$A$3693,"*"&amp;$A26&amp;"*",'Diags Raw Data'!$Z$6:$Z$3693),SUMIF('Diags Raw Data'!$A$6:$A$3693,"*"&amp;$A26&amp;"*",'Diags Raw Data'!$AA$6:$AA$3693))</f>
        <v>0</v>
      </c>
      <c r="R26" s="381">
        <f t="shared" si="12"/>
        <v>0</v>
      </c>
      <c r="S26" s="381">
        <f t="shared" si="13"/>
        <v>0</v>
      </c>
      <c r="T26" s="382">
        <f t="shared" si="14"/>
        <v>0</v>
      </c>
      <c r="U26" s="415" t="s">
        <v>44</v>
      </c>
      <c r="V26" s="170"/>
    </row>
    <row r="27" spans="1:22" ht="30" x14ac:dyDescent="0.25">
      <c r="A27" s="257" t="s">
        <v>554</v>
      </c>
      <c r="B27" s="308" t="str">
        <f>VLOOKUP(A27,'Feature Raw Data'!$A$3:$B$3835,2,FALSE)</f>
        <v>[RSMU] Fuse</v>
      </c>
      <c r="C27" s="260" t="str">
        <f>VLOOKUP(A27,'Feature Raw Data'!$A$3:$C$3835,3,FALSE)</f>
        <v>P2</v>
      </c>
      <c r="D27" s="82" t="str" cm="1">
        <f t="array" ref="D27">_xlfn.TEXTJOIN("",TRUE,IF(ISNUMBER(SEARCH($A27,'Diags Raw Data'!$A$6:$A$3693)),CONCATENATE('Diags Raw Data'!$H$6:$H$3693,", "),""))</f>
        <v/>
      </c>
      <c r="E27" s="169" t="e">
        <f>VLOOKUP(A27,'Diags Raw Data'!$A$6:$D$3693,4,FALSE)</f>
        <v>#N/A</v>
      </c>
      <c r="F27" s="169" t="str">
        <f>VLOOKUP(A27,'Feature Raw Data'!$A$3:$E$3835,5,FALSE)</f>
        <v>Delta</v>
      </c>
      <c r="G27" s="169" t="s">
        <v>31</v>
      </c>
      <c r="H27" s="489" t="s">
        <v>555</v>
      </c>
      <c r="I27" s="260">
        <f>SUMIF('Diags Raw Data'!$A$6:$A$3693,"*"&amp;$A27&amp;"*",'Diags Raw Data'!$J$6:$J$3693)</f>
        <v>0</v>
      </c>
      <c r="J27" s="181">
        <f>SUMIF('Diags Raw Data'!$A$6:$A$3693,"*"&amp;$A27&amp;"*",'Diags Raw Data'!$K$6:$K$3693)</f>
        <v>0</v>
      </c>
      <c r="K27" s="375" cm="1">
        <f t="array" ref="K27">IF(D27="",0, SUMPRODUCT(--(ISNUMBER(SEARCH($A27,'Diags Raw Data'!$A$6:$A$3693))),'Diags Raw Data'!$K$6:$K$3693,'Diags Raw Data'!$M$6:$M$3693)/J27)</f>
        <v>0</v>
      </c>
      <c r="L27" s="376" cm="1">
        <f t="array" ref="L27">IF(D27="",0, SUMPRODUCT(--(ISNUMBER(SEARCH($A27,'Diags Raw Data'!$A$6:$A$3693))),'Diags Raw Data'!$K$6:$K$3693,'Diags Raw Data'!$O$6:$O$3693)/J27)</f>
        <v>0</v>
      </c>
      <c r="M27" s="377" cm="1">
        <f t="array" ref="M27">SUMPRODUCT(--(ISNUMBER(SEARCH($A27,'Diags Raw Data'!$A$6:$A$3693))),--('Diags Raw Data'!$P$6:$P$3693&lt;&gt;"N/A"),'Diags Raw Data'!$Q$6:$Q$3693)</f>
        <v>0</v>
      </c>
      <c r="N27" s="378" cm="1">
        <f t="array" ref="N27">SUMPRODUCT(--(ISNUMBER(SEARCH($A27,'Diags Raw Data'!$A$6:$A$3693))),--('Diags Raw Data'!$P$6:$P$3693&lt;&gt;"N/A"),'Diags Raw Data'!$S$6:$S$3693)+SUMPRODUCT(--(ISNUMBER(SEARCH($A27,'Diags Raw Data'!$A$6:$A$3693))),--('Diags Raw Data'!$P$6:$P$3693&lt;&gt;"N/A"),'Diags Raw Data'!$T$6:$T$3693)</f>
        <v>0</v>
      </c>
      <c r="O27" s="412">
        <f>IF((M27=0),0,N27/M27)</f>
        <v>0</v>
      </c>
      <c r="P27" s="379">
        <f>SUMIF('Diags Raw Data'!$A$6:$A$3693,"*"&amp;$A27&amp;"*",'Diags Raw Data'!$Y$6:$Y$3693)</f>
        <v>0</v>
      </c>
      <c r="Q27" s="380">
        <f>SUM(SUMIF('Diags Raw Data'!$A$6:$A$3693,"*"&amp;$A27&amp;"*",'Diags Raw Data'!$Z$6:$Z$3693),SUMIF('Diags Raw Data'!$A$6:$A$3693,"*"&amp;$A27&amp;"*",'Diags Raw Data'!$AA$6:$AA$3693))</f>
        <v>0</v>
      </c>
      <c r="R27" s="381">
        <f t="shared" si="12"/>
        <v>0</v>
      </c>
      <c r="S27" s="381">
        <f t="shared" si="13"/>
        <v>0</v>
      </c>
      <c r="T27" s="382">
        <f t="shared" si="14"/>
        <v>0</v>
      </c>
      <c r="U27" s="415" t="s">
        <v>550</v>
      </c>
      <c r="V27" s="170"/>
    </row>
    <row r="28" spans="1:22" x14ac:dyDescent="0.25">
      <c r="A28" s="257" t="s">
        <v>419</v>
      </c>
      <c r="B28" s="308" t="str">
        <f>VLOOKUP(A28,'Feature Raw Data'!$A$3:$B$3835,2,FALSE)</f>
        <v>[RSMU] Interrupt</v>
      </c>
      <c r="C28" s="260" t="str">
        <f>VLOOKUP(A28,'Feature Raw Data'!$A$3:$C$3835,3,FALSE)</f>
        <v>P2</v>
      </c>
      <c r="D28" s="82" t="str" cm="1">
        <f t="array" ref="D28">_xlfn.TEXTJOIN("",TRUE,IF(ISNUMBER(SEARCH($A28,'Diags Raw Data'!$A$6:$A$3693)),CONCATENATE('Diags Raw Data'!$H$6:$H$3693,", "),""))</f>
        <v xml:space="preserve">PM051.008, </v>
      </c>
      <c r="E28" s="169" t="str">
        <f>VLOOKUP(A28,'Diags Raw Data'!$A$6:$D$3693,4,FALSE)</f>
        <v>RSMU</v>
      </c>
      <c r="F28" s="169" t="str">
        <f>VLOOKUP(A28,'Feature Raw Data'!$A$3:$E$3835,5,FALSE)</f>
        <v>Delta</v>
      </c>
      <c r="G28" s="169" t="str">
        <f t="shared" si="0"/>
        <v>Yes</v>
      </c>
      <c r="H28" s="169" t="str">
        <f t="shared" si="1"/>
        <v>Yes</v>
      </c>
      <c r="I28" s="260">
        <f>SUMIF('Diags Raw Data'!$A$6:$A$3693,"*"&amp;$A28&amp;"*",'Diags Raw Data'!$J$6:$J$3693)</f>
        <v>1</v>
      </c>
      <c r="J28" s="181">
        <f>SUMIF('Diags Raw Data'!$A$6:$A$3693,"*"&amp;$A28&amp;"*",'Diags Raw Data'!$K$6:$K$3693)</f>
        <v>1</v>
      </c>
      <c r="K28" s="375" cm="1">
        <f t="array" ref="K28">IF(D28="",0, SUMPRODUCT(--(ISNUMBER(SEARCH($A28,'Diags Raw Data'!$A$6:$A$3693))),'Diags Raw Data'!$K$6:$K$3693,'Diags Raw Data'!$M$6:$M$3693)/J28)</f>
        <v>1</v>
      </c>
      <c r="L28" s="376" cm="1">
        <f t="array" ref="L28">IF(D28="",0, SUMPRODUCT(--(ISNUMBER(SEARCH($A28,'Diags Raw Data'!$A$6:$A$3693))),'Diags Raw Data'!$K$6:$K$3693,'Diags Raw Data'!$O$6:$O$3693)/J28)</f>
        <v>0.6</v>
      </c>
      <c r="M28" s="377" cm="1">
        <f t="array" ref="M28">SUMPRODUCT(--(ISNUMBER(SEARCH($A28,'Diags Raw Data'!$A$6:$A$3693))),--('Diags Raw Data'!$P$6:$P$3693&lt;&gt;"N/A"),'Diags Raw Data'!$Q$6:$Q$3693)</f>
        <v>1</v>
      </c>
      <c r="N28" s="378" cm="1">
        <f t="array" ref="N28">SUMPRODUCT(--(ISNUMBER(SEARCH($A28,'Diags Raw Data'!$A$6:$A$3693))),--('Diags Raw Data'!$P$6:$P$3693&lt;&gt;"N/A"),'Diags Raw Data'!$S$6:$S$3693)+SUMPRODUCT(--(ISNUMBER(SEARCH($A28,'Diags Raw Data'!$A$6:$A$3693))),--('Diags Raw Data'!$P$6:$P$3693&lt;&gt;"N/A"),'Diags Raw Data'!$T$6:$T$3693)</f>
        <v>0</v>
      </c>
      <c r="O28" s="412">
        <f t="shared" ref="O28:O43" si="15">IF((M28=0),0,N28/M28)</f>
        <v>0</v>
      </c>
      <c r="P28" s="379">
        <f>SUMIF('Diags Raw Data'!$A$6:$A$3693,"*"&amp;$A28&amp;"*",'Diags Raw Data'!$Y$6:$Y$3693)</f>
        <v>0</v>
      </c>
      <c r="Q28" s="380">
        <f>SUM(SUMIF('Diags Raw Data'!$A$6:$A$3693,"*"&amp;$A28&amp;"*",'Diags Raw Data'!$Z$6:$Z$3693),SUMIF('Diags Raw Data'!$A$6:$A$3693,"*"&amp;$A28&amp;"*",'Diags Raw Data'!$AA$6:$AA$3693))</f>
        <v>0</v>
      </c>
      <c r="R28" s="381">
        <f t="shared" si="12"/>
        <v>0</v>
      </c>
      <c r="S28" s="381">
        <f t="shared" si="13"/>
        <v>0</v>
      </c>
      <c r="T28" s="382">
        <f t="shared" si="14"/>
        <v>0</v>
      </c>
      <c r="U28" s="415" t="s">
        <v>550</v>
      </c>
      <c r="V28" s="170"/>
    </row>
    <row r="29" spans="1:22" x14ac:dyDescent="0.25">
      <c r="A29" s="257" t="s">
        <v>424</v>
      </c>
      <c r="B29" s="308" t="str">
        <f>VLOOKUP(A29,'Feature Raw Data'!$A$3:$B$3835,2,FALSE)</f>
        <v>[RSMU] Residency Counter</v>
      </c>
      <c r="C29" s="260" t="str">
        <f>VLOOKUP(A29,'Feature Raw Data'!$A$3:$C$3835,3,FALSE)</f>
        <v>P2</v>
      </c>
      <c r="D29" s="82" t="str" cm="1">
        <f t="array" ref="D29">_xlfn.TEXTJOIN("",TRUE,IF(ISNUMBER(SEARCH($A29,'Diags Raw Data'!$A$6:$A$3693)),CONCATENATE('Diags Raw Data'!$H$6:$H$3693,", "),""))</f>
        <v xml:space="preserve">DeepSleep cover, </v>
      </c>
      <c r="E29" s="169" t="str">
        <f>VLOOKUP(A29,'Diags Raw Data'!$A$6:$D$3693,4,FALSE)</f>
        <v>RSMU</v>
      </c>
      <c r="F29" s="169" t="str">
        <f>VLOOKUP(A29,'Feature Raw Data'!$A$3:$E$3835,5,FALSE)</f>
        <v>Delta</v>
      </c>
      <c r="G29" s="169" t="str">
        <f t="shared" si="0"/>
        <v>Yes</v>
      </c>
      <c r="H29" s="169" t="str">
        <f t="shared" si="1"/>
        <v>Yes</v>
      </c>
      <c r="I29" s="260">
        <f>SUMIF('Diags Raw Data'!$A$6:$A$3693,"*"&amp;$A29&amp;"*",'Diags Raw Data'!$J$6:$J$3693)</f>
        <v>1</v>
      </c>
      <c r="J29" s="181">
        <f>SUMIF('Diags Raw Data'!$A$6:$A$3693,"*"&amp;$A29&amp;"*",'Diags Raw Data'!$K$6:$K$3693)</f>
        <v>1</v>
      </c>
      <c r="K29" s="375" cm="1">
        <f t="array" ref="K29">IF(D29="",0, SUMPRODUCT(--(ISNUMBER(SEARCH($A29,'Diags Raw Data'!$A$6:$A$3693))),'Diags Raw Data'!$K$6:$K$3693,'Diags Raw Data'!$M$6:$M$3693)/J29)</f>
        <v>1</v>
      </c>
      <c r="L29" s="376" cm="1">
        <f t="array" ref="L29">IF(D29="",0, SUMPRODUCT(--(ISNUMBER(SEARCH($A29,'Diags Raw Data'!$A$6:$A$3693))),'Diags Raw Data'!$K$6:$K$3693,'Diags Raw Data'!$O$6:$O$3693)/J29)</f>
        <v>0.6</v>
      </c>
      <c r="M29" s="377" cm="1">
        <f t="array" ref="M29">SUMPRODUCT(--(ISNUMBER(SEARCH($A29,'Diags Raw Data'!$A$6:$A$3693))),--('Diags Raw Data'!$P$6:$P$3693&lt;&gt;"N/A"),'Diags Raw Data'!$Q$6:$Q$3693)</f>
        <v>1</v>
      </c>
      <c r="N29" s="378" cm="1">
        <f t="array" ref="N29">SUMPRODUCT(--(ISNUMBER(SEARCH($A29,'Diags Raw Data'!$A$6:$A$3693))),--('Diags Raw Data'!$P$6:$P$3693&lt;&gt;"N/A"),'Diags Raw Data'!$S$6:$S$3693)+SUMPRODUCT(--(ISNUMBER(SEARCH($A29,'Diags Raw Data'!$A$6:$A$3693))),--('Diags Raw Data'!$P$6:$P$3693&lt;&gt;"N/A"),'Diags Raw Data'!$T$6:$T$3693)</f>
        <v>0</v>
      </c>
      <c r="O29" s="412">
        <f t="shared" si="15"/>
        <v>0</v>
      </c>
      <c r="P29" s="379">
        <f>SUMIF('Diags Raw Data'!$A$6:$A$3693,"*"&amp;$A29&amp;"*",'Diags Raw Data'!$Y$6:$Y$3693)</f>
        <v>0</v>
      </c>
      <c r="Q29" s="380">
        <f>SUM(SUMIF('Diags Raw Data'!$A$6:$A$3693,"*"&amp;$A29&amp;"*",'Diags Raw Data'!$Z$6:$Z$3693),SUMIF('Diags Raw Data'!$A$6:$A$3693,"*"&amp;$A29&amp;"*",'Diags Raw Data'!$AA$6:$AA$3693))</f>
        <v>0</v>
      </c>
      <c r="R29" s="381">
        <f t="shared" si="12"/>
        <v>0</v>
      </c>
      <c r="S29" s="381">
        <f t="shared" si="13"/>
        <v>0</v>
      </c>
      <c r="T29" s="382">
        <f t="shared" si="14"/>
        <v>0</v>
      </c>
      <c r="U29" s="415" t="s">
        <v>547</v>
      </c>
      <c r="V29" s="170"/>
    </row>
    <row r="30" spans="1:22" x14ac:dyDescent="0.25">
      <c r="A30" s="257" t="s">
        <v>429</v>
      </c>
      <c r="B30" s="308" t="str">
        <f>VLOOKUP(A30,'Feature Raw Data'!$A$3:$B$3835,2,FALSE)</f>
        <v>[RSMU] RM</v>
      </c>
      <c r="C30" s="260" t="str">
        <f>VLOOKUP(A30,'Feature Raw Data'!$A$3:$C$3835,3,FALSE)</f>
        <v>P2</v>
      </c>
      <c r="D30" s="82" t="str" cm="1">
        <f t="array" ref="D30">_xlfn.TEXTJOIN("",TRUE,IF(ISNUMBER(SEARCH($A30,'Diags Raw Data'!$A$6:$A$3693)),CONCATENATE('Diags Raw Data'!$H$6:$H$3693,", "),""))</f>
        <v/>
      </c>
      <c r="E30" s="169" t="e">
        <f>VLOOKUP(A30,'Diags Raw Data'!$A$6:$D$3693,4,FALSE)</f>
        <v>#N/A</v>
      </c>
      <c r="F30" s="169" t="str">
        <f>VLOOKUP(A30,'Feature Raw Data'!$A$3:$E$3835,5,FALSE)</f>
        <v>Delta</v>
      </c>
      <c r="G30" s="169" t="s">
        <v>31</v>
      </c>
      <c r="H30" s="169" t="str">
        <f t="shared" si="1"/>
        <v>No</v>
      </c>
      <c r="I30" s="260">
        <f>SUMIF('Diags Raw Data'!$A$6:$A$3693,"*"&amp;$A30&amp;"*",'Diags Raw Data'!$J$6:$J$3693)</f>
        <v>0</v>
      </c>
      <c r="J30" s="181">
        <f>SUMIF('Diags Raw Data'!$A$6:$A$3693,"*"&amp;$A30&amp;"*",'Diags Raw Data'!$K$6:$K$3693)</f>
        <v>0</v>
      </c>
      <c r="K30" s="375" cm="1">
        <f t="array" ref="K30">IF(D30="",0, SUMPRODUCT(--(ISNUMBER(SEARCH($A30,'Diags Raw Data'!$A$6:$A$3693))),'Diags Raw Data'!$K$6:$K$3693,'Diags Raw Data'!$M$6:$M$3693)/J30)</f>
        <v>0</v>
      </c>
      <c r="L30" s="376" cm="1">
        <f t="array" ref="L30">IF(D30="",0, SUMPRODUCT(--(ISNUMBER(SEARCH($A30,'Diags Raw Data'!$A$6:$A$3693))),'Diags Raw Data'!$K$6:$K$3693,'Diags Raw Data'!$O$6:$O$3693)/J30)</f>
        <v>0</v>
      </c>
      <c r="M30" s="377" cm="1">
        <f t="array" ref="M30">SUMPRODUCT(--(ISNUMBER(SEARCH($A30,'Diags Raw Data'!$A$6:$A$3693))),--('Diags Raw Data'!$P$6:$P$3693&lt;&gt;"N/A"),'Diags Raw Data'!$Q$6:$Q$3693)</f>
        <v>0</v>
      </c>
      <c r="N30" s="378" cm="1">
        <f t="array" ref="N30">SUMPRODUCT(--(ISNUMBER(SEARCH($A30,'Diags Raw Data'!$A$6:$A$3693))),--('Diags Raw Data'!$P$6:$P$3693&lt;&gt;"N/A"),'Diags Raw Data'!$S$6:$S$3693)+SUMPRODUCT(--(ISNUMBER(SEARCH($A30,'Diags Raw Data'!$A$6:$A$3693))),--('Diags Raw Data'!$P$6:$P$3693&lt;&gt;"N/A"),'Diags Raw Data'!$T$6:$T$3693)</f>
        <v>0</v>
      </c>
      <c r="O30" s="412">
        <f t="shared" si="15"/>
        <v>0</v>
      </c>
      <c r="P30" s="379">
        <f>SUMIF('Diags Raw Data'!$A$6:$A$3693,"*"&amp;$A30&amp;"*",'Diags Raw Data'!$Y$6:$Y$3693)</f>
        <v>0</v>
      </c>
      <c r="Q30" s="380">
        <f>SUM(SUMIF('Diags Raw Data'!$A$6:$A$3693,"*"&amp;$A30&amp;"*",'Diags Raw Data'!$Z$6:$Z$3693),SUMIF('Diags Raw Data'!$A$6:$A$3693,"*"&amp;$A30&amp;"*",'Diags Raw Data'!$AA$6:$AA$3693))</f>
        <v>0</v>
      </c>
      <c r="R30" s="381">
        <f t="shared" si="12"/>
        <v>0</v>
      </c>
      <c r="S30" s="381">
        <f t="shared" si="13"/>
        <v>0</v>
      </c>
      <c r="T30" s="382">
        <f t="shared" si="14"/>
        <v>0</v>
      </c>
      <c r="U30" s="415" t="s">
        <v>553</v>
      </c>
      <c r="V30" s="170"/>
    </row>
    <row r="31" spans="1:22" s="173" customFormat="1" x14ac:dyDescent="0.25">
      <c r="A31" s="257" t="s">
        <v>431</v>
      </c>
      <c r="B31" s="308" t="str">
        <f>VLOOKUP(A31,'Feature Raw Data'!$A$3:$B$3835,2,FALSE)</f>
        <v>[RSMU] Timestamp Counter</v>
      </c>
      <c r="C31" s="260" t="str">
        <f>VLOOKUP(A31,'Feature Raw Data'!$A$3:$C$3835,3,FALSE)</f>
        <v>P2</v>
      </c>
      <c r="D31" s="82" t="str" cm="1">
        <f t="array" ref="D31">_xlfn.TEXTJOIN("",TRUE,IF(ISNUMBER(SEARCH($A31,'Diags Raw Data'!$A$6:$A$3693)),CONCATENATE('Diags Raw Data'!$H$6:$H$3693,", "),""))</f>
        <v xml:space="preserve">PM051.004, </v>
      </c>
      <c r="E31" s="169" t="str">
        <f>VLOOKUP(A31,'Diags Raw Data'!$A$6:$D$3693,4,FALSE)</f>
        <v>RSMU</v>
      </c>
      <c r="F31" s="169" t="str">
        <f>VLOOKUP(A31,'Feature Raw Data'!$A$3:$E$3835,5,FALSE)</f>
        <v>Delta</v>
      </c>
      <c r="G31" s="169" t="str">
        <f t="shared" si="0"/>
        <v>Yes</v>
      </c>
      <c r="H31" s="169" t="str">
        <f t="shared" si="1"/>
        <v>Yes</v>
      </c>
      <c r="I31" s="260">
        <f>SUMIF('Diags Raw Data'!$A$6:$A$3693,"*"&amp;$A31&amp;"*",'Diags Raw Data'!$J$6:$J$3693)</f>
        <v>1</v>
      </c>
      <c r="J31" s="181">
        <f>SUMIF('Diags Raw Data'!$A$6:$A$3693,"*"&amp;$A31&amp;"*",'Diags Raw Data'!$K$6:$K$3693)</f>
        <v>1</v>
      </c>
      <c r="K31" s="375" cm="1">
        <f t="array" ref="K31">IF(D31="",0, SUMPRODUCT(--(ISNUMBER(SEARCH($A31,'Diags Raw Data'!$A$6:$A$3693))),'Diags Raw Data'!$K$6:$K$3693,'Diags Raw Data'!$M$6:$M$3693)/J31)</f>
        <v>1</v>
      </c>
      <c r="L31" s="376" cm="1">
        <f t="array" ref="L31">IF(D31="",0, SUMPRODUCT(--(ISNUMBER(SEARCH($A31,'Diags Raw Data'!$A$6:$A$3693))),'Diags Raw Data'!$K$6:$K$3693,'Diags Raw Data'!$O$6:$O$3693)/J31)</f>
        <v>0.6</v>
      </c>
      <c r="M31" s="377" cm="1">
        <f t="array" ref="M31">SUMPRODUCT(--(ISNUMBER(SEARCH($A31,'Diags Raw Data'!$A$6:$A$3693))),--('Diags Raw Data'!$P$6:$P$3693&lt;&gt;"N/A"),'Diags Raw Data'!$Q$6:$Q$3693)</f>
        <v>1</v>
      </c>
      <c r="N31" s="378" cm="1">
        <f t="array" ref="N31">SUMPRODUCT(--(ISNUMBER(SEARCH($A31,'Diags Raw Data'!$A$6:$A$3693))),--('Diags Raw Data'!$P$6:$P$3693&lt;&gt;"N/A"),'Diags Raw Data'!$S$6:$S$3693)+SUMPRODUCT(--(ISNUMBER(SEARCH($A31,'Diags Raw Data'!$A$6:$A$3693))),--('Diags Raw Data'!$P$6:$P$3693&lt;&gt;"N/A"),'Diags Raw Data'!$T$6:$T$3693)</f>
        <v>0</v>
      </c>
      <c r="O31" s="412">
        <f t="shared" si="15"/>
        <v>0</v>
      </c>
      <c r="P31" s="379">
        <f>SUMIF('Diags Raw Data'!$A$6:$A$3693,"*"&amp;$A31&amp;"*",'Diags Raw Data'!$Y$6:$Y$3693)</f>
        <v>0</v>
      </c>
      <c r="Q31" s="380">
        <f>SUM(SUMIF('Diags Raw Data'!$A$6:$A$3693,"*"&amp;$A31&amp;"*",'Diags Raw Data'!$Z$6:$Z$3693),SUMIF('Diags Raw Data'!$A$6:$A$3693,"*"&amp;$A31&amp;"*",'Diags Raw Data'!$AA$6:$AA$3693))</f>
        <v>0</v>
      </c>
      <c r="R31" s="381">
        <f t="shared" si="12"/>
        <v>0</v>
      </c>
      <c r="S31" s="383">
        <f t="shared" si="13"/>
        <v>0</v>
      </c>
      <c r="T31" s="384">
        <f t="shared" si="14"/>
        <v>0</v>
      </c>
      <c r="U31" s="415" t="s">
        <v>549</v>
      </c>
      <c r="V31" s="172"/>
    </row>
    <row r="32" spans="1:22" x14ac:dyDescent="0.25">
      <c r="A32" s="257" t="s">
        <v>438</v>
      </c>
      <c r="B32" s="308" t="str">
        <f>VLOOKUP(A32,'Feature Raw Data'!$A$3:$B$3835,2,FALSE)</f>
        <v>[SMUIO] Display Timer</v>
      </c>
      <c r="C32" s="260" t="str">
        <f>VLOOKUP(A32,'Feature Raw Data'!$A$3:$C$3835,3,FALSE)</f>
        <v>P2</v>
      </c>
      <c r="D32" s="82" t="str" cm="1">
        <f t="array" ref="D32">_xlfn.TEXTJOIN("",TRUE,IF(ISNUMBER(SEARCH($A32,'Diags Raw Data'!$A$6:$A$3693)),CONCATENATE('Diags Raw Data'!$H$6:$H$3693,", "),""))</f>
        <v xml:space="preserve">PM001.005, PM001.006, </v>
      </c>
      <c r="E32" s="169" t="str">
        <f>VLOOKUP(A32,'Diags Raw Data'!$A$6:$D$3693,4,FALSE)</f>
        <v>SMUIO</v>
      </c>
      <c r="F32" s="169" t="str">
        <f>VLOOKUP(A32,'Feature Raw Data'!$A$3:$E$3835,5,FALSE)</f>
        <v>Delta</v>
      </c>
      <c r="G32" s="169" t="str">
        <f t="shared" si="0"/>
        <v>Yes</v>
      </c>
      <c r="H32" s="169" t="str">
        <f t="shared" si="1"/>
        <v>Yes</v>
      </c>
      <c r="I32" s="260">
        <f>SUMIF('Diags Raw Data'!$A$6:$A$3693,"*"&amp;$A32&amp;"*",'Diags Raw Data'!$J$6:$J$3693)</f>
        <v>2</v>
      </c>
      <c r="J32" s="181">
        <f>SUMIF('Diags Raw Data'!$A$6:$A$3693,"*"&amp;$A32&amp;"*",'Diags Raw Data'!$K$6:$K$3693)</f>
        <v>2</v>
      </c>
      <c r="K32" s="375" cm="1">
        <f t="array" ref="K32">IF(D32="",0, SUMPRODUCT(--(ISNUMBER(SEARCH($A32,'Diags Raw Data'!$A$6:$A$3693))),'Diags Raw Data'!$K$6:$K$3693,'Diags Raw Data'!$M$6:$M$3693)/J32)</f>
        <v>1</v>
      </c>
      <c r="L32" s="376" cm="1">
        <f t="array" ref="L32">IF(D32="",0, SUMPRODUCT(--(ISNUMBER(SEARCH($A32,'Diags Raw Data'!$A$6:$A$3693))),'Diags Raw Data'!$K$6:$K$3693,'Diags Raw Data'!$O$6:$O$3693)/J32)</f>
        <v>0.6</v>
      </c>
      <c r="M32" s="377" cm="1">
        <f t="array" ref="M32">SUMPRODUCT(--(ISNUMBER(SEARCH($A32,'Diags Raw Data'!$A$6:$A$3693))),--('Diags Raw Data'!$P$6:$P$3693&lt;&gt;"N/A"),'Diags Raw Data'!$Q$6:$Q$3693)</f>
        <v>2</v>
      </c>
      <c r="N32" s="378" cm="1">
        <f t="array" ref="N32">SUMPRODUCT(--(ISNUMBER(SEARCH($A32,'Diags Raw Data'!$A$6:$A$3693))),--('Diags Raw Data'!$P$6:$P$3693&lt;&gt;"N/A"),'Diags Raw Data'!$S$6:$S$3693)+SUMPRODUCT(--(ISNUMBER(SEARCH($A32,'Diags Raw Data'!$A$6:$A$3693))),--('Diags Raw Data'!$P$6:$P$3693&lt;&gt;"N/A"),'Diags Raw Data'!$T$6:$T$3693)</f>
        <v>0</v>
      </c>
      <c r="O32" s="412">
        <f t="shared" si="15"/>
        <v>0</v>
      </c>
      <c r="P32" s="379">
        <f>SUMIF('Diags Raw Data'!$A$6:$A$3693,"*"&amp;$A32&amp;"*",'Diags Raw Data'!$Y$6:$Y$3693)</f>
        <v>0</v>
      </c>
      <c r="Q32" s="380">
        <f>SUM(SUMIF('Diags Raw Data'!$A$6:$A$3693,"*"&amp;$A32&amp;"*",'Diags Raw Data'!$Z$6:$Z$3693),SUMIF('Diags Raw Data'!$A$6:$A$3693,"*"&amp;$A32&amp;"*",'Diags Raw Data'!$AA$6:$AA$3693))</f>
        <v>0</v>
      </c>
      <c r="R32" s="381">
        <f t="shared" si="12"/>
        <v>0</v>
      </c>
      <c r="S32" s="381">
        <f t="shared" si="13"/>
        <v>0</v>
      </c>
      <c r="T32" s="382">
        <f t="shared" si="14"/>
        <v>0</v>
      </c>
      <c r="U32" s="415" t="s">
        <v>44</v>
      </c>
      <c r="V32" s="170"/>
    </row>
    <row r="33" spans="1:22" ht="135" x14ac:dyDescent="0.25">
      <c r="A33" s="257" t="s">
        <v>512</v>
      </c>
      <c r="B33" s="308" t="str">
        <f>VLOOKUP(A33,'Feature Raw Data'!$A$3:$B$3835,2,FALSE)</f>
        <v>[SMUIO] ODPR</v>
      </c>
      <c r="C33" s="260" t="str">
        <f>VLOOKUP(A33,'Feature Raw Data'!$A$3:$C$3835,3,FALSE)</f>
        <v>P2</v>
      </c>
      <c r="D33" s="82" t="str" cm="1">
        <f t="array" ref="D33">_xlfn.TEXTJOIN("",TRUE,IF(ISNUMBER(SEARCH($A33,'Diags Raw Data'!$A$6:$A$3693)),CONCATENATE('Diags Raw Data'!$H$6:$H$3693,", "),""))</f>
        <v/>
      </c>
      <c r="E33" s="169" t="e">
        <f>VLOOKUP(A33,'Diags Raw Data'!$A$6:$D$3693,4,FALSE)</f>
        <v>#N/A</v>
      </c>
      <c r="F33" s="169" t="str">
        <f>VLOOKUP(A33,'Feature Raw Data'!$A$3:$E$3835,5,FALSE)</f>
        <v>Delta</v>
      </c>
      <c r="G33" s="169" t="s">
        <v>31</v>
      </c>
      <c r="H33" s="492" t="s">
        <v>552</v>
      </c>
      <c r="I33" s="260">
        <f>SUMIF('Diags Raw Data'!$A$6:$A$3693,"*"&amp;$A33&amp;"*",'Diags Raw Data'!$J$6:$J$3693)</f>
        <v>0</v>
      </c>
      <c r="J33" s="181">
        <f>SUMIF('Diags Raw Data'!$A$6:$A$3693,"*"&amp;$A33&amp;"*",'Diags Raw Data'!$K$6:$K$3693)</f>
        <v>0</v>
      </c>
      <c r="K33" s="375" cm="1">
        <f t="array" ref="K33">IF(D33="",0, SUMPRODUCT(--(ISNUMBER(SEARCH($A33,'Diags Raw Data'!$A$6:$A$3693))),'Diags Raw Data'!$K$6:$K$3693,'Diags Raw Data'!$M$6:$M$3693)/J33)</f>
        <v>0</v>
      </c>
      <c r="L33" s="376" cm="1">
        <f t="array" ref="L33">IF(D33="",0, SUMPRODUCT(--(ISNUMBER(SEARCH($A33,'Diags Raw Data'!$A$6:$A$3693))),'Diags Raw Data'!$K$6:$K$3693,'Diags Raw Data'!$O$6:$O$3693)/J33)</f>
        <v>0</v>
      </c>
      <c r="M33" s="377" cm="1">
        <f t="array" ref="M33">SUMPRODUCT(--(ISNUMBER(SEARCH($A33,'Diags Raw Data'!$A$6:$A$3693))),--('Diags Raw Data'!$P$6:$P$3693&lt;&gt;"N/A"),'Diags Raw Data'!$Q$6:$Q$3693)</f>
        <v>0</v>
      </c>
      <c r="N33" s="378" cm="1">
        <f t="array" ref="N33">SUMPRODUCT(--(ISNUMBER(SEARCH($A33,'Diags Raw Data'!$A$6:$A$3693))),--('Diags Raw Data'!$P$6:$P$3693&lt;&gt;"N/A"),'Diags Raw Data'!$S$6:$S$3693)+SUMPRODUCT(--(ISNUMBER(SEARCH($A33,'Diags Raw Data'!$A$6:$A$3693))),--('Diags Raw Data'!$P$6:$P$3693&lt;&gt;"N/A"),'Diags Raw Data'!$T$6:$T$3693)</f>
        <v>0</v>
      </c>
      <c r="O33" s="412">
        <f t="shared" si="15"/>
        <v>0</v>
      </c>
      <c r="P33" s="379">
        <f>SUMIF('Diags Raw Data'!$A$6:$A$3693,"*"&amp;$A33&amp;"*",'Diags Raw Data'!$Y$6:$Y$3693)</f>
        <v>0</v>
      </c>
      <c r="Q33" s="380">
        <f>SUM(SUMIF('Diags Raw Data'!$A$6:$A$3693,"*"&amp;$A33&amp;"*",'Diags Raw Data'!$Z$6:$Z$3693),SUMIF('Diags Raw Data'!$A$6:$A$3693,"*"&amp;$A33&amp;"*",'Diags Raw Data'!$AA$6:$AA$3693))</f>
        <v>0</v>
      </c>
      <c r="R33" s="381">
        <f t="shared" si="12"/>
        <v>0</v>
      </c>
      <c r="S33" s="381">
        <f t="shared" si="13"/>
        <v>0</v>
      </c>
      <c r="T33" s="382">
        <f t="shared" si="14"/>
        <v>0</v>
      </c>
      <c r="U33" s="415" t="s">
        <v>556</v>
      </c>
      <c r="V33" s="170"/>
    </row>
    <row r="34" spans="1:22" ht="30" x14ac:dyDescent="0.25">
      <c r="A34" s="257" t="s">
        <v>446</v>
      </c>
      <c r="B34" s="308" t="str">
        <f>VLOOKUP(A34,'Feature Raw Data'!$A$3:$B$3835,2,FALSE)</f>
        <v>[SMUIO] SVI3</v>
      </c>
      <c r="C34" s="260" t="str">
        <f>VLOOKUP(A34,'Feature Raw Data'!$A$3:$C$3835,3,FALSE)</f>
        <v>P2</v>
      </c>
      <c r="D34" s="82" t="str" cm="1">
        <f t="array" ref="D34">_xlfn.TEXTJOIN("",TRUE,IF(ISNUMBER(SEARCH($A34,'Diags Raw Data'!$A$6:$A$3693)),CONCATENATE('Diags Raw Data'!$H$6:$H$3693,", "),""))</f>
        <v xml:space="preserve">PM033.004, PM033.005, PM033.021, PM033.022, PM033.023, VID Sweep, </v>
      </c>
      <c r="E34" s="169" t="str">
        <f>VLOOKUP(A34,'Diags Raw Data'!$A$6:$D$3693,4,FALSE)</f>
        <v>SMUIO</v>
      </c>
      <c r="F34" s="169" t="str">
        <f>VLOOKUP(A34,'Feature Raw Data'!$A$3:$E$3835,5,FALSE)</f>
        <v>Delta</v>
      </c>
      <c r="G34" s="169" t="str">
        <f t="shared" si="0"/>
        <v>Yes</v>
      </c>
      <c r="H34" s="169" t="str">
        <f t="shared" si="1"/>
        <v>Yes</v>
      </c>
      <c r="I34" s="260">
        <f>SUMIF('Diags Raw Data'!$A$6:$A$3693,"*"&amp;$A34&amp;"*",'Diags Raw Data'!$J$6:$J$3693)</f>
        <v>6</v>
      </c>
      <c r="J34" s="181">
        <f>SUMIF('Diags Raw Data'!$A$6:$A$3693,"*"&amp;$A34&amp;"*",'Diags Raw Data'!$K$6:$K$3693)</f>
        <v>6</v>
      </c>
      <c r="K34" s="375" cm="1">
        <f t="array" ref="K34">IF(D34="",0, SUMPRODUCT(--(ISNUMBER(SEARCH($A34,'Diags Raw Data'!$A$6:$A$3693))),'Diags Raw Data'!$K$6:$K$3693,'Diags Raw Data'!$M$6:$M$3693)/J34)</f>
        <v>1</v>
      </c>
      <c r="L34" s="376" cm="1">
        <f t="array" ref="L34">IF(D34="",0, SUMPRODUCT(--(ISNUMBER(SEARCH($A34,'Diags Raw Data'!$A$6:$A$3693))),'Diags Raw Data'!$K$6:$K$3693,'Diags Raw Data'!$O$6:$O$3693)/J34)</f>
        <v>0.6</v>
      </c>
      <c r="M34" s="377" cm="1">
        <f t="array" ref="M34">SUMPRODUCT(--(ISNUMBER(SEARCH($A34,'Diags Raw Data'!$A$6:$A$3693))),--('Diags Raw Data'!$P$6:$P$3693&lt;&gt;"N/A"),'Diags Raw Data'!$Q$6:$Q$3693)</f>
        <v>6</v>
      </c>
      <c r="N34" s="378" cm="1">
        <f t="array" ref="N34">SUMPRODUCT(--(ISNUMBER(SEARCH($A34,'Diags Raw Data'!$A$6:$A$3693))),--('Diags Raw Data'!$P$6:$P$3693&lt;&gt;"N/A"),'Diags Raw Data'!$S$6:$S$3693)+SUMPRODUCT(--(ISNUMBER(SEARCH($A34,'Diags Raw Data'!$A$6:$A$3693))),--('Diags Raw Data'!$P$6:$P$3693&lt;&gt;"N/A"),'Diags Raw Data'!$T$6:$T$3693)</f>
        <v>0</v>
      </c>
      <c r="O34" s="412">
        <f t="shared" si="15"/>
        <v>0</v>
      </c>
      <c r="P34" s="379">
        <f>SUMIF('Diags Raw Data'!$A$6:$A$3693,"*"&amp;$A34&amp;"*",'Diags Raw Data'!$Y$6:$Y$3693)</f>
        <v>0</v>
      </c>
      <c r="Q34" s="380">
        <f>SUM(SUMIF('Diags Raw Data'!$A$6:$A$3693,"*"&amp;$A34&amp;"*",'Diags Raw Data'!$Z$6:$Z$3693),SUMIF('Diags Raw Data'!$A$6:$A$3693,"*"&amp;$A34&amp;"*",'Diags Raw Data'!$AA$6:$AA$3693))</f>
        <v>0</v>
      </c>
      <c r="R34" s="381">
        <f t="shared" si="12"/>
        <v>0</v>
      </c>
      <c r="S34" s="381">
        <f t="shared" si="13"/>
        <v>0</v>
      </c>
      <c r="T34" s="382">
        <f t="shared" si="14"/>
        <v>0</v>
      </c>
      <c r="U34" s="415" t="s">
        <v>547</v>
      </c>
      <c r="V34" s="170"/>
    </row>
    <row r="35" spans="1:22" ht="90" x14ac:dyDescent="0.25">
      <c r="A35" s="257" t="s">
        <v>465</v>
      </c>
      <c r="B35" s="308" t="str">
        <f>VLOOKUP(A35,'Feature Raw Data'!$A$3:$B$3835,2,FALSE)</f>
        <v>[SMN] Output Port Disable for Router</v>
      </c>
      <c r="C35" s="260" t="str">
        <f>VLOOKUP(A35,'Feature Raw Data'!$A$3:$C$3835,3,FALSE)</f>
        <v>P2</v>
      </c>
      <c r="D35" s="82" t="str" cm="1">
        <f t="array" ref="D35">_xlfn.TEXTJOIN("",TRUE,IF(ISNUMBER(SEARCH($A35,'Diags Raw Data'!$A$6:$A$3693)),CONCATENATE('Diags Raw Data'!$H$6:$H$3693,", "),""))</f>
        <v/>
      </c>
      <c r="E35" s="169" t="e">
        <f>VLOOKUP(A35,'Diags Raw Data'!$A$6:$D$3693,4,FALSE)</f>
        <v>#N/A</v>
      </c>
      <c r="F35" s="169" t="str">
        <f>VLOOKUP(A35,'Feature Raw Data'!$A$3:$E$3835,5,FALSE)</f>
        <v>Legacy</v>
      </c>
      <c r="G35" s="489" t="s">
        <v>557</v>
      </c>
      <c r="H35" s="487" t="s">
        <v>36</v>
      </c>
      <c r="I35" s="260">
        <f>SUMIF('Diags Raw Data'!$A$6:$A$3693,"*"&amp;$A35&amp;"*",'Diags Raw Data'!$J$6:$J$3693)</f>
        <v>0</v>
      </c>
      <c r="J35" s="181">
        <f>SUMIF('Diags Raw Data'!$A$6:$A$3693,"*"&amp;$A35&amp;"*",'Diags Raw Data'!$K$6:$K$3693)</f>
        <v>0</v>
      </c>
      <c r="K35" s="375" cm="1">
        <f t="array" ref="K35">IF(D35="",0, SUMPRODUCT(--(ISNUMBER(SEARCH($A35,'Diags Raw Data'!$A$6:$A$3693))),'Diags Raw Data'!$K$6:$K$3693,'Diags Raw Data'!$M$6:$M$3693)/J35)</f>
        <v>0</v>
      </c>
      <c r="L35" s="376" cm="1">
        <f t="array" ref="L35">IF(D35="",0, SUMPRODUCT(--(ISNUMBER(SEARCH($A35,'Diags Raw Data'!$A$6:$A$3693))),'Diags Raw Data'!$K$6:$K$3693,'Diags Raw Data'!$O$6:$O$3693)/J35)</f>
        <v>0</v>
      </c>
      <c r="M35" s="377" cm="1">
        <f t="array" ref="M35">SUMPRODUCT(--(ISNUMBER(SEARCH($A35,'Diags Raw Data'!$A$6:$A$3693))),--('Diags Raw Data'!$P$6:$P$3693&lt;&gt;"N/A"),'Diags Raw Data'!$Q$6:$Q$3693)</f>
        <v>0</v>
      </c>
      <c r="N35" s="378" cm="1">
        <f t="array" ref="N35">SUMPRODUCT(--(ISNUMBER(SEARCH($A35,'Diags Raw Data'!$A$6:$A$3693))),--('Diags Raw Data'!$P$6:$P$3693&lt;&gt;"N/A"),'Diags Raw Data'!$S$6:$S$3693)+SUMPRODUCT(--(ISNUMBER(SEARCH($A35,'Diags Raw Data'!$A$6:$A$3693))),--('Diags Raw Data'!$P$6:$P$3693&lt;&gt;"N/A"),'Diags Raw Data'!$T$6:$T$3693)</f>
        <v>0</v>
      </c>
      <c r="O35" s="412">
        <f t="shared" si="15"/>
        <v>0</v>
      </c>
      <c r="P35" s="379">
        <f>SUMIF('Diags Raw Data'!$A$6:$A$3693,"*"&amp;$A35&amp;"*",'Diags Raw Data'!$Y$6:$Y$3693)</f>
        <v>0</v>
      </c>
      <c r="Q35" s="380">
        <f>SUM(SUMIF('Diags Raw Data'!$A$6:$A$3693,"*"&amp;$A35&amp;"*",'Diags Raw Data'!$Z$6:$Z$3693),SUMIF('Diags Raw Data'!$A$6:$A$3693,"*"&amp;$A35&amp;"*",'Diags Raw Data'!$AA$6:$AA$3693))</f>
        <v>0</v>
      </c>
      <c r="R35" s="381">
        <f t="shared" si="12"/>
        <v>0</v>
      </c>
      <c r="S35" s="381">
        <f t="shared" si="13"/>
        <v>0</v>
      </c>
      <c r="T35" s="382">
        <f t="shared" si="14"/>
        <v>0</v>
      </c>
      <c r="U35" s="415" t="s">
        <v>550</v>
      </c>
      <c r="V35" s="170"/>
    </row>
    <row r="36" spans="1:22" ht="90" x14ac:dyDescent="0.25">
      <c r="A36" s="257" t="s">
        <v>467</v>
      </c>
      <c r="B36" s="308" t="str">
        <f>VLOOKUP(A36,'Feature Raw Data'!$A$3:$B$3835,2,FALSE)</f>
        <v>[SMN] INIU Request Port Disable</v>
      </c>
      <c r="C36" s="260" t="str">
        <f>VLOOKUP(A36,'Feature Raw Data'!$A$3:$C$3835,3,FALSE)</f>
        <v>P2</v>
      </c>
      <c r="D36" s="82" t="str" cm="1">
        <f t="array" ref="D36">_xlfn.TEXTJOIN("",TRUE,IF(ISNUMBER(SEARCH($A36,'Diags Raw Data'!$A$6:$A$3693)),CONCATENATE('Diags Raw Data'!$H$6:$H$3693,", "),""))</f>
        <v/>
      </c>
      <c r="E36" s="169" t="e">
        <f>VLOOKUP(A36,'Diags Raw Data'!$A$6:$D$3693,4,FALSE)</f>
        <v>#N/A</v>
      </c>
      <c r="F36" s="169" t="str">
        <f>VLOOKUP(A36,'Feature Raw Data'!$A$3:$E$3835,5,FALSE)</f>
        <v>Legacy</v>
      </c>
      <c r="G36" s="489" t="s">
        <v>558</v>
      </c>
      <c r="H36" s="487" t="s">
        <v>36</v>
      </c>
      <c r="I36" s="260">
        <f>SUMIF('Diags Raw Data'!$A$6:$A$3693,"*"&amp;$A36&amp;"*",'Diags Raw Data'!$J$6:$J$3693)</f>
        <v>0</v>
      </c>
      <c r="J36" s="181">
        <f>SUMIF('Diags Raw Data'!$A$6:$A$3693,"*"&amp;$A36&amp;"*",'Diags Raw Data'!$K$6:$K$3693)</f>
        <v>0</v>
      </c>
      <c r="K36" s="375" cm="1">
        <f t="array" ref="K36">IF(D36="",0, SUMPRODUCT(--(ISNUMBER(SEARCH($A36,'Diags Raw Data'!$A$6:$A$3693))),'Diags Raw Data'!$K$6:$K$3693,'Diags Raw Data'!$M$6:$M$3693)/J36)</f>
        <v>0</v>
      </c>
      <c r="L36" s="376" cm="1">
        <f t="array" ref="L36">IF(D36="",0, SUMPRODUCT(--(ISNUMBER(SEARCH($A36,'Diags Raw Data'!$A$6:$A$3693))),'Diags Raw Data'!$K$6:$K$3693,'Diags Raw Data'!$O$6:$O$3693)/J36)</f>
        <v>0</v>
      </c>
      <c r="M36" s="377" cm="1">
        <f t="array" ref="M36">SUMPRODUCT(--(ISNUMBER(SEARCH($A36,'Diags Raw Data'!$A$6:$A$3693))),--('Diags Raw Data'!$P$6:$P$3693&lt;&gt;"N/A"),'Diags Raw Data'!$Q$6:$Q$3693)</f>
        <v>0</v>
      </c>
      <c r="N36" s="378" cm="1">
        <f t="array" ref="N36">SUMPRODUCT(--(ISNUMBER(SEARCH($A36,'Diags Raw Data'!$A$6:$A$3693))),--('Diags Raw Data'!$P$6:$P$3693&lt;&gt;"N/A"),'Diags Raw Data'!$S$6:$S$3693)+SUMPRODUCT(--(ISNUMBER(SEARCH($A36,'Diags Raw Data'!$A$6:$A$3693))),--('Diags Raw Data'!$P$6:$P$3693&lt;&gt;"N/A"),'Diags Raw Data'!$T$6:$T$3693)</f>
        <v>0</v>
      </c>
      <c r="O36" s="412">
        <f t="shared" si="15"/>
        <v>0</v>
      </c>
      <c r="P36" s="379">
        <f>SUMIF('Diags Raw Data'!$A$6:$A$3693,"*"&amp;$A36&amp;"*",'Diags Raw Data'!$Y$6:$Y$3693)</f>
        <v>0</v>
      </c>
      <c r="Q36" s="380">
        <f>SUM(SUMIF('Diags Raw Data'!$A$6:$A$3693,"*"&amp;$A36&amp;"*",'Diags Raw Data'!$Z$6:$Z$3693),SUMIF('Diags Raw Data'!$A$6:$A$3693,"*"&amp;$A36&amp;"*",'Diags Raw Data'!$AA$6:$AA$3693))</f>
        <v>0</v>
      </c>
      <c r="R36" s="381">
        <f t="shared" si="12"/>
        <v>0</v>
      </c>
      <c r="S36" s="381">
        <f t="shared" si="13"/>
        <v>0</v>
      </c>
      <c r="T36" s="382">
        <f t="shared" si="14"/>
        <v>0</v>
      </c>
      <c r="U36" s="415" t="s">
        <v>548</v>
      </c>
      <c r="V36" s="170"/>
    </row>
    <row r="37" spans="1:22" x14ac:dyDescent="0.25">
      <c r="A37" s="257" t="s">
        <v>469</v>
      </c>
      <c r="B37" s="308" t="str">
        <f>VLOOKUP(A37,'Feature Raw Data'!$A$3:$B$3835,2,FALSE)</f>
        <v>[THM] PROCHOT</v>
      </c>
      <c r="C37" s="260" t="str">
        <f>VLOOKUP(A37,'Feature Raw Data'!$A$3:$C$3835,3,FALSE)</f>
        <v>P2</v>
      </c>
      <c r="D37" s="82" t="str" cm="1">
        <f t="array" ref="D37">_xlfn.TEXTJOIN("",TRUE,IF(ISNUMBER(SEARCH($A37,'Diags Raw Data'!$A$6:$A$3693)),CONCATENATE('Diags Raw Data'!$H$6:$H$3693,", "),""))</f>
        <v xml:space="preserve">PM012.021, </v>
      </c>
      <c r="E37" s="169" t="str">
        <f>VLOOKUP(A37,'Diags Raw Data'!$A$6:$D$3693,4,FALSE)</f>
        <v>THM</v>
      </c>
      <c r="F37" s="169" t="str">
        <f>VLOOKUP(A37,'Feature Raw Data'!$A$3:$E$3835,5,FALSE)</f>
        <v>Delta</v>
      </c>
      <c r="G37" s="169" t="str">
        <f t="shared" si="0"/>
        <v>Yes</v>
      </c>
      <c r="H37" s="169" t="str">
        <f t="shared" si="1"/>
        <v>Yes</v>
      </c>
      <c r="I37" s="260">
        <f>SUMIF('Diags Raw Data'!$A$6:$A$3693,"*"&amp;$A37&amp;"*",'Diags Raw Data'!$J$6:$J$3693)</f>
        <v>1</v>
      </c>
      <c r="J37" s="181">
        <f>SUMIF('Diags Raw Data'!$A$6:$A$3693,"*"&amp;$A37&amp;"*",'Diags Raw Data'!$K$6:$K$3693)</f>
        <v>1</v>
      </c>
      <c r="K37" s="375" cm="1">
        <f t="array" ref="K37">IF(D37="",0, SUMPRODUCT(--(ISNUMBER(SEARCH($A37,'Diags Raw Data'!$A$6:$A$3693))),'Diags Raw Data'!$K$6:$K$3693,'Diags Raw Data'!$M$6:$M$3693)/J37)</f>
        <v>1</v>
      </c>
      <c r="L37" s="376" cm="1">
        <f t="array" ref="L37">IF(D37="",0, SUMPRODUCT(--(ISNUMBER(SEARCH($A37,'Diags Raw Data'!$A$6:$A$3693))),'Diags Raw Data'!$K$6:$K$3693,'Diags Raw Data'!$O$6:$O$3693)/J37)</f>
        <v>0.6</v>
      </c>
      <c r="M37" s="377" cm="1">
        <f t="array" ref="M37">SUMPRODUCT(--(ISNUMBER(SEARCH($A37,'Diags Raw Data'!$A$6:$A$3693))),--('Diags Raw Data'!$P$6:$P$3693&lt;&gt;"N/A"),'Diags Raw Data'!$Q$6:$Q$3693)</f>
        <v>1</v>
      </c>
      <c r="N37" s="378" cm="1">
        <f t="array" ref="N37">SUMPRODUCT(--(ISNUMBER(SEARCH($A37,'Diags Raw Data'!$A$6:$A$3693))),--('Diags Raw Data'!$P$6:$P$3693&lt;&gt;"N/A"),'Diags Raw Data'!$S$6:$S$3693)+SUMPRODUCT(--(ISNUMBER(SEARCH($A37,'Diags Raw Data'!$A$6:$A$3693))),--('Diags Raw Data'!$P$6:$P$3693&lt;&gt;"N/A"),'Diags Raw Data'!$T$6:$T$3693)</f>
        <v>0</v>
      </c>
      <c r="O37" s="412">
        <f t="shared" si="15"/>
        <v>0</v>
      </c>
      <c r="P37" s="379">
        <f>SUMIF('Diags Raw Data'!$A$6:$A$3693,"*"&amp;$A37&amp;"*",'Diags Raw Data'!$Y$6:$Y$3693)</f>
        <v>0</v>
      </c>
      <c r="Q37" s="380">
        <f>SUM(SUMIF('Diags Raw Data'!$A$6:$A$3693,"*"&amp;$A37&amp;"*",'Diags Raw Data'!$Z$6:$Z$3693),SUMIF('Diags Raw Data'!$A$6:$A$3693,"*"&amp;$A37&amp;"*",'Diags Raw Data'!$AA$6:$AA$3693))</f>
        <v>0</v>
      </c>
      <c r="R37" s="381">
        <f t="shared" si="12"/>
        <v>0</v>
      </c>
      <c r="S37" s="381">
        <f t="shared" si="13"/>
        <v>0</v>
      </c>
      <c r="T37" s="382">
        <f t="shared" si="14"/>
        <v>0</v>
      </c>
      <c r="U37" s="415" t="s">
        <v>547</v>
      </c>
      <c r="V37" s="170"/>
    </row>
    <row r="38" spans="1:22" ht="30" x14ac:dyDescent="0.25">
      <c r="A38" s="257" t="s">
        <v>476</v>
      </c>
      <c r="B38" s="308" t="str">
        <f>VLOOKUP(A38,'Feature Raw Data'!$A$3:$B$3835,2,FALSE)</f>
        <v>[THM] Temperature Collection and Calculation Using TCON and TMON/RDI Macro</v>
      </c>
      <c r="C38" s="260" t="str">
        <f>VLOOKUP(A38,'Feature Raw Data'!$A$3:$C$3835,3,FALSE)</f>
        <v>P2</v>
      </c>
      <c r="D38" s="82" t="str" cm="1">
        <f t="array" ref="D38">_xlfn.TEXTJOIN("",TRUE,IF(ISNUMBER(SEARCH($A38,'Diags Raw Data'!$A$6:$A$3693)),CONCATENATE('Diags Raw Data'!$H$6:$H$3693,", "),""))</f>
        <v xml:space="preserve">PM013.024, </v>
      </c>
      <c r="E38" s="169" t="str">
        <f>VLOOKUP(A38,'Diags Raw Data'!$A$6:$D$3693,4,FALSE)</f>
        <v>THM</v>
      </c>
      <c r="F38" s="169" t="str">
        <f>VLOOKUP(A38,'Feature Raw Data'!$A$3:$E$3835,5,FALSE)</f>
        <v>Delta</v>
      </c>
      <c r="G38" s="169" t="str">
        <f t="shared" si="0"/>
        <v>Yes</v>
      </c>
      <c r="H38" s="169" t="str">
        <f t="shared" si="1"/>
        <v>Yes</v>
      </c>
      <c r="I38" s="260">
        <f>SUMIF('Diags Raw Data'!$A$6:$A$3693,"*"&amp;$A38&amp;"*",'Diags Raw Data'!$J$6:$J$3693)</f>
        <v>1</v>
      </c>
      <c r="J38" s="181">
        <f>SUMIF('Diags Raw Data'!$A$6:$A$3693,"*"&amp;$A38&amp;"*",'Diags Raw Data'!$K$6:$K$3693)</f>
        <v>1</v>
      </c>
      <c r="K38" s="375" cm="1">
        <f t="array" ref="K38">IF(D38="",0, SUMPRODUCT(--(ISNUMBER(SEARCH($A38,'Diags Raw Data'!$A$6:$A$3693))),'Diags Raw Data'!$K$6:$K$3693,'Diags Raw Data'!$M$6:$M$3693)/J38)</f>
        <v>1</v>
      </c>
      <c r="L38" s="376" cm="1">
        <f t="array" ref="L38">IF(D38="",0, SUMPRODUCT(--(ISNUMBER(SEARCH($A38,'Diags Raw Data'!$A$6:$A$3693))),'Diags Raw Data'!$K$6:$K$3693,'Diags Raw Data'!$O$6:$O$3693)/J38)</f>
        <v>0.6</v>
      </c>
      <c r="M38" s="377" cm="1">
        <f t="array" ref="M38">SUMPRODUCT(--(ISNUMBER(SEARCH($A38,'Diags Raw Data'!$A$6:$A$3693))),--('Diags Raw Data'!$P$6:$P$3693&lt;&gt;"N/A"),'Diags Raw Data'!$Q$6:$Q$3693)</f>
        <v>1</v>
      </c>
      <c r="N38" s="378" cm="1">
        <f t="array" ref="N38">SUMPRODUCT(--(ISNUMBER(SEARCH($A38,'Diags Raw Data'!$A$6:$A$3693))),--('Diags Raw Data'!$P$6:$P$3693&lt;&gt;"N/A"),'Diags Raw Data'!$S$6:$S$3693)+SUMPRODUCT(--(ISNUMBER(SEARCH($A38,'Diags Raw Data'!$A$6:$A$3693))),--('Diags Raw Data'!$P$6:$P$3693&lt;&gt;"N/A"),'Diags Raw Data'!$T$6:$T$3693)</f>
        <v>0</v>
      </c>
      <c r="O38" s="412">
        <f t="shared" si="15"/>
        <v>0</v>
      </c>
      <c r="P38" s="379">
        <f>SUMIF('Diags Raw Data'!$A$6:$A$3693,"*"&amp;$A38&amp;"*",'Diags Raw Data'!$Y$6:$Y$3693)</f>
        <v>0</v>
      </c>
      <c r="Q38" s="380">
        <f>SUM(SUMIF('Diags Raw Data'!$A$6:$A$3693,"*"&amp;$A38&amp;"*",'Diags Raw Data'!$Z$6:$Z$3693),SUMIF('Diags Raw Data'!$A$6:$A$3693,"*"&amp;$A38&amp;"*",'Diags Raw Data'!$AA$6:$AA$3693))</f>
        <v>0</v>
      </c>
      <c r="R38" s="381">
        <f t="shared" si="12"/>
        <v>0</v>
      </c>
      <c r="S38" s="381">
        <f t="shared" si="13"/>
        <v>0</v>
      </c>
      <c r="T38" s="382">
        <f t="shared" si="14"/>
        <v>0</v>
      </c>
      <c r="U38" s="415" t="s">
        <v>547</v>
      </c>
      <c r="V38" s="170"/>
    </row>
    <row r="39" spans="1:22" ht="15.75" thickBot="1" x14ac:dyDescent="0.3">
      <c r="A39" s="257" t="s">
        <v>481</v>
      </c>
      <c r="B39" s="308" t="str">
        <f>VLOOKUP(A39,'Feature Raw Data'!$A$3:$B$3835,2,FALSE)</f>
        <v>[THM] Temperature Report Through SMBUS Interface (THM)</v>
      </c>
      <c r="C39" s="260" t="str">
        <f>VLOOKUP(A39,'Feature Raw Data'!$A$3:$C$3835,3,FALSE)</f>
        <v>P2</v>
      </c>
      <c r="D39" s="82" t="str" cm="1">
        <f t="array" ref="D39">_xlfn.TEXTJOIN("",TRUE,IF(ISNUMBER(SEARCH($A39,'Diags Raw Data'!$A$6:$A$3693)),CONCATENATE('Diags Raw Data'!$H$6:$H$3693,", "),""))</f>
        <v xml:space="preserve">PM013.022, </v>
      </c>
      <c r="E39" s="169" t="str">
        <f>VLOOKUP(A39,'Diags Raw Data'!$A$6:$D$3693,4,FALSE)</f>
        <v>THM</v>
      </c>
      <c r="F39" s="169" t="str">
        <f>VLOOKUP(A39,'Feature Raw Data'!$A$3:$E$3835,5,FALSE)</f>
        <v>Delta</v>
      </c>
      <c r="G39" s="169" t="str">
        <f t="shared" si="0"/>
        <v>Yes</v>
      </c>
      <c r="H39" s="169" t="str">
        <f t="shared" si="1"/>
        <v>Yes</v>
      </c>
      <c r="I39" s="260">
        <f>SUMIF('Diags Raw Data'!$A$6:$A$3693,"*"&amp;$A39&amp;"*",'Diags Raw Data'!$J$6:$J$3693)</f>
        <v>1</v>
      </c>
      <c r="J39" s="181">
        <f>SUMIF('Diags Raw Data'!$A$6:$A$3693,"*"&amp;$A39&amp;"*",'Diags Raw Data'!$K$6:$K$3693)</f>
        <v>1</v>
      </c>
      <c r="K39" s="375" cm="1">
        <f t="array" ref="K39">IF(D39="",0, SUMPRODUCT(--(ISNUMBER(SEARCH($A39,'Diags Raw Data'!$A$6:$A$3693))),'Diags Raw Data'!$K$6:$K$3693,'Diags Raw Data'!$M$6:$M$3693)/J39)</f>
        <v>1</v>
      </c>
      <c r="L39" s="376" cm="1">
        <f t="array" ref="L39">IF(D39="",0, SUMPRODUCT(--(ISNUMBER(SEARCH($A39,'Diags Raw Data'!$A$6:$A$3693))),'Diags Raw Data'!$K$6:$K$3693,'Diags Raw Data'!$O$6:$O$3693)/J39)</f>
        <v>0.6</v>
      </c>
      <c r="M39" s="377" cm="1">
        <f t="array" ref="M39">SUMPRODUCT(--(ISNUMBER(SEARCH($A39,'Diags Raw Data'!$A$6:$A$3693))),--('Diags Raw Data'!$P$6:$P$3693&lt;&gt;"N/A"),'Diags Raw Data'!$Q$6:$Q$3693)</f>
        <v>1</v>
      </c>
      <c r="N39" s="378" cm="1">
        <f t="array" ref="N39">SUMPRODUCT(--(ISNUMBER(SEARCH($A39,'Diags Raw Data'!$A$6:$A$3693))),--('Diags Raw Data'!$P$6:$P$3693&lt;&gt;"N/A"),'Diags Raw Data'!$S$6:$S$3693)+SUMPRODUCT(--(ISNUMBER(SEARCH($A39,'Diags Raw Data'!$A$6:$A$3693))),--('Diags Raw Data'!$P$6:$P$3693&lt;&gt;"N/A"),'Diags Raw Data'!$T$6:$T$3693)</f>
        <v>0</v>
      </c>
      <c r="O39" s="412">
        <f t="shared" si="15"/>
        <v>0</v>
      </c>
      <c r="P39" s="379">
        <f>SUMIF('Diags Raw Data'!$A$6:$A$3693,"*"&amp;$A39&amp;"*",'Diags Raw Data'!$Y$6:$Y$3693)</f>
        <v>0</v>
      </c>
      <c r="Q39" s="380">
        <f>SUM(SUMIF('Diags Raw Data'!$A$6:$A$3693,"*"&amp;$A39&amp;"*",'Diags Raw Data'!$Z$6:$Z$3693),SUMIF('Diags Raw Data'!$A$6:$A$3693,"*"&amp;$A39&amp;"*",'Diags Raw Data'!$AA$6:$AA$3693))</f>
        <v>0</v>
      </c>
      <c r="R39" s="381">
        <f t="shared" si="12"/>
        <v>0</v>
      </c>
      <c r="S39" s="381">
        <f t="shared" si="13"/>
        <v>0</v>
      </c>
      <c r="T39" s="382">
        <f t="shared" si="14"/>
        <v>0</v>
      </c>
      <c r="U39" s="415" t="s">
        <v>551</v>
      </c>
      <c r="V39" s="170"/>
    </row>
    <row r="40" spans="1:22" ht="135" x14ac:dyDescent="0.25">
      <c r="A40" s="257" t="s">
        <v>486</v>
      </c>
      <c r="B40" s="308" t="str">
        <f>VLOOKUP(A40,'Feature Raw Data'!$A$3:$B$3835,2,FALSE)</f>
        <v>[THM] Thermal Trip</v>
      </c>
      <c r="C40" s="260" t="str">
        <f>VLOOKUP(A40,'Feature Raw Data'!$A$3:$C$3835,3,FALSE)</f>
        <v>P2</v>
      </c>
      <c r="D40" s="82" t="str" cm="1">
        <f t="array" ref="D40">_xlfn.TEXTJOIN("",TRUE,IF(ISNUMBER(SEARCH($A40,'Diags Raw Data'!$A$6:$A$3693)),CONCATENATE('Diags Raw Data'!$H$6:$H$3693,", "),""))</f>
        <v/>
      </c>
      <c r="E40" s="169" t="e">
        <f>VLOOKUP(A40,'Diags Raw Data'!$A$6:$D$3693,4,FALSE)</f>
        <v>#N/A</v>
      </c>
      <c r="F40" s="169" t="str">
        <f>VLOOKUP(A40,'Feature Raw Data'!$A$3:$E$3835,5,FALSE)</f>
        <v>Delta</v>
      </c>
      <c r="G40" s="269" t="s">
        <v>31</v>
      </c>
      <c r="H40" s="489" t="s">
        <v>552</v>
      </c>
      <c r="I40" s="260">
        <f>SUMIF('Diags Raw Data'!$A$6:$A$3693,"*"&amp;$A40&amp;"*",'Diags Raw Data'!$J$6:$J$3693)</f>
        <v>0</v>
      </c>
      <c r="J40" s="181">
        <f>SUMIF('Diags Raw Data'!$A$6:$A$3693,"*"&amp;$A40&amp;"*",'Diags Raw Data'!$K$6:$K$3693)</f>
        <v>0</v>
      </c>
      <c r="K40" s="375" cm="1">
        <f t="array" ref="K40">IF(D40="",0, SUMPRODUCT(--(ISNUMBER(SEARCH($A40,'Diags Raw Data'!$A$6:$A$3693))),'Diags Raw Data'!$K$6:$K$3693,'Diags Raw Data'!$M$6:$M$3693)/J40)</f>
        <v>0</v>
      </c>
      <c r="L40" s="376" cm="1">
        <f t="array" ref="L40">IF(D40="",0, SUMPRODUCT(--(ISNUMBER(SEARCH($A40,'Diags Raw Data'!$A$6:$A$3693))),'Diags Raw Data'!$K$6:$K$3693,'Diags Raw Data'!$O$6:$O$3693)/J40)</f>
        <v>0</v>
      </c>
      <c r="M40" s="377" cm="1">
        <f t="array" ref="M40">SUMPRODUCT(--(ISNUMBER(SEARCH($A40,'Diags Raw Data'!$A$6:$A$3693))),--('Diags Raw Data'!$P$6:$P$3693&lt;&gt;"N/A"),'Diags Raw Data'!$Q$6:$Q$3693)</f>
        <v>0</v>
      </c>
      <c r="N40" s="378" cm="1">
        <f t="array" ref="N40">SUMPRODUCT(--(ISNUMBER(SEARCH($A40,'Diags Raw Data'!$A$6:$A$3693))),--('Diags Raw Data'!$P$6:$P$3693&lt;&gt;"N/A"),'Diags Raw Data'!$S$6:$S$3693)+SUMPRODUCT(--(ISNUMBER(SEARCH($A40,'Diags Raw Data'!$A$6:$A$3693))),--('Diags Raw Data'!$P$6:$P$3693&lt;&gt;"N/A"),'Diags Raw Data'!$T$6:$T$3693)</f>
        <v>0</v>
      </c>
      <c r="O40" s="412">
        <f t="shared" si="15"/>
        <v>0</v>
      </c>
      <c r="P40" s="379">
        <f>SUMIF('Diags Raw Data'!$A$6:$A$3693,"*"&amp;$A40&amp;"*",'Diags Raw Data'!$Y$6:$Y$3693)</f>
        <v>0</v>
      </c>
      <c r="Q40" s="380">
        <f>SUM(SUMIF('Diags Raw Data'!$A$6:$A$3693,"*"&amp;$A40&amp;"*",'Diags Raw Data'!$Z$6:$Z$3693),SUMIF('Diags Raw Data'!$A$6:$A$3693,"*"&amp;$A40&amp;"*",'Diags Raw Data'!$AA$6:$AA$3693))</f>
        <v>0</v>
      </c>
      <c r="R40" s="381">
        <f t="shared" si="12"/>
        <v>0</v>
      </c>
      <c r="S40" s="381">
        <f t="shared" si="13"/>
        <v>0</v>
      </c>
      <c r="T40" s="382">
        <f t="shared" si="14"/>
        <v>0</v>
      </c>
      <c r="U40" s="415" t="s">
        <v>550</v>
      </c>
      <c r="V40" s="170"/>
    </row>
    <row r="41" spans="1:22" x14ac:dyDescent="0.25">
      <c r="A41" s="257" t="s">
        <v>488</v>
      </c>
      <c r="B41" s="308" t="str">
        <f>VLOOKUP(A41,'Feature Raw Data'!$A$3:$B$3835,2,FALSE)</f>
        <v>[THM] THM Interrupt to IH</v>
      </c>
      <c r="C41" s="260" t="str">
        <f>VLOOKUP(A41,'Feature Raw Data'!$A$3:$C$3835,3,FALSE)</f>
        <v>P2</v>
      </c>
      <c r="D41" s="82" t="str" cm="1">
        <f t="array" ref="D41">_xlfn.TEXTJOIN("",TRUE,IF(ISNUMBER(SEARCH($A41,'Diags Raw Data'!$A$6:$A$3693)),CONCATENATE('Diags Raw Data'!$H$6:$H$3693,", "),""))</f>
        <v xml:space="preserve">Prochot cover, </v>
      </c>
      <c r="E41" s="169" t="str">
        <f>VLOOKUP(A41,'Diags Raw Data'!$A$6:$D$3693,4,FALSE)</f>
        <v>THM</v>
      </c>
      <c r="F41" s="169" t="str">
        <f>VLOOKUP(A41,'Feature Raw Data'!$A$3:$E$3835,5,FALSE)</f>
        <v>Delta</v>
      </c>
      <c r="G41" s="169" t="str">
        <f t="shared" si="0"/>
        <v>Yes</v>
      </c>
      <c r="H41" s="169" t="str">
        <f t="shared" si="1"/>
        <v>Yes</v>
      </c>
      <c r="I41" s="260">
        <f>SUMIF('Diags Raw Data'!$A$6:$A$3693,"*"&amp;$A41&amp;"*",'Diags Raw Data'!$J$6:$J$3693)</f>
        <v>1</v>
      </c>
      <c r="J41" s="181">
        <f>SUMIF('Diags Raw Data'!$A$6:$A$3693,"*"&amp;$A41&amp;"*",'Diags Raw Data'!$K$6:$K$3693)</f>
        <v>1</v>
      </c>
      <c r="K41" s="375" cm="1">
        <f t="array" ref="K41">IF(D41="",0, SUMPRODUCT(--(ISNUMBER(SEARCH($A41,'Diags Raw Data'!$A$6:$A$3693))),'Diags Raw Data'!$K$6:$K$3693,'Diags Raw Data'!$M$6:$M$3693)/J41)</f>
        <v>1</v>
      </c>
      <c r="L41" s="376" cm="1">
        <f t="array" ref="L41">IF(D41="",0, SUMPRODUCT(--(ISNUMBER(SEARCH($A41,'Diags Raw Data'!$A$6:$A$3693))),'Diags Raw Data'!$K$6:$K$3693,'Diags Raw Data'!$O$6:$O$3693)/J41)</f>
        <v>0.6</v>
      </c>
      <c r="M41" s="377" cm="1">
        <f t="array" ref="M41">SUMPRODUCT(--(ISNUMBER(SEARCH($A41,'Diags Raw Data'!$A$6:$A$3693))),--('Diags Raw Data'!$P$6:$P$3693&lt;&gt;"N/A"),'Diags Raw Data'!$Q$6:$Q$3693)</f>
        <v>1</v>
      </c>
      <c r="N41" s="378" cm="1">
        <f t="array" ref="N41">SUMPRODUCT(--(ISNUMBER(SEARCH($A41,'Diags Raw Data'!$A$6:$A$3693))),--('Diags Raw Data'!$P$6:$P$3693&lt;&gt;"N/A"),'Diags Raw Data'!$S$6:$S$3693)+SUMPRODUCT(--(ISNUMBER(SEARCH($A41,'Diags Raw Data'!$A$6:$A$3693))),--('Diags Raw Data'!$P$6:$P$3693&lt;&gt;"N/A"),'Diags Raw Data'!$T$6:$T$3693)</f>
        <v>0</v>
      </c>
      <c r="O41" s="412">
        <f t="shared" si="15"/>
        <v>0</v>
      </c>
      <c r="P41" s="379">
        <f>SUMIF('Diags Raw Data'!$A$6:$A$3693,"*"&amp;$A41&amp;"*",'Diags Raw Data'!$Y$6:$Y$3693)</f>
        <v>0</v>
      </c>
      <c r="Q41" s="380">
        <f>SUM(SUMIF('Diags Raw Data'!$A$6:$A$3693,"*"&amp;$A41&amp;"*",'Diags Raw Data'!$Z$6:$Z$3693),SUMIF('Diags Raw Data'!$A$6:$A$3693,"*"&amp;$A41&amp;"*",'Diags Raw Data'!$AA$6:$AA$3693))</f>
        <v>0</v>
      </c>
      <c r="R41" s="381">
        <f t="shared" si="12"/>
        <v>0</v>
      </c>
      <c r="S41" s="381">
        <f t="shared" si="13"/>
        <v>0</v>
      </c>
      <c r="T41" s="382">
        <f t="shared" si="14"/>
        <v>0</v>
      </c>
      <c r="U41" s="415" t="s">
        <v>44</v>
      </c>
      <c r="V41" s="170"/>
    </row>
    <row r="42" spans="1:22" ht="45" x14ac:dyDescent="0.25">
      <c r="A42" s="257" t="s">
        <v>492</v>
      </c>
      <c r="B42" s="308" t="str">
        <f>VLOOKUP(A42,'Feature Raw Data'!$A$3:$B$3835,2,FALSE)</f>
        <v>[MSMU] Register access</v>
      </c>
      <c r="C42" s="260" t="str">
        <f>VLOOKUP(A42,'Feature Raw Data'!$A$3:$C$3835,3,FALSE)</f>
        <v>P2</v>
      </c>
      <c r="D42" s="82" t="str" cm="1">
        <f t="array" ref="D42">_xlfn.TEXTJOIN("",TRUE,IF(ISNUMBER(SEARCH($A42,'Diags Raw Data'!$A$6:$A$3693)),CONCATENATE('Diags Raw Data'!$H$6:$H$3693,", "),""))</f>
        <v xml:space="preserve">PM100.001, PM100.002, PM100.003, PM100.004, PM100.005, PM100.006, PM100.002, </v>
      </c>
      <c r="E42" s="169" t="str">
        <f>VLOOKUP(A42,'Diags Raw Data'!$A$6:$D$3693,4,FALSE)</f>
        <v>MSMU</v>
      </c>
      <c r="F42" s="169" t="str">
        <f>VLOOKUP(A42,'Feature Raw Data'!$A$3:$E$3835,5,FALSE)</f>
        <v>Delta</v>
      </c>
      <c r="G42" s="169" t="str">
        <f t="shared" si="0"/>
        <v>Yes</v>
      </c>
      <c r="H42" s="169" t="str">
        <f t="shared" si="1"/>
        <v>Yes</v>
      </c>
      <c r="I42" s="260">
        <f>SUMIF('Diags Raw Data'!$A$6:$A$3693,"*"&amp;$A42&amp;"*",'Diags Raw Data'!$J$6:$J$3693)</f>
        <v>7</v>
      </c>
      <c r="J42" s="181">
        <f>SUMIF('Diags Raw Data'!$A$6:$A$3693,"*"&amp;$A42&amp;"*",'Diags Raw Data'!$K$6:$K$3693)</f>
        <v>7</v>
      </c>
      <c r="K42" s="375" cm="1">
        <f t="array" ref="K42">IF(D42="",0, SUMPRODUCT(--(ISNUMBER(SEARCH($A42,'Diags Raw Data'!$A$6:$A$3693))),'Diags Raw Data'!$K$6:$K$3693,'Diags Raw Data'!$M$6:$M$3693)/J42)</f>
        <v>1</v>
      </c>
      <c r="L42" s="376" cm="1">
        <f t="array" ref="L42">IF(D42="",0, SUMPRODUCT(--(ISNUMBER(SEARCH($A42,'Diags Raw Data'!$A$6:$A$3693))),'Diags Raw Data'!$K$6:$K$3693,'Diags Raw Data'!$O$6:$O$3693)/J42)</f>
        <v>0.6</v>
      </c>
      <c r="M42" s="377" cm="1">
        <f t="array" ref="M42">SUMPRODUCT(--(ISNUMBER(SEARCH($A42,'Diags Raw Data'!$A$6:$A$3693))),--('Diags Raw Data'!$P$6:$P$3693&lt;&gt;"N/A"),'Diags Raw Data'!$Q$6:$Q$3693)</f>
        <v>7</v>
      </c>
      <c r="N42" s="378" cm="1">
        <f t="array" ref="N42">SUMPRODUCT(--(ISNUMBER(SEARCH($A42,'Diags Raw Data'!$A$6:$A$3693))),--('Diags Raw Data'!$P$6:$P$3693&lt;&gt;"N/A"),'Diags Raw Data'!$S$6:$S$3693)+SUMPRODUCT(--(ISNUMBER(SEARCH($A42,'Diags Raw Data'!$A$6:$A$3693))),--('Diags Raw Data'!$P$6:$P$3693&lt;&gt;"N/A"),'Diags Raw Data'!$T$6:$T$3693)</f>
        <v>0</v>
      </c>
      <c r="O42" s="412">
        <f t="shared" si="15"/>
        <v>0</v>
      </c>
      <c r="P42" s="379">
        <f>SUMIF('Diags Raw Data'!$A$6:$A$3693,"*"&amp;$A42&amp;"*",'Diags Raw Data'!$Y$6:$Y$3693)</f>
        <v>0</v>
      </c>
      <c r="Q42" s="380">
        <f>SUM(SUMIF('Diags Raw Data'!$A$6:$A$3693,"*"&amp;$A42&amp;"*",'Diags Raw Data'!$Z$6:$Z$3693),SUMIF('Diags Raw Data'!$A$6:$A$3693,"*"&amp;$A42&amp;"*",'Diags Raw Data'!$AA$6:$AA$3693))</f>
        <v>0</v>
      </c>
      <c r="R42" s="381">
        <f t="shared" si="12"/>
        <v>0</v>
      </c>
      <c r="S42" s="381">
        <f t="shared" si="13"/>
        <v>0</v>
      </c>
      <c r="T42" s="382">
        <f t="shared" si="14"/>
        <v>0</v>
      </c>
      <c r="U42" s="415" t="s">
        <v>548</v>
      </c>
      <c r="V42" s="170"/>
    </row>
    <row r="43" spans="1:22" ht="30" x14ac:dyDescent="0.25">
      <c r="A43" s="257" t="s">
        <v>509</v>
      </c>
      <c r="B43" s="308" t="str">
        <f>VLOOKUP(A43,'Feature Raw Data'!$A$3:$B$3835,2,FALSE)</f>
        <v>ROM Clock Gating</v>
      </c>
      <c r="C43" s="260" t="str">
        <f>VLOOKUP(A43,'Feature Raw Data'!$A$3:$C$3835,3,FALSE)</f>
        <v>P2</v>
      </c>
      <c r="D43" s="82" t="str" cm="1">
        <f t="array" ref="D43">_xlfn.TEXTJOIN("",TRUE,IF(ISNUMBER(SEARCH($A43,'Diags Raw Data'!$A$6:$A$3693)),CONCATENATE('Diags Raw Data'!$H$6:$H$3693,", "),""))</f>
        <v/>
      </c>
      <c r="E43" s="169" t="e">
        <f>VLOOKUP(A43,'Diags Raw Data'!$A$6:$D$3693,4,FALSE)</f>
        <v>#N/A</v>
      </c>
      <c r="F43" s="169" t="str">
        <f>VLOOKUP(A43,'Feature Raw Data'!$A$3:$E$3835,5,FALSE)</f>
        <v>Legacy</v>
      </c>
      <c r="G43" s="489" t="s">
        <v>559</v>
      </c>
      <c r="H43" s="487" t="s">
        <v>36</v>
      </c>
      <c r="I43" s="260">
        <f>SUMIF('Diags Raw Data'!$A$6:$A$3693,"*"&amp;$A43&amp;"*",'Diags Raw Data'!$J$6:$J$3693)</f>
        <v>0</v>
      </c>
      <c r="J43" s="181">
        <f>SUMIF('Diags Raw Data'!$A$6:$A$3693,"*"&amp;$A43&amp;"*",'Diags Raw Data'!$K$6:$K$3693)</f>
        <v>0</v>
      </c>
      <c r="K43" s="375" cm="1">
        <f t="array" ref="K43">IF(D43="",0, SUMPRODUCT(--(ISNUMBER(SEARCH($A43,'Diags Raw Data'!$A$6:$A$3693))),'Diags Raw Data'!$K$6:$K$3693,'Diags Raw Data'!$M$6:$M$3693)/J43)</f>
        <v>0</v>
      </c>
      <c r="L43" s="376" cm="1">
        <f t="array" ref="L43">IF(D43="",0, SUMPRODUCT(--(ISNUMBER(SEARCH($A43,'Diags Raw Data'!$A$6:$A$3693))),'Diags Raw Data'!$K$6:$K$3693,'Diags Raw Data'!$O$6:$O$3693)/J43)</f>
        <v>0</v>
      </c>
      <c r="M43" s="377" cm="1">
        <f t="array" ref="M43">SUMPRODUCT(--(ISNUMBER(SEARCH($A43,'Diags Raw Data'!$A$6:$A$3693))),--('Diags Raw Data'!$P$6:$P$3693&lt;&gt;"N/A"),'Diags Raw Data'!$Q$6:$Q$3693)</f>
        <v>0</v>
      </c>
      <c r="N43" s="378" cm="1">
        <f t="array" ref="N43">SUMPRODUCT(--(ISNUMBER(SEARCH($A43,'Diags Raw Data'!$A$6:$A$3693))),--('Diags Raw Data'!$P$6:$P$3693&lt;&gt;"N/A"),'Diags Raw Data'!$S$6:$S$3693)+SUMPRODUCT(--(ISNUMBER(SEARCH($A43,'Diags Raw Data'!$A$6:$A$3693))),--('Diags Raw Data'!$P$6:$P$3693&lt;&gt;"N/A"),'Diags Raw Data'!$T$6:$T$3693)</f>
        <v>0</v>
      </c>
      <c r="O43" s="412">
        <f t="shared" si="15"/>
        <v>0</v>
      </c>
      <c r="P43" s="379">
        <f>SUMIF('Diags Raw Data'!$A$6:$A$3693,"*"&amp;$A43&amp;"*",'Diags Raw Data'!$Y$6:$Y$3693)</f>
        <v>0</v>
      </c>
      <c r="Q43" s="380">
        <f>SUM(SUMIF('Diags Raw Data'!$A$6:$A$3693,"*"&amp;$A43&amp;"*",'Diags Raw Data'!$Z$6:$Z$3693),SUMIF('Diags Raw Data'!$A$6:$A$3693,"*"&amp;$A43&amp;"*",'Diags Raw Data'!$AA$6:$AA$3693))</f>
        <v>0</v>
      </c>
      <c r="R43" s="381">
        <f t="shared" si="12"/>
        <v>0</v>
      </c>
      <c r="S43" s="381">
        <f t="shared" si="13"/>
        <v>0</v>
      </c>
      <c r="T43" s="382">
        <f t="shared" si="14"/>
        <v>0</v>
      </c>
      <c r="U43" s="415" t="s">
        <v>549</v>
      </c>
      <c r="V43" s="170"/>
    </row>
    <row r="44" spans="1:22" x14ac:dyDescent="0.25">
      <c r="A44" s="401" t="s">
        <v>514</v>
      </c>
      <c r="B44" s="308" t="str">
        <f>VLOOKUP(A44,'Feature Raw Data'!$A$3:$B$3835,2,FALSE)</f>
        <v>CLDO</v>
      </c>
      <c r="C44" s="260" t="str">
        <f>VLOOKUP(A44,'Feature Raw Data'!$A$3:$C$3835,3,FALSE)</f>
        <v>P1</v>
      </c>
      <c r="D44" s="82" t="str" cm="1">
        <f t="array" ref="D44">_xlfn.TEXTJOIN("",TRUE,IF(ISNUMBER(SEARCH($A44,'Diags Raw Data'!$A$6:$A$3693)),CONCATENATE('Diags Raw Data'!$H$6:$H$3693,", "),""))</f>
        <v xml:space="preserve">PM033.011, </v>
      </c>
      <c r="E44" s="169" t="str">
        <f>VLOOKUP(A44,'Diags Raw Data'!$A$6:$D$3693,4,FALSE)</f>
        <v>CLDO</v>
      </c>
      <c r="F44" s="169" t="str">
        <f>VLOOKUP(A44,'Feature Raw Data'!$A$3:$E$3835,5,FALSE)</f>
        <v>Delta</v>
      </c>
      <c r="G44" s="169" t="str">
        <f t="shared" si="0"/>
        <v>Yes</v>
      </c>
      <c r="H44" s="169" t="str">
        <f t="shared" si="1"/>
        <v>Yes</v>
      </c>
      <c r="I44" s="260">
        <f>SUMIF('Diags Raw Data'!$A$6:$A$3693,"*"&amp;$A44&amp;"*",'Diags Raw Data'!$J$6:$J$3693)</f>
        <v>1</v>
      </c>
      <c r="J44" s="181">
        <f>SUMIF('Diags Raw Data'!$A$6:$A$3693,"*"&amp;$A44&amp;"*",'Diags Raw Data'!$K$6:$K$3693)</f>
        <v>1</v>
      </c>
      <c r="K44" s="375" cm="1">
        <f t="array" ref="K44">IF(D44="",0, SUMPRODUCT(--(ISNUMBER(SEARCH($A44,'Diags Raw Data'!$A$6:$A$3693))),'Diags Raw Data'!$K$6:$K$3693,'Diags Raw Data'!$M$6:$M$3693)/J44)</f>
        <v>1</v>
      </c>
      <c r="L44" s="376" cm="1">
        <f t="array" ref="L44">IF(D44="",0, SUMPRODUCT(--(ISNUMBER(SEARCH($A44,'Diags Raw Data'!$A$6:$A$3693))),'Diags Raw Data'!$K$6:$K$3693,'Diags Raw Data'!$O$6:$O$3693)/J44)</f>
        <v>0.6</v>
      </c>
      <c r="M44" s="377" cm="1">
        <f t="array" ref="M44">SUMPRODUCT(--(ISNUMBER(SEARCH($A44,'Diags Raw Data'!$A$6:$A$3693))),--('Diags Raw Data'!$P$6:$P$3693&lt;&gt;"N/A"),'Diags Raw Data'!$Q$6:$Q$3693)</f>
        <v>1</v>
      </c>
      <c r="N44" s="378" cm="1">
        <f t="array" ref="N44">SUMPRODUCT(--(ISNUMBER(SEARCH($A44,'Diags Raw Data'!$A$6:$A$3693))),--('Diags Raw Data'!$P$6:$P$3693&lt;&gt;"N/A"),'Diags Raw Data'!$S$6:$S$3693)+SUMPRODUCT(--(ISNUMBER(SEARCH($A44,'Diags Raw Data'!$A$6:$A$3693))),--('Diags Raw Data'!$P$6:$P$3693&lt;&gt;"N/A"),'Diags Raw Data'!$T$6:$T$3693)</f>
        <v>0</v>
      </c>
      <c r="O44" s="412">
        <f t="shared" ref="O44:O50" si="16">IF((M44=0),0,N44/M44)</f>
        <v>0</v>
      </c>
      <c r="P44" s="379">
        <f>SUMIF('Diags Raw Data'!$A$6:$A$3693,"*"&amp;$A44&amp;"*",'Diags Raw Data'!$Y$6:$Y$3693)</f>
        <v>0</v>
      </c>
      <c r="Q44" s="380">
        <f>SUM(SUMIF('Diags Raw Data'!$A$6:$A$3693,"*"&amp;$A44&amp;"*",'Diags Raw Data'!$Z$6:$Z$3693),SUMIF('Diags Raw Data'!$A$6:$A$3693,"*"&amp;$A44&amp;"*",'Diags Raw Data'!$AA$6:$AA$3693))</f>
        <v>0</v>
      </c>
      <c r="R44" s="381">
        <f t="shared" ref="R44:R50" si="17">IF((J44=0),0,P44/J44)</f>
        <v>0</v>
      </c>
      <c r="S44" s="381">
        <f t="shared" ref="S44:S50" si="18">IF((P44=0),0,Q44/P44)</f>
        <v>0</v>
      </c>
      <c r="T44" s="382">
        <f t="shared" ref="T44:T50" si="19">R44*S44</f>
        <v>0</v>
      </c>
      <c r="U44" s="415" t="s">
        <v>549</v>
      </c>
      <c r="V44" s="170"/>
    </row>
    <row r="45" spans="1:22" x14ac:dyDescent="0.25">
      <c r="A45" s="401" t="s">
        <v>518</v>
      </c>
      <c r="B45" s="308" t="str">
        <f>VLOOKUP(A45,'Feature Raw Data'!$A$3:$B$3835,2,FALSE)</f>
        <v>VPE On/Off</v>
      </c>
      <c r="C45" s="260" t="str">
        <f>VLOOKUP(A45,'Feature Raw Data'!$A$3:$C$3835,3,FALSE)</f>
        <v>P1</v>
      </c>
      <c r="D45" s="82" t="str" cm="1">
        <f t="array" ref="D45">_xlfn.TEXTJOIN("",TRUE,IF(ISNUMBER(SEARCH($A45,'Diags Raw Data'!$A$6:$A$3693)),CONCATENATE('Diags Raw Data'!$H$6:$H$3693,", "),""))</f>
        <v xml:space="preserve">PM041.961, PM041.962, </v>
      </c>
      <c r="E45" s="169" t="str">
        <f>VLOOKUP(A45,'Diags Raw Data'!$A$6:$D$3693,4,FALSE)</f>
        <v>RSMU</v>
      </c>
      <c r="F45" s="169" t="str">
        <f>VLOOKUP(A45,'Feature Raw Data'!$A$3:$E$3835,5,FALSE)</f>
        <v>New</v>
      </c>
      <c r="G45" s="169" t="str">
        <f t="shared" si="0"/>
        <v>Yes</v>
      </c>
      <c r="H45" s="169" t="str">
        <f t="shared" si="1"/>
        <v>Yes</v>
      </c>
      <c r="I45" s="260">
        <f>SUMIF('Diags Raw Data'!$A$6:$A$3693,"*"&amp;$A45&amp;"*",'Diags Raw Data'!$J$6:$J$3693)</f>
        <v>2</v>
      </c>
      <c r="J45" s="181">
        <f>SUMIF('Diags Raw Data'!$A$6:$A$3693,"*"&amp;$A45&amp;"*",'Diags Raw Data'!$K$6:$K$3693)</f>
        <v>2</v>
      </c>
      <c r="K45" s="375" cm="1">
        <f t="array" ref="K45">IF(D45="",0, SUMPRODUCT(--(ISNUMBER(SEARCH($A45,'Diags Raw Data'!$A$6:$A$3693))),'Diags Raw Data'!$K$6:$K$3693,'Diags Raw Data'!$M$6:$M$3693)/J45)</f>
        <v>1</v>
      </c>
      <c r="L45" s="376" cm="1">
        <f t="array" ref="L45">IF(D45="",0, SUMPRODUCT(--(ISNUMBER(SEARCH($A45,'Diags Raw Data'!$A$6:$A$3693))),'Diags Raw Data'!$K$6:$K$3693,'Diags Raw Data'!$O$6:$O$3693)/J45)</f>
        <v>0.6</v>
      </c>
      <c r="M45" s="377" cm="1">
        <f t="array" ref="M45">SUMPRODUCT(--(ISNUMBER(SEARCH($A45,'Diags Raw Data'!$A$6:$A$3693))),--('Diags Raw Data'!$P$6:$P$3693&lt;&gt;"N/A"),'Diags Raw Data'!$Q$6:$Q$3693)</f>
        <v>2</v>
      </c>
      <c r="N45" s="378" cm="1">
        <f t="array" ref="N45">SUMPRODUCT(--(ISNUMBER(SEARCH($A45,'Diags Raw Data'!$A$6:$A$3693))),--('Diags Raw Data'!$P$6:$P$3693&lt;&gt;"N/A"),'Diags Raw Data'!$S$6:$S$3693)+SUMPRODUCT(--(ISNUMBER(SEARCH($A45,'Diags Raw Data'!$A$6:$A$3693))),--('Diags Raw Data'!$P$6:$P$3693&lt;&gt;"N/A"),'Diags Raw Data'!$T$6:$T$3693)</f>
        <v>0</v>
      </c>
      <c r="O45" s="412">
        <f t="shared" si="16"/>
        <v>0</v>
      </c>
      <c r="P45" s="379">
        <f>SUMIF('Diags Raw Data'!$A$6:$A$3693,"*"&amp;$A45&amp;"*",'Diags Raw Data'!$Y$6:$Y$3693)</f>
        <v>0</v>
      </c>
      <c r="Q45" s="380">
        <f>SUM(SUMIF('Diags Raw Data'!$A$6:$A$3693,"*"&amp;$A45&amp;"*",'Diags Raw Data'!$Z$6:$Z$3693),SUMIF('Diags Raw Data'!$A$6:$A$3693,"*"&amp;$A45&amp;"*",'Diags Raw Data'!$AA$6:$AA$3693))</f>
        <v>0</v>
      </c>
      <c r="R45" s="381">
        <f t="shared" si="17"/>
        <v>0</v>
      </c>
      <c r="S45" s="381">
        <f t="shared" si="18"/>
        <v>0</v>
      </c>
      <c r="T45" s="382">
        <f t="shared" si="19"/>
        <v>0</v>
      </c>
      <c r="U45" s="415" t="s">
        <v>549</v>
      </c>
      <c r="V45" s="170"/>
    </row>
    <row r="46" spans="1:22" x14ac:dyDescent="0.25">
      <c r="A46" s="401" t="s">
        <v>524</v>
      </c>
      <c r="B46" s="308" t="str">
        <f>VLOOKUP(A46,'Feature Raw Data'!$A$3:$B$3835,2,FALSE)</f>
        <v>Power gate/ungate DPIA</v>
      </c>
      <c r="C46" s="260" t="str">
        <f>VLOOKUP(A46,'Feature Raw Data'!$A$3:$C$3835,3,FALSE)</f>
        <v>P1</v>
      </c>
      <c r="D46" s="82" t="str" cm="1">
        <f t="array" ref="D46">_xlfn.TEXTJOIN("",TRUE,IF(ISNUMBER(SEARCH($A46,'Diags Raw Data'!$A$6:$A$3693)),CONCATENATE('Diags Raw Data'!$H$6:$H$3693,", "),""))</f>
        <v xml:space="preserve">PM041.963, PM041.964, </v>
      </c>
      <c r="E46" s="169" t="str">
        <f>VLOOKUP(A46,'Diags Raw Data'!$A$6:$D$3693,4,FALSE)</f>
        <v>RSMU</v>
      </c>
      <c r="F46" s="169" t="str">
        <f>VLOOKUP(A46,'Feature Raw Data'!$A$3:$E$3835,5,FALSE)</f>
        <v>New</v>
      </c>
      <c r="G46" s="169" t="str">
        <f t="shared" si="0"/>
        <v>Yes</v>
      </c>
      <c r="H46" s="169" t="str">
        <f t="shared" si="1"/>
        <v>Yes</v>
      </c>
      <c r="I46" s="260">
        <f>SUMIF('Diags Raw Data'!$A$6:$A$3693,"*"&amp;$A46&amp;"*",'Diags Raw Data'!$J$6:$J$3693)</f>
        <v>2</v>
      </c>
      <c r="J46" s="181">
        <f>SUMIF('Diags Raw Data'!$A$6:$A$3693,"*"&amp;$A46&amp;"*",'Diags Raw Data'!$K$6:$K$3693)</f>
        <v>2</v>
      </c>
      <c r="K46" s="375" cm="1">
        <f t="array" ref="K46">IF(D46="",0, SUMPRODUCT(--(ISNUMBER(SEARCH($A46,'Diags Raw Data'!$A$6:$A$3693))),'Diags Raw Data'!$K$6:$K$3693,'Diags Raw Data'!$M$6:$M$3693)/J46)</f>
        <v>1</v>
      </c>
      <c r="L46" s="376" cm="1">
        <f t="array" ref="L46">IF(D46="",0, SUMPRODUCT(--(ISNUMBER(SEARCH($A46,'Diags Raw Data'!$A$6:$A$3693))),'Diags Raw Data'!$K$6:$K$3693,'Diags Raw Data'!$O$6:$O$3693)/J46)</f>
        <v>0.6</v>
      </c>
      <c r="M46" s="377" cm="1">
        <f t="array" ref="M46">SUMPRODUCT(--(ISNUMBER(SEARCH($A46,'Diags Raw Data'!$A$6:$A$3693))),--('Diags Raw Data'!$P$6:$P$3693&lt;&gt;"N/A"),'Diags Raw Data'!$Q$6:$Q$3693)</f>
        <v>2</v>
      </c>
      <c r="N46" s="378" cm="1">
        <f t="array" ref="N46">SUMPRODUCT(--(ISNUMBER(SEARCH($A46,'Diags Raw Data'!$A$6:$A$3693))),--('Diags Raw Data'!$P$6:$P$3693&lt;&gt;"N/A"),'Diags Raw Data'!$S$6:$S$3693)+SUMPRODUCT(--(ISNUMBER(SEARCH($A46,'Diags Raw Data'!$A$6:$A$3693))),--('Diags Raw Data'!$P$6:$P$3693&lt;&gt;"N/A"),'Diags Raw Data'!$T$6:$T$3693)</f>
        <v>0</v>
      </c>
      <c r="O46" s="412">
        <f t="shared" si="16"/>
        <v>0</v>
      </c>
      <c r="P46" s="379">
        <f>SUMIF('Diags Raw Data'!$A$6:$A$3693,"*"&amp;$A46&amp;"*",'Diags Raw Data'!$Y$6:$Y$3693)</f>
        <v>0</v>
      </c>
      <c r="Q46" s="380">
        <f>SUM(SUMIF('Diags Raw Data'!$A$6:$A$3693,"*"&amp;$A46&amp;"*",'Diags Raw Data'!$Z$6:$Z$3693),SUMIF('Diags Raw Data'!$A$6:$A$3693,"*"&amp;$A46&amp;"*",'Diags Raw Data'!$AA$6:$AA$3693))</f>
        <v>0</v>
      </c>
      <c r="R46" s="381">
        <f t="shared" si="17"/>
        <v>0</v>
      </c>
      <c r="S46" s="381">
        <f t="shared" si="18"/>
        <v>0</v>
      </c>
      <c r="T46" s="382">
        <f t="shared" si="19"/>
        <v>0</v>
      </c>
      <c r="U46" s="415" t="s">
        <v>549</v>
      </c>
      <c r="V46" s="170"/>
    </row>
    <row r="47" spans="1:22" x14ac:dyDescent="0.25">
      <c r="A47" s="401" t="s">
        <v>530</v>
      </c>
      <c r="B47" s="308" t="str">
        <f>VLOOKUP(A47,'Feature Raw Data'!$A$3:$B$3835,2,FALSE)</f>
        <v>Power gate/ungate LSDMA</v>
      </c>
      <c r="C47" s="260" t="str">
        <f>VLOOKUP(A47,'Feature Raw Data'!$A$3:$C$3835,3,FALSE)</f>
        <v>P1</v>
      </c>
      <c r="D47" s="82" t="str" cm="1">
        <f t="array" ref="D47">_xlfn.TEXTJOIN("",TRUE,IF(ISNUMBER(SEARCH($A47,'Diags Raw Data'!$A$6:$A$3693)),CONCATENATE('Diags Raw Data'!$H$6:$H$3693,", "),""))</f>
        <v xml:space="preserve">PM041.965, PM041.966, </v>
      </c>
      <c r="E47" s="169" t="str">
        <f>VLOOKUP(A47,'Diags Raw Data'!$A$6:$D$3693,4,FALSE)</f>
        <v>RSMU</v>
      </c>
      <c r="F47" s="169" t="str">
        <f>VLOOKUP(A47,'Feature Raw Data'!$A$3:$E$3835,5,FALSE)</f>
        <v>New</v>
      </c>
      <c r="G47" s="169" t="str">
        <f t="shared" si="0"/>
        <v>Yes</v>
      </c>
      <c r="H47" s="169" t="str">
        <f t="shared" si="1"/>
        <v>Yes</v>
      </c>
      <c r="I47" s="260">
        <f>SUMIF('Diags Raw Data'!$A$6:$A$3693,"*"&amp;$A47&amp;"*",'Diags Raw Data'!$J$6:$J$3693)</f>
        <v>2</v>
      </c>
      <c r="J47" s="181">
        <f>SUMIF('Diags Raw Data'!$A$6:$A$3693,"*"&amp;$A47&amp;"*",'Diags Raw Data'!$K$6:$K$3693)</f>
        <v>2</v>
      </c>
      <c r="K47" s="375" cm="1">
        <f t="array" ref="K47">IF(D47="",0, SUMPRODUCT(--(ISNUMBER(SEARCH($A47,'Diags Raw Data'!$A$6:$A$3693))),'Diags Raw Data'!$K$6:$K$3693,'Diags Raw Data'!$M$6:$M$3693)/J47)</f>
        <v>1</v>
      </c>
      <c r="L47" s="376" cm="1">
        <f t="array" ref="L47">IF(D47="",0, SUMPRODUCT(--(ISNUMBER(SEARCH($A47,'Diags Raw Data'!$A$6:$A$3693))),'Diags Raw Data'!$K$6:$K$3693,'Diags Raw Data'!$O$6:$O$3693)/J47)</f>
        <v>0.6</v>
      </c>
      <c r="M47" s="377" cm="1">
        <f t="array" ref="M47">SUMPRODUCT(--(ISNUMBER(SEARCH($A47,'Diags Raw Data'!$A$6:$A$3693))),--('Diags Raw Data'!$P$6:$P$3693&lt;&gt;"N/A"),'Diags Raw Data'!$Q$6:$Q$3693)</f>
        <v>2</v>
      </c>
      <c r="N47" s="378" cm="1">
        <f t="array" ref="N47">SUMPRODUCT(--(ISNUMBER(SEARCH($A47,'Diags Raw Data'!$A$6:$A$3693))),--('Diags Raw Data'!$P$6:$P$3693&lt;&gt;"N/A"),'Diags Raw Data'!$S$6:$S$3693)+SUMPRODUCT(--(ISNUMBER(SEARCH($A47,'Diags Raw Data'!$A$6:$A$3693))),--('Diags Raw Data'!$P$6:$P$3693&lt;&gt;"N/A"),'Diags Raw Data'!$T$6:$T$3693)</f>
        <v>0</v>
      </c>
      <c r="O47" s="412">
        <f t="shared" si="16"/>
        <v>0</v>
      </c>
      <c r="P47" s="379">
        <f>SUMIF('Diags Raw Data'!$A$6:$A$3693,"*"&amp;$A47&amp;"*",'Diags Raw Data'!$Y$6:$Y$3693)</f>
        <v>0</v>
      </c>
      <c r="Q47" s="380">
        <f>SUM(SUMIF('Diags Raw Data'!$A$6:$A$3693,"*"&amp;$A47&amp;"*",'Diags Raw Data'!$Z$6:$Z$3693),SUMIF('Diags Raw Data'!$A$6:$A$3693,"*"&amp;$A47&amp;"*",'Diags Raw Data'!$AA$6:$AA$3693))</f>
        <v>0</v>
      </c>
      <c r="R47" s="381">
        <f t="shared" si="17"/>
        <v>0</v>
      </c>
      <c r="S47" s="381">
        <f t="shared" si="18"/>
        <v>0</v>
      </c>
      <c r="T47" s="382">
        <f t="shared" si="19"/>
        <v>0</v>
      </c>
      <c r="U47" s="415" t="s">
        <v>549</v>
      </c>
      <c r="V47" s="170"/>
    </row>
    <row r="48" spans="1:22" x14ac:dyDescent="0.25">
      <c r="A48" s="401" t="s">
        <v>535</v>
      </c>
      <c r="B48" s="308" t="str">
        <f>VLOOKUP(A48,'Feature Raw Data'!$A$3:$B$3835,2,FALSE)</f>
        <v>DFX power gating</v>
      </c>
      <c r="C48" s="260" t="str">
        <f>VLOOKUP(A48,'Feature Raw Data'!$A$3:$C$3835,3,FALSE)</f>
        <v>P1</v>
      </c>
      <c r="D48" s="82" t="str" cm="1">
        <f t="array" ref="D48">_xlfn.TEXTJOIN("",TRUE,IF(ISNUMBER(SEARCH($A48,'Diags Raw Data'!$A$6:$A$3693)),CONCATENATE('Diags Raw Data'!$H$6:$H$3693,", "),""))</f>
        <v xml:space="preserve">PM041.967, PM041.968, </v>
      </c>
      <c r="E48" s="169" t="str">
        <f>VLOOKUP(A48,'Diags Raw Data'!$A$6:$D$3693,4,FALSE)</f>
        <v>RSMU</v>
      </c>
      <c r="F48" s="169" t="str">
        <f>VLOOKUP(A48,'Feature Raw Data'!$A$3:$E$3835,5,FALSE)</f>
        <v>New</v>
      </c>
      <c r="G48" s="169" t="str">
        <f t="shared" si="0"/>
        <v>Yes</v>
      </c>
      <c r="H48" s="169" t="str">
        <f t="shared" si="1"/>
        <v>Yes</v>
      </c>
      <c r="I48" s="260">
        <f>SUMIF('Diags Raw Data'!$A$6:$A$3693,"*"&amp;$A48&amp;"*",'Diags Raw Data'!$J$6:$J$3693)</f>
        <v>2</v>
      </c>
      <c r="J48" s="181">
        <f>SUMIF('Diags Raw Data'!$A$6:$A$3693,"*"&amp;$A48&amp;"*",'Diags Raw Data'!$K$6:$K$3693)</f>
        <v>2</v>
      </c>
      <c r="K48" s="375" cm="1">
        <f t="array" ref="K48">IF(D48="",0, SUMPRODUCT(--(ISNUMBER(SEARCH($A48,'Diags Raw Data'!$A$6:$A$3693))),'Diags Raw Data'!$K$6:$K$3693,'Diags Raw Data'!$M$6:$M$3693)/J48)</f>
        <v>1</v>
      </c>
      <c r="L48" s="376" cm="1">
        <f t="array" ref="L48">IF(D48="",0, SUMPRODUCT(--(ISNUMBER(SEARCH($A48,'Diags Raw Data'!$A$6:$A$3693))),'Diags Raw Data'!$K$6:$K$3693,'Diags Raw Data'!$O$6:$O$3693)/J48)</f>
        <v>0.6</v>
      </c>
      <c r="M48" s="377" cm="1">
        <f t="array" ref="M48">SUMPRODUCT(--(ISNUMBER(SEARCH($A48,'Diags Raw Data'!$A$6:$A$3693))),--('Diags Raw Data'!$P$6:$P$3693&lt;&gt;"N/A"),'Diags Raw Data'!$Q$6:$Q$3693)</f>
        <v>2</v>
      </c>
      <c r="N48" s="378" cm="1">
        <f t="array" ref="N48">SUMPRODUCT(--(ISNUMBER(SEARCH($A48,'Diags Raw Data'!$A$6:$A$3693))),--('Diags Raw Data'!$P$6:$P$3693&lt;&gt;"N/A"),'Diags Raw Data'!$S$6:$S$3693)+SUMPRODUCT(--(ISNUMBER(SEARCH($A48,'Diags Raw Data'!$A$6:$A$3693))),--('Diags Raw Data'!$P$6:$P$3693&lt;&gt;"N/A"),'Diags Raw Data'!$T$6:$T$3693)</f>
        <v>0</v>
      </c>
      <c r="O48" s="412">
        <f t="shared" si="16"/>
        <v>0</v>
      </c>
      <c r="P48" s="379">
        <f>SUMIF('Diags Raw Data'!$A$6:$A$3693,"*"&amp;$A48&amp;"*",'Diags Raw Data'!$Y$6:$Y$3693)</f>
        <v>0</v>
      </c>
      <c r="Q48" s="380">
        <f>SUM(SUMIF('Diags Raw Data'!$A$6:$A$3693,"*"&amp;$A48&amp;"*",'Diags Raw Data'!$Z$6:$Z$3693),SUMIF('Diags Raw Data'!$A$6:$A$3693,"*"&amp;$A48&amp;"*",'Diags Raw Data'!$AA$6:$AA$3693))</f>
        <v>0</v>
      </c>
      <c r="R48" s="381">
        <f t="shared" si="17"/>
        <v>0</v>
      </c>
      <c r="S48" s="381">
        <f t="shared" si="18"/>
        <v>0</v>
      </c>
      <c r="T48" s="382">
        <f t="shared" si="19"/>
        <v>0</v>
      </c>
      <c r="U48" s="415" t="s">
        <v>549</v>
      </c>
      <c r="V48" s="170"/>
    </row>
    <row r="49" spans="1:22" x14ac:dyDescent="0.25">
      <c r="A49" s="401" t="s">
        <v>539</v>
      </c>
      <c r="B49" s="308" t="str">
        <f>VLOOKUP(A49,'Feature Raw Data'!$A$3:$B$3835,2,FALSE)</f>
        <v>Power gate/ungate VCN</v>
      </c>
      <c r="C49" s="260" t="str">
        <f>VLOOKUP(A49,'Feature Raw Data'!$A$3:$C$3835,3,FALSE)</f>
        <v>P1</v>
      </c>
      <c r="D49" s="82" t="str" cm="1">
        <f t="array" ref="D49">_xlfn.TEXTJOIN("",TRUE,IF(ISNUMBER(SEARCH($A49,'Diags Raw Data'!$A$6:$A$3693)),CONCATENATE('Diags Raw Data'!$H$6:$H$3693,", "),""))</f>
        <v xml:space="preserve">PM041.969, PM041.970, </v>
      </c>
      <c r="E49" s="169" t="str">
        <f>VLOOKUP(A49,'Diags Raw Data'!$A$6:$D$3693,4,FALSE)</f>
        <v>RSMU</v>
      </c>
      <c r="F49" s="169" t="str">
        <f>VLOOKUP(A49,'Feature Raw Data'!$A$3:$E$3835,5,FALSE)</f>
        <v>New</v>
      </c>
      <c r="G49" s="169" t="str">
        <f t="shared" si="0"/>
        <v>Yes</v>
      </c>
      <c r="H49" s="169" t="str">
        <f t="shared" si="1"/>
        <v>Yes</v>
      </c>
      <c r="I49" s="260">
        <f>SUMIF('Diags Raw Data'!$A$6:$A$3693,"*"&amp;$A49&amp;"*",'Diags Raw Data'!$J$6:$J$3693)</f>
        <v>2</v>
      </c>
      <c r="J49" s="181">
        <f>SUMIF('Diags Raw Data'!$A$6:$A$3693,"*"&amp;$A49&amp;"*",'Diags Raw Data'!$K$6:$K$3693)</f>
        <v>2</v>
      </c>
      <c r="K49" s="375" cm="1">
        <f t="array" ref="K49">IF(D49="",0, SUMPRODUCT(--(ISNUMBER(SEARCH($A49,'Diags Raw Data'!$A$6:$A$3693))),'Diags Raw Data'!$K$6:$K$3693,'Diags Raw Data'!$M$6:$M$3693)/J49)</f>
        <v>1</v>
      </c>
      <c r="L49" s="376" cm="1">
        <f t="array" ref="L49">IF(D49="",0, SUMPRODUCT(--(ISNUMBER(SEARCH($A49,'Diags Raw Data'!$A$6:$A$3693))),'Diags Raw Data'!$K$6:$K$3693,'Diags Raw Data'!$O$6:$O$3693)/J49)</f>
        <v>0.6</v>
      </c>
      <c r="M49" s="377" cm="1">
        <f t="array" ref="M49">SUMPRODUCT(--(ISNUMBER(SEARCH($A49,'Diags Raw Data'!$A$6:$A$3693))),--('Diags Raw Data'!$P$6:$P$3693&lt;&gt;"N/A"),'Diags Raw Data'!$Q$6:$Q$3693)</f>
        <v>2</v>
      </c>
      <c r="N49" s="378" cm="1">
        <f t="array" ref="N49">SUMPRODUCT(--(ISNUMBER(SEARCH($A49,'Diags Raw Data'!$A$6:$A$3693))),--('Diags Raw Data'!$P$6:$P$3693&lt;&gt;"N/A"),'Diags Raw Data'!$S$6:$S$3693)+SUMPRODUCT(--(ISNUMBER(SEARCH($A49,'Diags Raw Data'!$A$6:$A$3693))),--('Diags Raw Data'!$P$6:$P$3693&lt;&gt;"N/A"),'Diags Raw Data'!$T$6:$T$3693)</f>
        <v>0</v>
      </c>
      <c r="O49" s="412">
        <f t="shared" si="16"/>
        <v>0</v>
      </c>
      <c r="P49" s="379">
        <f>SUMIF('Diags Raw Data'!$A$6:$A$3693,"*"&amp;$A49&amp;"*",'Diags Raw Data'!$Y$6:$Y$3693)</f>
        <v>0</v>
      </c>
      <c r="Q49" s="380">
        <f>SUM(SUMIF('Diags Raw Data'!$A$6:$A$3693,"*"&amp;$A49&amp;"*",'Diags Raw Data'!$Z$6:$Z$3693),SUMIF('Diags Raw Data'!$A$6:$A$3693,"*"&amp;$A49&amp;"*",'Diags Raw Data'!$AA$6:$AA$3693))</f>
        <v>0</v>
      </c>
      <c r="R49" s="381">
        <f t="shared" si="17"/>
        <v>0</v>
      </c>
      <c r="S49" s="381">
        <f t="shared" si="18"/>
        <v>0</v>
      </c>
      <c r="T49" s="382">
        <f t="shared" si="19"/>
        <v>0</v>
      </c>
      <c r="U49" s="415" t="s">
        <v>549</v>
      </c>
      <c r="V49" s="170"/>
    </row>
    <row r="50" spans="1:22" x14ac:dyDescent="0.25">
      <c r="A50" s="401" t="s">
        <v>560</v>
      </c>
      <c r="B50" s="308" t="str">
        <f>VLOOKUP(A50,'Feature Raw Data'!$A$3:$B$3835,2,FALSE)</f>
        <v>MPCCX</v>
      </c>
      <c r="C50" s="260" t="str">
        <f>VLOOKUP(A50,'Feature Raw Data'!$A$3:$C$3835,3,FALSE)</f>
        <v>P1</v>
      </c>
      <c r="D50" s="82" t="str" cm="1">
        <f t="array" ref="D50">_xlfn.TEXTJOIN("",TRUE,IF(ISNUMBER(SEARCH($A50,'Diags Raw Data'!$A$6:$A$3693)),CONCATENATE('Diags Raw Data'!$H$6:$H$3693,", "),""))</f>
        <v/>
      </c>
      <c r="E50" s="169" t="e">
        <f>VLOOKUP(A50,'Diags Raw Data'!$A$6:$D$3693,4,FALSE)</f>
        <v>#N/A</v>
      </c>
      <c r="F50" s="169" t="str">
        <f>VLOOKUP(A50,'Feature Raw Data'!$A$3:$E$3835,5,FALSE)</f>
        <v>New</v>
      </c>
      <c r="G50" s="169" t="str">
        <f t="shared" si="0"/>
        <v>No</v>
      </c>
      <c r="H50" s="169" t="str">
        <f t="shared" si="1"/>
        <v>No</v>
      </c>
      <c r="I50" s="260">
        <f>SUMIF('Diags Raw Data'!$A$6:$A$3693,"*"&amp;$A50&amp;"*",'Diags Raw Data'!$J$6:$J$3693)</f>
        <v>0</v>
      </c>
      <c r="J50" s="181">
        <f>SUMIF('Diags Raw Data'!$A$6:$A$3693,"*"&amp;$A50&amp;"*",'Diags Raw Data'!$K$6:$K$3693)</f>
        <v>0</v>
      </c>
      <c r="K50" s="375" cm="1">
        <f t="array" ref="K50">IF(D50="",0, SUMPRODUCT(--(ISNUMBER(SEARCH($A50,'Diags Raw Data'!$A$6:$A$3693))),'Diags Raw Data'!$K$6:$K$3693,'Diags Raw Data'!$M$6:$M$3693)/J50)</f>
        <v>0</v>
      </c>
      <c r="L50" s="376" cm="1">
        <f t="array" ref="L50">IF(D50="",0, SUMPRODUCT(--(ISNUMBER(SEARCH($A50,'Diags Raw Data'!$A$6:$A$3693))),'Diags Raw Data'!$K$6:$K$3693,'Diags Raw Data'!$O$6:$O$3693)/J50)</f>
        <v>0</v>
      </c>
      <c r="M50" s="377" cm="1">
        <f t="array" ref="M50">SUMPRODUCT(--(ISNUMBER(SEARCH($A50,'Diags Raw Data'!$A$6:$A$3693))),--('Diags Raw Data'!$P$6:$P$3693&lt;&gt;"N/A"),'Diags Raw Data'!$Q$6:$Q$3693)</f>
        <v>0</v>
      </c>
      <c r="N50" s="378" cm="1">
        <f t="array" ref="N50">SUMPRODUCT(--(ISNUMBER(SEARCH($A50,'Diags Raw Data'!$A$6:$A$3693))),--('Diags Raw Data'!$P$6:$P$3693&lt;&gt;"N/A"),'Diags Raw Data'!$S$6:$S$3693)+SUMPRODUCT(--(ISNUMBER(SEARCH($A50,'Diags Raw Data'!$A$6:$A$3693))),--('Diags Raw Data'!$P$6:$P$3693&lt;&gt;"N/A"),'Diags Raw Data'!$T$6:$T$3693)</f>
        <v>0</v>
      </c>
      <c r="O50" s="412">
        <f t="shared" si="16"/>
        <v>0</v>
      </c>
      <c r="P50" s="379">
        <f>SUMIF('Diags Raw Data'!$A$6:$A$3693,"*"&amp;$A50&amp;"*",'Diags Raw Data'!$Y$6:$Y$3693)</f>
        <v>0</v>
      </c>
      <c r="Q50" s="380">
        <f>SUM(SUMIF('Diags Raw Data'!$A$6:$A$3693,"*"&amp;$A50&amp;"*",'Diags Raw Data'!$Z$6:$Z$3693),SUMIF('Diags Raw Data'!$A$6:$A$3693,"*"&amp;$A50&amp;"*",'Diags Raw Data'!$AA$6:$AA$3693))</f>
        <v>0</v>
      </c>
      <c r="R50" s="381">
        <f t="shared" si="17"/>
        <v>0</v>
      </c>
      <c r="S50" s="381">
        <f t="shared" si="18"/>
        <v>0</v>
      </c>
      <c r="T50" s="382">
        <f t="shared" si="19"/>
        <v>0</v>
      </c>
      <c r="U50" s="415" t="s">
        <v>549</v>
      </c>
      <c r="V50" s="170"/>
    </row>
    <row r="51" spans="1:22" ht="15.75" thickBot="1" x14ac:dyDescent="0.3">
      <c r="A51" s="352"/>
      <c r="B51" s="353"/>
      <c r="C51" s="354"/>
      <c r="D51" s="96"/>
      <c r="E51" s="355"/>
      <c r="F51" s="355"/>
      <c r="G51" s="355"/>
      <c r="H51" s="355"/>
      <c r="I51" s="354"/>
      <c r="J51" s="356"/>
      <c r="K51" s="385"/>
      <c r="L51" s="386"/>
      <c r="M51" s="387"/>
      <c r="N51" s="388"/>
      <c r="O51" s="413"/>
      <c r="P51" s="389"/>
      <c r="Q51" s="390"/>
      <c r="R51" s="391"/>
      <c r="S51" s="391"/>
      <c r="T51" s="392"/>
      <c r="U51" s="393"/>
      <c r="V51" s="170"/>
    </row>
    <row r="52" spans="1:22" ht="15.75" thickBot="1" x14ac:dyDescent="0.3">
      <c r="A52" s="352"/>
      <c r="B52" s="353"/>
      <c r="C52" s="354"/>
      <c r="D52" s="96"/>
      <c r="E52" s="355"/>
      <c r="F52" s="355"/>
      <c r="G52" s="355"/>
      <c r="H52" s="355"/>
      <c r="I52" s="354"/>
      <c r="J52" s="356"/>
      <c r="K52" s="385"/>
      <c r="L52" s="386"/>
      <c r="M52" s="387"/>
      <c r="N52" s="388"/>
      <c r="O52" s="413"/>
      <c r="P52" s="389"/>
      <c r="Q52" s="390"/>
      <c r="R52" s="391"/>
      <c r="S52" s="391"/>
      <c r="T52" s="392"/>
      <c r="U52" s="393"/>
      <c r="V52" s="170"/>
    </row>
    <row r="53" spans="1:22" ht="15.75" thickBot="1" x14ac:dyDescent="0.3">
      <c r="A53" s="352"/>
      <c r="B53" s="353"/>
      <c r="C53" s="354"/>
      <c r="D53" s="96"/>
      <c r="E53" s="355"/>
      <c r="F53" s="355"/>
      <c r="G53" s="355"/>
      <c r="H53" s="355"/>
      <c r="I53" s="354"/>
      <c r="J53" s="356"/>
      <c r="K53" s="385"/>
      <c r="L53" s="386"/>
      <c r="M53" s="387"/>
      <c r="N53" s="388"/>
      <c r="O53" s="413"/>
      <c r="P53" s="389"/>
      <c r="Q53" s="390"/>
      <c r="R53" s="391"/>
      <c r="S53" s="391"/>
      <c r="T53" s="392"/>
      <c r="U53" s="393"/>
      <c r="V53" s="170"/>
    </row>
    <row r="54" spans="1:22" ht="15.75" thickBot="1" x14ac:dyDescent="0.3">
      <c r="A54" s="352"/>
      <c r="B54" s="353"/>
      <c r="C54" s="354"/>
      <c r="D54" s="96"/>
      <c r="E54" s="355"/>
      <c r="F54" s="355"/>
      <c r="G54" s="355"/>
      <c r="H54" s="355"/>
      <c r="I54" s="354"/>
      <c r="J54" s="356"/>
      <c r="K54" s="385"/>
      <c r="L54" s="386"/>
      <c r="M54" s="387"/>
      <c r="N54" s="388"/>
      <c r="O54" s="413"/>
      <c r="P54" s="389"/>
      <c r="Q54" s="390"/>
      <c r="R54" s="391"/>
      <c r="S54" s="391"/>
      <c r="T54" s="392"/>
      <c r="U54" s="393"/>
      <c r="V54" s="170"/>
    </row>
    <row r="55" spans="1:22" ht="15.75" thickBot="1" x14ac:dyDescent="0.3">
      <c r="A55" s="352"/>
      <c r="B55" s="353"/>
      <c r="C55" s="354"/>
      <c r="D55" s="96"/>
      <c r="E55" s="355"/>
      <c r="F55" s="355"/>
      <c r="G55" s="355"/>
      <c r="H55" s="355"/>
      <c r="I55" s="354"/>
      <c r="J55" s="356"/>
      <c r="K55" s="385"/>
      <c r="L55" s="386"/>
      <c r="M55" s="387"/>
      <c r="N55" s="388"/>
      <c r="O55" s="413"/>
      <c r="P55" s="389"/>
      <c r="Q55" s="390"/>
      <c r="R55" s="391"/>
      <c r="S55" s="391"/>
      <c r="T55" s="392"/>
      <c r="U55" s="393"/>
      <c r="V55" s="170"/>
    </row>
    <row r="56" spans="1:22" ht="15.75" thickBot="1" x14ac:dyDescent="0.3">
      <c r="A56" s="352"/>
      <c r="B56" s="353"/>
      <c r="C56" s="354"/>
      <c r="D56" s="96"/>
      <c r="E56" s="355"/>
      <c r="F56" s="355"/>
      <c r="G56" s="355"/>
      <c r="H56" s="355"/>
      <c r="I56" s="354"/>
      <c r="J56" s="356"/>
      <c r="K56" s="385"/>
      <c r="L56" s="386"/>
      <c r="M56" s="387"/>
      <c r="N56" s="388"/>
      <c r="O56" s="413"/>
      <c r="P56" s="389"/>
      <c r="Q56" s="390"/>
      <c r="R56" s="391"/>
      <c r="S56" s="391"/>
      <c r="T56" s="392"/>
      <c r="U56" s="393"/>
      <c r="V56" s="170"/>
    </row>
    <row r="57" spans="1:22" ht="15.75" thickBot="1" x14ac:dyDescent="0.3">
      <c r="A57" s="352"/>
      <c r="B57" s="353"/>
      <c r="C57" s="354"/>
      <c r="D57" s="96"/>
      <c r="E57" s="355"/>
      <c r="F57" s="355"/>
      <c r="G57" s="355"/>
      <c r="H57" s="355"/>
      <c r="I57" s="354"/>
      <c r="J57" s="356"/>
      <c r="K57" s="385"/>
      <c r="L57" s="386"/>
      <c r="M57" s="387"/>
      <c r="N57" s="388"/>
      <c r="O57" s="413"/>
      <c r="P57" s="389"/>
      <c r="Q57" s="390"/>
      <c r="R57" s="391"/>
      <c r="S57" s="391"/>
      <c r="T57" s="392"/>
      <c r="U57" s="393"/>
      <c r="V57" s="170"/>
    </row>
    <row r="58" spans="1:22" ht="15.75" thickBot="1" x14ac:dyDescent="0.3">
      <c r="A58" s="352"/>
      <c r="B58" s="353"/>
      <c r="C58" s="354"/>
      <c r="D58" s="96"/>
      <c r="E58" s="355"/>
      <c r="F58" s="355"/>
      <c r="G58" s="355"/>
      <c r="H58" s="355"/>
      <c r="I58" s="354"/>
      <c r="J58" s="356"/>
      <c r="K58" s="385"/>
      <c r="L58" s="386"/>
      <c r="M58" s="387"/>
      <c r="N58" s="388"/>
      <c r="O58" s="413"/>
      <c r="P58" s="389"/>
      <c r="Q58" s="390"/>
      <c r="R58" s="391"/>
      <c r="S58" s="391"/>
      <c r="T58" s="392"/>
      <c r="U58" s="393"/>
      <c r="V58" s="170"/>
    </row>
    <row r="59" spans="1:22" ht="15.75" thickBot="1" x14ac:dyDescent="0.3">
      <c r="A59" s="352"/>
      <c r="B59" s="353"/>
      <c r="C59" s="354"/>
      <c r="D59" s="96"/>
      <c r="E59" s="355"/>
      <c r="F59" s="355"/>
      <c r="G59" s="355"/>
      <c r="H59" s="355"/>
      <c r="I59" s="354"/>
      <c r="J59" s="356"/>
      <c r="K59" s="385"/>
      <c r="L59" s="386"/>
      <c r="M59" s="387"/>
      <c r="N59" s="388"/>
      <c r="O59" s="413"/>
      <c r="P59" s="389"/>
      <c r="Q59" s="390"/>
      <c r="R59" s="391"/>
      <c r="S59" s="391"/>
      <c r="T59" s="392"/>
      <c r="U59" s="393"/>
      <c r="V59" s="170"/>
    </row>
    <row r="60" spans="1:22" ht="15.75" thickBot="1" x14ac:dyDescent="0.3">
      <c r="A60" s="352"/>
      <c r="B60" s="353"/>
      <c r="C60" s="354"/>
      <c r="D60" s="96"/>
      <c r="E60" s="355"/>
      <c r="F60" s="355"/>
      <c r="G60" s="355"/>
      <c r="H60" s="355"/>
      <c r="I60" s="354"/>
      <c r="J60" s="356"/>
      <c r="K60" s="385"/>
      <c r="L60" s="386"/>
      <c r="M60" s="387"/>
      <c r="N60" s="388"/>
      <c r="O60" s="413"/>
      <c r="P60" s="389"/>
      <c r="Q60" s="390"/>
      <c r="R60" s="391"/>
      <c r="S60" s="391"/>
      <c r="T60" s="392"/>
      <c r="U60" s="393"/>
      <c r="V60" s="170"/>
    </row>
    <row r="61" spans="1:22" ht="15.75" thickBot="1" x14ac:dyDescent="0.3">
      <c r="A61" s="352"/>
      <c r="B61" s="353"/>
      <c r="C61" s="354"/>
      <c r="D61" s="96"/>
      <c r="E61" s="355"/>
      <c r="F61" s="355"/>
      <c r="G61" s="355"/>
      <c r="H61" s="355"/>
      <c r="I61" s="354"/>
      <c r="J61" s="356"/>
      <c r="K61" s="385"/>
      <c r="L61" s="386"/>
      <c r="M61" s="387"/>
      <c r="N61" s="388"/>
      <c r="O61" s="413"/>
      <c r="P61" s="389"/>
      <c r="Q61" s="390"/>
      <c r="R61" s="391"/>
      <c r="S61" s="391"/>
      <c r="T61" s="392"/>
      <c r="U61" s="393"/>
      <c r="V61" s="170"/>
    </row>
    <row r="62" spans="1:22" ht="15.75" thickBot="1" x14ac:dyDescent="0.3">
      <c r="A62" s="352"/>
      <c r="B62" s="353"/>
      <c r="C62" s="354"/>
      <c r="D62" s="96"/>
      <c r="E62" s="355"/>
      <c r="F62" s="355"/>
      <c r="G62" s="355"/>
      <c r="H62" s="355"/>
      <c r="I62" s="354"/>
      <c r="J62" s="356"/>
      <c r="K62" s="385"/>
      <c r="L62" s="386"/>
      <c r="M62" s="387"/>
      <c r="N62" s="388"/>
      <c r="O62" s="413"/>
      <c r="P62" s="389"/>
      <c r="Q62" s="390"/>
      <c r="R62" s="391"/>
      <c r="S62" s="391"/>
      <c r="T62" s="392"/>
      <c r="U62" s="393"/>
      <c r="V62" s="170"/>
    </row>
    <row r="63" spans="1:22" x14ac:dyDescent="0.25">
      <c r="A63" s="555" t="s">
        <v>561</v>
      </c>
      <c r="B63" s="586"/>
      <c r="C63" s="586"/>
      <c r="D63" s="586"/>
      <c r="E63" s="586"/>
      <c r="F63" s="586"/>
      <c r="G63" s="586"/>
      <c r="H63" s="586"/>
      <c r="I63" s="586"/>
      <c r="J63" s="586"/>
      <c r="K63" s="587"/>
      <c r="L63" s="587"/>
      <c r="M63" s="587"/>
      <c r="N63" s="587"/>
      <c r="O63" s="587"/>
      <c r="P63" s="586"/>
      <c r="Q63" s="586"/>
      <c r="R63" s="586"/>
      <c r="S63" s="586"/>
      <c r="T63" s="586"/>
      <c r="U63" s="588"/>
      <c r="V63" s="170"/>
    </row>
    <row r="64" spans="1:22" ht="15.75" thickBot="1" x14ac:dyDescent="0.3">
      <c r="A64" s="589"/>
      <c r="B64" s="586"/>
      <c r="C64" s="586"/>
      <c r="D64" s="586"/>
      <c r="E64" s="586"/>
      <c r="F64" s="586"/>
      <c r="G64" s="586"/>
      <c r="H64" s="586"/>
      <c r="I64" s="586"/>
      <c r="J64" s="586"/>
      <c r="K64" s="586"/>
      <c r="L64" s="586"/>
      <c r="M64" s="586"/>
      <c r="N64" s="586"/>
      <c r="O64" s="586"/>
      <c r="P64" s="586"/>
      <c r="Q64" s="586"/>
      <c r="R64" s="586"/>
      <c r="S64" s="586"/>
      <c r="T64" s="586"/>
      <c r="U64" s="588"/>
      <c r="V64" s="170"/>
    </row>
    <row r="65" spans="1:22" s="175" customFormat="1" ht="18.75" x14ac:dyDescent="0.25">
      <c r="A65" s="580" t="s">
        <v>254</v>
      </c>
      <c r="B65" s="581"/>
      <c r="C65" s="581"/>
      <c r="D65" s="581"/>
      <c r="E65" s="581"/>
      <c r="F65" s="582"/>
      <c r="G65" s="289">
        <f>COUNTIF(G7:G62,"Yes")</f>
        <v>39</v>
      </c>
      <c r="H65" s="289">
        <f>COUNTIF(H7:H62,"Yes")</f>
        <v>33</v>
      </c>
      <c r="I65" s="598">
        <f>'Diags Raw Data'!J83</f>
        <v>74</v>
      </c>
      <c r="J65" s="600">
        <f>'Diags Raw Data'!K83</f>
        <v>74</v>
      </c>
      <c r="K65" s="617">
        <f>'Diags Raw Data'!M83</f>
        <v>1</v>
      </c>
      <c r="L65" s="619">
        <f>'Diags Raw Data'!O83</f>
        <v>0.65675675675675771</v>
      </c>
      <c r="M65" s="621">
        <f>'Diags Raw Data'!Q83</f>
        <v>73</v>
      </c>
      <c r="N65" s="615">
        <f>SUM('Diags Raw Data'!S83+'Diags Raw Data'!T83)</f>
        <v>23</v>
      </c>
      <c r="O65" s="590">
        <f>IF((M65=0),0,N65/M65)</f>
        <v>0.31506849315068491</v>
      </c>
      <c r="P65" s="592">
        <f>'Diags Raw Data'!Y83</f>
        <v>0</v>
      </c>
      <c r="Q65" s="594">
        <f>SUM('Diags Raw Data'!Z83+'Diags Raw Data'!AA83)</f>
        <v>0</v>
      </c>
      <c r="R65" s="596">
        <f>IF((J65=0),0,P65/J65)</f>
        <v>0</v>
      </c>
      <c r="S65" s="596">
        <f>IF((P65=0),0,Q65/P65)</f>
        <v>0</v>
      </c>
      <c r="T65" s="596">
        <f>R65*S65</f>
        <v>0</v>
      </c>
      <c r="U65" s="623"/>
      <c r="V65" s="174"/>
    </row>
    <row r="66" spans="1:22" ht="19.5" thickBot="1" x14ac:dyDescent="0.3">
      <c r="A66" s="583"/>
      <c r="B66" s="584"/>
      <c r="C66" s="584"/>
      <c r="D66" s="584"/>
      <c r="E66" s="584"/>
      <c r="F66" s="585"/>
      <c r="G66" s="290">
        <f>COUNTIF(G7:G62,"Yes")/COUNTA(A7:A62)</f>
        <v>0.88636363636363635</v>
      </c>
      <c r="H66" s="290">
        <f>(COUNTIF(H7:H62,"Yes")/G65)</f>
        <v>0.84615384615384615</v>
      </c>
      <c r="I66" s="599"/>
      <c r="J66" s="601"/>
      <c r="K66" s="618"/>
      <c r="L66" s="620"/>
      <c r="M66" s="622"/>
      <c r="N66" s="616"/>
      <c r="O66" s="591"/>
      <c r="P66" s="593"/>
      <c r="Q66" s="595"/>
      <c r="R66" s="597"/>
      <c r="S66" s="597"/>
      <c r="T66" s="597"/>
      <c r="U66" s="624"/>
      <c r="V66" s="170"/>
    </row>
    <row r="67" spans="1:22" x14ac:dyDescent="0.25">
      <c r="A67" s="176"/>
      <c r="B67" s="177"/>
      <c r="C67" s="177"/>
      <c r="D67" s="176"/>
      <c r="E67" s="177"/>
      <c r="F67" s="177"/>
      <c r="G67" s="280"/>
      <c r="H67" s="177"/>
      <c r="I67" s="281"/>
      <c r="J67" s="281"/>
      <c r="K67" s="182"/>
      <c r="L67" s="182"/>
      <c r="M67" s="183"/>
      <c r="N67" s="183"/>
      <c r="O67" s="182"/>
      <c r="P67" s="179"/>
      <c r="Q67" s="179"/>
      <c r="R67" s="186"/>
      <c r="S67" s="186"/>
      <c r="T67" s="187"/>
      <c r="U67" s="176"/>
    </row>
  </sheetData>
  <sheetProtection insertColumns="0" insertRows="0" deleteRows="0" sort="0"/>
  <autoFilter ref="A6:U66" xr:uid="{00000000-0009-0000-0000-000004000000}"/>
  <mergeCells count="35">
    <mergeCell ref="A4:U4"/>
    <mergeCell ref="K65:K66"/>
    <mergeCell ref="L65:L66"/>
    <mergeCell ref="M65:M66"/>
    <mergeCell ref="T2:T3"/>
    <mergeCell ref="U2:U3"/>
    <mergeCell ref="R2:R3"/>
    <mergeCell ref="S2:S3"/>
    <mergeCell ref="S65:S66"/>
    <mergeCell ref="T65:T66"/>
    <mergeCell ref="U65:U66"/>
    <mergeCell ref="K5:L5"/>
    <mergeCell ref="A5:J5"/>
    <mergeCell ref="M5:O5"/>
    <mergeCell ref="P5:U5"/>
    <mergeCell ref="N65:N66"/>
    <mergeCell ref="A1:U1"/>
    <mergeCell ref="I2:I3"/>
    <mergeCell ref="A2:F3"/>
    <mergeCell ref="O2:O3"/>
    <mergeCell ref="P2:P3"/>
    <mergeCell ref="Q2:Q3"/>
    <mergeCell ref="J2:J3"/>
    <mergeCell ref="K2:K3"/>
    <mergeCell ref="L2:L3"/>
    <mergeCell ref="M2:M3"/>
    <mergeCell ref="N2:N3"/>
    <mergeCell ref="A65:F66"/>
    <mergeCell ref="A63:U64"/>
    <mergeCell ref="O65:O66"/>
    <mergeCell ref="P65:P66"/>
    <mergeCell ref="Q65:Q66"/>
    <mergeCell ref="R65:R66"/>
    <mergeCell ref="I65:I66"/>
    <mergeCell ref="J65:J66"/>
  </mergeCells>
  <phoneticPr fontId="30" type="noConversion"/>
  <conditionalFormatting sqref="A7:A10">
    <cfRule type="duplicateValues" dxfId="5" priority="7"/>
    <cfRule type="duplicateValues" dxfId="4" priority="492"/>
  </conditionalFormatting>
  <conditionalFormatting sqref="A11 A13:A24">
    <cfRule type="duplicateValues" dxfId="3" priority="596"/>
  </conditionalFormatting>
  <conditionalFormatting sqref="A12">
    <cfRule type="duplicateValues" dxfId="2" priority="1"/>
    <cfRule type="duplicateValues" dxfId="1" priority="2"/>
  </conditionalFormatting>
  <conditionalFormatting sqref="A25:A43">
    <cfRule type="duplicateValues" dxfId="0" priority="597"/>
  </conditionalFormatting>
  <pageMargins left="0.7" right="0.7" top="0.75" bottom="0.75" header="0.3" footer="0.3"/>
  <pageSetup orientation="portrait" r:id="rId1"/>
  <headerFooter>
    <oddHeader>&amp;L&amp;"Arial"&amp;10&amp;K0000FF[AMD Official Use Only]&amp;1#</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topLeftCell="S1" workbookViewId="0">
      <selection activeCell="AO8" sqref="AO8"/>
    </sheetView>
  </sheetViews>
  <sheetFormatPr defaultColWidth="15" defaultRowHeight="12.75" x14ac:dyDescent="0.2"/>
  <cols>
    <col min="1" max="1" width="10.140625" style="135" bestFit="1" customWidth="1"/>
    <col min="2" max="27" width="5.7109375" style="133" bestFit="1" customWidth="1"/>
    <col min="28" max="28" width="5.28515625" style="133" bestFit="1" customWidth="1"/>
    <col min="29" max="54" width="6" style="133" bestFit="1" customWidth="1"/>
    <col min="55" max="16384" width="15" style="133"/>
  </cols>
  <sheetData>
    <row r="1" spans="1:54" ht="13.5" thickBot="1" x14ac:dyDescent="0.25">
      <c r="A1" s="149" t="s">
        <v>562</v>
      </c>
      <c r="B1" s="150" t="s">
        <v>563</v>
      </c>
      <c r="C1" s="151" t="s">
        <v>564</v>
      </c>
      <c r="D1" s="151" t="s">
        <v>565</v>
      </c>
      <c r="E1" s="151" t="s">
        <v>566</v>
      </c>
      <c r="F1" s="151" t="s">
        <v>567</v>
      </c>
      <c r="G1" s="151" t="s">
        <v>568</v>
      </c>
      <c r="H1" s="151" t="s">
        <v>569</v>
      </c>
      <c r="I1" s="151" t="s">
        <v>570</v>
      </c>
      <c r="J1" s="151" t="s">
        <v>571</v>
      </c>
      <c r="K1" s="151" t="s">
        <v>572</v>
      </c>
      <c r="L1" s="151" t="s">
        <v>573</v>
      </c>
      <c r="M1" s="151" t="s">
        <v>574</v>
      </c>
      <c r="N1" s="151" t="s">
        <v>575</v>
      </c>
      <c r="O1" s="151" t="s">
        <v>576</v>
      </c>
      <c r="P1" s="151" t="s">
        <v>577</v>
      </c>
      <c r="Q1" s="151" t="s">
        <v>578</v>
      </c>
      <c r="R1" s="151" t="s">
        <v>579</v>
      </c>
      <c r="S1" s="151" t="s">
        <v>580</v>
      </c>
      <c r="T1" s="151" t="s">
        <v>581</v>
      </c>
      <c r="U1" s="151" t="s">
        <v>582</v>
      </c>
      <c r="V1" s="151" t="s">
        <v>583</v>
      </c>
      <c r="W1" s="151" t="s">
        <v>584</v>
      </c>
      <c r="X1" s="151" t="s">
        <v>585</v>
      </c>
      <c r="Y1" s="151" t="s">
        <v>586</v>
      </c>
      <c r="Z1" s="151" t="s">
        <v>587</v>
      </c>
      <c r="AA1" s="151" t="s">
        <v>588</v>
      </c>
      <c r="AB1" s="151" t="s">
        <v>589</v>
      </c>
      <c r="AC1" s="151" t="s">
        <v>590</v>
      </c>
      <c r="AD1" s="151" t="s">
        <v>591</v>
      </c>
      <c r="AE1" s="151" t="s">
        <v>592</v>
      </c>
      <c r="AF1" s="151" t="s">
        <v>593</v>
      </c>
      <c r="AG1" s="151" t="s">
        <v>594</v>
      </c>
      <c r="AH1" s="151" t="s">
        <v>595</v>
      </c>
      <c r="AI1" s="151" t="s">
        <v>596</v>
      </c>
      <c r="AJ1" s="151" t="s">
        <v>597</v>
      </c>
      <c r="AK1" s="151" t="s">
        <v>598</v>
      </c>
      <c r="AL1" s="151" t="s">
        <v>599</v>
      </c>
      <c r="AM1" s="151" t="s">
        <v>600</v>
      </c>
      <c r="AN1" s="151" t="s">
        <v>601</v>
      </c>
      <c r="AO1" s="151" t="s">
        <v>602</v>
      </c>
      <c r="AP1" s="151" t="s">
        <v>603</v>
      </c>
      <c r="AQ1" s="151" t="s">
        <v>604</v>
      </c>
      <c r="AR1" s="151" t="s">
        <v>605</v>
      </c>
      <c r="AS1" s="151" t="s">
        <v>606</v>
      </c>
      <c r="AT1" s="151" t="s">
        <v>607</v>
      </c>
      <c r="AU1" s="151" t="s">
        <v>608</v>
      </c>
      <c r="AV1" s="151" t="s">
        <v>609</v>
      </c>
      <c r="AW1" s="151" t="s">
        <v>610</v>
      </c>
      <c r="AX1" s="151" t="s">
        <v>611</v>
      </c>
      <c r="AY1" s="151" t="s">
        <v>612</v>
      </c>
      <c r="AZ1" s="151" t="s">
        <v>613</v>
      </c>
      <c r="BA1" s="151" t="s">
        <v>614</v>
      </c>
      <c r="BB1" s="152" t="s">
        <v>615</v>
      </c>
    </row>
    <row r="2" spans="1:54" s="134" customFormat="1" x14ac:dyDescent="0.2">
      <c r="A2" s="146" t="s">
        <v>616</v>
      </c>
      <c r="B2" s="403">
        <v>0.1</v>
      </c>
      <c r="C2" s="404">
        <v>0.15</v>
      </c>
      <c r="D2" s="404">
        <v>0.17</v>
      </c>
      <c r="E2" s="404">
        <v>0.23</v>
      </c>
      <c r="F2" s="404">
        <v>0.28000000000000003</v>
      </c>
      <c r="G2" s="404">
        <v>0.35</v>
      </c>
      <c r="H2" s="404">
        <v>0.4</v>
      </c>
      <c r="I2" s="404">
        <v>0.45</v>
      </c>
      <c r="J2" s="404">
        <v>0.5</v>
      </c>
      <c r="K2" s="404">
        <v>0.57999999999999996</v>
      </c>
      <c r="L2" s="404">
        <v>0.62</v>
      </c>
      <c r="M2" s="404">
        <v>0.68</v>
      </c>
      <c r="N2" s="404">
        <v>0.71000000000000008</v>
      </c>
      <c r="O2" s="404">
        <v>0.7400000000000001</v>
      </c>
      <c r="P2" s="404">
        <v>0.75000000000000011</v>
      </c>
      <c r="Q2" s="404">
        <v>0.76000000000000012</v>
      </c>
      <c r="R2" s="404">
        <v>0.79000000000000015</v>
      </c>
      <c r="S2" s="404">
        <v>0.82000000000000017</v>
      </c>
      <c r="T2" s="404">
        <v>0.8500000000000002</v>
      </c>
      <c r="U2" s="404">
        <v>0.88000000000000023</v>
      </c>
      <c r="V2" s="404">
        <v>0.91000000000000025</v>
      </c>
      <c r="W2" s="404">
        <v>0.94000000000000028</v>
      </c>
      <c r="X2" s="404">
        <v>0.97000000000000031</v>
      </c>
      <c r="Y2" s="404">
        <v>1.0000000000000002</v>
      </c>
      <c r="Z2" s="404"/>
      <c r="AA2" s="404"/>
      <c r="AB2" s="404"/>
      <c r="AC2" s="404"/>
      <c r="AD2" s="404"/>
      <c r="AE2" s="404"/>
      <c r="AF2" s="404"/>
      <c r="AG2" s="404"/>
      <c r="AH2" s="404"/>
      <c r="AI2" s="404"/>
      <c r="AJ2" s="404"/>
      <c r="AK2" s="404"/>
      <c r="AL2" s="404"/>
      <c r="AM2" s="147"/>
      <c r="AN2" s="147"/>
      <c r="AO2" s="147"/>
      <c r="AP2" s="147"/>
      <c r="AQ2" s="147"/>
      <c r="AR2" s="147"/>
      <c r="AS2" s="147"/>
      <c r="AT2" s="147"/>
      <c r="AU2" s="147"/>
      <c r="AV2" s="147"/>
      <c r="AW2" s="147"/>
      <c r="AX2" s="147"/>
      <c r="AY2" s="147"/>
      <c r="AZ2" s="147"/>
      <c r="BA2" s="147"/>
      <c r="BB2" s="148"/>
    </row>
    <row r="3" spans="1:54" s="134" customFormat="1" x14ac:dyDescent="0.2">
      <c r="A3" s="143" t="s">
        <v>617</v>
      </c>
      <c r="B3" s="405"/>
      <c r="C3" s="406"/>
      <c r="D3" s="406"/>
      <c r="E3" s="406"/>
      <c r="F3" s="406"/>
      <c r="G3" s="406"/>
      <c r="H3" s="406"/>
      <c r="I3" s="406"/>
      <c r="J3" s="406"/>
      <c r="K3" s="406"/>
      <c r="L3" s="406">
        <v>0.1</v>
      </c>
      <c r="M3" s="406">
        <v>0.15</v>
      </c>
      <c r="N3" s="406">
        <v>0.2</v>
      </c>
      <c r="O3" s="406">
        <v>0.3</v>
      </c>
      <c r="P3" s="406">
        <v>0.35</v>
      </c>
      <c r="Q3" s="406">
        <v>0.4</v>
      </c>
      <c r="R3" s="406">
        <v>0.4</v>
      </c>
      <c r="S3" s="406">
        <v>0.4</v>
      </c>
      <c r="T3" s="406">
        <v>0.4</v>
      </c>
      <c r="U3" s="406">
        <v>0.4</v>
      </c>
      <c r="V3" s="406">
        <v>0.5</v>
      </c>
      <c r="W3" s="406">
        <v>0.6</v>
      </c>
      <c r="X3" s="406">
        <v>0.65</v>
      </c>
      <c r="Y3" s="406">
        <v>0.7</v>
      </c>
      <c r="Z3" s="406">
        <v>0.8</v>
      </c>
      <c r="AA3" s="406">
        <v>0.9</v>
      </c>
      <c r="AB3" s="406">
        <v>1</v>
      </c>
      <c r="AC3" s="406"/>
      <c r="AD3" s="406"/>
      <c r="AE3" s="406"/>
      <c r="AF3" s="406"/>
      <c r="AG3" s="406"/>
      <c r="AH3" s="406"/>
      <c r="AI3" s="406"/>
      <c r="AJ3" s="406"/>
      <c r="AK3" s="406"/>
      <c r="AL3" s="406"/>
      <c r="AM3" s="132"/>
      <c r="AN3" s="132"/>
      <c r="AO3" s="132"/>
      <c r="AP3" s="132"/>
      <c r="AQ3" s="132"/>
      <c r="AR3" s="132"/>
      <c r="AS3" s="132"/>
      <c r="AT3" s="132"/>
      <c r="AU3" s="132"/>
      <c r="AV3" s="132"/>
      <c r="AW3" s="132"/>
      <c r="AX3" s="132"/>
      <c r="AY3" s="132"/>
      <c r="AZ3" s="132"/>
      <c r="BA3" s="132"/>
      <c r="BB3" s="137"/>
    </row>
    <row r="4" spans="1:54" s="134" customFormat="1" x14ac:dyDescent="0.2">
      <c r="A4" s="145" t="s">
        <v>182</v>
      </c>
      <c r="B4" s="407"/>
      <c r="C4" s="408"/>
      <c r="D4" s="408"/>
      <c r="E4" s="408"/>
      <c r="F4" s="408"/>
      <c r="G4" s="408"/>
      <c r="H4" s="408"/>
      <c r="I4" s="408"/>
      <c r="J4" s="408"/>
      <c r="K4" s="408"/>
      <c r="L4" s="408"/>
      <c r="M4" s="408"/>
      <c r="N4" s="408"/>
      <c r="O4" s="408"/>
      <c r="P4" s="408"/>
      <c r="Q4" s="408"/>
      <c r="R4" s="408"/>
      <c r="S4" s="408"/>
      <c r="T4" s="408"/>
      <c r="U4" s="408"/>
      <c r="V4" s="408"/>
      <c r="W4" s="408"/>
      <c r="X4" s="408"/>
      <c r="Y4" s="408"/>
      <c r="Z4" s="408"/>
      <c r="AA4" s="408"/>
      <c r="AB4" s="408"/>
      <c r="AC4" s="408">
        <v>0.05</v>
      </c>
      <c r="AD4" s="408">
        <v>0.1</v>
      </c>
      <c r="AE4" s="408">
        <v>0.2</v>
      </c>
      <c r="AF4" s="408">
        <v>0.3</v>
      </c>
      <c r="AG4" s="408">
        <v>0.4</v>
      </c>
      <c r="AH4" s="408">
        <v>0.5</v>
      </c>
      <c r="AI4" s="408">
        <v>0.6</v>
      </c>
      <c r="AJ4" s="408">
        <v>0.7</v>
      </c>
      <c r="AK4" s="408">
        <v>0.8</v>
      </c>
      <c r="AL4" s="408">
        <v>0.85</v>
      </c>
      <c r="AM4" s="408">
        <v>0.9</v>
      </c>
      <c r="AN4" s="138">
        <v>0.95</v>
      </c>
      <c r="AO4" s="408">
        <v>1</v>
      </c>
      <c r="AP4" s="138"/>
      <c r="AQ4" s="138"/>
      <c r="AR4" s="138"/>
      <c r="AS4" s="138"/>
      <c r="AT4" s="138"/>
      <c r="AU4" s="138"/>
      <c r="AV4" s="138"/>
      <c r="AW4" s="138"/>
      <c r="AX4" s="138"/>
      <c r="AY4" s="138"/>
      <c r="AZ4" s="138"/>
      <c r="BA4" s="138"/>
      <c r="BB4" s="139"/>
    </row>
    <row r="5" spans="1:54" x14ac:dyDescent="0.2">
      <c r="A5" s="153" t="s">
        <v>618</v>
      </c>
      <c r="B5" s="396">
        <v>5</v>
      </c>
      <c r="C5" s="397">
        <v>6</v>
      </c>
      <c r="D5" s="397">
        <v>7</v>
      </c>
      <c r="E5" s="397">
        <v>8</v>
      </c>
      <c r="F5" s="397">
        <v>9</v>
      </c>
      <c r="G5" s="397"/>
      <c r="H5" s="397"/>
      <c r="I5" s="397"/>
      <c r="J5" s="397"/>
      <c r="K5" s="397"/>
      <c r="L5" s="397"/>
      <c r="M5" s="397"/>
      <c r="N5" s="397"/>
      <c r="O5" s="397"/>
      <c r="P5" s="397"/>
      <c r="Q5" s="397"/>
      <c r="R5" s="397"/>
      <c r="S5" s="397"/>
      <c r="T5" s="397"/>
      <c r="U5" s="397"/>
      <c r="V5" s="397"/>
      <c r="W5" s="397"/>
      <c r="X5" s="397"/>
      <c r="Y5" s="397"/>
      <c r="Z5" s="397"/>
      <c r="AA5" s="397"/>
      <c r="AB5" s="397"/>
      <c r="AC5" s="397"/>
      <c r="AD5" s="397"/>
      <c r="AE5" s="397"/>
      <c r="AF5" s="398"/>
      <c r="AG5" s="399"/>
      <c r="AH5" s="398"/>
      <c r="AI5" s="154"/>
      <c r="AJ5" s="154"/>
      <c r="AK5" s="154"/>
      <c r="AL5" s="154"/>
      <c r="AM5" s="154"/>
      <c r="AN5" s="154"/>
      <c r="AO5" s="154"/>
      <c r="AP5" s="154"/>
      <c r="AQ5" s="154"/>
      <c r="AR5" s="154"/>
      <c r="AS5" s="154"/>
      <c r="AT5" s="154"/>
      <c r="AU5" s="154"/>
      <c r="AV5" s="154"/>
      <c r="AW5" s="154"/>
      <c r="AX5" s="154"/>
      <c r="AY5" s="154"/>
      <c r="AZ5" s="154"/>
      <c r="BA5" s="154"/>
      <c r="BB5" s="155"/>
    </row>
    <row r="6" spans="1:54" s="134" customFormat="1" x14ac:dyDescent="0.2">
      <c r="A6" s="143" t="s">
        <v>616</v>
      </c>
      <c r="B6" s="405">
        <v>0.08</v>
      </c>
      <c r="C6" s="406">
        <v>0.12</v>
      </c>
      <c r="D6" s="406">
        <v>0.15</v>
      </c>
      <c r="E6" s="406">
        <v>0.18</v>
      </c>
      <c r="F6" s="406">
        <v>0.24</v>
      </c>
      <c r="G6" s="406">
        <v>0.3</v>
      </c>
      <c r="H6" s="406">
        <v>0.35</v>
      </c>
      <c r="I6" s="406">
        <v>0.4</v>
      </c>
      <c r="J6" s="406">
        <v>0.45</v>
      </c>
      <c r="K6" s="406">
        <v>0.5</v>
      </c>
      <c r="L6" s="406">
        <v>0.57999999999999996</v>
      </c>
      <c r="M6" s="406">
        <v>0.59</v>
      </c>
      <c r="N6" s="406">
        <v>0.6</v>
      </c>
      <c r="O6" s="406">
        <v>0.65</v>
      </c>
      <c r="P6" s="406">
        <v>0.68</v>
      </c>
      <c r="Q6" s="406">
        <v>0.7</v>
      </c>
      <c r="R6" s="406">
        <v>0.72</v>
      </c>
      <c r="S6" s="406">
        <v>0.74</v>
      </c>
      <c r="T6" s="406">
        <v>0.76</v>
      </c>
      <c r="U6" s="406">
        <v>0.78</v>
      </c>
      <c r="V6" s="406">
        <v>0.8</v>
      </c>
      <c r="W6" s="406">
        <v>0.85</v>
      </c>
      <c r="X6" s="406">
        <v>0.88</v>
      </c>
      <c r="Y6" s="406">
        <v>0.9</v>
      </c>
      <c r="Z6" s="406"/>
      <c r="AA6" s="406"/>
      <c r="AB6" s="406"/>
      <c r="AC6" s="406"/>
      <c r="AD6" s="406"/>
      <c r="AE6" s="406"/>
      <c r="AF6" s="406"/>
      <c r="AG6" s="406"/>
      <c r="AH6" s="406"/>
      <c r="AI6" s="132"/>
      <c r="AJ6" s="132"/>
      <c r="AK6" s="132"/>
      <c r="AL6" s="132"/>
      <c r="AM6" s="132"/>
      <c r="AN6" s="132"/>
      <c r="AO6" s="132"/>
      <c r="AP6" s="132"/>
      <c r="AQ6" s="132"/>
      <c r="AR6" s="132"/>
      <c r="AS6" s="132"/>
      <c r="AT6" s="132"/>
      <c r="AU6" s="132"/>
      <c r="AV6" s="132"/>
      <c r="AW6" s="132"/>
      <c r="AX6" s="132"/>
      <c r="AY6" s="132"/>
      <c r="AZ6" s="132"/>
      <c r="BA6" s="132"/>
      <c r="BB6" s="137"/>
    </row>
    <row r="7" spans="1:54" s="142" customFormat="1" x14ac:dyDescent="0.2">
      <c r="A7" s="144" t="s">
        <v>619</v>
      </c>
      <c r="B7" s="405"/>
      <c r="C7" s="406"/>
      <c r="D7" s="406"/>
      <c r="E7" s="406"/>
      <c r="F7" s="406"/>
      <c r="G7" s="406"/>
      <c r="H7" s="406"/>
      <c r="I7" s="406"/>
      <c r="J7" s="406"/>
      <c r="K7" s="406"/>
      <c r="L7" s="406"/>
      <c r="M7" s="406">
        <v>7.0000000000000007E-2</v>
      </c>
      <c r="N7" s="406">
        <v>0.12</v>
      </c>
      <c r="O7" s="406">
        <v>0.17</v>
      </c>
      <c r="P7" s="406">
        <v>0.27</v>
      </c>
      <c r="Q7" s="406">
        <v>0.31999999999999995</v>
      </c>
      <c r="R7" s="406">
        <v>0.37</v>
      </c>
      <c r="S7" s="406">
        <v>0.37</v>
      </c>
      <c r="T7" s="406">
        <v>0.37</v>
      </c>
      <c r="U7" s="406">
        <v>0.37</v>
      </c>
      <c r="V7" s="406">
        <v>0.37</v>
      </c>
      <c r="W7" s="406">
        <v>0.47</v>
      </c>
      <c r="X7" s="406">
        <v>0.56999999999999995</v>
      </c>
      <c r="Y7" s="406">
        <v>0.62</v>
      </c>
      <c r="Z7" s="406">
        <v>0.66999999999999993</v>
      </c>
      <c r="AA7" s="406">
        <v>0.77</v>
      </c>
      <c r="AB7" s="406">
        <v>0.87</v>
      </c>
      <c r="AC7" s="406">
        <v>0.97</v>
      </c>
      <c r="AD7" s="406"/>
      <c r="AE7" s="406"/>
      <c r="AF7" s="409"/>
      <c r="AG7" s="406"/>
      <c r="AH7" s="409"/>
      <c r="AI7" s="140"/>
      <c r="AJ7" s="140"/>
      <c r="AK7" s="140"/>
      <c r="AL7" s="140"/>
      <c r="AM7" s="140"/>
      <c r="AN7" s="140"/>
      <c r="AO7" s="140"/>
      <c r="AP7" s="140"/>
      <c r="AQ7" s="140"/>
      <c r="AR7" s="140"/>
      <c r="AS7" s="140"/>
      <c r="AT7" s="140"/>
      <c r="AU7" s="140"/>
      <c r="AV7" s="140"/>
      <c r="AW7" s="140"/>
      <c r="AX7" s="140"/>
      <c r="AY7" s="140"/>
      <c r="AZ7" s="140"/>
      <c r="BA7" s="140"/>
      <c r="BB7" s="141"/>
    </row>
    <row r="8" spans="1:54" s="134" customFormat="1" ht="13.5" thickBot="1" x14ac:dyDescent="0.25">
      <c r="A8" s="145" t="s">
        <v>182</v>
      </c>
      <c r="B8" s="407"/>
      <c r="C8" s="408"/>
      <c r="D8" s="408"/>
      <c r="E8" s="408"/>
      <c r="F8" s="408"/>
      <c r="G8" s="408"/>
      <c r="H8" s="408"/>
      <c r="I8" s="408"/>
      <c r="J8" s="408"/>
      <c r="K8" s="408"/>
      <c r="L8" s="408"/>
      <c r="M8" s="408"/>
      <c r="N8" s="408"/>
      <c r="O8" s="408"/>
      <c r="P8" s="408"/>
      <c r="Q8" s="408"/>
      <c r="R8" s="408"/>
      <c r="S8" s="408"/>
      <c r="T8" s="408"/>
      <c r="U8" s="408"/>
      <c r="V8" s="408"/>
      <c r="W8" s="408"/>
      <c r="X8" s="408"/>
      <c r="Y8" s="408"/>
      <c r="Z8" s="408"/>
      <c r="AA8" s="408"/>
      <c r="AB8" s="408">
        <v>0.08</v>
      </c>
      <c r="AC8" s="408">
        <v>0.15</v>
      </c>
      <c r="AD8" s="408">
        <v>0.16</v>
      </c>
      <c r="AE8" s="408">
        <v>0.27</v>
      </c>
      <c r="AF8" s="408">
        <v>0.5</v>
      </c>
      <c r="AG8" s="408">
        <v>0.53</v>
      </c>
      <c r="AH8" s="408">
        <v>0.59</v>
      </c>
      <c r="AI8" s="138">
        <v>0.62</v>
      </c>
      <c r="AJ8" s="138">
        <v>0.62</v>
      </c>
      <c r="AK8" s="138">
        <v>0.67</v>
      </c>
      <c r="AL8" s="138">
        <v>0.76</v>
      </c>
      <c r="AM8" s="138">
        <v>0.8</v>
      </c>
      <c r="AN8" s="138">
        <v>0.97399999999999998</v>
      </c>
      <c r="AO8" s="138">
        <v>1</v>
      </c>
      <c r="AP8" s="138"/>
      <c r="AQ8" s="138"/>
      <c r="AR8" s="138"/>
      <c r="AS8" s="138"/>
      <c r="AT8" s="138"/>
      <c r="AU8" s="138"/>
      <c r="AV8" s="138"/>
      <c r="AW8" s="138"/>
      <c r="AX8" s="138"/>
      <c r="AY8" s="138"/>
      <c r="AZ8" s="138"/>
      <c r="BA8" s="138"/>
      <c r="BB8" s="139"/>
    </row>
    <row r="16" spans="1:54" x14ac:dyDescent="0.2">
      <c r="V16" s="136"/>
    </row>
  </sheetData>
  <pageMargins left="0.7" right="0.7" top="0.75" bottom="0.75" header="0.3" footer="0.3"/>
  <pageSetup orientation="portrait" r:id="rId1"/>
  <headerFooter>
    <oddHeader>&amp;L&amp;"Arial"&amp;10&amp;K0000FF[AMD Official Use Only]&amp;1#</oddHeader>
  </headerFooter>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48"/>
  <sheetViews>
    <sheetView workbookViewId="0">
      <pane ySplit="2" topLeftCell="A5" activePane="bottomLeft" state="frozen"/>
      <selection pane="bottomLeft" activeCell="H27" sqref="H27"/>
    </sheetView>
  </sheetViews>
  <sheetFormatPr defaultRowHeight="15" x14ac:dyDescent="0.25"/>
  <cols>
    <col min="1" max="1" width="20.140625" customWidth="1"/>
    <col min="2" max="2" width="74.140625" bestFit="1"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644" t="s">
        <v>620</v>
      </c>
      <c r="B1" s="645"/>
      <c r="C1" s="645"/>
      <c r="D1" s="645"/>
      <c r="E1" s="645"/>
      <c r="F1" s="645"/>
      <c r="G1" s="645"/>
      <c r="H1" s="645"/>
      <c r="I1" s="646"/>
    </row>
    <row r="2" spans="1:9" s="79" customFormat="1" ht="15.75" thickBot="1" x14ac:dyDescent="0.3">
      <c r="A2" s="348" t="s">
        <v>72</v>
      </c>
      <c r="B2" s="349" t="s">
        <v>76</v>
      </c>
      <c r="C2" s="350" t="s">
        <v>91</v>
      </c>
      <c r="D2" s="350" t="s">
        <v>197</v>
      </c>
      <c r="E2" s="351" t="s">
        <v>1</v>
      </c>
    </row>
    <row r="3" spans="1:9" ht="15.75" thickBot="1" x14ac:dyDescent="0.3">
      <c r="A3" s="400" t="s">
        <v>259</v>
      </c>
      <c r="B3" s="410" t="s">
        <v>260</v>
      </c>
      <c r="C3" s="361" t="s">
        <v>621</v>
      </c>
      <c r="D3" s="267" t="s">
        <v>34</v>
      </c>
      <c r="E3" s="338" t="s">
        <v>42</v>
      </c>
      <c r="G3" s="224" t="s">
        <v>72</v>
      </c>
      <c r="H3" s="225" t="s">
        <v>622</v>
      </c>
      <c r="I3" s="363">
        <f>COUNTA(A3:A3835)</f>
        <v>46</v>
      </c>
    </row>
    <row r="4" spans="1:9" x14ac:dyDescent="0.25">
      <c r="A4" s="401" t="s">
        <v>261</v>
      </c>
      <c r="B4" s="402" t="s">
        <v>262</v>
      </c>
      <c r="C4" s="362" t="s">
        <v>621</v>
      </c>
      <c r="D4" s="251" t="s">
        <v>34</v>
      </c>
      <c r="E4" s="338" t="s">
        <v>38</v>
      </c>
      <c r="G4" s="636" t="s">
        <v>91</v>
      </c>
      <c r="H4" s="226" t="s">
        <v>623</v>
      </c>
      <c r="I4" s="364">
        <f>COUNTIFS($C3:$C3835,"P1")</f>
        <v>8</v>
      </c>
    </row>
    <row r="5" spans="1:9" x14ac:dyDescent="0.25">
      <c r="A5" s="401" t="s">
        <v>266</v>
      </c>
      <c r="B5" s="402" t="s">
        <v>267</v>
      </c>
      <c r="C5" s="362" t="s">
        <v>621</v>
      </c>
      <c r="D5" s="251" t="s">
        <v>34</v>
      </c>
      <c r="E5" s="338" t="s">
        <v>38</v>
      </c>
      <c r="G5" s="637"/>
      <c r="H5" s="227" t="s">
        <v>624</v>
      </c>
      <c r="I5" s="365">
        <f>COUNTIFS($C3:$C3835,"P2")</f>
        <v>38</v>
      </c>
    </row>
    <row r="6" spans="1:9" ht="15.75" thickBot="1" x14ac:dyDescent="0.3">
      <c r="A6" s="401" t="s">
        <v>307</v>
      </c>
      <c r="B6" s="402" t="s">
        <v>308</v>
      </c>
      <c r="C6" s="362" t="s">
        <v>621</v>
      </c>
      <c r="D6" s="251" t="s">
        <v>34</v>
      </c>
      <c r="E6" s="338" t="s">
        <v>38</v>
      </c>
      <c r="G6" s="638"/>
      <c r="H6" s="228" t="s">
        <v>625</v>
      </c>
      <c r="I6" s="366">
        <f>COUNTIFS($C3:$C3835,"P3")</f>
        <v>0</v>
      </c>
    </row>
    <row r="7" spans="1:9" x14ac:dyDescent="0.25">
      <c r="A7" s="401" t="s">
        <v>329</v>
      </c>
      <c r="B7" s="402" t="s">
        <v>330</v>
      </c>
      <c r="C7" s="362" t="s">
        <v>621</v>
      </c>
      <c r="D7" s="251" t="s">
        <v>34</v>
      </c>
      <c r="E7" s="338" t="s">
        <v>38</v>
      </c>
      <c r="G7" s="639" t="s">
        <v>197</v>
      </c>
      <c r="H7" s="226" t="s">
        <v>626</v>
      </c>
      <c r="I7" s="364">
        <f>COUNTIFS($D3:$D3835,"Diagnostics")</f>
        <v>46</v>
      </c>
    </row>
    <row r="8" spans="1:9" x14ac:dyDescent="0.25">
      <c r="A8" s="401" t="s">
        <v>335</v>
      </c>
      <c r="B8" s="402" t="s">
        <v>336</v>
      </c>
      <c r="C8" s="362" t="s">
        <v>621</v>
      </c>
      <c r="D8" s="251" t="s">
        <v>34</v>
      </c>
      <c r="E8" s="338" t="s">
        <v>38</v>
      </c>
      <c r="G8" s="640"/>
      <c r="H8" s="227" t="s">
        <v>627</v>
      </c>
      <c r="I8" s="365">
        <f>COUNTIFS($D3:$D3835,"Driver")</f>
        <v>0</v>
      </c>
    </row>
    <row r="9" spans="1:9" x14ac:dyDescent="0.25">
      <c r="A9" s="401" t="s">
        <v>345</v>
      </c>
      <c r="B9" s="402" t="s">
        <v>346</v>
      </c>
      <c r="C9" s="362" t="s">
        <v>621</v>
      </c>
      <c r="D9" s="251" t="s">
        <v>34</v>
      </c>
      <c r="E9" s="338" t="s">
        <v>38</v>
      </c>
      <c r="G9" s="640"/>
      <c r="H9" s="227" t="s">
        <v>628</v>
      </c>
      <c r="I9" s="365">
        <f>COUNTIFS($D3:$D3835,"IPSE")</f>
        <v>0</v>
      </c>
    </row>
    <row r="10" spans="1:9" ht="15.75" thickBot="1" x14ac:dyDescent="0.3">
      <c r="A10" s="401" t="s">
        <v>629</v>
      </c>
      <c r="B10" s="402" t="s">
        <v>630</v>
      </c>
      <c r="C10" s="362" t="s">
        <v>621</v>
      </c>
      <c r="D10" s="251" t="s">
        <v>34</v>
      </c>
      <c r="E10" s="338" t="s">
        <v>38</v>
      </c>
      <c r="G10" s="641"/>
      <c r="H10" s="228" t="s">
        <v>631</v>
      </c>
      <c r="I10" s="366">
        <f>COUNTIFS($D3:$D3835,"N/A")</f>
        <v>0</v>
      </c>
    </row>
    <row r="11" spans="1:9" x14ac:dyDescent="0.25">
      <c r="A11" s="401" t="s">
        <v>351</v>
      </c>
      <c r="B11" s="402" t="s">
        <v>352</v>
      </c>
      <c r="C11" s="362" t="s">
        <v>621</v>
      </c>
      <c r="D11" s="251" t="s">
        <v>34</v>
      </c>
      <c r="E11" s="338" t="s">
        <v>38</v>
      </c>
      <c r="G11" s="639" t="s">
        <v>1</v>
      </c>
      <c r="H11" s="226" t="s">
        <v>632</v>
      </c>
      <c r="I11" s="364">
        <f>COUNTIFS($E3:$E3835,"Legacy")</f>
        <v>3</v>
      </c>
    </row>
    <row r="12" spans="1:9" x14ac:dyDescent="0.25">
      <c r="A12" s="401" t="s">
        <v>361</v>
      </c>
      <c r="B12" s="402" t="s">
        <v>362</v>
      </c>
      <c r="C12" s="362" t="s">
        <v>621</v>
      </c>
      <c r="D12" s="251" t="s">
        <v>34</v>
      </c>
      <c r="E12" s="338" t="s">
        <v>38</v>
      </c>
      <c r="G12" s="640"/>
      <c r="H12" s="227" t="s">
        <v>633</v>
      </c>
      <c r="I12" s="365">
        <f>COUNTIFS($E3:$E3835,"Delta")</f>
        <v>35</v>
      </c>
    </row>
    <row r="13" spans="1:9" ht="15.75" thickBot="1" x14ac:dyDescent="0.3">
      <c r="A13" s="401" t="s">
        <v>363</v>
      </c>
      <c r="B13" s="402" t="s">
        <v>364</v>
      </c>
      <c r="C13" s="362" t="s">
        <v>621</v>
      </c>
      <c r="D13" s="251" t="s">
        <v>34</v>
      </c>
      <c r="E13" s="338" t="s">
        <v>38</v>
      </c>
      <c r="G13" s="641"/>
      <c r="H13" s="228" t="s">
        <v>634</v>
      </c>
      <c r="I13" s="366">
        <f>COUNTIFS($E3:$E3835,"New")</f>
        <v>8</v>
      </c>
    </row>
    <row r="14" spans="1:9" ht="15.75" thickBot="1" x14ac:dyDescent="0.3">
      <c r="A14" s="401" t="s">
        <v>367</v>
      </c>
      <c r="B14" s="402" t="s">
        <v>368</v>
      </c>
      <c r="C14" s="362" t="s">
        <v>621</v>
      </c>
      <c r="D14" s="251" t="s">
        <v>34</v>
      </c>
      <c r="E14" s="338" t="s">
        <v>38</v>
      </c>
      <c r="G14" s="291" t="s">
        <v>202</v>
      </c>
      <c r="H14" s="642"/>
      <c r="I14" s="643"/>
    </row>
    <row r="15" spans="1:9" x14ac:dyDescent="0.25">
      <c r="A15" s="401" t="s">
        <v>372</v>
      </c>
      <c r="B15" s="402" t="s">
        <v>373</v>
      </c>
      <c r="C15" s="362" t="s">
        <v>621</v>
      </c>
      <c r="D15" s="251" t="s">
        <v>34</v>
      </c>
      <c r="E15" s="338" t="s">
        <v>38</v>
      </c>
    </row>
    <row r="16" spans="1:9" x14ac:dyDescent="0.25">
      <c r="A16" s="401" t="s">
        <v>377</v>
      </c>
      <c r="B16" s="402" t="s">
        <v>378</v>
      </c>
      <c r="C16" s="362" t="s">
        <v>621</v>
      </c>
      <c r="D16" s="251" t="s">
        <v>34</v>
      </c>
      <c r="E16" s="338" t="s">
        <v>38</v>
      </c>
    </row>
    <row r="17" spans="1:5" x14ac:dyDescent="0.25">
      <c r="A17" s="401" t="s">
        <v>384</v>
      </c>
      <c r="B17" s="402" t="s">
        <v>385</v>
      </c>
      <c r="C17" s="362" t="s">
        <v>621</v>
      </c>
      <c r="D17" s="251" t="s">
        <v>34</v>
      </c>
      <c r="E17" s="338" t="s">
        <v>38</v>
      </c>
    </row>
    <row r="18" spans="1:5" x14ac:dyDescent="0.25">
      <c r="A18" s="401" t="s">
        <v>389</v>
      </c>
      <c r="B18" s="402" t="s">
        <v>390</v>
      </c>
      <c r="C18" s="362" t="s">
        <v>621</v>
      </c>
      <c r="D18" s="251" t="s">
        <v>34</v>
      </c>
      <c r="E18" s="338" t="s">
        <v>38</v>
      </c>
    </row>
    <row r="19" spans="1:5" x14ac:dyDescent="0.25">
      <c r="A19" s="401" t="s">
        <v>395</v>
      </c>
      <c r="B19" s="402" t="s">
        <v>396</v>
      </c>
      <c r="C19" s="362" t="s">
        <v>621</v>
      </c>
      <c r="D19" s="251" t="s">
        <v>34</v>
      </c>
      <c r="E19" s="338" t="s">
        <v>38</v>
      </c>
    </row>
    <row r="20" spans="1:5" x14ac:dyDescent="0.25">
      <c r="A20" s="401" t="s">
        <v>399</v>
      </c>
      <c r="B20" s="402" t="s">
        <v>400</v>
      </c>
      <c r="C20" s="362" t="s">
        <v>621</v>
      </c>
      <c r="D20" s="251" t="s">
        <v>34</v>
      </c>
      <c r="E20" s="338" t="s">
        <v>38</v>
      </c>
    </row>
    <row r="21" spans="1:5" x14ac:dyDescent="0.25">
      <c r="A21" s="401" t="s">
        <v>401</v>
      </c>
      <c r="B21" s="402" t="s">
        <v>402</v>
      </c>
      <c r="C21" s="362" t="s">
        <v>621</v>
      </c>
      <c r="D21" s="251" t="s">
        <v>34</v>
      </c>
      <c r="E21" s="338" t="s">
        <v>38</v>
      </c>
    </row>
    <row r="22" spans="1:5" x14ac:dyDescent="0.25">
      <c r="A22" s="401" t="s">
        <v>406</v>
      </c>
      <c r="B22" s="402" t="s">
        <v>407</v>
      </c>
      <c r="C22" s="362" t="s">
        <v>621</v>
      </c>
      <c r="D22" s="251" t="s">
        <v>34</v>
      </c>
      <c r="E22" s="338" t="s">
        <v>38</v>
      </c>
    </row>
    <row r="23" spans="1:5" x14ac:dyDescent="0.25">
      <c r="A23" s="401" t="s">
        <v>412</v>
      </c>
      <c r="B23" s="402" t="s">
        <v>413</v>
      </c>
      <c r="C23" s="362" t="s">
        <v>621</v>
      </c>
      <c r="D23" s="251" t="s">
        <v>34</v>
      </c>
      <c r="E23" s="338" t="s">
        <v>38</v>
      </c>
    </row>
    <row r="24" spans="1:5" x14ac:dyDescent="0.25">
      <c r="A24" s="401" t="s">
        <v>554</v>
      </c>
      <c r="B24" s="402" t="s">
        <v>418</v>
      </c>
      <c r="C24" s="362" t="s">
        <v>621</v>
      </c>
      <c r="D24" s="251" t="s">
        <v>34</v>
      </c>
      <c r="E24" s="338" t="s">
        <v>38</v>
      </c>
    </row>
    <row r="25" spans="1:5" x14ac:dyDescent="0.25">
      <c r="A25" s="401" t="s">
        <v>419</v>
      </c>
      <c r="B25" s="402" t="s">
        <v>420</v>
      </c>
      <c r="C25" s="362" t="s">
        <v>621</v>
      </c>
      <c r="D25" s="251" t="s">
        <v>34</v>
      </c>
      <c r="E25" s="338" t="s">
        <v>38</v>
      </c>
    </row>
    <row r="26" spans="1:5" x14ac:dyDescent="0.25">
      <c r="A26" s="401" t="s">
        <v>424</v>
      </c>
      <c r="B26" s="402" t="s">
        <v>425</v>
      </c>
      <c r="C26" s="362" t="s">
        <v>621</v>
      </c>
      <c r="D26" s="251" t="s">
        <v>34</v>
      </c>
      <c r="E26" s="338" t="s">
        <v>38</v>
      </c>
    </row>
    <row r="27" spans="1:5" x14ac:dyDescent="0.25">
      <c r="A27" s="401" t="s">
        <v>429</v>
      </c>
      <c r="B27" s="402" t="s">
        <v>430</v>
      </c>
      <c r="C27" s="362" t="s">
        <v>621</v>
      </c>
      <c r="D27" s="251" t="s">
        <v>34</v>
      </c>
      <c r="E27" s="338" t="s">
        <v>38</v>
      </c>
    </row>
    <row r="28" spans="1:5" x14ac:dyDescent="0.25">
      <c r="A28" s="401" t="s">
        <v>431</v>
      </c>
      <c r="B28" s="402" t="s">
        <v>432</v>
      </c>
      <c r="C28" s="362" t="s">
        <v>621</v>
      </c>
      <c r="D28" s="251" t="s">
        <v>34</v>
      </c>
      <c r="E28" s="338" t="s">
        <v>38</v>
      </c>
    </row>
    <row r="29" spans="1:5" x14ac:dyDescent="0.25">
      <c r="A29" s="401" t="s">
        <v>438</v>
      </c>
      <c r="B29" s="402" t="s">
        <v>439</v>
      </c>
      <c r="C29" s="362" t="s">
        <v>621</v>
      </c>
      <c r="D29" s="251" t="s">
        <v>34</v>
      </c>
      <c r="E29" s="338" t="s">
        <v>38</v>
      </c>
    </row>
    <row r="30" spans="1:5" x14ac:dyDescent="0.25">
      <c r="A30" s="401" t="s">
        <v>512</v>
      </c>
      <c r="B30" s="402" t="s">
        <v>513</v>
      </c>
      <c r="C30" s="362" t="s">
        <v>621</v>
      </c>
      <c r="D30" s="251" t="s">
        <v>34</v>
      </c>
      <c r="E30" s="338" t="s">
        <v>38</v>
      </c>
    </row>
    <row r="31" spans="1:5" x14ac:dyDescent="0.25">
      <c r="A31" s="401" t="s">
        <v>446</v>
      </c>
      <c r="B31" s="402" t="s">
        <v>447</v>
      </c>
      <c r="C31" s="362" t="s">
        <v>621</v>
      </c>
      <c r="D31" s="251" t="s">
        <v>34</v>
      </c>
      <c r="E31" s="338" t="s">
        <v>38</v>
      </c>
    </row>
    <row r="32" spans="1:5" x14ac:dyDescent="0.25">
      <c r="A32" s="401" t="s">
        <v>465</v>
      </c>
      <c r="B32" s="402" t="s">
        <v>466</v>
      </c>
      <c r="C32" s="362" t="s">
        <v>621</v>
      </c>
      <c r="D32" s="251" t="s">
        <v>34</v>
      </c>
      <c r="E32" s="338" t="s">
        <v>33</v>
      </c>
    </row>
    <row r="33" spans="1:5" x14ac:dyDescent="0.25">
      <c r="A33" s="401" t="s">
        <v>467</v>
      </c>
      <c r="B33" s="402" t="s">
        <v>468</v>
      </c>
      <c r="C33" s="362" t="s">
        <v>621</v>
      </c>
      <c r="D33" s="251" t="s">
        <v>34</v>
      </c>
      <c r="E33" s="338" t="s">
        <v>33</v>
      </c>
    </row>
    <row r="34" spans="1:5" x14ac:dyDescent="0.25">
      <c r="A34" s="401" t="s">
        <v>469</v>
      </c>
      <c r="B34" s="402" t="s">
        <v>470</v>
      </c>
      <c r="C34" s="362" t="s">
        <v>621</v>
      </c>
      <c r="D34" s="251" t="s">
        <v>34</v>
      </c>
      <c r="E34" s="338" t="s">
        <v>38</v>
      </c>
    </row>
    <row r="35" spans="1:5" x14ac:dyDescent="0.25">
      <c r="A35" s="401" t="s">
        <v>476</v>
      </c>
      <c r="B35" s="402" t="s">
        <v>477</v>
      </c>
      <c r="C35" s="362" t="s">
        <v>621</v>
      </c>
      <c r="D35" s="251" t="s">
        <v>34</v>
      </c>
      <c r="E35" s="338" t="s">
        <v>38</v>
      </c>
    </row>
    <row r="36" spans="1:5" x14ac:dyDescent="0.25">
      <c r="A36" s="401" t="s">
        <v>481</v>
      </c>
      <c r="B36" s="402" t="s">
        <v>482</v>
      </c>
      <c r="C36" s="362" t="s">
        <v>621</v>
      </c>
      <c r="D36" s="251" t="s">
        <v>34</v>
      </c>
      <c r="E36" s="338" t="s">
        <v>38</v>
      </c>
    </row>
    <row r="37" spans="1:5" x14ac:dyDescent="0.25">
      <c r="A37" s="401" t="s">
        <v>486</v>
      </c>
      <c r="B37" s="402" t="s">
        <v>487</v>
      </c>
      <c r="C37" s="362" t="s">
        <v>621</v>
      </c>
      <c r="D37" s="251" t="s">
        <v>34</v>
      </c>
      <c r="E37" s="338" t="s">
        <v>38</v>
      </c>
    </row>
    <row r="38" spans="1:5" x14ac:dyDescent="0.25">
      <c r="A38" s="401" t="s">
        <v>488</v>
      </c>
      <c r="B38" s="402" t="s">
        <v>489</v>
      </c>
      <c r="C38" s="362" t="s">
        <v>621</v>
      </c>
      <c r="D38" s="251" t="s">
        <v>34</v>
      </c>
      <c r="E38" s="338" t="s">
        <v>38</v>
      </c>
    </row>
    <row r="39" spans="1:5" x14ac:dyDescent="0.25">
      <c r="A39" s="401" t="s">
        <v>492</v>
      </c>
      <c r="B39" s="402" t="s">
        <v>493</v>
      </c>
      <c r="C39" s="362" t="s">
        <v>621</v>
      </c>
      <c r="D39" s="251" t="s">
        <v>34</v>
      </c>
      <c r="E39" s="338" t="s">
        <v>38</v>
      </c>
    </row>
    <row r="40" spans="1:5" x14ac:dyDescent="0.25">
      <c r="A40" s="401" t="s">
        <v>509</v>
      </c>
      <c r="B40" s="402" t="s">
        <v>510</v>
      </c>
      <c r="C40" s="362" t="s">
        <v>621</v>
      </c>
      <c r="D40" s="251" t="s">
        <v>34</v>
      </c>
      <c r="E40" s="338" t="s">
        <v>33</v>
      </c>
    </row>
    <row r="41" spans="1:5" x14ac:dyDescent="0.25">
      <c r="A41" s="401" t="s">
        <v>514</v>
      </c>
      <c r="B41" s="491" t="s">
        <v>515</v>
      </c>
      <c r="C41" s="490" t="s">
        <v>635</v>
      </c>
      <c r="D41" s="251" t="s">
        <v>34</v>
      </c>
      <c r="E41" s="338" t="s">
        <v>38</v>
      </c>
    </row>
    <row r="42" spans="1:5" x14ac:dyDescent="0.25">
      <c r="A42" s="401" t="s">
        <v>518</v>
      </c>
      <c r="B42" s="416" t="s">
        <v>636</v>
      </c>
      <c r="C42" s="362" t="s">
        <v>635</v>
      </c>
      <c r="D42" s="251" t="s">
        <v>34</v>
      </c>
      <c r="E42" s="338" t="s">
        <v>42</v>
      </c>
    </row>
    <row r="43" spans="1:5" x14ac:dyDescent="0.25">
      <c r="A43" s="401" t="s">
        <v>524</v>
      </c>
      <c r="B43" s="416" t="s">
        <v>637</v>
      </c>
      <c r="C43" s="362" t="s">
        <v>635</v>
      </c>
      <c r="D43" s="251" t="s">
        <v>34</v>
      </c>
      <c r="E43" s="338" t="s">
        <v>42</v>
      </c>
    </row>
    <row r="44" spans="1:5" x14ac:dyDescent="0.25">
      <c r="A44" s="401" t="s">
        <v>530</v>
      </c>
      <c r="B44" s="416" t="s">
        <v>638</v>
      </c>
      <c r="C44" s="362" t="s">
        <v>635</v>
      </c>
      <c r="D44" s="251" t="s">
        <v>34</v>
      </c>
      <c r="E44" s="338" t="s">
        <v>42</v>
      </c>
    </row>
    <row r="45" spans="1:5" x14ac:dyDescent="0.25">
      <c r="A45" s="401" t="s">
        <v>534</v>
      </c>
      <c r="B45" s="416" t="s">
        <v>639</v>
      </c>
      <c r="C45" s="362" t="s">
        <v>635</v>
      </c>
      <c r="D45" s="251" t="s">
        <v>34</v>
      </c>
      <c r="E45" s="338" t="s">
        <v>42</v>
      </c>
    </row>
    <row r="46" spans="1:5" x14ac:dyDescent="0.25">
      <c r="A46" s="401" t="s">
        <v>535</v>
      </c>
      <c r="B46" s="416" t="s">
        <v>640</v>
      </c>
      <c r="C46" s="362" t="s">
        <v>635</v>
      </c>
      <c r="D46" s="251" t="s">
        <v>34</v>
      </c>
      <c r="E46" s="338" t="s">
        <v>42</v>
      </c>
    </row>
    <row r="47" spans="1:5" x14ac:dyDescent="0.25">
      <c r="A47" s="401" t="s">
        <v>539</v>
      </c>
      <c r="B47" s="416" t="s">
        <v>641</v>
      </c>
      <c r="C47" s="362" t="s">
        <v>635</v>
      </c>
      <c r="D47" s="251" t="s">
        <v>34</v>
      </c>
      <c r="E47" s="338" t="s">
        <v>42</v>
      </c>
    </row>
    <row r="48" spans="1:5" x14ac:dyDescent="0.25">
      <c r="A48" s="401" t="s">
        <v>560</v>
      </c>
      <c r="B48" s="416" t="s">
        <v>642</v>
      </c>
      <c r="C48" s="362" t="s">
        <v>635</v>
      </c>
      <c r="D48" s="251" t="s">
        <v>34</v>
      </c>
      <c r="E48" s="338" t="s">
        <v>42</v>
      </c>
    </row>
  </sheetData>
  <autoFilter ref="A2:E40"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D3:D48</xm:sqref>
        </x14:dataValidation>
        <x14:dataValidation type="list" allowBlank="1" showInputMessage="1" showErrorMessage="1" xr:uid="{AA1AC074-A7B7-4C8D-9132-118B458773B2}">
          <x14:formula1>
            <xm:f>'List Options'!$G$1:$G$3</xm:f>
          </x14:formula1>
          <xm:sqref>E3:E48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643</v>
      </c>
      <c r="C1" s="36" t="s">
        <v>644</v>
      </c>
      <c r="D1" s="36" t="s">
        <v>645</v>
      </c>
      <c r="E1" s="36" t="s">
        <v>646</v>
      </c>
      <c r="F1" s="36" t="s">
        <v>647</v>
      </c>
      <c r="G1" s="37" t="s">
        <v>648</v>
      </c>
      <c r="H1" s="12"/>
      <c r="I1" s="12"/>
      <c r="J1" s="12"/>
      <c r="K1" s="12"/>
      <c r="L1" s="13"/>
      <c r="M1" s="1"/>
      <c r="N1" s="11"/>
      <c r="X1" s="11"/>
      <c r="AB1" s="647" t="s">
        <v>649</v>
      </c>
      <c r="AM1" s="647" t="s">
        <v>650</v>
      </c>
    </row>
    <row r="2" spans="1:40" s="14" customFormat="1" ht="12" x14ac:dyDescent="0.2">
      <c r="A2" s="35" t="s">
        <v>651</v>
      </c>
      <c r="B2" s="15">
        <v>42994</v>
      </c>
      <c r="C2" s="15">
        <v>43190</v>
      </c>
      <c r="D2" s="16" t="e">
        <f>#REF!</f>
        <v>#REF!</v>
      </c>
      <c r="E2" s="16" t="e">
        <f>#REF!</f>
        <v>#REF!</v>
      </c>
      <c r="F2" s="16">
        <f>(C2-B2)/7</f>
        <v>28</v>
      </c>
      <c r="G2" s="17" t="e">
        <f>E2/F2</f>
        <v>#REF!</v>
      </c>
      <c r="H2" s="18"/>
      <c r="I2" s="18"/>
      <c r="J2" s="18"/>
      <c r="K2" s="18"/>
      <c r="L2" s="19"/>
      <c r="M2" s="20"/>
      <c r="N2" s="21"/>
      <c r="X2" s="21"/>
      <c r="AB2" s="648"/>
      <c r="AM2" s="648"/>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649" t="s">
        <v>652</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650"/>
      <c r="B5" s="47" t="s">
        <v>653</v>
      </c>
      <c r="C5" s="47" t="s">
        <v>654</v>
      </c>
      <c r="D5" s="47" t="s">
        <v>655</v>
      </c>
      <c r="E5" s="47" t="s">
        <v>656</v>
      </c>
      <c r="F5" s="47" t="s">
        <v>657</v>
      </c>
      <c r="G5" s="47" t="s">
        <v>658</v>
      </c>
      <c r="H5" s="47" t="s">
        <v>659</v>
      </c>
      <c r="I5" s="47" t="s">
        <v>660</v>
      </c>
      <c r="J5" s="47" t="s">
        <v>661</v>
      </c>
      <c r="K5" s="47" t="s">
        <v>662</v>
      </c>
      <c r="L5" s="47" t="s">
        <v>663</v>
      </c>
      <c r="M5" s="47" t="s">
        <v>664</v>
      </c>
      <c r="N5" s="47" t="s">
        <v>665</v>
      </c>
      <c r="O5" s="47" t="s">
        <v>666</v>
      </c>
      <c r="P5" s="47" t="s">
        <v>667</v>
      </c>
      <c r="Q5" s="47" t="s">
        <v>668</v>
      </c>
      <c r="R5" s="47" t="s">
        <v>669</v>
      </c>
      <c r="S5" s="47" t="s">
        <v>670</v>
      </c>
      <c r="T5" s="47" t="s">
        <v>671</v>
      </c>
      <c r="U5" s="47" t="s">
        <v>672</v>
      </c>
      <c r="V5" s="47" t="s">
        <v>673</v>
      </c>
      <c r="W5" s="47" t="s">
        <v>674</v>
      </c>
      <c r="X5" s="47" t="s">
        <v>675</v>
      </c>
      <c r="Y5" s="47" t="s">
        <v>676</v>
      </c>
      <c r="Z5" s="47" t="s">
        <v>677</v>
      </c>
      <c r="AA5" s="47" t="s">
        <v>678</v>
      </c>
      <c r="AB5" s="47" t="s">
        <v>679</v>
      </c>
      <c r="AC5" s="47" t="s">
        <v>680</v>
      </c>
      <c r="AD5" s="47" t="s">
        <v>681</v>
      </c>
      <c r="AE5" s="47" t="s">
        <v>682</v>
      </c>
      <c r="AF5" s="47" t="s">
        <v>683</v>
      </c>
      <c r="AG5" s="47" t="s">
        <v>684</v>
      </c>
      <c r="AH5" s="47" t="s">
        <v>685</v>
      </c>
      <c r="AI5" s="47" t="s">
        <v>686</v>
      </c>
      <c r="AJ5" s="47" t="s">
        <v>687</v>
      </c>
      <c r="AK5" s="47" t="s">
        <v>688</v>
      </c>
      <c r="AL5" s="66" t="s">
        <v>689</v>
      </c>
      <c r="AM5" s="65" t="s">
        <v>690</v>
      </c>
      <c r="AN5" s="50"/>
    </row>
    <row r="6" spans="1:40" ht="12" x14ac:dyDescent="0.2">
      <c r="A6" s="48" t="s">
        <v>691</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616</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649" t="s">
        <v>618</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651"/>
      <c r="B10" s="32" t="s">
        <v>653</v>
      </c>
      <c r="C10" s="32" t="s">
        <v>654</v>
      </c>
      <c r="D10" s="32" t="s">
        <v>655</v>
      </c>
      <c r="E10" s="32" t="s">
        <v>656</v>
      </c>
      <c r="F10" s="32" t="s">
        <v>657</v>
      </c>
      <c r="G10" s="32" t="s">
        <v>658</v>
      </c>
      <c r="H10" s="32" t="s">
        <v>659</v>
      </c>
      <c r="I10" s="32" t="s">
        <v>660</v>
      </c>
      <c r="J10" s="32" t="s">
        <v>661</v>
      </c>
      <c r="K10" s="32" t="s">
        <v>662</v>
      </c>
      <c r="L10" s="32" t="s">
        <v>663</v>
      </c>
      <c r="M10" s="32" t="s">
        <v>664</v>
      </c>
      <c r="N10" s="32" t="s">
        <v>665</v>
      </c>
      <c r="O10" s="32" t="s">
        <v>666</v>
      </c>
      <c r="P10" s="32" t="s">
        <v>667</v>
      </c>
      <c r="Q10" s="32" t="s">
        <v>668</v>
      </c>
      <c r="R10" s="32" t="s">
        <v>669</v>
      </c>
      <c r="S10" s="32" t="s">
        <v>670</v>
      </c>
      <c r="T10" s="32" t="s">
        <v>671</v>
      </c>
      <c r="U10" s="32" t="s">
        <v>672</v>
      </c>
      <c r="V10" s="32" t="s">
        <v>673</v>
      </c>
      <c r="W10" s="32" t="s">
        <v>674</v>
      </c>
      <c r="X10" s="32" t="s">
        <v>675</v>
      </c>
      <c r="Y10" s="32" t="s">
        <v>676</v>
      </c>
      <c r="Z10" s="32" t="s">
        <v>677</v>
      </c>
      <c r="AA10" s="32" t="s">
        <v>678</v>
      </c>
      <c r="AB10" s="32" t="s">
        <v>679</v>
      </c>
      <c r="AC10" s="32" t="s">
        <v>680</v>
      </c>
      <c r="AD10" s="32" t="s">
        <v>681</v>
      </c>
      <c r="AE10" s="32" t="s">
        <v>682</v>
      </c>
      <c r="AF10" s="32" t="s">
        <v>683</v>
      </c>
      <c r="AG10" s="32" t="s">
        <v>684</v>
      </c>
      <c r="AH10" s="32" t="s">
        <v>685</v>
      </c>
      <c r="AI10" s="32" t="s">
        <v>686</v>
      </c>
      <c r="AJ10" s="64" t="s">
        <v>687</v>
      </c>
      <c r="AK10" s="63" t="s">
        <v>688</v>
      </c>
      <c r="AL10" s="47" t="s">
        <v>689</v>
      </c>
      <c r="AM10" s="72" t="s">
        <v>690</v>
      </c>
      <c r="AN10" s="68"/>
    </row>
    <row r="11" spans="1:40" x14ac:dyDescent="0.25">
      <c r="A11" s="42" t="s">
        <v>691</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616</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619</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617</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692</v>
      </c>
      <c r="B3" s="129" t="s">
        <v>693</v>
      </c>
      <c r="C3" s="129"/>
      <c r="D3" s="194"/>
      <c r="E3" s="129"/>
    </row>
    <row r="4" spans="1:5" x14ac:dyDescent="0.25">
      <c r="A4" s="79" t="s">
        <v>44</v>
      </c>
      <c r="B4">
        <v>0</v>
      </c>
    </row>
    <row r="5" spans="1:5" x14ac:dyDescent="0.25">
      <c r="A5" s="79" t="s">
        <v>547</v>
      </c>
      <c r="B5">
        <v>85</v>
      </c>
      <c r="D5" s="130">
        <f>GETPIVOTDATA("#Tests",$A$3,"ETA","wk-1")/GETPIVOTDATA("#Tests",$A$3)</f>
        <v>0.17</v>
      </c>
      <c r="E5" s="131">
        <f>D5</f>
        <v>0.17</v>
      </c>
    </row>
    <row r="6" spans="1:5" x14ac:dyDescent="0.25">
      <c r="A6" s="79" t="s">
        <v>548</v>
      </c>
      <c r="B6">
        <v>48</v>
      </c>
      <c r="D6" s="130">
        <f>GETPIVOTDATA("#Tests",$A$3,"ETA","wk-2")/GETPIVOTDATA("#Tests",$A$3)</f>
        <v>9.6000000000000002E-2</v>
      </c>
      <c r="E6" s="131">
        <f t="shared" ref="E6:E12" si="0">E5+D6</f>
        <v>0.26600000000000001</v>
      </c>
    </row>
    <row r="7" spans="1:5" x14ac:dyDescent="0.25">
      <c r="A7" s="79" t="s">
        <v>549</v>
      </c>
      <c r="B7">
        <v>96</v>
      </c>
      <c r="D7" s="130">
        <f>GETPIVOTDATA("#Tests",$A$3,"ETA","wk-3")/GETPIVOTDATA("#Tests",$A$3)</f>
        <v>0.192</v>
      </c>
      <c r="E7" s="131">
        <f t="shared" si="0"/>
        <v>0.45800000000000002</v>
      </c>
    </row>
    <row r="8" spans="1:5" x14ac:dyDescent="0.25">
      <c r="A8" s="79" t="s">
        <v>550</v>
      </c>
      <c r="B8">
        <v>79</v>
      </c>
      <c r="D8" s="130">
        <f>GETPIVOTDATA("#Tests",$A$3,"ETA","wk-4")/GETPIVOTDATA("#Tests",$A$3)</f>
        <v>0.158</v>
      </c>
      <c r="E8" s="131">
        <f t="shared" si="0"/>
        <v>0.61599999999999999</v>
      </c>
    </row>
    <row r="9" spans="1:5" x14ac:dyDescent="0.25">
      <c r="A9" s="79" t="s">
        <v>553</v>
      </c>
      <c r="B9">
        <v>82</v>
      </c>
      <c r="D9" s="130">
        <f>GETPIVOTDATA("#Tests",$A$3,"ETA","wk-5")/GETPIVOTDATA("#Tests",$A$3)</f>
        <v>0.16400000000000001</v>
      </c>
      <c r="E9" s="131">
        <f t="shared" si="0"/>
        <v>0.78</v>
      </c>
    </row>
    <row r="10" spans="1:5" x14ac:dyDescent="0.25">
      <c r="A10" s="79" t="s">
        <v>551</v>
      </c>
      <c r="B10">
        <v>60</v>
      </c>
      <c r="D10" s="130">
        <f>GETPIVOTDATA("#Tests",$A$3,"ETA","wk-6")/GETPIVOTDATA("#Tests",$A$3)</f>
        <v>0.12</v>
      </c>
      <c r="E10" s="131">
        <f t="shared" si="0"/>
        <v>0.9</v>
      </c>
    </row>
    <row r="11" spans="1:5" x14ac:dyDescent="0.25">
      <c r="A11" s="79" t="s">
        <v>556</v>
      </c>
      <c r="B11">
        <v>30</v>
      </c>
      <c r="D11" s="130">
        <f>GETPIVOTDATA("#Tests",$A$3,"ETA","wk-7")/GETPIVOTDATA("#Tests",$A$3)</f>
        <v>0.06</v>
      </c>
      <c r="E11" s="131">
        <f t="shared" si="0"/>
        <v>0.96</v>
      </c>
    </row>
    <row r="12" spans="1:5" x14ac:dyDescent="0.25">
      <c r="A12" s="79" t="s">
        <v>694</v>
      </c>
      <c r="B12">
        <v>20</v>
      </c>
      <c r="D12" s="130">
        <f>GETPIVOTDATA("#Tests",$A$3,"ETA","wk-8")/GETPIVOTDATA("#Tests",$A$3)</f>
        <v>0.04</v>
      </c>
      <c r="E12" s="131">
        <f t="shared" si="0"/>
        <v>1</v>
      </c>
    </row>
    <row r="13" spans="1:5" x14ac:dyDescent="0.25">
      <c r="A13" s="79" t="s">
        <v>249</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C94D2B0F-DEC4-4A08-A2C4-2FB040951E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Log</vt:lpstr>
      <vt:lpstr>List Options</vt:lpstr>
      <vt:lpstr>Usage</vt:lpstr>
      <vt:lpstr>Revision History</vt:lpstr>
      <vt:lpstr>Sub-IP Block Summary</vt:lpstr>
      <vt:lpstr>Diags Raw Data</vt:lpstr>
      <vt:lpstr>Feature Summary</vt:lpstr>
      <vt:lpstr>Progress</vt:lpstr>
      <vt:lpstr>Feature Raw Data</vt:lpstr>
      <vt:lpstr>Progress (WIP)</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Raymond (Yun Peng)</dc:creator>
  <cp:keywords/>
  <dc:description/>
  <cp:lastModifiedBy>Regier, Paul</cp:lastModifiedBy>
  <cp:revision/>
  <dcterms:created xsi:type="dcterms:W3CDTF">2013-03-11T21:33:52Z</dcterms:created>
  <dcterms:modified xsi:type="dcterms:W3CDTF">2024-03-06T21:22:29Z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2022-02-25T09:27:08Z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2d0d43ac-1ce7-4ca1-aae4-3d1859313b30</vt:lpwstr>
  </property>
  <property fmtid="{D5CDD505-2E9C-101B-9397-08002B2CF9AE}" pid="9" name="MSIP_Label_88914ebd-7e6c-4e12-a031-a9906be2db14_ContentBits">
    <vt:lpwstr>1</vt:lpwstr>
  </property>
</Properties>
</file>