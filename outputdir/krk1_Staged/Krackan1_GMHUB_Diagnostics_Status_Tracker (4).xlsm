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5BEA9D7C-5B3F-4DF0-BEF9-A14244E4BFE1}" xr6:coauthVersionLast="47" xr6:coauthVersionMax="47" xr10:uidLastSave="{00000000-0000-0000-0000-000000000000}"/>
  <bookViews>
    <workbookView xWindow="-20445" yWindow="1065" windowWidth="20115" windowHeight="14325"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definedNames>
    <definedName name="_xlnm._FilterDatabase" localSheetId="4" hidden="1">'Diags Raw Data'!$A$5:$AH$725</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81"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25" i="53" l="1"/>
  <c r="J183" i="55" s="1"/>
  <c r="B177" i="55"/>
  <c r="C177" i="55"/>
  <c r="D177" i="55" a="1"/>
  <c r="D177" i="55" s="1"/>
  <c r="E177" i="55"/>
  <c r="F177" i="55"/>
  <c r="I177" i="55"/>
  <c r="J177" i="55"/>
  <c r="R725" i="53"/>
  <c r="M177" i="55" s="1" a="1"/>
  <c r="M177" i="55" s="1"/>
  <c r="O177" i="55" s="1"/>
  <c r="M176" i="55" a="1"/>
  <c r="M176" i="55" s="1"/>
  <c r="U725"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D149" i="55" a="1"/>
  <c r="D149" i="55" s="1"/>
  <c r="K725" i="53"/>
  <c r="D18" i="59"/>
  <c r="D19" i="59"/>
  <c r="D20" i="59"/>
  <c r="D4" i="59"/>
  <c r="D5" i="59"/>
  <c r="D6" i="59"/>
  <c r="AA725"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D94" i="55" a="1"/>
  <c r="D94" i="55" s="1"/>
  <c r="E94" i="55"/>
  <c r="F94" i="55"/>
  <c r="I94" i="55"/>
  <c r="J94" i="55"/>
  <c r="Q94" i="55"/>
  <c r="B95" i="55"/>
  <c r="C95" i="55"/>
  <c r="D95" i="55" a="1"/>
  <c r="D95" i="55" s="1"/>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D98" i="55" a="1"/>
  <c r="D98" i="55" s="1"/>
  <c r="E98" i="55"/>
  <c r="F98" i="55"/>
  <c r="I98" i="55"/>
  <c r="J98" i="55"/>
  <c r="Q98" i="55"/>
  <c r="B99" i="55"/>
  <c r="C99" i="55"/>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G12" i="59"/>
  <c r="C56" i="55"/>
  <c r="C25" i="55"/>
  <c r="B6" i="59"/>
  <c r="E6" i="59"/>
  <c r="P95" i="55"/>
  <c r="P101" i="55"/>
  <c r="C52" i="55"/>
  <c r="D7" i="55" a="1"/>
  <c r="D7" i="55" s="1"/>
  <c r="H7" i="55" s="1"/>
  <c r="D8" i="55" a="1"/>
  <c r="D8" i="55" s="1"/>
  <c r="D9" i="55" a="1"/>
  <c r="D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B4" i="59"/>
  <c r="P4" i="59"/>
  <c r="T725" i="53"/>
  <c r="N114" i="55" s="1" a="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T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E167" i="55"/>
  <c r="F167" i="55"/>
  <c r="I167" i="55"/>
  <c r="B168" i="55"/>
  <c r="C168" i="55"/>
  <c r="E168" i="55"/>
  <c r="F168" i="55"/>
  <c r="I168" i="55"/>
  <c r="B169" i="55"/>
  <c r="C169" i="55"/>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E132" i="55"/>
  <c r="F132" i="55"/>
  <c r="I132" i="55"/>
  <c r="B133" i="55"/>
  <c r="C133" i="55"/>
  <c r="E133" i="55"/>
  <c r="F133" i="55"/>
  <c r="I133" i="55"/>
  <c r="B134" i="55"/>
  <c r="C134" i="55"/>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C121" i="55"/>
  <c r="C122" i="55"/>
  <c r="C123" i="55"/>
  <c r="C124" i="55"/>
  <c r="C125" i="55"/>
  <c r="C126" i="55"/>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E111" i="55"/>
  <c r="F111" i="55"/>
  <c r="I111" i="55"/>
  <c r="C112" i="55"/>
  <c r="E112" i="55"/>
  <c r="F112" i="55"/>
  <c r="I112" i="55"/>
  <c r="C113" i="55"/>
  <c r="E113" i="55"/>
  <c r="F113" i="55"/>
  <c r="I113" i="55"/>
  <c r="C114" i="55"/>
  <c r="E114" i="55"/>
  <c r="F114" i="55"/>
  <c r="I114" i="55"/>
  <c r="C115" i="55"/>
  <c r="E115" i="55"/>
  <c r="F115" i="55"/>
  <c r="I115" i="55"/>
  <c r="C116" i="55"/>
  <c r="E116" i="55"/>
  <c r="F116" i="55"/>
  <c r="I116" i="55"/>
  <c r="C117" i="55"/>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E102" i="55"/>
  <c r="F102" i="55"/>
  <c r="I102" i="55"/>
  <c r="B103" i="55"/>
  <c r="C103" i="55"/>
  <c r="E103" i="55"/>
  <c r="F103" i="55"/>
  <c r="I103" i="55"/>
  <c r="B104" i="55"/>
  <c r="C104" i="55"/>
  <c r="E104" i="55"/>
  <c r="F104" i="55"/>
  <c r="I104" i="55"/>
  <c r="B105" i="55"/>
  <c r="C105" i="55"/>
  <c r="E105" i="55"/>
  <c r="F105" i="55"/>
  <c r="I105" i="55"/>
  <c r="B106" i="55"/>
  <c r="C106" i="55"/>
  <c r="E106" i="55"/>
  <c r="F106" i="55"/>
  <c r="I106" i="55"/>
  <c r="B107" i="55"/>
  <c r="C107" i="55"/>
  <c r="E107" i="55"/>
  <c r="F107" i="55"/>
  <c r="I107" i="55"/>
  <c r="B108" i="55"/>
  <c r="C108" i="55"/>
  <c r="E108" i="55"/>
  <c r="F108" i="55"/>
  <c r="I108" i="55"/>
  <c r="B109" i="55"/>
  <c r="C109" i="55"/>
  <c r="E109" i="55"/>
  <c r="F109" i="55"/>
  <c r="I109" i="55"/>
  <c r="Q100" i="55"/>
  <c r="J100" i="55"/>
  <c r="I100" i="55"/>
  <c r="F100" i="55"/>
  <c r="E100" i="55"/>
  <c r="C100" i="55"/>
  <c r="B100" i="55"/>
  <c r="P90" i="55"/>
  <c r="S90" i="55" s="1"/>
  <c r="J90" i="55"/>
  <c r="R90" i="55" s="1"/>
  <c r="Q90" i="55"/>
  <c r="Q91" i="55"/>
  <c r="J91" i="55"/>
  <c r="Q92" i="55"/>
  <c r="P93" i="55"/>
  <c r="S93" i="55" s="1"/>
  <c r="Q93" i="55"/>
  <c r="J93" i="55"/>
  <c r="R93" i="55" s="1"/>
  <c r="B90" i="55"/>
  <c r="C90" i="55"/>
  <c r="E90" i="55"/>
  <c r="F90" i="55"/>
  <c r="I90" i="55"/>
  <c r="B91" i="55"/>
  <c r="C91" i="55"/>
  <c r="E91" i="55"/>
  <c r="F91" i="55"/>
  <c r="I91" i="55"/>
  <c r="B92" i="55"/>
  <c r="C92" i="55"/>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C64" i="55"/>
  <c r="C65" i="55"/>
  <c r="C66" i="55"/>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C9" i="55"/>
  <c r="I4" i="60"/>
  <c r="H4" i="60"/>
  <c r="G4" i="60"/>
  <c r="F4" i="60"/>
  <c r="E4" i="60"/>
  <c r="D4" i="60"/>
  <c r="C4" i="60"/>
  <c r="B4" i="60"/>
  <c r="P62" i="55"/>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Q61" i="55"/>
  <c r="J61" i="55"/>
  <c r="I61" i="55"/>
  <c r="F61" i="55"/>
  <c r="E61" i="55"/>
  <c r="C61" i="55"/>
  <c r="B61" i="55"/>
  <c r="Q60" i="55"/>
  <c r="J60" i="55"/>
  <c r="I60" i="55"/>
  <c r="F60" i="55"/>
  <c r="E60" i="55"/>
  <c r="C60" i="55"/>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Q55" i="55"/>
  <c r="J55" i="55"/>
  <c r="I55" i="55"/>
  <c r="F55" i="55"/>
  <c r="E55" i="55"/>
  <c r="C55" i="55"/>
  <c r="B55" i="55"/>
  <c r="Q54" i="55"/>
  <c r="J54" i="55"/>
  <c r="I54" i="55"/>
  <c r="F54" i="55"/>
  <c r="E54" i="55"/>
  <c r="C54" i="55"/>
  <c r="B54" i="55"/>
  <c r="Q53" i="55"/>
  <c r="J53" i="55"/>
  <c r="I53" i="55"/>
  <c r="F53" i="55"/>
  <c r="E53" i="55"/>
  <c r="C53" i="55"/>
  <c r="B53" i="55"/>
  <c r="Q52" i="55"/>
  <c r="I52" i="55"/>
  <c r="F52" i="55"/>
  <c r="E52" i="55"/>
  <c r="B52" i="55"/>
  <c r="Q51" i="55"/>
  <c r="J51" i="55"/>
  <c r="I51" i="55"/>
  <c r="F51" i="55"/>
  <c r="E51" i="55"/>
  <c r="C51" i="55"/>
  <c r="B51" i="55"/>
  <c r="Q50" i="55"/>
  <c r="J50" i="55"/>
  <c r="I50" i="55"/>
  <c r="F50" i="55"/>
  <c r="E50" i="55"/>
  <c r="C50" i="55"/>
  <c r="B50" i="55"/>
  <c r="Q49" i="55"/>
  <c r="J49" i="55"/>
  <c r="I49" i="55"/>
  <c r="F49" i="55"/>
  <c r="E49" i="55"/>
  <c r="C49" i="55"/>
  <c r="B49" i="55"/>
  <c r="Q48" i="55"/>
  <c r="J48" i="55"/>
  <c r="I48" i="55"/>
  <c r="F48" i="55"/>
  <c r="E48" i="55"/>
  <c r="C48" i="55"/>
  <c r="B48" i="55"/>
  <c r="Q47" i="55"/>
  <c r="J47" i="55"/>
  <c r="I47" i="55"/>
  <c r="F47" i="55"/>
  <c r="E47" i="55"/>
  <c r="C47" i="55"/>
  <c r="B47" i="55"/>
  <c r="Q46" i="55"/>
  <c r="J46" i="55"/>
  <c r="I46" i="55"/>
  <c r="F46" i="55"/>
  <c r="E46" i="55"/>
  <c r="C46" i="55"/>
  <c r="B46"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I36" i="55"/>
  <c r="F36" i="55"/>
  <c r="E36" i="55"/>
  <c r="C36" i="55"/>
  <c r="B36" i="55"/>
  <c r="Q35" i="55"/>
  <c r="J35" i="55"/>
  <c r="I35" i="55"/>
  <c r="F35" i="55"/>
  <c r="E35" i="55"/>
  <c r="C35" i="55"/>
  <c r="B35" i="55"/>
  <c r="Q34" i="55"/>
  <c r="P34" i="55"/>
  <c r="S34" i="55" s="1"/>
  <c r="J34" i="55"/>
  <c r="I34" i="55"/>
  <c r="F34" i="55"/>
  <c r="E34" i="55"/>
  <c r="C34" i="55"/>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B31" i="55"/>
  <c r="Q30" i="55"/>
  <c r="J30" i="55"/>
  <c r="I30" i="55"/>
  <c r="F30" i="55"/>
  <c r="E30" i="55"/>
  <c r="C30" i="55"/>
  <c r="B30" i="55"/>
  <c r="Q29" i="55"/>
  <c r="J29" i="55"/>
  <c r="I29" i="55"/>
  <c r="F29" i="55"/>
  <c r="E29" i="55"/>
  <c r="C29" i="55"/>
  <c r="B29" i="55"/>
  <c r="Q28" i="55"/>
  <c r="J28" i="55"/>
  <c r="I28" i="55"/>
  <c r="F28" i="55"/>
  <c r="E28" i="55"/>
  <c r="C28" i="55"/>
  <c r="B28" i="55"/>
  <c r="Q27" i="55"/>
  <c r="J27" i="55"/>
  <c r="I27" i="55"/>
  <c r="F27" i="55"/>
  <c r="E27" i="55"/>
  <c r="C27" i="55"/>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B22" i="55"/>
  <c r="Q21" i="55"/>
  <c r="J21" i="55"/>
  <c r="I21" i="55"/>
  <c r="F21" i="55"/>
  <c r="E21" i="55"/>
  <c r="C21" i="55"/>
  <c r="B21" i="55"/>
  <c r="Q20" i="55"/>
  <c r="J20" i="55"/>
  <c r="I20" i="55"/>
  <c r="F20" i="55"/>
  <c r="E20" i="55"/>
  <c r="C20" i="55"/>
  <c r="B20" i="55"/>
  <c r="Q19" i="55"/>
  <c r="J19" i="55"/>
  <c r="I19" i="55"/>
  <c r="F19" i="55"/>
  <c r="E19" i="55"/>
  <c r="C19" i="55"/>
  <c r="B19" i="55"/>
  <c r="Q17" i="55"/>
  <c r="J17" i="55"/>
  <c r="R17" i="55" s="1"/>
  <c r="I17" i="55"/>
  <c r="F17" i="55"/>
  <c r="E17" i="55"/>
  <c r="C17" i="55"/>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B13" i="55"/>
  <c r="B7" i="55"/>
  <c r="T2" i="53"/>
  <c r="O725"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F12" i="55"/>
  <c r="F8" i="55"/>
  <c r="F9" i="55"/>
  <c r="F10" i="55"/>
  <c r="C10" i="55"/>
  <c r="C12" i="55"/>
  <c r="C8" i="55"/>
  <c r="K20" i="59"/>
  <c r="K13" i="59"/>
  <c r="J13" i="59"/>
  <c r="S13" i="59"/>
  <c r="R20" i="59"/>
  <c r="AD725" i="53"/>
  <c r="AC725" i="53"/>
  <c r="W725" i="53"/>
  <c r="V725" i="53"/>
  <c r="H20" i="59"/>
  <c r="C20" i="59"/>
  <c r="B20" i="59"/>
  <c r="P20" i="59"/>
  <c r="Q20" i="59"/>
  <c r="Q18" i="59"/>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P57" i="55"/>
  <c r="S57" i="55" s="1"/>
  <c r="P56" i="55"/>
  <c r="AB2" i="53"/>
  <c r="AB725" i="53"/>
  <c r="Q2" i="55" s="1"/>
  <c r="P60" i="55"/>
  <c r="S60" i="55" s="1"/>
  <c r="G11" i="59"/>
  <c r="P37" i="55"/>
  <c r="S37" i="55" s="1"/>
  <c r="P55" i="55"/>
  <c r="P31" i="55"/>
  <c r="S31" i="55" s="1"/>
  <c r="P36" i="55"/>
  <c r="S36" i="55" s="1"/>
  <c r="P61" i="55"/>
  <c r="S61" i="55" s="1"/>
  <c r="P53" i="55"/>
  <c r="S53" i="55" s="1"/>
  <c r="P16" i="55"/>
  <c r="N2" i="53"/>
  <c r="P92" i="55"/>
  <c r="G12" i="26"/>
  <c r="F12" i="26"/>
  <c r="G98" i="55"/>
  <c r="H98" i="55"/>
  <c r="G26" i="55"/>
  <c r="H26" i="55"/>
  <c r="Z12" i="26"/>
  <c r="M125" i="55" a="1"/>
  <c r="M125" i="55" s="1"/>
  <c r="O125" i="55" s="1"/>
  <c r="M134" i="55" a="1"/>
  <c r="M134" i="55" s="1"/>
  <c r="P108" i="55"/>
  <c r="P146" i="55"/>
  <c r="S146" i="55" s="1"/>
  <c r="P118" i="55"/>
  <c r="S118" i="55" s="1"/>
  <c r="P105" i="55"/>
  <c r="S105" i="55" s="1"/>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N114" i="55"/>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 i="55"/>
  <c r="H9"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G21" i="55"/>
  <c r="R177" i="55"/>
  <c r="T177" i="55" s="1"/>
  <c r="H119" i="55"/>
  <c r="R178" i="55"/>
  <c r="T178" i="55" s="1"/>
  <c r="L178" i="55" a="1"/>
  <c r="L178" i="55" s="1"/>
  <c r="G178" i="55"/>
  <c r="H178" i="55"/>
  <c r="K178" i="55" a="1"/>
  <c r="K178" i="55" s="1"/>
  <c r="G177" i="55"/>
  <c r="H177" i="55"/>
  <c r="K177" i="55" a="1"/>
  <c r="K177" i="55" s="1"/>
  <c r="L177" i="55" a="1"/>
  <c r="L177" i="55" s="1"/>
  <c r="G176" i="55"/>
  <c r="H176" i="55"/>
  <c r="R175" i="55"/>
  <c r="T175" i="55" s="1"/>
  <c r="K182" i="55" a="1"/>
  <c r="K182" i="55" s="1"/>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P144" i="55"/>
  <c r="R144" i="55" s="1"/>
  <c r="P150" i="55"/>
  <c r="S150" i="55" s="1"/>
  <c r="P73" i="55"/>
  <c r="S73" i="55" s="1"/>
  <c r="P142" i="55"/>
  <c r="R142" i="55" s="1"/>
  <c r="P133" i="55"/>
  <c r="R133" i="55" s="1"/>
  <c r="P99" i="55"/>
  <c r="S99" i="55" s="1"/>
  <c r="P111" i="55"/>
  <c r="P42" i="55"/>
  <c r="S42" i="55" s="1"/>
  <c r="S101" i="55"/>
  <c r="Q183" i="55"/>
  <c r="T130" i="55"/>
  <c r="S55" i="55"/>
  <c r="S62"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K137" i="55" a="1"/>
  <c r="K137" i="55" s="1"/>
  <c r="H135" i="55"/>
  <c r="G49" i="55"/>
  <c r="H49" i="55"/>
  <c r="G87" i="55"/>
  <c r="H87" i="55"/>
  <c r="L87" i="55" a="1"/>
  <c r="L87" i="55" s="1"/>
  <c r="G19" i="55"/>
  <c r="E6" i="26"/>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P103" i="55"/>
  <c r="S103" i="55" s="1"/>
  <c r="O5" i="59"/>
  <c r="U5" i="59" s="1"/>
  <c r="S168" i="55"/>
  <c r="P27" i="55"/>
  <c r="S27" i="55" s="1"/>
  <c r="L93" i="55" a="1"/>
  <c r="L93" i="55" s="1"/>
  <c r="P52" i="55"/>
  <c r="S52" i="55" s="1"/>
  <c r="H123" i="55"/>
  <c r="H28" i="55"/>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L147" i="55" a="1"/>
  <c r="L147" i="55" s="1"/>
  <c r="P43" i="55"/>
  <c r="P110" i="55"/>
  <c r="S110" i="55" s="1"/>
  <c r="P125" i="55"/>
  <c r="S125" i="55" s="1"/>
  <c r="G92" i="55"/>
  <c r="P171" i="55"/>
  <c r="S171" i="55" s="1"/>
  <c r="H121" i="55"/>
  <c r="I183" i="55"/>
  <c r="N725" i="53"/>
  <c r="P725" i="53"/>
  <c r="L172" i="55" s="1" a="1"/>
  <c r="L172" i="55" s="1"/>
  <c r="P2" i="53"/>
  <c r="I2" i="55"/>
  <c r="P9" i="55"/>
  <c r="S9" i="55" s="1"/>
  <c r="H109" i="55"/>
  <c r="H88" i="55"/>
  <c r="K88" i="55" a="1"/>
  <c r="K88" i="55" s="1"/>
  <c r="H147" i="55"/>
  <c r="H105" i="55"/>
  <c r="H172" i="55"/>
  <c r="G18" i="59"/>
  <c r="O4" i="59"/>
  <c r="T4" i="59" s="1"/>
  <c r="P38" i="55"/>
  <c r="S38" i="55" s="1"/>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O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Z725" i="53"/>
  <c r="AE725" i="53" s="1"/>
  <c r="L78" i="55" a="1"/>
  <c r="L78" i="55" s="1"/>
  <c r="G78" i="55"/>
  <c r="P134" i="55"/>
  <c r="P21" i="55"/>
  <c r="S21" i="55" s="1"/>
  <c r="P19" i="55"/>
  <c r="S19" i="55" s="1"/>
  <c r="P59" i="55"/>
  <c r="S59" i="55" s="1"/>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S14" i="26"/>
  <c r="N11" i="55" a="1"/>
  <c r="N11" i="55" s="1"/>
  <c r="N64" i="55" a="1"/>
  <c r="N64" i="55" s="1"/>
  <c r="N128" i="55" a="1"/>
  <c r="N128" i="55" s="1"/>
  <c r="N166" i="55" a="1"/>
  <c r="N166" i="55" s="1"/>
  <c r="N144" i="55" a="1"/>
  <c r="N144" i="55" s="1"/>
  <c r="N119" i="55" a="1"/>
  <c r="N119" i="55" s="1"/>
  <c r="N34" i="55" a="1"/>
  <c r="N34" i="55" s="1"/>
  <c r="O34" i="55" s="1"/>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T152" i="55" l="1"/>
  <c r="H64" i="55"/>
  <c r="K79" i="55" a="1"/>
  <c r="K79" i="55" s="1"/>
  <c r="Q21" i="59"/>
  <c r="G100" i="55"/>
  <c r="G79" i="55"/>
  <c r="N39" i="55" a="1"/>
  <c r="N39" i="55" s="1"/>
  <c r="L79" i="55" a="1"/>
  <c r="L79" i="55" s="1"/>
  <c r="H84" i="55"/>
  <c r="N19" i="59"/>
  <c r="K9" i="55" a="1"/>
  <c r="K9" i="55" s="1"/>
  <c r="R134" i="55"/>
  <c r="R21" i="59"/>
  <c r="P14" i="59"/>
  <c r="S21" i="59"/>
  <c r="E21" i="59"/>
  <c r="F20" i="59"/>
  <c r="D7" i="59"/>
  <c r="E14" i="59"/>
  <c r="S14" i="59"/>
  <c r="C7" i="59"/>
  <c r="N7" i="59" s="1"/>
  <c r="Q14" i="59"/>
  <c r="N18" i="59"/>
  <c r="H14" i="59"/>
  <c r="K14" i="59"/>
  <c r="R14" i="59"/>
  <c r="K21" i="59"/>
  <c r="Q7" i="59"/>
  <c r="E7" i="59"/>
  <c r="R141" i="55"/>
  <c r="N4" i="59"/>
  <c r="K7" i="59"/>
  <c r="S7" i="59"/>
  <c r="V20" i="59"/>
  <c r="V6" i="59"/>
  <c r="H7" i="59"/>
  <c r="V4" i="59"/>
  <c r="L19" i="59"/>
  <c r="H21" i="59"/>
  <c r="P21" i="59"/>
  <c r="D21" i="59"/>
  <c r="I14" i="59"/>
  <c r="P7" i="59"/>
  <c r="V7" i="59" s="1"/>
  <c r="I7" i="59"/>
  <c r="L12" i="59"/>
  <c r="D14" i="59"/>
  <c r="F14" i="59" s="1" a="1"/>
  <c r="F14" i="59" s="1"/>
  <c r="C14" i="59"/>
  <c r="N5" i="59"/>
  <c r="L13" i="59"/>
  <c r="C21" i="59"/>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T16" i="55" s="1"/>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R34" i="55"/>
  <c r="T34" i="55" s="1"/>
  <c r="T10" i="55"/>
  <c r="R9" i="55"/>
  <c r="T9" i="55" s="1"/>
  <c r="R56" i="55"/>
  <c r="B14" i="59"/>
  <c r="R114" i="55"/>
  <c r="R54" i="55"/>
  <c r="R113" i="55"/>
  <c r="V12" i="59"/>
  <c r="R43" i="55"/>
  <c r="T87" i="55"/>
  <c r="T107" i="55"/>
  <c r="T137" i="55"/>
  <c r="R69" i="55"/>
  <c r="R58" i="55"/>
  <c r="R150" i="55"/>
  <c r="F12" i="59"/>
  <c r="R25" i="55"/>
  <c r="R102" i="55"/>
  <c r="R13" i="55"/>
  <c r="R128" i="55"/>
  <c r="T128" i="55" s="1"/>
  <c r="O71" i="55"/>
  <c r="R49" i="55"/>
  <c r="T57" i="55"/>
  <c r="O20" i="55"/>
  <c r="S54" i="55"/>
  <c r="T54" i="55" s="1"/>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T113" i="55" s="1"/>
  <c r="O29" i="55"/>
  <c r="O22" i="55"/>
  <c r="R120" i="55"/>
  <c r="T123" i="55"/>
  <c r="O134" i="55"/>
  <c r="O42" i="55"/>
  <c r="T68" i="55"/>
  <c r="R19" i="55"/>
  <c r="R145" i="55"/>
  <c r="T145" i="55" s="1"/>
  <c r="S139" i="55"/>
  <c r="R52" i="55"/>
  <c r="R99" i="55"/>
  <c r="T99" i="55" s="1"/>
  <c r="R167" i="55"/>
  <c r="T167" i="55" s="1"/>
  <c r="S49" i="55"/>
  <c r="K91" i="55" a="1"/>
  <c r="K91" i="55" s="1"/>
  <c r="K176" i="55" a="1"/>
  <c r="K176" i="55" s="1"/>
  <c r="K13" i="55" a="1"/>
  <c r="K13" i="55" s="1"/>
  <c r="K85" i="55" a="1"/>
  <c r="K85" i="55" s="1"/>
  <c r="K2" i="55"/>
  <c r="S43" i="55"/>
  <c r="K35" i="55" a="1"/>
  <c r="K35" i="55" s="1"/>
  <c r="S41" i="55"/>
  <c r="T41" i="55" s="1"/>
  <c r="T19" i="59"/>
  <c r="S120" i="55"/>
  <c r="R108" i="55"/>
  <c r="T108" i="55" s="1"/>
  <c r="T20" i="59"/>
  <c r="R50" i="55"/>
  <c r="T50" i="55" s="1"/>
  <c r="R42" i="55"/>
  <c r="T42" i="55" s="1"/>
  <c r="N21" i="59"/>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T8" i="55" s="1"/>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F7" i="59" a="1"/>
  <c r="F7" i="59" s="1"/>
  <c r="G22" i="55"/>
  <c r="R73" i="55"/>
  <c r="T73" i="55" s="1"/>
  <c r="R40" i="55"/>
  <c r="T40" i="55" s="1"/>
  <c r="R160" i="55"/>
  <c r="T160" i="55" s="1"/>
  <c r="H154" i="55"/>
  <c r="S72" i="55"/>
  <c r="T72" i="55" s="1"/>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V21" i="59"/>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T19" i="55"/>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T11" i="55"/>
  <c r="T49" i="55"/>
  <c r="T139"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T30"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S176" i="55"/>
  <c r="T176" i="55" s="1"/>
  <c r="R46" i="55"/>
  <c r="T46" i="55" s="1"/>
  <c r="K175" i="55" a="1"/>
  <c r="K175" i="55" s="1"/>
  <c r="R84" i="55"/>
  <c r="T84" i="55" s="1"/>
  <c r="S725" i="53"/>
  <c r="S94" i="55"/>
  <c r="T94" i="55" s="1"/>
  <c r="R37" i="55"/>
  <c r="T37" i="55" s="1"/>
  <c r="R118" i="55"/>
  <c r="T118" i="55" s="1"/>
  <c r="T180" i="55"/>
  <c r="K59" i="55" a="1"/>
  <c r="K59" i="55" s="1"/>
  <c r="R140" i="55"/>
  <c r="T140" i="55" s="1"/>
  <c r="T78" i="55"/>
  <c r="T32" i="55"/>
  <c r="T93" i="55"/>
  <c r="T88" i="55"/>
  <c r="R92" i="55"/>
  <c r="T92" i="55" s="1"/>
  <c r="P116" i="55"/>
  <c r="S116" i="55" s="1"/>
  <c r="P169" i="55"/>
  <c r="V14" i="59" l="1"/>
  <c r="N14" i="59"/>
  <c r="L14" i="59"/>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725"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<sst xmlns="http://schemas.openxmlformats.org/spreadsheetml/2006/main" count="19178" uniqueCount="1835">
  <si>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</si>
  <si>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</si>
  <si>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</si>
  <si>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</si>
  <si>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</si>
  <si>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</si>
  <si>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</si>
  <si>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</si>
  <si>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</si>
  <si>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</si>
  <si>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</si>
  <si>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</si>
  <si>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</si>
  <si>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</si>
  <si>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</si>
  <si>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</si>
  <si>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</si>
  <si>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</si>
  <si>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</si>
  <si>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</si>
  <si>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</si>
  <si>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</si>
  <si>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</si>
  <si>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</si>
  <si>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</si>
  <si>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</si>
  <si>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</si>
  <si>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</si>
  <si>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</si>
  <si>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</si>
  <si>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</si>
  <si>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</si>
  <si>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</si>
  <si>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</si>
  <si>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</si>
  <si>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</si>
  <si>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</si>
  <si>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</si>
  <si>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</si>
  <si>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</si>
  <si>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</si>
  <si>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</si>
  <si>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</si>
  <si>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</si>
  <si>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</si>
  <si>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</si>
  <si>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</si>
  <si>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</si>
  <si>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</si>
  <si>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</si>
  <si>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</si>
  <si>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</si>
  <si>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</si>
  <si>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</si>
  <si>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</si>
  <si>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</si>
  <si>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</si>
  <si>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</si>
  <si>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</si>
  <si>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</si>
  <si>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</si>
  <si>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</si>
  <si>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</si>
  <si>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</si>
  <si>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</si>
  <si>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</si>
  <si>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</si>
  <si>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</si>
  <si>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</si>
  <si>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</si>
  <si>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</si>
  <si>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</si>
  <si>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</si>
  <si>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</si>
  <si>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</si>
  <si>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</si>
  <si>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</si>
  <si>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</si>
  <si>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</si>
  <si>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</si>
  <si>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</si>
  <si>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</si>
  <si>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</si>
  <si>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</si>
  <si>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</si>
  <si>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</si>
  <si>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</si>
  <si>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</si>
  <si>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</si>
  <si>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</si>
  <si>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</si>
  <si>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</si>
  <si>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</si>
  <si>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</si>
  <si>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</si>
  <si>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</si>
  <si>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</si>
  <si>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</si>
  <si>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</si>
  <si>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</si>
  <si>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</si>
  <si>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</si>
  <si>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</si>
  <si>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</si>
  <si>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</si>
  <si>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</si>
  <si>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</si>
  <si>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</si>
  <si>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</si>
  <si>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</si>
  <si>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</si>
  <si>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</si>
  <si>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</si>
  <si>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</si>
  <si>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</si>
  <si>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</si>
  <si>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</si>
  <si>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</si>
  <si>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</si>
  <si>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</si>
  <si>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</si>
  <si>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</si>
  <si>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</si>
  <si>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</si>
  <si>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</si>
  <si>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</si>
  <si>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</si>
  <si>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</si>
  <si>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</si>
  <si>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</si>
  <si>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</si>
  <si>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</si>
  <si>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</si>
  <si>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</si>
  <si>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</si>
  <si>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</si>
  <si>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</si>
  <si>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</si>
  <si>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</si>
  <si>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</si>
  <si>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</si>
  <si>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</si>
  <si>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</si>
  <si>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</si>
  <si>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</si>
  <si>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</si>
  <si>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</si>
  <si>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</si>
  <si>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</si>
  <si>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</si>
  <si>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</si>
  <si>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</si>
  <si>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</si>
  <si>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</si>
  <si>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</si>
  <si>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</si>
  <si>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</si>
  <si>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</si>
  <si>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</si>
  <si>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</si>
  <si>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</si>
  <si>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</si>
  <si>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</si>
  <si>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</si>
  <si>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</si>
  <si>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</si>
  <si>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</si>
  <si>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</si>
  <si>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</si>
  <si>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</si>
  <si>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</si>
  <si>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</si>
  <si>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</si>
  <si>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</si>
  <si>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</si>
  <si>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</si>
  <si>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</si>
  <si>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</si>
  <si>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</si>
  <si>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</si>
  <si>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</si>
  <si>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</si>
  <si>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</si>
  <si>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</si>
  <si>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</si>
  <si>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</si>
  <si>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</si>
  <si>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</si>
  <si>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</si>
  <si>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</si>
  <si>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</si>
  <si>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</si>
  <si>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</si>
  <si>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</si>
  <si>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</si>
  <si>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</si>
  <si>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</si>
  <si>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</si>
  <si>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</si>
  <si>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</si>
  <si>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</si>
  <si>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</si>
  <si>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</si>
  <si>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</si>
  <si>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</si>
  <si>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</si>
  <si>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</si>
  <si>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</si>
  <si>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</si>
  <si>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</si>
  <si>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</si>
  <si>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</si>
  <si>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</si>
  <si>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</si>
  <si>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</si>
  <si>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</si>
  <si>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</si>
  <si>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</si>
  <si>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</si>
  <si>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</si>
  <si>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</si>
  <si>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</si>
  <si>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</si>
  <si>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</si>
  <si>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</si>
  <si>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</si>
  <si>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</si>
  <si>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</si>
  <si>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</si>
  <si>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</si>
  <si>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</si>
  <si>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</si>
  <si>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</si>
  <si>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</si>
  <si>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</si>
  <si>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</si>
  <si>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</si>
  <si>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</si>
  <si>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</si>
  <si>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</si>
  <si>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</si>
  <si>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</si>
  <si>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</si>
  <si>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</si>
  <si>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</si>
  <si>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</si>
  <si>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</si>
  <si>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</si>
  <si>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</si>
  <si>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</si>
  <si>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</si>
  <si>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</si>
  <si>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</si>
  <si>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</si>
  <si>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</si>
  <si>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</si>
  <si>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</si>
  <si>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</si>
  <si>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</si>
  <si>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</si>
  <si>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</si>
  <si>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</si>
  <si>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</si>
  <si>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</si>
  <si>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</si>
  <si>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</si>
  <si>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</si>
  <si>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</si>
  <si>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</si>
  <si>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</si>
  <si>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</si>
  <si>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</si>
  <si>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</si>
  <si>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</si>
  <si>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</si>
  <si>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</si>
  <si>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</si>
  <si>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</si>
  <si>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</si>
  <si>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</si>
  <si>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MMHUB Independent VM Context Aperture Address Range/Boundary tests</t>
  </si>
  <si>
    <t>mhub002.1-15</t>
  </si>
  <si>
    <t>mhub002.16</t>
  </si>
  <si>
    <t>TNG</t>
  </si>
  <si>
    <t>MMHUB Concurrent access to multiple apertures test</t>
  </si>
  <si>
    <t>mhub002.17</t>
  </si>
  <si>
    <t>Access to a VM FB region mapped to the 1st 16MB of FB</t>
  </si>
  <si>
    <t>mhub002.18</t>
  </si>
  <si>
    <t>-vm -atc -tcoreptloc=1</t>
  </si>
  <si>
    <t>-vm -UseSdmaPio</t>
  </si>
  <si>
    <t>KRK-GMHUB-072</t>
  </si>
  <si>
    <t>MMHUB PDE C attribute</t>
  </si>
  <si>
    <t>mhub005</t>
  </si>
  <si>
    <t>-vm -tcoreptloc=1</t>
  </si>
  <si>
    <t>KRK-GMHUB-073</t>
  </si>
  <si>
    <t>MMHUB VM FB page access test</t>
  </si>
  <si>
    <t>mhub006.1</t>
  </si>
  <si>
    <t>MMHUB VM System Memory page access test</t>
  </si>
  <si>
    <t>mhub006.2</t>
  </si>
  <si>
    <t>MMHUB VM ATC page access test</t>
  </si>
  <si>
    <t>mhub006.3</t>
  </si>
  <si>
    <t>-vm -atc</t>
  </si>
  <si>
    <t>MMHUB VM Unmapped invalid fault test</t>
  </si>
  <si>
    <t>mhub006.4</t>
  </si>
  <si>
    <t>MMHUB Snooped test with Qword</t>
  </si>
  <si>
    <t>mhub007.4</t>
  </si>
  <si>
    <t>Chengchun</t>
  </si>
  <si>
    <t>MMHUB W attribute test</t>
  </si>
  <si>
    <t>mhub008.1</t>
  </si>
  <si>
    <t>MMHUB R attribute test</t>
  </si>
  <si>
    <t>mhub008.2</t>
  </si>
  <si>
    <t>MMHUB 2-level PDE test</t>
  </si>
  <si>
    <t>mhub010.1</t>
  </si>
  <si>
    <t>MMHUB 4-level PDE test</t>
  </si>
  <si>
    <t>mhub010.2</t>
  </si>
  <si>
    <t>Zhongli</t>
  </si>
  <si>
    <t>MMHUB TF PTE Test</t>
  </si>
  <si>
    <t>mhub011.1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</si>
  <si>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</si>
  <si>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</si>
  <si>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</si>
  <si>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</si>
  <si>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</si>
  <si>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</si>
  <si>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</si>
  <si>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</si>
  <si>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</si>
  <si>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</si>
  <si>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</si>
  <si>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</si>
  <si>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Zi Harn</t>
  </si>
  <si>
    <t>MMHUB VM Page Table Block &amp; Fragment Sizes</t>
  </si>
  <si>
    <t>mhub012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</si>
  <si>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</si>
  <si>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</si>
  <si>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</si>
  <si>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</si>
  <si>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</si>
  <si>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</si>
  <si>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</si>
  <si>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</si>
  <si>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</si>
  <si>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</si>
  <si>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</si>
  <si>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</si>
  <si>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</si>
  <si>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</si>
  <si>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</si>
  <si>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</si>
  <si>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</si>
  <si>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</si>
  <si>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</si>
  <si>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</si>
  <si>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</si>
  <si>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</si>
  <si>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MMHUB Heterogeneous PTE/PDE in the same Cache Line</t>
  </si>
  <si>
    <t>KRK-GMHUB-044</t>
  </si>
  <si>
    <t>SDMA 0 Queue Entry Reuse</t>
  </si>
  <si>
    <t>GCHUB</t>
  </si>
  <si>
    <t>GFXHUB SDMA 0 XNACK=2;PRT page</t>
  </si>
  <si>
    <t>mhub019.3</t>
  </si>
  <si>
    <t>GFXHUB SDMA 0 XNACK=3;Page fault</t>
  </si>
  <si>
    <t>mhub020.3</t>
  </si>
  <si>
    <t>-vm </t>
  </si>
  <si>
    <t>Sukaina</t>
  </si>
  <si>
    <t>MM UTC L1 Invalidation - GPUVM</t>
  </si>
  <si>
    <t>mhub026.1</t>
  </si>
  <si>
    <t>MM UTC L1 Invalidation - GPUVA-&gt;SPA - ATC Host</t>
  </si>
  <si>
    <t xml:space="preserve">-vm -atc </t>
  </si>
  <si>
    <t>MM UTC L1 Invalidation - GPA-&gt;SPA - ATC Host</t>
  </si>
  <si>
    <t>MM UTC L1 Invalidation - GPA-&gt;GPA ATC Host</t>
  </si>
  <si>
    <t>MM UTC L1 Invalidation - Combo</t>
  </si>
  <si>
    <t>mhub026.8</t>
  </si>
  <si>
    <t>-vm -atc -gpu_copyengine=tcore</t>
  </si>
  <si>
    <t>VM L1 Aperture-Only TLB Faults test</t>
  </si>
  <si>
    <t>VM L1 Read/Write TLB Hits/Misses tests</t>
  </si>
  <si>
    <t>VM L1 Read/Write TLB Eviction</t>
  </si>
  <si>
    <t xml:space="preserve">-vm </t>
  </si>
  <si>
    <t>VM L1 Fragment Processing</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</si>
  <si>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</si>
  <si>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</si>
  <si>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</si>
  <si>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</si>
  <si>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</si>
  <si>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</si>
  <si>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</si>
  <si>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</si>
  <si>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</si>
  <si>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</si>
  <si>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KRK-GMHUB-061</t>
  </si>
  <si>
    <t>MMHUB VM L2 PDE/PTE BigK Cache Line</t>
  </si>
  <si>
    <t>mhub032.1-2</t>
  </si>
  <si>
    <t>-vm -tc_SmallkCacheFragSize=4 -tc_ulVidmemFragmentSize=2</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</si>
  <si>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</si>
  <si>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</si>
  <si>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</si>
  <si>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</si>
  <si>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</si>
  <si>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</si>
  <si>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</si>
  <si>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</si>
  <si>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</si>
  <si>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</si>
  <si>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</si>
  <si>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</si>
  <si>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</si>
  <si>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</si>
  <si>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</si>
  <si>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</si>
  <si>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</si>
  <si>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</si>
  <si>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</si>
  <si>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</si>
  <si>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</si>
  <si>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</si>
  <si>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</si>
  <si>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</si>
  <si>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</si>
  <si>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</si>
  <si>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</si>
  <si>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</si>
  <si>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</si>
  <si>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</si>
  <si>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</si>
  <si>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</si>
  <si>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</si>
  <si>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MMHUB VM L2 PDE/PTE Cache Eviction - with Cache Dump</t>
  </si>
  <si>
    <t>-vm -tc_BigkCacheFragSize=4 -UseSdmaPio</t>
  </si>
  <si>
    <t>mhub033.104</t>
  </si>
  <si>
    <t>-vm  -tc_BigkCacheFragSize=4 -tc_ulVidmemFragmentSize=0 -UseSdmaPio</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</si>
  <si>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</si>
  <si>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</si>
  <si>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</si>
  <si>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</si>
  <si>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</si>
  <si>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</si>
  <si>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</si>
  <si>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</si>
  <si>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</si>
  <si>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</si>
  <si>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</si>
  <si>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</si>
  <si>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</si>
  <si>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MM UTCL1 Fragment Processing SoftRT ATC</t>
  </si>
  <si>
    <t>MM UTCL1 Fragment Processing NonRT GPUVM</t>
  </si>
  <si>
    <t>MM UTCL1 Fragment Processing SoftRT GPUVM</t>
  </si>
  <si>
    <t>KRK-GMHUB-065</t>
  </si>
  <si>
    <t>MMHUB ATC L2 Cache Hits/Misses on Read/Write Translation Request(PASID/NO PASID)</t>
  </si>
  <si>
    <t>mhub037.1-4</t>
  </si>
  <si>
    <t>MMHUB ATC L2 Cache Eviction (4K - SoftRT/NonRT with or without PASID)</t>
  </si>
  <si>
    <t>mhub040.1-4</t>
  </si>
  <si>
    <t>-vm -atc -UseSdmaPio</t>
  </si>
  <si>
    <t>MMHUB ATC L2 Cache Eviction (2M - SoftRT/NonRT with or without PASID)</t>
  </si>
  <si>
    <t>-vm -atc -tc_LogHostPageSize=21 </t>
  </si>
  <si>
    <t>KRK-GMHUB-097</t>
  </si>
  <si>
    <t>MMHUB ATC L2 Cache Hits/Misses on Failed Translation Requests (PASID)</t>
  </si>
  <si>
    <t>mhub042.1</t>
  </si>
  <si>
    <t>MMHUB ATC L2 Cache Hits/Misses on Failed Translation Requests (NO PASID)</t>
  </si>
  <si>
    <t>mhub042.2</t>
  </si>
  <si>
    <t>KRK-GMHUB-057</t>
  </si>
  <si>
    <t>Chriz</t>
  </si>
  <si>
    <t>MMHUB Translation Bypass by VMID</t>
  </si>
  <si>
    <t>mhub046.1-8</t>
  </si>
  <si>
    <t>Radhika</t>
  </si>
  <si>
    <t>KRK-GMHUB-060</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</si>
  <si>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</si>
  <si>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</si>
  <si>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</si>
  <si>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</si>
  <si>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</si>
  <si>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</si>
  <si>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</si>
  <si>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</si>
  <si>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</si>
  <si>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</si>
  <si>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</si>
  <si>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</si>
  <si>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</si>
  <si>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</si>
  <si>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</si>
  <si>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</si>
  <si>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</si>
  <si>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</si>
  <si>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</si>
  <si>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MMHUB Per-VM Context Invalidations</t>
  </si>
  <si>
    <t>mhub052.1</t>
  </si>
  <si>
    <t>MMHUB VM PDE/PTE only Invalidations</t>
  </si>
  <si>
    <t>mhub053.1</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</si>
  <si>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</si>
  <si>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</si>
  <si>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</si>
  <si>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</si>
  <si>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</si>
  <si>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</si>
  <si>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MMHUB:UTCL1 - Support both GPUVM invalidate and ATC invalidate</t>
  </si>
  <si>
    <t xml:space="preserve">MMHUB L1 Range Invalidation </t>
  </si>
  <si>
    <t>mhub055</t>
  </si>
  <si>
    <t>MMHUB:MMUTCL2:VML2 - Per invalidate engine registers</t>
  </si>
  <si>
    <t>MMHUB VM Invalidation Stress Test</t>
  </si>
  <si>
    <t>mhub057.1</t>
  </si>
  <si>
    <t>mhub057.6</t>
  </si>
  <si>
    <t>KRK-GMHUB-058</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</si>
  <si>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</si>
  <si>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</si>
  <si>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</si>
  <si>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</si>
  <si>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</si>
  <si>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</si>
  <si>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</si>
  <si>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</si>
  <si>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</si>
  <si>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</si>
  <si>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</si>
  <si>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</si>
  <si>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</si>
  <si>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</si>
  <si>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</si>
  <si>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</si>
  <si>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</si>
  <si>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</si>
  <si>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</si>
  <si>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</si>
  <si>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</si>
  <si>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</si>
  <si>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</si>
  <si>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</si>
  <si>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</si>
  <si>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</si>
  <si>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</si>
  <si>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</si>
  <si>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</si>
  <si>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</si>
  <si>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</si>
  <si>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</si>
  <si>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</si>
  <si>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</si>
  <si>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</si>
  <si>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</si>
  <si>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</si>
  <si>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</si>
  <si>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</si>
  <si>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</si>
  <si>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</si>
  <si>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</si>
  <si>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</si>
  <si>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</si>
  <si>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</si>
  <si>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</si>
  <si>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</si>
  <si>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MMHUB UTCL2 Per-VMID BigK/SmallK Settings</t>
  </si>
  <si>
    <t>mhub059.1-32</t>
  </si>
  <si>
    <t>-vm  -tc_ulVidmemFragmentSize=0 -UseSdmaPio</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</si>
  <si>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</si>
  <si>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</si>
  <si>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</si>
  <si>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</si>
  <si>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</si>
  <si>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</si>
  <si>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</si>
  <si>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</si>
  <si>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</si>
  <si>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</si>
  <si>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</si>
  <si>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</si>
  <si>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</si>
  <si>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</si>
  <si>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</si>
  <si>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</si>
  <si>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</si>
  <si>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</si>
  <si>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</si>
  <si>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</si>
  <si>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</si>
  <si>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</si>
  <si>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</si>
  <si>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</si>
  <si>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</si>
  <si>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</si>
  <si>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</si>
  <si>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</si>
  <si>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</si>
  <si>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</si>
  <si>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</si>
  <si>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</si>
  <si>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</si>
  <si>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</si>
  <si>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 xml:space="preserve">-vm -atc  </t>
  </si>
  <si>
    <t>KRK-GMHUB-075</t>
  </si>
  <si>
    <t>MMHUB IOMMU Single/Multi Page Invalidation without PASID</t>
  </si>
  <si>
    <t>-vm -atc  -tc_DisableIommuHostTranslation=0 -tc_ClearDteIotlb</t>
  </si>
  <si>
    <t>MMHUB IOMMU Single/Multi Page Invalidation with PASID</t>
  </si>
  <si>
    <t>MMHUB IOMMU Flush-Type Lightweight/Heavyweight  Invalidation with/without PASID</t>
  </si>
  <si>
    <t>mhub067.1-4</t>
  </si>
  <si>
    <t>KRK-GMHUB-074</t>
  </si>
  <si>
    <t>MMHUB Disable Per-Address ATC Invalication</t>
  </si>
  <si>
    <t>mhub069.1-5</t>
  </si>
  <si>
    <t>MMHUB Permission &amp; Invalid Fault: PTE WRX &amp; SVT Attribute</t>
  </si>
  <si>
    <t>MMHUB Address/Walker Error: PDE V Attribute</t>
  </si>
  <si>
    <t>mhub082</t>
  </si>
  <si>
    <t>MMHUB Address/Walker Error: Dummy Page Fault</t>
  </si>
  <si>
    <t>mhub083</t>
  </si>
  <si>
    <t>MMHUB Address/Walker Error: VM Context Aperture Fault</t>
  </si>
  <si>
    <t>mhub084.1-2</t>
  </si>
  <si>
    <t>MMHUB-Address Walker Error: Page Table Setup Fault test</t>
  </si>
  <si>
    <t>mhub085</t>
  </si>
  <si>
    <t>MMHUB Mapping Error: PTE SVT Address Space</t>
  </si>
  <si>
    <t>MMHUB Retry on Faults</t>
  </si>
  <si>
    <t>mhub089</t>
  </si>
  <si>
    <t>MMHUB No Caching of VM Faulted Requests</t>
  </si>
  <si>
    <t>mhub093.1</t>
  </si>
  <si>
    <t>Multiple Faults</t>
  </si>
  <si>
    <t>mhub094</t>
  </si>
  <si>
    <t>MMHUB Multiple Faults on Multiple VM Context</t>
  </si>
  <si>
    <t>mhub095</t>
  </si>
  <si>
    <t>MMHUB EA</t>
  </si>
  <si>
    <t>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</si>
  <si>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</si>
  <si>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</si>
  <si>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</si>
  <si>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</si>
  <si>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</si>
  <si>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</si>
  <si>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</si>
  <si>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</si>
  <si>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</si>
  <si>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</si>
  <si>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</si>
  <si>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</si>
  <si>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</si>
  <si>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</si>
  <si>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</si>
  <si>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</si>
  <si>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</si>
  <si>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</si>
  <si>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 xml:space="preserve">MMHUB PTE permissions returned - Read after write </t>
  </si>
  <si>
    <t>mhub141.1</t>
  </si>
  <si>
    <t xml:space="preserve">MMHUB PTE permissions returned - Write after read </t>
  </si>
  <si>
    <t>mhub141.2</t>
  </si>
  <si>
    <t>KRK-GMHUB-066</t>
  </si>
  <si>
    <t>MMHUB Non-defaulMMHUB-Invalid PTE Permission Fault</t>
  </si>
  <si>
    <t>mhub145.1-2</t>
  </si>
  <si>
    <t>KRK-GMHUB-067</t>
  </si>
  <si>
    <t xml:space="preserve">MMHUB Valid PTE with Permission Mismatch in Cache </t>
  </si>
  <si>
    <t>mhub146.1-2</t>
  </si>
  <si>
    <t>MMHUB-TMZ System Level Testing</t>
  </si>
  <si>
    <t>-skiptextbuffering -skip_iommu_check=1 -skip_consoleblank_check=1 -disable_libdce -norlc -gpu_copyengine=tcore -tc_DefaultCopyUtil=HostCopy -no_toollib -nobios -load_ucode=tcore -tmzmode=tmz -vm</t>
  </si>
  <si>
    <t>MMHUB:SOC - AXI4 client interface</t>
  </si>
  <si>
    <t>VCN AXI Space Test</t>
  </si>
  <si>
    <t>mhub164.3</t>
  </si>
  <si>
    <t>-novm -UseCpDirReg=1</t>
  </si>
  <si>
    <t>GFXHUB System aperture address boundary test</t>
  </si>
  <si>
    <t>mhub201.5</t>
  </si>
  <si>
    <t>-vm -UseCpDirReg=1</t>
  </si>
  <si>
    <t>KRK-GMHUB-168</t>
  </si>
  <si>
    <t>GFXHUB VM FB page access test</t>
  </si>
  <si>
    <t>mhub206.1</t>
  </si>
  <si>
    <t>GFXHUB VM System Memory page access test</t>
  </si>
  <si>
    <t>mhub206.2</t>
  </si>
  <si>
    <t>GFXHUB VM ATC page access test</t>
  </si>
  <si>
    <t>mhub206.3</t>
  </si>
  <si>
    <t>GFXHUB VM Unmapped invalid fault test</t>
  </si>
  <si>
    <t>mhub206.4</t>
  </si>
  <si>
    <t>GFXHUB W attribute test</t>
  </si>
  <si>
    <t>mhub208.1</t>
  </si>
  <si>
    <t>GFXHUB R attribute test</t>
  </si>
  <si>
    <t>mhub208.2</t>
  </si>
  <si>
    <t>GFXHUB X attribute test</t>
  </si>
  <si>
    <t>mhub208.3</t>
  </si>
  <si>
    <t>-vm -q</t>
  </si>
  <si>
    <t>KRK-GMHUB-167</t>
  </si>
  <si>
    <t>GFXHUB 2-level PDE test</t>
  </si>
  <si>
    <t>mhub210.1</t>
  </si>
  <si>
    <t>KRK-GMHUB-172</t>
  </si>
  <si>
    <t>GFXHUB 4-level PDE test</t>
  </si>
  <si>
    <t>mhub210.2</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</si>
  <si>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</si>
  <si>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</si>
  <si>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</si>
  <si>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</si>
  <si>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</si>
  <si>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</si>
  <si>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</si>
  <si>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</si>
  <si>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KRK-GMHUB-174</t>
  </si>
  <si>
    <t>GFXHUB VM Page Table Block &amp; Fragment Sizes</t>
  </si>
  <si>
    <t>mhub212</t>
  </si>
  <si>
    <t>GFXHUB PDE request not physical PTE request not physical test</t>
  </si>
  <si>
    <t>mhub213.1</t>
  </si>
  <si>
    <t>GFXHUB PDE request physical PTE request physical test</t>
  </si>
  <si>
    <t>mhub213.2</t>
  </si>
  <si>
    <t>-vm -tcoreptloc=1 -pm4rb=system</t>
  </si>
  <si>
    <t>GFXHUB Heterogeneous PTE/PDE in the same Cache Line</t>
  </si>
  <si>
    <t>-vm -atc -pm4rb=fb</t>
  </si>
  <si>
    <t>KRK-GMHUB-173</t>
  </si>
  <si>
    <t>UTC L1 XNACK=1</t>
  </si>
  <si>
    <t>mhub218.1</t>
  </si>
  <si>
    <t>GFXHUB UTC L1 XNACK=2</t>
  </si>
  <si>
    <t>mhub219.1</t>
  </si>
  <si>
    <t>UTC L1 XNACK=3</t>
  </si>
  <si>
    <t>mhub220.1</t>
  </si>
  <si>
    <t>KRK-GMHUB-144</t>
  </si>
  <si>
    <t>GFXHUB VM L2 Cache Hits/Misses(PDE 1-levels, PTE)</t>
  </si>
  <si>
    <t>mhub231.1</t>
  </si>
  <si>
    <t>mhub231.2</t>
  </si>
  <si>
    <t>mhub231.3</t>
  </si>
  <si>
    <t>mhub231.4</t>
  </si>
  <si>
    <t>mhub231.5</t>
  </si>
  <si>
    <t>mhub231.6</t>
  </si>
  <si>
    <t>mhub231.7</t>
  </si>
  <si>
    <t>GFXHUB VM L2 Cache Hits/Misses(PDE 1-levels, PTE</t>
  </si>
  <si>
    <t>mhub231.8-9</t>
  </si>
  <si>
    <t>KRK-GMHUB-190</t>
  </si>
  <si>
    <t>VM L2 PTE 4K Pages Hits/Misses test with DumpCache</t>
  </si>
  <si>
    <t>mhub231.10-11</t>
  </si>
  <si>
    <t>-vm -CpDirRegVm -tc_SmallkCacheFragSize=0 -tc_BigkCacheFragSize=4</t>
  </si>
  <si>
    <t>GFXHUB VM L2 PDE/PTE Cache Line</t>
  </si>
  <si>
    <t>mhub232.1</t>
  </si>
  <si>
    <t>-vm -UseCpDirReg -pm4rb=fb -tc_SmallkCacheFragSize=4 -tc_ulVidmemFragmentSize=2</t>
  </si>
  <si>
    <t>mhub232.2</t>
  </si>
  <si>
    <t>-vm -pm4rb=fb -tc_SmallkCacheFragSize=4</t>
  </si>
  <si>
    <t>mhub232.3</t>
  </si>
  <si>
    <t>-vm -tc_BigkCacheFragSize=4 -tc_SmallkCacheFragSize=1 -pm4rb=fb</t>
  </si>
  <si>
    <t>mhub232.4</t>
  </si>
  <si>
    <t>GFXHUB PTE Cache Line (BigK=8K)</t>
  </si>
  <si>
    <t>mhub232.5</t>
  </si>
  <si>
    <t>-tc_SmallkCacheFragSize=4 -tc_BigkCacheFragSize=1 -tc_ulVidmemFragmentSize=2 -vm -CpDirRegVm -pm4rb=fb</t>
  </si>
  <si>
    <t>GFXHUB PDE0 Cache Line (BigK=8K)</t>
  </si>
  <si>
    <t>mhub232.6</t>
  </si>
  <si>
    <t> -tc_BigkCacheFragSize=1 -tc_SmallkCacheFragSize=4 -tc_ulVidmemFragmentSize=2 -vm -atc -CpDirRegVm -pm4rb=fb</t>
  </si>
  <si>
    <t>mhub232.7</t>
  </si>
  <si>
    <t> -vm -CpDirRegVm -UseCpDirReg -tc_BigkCacheFragSize=4 -pm4rb=fb -tc_ulVidmemFragmentSize=2</t>
  </si>
  <si>
    <t>mhub232.8</t>
  </si>
  <si>
    <t xml:space="preserve"> -vm -CpDirRegVm -tc_BigkCacheFragSize=4 -pm4rb=fb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</si>
  <si>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</si>
  <si>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</si>
  <si>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</si>
  <si>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</si>
  <si>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</si>
  <si>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</si>
  <si>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</si>
  <si>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</si>
  <si>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</si>
  <si>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</si>
  <si>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</si>
  <si>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</si>
  <si>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</si>
  <si>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</si>
  <si>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</si>
  <si>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</si>
  <si>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</si>
  <si>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</si>
  <si>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GFXHUB-GPUVM L2 Cache Dump Capabilities</t>
  </si>
  <si>
    <t xml:space="preserve">-vm -atc -tc_BigkCacheFragSize=4 -CpDirRegVm </t>
  </si>
  <si>
    <t>KRK-GMHUB-180</t>
  </si>
  <si>
    <t>GFXHUB UTC L2 SmallK and BigK Cache Test - 4K and 64K</t>
  </si>
  <si>
    <t>mhub234.1</t>
  </si>
  <si>
    <t>-vm -tc_SmallkCacheFragSize=0 -tc_BigkCacheFragSize=4 -pm4rb=fb -CpDirRegVm</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</si>
  <si>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</si>
  <si>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</si>
  <si>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</si>
  <si>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</si>
  <si>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</si>
  <si>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</si>
  <si>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</si>
  <si>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</si>
  <si>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</si>
  <si>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GFXHUB:GCUTCL2:VML2 - Translate Further/PTE.F bit</t>
  </si>
  <si>
    <t>GFXHUB ATC L2 Cache Eviction (PASID - 4K)</t>
  </si>
  <si>
    <t>mhub240.1</t>
  </si>
  <si>
    <t>-vm -atc -CpDirRegVm</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</si>
  <si>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</si>
  <si>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</si>
  <si>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</si>
  <si>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</si>
  <si>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</si>
  <si>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</si>
  <si>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</si>
  <si>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</si>
  <si>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</si>
  <si>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</si>
  <si>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GFXHUB ATC L2 Cache Eviction (No PASID - 2M)</t>
  </si>
  <si>
    <t>mhub240.6</t>
  </si>
  <si>
    <t>-vm -atc -CpDirRegVm -tc_LogHostPageSize=21</t>
  </si>
  <si>
    <t>KRK-GMHUB-149</t>
  </si>
  <si>
    <t>GFXHUB Translation Bypass by VMID</t>
  </si>
  <si>
    <t>mhub246.1-8</t>
  </si>
  <si>
    <t>KRK-GMHUB-150</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</si>
  <si>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</si>
  <si>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</si>
  <si>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</si>
  <si>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</si>
  <si>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</si>
  <si>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</si>
  <si>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</si>
  <si>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</si>
  <si>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KRK-GMHUB-136</t>
  </si>
  <si>
    <t>GFXHUB:GCUTCL2 - Remove 2MB max page size limit</t>
  </si>
  <si>
    <t>GFXHUB Page Size Limit tests</t>
  </si>
  <si>
    <t>mhub249</t>
  </si>
  <si>
    <t>GFXHUB Per-VM Context Invalidations</t>
  </si>
  <si>
    <t>mhub252.1</t>
  </si>
  <si>
    <t>KRK-GMHUB-165</t>
  </si>
  <si>
    <t>GFXHUB VM PDE/PTE Only Invalidation</t>
  </si>
  <si>
    <t>mhub253.1</t>
  </si>
  <si>
    <t xml:space="preserve">GFXHUB VM L2 Address Range/Boundary Invalidation </t>
  </si>
  <si>
    <t>GFXHUB L1 Range Invalidation</t>
  </si>
  <si>
    <t>GFXHUB VM Invalidation Stress Test</t>
  </si>
  <si>
    <t>mhub257.6</t>
  </si>
  <si>
    <t>-vm -SkipVcnInst=1</t>
  </si>
  <si>
    <t>KRK-GMHUB-148</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</si>
  <si>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</si>
  <si>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</si>
  <si>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</si>
  <si>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</si>
  <si>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</si>
  <si>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</si>
  <si>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</si>
  <si>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</si>
  <si>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</si>
  <si>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</si>
  <si>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</si>
  <si>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</si>
  <si>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</si>
  <si>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</si>
  <si>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</si>
  <si>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</si>
  <si>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UTCL2 Per-VMID BigK/SmallK Settings</t>
  </si>
  <si>
    <t>mhub259.1-32</t>
  </si>
  <si>
    <t>-vm -CpDirRegVm -tc_ulVidmemFragmentSize=0</t>
  </si>
  <si>
    <t>GFXHUB VMID Translation Assist -GPUVA-&gt;FB_SPA in VMID0-15</t>
  </si>
  <si>
    <t>mhub260.1-16</t>
  </si>
  <si>
    <t>GFXHUB VMID Translation Assist - GPUVA-&gt;SYSMEM_SPA in VMID0-15</t>
  </si>
  <si>
    <t>mhub260.17-32</t>
  </si>
  <si>
    <t>GFXHUB VMID Translation Assist - ATC Host in VMID2-15</t>
  </si>
  <si>
    <t>mhub260.33-46</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</si>
  <si>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</si>
  <si>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</si>
  <si>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</si>
  <si>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</si>
  <si>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</si>
  <si>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</si>
  <si>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</si>
  <si>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</si>
  <si>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</si>
  <si>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</si>
  <si>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</si>
  <si>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</si>
  <si>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</si>
  <si>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</si>
  <si>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</si>
  <si>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</si>
  <si>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</si>
  <si>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</si>
  <si>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</si>
  <si>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</si>
  <si>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</si>
  <si>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</si>
  <si>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</si>
  <si>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</si>
  <si>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</si>
  <si>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</si>
  <si>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</si>
  <si>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KRK-GMHUB-250</t>
  </si>
  <si>
    <t>GFXHUB VMID-to-PASID Mapping Registers</t>
  </si>
  <si>
    <t>mhub263.1</t>
  </si>
  <si>
    <t>GFXHUB IOMMU Single/Multi Page Invalidation without PASID</t>
  </si>
  <si>
    <t>-vm -atc -pm4rb=fb -tc_DisableIommuHostTranslation=0 -tc_ClearDteIotlb</t>
  </si>
  <si>
    <t>GFXHUB IOMMU Single/Multi Page Invalidation with PASID</t>
  </si>
  <si>
    <t>GFXHUB IOMMU Global Invalidation with PASID</t>
  </si>
  <si>
    <t>GFXHUB IOMMU Flush-Type Lightweight/Heavyweight  Invalidation with/without PASID</t>
  </si>
  <si>
    <t>mhub267.1-4</t>
  </si>
  <si>
    <t>GFXHUB Disable Per-Address ATC Invalication</t>
  </si>
  <si>
    <t>mhub269.1-5</t>
  </si>
  <si>
    <t>-vm -atc -UseCpDirReg -CpDirRegVm</t>
  </si>
  <si>
    <t>KRK-GMHUB-169</t>
  </si>
  <si>
    <t>GFXHUB Permission &amp; Invalid Fault: PTE WRX &amp; SVT Attribute</t>
  </si>
  <si>
    <t>GFXHUB Mapping Error: PTE SVT Address Space</t>
  </si>
  <si>
    <t>GFXHUB PRT Fault</t>
  </si>
  <si>
    <t>mhub287</t>
  </si>
  <si>
    <t>GFXHUB No Caching of VM Faulted Requests</t>
  </si>
  <si>
    <t>mhub293.1</t>
  </si>
  <si>
    <t>GFXHUB-Multiple Faults test</t>
  </si>
  <si>
    <t>mhub294</t>
  </si>
  <si>
    <t>GFXHUB EA</t>
  </si>
  <si>
    <t>mhub311.1-4</t>
  </si>
  <si>
    <t>GFXHUB-PTW Fetch QoS test</t>
  </si>
  <si>
    <t>mhub340.1</t>
  </si>
  <si>
    <t>-vm -tc_DisableIommuHostTranslation=0  -doorbellLoc=fb -pm4rb=fb</t>
  </si>
  <si>
    <t xml:space="preserve">GFXHUB PTE permissions returned - Read after write </t>
  </si>
  <si>
    <t>mhub341.1</t>
  </si>
  <si>
    <t>KRK-GMHUB-156</t>
  </si>
  <si>
    <t xml:space="preserve">GFXHUB PTE permissions returned - Write after read </t>
  </si>
  <si>
    <t>mhub341.2</t>
  </si>
  <si>
    <t>KRK-GMHUB-152</t>
  </si>
  <si>
    <t>GFXHUB-UTCL2 GPA Translation test</t>
  </si>
  <si>
    <t>mhub344.3</t>
  </si>
  <si>
    <t>KRK-GMHUB-159</t>
  </si>
  <si>
    <t>GFXHUB Non-defaulMMHUB-Invalid PTE Permission Fault</t>
  </si>
  <si>
    <t>mhub345.1-2</t>
  </si>
  <si>
    <t>KRK-GMHUB-160</t>
  </si>
  <si>
    <t xml:space="preserve">GFXHUB Valid PTE with Permission Mismatch in Cache </t>
  </si>
  <si>
    <t>mhub346.1-2</t>
  </si>
  <si>
    <t>-vm -atc -UseCpDirReg -CpDirRegVm -SkipGfxDmaInst</t>
  </si>
  <si>
    <t>KRK-GMHUB-164</t>
  </si>
  <si>
    <t>GFXHUB-TMZ System Level Testing</t>
  </si>
  <si>
    <t>-skiptextbuffering -skip_iommu_check=1 -skip_consoleblank_check=1 -disable_libdce -norlc -gpu_copyengine=tcore -tc_DefaultCopyUtil=HostCopy -no_toollib -nobios -load_ucode=tcore -skip_iommu_check=1 -tmzmode=tmz -tc_SecureMode=0 -vm -v=debug -ppmode=0</t>
  </si>
  <si>
    <t>KRK-GMHUB-187</t>
  </si>
  <si>
    <t>GFXHUB:GCUTCL2:VML2 - Programmable bank select in UTCL1/UTCL2</t>
  </si>
  <si>
    <t>GFXHUB Programmable Bank Select Test</t>
  </si>
  <si>
    <t>ATHUB</t>
  </si>
  <si>
    <t>Address Transtation using MMHUB Client</t>
  </si>
  <si>
    <t xml:space="preserve">-atc -vm </t>
  </si>
  <si>
    <t>Only IOMMU Host trans enabled and not ATC: SYS -&gt; SYS ; FB -&gt; FB. System memory requests go through IO Path</t>
  </si>
  <si>
    <t>mhub401.34</t>
  </si>
  <si>
    <t>-vm  -tc_DisableIommuHostTranslation=0 -tc_EnableNonIdentityMapping</t>
  </si>
  <si>
    <t>Address Transtation using GFXHUB Client</t>
  </si>
  <si>
    <t>-atc -vm</t>
  </si>
  <si>
    <t>KRK-GMHUB-258</t>
  </si>
  <si>
    <t>mhub402.34</t>
  </si>
  <si>
    <t>-vm  -tc_DisableIommuHostTranslation=0 -tc_EnableNonIdentityMapping</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</si>
  <si>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</si>
  <si>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</si>
  <si>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</si>
  <si>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</si>
  <si>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</si>
  <si>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</si>
  <si>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</si>
  <si>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</si>
  <si>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</si>
  <si>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</si>
  <si>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</si>
  <si>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</si>
  <si>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</si>
  <si>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</si>
  <si>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</si>
  <si>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</si>
  <si>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</si>
  <si>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</si>
  <si>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</si>
  <si>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</si>
  <si>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</si>
  <si>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</si>
  <si>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</si>
  <si>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</si>
  <si>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</si>
  <si>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</si>
  <si>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</si>
  <si>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</si>
  <si>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</si>
  <si>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</si>
  <si>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</si>
  <si>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</si>
  <si>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</si>
  <si>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</si>
  <si>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</si>
  <si>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</si>
  <si>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</si>
  <si>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</si>
  <si>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</si>
  <si>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</si>
  <si>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</si>
  <si>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</si>
  <si>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</si>
  <si>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</si>
  <si>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</si>
  <si>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</si>
  <si>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</si>
  <si>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</si>
  <si>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</si>
  <si>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</si>
  <si>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</si>
  <si>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</si>
  <si>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</si>
  <si>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</si>
  <si>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</si>
  <si>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</si>
  <si>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</si>
  <si>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</si>
  <si>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</si>
  <si>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</si>
  <si>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</si>
  <si>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ATHUB Invalidation due to ATC_ATS_DEUBT.INVALIDATE_ALL bit</t>
  </si>
  <si>
    <t>mhub405.1</t>
  </si>
  <si>
    <t>ATHUB Invalidation due to ATC_ATS_CNTL.DISABLE_ATC bit</t>
  </si>
  <si>
    <t>mhub405.2</t>
  </si>
  <si>
    <t>ATHUB Invalidation due to PCIe ATS_CONTROL Register</t>
  </si>
  <si>
    <t>mhub405.3</t>
  </si>
  <si>
    <t>ATHUB Invalidation due to VMID-to-PASID Mapping Registers</t>
  </si>
  <si>
    <t>mhub405.4-5</t>
  </si>
  <si>
    <t>ATHUB IOMMU Invalidation - Multiple GFXHUB &amp; MMHUB Entries</t>
  </si>
  <si>
    <t>mhub405.6</t>
  </si>
  <si>
    <t>ATHUB IOMMU Invalidation with No PasID</t>
  </si>
  <si>
    <t>mhub405.7</t>
  </si>
  <si>
    <t>ATHUB IOMMU Invalidation with PasID</t>
  </si>
  <si>
    <t>mhub405.8</t>
  </si>
  <si>
    <t>ATHUB Multiple Source Invalidation - Multiple GFXHUB &amp; MMHUB Entries</t>
  </si>
  <si>
    <t>mhub405.9</t>
  </si>
  <si>
    <t>MMHUB Snapshot</t>
  </si>
  <si>
    <t>mhub406.1</t>
  </si>
  <si>
    <t>GFXHUB Snaphot</t>
  </si>
  <si>
    <t>mhub406.2</t>
  </si>
  <si>
    <t>MMHUB Snapshot with IOMMU Invalidation</t>
  </si>
  <si>
    <t>mhub406.11</t>
  </si>
  <si>
    <t>GFXHUB Snapshot with IOMMU Invalidation</t>
  </si>
  <si>
    <t>mhub406.12</t>
  </si>
  <si>
    <t>Producer: CPU, Consumer: CPDMA</t>
  </si>
  <si>
    <t>mhub408.1-2</t>
  </si>
  <si>
    <t>CPU – Producer, CPDMA – Consumer, MTYPE=6</t>
  </si>
  <si>
    <t>Producer: CPU, Consumer: VCN</t>
  </si>
  <si>
    <t>mhub408.81</t>
  </si>
  <si>
    <t>CPU – Producer, VCN – Consumer, MTYPE=6</t>
  </si>
  <si>
    <t>mhub408.87</t>
  </si>
  <si>
    <t>Producer: VCN, Consumer: CPDMA</t>
  </si>
  <si>
    <t>mhub408.61</t>
  </si>
  <si>
    <t>VCN – Producer, CPDMA – Consumer, MTYPE=6</t>
  </si>
  <si>
    <t>mhub408.67</t>
  </si>
  <si>
    <t>Producer: CPDMA, Consumer: VCN</t>
  </si>
  <si>
    <t>mhub408.71</t>
  </si>
  <si>
    <t>CPDMA – Producer, VCN – Consumer, MTYPE=6</t>
  </si>
  <si>
    <t>mhub408.77</t>
  </si>
  <si>
    <t>Producer: VCN, Consumer: CPU</t>
  </si>
  <si>
    <t>mhub408.91</t>
  </si>
  <si>
    <t>VCN – Producer, CPU – Consumer, MTYPE=6</t>
  </si>
  <si>
    <t>mhub408.97</t>
  </si>
  <si>
    <t>Producer: CPDMA, Consumer: CPU</t>
  </si>
  <si>
    <t>mhub408.51-52</t>
  </si>
  <si>
    <t>CPDMA – Producer, CPU – Consumer, MTYPE=6</t>
  </si>
  <si>
    <t>KRK-GMHUB-248</t>
  </si>
  <si>
    <t>ATHUB - Invalidation Flow Stall by Stall</t>
  </si>
  <si>
    <t>mhub412.1</t>
  </si>
  <si>
    <t>-vm -atc -UseSdma</t>
  </si>
  <si>
    <t>ATHUB - Invalidation Flow Stall by GFX Power-Down</t>
  </si>
  <si>
    <t>mhub412.2</t>
  </si>
  <si>
    <t>ATHUB - Invalidation Flow Stall by Stall-&gt;Power-Down-&gt;Un-Stall</t>
  </si>
  <si>
    <t>mhub412.3</t>
  </si>
  <si>
    <t xml:space="preserve">ATC Host Translation Enable Mode </t>
  </si>
  <si>
    <t>mhub413.1-3</t>
  </si>
  <si>
    <t>ATHUB Pseudo-IOV - Basic using MM client</t>
  </si>
  <si>
    <t>mhub414.1</t>
  </si>
  <si>
    <t xml:space="preserve">-vm -atc -tc_DisableIommuHostTranslation=0 -tc_EnableConsoleIovMode </t>
  </si>
  <si>
    <t>ATHUB Pseudo-IOV - VMID-&gt;VFID using MM client</t>
  </si>
  <si>
    <t>mhub414.2</t>
  </si>
  <si>
    <t>ATHUB Pseudo-IOV - Enabled and no PASID using MM client</t>
  </si>
  <si>
    <t>mhub414.3</t>
  </si>
  <si>
    <t>ATHUB Pseudo-IOV - IOMMU INV when enabled using MM client</t>
  </si>
  <si>
    <t>mhub414.4</t>
  </si>
  <si>
    <t>ATHUB Pseudo-IOV - Basic using GC client</t>
  </si>
  <si>
    <t>mhub414.5</t>
  </si>
  <si>
    <t>-vm -atc -tc_DisableIommuHostTranslation=0 -tc_EnableConsoleIovMode</t>
  </si>
  <si>
    <t>ATHUB Pseudo-IOV - VMID-&gt;VFID using GC client</t>
  </si>
  <si>
    <t>mhub414.6</t>
  </si>
  <si>
    <t>ATHUB Pseudo-IOV - Enabled and no PASID using GC client</t>
  </si>
  <si>
    <t>mhub414.7</t>
  </si>
  <si>
    <t>ATHUB Pseudo-IOV - IOMMU INV when enabled using GC client</t>
  </si>
  <si>
    <t>mhub414.8</t>
  </si>
  <si>
    <t>ATHUB Pseudo-IOV - Basic using MM client - non-zero vmid</t>
  </si>
  <si>
    <t>mhub414.101</t>
  </si>
  <si>
    <t>mhub414.102</t>
  </si>
  <si>
    <t>mhub414.103</t>
  </si>
  <si>
    <t>ATHUB Pseudo-IOV - IOMMU INV when enabled using MM client - non-zero vmid</t>
  </si>
  <si>
    <t>mhub414.104</t>
  </si>
  <si>
    <t>ATHUB Pseudo-IOV - Basic using GC client - non-zero vmid</t>
  </si>
  <si>
    <t>mhub414.105</t>
  </si>
  <si>
    <t>mhub414.106</t>
  </si>
  <si>
    <t>mhub414.107</t>
  </si>
  <si>
    <t>ATHUB Pseudo-IOV - IOMMU INV when enabled using GC client - non-zero vmid</t>
  </si>
  <si>
    <t>mhub414.108</t>
  </si>
  <si>
    <t>GFXHUB UTCL2-ATCL2 Snoop Override</t>
  </si>
  <si>
    <t>mhub416.1-4</t>
  </si>
  <si>
    <t>KRK-GMHUB-062</t>
  </si>
  <si>
    <t>MMHUB PTW QoS Fetch Enable</t>
  </si>
  <si>
    <t>mhub598.17</t>
  </si>
  <si>
    <t>MMHUB:MMUTCL2:VML2 - CAM/filter to avoid duplicate table-walk reads</t>
  </si>
  <si>
    <t>PTW Fetch QoS disable</t>
  </si>
  <si>
    <t>mhub598.18</t>
  </si>
  <si>
    <t>-vm -norlc</t>
  </si>
  <si>
    <t>MMHUB ATC L2 Cache Hits/Misses - U-bit</t>
  </si>
  <si>
    <t>mhub037.5</t>
  </si>
  <si>
    <t>GFXHUB ATC L2 Cache Hits/Misses - U-bit</t>
  </si>
  <si>
    <t>mhub237.5</t>
  </si>
  <si>
    <t>ATC L2 cache hits and misses tests</t>
  </si>
  <si>
    <t>-vm -atc -tc_DisableIommuHostTranslation=0 -tc_ClearDteIotlb  -pm4rb=fb</t>
  </si>
  <si>
    <t>KRK-GMHUB-182</t>
  </si>
  <si>
    <t>GFXHUB Check is local</t>
  </si>
  <si>
    <t>mhub348.1-4</t>
  </si>
  <si>
    <t>KRK-GMHUB-009</t>
  </si>
  <si>
    <t xml:space="preserve">“GPU Snoop” aka ‘gcc’ support in DAGB" </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</si>
  <si>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</si>
  <si>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</si>
  <si>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</si>
  <si>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</si>
  <si>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</si>
  <si>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</si>
  <si>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</si>
  <si>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</si>
  <si>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</si>
  <si>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</si>
  <si>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</si>
  <si>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</si>
  <si>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MMHUB:MMUTCL2:VML2 - GPUVM fault status register</t>
  </si>
  <si>
    <t>MMHUB:MMUTCL2 - Sideband translation path</t>
  </si>
  <si>
    <t>KRK-GMHUB-053</t>
  </si>
  <si>
    <t>GFXHUB:GCUTCL2:VML2 - Common PSP-only default page</t>
  </si>
  <si>
    <t>GCHUB Common PSP-only default page test</t>
  </si>
  <si>
    <t>mhub091.1-4</t>
  </si>
  <si>
    <t>mhub091.5-6</t>
  </si>
  <si>
    <t>-vm -atc -tc_DisableIommuHostTranslation=0</t>
  </si>
  <si>
    <t>MMHUB Common PSP-only default page test</t>
  </si>
  <si>
    <t>mhub091.7-13</t>
  </si>
  <si>
    <t>• Refer to TP section 4.3.1.3 Common PSP-only Default Page</t>
  </si>
  <si>
    <t>mhub272.3</t>
  </si>
  <si>
    <t>mhub291.1-4</t>
  </si>
  <si>
    <t>mhub291.5-6</t>
  </si>
  <si>
    <t>MMHUB:MMUTCL2:VML2 - GPA Mode</t>
  </si>
  <si>
    <t>MMHUB:Security - SOC15 Datapath/Controlpath Security</t>
  </si>
  <si>
    <t>DF003.1-4</t>
  </si>
  <si>
    <t>KRK-GMHUB-082</t>
  </si>
  <si>
    <t>MMHUB Check is local</t>
  </si>
  <si>
    <t>mhub148.1-4</t>
  </si>
  <si>
    <t>Invalidation Storm Test</t>
  </si>
  <si>
    <t>Ashraf</t>
  </si>
  <si>
    <t>mhub50.1-4</t>
  </si>
  <si>
    <t>MMHUB:SOC - OpenCL Platform Atomics</t>
  </si>
  <si>
    <t>KRK-GMHUB-059</t>
  </si>
  <si>
    <t>P2</t>
  </si>
  <si>
    <t>KRK-GMHUB-119</t>
  </si>
  <si>
    <t>KRK-GMHUB-154</t>
  </si>
  <si>
    <t>GFXHUB:GCUTCL2:VML2 - Full GCR Support</t>
  </si>
  <si>
    <t>GFXHUB:GCUTCL2:VML2 - Trusted Memory Zone (TMZ) Secure Filtering</t>
  </si>
  <si>
    <t>KRK-GMHUB-192</t>
  </si>
  <si>
    <t>GFXHUB:GCUTCL2:VML2 - Virtual FIFOs to maximize bank probes</t>
  </si>
  <si>
    <t>KRK-GMHUB-212</t>
  </si>
  <si>
    <t>GFXHUB:GCEA - Physical Addressing</t>
  </si>
  <si>
    <t>KRK-GMHUB-220</t>
  </si>
  <si>
    <t>GFXHUB:GCEA - Programmable security level on SDP per client</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</si>
  <si>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</si>
  <si>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</si>
  <si>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</si>
  <si>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</si>
  <si>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</si>
  <si>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</si>
  <si>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</si>
  <si>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</si>
  <si>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</si>
  <si>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</si>
  <si>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</si>
  <si>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</si>
  <si>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</si>
  <si>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</si>
  <si>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</si>
  <si>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</si>
  <si>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</si>
  <si>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</si>
  <si>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</si>
  <si>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</si>
  <si>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</si>
  <si>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</si>
  <si>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</si>
  <si>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</si>
  <si>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</si>
  <si>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</si>
  <si>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</si>
  <si>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</si>
  <si>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</si>
  <si>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</si>
  <si>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</si>
  <si>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</si>
  <si>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</si>
  <si>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</si>
  <si>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</si>
  <si>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</si>
  <si>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</si>
  <si>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</si>
  <si>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</si>
  <si>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</si>
  <si>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</si>
  <si>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</si>
  <si>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</si>
  <si>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</si>
  <si>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</si>
  <si>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</si>
  <si>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</si>
  <si>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</si>
  <si>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</si>
  <si>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</si>
  <si>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</si>
  <si>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</si>
  <si>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</si>
  <si>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</si>
  <si>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</si>
  <si>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</si>
  <si>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</si>
  <si>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</si>
  <si>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</si>
  <si>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</si>
  <si>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</si>
  <si>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</si>
  <si>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</si>
  <si>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</si>
  <si>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</si>
  <si>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</si>
  <si>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</si>
  <si>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</si>
  <si>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</si>
  <si>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</si>
  <si>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</si>
  <si>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</si>
  <si>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</si>
  <si>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</si>
  <si>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</si>
  <si>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</si>
  <si>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</si>
  <si>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</si>
  <si>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</si>
  <si>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</si>
  <si>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</si>
  <si>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</si>
  <si>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</si>
  <si>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</si>
  <si>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</si>
  <si>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</si>
  <si>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</si>
  <si>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</si>
  <si>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</si>
  <si>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</si>
  <si>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</si>
  <si>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</si>
  <si>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</si>
  <si>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</si>
  <si>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</si>
  <si>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</si>
  <si>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</si>
  <si>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</si>
  <si>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</si>
  <si>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</si>
  <si>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</si>
  <si>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</si>
  <si>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</si>
  <si>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</si>
  <si>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</si>
  <si>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</si>
  <si>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</si>
  <si>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</si>
  <si>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</si>
  <si>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</si>
  <si>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</si>
  <si>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</si>
  <si>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</si>
  <si>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</si>
  <si>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</si>
  <si>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</si>
  <si>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</si>
  <si>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</si>
  <si>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</si>
  <si>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</si>
  <si>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</si>
  <si>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</si>
  <si>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</si>
  <si>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</si>
  <si>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</si>
  <si>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</si>
  <si>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</si>
  <si>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</si>
  <si>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</si>
  <si>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</si>
  <si>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</si>
  <si>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</si>
  <si>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</si>
  <si>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</si>
  <si>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</si>
  <si>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</si>
  <si>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</si>
  <si>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</si>
  <si>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</si>
  <si>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</si>
  <si>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</si>
  <si>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</si>
  <si>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</si>
  <si>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</si>
  <si>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</si>
  <si>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</si>
  <si>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</si>
  <si>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</si>
  <si>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</si>
  <si>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</si>
  <si>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</si>
  <si>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</si>
  <si>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</si>
  <si>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</si>
  <si>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</si>
  <si>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</si>
  <si>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</si>
  <si>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</si>
  <si>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</si>
  <si>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</si>
  <si>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</si>
  <si>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</si>
  <si>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</si>
  <si>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</si>
  <si>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</si>
  <si>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</si>
  <si>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</si>
  <si>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</si>
  <si>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</si>
  <si>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</si>
  <si>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</si>
  <si>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</si>
  <si>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</si>
  <si>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</si>
  <si>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</si>
  <si>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</si>
  <si>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</si>
  <si>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</si>
  <si>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</si>
  <si>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</si>
  <si>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</si>
  <si>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</si>
  <si>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</si>
  <si>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</si>
  <si>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</si>
  <si>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</si>
  <si>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</si>
  <si>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</si>
  <si>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</si>
  <si>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</si>
  <si>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</si>
  <si>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</si>
  <si>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</si>
  <si>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</si>
  <si>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</si>
  <si>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</si>
  <si>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</si>
  <si>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</si>
  <si>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</si>
  <si>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</si>
  <si>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</si>
  <si>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</si>
  <si>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</si>
  <si>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</si>
  <si>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</si>
  <si>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</si>
  <si>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</si>
  <si>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</si>
  <si>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</si>
  <si>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</si>
  <si>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</si>
  <si>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</si>
  <si>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</si>
  <si>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</si>
  <si>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</si>
  <si>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</si>
  <si>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</si>
  <si>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</si>
  <si>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</si>
  <si>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</si>
  <si>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</si>
  <si>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</si>
  <si>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</si>
  <si>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</si>
  <si>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</si>
  <si>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</si>
  <si>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</si>
  <si>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</si>
  <si>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</si>
  <si>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</si>
  <si>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</si>
  <si>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</si>
  <si>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</si>
  <si>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</si>
  <si>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</si>
  <si>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</si>
  <si>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</si>
  <si>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</si>
  <si>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</si>
  <si>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</si>
  <si>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</si>
  <si>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</si>
  <si>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</si>
  <si>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</si>
  <si>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</si>
  <si>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</si>
  <si>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</si>
  <si>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</si>
  <si>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</si>
  <si>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</si>
  <si>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</si>
  <si>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</si>
  <si>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</si>
  <si>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</si>
  <si>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</si>
  <si>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</si>
  <si>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</si>
  <si>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</si>
  <si>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</si>
  <si>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</si>
  <si>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</si>
  <si>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</si>
  <si>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</si>
  <si>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</si>
  <si>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</si>
  <si>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</si>
  <si>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</si>
  <si>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</si>
  <si>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</si>
  <si>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</si>
  <si>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</si>
  <si>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</si>
  <si>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</si>
  <si>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</si>
  <si>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</si>
  <si>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</si>
  <si>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</si>
  <si>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</si>
  <si>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</si>
  <si>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</si>
  <si>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</si>
  <si>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</si>
  <si>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</si>
  <si>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</si>
  <si>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</si>
  <si>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</si>
  <si>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</si>
  <si>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</si>
  <si>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</si>
  <si>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</si>
  <si>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</si>
  <si>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</si>
  <si>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</si>
  <si>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</si>
  <si>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</si>
  <si>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</si>
  <si>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</si>
  <si>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</si>
  <si>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</si>
  <si>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</si>
  <si>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</si>
  <si>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</si>
  <si>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</si>
  <si>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</si>
  <si>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</si>
  <si>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</si>
  <si>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</si>
  <si>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</si>
  <si>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</si>
  <si>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</si>
  <si>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</si>
  <si>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</si>
  <si>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</si>
  <si>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</si>
  <si>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</si>
  <si>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</si>
  <si>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</si>
  <si>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</si>
  <si>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</si>
  <si>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</si>
  <si>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</si>
  <si>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</si>
  <si>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</si>
  <si>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</si>
  <si>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</si>
  <si>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</si>
  <si>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</si>
  <si>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</si>
  <si>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</si>
  <si>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</si>
  <si>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</si>
  <si>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</si>
  <si>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</si>
  <si>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</si>
  <si>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</si>
  <si>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</si>
  <si>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</si>
  <si>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</si>
  <si>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</si>
  <si>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</si>
  <si>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</si>
  <si>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</si>
  <si>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</si>
  <si>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</si>
  <si>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</si>
  <si>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</si>
  <si>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</si>
  <si>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</si>
  <si>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</si>
  <si>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</si>
  <si>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</si>
  <si>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</si>
  <si>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</si>
  <si>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</si>
  <si>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</si>
  <si>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</si>
  <si>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</si>
  <si>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</si>
  <si>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</si>
  <si>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</si>
  <si>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</si>
  <si>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</si>
  <si>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</si>
  <si>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</si>
  <si>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</si>
  <si>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</si>
  <si>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</si>
  <si>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</si>
  <si>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</si>
  <si>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</si>
  <si>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</si>
  <si>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</si>
  <si>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</si>
  <si>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</si>
  <si>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</si>
  <si>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</si>
  <si>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</si>
  <si>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</si>
  <si>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</si>
  <si>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</si>
  <si>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</si>
  <si>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</si>
  <si>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</si>
  <si>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</si>
  <si>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</si>
  <si>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</si>
  <si>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</si>
  <si>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</si>
  <si>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</si>
  <si>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</si>
  <si>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</si>
  <si>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</si>
  <si>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</si>
  <si>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</si>
  <si>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</si>
  <si>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</si>
  <si>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</si>
  <si>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</si>
  <si>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</si>
  <si>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</si>
  <si>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</si>
  <si>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</si>
  <si>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</si>
  <si>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</si>
  <si>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</si>
  <si>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</si>
  <si>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</si>
  <si>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</si>
  <si>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</si>
  <si>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</si>
  <si>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</si>
  <si>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</si>
  <si>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</si>
  <si>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</si>
  <si>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</si>
  <si>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</si>
  <si>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</si>
  <si>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</si>
  <si>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</si>
  <si>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</si>
  <si>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</si>
  <si>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</si>
  <si>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</si>
  <si>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</si>
  <si>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</si>
  <si>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</si>
  <si>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</si>
  <si>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</si>
  <si>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</si>
  <si>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</si>
  <si>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</si>
  <si>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</si>
  <si>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</si>
  <si>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</si>
  <si>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</si>
  <si>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</si>
  <si>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</si>
  <si>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</si>
  <si>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</si>
  <si>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</si>
  <si>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</si>
  <si>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</si>
  <si>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</si>
  <si>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</si>
  <si>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</si>
  <si>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</si>
  <si>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</si>
  <si>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</si>
  <si>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</si>
  <si>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</si>
  <si>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</si>
  <si>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</si>
  <si>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</si>
  <si>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</si>
  <si>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</si>
  <si>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</si>
  <si>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</si>
  <si>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</si>
  <si>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</si>
  <si>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</si>
  <si>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</si>
  <si>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</si>
  <si>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</si>
  <si>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</si>
  <si>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</si>
  <si>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</si>
  <si>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</si>
  <si>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</si>
  <si>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</si>
  <si>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</si>
  <si>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</si>
  <si>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</si>
  <si>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</si>
  <si>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</si>
  <si>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</si>
  <si>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</si>
  <si>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</si>
  <si>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</si>
  <si>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</si>
  <si>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</si>
  <si>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</si>
  <si>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</si>
  <si>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</si>
  <si>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</si>
  <si>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</si>
  <si>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</si>
  <si>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</si>
  <si>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</si>
  <si>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</si>
  <si>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</si>
  <si>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</si>
  <si>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</si>
  <si>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</si>
  <si>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</si>
  <si>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</si>
  <si>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</si>
  <si>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</si>
  <si>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</si>
  <si>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</si>
  <si>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</si>
  <si>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</si>
  <si>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</si>
  <si>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</si>
  <si>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</si>
  <si>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</si>
  <si>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</si>
  <si>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</si>
  <si>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</si>
  <si>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</si>
  <si>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</si>
  <si>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</si>
  <si>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</si>
  <si>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</si>
  <si>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</si>
  <si>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</si>
  <si>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</si>
  <si>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</si>
  <si>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</si>
  <si>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</si>
  <si>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</si>
  <si>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</si>
  <si>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</si>
  <si>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</si>
  <si>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</si>
  <si>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</si>
  <si>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</si>
  <si>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</si>
  <si>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</si>
  <si>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</si>
  <si>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</si>
  <si>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</si>
  <si>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</si>
  <si>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</si>
  <si>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</si>
  <si>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</si>
  <si>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</si>
  <si>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</si>
  <si>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</si>
  <si>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</si>
  <si>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</si>
  <si>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</si>
  <si>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</si>
  <si>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</si>
  <si>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</si>
  <si>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</si>
  <si>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</si>
  <si>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</si>
  <si>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</si>
  <si>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</si>
  <si>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</si>
  <si>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</si>
  <si>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</si>
  <si>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</si>
  <si>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</si>
  <si>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</si>
  <si>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</si>
  <si>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</si>
  <si>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</si>
  <si>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</si>
  <si>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</si>
  <si>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</si>
  <si>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</si>
  <si>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</si>
  <si>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</si>
  <si>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</si>
  <si>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</si>
  <si>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</si>
  <si>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</si>
  <si>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</si>
  <si>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</si>
  <si>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</si>
  <si>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</si>
  <si>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</si>
  <si>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</si>
  <si>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</si>
  <si>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</si>
  <si>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</si>
  <si>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</si>
  <si>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</si>
  <si>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</si>
  <si>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</si>
  <si>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</si>
  <si>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</si>
  <si>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</si>
  <si>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</si>
  <si>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</si>
  <si>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</si>
  <si>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</si>
  <si>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</si>
  <si>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</si>
  <si>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</si>
  <si>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</si>
  <si>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</si>
  <si>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</si>
  <si>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</si>
  <si>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</si>
  <si>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</si>
  <si>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</si>
  <si>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</si>
  <si>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</si>
  <si>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</si>
  <si>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</si>
  <si>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</si>
  <si>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</si>
  <si>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</si>
  <si>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</si>
  <si>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</si>
  <si>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</si>
  <si>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</si>
  <si>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</si>
  <si>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</si>
  <si>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</si>
  <si>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</si>
  <si>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</si>
  <si>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</si>
  <si>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</si>
  <si>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</si>
  <si>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</si>
  <si>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</si>
  <si>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</si>
  <si>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</si>
  <si>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</si>
  <si>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</si>
  <si>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</si>
  <si>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</si>
  <si>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</si>
  <si>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</si>
  <si>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</si>
  <si>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</si>
  <si>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</si>
  <si>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</si>
  <si>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</si>
  <si>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</si>
  <si>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</si>
  <si>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</si>
  <si>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</si>
  <si>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</si>
  <si>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</si>
  <si>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</si>
  <si>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</si>
  <si>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</si>
  <si>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</si>
  <si>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</si>
  <si>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</si>
  <si>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</si>
  <si>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</si>
  <si>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</si>
  <si>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</si>
  <si>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</si>
  <si>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</si>
  <si>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</si>
  <si>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</si>
  <si>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</si>
  <si>
    <t>Total Run.1</t>
  </si>
  <si>
    <t>Pass.1</t>
  </si>
  <si>
    <t>Waived.1</t>
  </si>
  <si>
    <t>Fail.1</t>
  </si>
  <si>
    <t>Skip.1</t>
  </si>
  <si>
    <t>% Pass Rate.1</t>
  </si>
  <si>
    <t/>
  </si>
  <si>
    <t>mhub014.1,mhub014.2</t>
  </si>
  <si>
    <t>mhub015.3,mhub015.4</t>
  </si>
  <si>
    <t>mhub026.2,mhub026.3</t>
  </si>
  <si>
    <t>mhub026.4,mhub026.5</t>
  </si>
  <si>
    <t>mhub026.6,mhub026.7</t>
  </si>
  <si>
    <t>mhub027.1,mhub027.2</t>
  </si>
  <si>
    <t>mhub028.1,mhub028.2</t>
  </si>
  <si>
    <t>mhub029.1,mhub029.2</t>
  </si>
  <si>
    <t>mhub033.101,mhub033.103,mhub033.106</t>
  </si>
  <si>
    <t>mhub035.1,mhub035.2,mhub035.3,mhub035.13,mhub035.14,mhub035.15</t>
  </si>
  <si>
    <t>mhub035.7,mhub035.8,mhub035.9,mhub035.19,mhub035.20,mhub035.21</t>
  </si>
  <si>
    <t>mhub035.4,mhub035.5,mhub035.6,mhub035.16,mhub035.17,mhub035.18</t>
  </si>
  <si>
    <t>mhub035.10,mhub035.11,mhub035.12,mhub035.22,mhub035.23,mhub035.24</t>
  </si>
  <si>
    <t>mhub040.11,mhub040.13</t>
  </si>
  <si>
    <t>mhub040.12,mhub040.14</t>
  </si>
  <si>
    <t>mhub054.3,mhub054.5-8</t>
  </si>
  <si>
    <t>mhub064.1,mhub064.3</t>
  </si>
  <si>
    <t>mhub064.2,mhub064.4</t>
  </si>
  <si>
    <t>mhub081.1,mhub081.2</t>
  </si>
  <si>
    <t>mhub086.1,mhub086.2</t>
  </si>
  <si>
    <t>mhub150.1-4,mhub150.10,mhub150.11,mhub150.12,mhub150.20,mhub150.21,mhub150.30-41</t>
  </si>
  <si>
    <t>mhub164.1-2,mhub164.4</t>
  </si>
  <si>
    <t>mhub214.1,mhub214.2</t>
  </si>
  <si>
    <t>mhub233.101,mhub233.103</t>
  </si>
  <si>
    <t>mhub254.1,mhub254.3,mhub254.5-8</t>
  </si>
  <si>
    <t>mhub255.1,mhub255.2</t>
  </si>
  <si>
    <t>mhub264.1,mhub264.3</t>
  </si>
  <si>
    <t>mhub264.2,mhub264.4</t>
  </si>
  <si>
    <t>mhub266.2,mhub266.4</t>
  </si>
  <si>
    <t>mhub281.1,mhub281.2</t>
  </si>
  <si>
    <t>mhub286.1,mhub286.2</t>
  </si>
  <si>
    <t>mhub344.1,mhub344.2</t>
  </si>
  <si>
    <t>mhub350.1-8,mhub350.10,mhub350.20,mhub350.30-37</t>
  </si>
  <si>
    <t>mhub354.1,mhub354.2</t>
  </si>
  <si>
    <t>mhub401.1-6,mhub401.11-16,mhub401.21-26</t>
  </si>
  <si>
    <t>mhub402.1-6,mhub402.11-16,mhub402.21-26</t>
  </si>
  <si>
    <t>mhub408.7,mhub408.8</t>
  </si>
  <si>
    <t>mhub408.57,mhub408.58</t>
  </si>
  <si>
    <t>mhub237.1,mhub237.3</t>
  </si>
  <si>
    <t>mhub415.1-5,mhub415.11-15,mhub415.21-25,mhub415.31-35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</si>
</sst>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b/>
      <u/>
      <sz val="11"/>
      <color theme="1"/>
      <name val="Calibri"/>
      <family val="2"/>
      <scheme val="minor"/>
    </font>
    <font>
      <sz val="9"/>
      <color rgb="FF000000"/>
      <name val="Segoe U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6" xfId="0" applyFill="1" applyBorder="1" applyAlignment="1">
      <alignment vertical="center"/>
    </xf>
    <xf numFmtId="0" fontId="0" fillId="52" borderId="13" xfId="0" applyFill="1" applyBorder="1" applyAlignment="1">
      <alignment vertical="center"/>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0" fillId="53" borderId="25" xfId="0" applyFill="1" applyBorder="1" applyAlignment="1">
      <alignment vertical="center" wrapText="1"/>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0" fontId="44" fillId="0" borderId="0" xfId="0" applyFont="1" applyAlignment="1" applyProtection="1">
      <alignment vertical="center"/>
      <protection locked="0"/>
    </xf>
    <xf numFmtId="0" fontId="45" fillId="0" borderId="0" xfId="0" applyFont="1"/>
    <xf numFmtId="0" fontId="16" fillId="0" borderId="10" xfId="0" applyFont="1" applyBorder="1"/>
    <xf numFmtId="0" fontId="0" fillId="52" borderId="10" xfId="0" applyFill="1" applyBorder="1" applyAlignment="1">
      <alignment vertical="center" wrapText="1"/>
    </xf>
    <xf numFmtId="0" fontId="46" fillId="0" borderId="0" xfId="0" applyFont="1"/>
    <xf numFmtId="0" fontId="44" fillId="52" borderId="10" xfId="0" applyFont="1" applyFill="1" applyBorder="1" applyAlignment="1">
      <alignment vertical="center" wrapText="1"/>
    </xf>
    <xf numFmtId="0" fontId="44" fillId="52" borderId="14" xfId="0" applyFont="1" applyFill="1" applyBorder="1" applyAlignment="1" applyProtection="1">
      <alignment horizontal="center" vertical="center"/>
      <protection locked="0"/>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531" t="s">
        <v>54</v>
      </c>
      <c r="C1" s="532"/>
      <c r="D1" s="532"/>
      <c r="E1" s="156" t="s">
        <v>55</v>
      </c>
      <c r="F1" s="156" t="s">
        <v>56</v>
      </c>
      <c r="G1" s="110" t="s">
        <v>57</v>
      </c>
    </row>
    <row r="2" spans="1:7" x14ac:dyDescent="0.25">
      <c r="A2" s="116" t="s">
        <v>58</v>
      </c>
      <c r="B2" s="533" t="s">
        <v>59</v>
      </c>
      <c r="C2" s="534"/>
      <c r="D2" s="534"/>
      <c r="E2" s="234" t="s">
        <v>60</v>
      </c>
      <c r="F2" s="234" t="s">
        <v>61</v>
      </c>
      <c r="G2" s="263" t="s">
        <v>62</v>
      </c>
    </row>
    <row r="3" spans="1:7" s="81" customFormat="1" x14ac:dyDescent="0.25">
      <c r="A3" s="184" t="s">
        <v>63</v>
      </c>
      <c r="B3" s="540" t="s">
        <v>64</v>
      </c>
      <c r="C3" s="541"/>
      <c r="D3" s="542"/>
      <c r="E3" s="80" t="s">
        <v>60</v>
      </c>
      <c r="F3" s="80" t="s">
        <v>61</v>
      </c>
      <c r="G3" s="264" t="s">
        <v>62</v>
      </c>
    </row>
    <row r="4" spans="1:7" x14ac:dyDescent="0.25">
      <c r="A4" s="184" t="s">
        <v>65</v>
      </c>
      <c r="B4" s="537" t="s">
        <v>66</v>
      </c>
      <c r="C4" s="538"/>
      <c r="D4" s="539"/>
      <c r="E4" s="80" t="s">
        <v>67</v>
      </c>
      <c r="F4" s="80" t="s">
        <v>61</v>
      </c>
      <c r="G4" s="264" t="s">
        <v>62</v>
      </c>
    </row>
    <row r="5" spans="1:7" x14ac:dyDescent="0.25">
      <c r="A5" s="117" t="s">
        <v>68</v>
      </c>
      <c r="B5" s="537" t="s">
        <v>69</v>
      </c>
      <c r="C5" s="538"/>
      <c r="D5" s="539"/>
      <c r="E5" s="80" t="s">
        <v>67</v>
      </c>
      <c r="F5" s="80" t="s">
        <v>61</v>
      </c>
      <c r="G5" s="264" t="s">
        <v>62</v>
      </c>
    </row>
    <row r="6" spans="1:7" x14ac:dyDescent="0.25">
      <c r="A6" s="117" t="s">
        <v>70</v>
      </c>
      <c r="B6" s="537" t="s">
        <v>71</v>
      </c>
      <c r="C6" s="538"/>
      <c r="D6" s="539"/>
      <c r="E6" s="80" t="s">
        <v>72</v>
      </c>
      <c r="F6" s="80" t="s">
        <v>61</v>
      </c>
      <c r="G6" s="85"/>
    </row>
    <row r="7" spans="1:7" ht="15.75" thickBot="1" x14ac:dyDescent="0.3">
      <c r="A7" s="118" t="s">
        <v>73</v>
      </c>
      <c r="B7" s="535" t="s">
        <v>74</v>
      </c>
      <c r="C7" s="536"/>
      <c r="D7" s="536"/>
      <c r="E7" s="86" t="s">
        <v>72</v>
      </c>
      <c r="F7" s="86"/>
      <c r="G7" s="87"/>
    </row>
    <row r="8" spans="1:7" s="84" customFormat="1" ht="15.75" thickBot="1" x14ac:dyDescent="0.3">
      <c r="A8" s="115" t="s">
        <v>53</v>
      </c>
      <c r="B8" s="332" t="s">
        <v>1</v>
      </c>
      <c r="C8" s="156" t="s">
        <v>75</v>
      </c>
      <c r="D8" s="156" t="s">
        <v>54</v>
      </c>
      <c r="E8" s="156" t="s">
        <v>55</v>
      </c>
      <c r="F8" s="156" t="s">
        <v>56</v>
      </c>
      <c r="G8" s="110" t="s">
        <v>57</v>
      </c>
    </row>
    <row r="9" spans="1:7" ht="105" x14ac:dyDescent="0.25">
      <c r="A9" s="508" t="s">
        <v>58</v>
      </c>
      <c r="B9" s="505" t="s">
        <v>76</v>
      </c>
      <c r="C9" s="270" t="s">
        <v>77</v>
      </c>
      <c r="D9" s="94" t="s">
        <v>78</v>
      </c>
      <c r="E9" s="94" t="s">
        <v>60</v>
      </c>
      <c r="F9" s="94" t="s">
        <v>79</v>
      </c>
      <c r="G9" s="333" t="s">
        <v>80</v>
      </c>
    </row>
    <row r="10" spans="1:7" ht="75" x14ac:dyDescent="0.25">
      <c r="A10" s="509"/>
      <c r="B10" s="506"/>
      <c r="C10" s="266" t="s">
        <v>81</v>
      </c>
      <c r="D10" s="82" t="s">
        <v>82</v>
      </c>
      <c r="E10" s="82" t="s">
        <v>60</v>
      </c>
      <c r="F10" s="82" t="s">
        <v>79</v>
      </c>
      <c r="G10" s="261" t="s">
        <v>83</v>
      </c>
    </row>
    <row r="11" spans="1:7" ht="45" x14ac:dyDescent="0.25">
      <c r="A11" s="509"/>
      <c r="B11" s="506"/>
      <c r="C11" s="266" t="s">
        <v>84</v>
      </c>
      <c r="D11" s="82" t="s">
        <v>85</v>
      </c>
      <c r="E11" s="82" t="s">
        <v>86</v>
      </c>
      <c r="F11" s="82" t="s">
        <v>79</v>
      </c>
      <c r="G11" s="95" t="s">
        <v>87</v>
      </c>
    </row>
    <row r="12" spans="1:7" ht="120" x14ac:dyDescent="0.25">
      <c r="A12" s="509"/>
      <c r="B12" s="506"/>
      <c r="C12" s="266" t="s">
        <v>88</v>
      </c>
      <c r="D12" s="277" t="s">
        <v>89</v>
      </c>
      <c r="E12" s="82" t="s">
        <v>86</v>
      </c>
      <c r="F12" s="82" t="s">
        <v>79</v>
      </c>
      <c r="G12" s="261" t="s">
        <v>90</v>
      </c>
    </row>
    <row r="13" spans="1:7" ht="30" x14ac:dyDescent="0.25">
      <c r="A13" s="509"/>
      <c r="B13" s="506"/>
      <c r="C13" s="266" t="s">
        <v>91</v>
      </c>
      <c r="D13" s="82" t="s">
        <v>92</v>
      </c>
      <c r="E13" s="82" t="s">
        <v>86</v>
      </c>
      <c r="F13" s="82" t="s">
        <v>79</v>
      </c>
      <c r="G13" s="95" t="s">
        <v>93</v>
      </c>
    </row>
    <row r="14" spans="1:7" ht="30" x14ac:dyDescent="0.25">
      <c r="A14" s="509"/>
      <c r="B14" s="506"/>
      <c r="C14" s="266" t="s">
        <v>94</v>
      </c>
      <c r="D14" s="82" t="s">
        <v>95</v>
      </c>
      <c r="E14" s="82" t="s">
        <v>86</v>
      </c>
      <c r="F14" s="82" t="s">
        <v>79</v>
      </c>
      <c r="G14" s="95" t="s">
        <v>93</v>
      </c>
    </row>
    <row r="15" spans="1:7" ht="30" x14ac:dyDescent="0.25">
      <c r="A15" s="509"/>
      <c r="B15" s="506"/>
      <c r="C15" s="121" t="s">
        <v>96</v>
      </c>
      <c r="D15" s="82" t="s">
        <v>97</v>
      </c>
      <c r="E15" s="82" t="s">
        <v>60</v>
      </c>
      <c r="F15" s="82" t="s">
        <v>79</v>
      </c>
      <c r="G15" s="95" t="s">
        <v>98</v>
      </c>
    </row>
    <row r="16" spans="1:7" ht="60" x14ac:dyDescent="0.25">
      <c r="A16" s="509"/>
      <c r="B16" s="506"/>
      <c r="C16" s="266" t="s">
        <v>99</v>
      </c>
      <c r="D16" s="277" t="s">
        <v>100</v>
      </c>
      <c r="E16" s="82" t="s">
        <v>86</v>
      </c>
      <c r="F16" s="82" t="s">
        <v>79</v>
      </c>
      <c r="G16" s="261" t="s">
        <v>101</v>
      </c>
    </row>
    <row r="17" spans="1:7" ht="30" x14ac:dyDescent="0.25">
      <c r="A17" s="509"/>
      <c r="B17" s="506"/>
      <c r="C17" s="266" t="s">
        <v>102</v>
      </c>
      <c r="D17" s="82" t="s">
        <v>103</v>
      </c>
      <c r="E17" s="82" t="s">
        <v>86</v>
      </c>
      <c r="F17" s="82" t="s">
        <v>79</v>
      </c>
      <c r="G17" s="95" t="s">
        <v>104</v>
      </c>
    </row>
    <row r="18" spans="1:7" ht="45" x14ac:dyDescent="0.25">
      <c r="A18" s="509"/>
      <c r="B18" s="506"/>
      <c r="C18" s="266" t="s">
        <v>105</v>
      </c>
      <c r="D18" s="82" t="s">
        <v>106</v>
      </c>
      <c r="E18" s="82" t="s">
        <v>86</v>
      </c>
      <c r="F18" s="82" t="s">
        <v>79</v>
      </c>
      <c r="G18" s="95" t="s">
        <v>107</v>
      </c>
    </row>
    <row r="19" spans="1:7" x14ac:dyDescent="0.25">
      <c r="A19" s="509"/>
      <c r="B19" s="506"/>
      <c r="C19" s="266" t="s">
        <v>108</v>
      </c>
      <c r="D19" s="82" t="s">
        <v>109</v>
      </c>
      <c r="E19" s="82" t="s">
        <v>86</v>
      </c>
      <c r="F19" s="82" t="s">
        <v>79</v>
      </c>
      <c r="G19" s="95" t="s">
        <v>110</v>
      </c>
    </row>
    <row r="20" spans="1:7" ht="105.75" thickBot="1" x14ac:dyDescent="0.3">
      <c r="A20" s="509"/>
      <c r="B20" s="507"/>
      <c r="C20" s="334" t="s">
        <v>1</v>
      </c>
      <c r="D20" s="493" t="s">
        <v>111</v>
      </c>
      <c r="E20" s="335" t="s">
        <v>86</v>
      </c>
      <c r="F20" s="335" t="s">
        <v>79</v>
      </c>
      <c r="G20" s="336" t="s">
        <v>112</v>
      </c>
    </row>
    <row r="21" spans="1:7" ht="45" x14ac:dyDescent="0.25">
      <c r="A21" s="509"/>
      <c r="B21" s="522" t="s">
        <v>113</v>
      </c>
      <c r="C21" s="267" t="s">
        <v>114</v>
      </c>
      <c r="D21" s="105" t="s">
        <v>115</v>
      </c>
      <c r="E21" s="105" t="s">
        <v>86</v>
      </c>
      <c r="F21" s="105" t="s">
        <v>116</v>
      </c>
      <c r="G21" s="157" t="s">
        <v>117</v>
      </c>
    </row>
    <row r="22" spans="1:7" ht="30" x14ac:dyDescent="0.25">
      <c r="A22" s="509"/>
      <c r="B22" s="523"/>
      <c r="C22" s="268" t="s">
        <v>118</v>
      </c>
      <c r="D22" s="340" t="s">
        <v>119</v>
      </c>
      <c r="E22" s="340" t="s">
        <v>86</v>
      </c>
      <c r="F22" s="340" t="s">
        <v>116</v>
      </c>
      <c r="G22" s="341" t="s">
        <v>120</v>
      </c>
    </row>
    <row r="23" spans="1:7" ht="15.75" thickBot="1" x14ac:dyDescent="0.3">
      <c r="A23" s="509"/>
      <c r="B23" s="524"/>
      <c r="C23" s="342" t="s">
        <v>121</v>
      </c>
      <c r="D23" s="107" t="s">
        <v>122</v>
      </c>
      <c r="E23" s="107" t="s">
        <v>86</v>
      </c>
      <c r="F23" s="107" t="s">
        <v>116</v>
      </c>
      <c r="G23" s="108" t="s">
        <v>123</v>
      </c>
    </row>
    <row r="24" spans="1:7" ht="30" customHeight="1" x14ac:dyDescent="0.25">
      <c r="A24" s="509"/>
      <c r="B24" s="525" t="s">
        <v>124</v>
      </c>
      <c r="C24" s="337" t="s">
        <v>125</v>
      </c>
      <c r="D24" s="338" t="s">
        <v>126</v>
      </c>
      <c r="E24" s="338" t="s">
        <v>86</v>
      </c>
      <c r="F24" s="338" t="s">
        <v>79</v>
      </c>
      <c r="G24" s="339" t="s">
        <v>127</v>
      </c>
    </row>
    <row r="25" spans="1:7" ht="30" customHeight="1" x14ac:dyDescent="0.25">
      <c r="A25" s="509"/>
      <c r="B25" s="526"/>
      <c r="C25" s="268" t="s">
        <v>128</v>
      </c>
      <c r="D25" s="109" t="s">
        <v>129</v>
      </c>
      <c r="E25" s="109" t="s">
        <v>86</v>
      </c>
      <c r="F25" s="109" t="s">
        <v>130</v>
      </c>
      <c r="G25" s="543" t="s">
        <v>131</v>
      </c>
    </row>
    <row r="26" spans="1:7" ht="30" x14ac:dyDescent="0.25">
      <c r="A26" s="509"/>
      <c r="B26" s="526"/>
      <c r="C26" s="215" t="s">
        <v>132</v>
      </c>
      <c r="D26" s="109" t="s">
        <v>133</v>
      </c>
      <c r="E26" s="109" t="s">
        <v>86</v>
      </c>
      <c r="F26" s="109" t="s">
        <v>130</v>
      </c>
      <c r="G26" s="544"/>
    </row>
    <row r="27" spans="1:7" x14ac:dyDescent="0.25">
      <c r="A27" s="509"/>
      <c r="B27" s="526"/>
      <c r="C27" s="268" t="s">
        <v>30</v>
      </c>
      <c r="D27" s="109" t="s">
        <v>134</v>
      </c>
      <c r="E27" s="109" t="s">
        <v>86</v>
      </c>
      <c r="F27" s="109" t="s">
        <v>130</v>
      </c>
      <c r="G27" s="544"/>
    </row>
    <row r="28" spans="1:7" x14ac:dyDescent="0.25">
      <c r="A28" s="509"/>
      <c r="B28" s="526"/>
      <c r="C28" s="268" t="s">
        <v>135</v>
      </c>
      <c r="D28" s="109" t="s">
        <v>136</v>
      </c>
      <c r="E28" s="109" t="s">
        <v>86</v>
      </c>
      <c r="F28" s="109" t="s">
        <v>130</v>
      </c>
      <c r="G28" s="544"/>
    </row>
    <row r="29" spans="1:7" x14ac:dyDescent="0.25">
      <c r="A29" s="509"/>
      <c r="B29" s="526"/>
      <c r="C29" s="268" t="s">
        <v>35</v>
      </c>
      <c r="D29" s="109" t="s">
        <v>137</v>
      </c>
      <c r="E29" s="109" t="s">
        <v>86</v>
      </c>
      <c r="F29" s="109" t="s">
        <v>130</v>
      </c>
      <c r="G29" s="544"/>
    </row>
    <row r="30" spans="1:7" x14ac:dyDescent="0.25">
      <c r="A30" s="509"/>
      <c r="B30" s="526"/>
      <c r="C30" s="268" t="s">
        <v>138</v>
      </c>
      <c r="D30" s="109" t="s">
        <v>139</v>
      </c>
      <c r="E30" s="109" t="s">
        <v>86</v>
      </c>
      <c r="F30" s="109" t="s">
        <v>130</v>
      </c>
      <c r="G30" s="544"/>
    </row>
    <row r="31" spans="1:7" x14ac:dyDescent="0.25">
      <c r="A31" s="509"/>
      <c r="B31" s="526"/>
      <c r="C31" s="215" t="s">
        <v>140</v>
      </c>
      <c r="D31" s="109" t="s">
        <v>141</v>
      </c>
      <c r="E31" s="109" t="s">
        <v>86</v>
      </c>
      <c r="F31" s="109" t="s">
        <v>130</v>
      </c>
      <c r="G31" s="544"/>
    </row>
    <row r="32" spans="1:7" ht="30.75" thickBot="1" x14ac:dyDescent="0.3">
      <c r="A32" s="509"/>
      <c r="B32" s="527"/>
      <c r="C32" s="269" t="s">
        <v>142</v>
      </c>
      <c r="D32" s="104" t="s">
        <v>143</v>
      </c>
      <c r="E32" s="104" t="s">
        <v>86</v>
      </c>
      <c r="F32" s="104" t="s">
        <v>130</v>
      </c>
      <c r="G32" s="545"/>
    </row>
    <row r="33" spans="1:7" ht="30" x14ac:dyDescent="0.25">
      <c r="A33" s="509"/>
      <c r="B33" s="528" t="s">
        <v>144</v>
      </c>
      <c r="C33" s="250" t="s">
        <v>132</v>
      </c>
      <c r="D33" s="213" t="s">
        <v>145</v>
      </c>
      <c r="E33" s="213" t="s">
        <v>86</v>
      </c>
      <c r="F33" s="213" t="s">
        <v>146</v>
      </c>
      <c r="G33" s="214" t="s">
        <v>147</v>
      </c>
    </row>
    <row r="34" spans="1:7" x14ac:dyDescent="0.25">
      <c r="A34" s="509"/>
      <c r="B34" s="529"/>
      <c r="C34" s="266" t="s">
        <v>30</v>
      </c>
      <c r="D34" s="83" t="s">
        <v>148</v>
      </c>
      <c r="E34" s="83" t="s">
        <v>86</v>
      </c>
      <c r="F34" s="83" t="s">
        <v>146</v>
      </c>
      <c r="G34" s="99"/>
    </row>
    <row r="35" spans="1:7" x14ac:dyDescent="0.25">
      <c r="A35" s="509"/>
      <c r="B35" s="529"/>
      <c r="C35" s="266" t="s">
        <v>135</v>
      </c>
      <c r="D35" s="83" t="s">
        <v>149</v>
      </c>
      <c r="E35" s="83" t="s">
        <v>86</v>
      </c>
      <c r="F35" s="83" t="s">
        <v>146</v>
      </c>
      <c r="G35" s="99" t="s">
        <v>150</v>
      </c>
    </row>
    <row r="36" spans="1:7" x14ac:dyDescent="0.25">
      <c r="A36" s="509"/>
      <c r="B36" s="529"/>
      <c r="C36" s="266" t="s">
        <v>35</v>
      </c>
      <c r="D36" s="83" t="s">
        <v>151</v>
      </c>
      <c r="E36" s="83" t="s">
        <v>86</v>
      </c>
      <c r="F36" s="83" t="s">
        <v>146</v>
      </c>
      <c r="G36" s="113"/>
    </row>
    <row r="37" spans="1:7" x14ac:dyDescent="0.25">
      <c r="A37" s="509"/>
      <c r="B37" s="529"/>
      <c r="C37" s="266" t="s">
        <v>138</v>
      </c>
      <c r="D37" s="83" t="s">
        <v>152</v>
      </c>
      <c r="E37" s="83" t="s">
        <v>86</v>
      </c>
      <c r="F37" s="83" t="s">
        <v>146</v>
      </c>
      <c r="G37" s="99" t="s">
        <v>153</v>
      </c>
    </row>
    <row r="38" spans="1:7" x14ac:dyDescent="0.25">
      <c r="A38" s="509"/>
      <c r="B38" s="529"/>
      <c r="C38" s="216" t="s">
        <v>140</v>
      </c>
      <c r="D38" s="83" t="s">
        <v>154</v>
      </c>
      <c r="E38" s="83" t="s">
        <v>86</v>
      </c>
      <c r="F38" s="83" t="s">
        <v>146</v>
      </c>
      <c r="G38" s="99"/>
    </row>
    <row r="39" spans="1:7" ht="30" x14ac:dyDescent="0.25">
      <c r="A39" s="509"/>
      <c r="B39" s="529"/>
      <c r="C39" s="268" t="s">
        <v>155</v>
      </c>
      <c r="D39" s="83" t="s">
        <v>156</v>
      </c>
      <c r="E39" s="83" t="s">
        <v>86</v>
      </c>
      <c r="F39" s="83" t="s">
        <v>146</v>
      </c>
      <c r="G39" s="99"/>
    </row>
    <row r="40" spans="1:7" ht="30" x14ac:dyDescent="0.25">
      <c r="A40" s="509"/>
      <c r="B40" s="529"/>
      <c r="C40" s="216" t="s">
        <v>157</v>
      </c>
      <c r="D40" s="83" t="s">
        <v>158</v>
      </c>
      <c r="E40" s="83" t="s">
        <v>60</v>
      </c>
      <c r="F40" s="83" t="s">
        <v>146</v>
      </c>
      <c r="G40" s="99" t="s">
        <v>159</v>
      </c>
    </row>
    <row r="41" spans="1:7" ht="45.75" thickBot="1" x14ac:dyDescent="0.3">
      <c r="A41" s="509"/>
      <c r="B41" s="530"/>
      <c r="C41" s="265" t="s">
        <v>160</v>
      </c>
      <c r="D41" s="100" t="s">
        <v>161</v>
      </c>
      <c r="E41" s="100" t="s">
        <v>86</v>
      </c>
      <c r="F41" s="100" t="s">
        <v>146</v>
      </c>
      <c r="G41" s="101" t="s">
        <v>162</v>
      </c>
    </row>
    <row r="42" spans="1:7" ht="135.75" thickBot="1" x14ac:dyDescent="0.3">
      <c r="A42" s="508" t="s">
        <v>63</v>
      </c>
      <c r="B42" s="343" t="s">
        <v>163</v>
      </c>
      <c r="C42" s="270" t="s">
        <v>88</v>
      </c>
      <c r="D42" s="344" t="s">
        <v>164</v>
      </c>
      <c r="E42" s="344" t="s">
        <v>86</v>
      </c>
      <c r="F42" s="344" t="s">
        <v>79</v>
      </c>
      <c r="G42" s="345" t="s">
        <v>165</v>
      </c>
    </row>
    <row r="43" spans="1:7" ht="15" customHeight="1" x14ac:dyDescent="0.25">
      <c r="A43" s="509"/>
      <c r="B43" s="513" t="s">
        <v>166</v>
      </c>
      <c r="C43" s="247" t="s">
        <v>167</v>
      </c>
      <c r="D43" s="235" t="s">
        <v>168</v>
      </c>
      <c r="E43" s="235" t="s">
        <v>67</v>
      </c>
      <c r="F43" s="235" t="s">
        <v>79</v>
      </c>
      <c r="G43" s="218" t="s">
        <v>169</v>
      </c>
    </row>
    <row r="44" spans="1:7" ht="30" x14ac:dyDescent="0.25">
      <c r="A44" s="509"/>
      <c r="B44" s="514"/>
      <c r="C44" s="248" t="s">
        <v>128</v>
      </c>
      <c r="D44" s="236" t="s">
        <v>170</v>
      </c>
      <c r="E44" s="236" t="s">
        <v>67</v>
      </c>
      <c r="F44" s="236" t="s">
        <v>79</v>
      </c>
      <c r="G44" s="219" t="s">
        <v>169</v>
      </c>
    </row>
    <row r="45" spans="1:7" ht="30" x14ac:dyDescent="0.25">
      <c r="A45" s="509"/>
      <c r="B45" s="514"/>
      <c r="C45" s="248" t="s">
        <v>105</v>
      </c>
      <c r="D45" s="236" t="s">
        <v>171</v>
      </c>
      <c r="E45" s="236" t="s">
        <v>67</v>
      </c>
      <c r="F45" s="236" t="s">
        <v>79</v>
      </c>
      <c r="G45" s="219" t="s">
        <v>172</v>
      </c>
    </row>
    <row r="46" spans="1:7" x14ac:dyDescent="0.25">
      <c r="A46" s="509"/>
      <c r="B46" s="514"/>
      <c r="C46" s="248" t="s">
        <v>173</v>
      </c>
      <c r="D46" s="236" t="s">
        <v>174</v>
      </c>
      <c r="E46" s="236" t="s">
        <v>67</v>
      </c>
      <c r="F46" s="236" t="s">
        <v>79</v>
      </c>
      <c r="G46" s="219" t="s">
        <v>169</v>
      </c>
    </row>
    <row r="47" spans="1:7" ht="15.75" thickBot="1" x14ac:dyDescent="0.3">
      <c r="A47" s="509"/>
      <c r="B47" s="515"/>
      <c r="C47" s="249" t="s">
        <v>175</v>
      </c>
      <c r="D47" s="237" t="s">
        <v>176</v>
      </c>
      <c r="E47" s="236" t="s">
        <v>67</v>
      </c>
      <c r="F47" s="237" t="s">
        <v>79</v>
      </c>
      <c r="G47" s="220" t="s">
        <v>169</v>
      </c>
    </row>
    <row r="48" spans="1:7" ht="30" x14ac:dyDescent="0.25">
      <c r="A48" s="509"/>
      <c r="B48" s="516" t="s">
        <v>177</v>
      </c>
      <c r="C48" s="244" t="s">
        <v>132</v>
      </c>
      <c r="D48" s="238" t="s">
        <v>178</v>
      </c>
      <c r="E48" s="238" t="s">
        <v>67</v>
      </c>
      <c r="F48" s="238" t="s">
        <v>130</v>
      </c>
      <c r="G48" s="546" t="s">
        <v>179</v>
      </c>
    </row>
    <row r="49" spans="1:7" ht="30" x14ac:dyDescent="0.25">
      <c r="A49" s="509"/>
      <c r="B49" s="516"/>
      <c r="C49" s="245" t="s">
        <v>30</v>
      </c>
      <c r="D49" s="221" t="s">
        <v>180</v>
      </c>
      <c r="E49" s="221" t="s">
        <v>67</v>
      </c>
      <c r="F49" s="221" t="s">
        <v>130</v>
      </c>
      <c r="G49" s="547"/>
    </row>
    <row r="50" spans="1:7" ht="30" x14ac:dyDescent="0.25">
      <c r="A50" s="509"/>
      <c r="B50" s="516"/>
      <c r="C50" s="245" t="s">
        <v>135</v>
      </c>
      <c r="D50" s="221" t="s">
        <v>181</v>
      </c>
      <c r="E50" s="221" t="s">
        <v>67</v>
      </c>
      <c r="F50" s="221" t="s">
        <v>130</v>
      </c>
      <c r="G50" s="547"/>
    </row>
    <row r="51" spans="1:7" ht="30" x14ac:dyDescent="0.25">
      <c r="A51" s="509"/>
      <c r="B51" s="516"/>
      <c r="C51" s="245" t="s">
        <v>35</v>
      </c>
      <c r="D51" s="221" t="s">
        <v>182</v>
      </c>
      <c r="E51" s="221" t="s">
        <v>67</v>
      </c>
      <c r="F51" s="221" t="s">
        <v>130</v>
      </c>
      <c r="G51" s="547"/>
    </row>
    <row r="52" spans="1:7" ht="30" x14ac:dyDescent="0.25">
      <c r="A52" s="509"/>
      <c r="B52" s="516"/>
      <c r="C52" s="245" t="s">
        <v>138</v>
      </c>
      <c r="D52" s="221" t="s">
        <v>183</v>
      </c>
      <c r="E52" s="221" t="s">
        <v>67</v>
      </c>
      <c r="F52" s="221" t="s">
        <v>130</v>
      </c>
      <c r="G52" s="547"/>
    </row>
    <row r="53" spans="1:7" ht="30" x14ac:dyDescent="0.25">
      <c r="A53" s="509"/>
      <c r="B53" s="516"/>
      <c r="C53" s="245" t="s">
        <v>184</v>
      </c>
      <c r="D53" s="221" t="s">
        <v>185</v>
      </c>
      <c r="E53" s="221" t="s">
        <v>67</v>
      </c>
      <c r="F53" s="221" t="s">
        <v>130</v>
      </c>
      <c r="G53" s="547"/>
    </row>
    <row r="54" spans="1:7" x14ac:dyDescent="0.25">
      <c r="A54" s="509"/>
      <c r="B54" s="516"/>
      <c r="C54" s="245" t="s">
        <v>140</v>
      </c>
      <c r="D54" s="221" t="s">
        <v>186</v>
      </c>
      <c r="E54" s="221" t="s">
        <v>67</v>
      </c>
      <c r="F54" s="221" t="s">
        <v>130</v>
      </c>
      <c r="G54" s="547"/>
    </row>
    <row r="55" spans="1:7" ht="30.75" thickBot="1" x14ac:dyDescent="0.3">
      <c r="A55" s="509"/>
      <c r="B55" s="517"/>
      <c r="C55" s="246" t="s">
        <v>187</v>
      </c>
      <c r="D55" s="239" t="s">
        <v>188</v>
      </c>
      <c r="E55" s="239" t="s">
        <v>67</v>
      </c>
      <c r="F55" s="239" t="s">
        <v>130</v>
      </c>
      <c r="G55" s="548"/>
    </row>
    <row r="56" spans="1:7" ht="30" x14ac:dyDescent="0.25">
      <c r="A56" s="509"/>
      <c r="B56" s="518" t="s">
        <v>144</v>
      </c>
      <c r="C56" s="329" t="s">
        <v>132</v>
      </c>
      <c r="D56" s="330" t="s">
        <v>189</v>
      </c>
      <c r="E56" s="330" t="s">
        <v>67</v>
      </c>
      <c r="F56" s="330" t="s">
        <v>146</v>
      </c>
      <c r="G56" s="331" t="s">
        <v>169</v>
      </c>
    </row>
    <row r="57" spans="1:7" ht="30" x14ac:dyDescent="0.25">
      <c r="A57" s="509"/>
      <c r="B57" s="519"/>
      <c r="C57" s="242" t="s">
        <v>30</v>
      </c>
      <c r="D57" s="240" t="s">
        <v>190</v>
      </c>
      <c r="E57" s="240" t="s">
        <v>67</v>
      </c>
      <c r="F57" s="240" t="s">
        <v>146</v>
      </c>
      <c r="G57" s="217" t="s">
        <v>169</v>
      </c>
    </row>
    <row r="58" spans="1:7" ht="30" x14ac:dyDescent="0.25">
      <c r="A58" s="509"/>
      <c r="B58" s="519"/>
      <c r="C58" s="242" t="s">
        <v>135</v>
      </c>
      <c r="D58" s="240" t="s">
        <v>191</v>
      </c>
      <c r="E58" s="240" t="s">
        <v>67</v>
      </c>
      <c r="F58" s="240" t="s">
        <v>146</v>
      </c>
      <c r="G58" s="217" t="s">
        <v>169</v>
      </c>
    </row>
    <row r="59" spans="1:7" x14ac:dyDescent="0.25">
      <c r="A59" s="509"/>
      <c r="B59" s="519"/>
      <c r="C59" s="242" t="s">
        <v>35</v>
      </c>
      <c r="D59" s="240" t="s">
        <v>192</v>
      </c>
      <c r="E59" s="240" t="s">
        <v>67</v>
      </c>
      <c r="F59" s="240" t="s">
        <v>146</v>
      </c>
      <c r="G59" s="217" t="s">
        <v>169</v>
      </c>
    </row>
    <row r="60" spans="1:7" ht="30" x14ac:dyDescent="0.25">
      <c r="A60" s="509"/>
      <c r="B60" s="519"/>
      <c r="C60" s="242" t="s">
        <v>138</v>
      </c>
      <c r="D60" s="240" t="s">
        <v>193</v>
      </c>
      <c r="E60" s="240" t="s">
        <v>67</v>
      </c>
      <c r="F60" s="240" t="s">
        <v>146</v>
      </c>
      <c r="G60" s="217" t="s">
        <v>169</v>
      </c>
    </row>
    <row r="61" spans="1:7" x14ac:dyDescent="0.25">
      <c r="A61" s="509"/>
      <c r="B61" s="519"/>
      <c r="C61" s="242" t="s">
        <v>184</v>
      </c>
      <c r="D61" s="240" t="s">
        <v>194</v>
      </c>
      <c r="E61" s="240" t="s">
        <v>67</v>
      </c>
      <c r="F61" s="240" t="s">
        <v>146</v>
      </c>
      <c r="G61" s="217" t="s">
        <v>169</v>
      </c>
    </row>
    <row r="62" spans="1:7" x14ac:dyDescent="0.25">
      <c r="A62" s="509"/>
      <c r="B62" s="519"/>
      <c r="C62" s="242" t="s">
        <v>140</v>
      </c>
      <c r="D62" s="240" t="s">
        <v>195</v>
      </c>
      <c r="E62" s="240" t="s">
        <v>67</v>
      </c>
      <c r="F62" s="240" t="s">
        <v>146</v>
      </c>
      <c r="G62" s="217" t="s">
        <v>169</v>
      </c>
    </row>
    <row r="63" spans="1:7" ht="15.75" thickBot="1" x14ac:dyDescent="0.3">
      <c r="A63" s="521"/>
      <c r="B63" s="520"/>
      <c r="C63" s="243" t="s">
        <v>187</v>
      </c>
      <c r="D63" s="241" t="s">
        <v>196</v>
      </c>
      <c r="E63" s="241" t="s">
        <v>67</v>
      </c>
      <c r="F63" s="241" t="s">
        <v>146</v>
      </c>
      <c r="G63" s="222" t="s">
        <v>169</v>
      </c>
    </row>
    <row r="64" spans="1:7" ht="120" x14ac:dyDescent="0.25">
      <c r="A64" s="509" t="s">
        <v>65</v>
      </c>
      <c r="B64" s="510" t="s">
        <v>197</v>
      </c>
      <c r="C64" s="267" t="s">
        <v>77</v>
      </c>
      <c r="D64" s="224" t="s">
        <v>198</v>
      </c>
      <c r="E64" s="224" t="s">
        <v>60</v>
      </c>
      <c r="F64" s="224" t="s">
        <v>79</v>
      </c>
      <c r="G64" s="346" t="s">
        <v>199</v>
      </c>
    </row>
    <row r="65" spans="1:7" ht="60" x14ac:dyDescent="0.25">
      <c r="A65" s="509"/>
      <c r="B65" s="511"/>
      <c r="C65" s="268" t="s">
        <v>81</v>
      </c>
      <c r="D65" s="225" t="s">
        <v>82</v>
      </c>
      <c r="E65" s="225" t="s">
        <v>60</v>
      </c>
      <c r="F65" s="225" t="s">
        <v>79</v>
      </c>
      <c r="G65" s="348" t="s">
        <v>200</v>
      </c>
    </row>
    <row r="66" spans="1:7" ht="30" x14ac:dyDescent="0.25">
      <c r="A66" s="509"/>
      <c r="B66" s="511"/>
      <c r="C66" s="268" t="s">
        <v>96</v>
      </c>
      <c r="D66" s="225" t="s">
        <v>97</v>
      </c>
      <c r="E66" s="225" t="s">
        <v>60</v>
      </c>
      <c r="F66" s="225" t="s">
        <v>79</v>
      </c>
      <c r="G66" s="226" t="s">
        <v>201</v>
      </c>
    </row>
    <row r="67" spans="1:7" ht="30" x14ac:dyDescent="0.25">
      <c r="A67" s="509"/>
      <c r="B67" s="511"/>
      <c r="C67" s="268" t="s">
        <v>202</v>
      </c>
      <c r="D67" s="225" t="s">
        <v>203</v>
      </c>
      <c r="E67" s="225" t="s">
        <v>60</v>
      </c>
      <c r="F67" s="225" t="s">
        <v>79</v>
      </c>
      <c r="G67" s="226" t="s">
        <v>204</v>
      </c>
    </row>
    <row r="68" spans="1:7" x14ac:dyDescent="0.25">
      <c r="A68" s="509"/>
      <c r="B68" s="511"/>
      <c r="C68" s="268" t="s">
        <v>1</v>
      </c>
      <c r="D68" s="225" t="s">
        <v>205</v>
      </c>
      <c r="E68" s="225" t="s">
        <v>60</v>
      </c>
      <c r="F68" s="225" t="s">
        <v>79</v>
      </c>
      <c r="G68" s="226" t="s">
        <v>206</v>
      </c>
    </row>
    <row r="69" spans="1:7" ht="15.75" thickBot="1" x14ac:dyDescent="0.3">
      <c r="A69" s="509"/>
      <c r="B69" s="512"/>
      <c r="C69" s="269" t="s">
        <v>207</v>
      </c>
      <c r="D69" s="227" t="s">
        <v>208</v>
      </c>
      <c r="E69" s="227" t="s">
        <v>60</v>
      </c>
      <c r="F69" s="227" t="s">
        <v>79</v>
      </c>
      <c r="G69" s="228"/>
    </row>
    <row r="70" spans="1:7" ht="150" x14ac:dyDescent="0.25">
      <c r="A70" s="508" t="s">
        <v>68</v>
      </c>
      <c r="B70" s="505" t="s">
        <v>76</v>
      </c>
      <c r="C70" s="273" t="s">
        <v>77</v>
      </c>
      <c r="D70" s="223" t="s">
        <v>209</v>
      </c>
      <c r="E70" s="223" t="s">
        <v>60</v>
      </c>
      <c r="F70" s="223" t="s">
        <v>79</v>
      </c>
      <c r="G70" s="347" t="s">
        <v>210</v>
      </c>
    </row>
    <row r="71" spans="1:7" x14ac:dyDescent="0.25">
      <c r="A71" s="509"/>
      <c r="B71" s="506"/>
      <c r="C71" s="121" t="s">
        <v>81</v>
      </c>
      <c r="D71" s="82" t="s">
        <v>82</v>
      </c>
      <c r="E71" s="82" t="s">
        <v>60</v>
      </c>
      <c r="F71" s="82" t="s">
        <v>79</v>
      </c>
      <c r="G71" s="95" t="s">
        <v>169</v>
      </c>
    </row>
    <row r="72" spans="1:7" ht="30" x14ac:dyDescent="0.25">
      <c r="A72" s="509"/>
      <c r="B72" s="506"/>
      <c r="C72" s="121" t="s">
        <v>96</v>
      </c>
      <c r="D72" s="82" t="s">
        <v>97</v>
      </c>
      <c r="E72" s="82" t="s">
        <v>60</v>
      </c>
      <c r="F72" s="82" t="s">
        <v>79</v>
      </c>
      <c r="G72" s="95" t="s">
        <v>211</v>
      </c>
    </row>
    <row r="73" spans="1:7" x14ac:dyDescent="0.25">
      <c r="A73" s="509"/>
      <c r="B73" s="506"/>
      <c r="C73" s="121" t="s">
        <v>212</v>
      </c>
      <c r="D73" s="82" t="s">
        <v>213</v>
      </c>
      <c r="E73" s="82" t="s">
        <v>86</v>
      </c>
      <c r="F73" s="82" t="s">
        <v>79</v>
      </c>
      <c r="G73" s="95" t="s">
        <v>169</v>
      </c>
    </row>
    <row r="74" spans="1:7" ht="60" customHeight="1" x14ac:dyDescent="0.25">
      <c r="A74" s="509"/>
      <c r="B74" s="506"/>
      <c r="C74" s="121" t="s">
        <v>88</v>
      </c>
      <c r="D74" s="82" t="s">
        <v>214</v>
      </c>
      <c r="E74" s="82" t="s">
        <v>86</v>
      </c>
      <c r="F74" s="82" t="s">
        <v>79</v>
      </c>
      <c r="G74" s="95" t="s">
        <v>169</v>
      </c>
    </row>
    <row r="75" spans="1:7" x14ac:dyDescent="0.25">
      <c r="A75" s="509"/>
      <c r="B75" s="506"/>
      <c r="C75" s="121" t="s">
        <v>1</v>
      </c>
      <c r="D75" s="82" t="s">
        <v>205</v>
      </c>
      <c r="E75" s="82" t="s">
        <v>86</v>
      </c>
      <c r="F75" s="82" t="s">
        <v>79</v>
      </c>
      <c r="G75" s="95" t="s">
        <v>169</v>
      </c>
    </row>
    <row r="76" spans="1:7" ht="90" x14ac:dyDescent="0.25">
      <c r="A76" s="509"/>
      <c r="B76" s="506"/>
      <c r="C76" s="121" t="s">
        <v>215</v>
      </c>
      <c r="D76" s="82" t="s">
        <v>216</v>
      </c>
      <c r="E76" s="82" t="s">
        <v>60</v>
      </c>
      <c r="F76" s="82" t="s">
        <v>79</v>
      </c>
      <c r="G76" s="261" t="s">
        <v>217</v>
      </c>
    </row>
    <row r="77" spans="1:7" ht="90" x14ac:dyDescent="0.25">
      <c r="A77" s="509"/>
      <c r="B77" s="506"/>
      <c r="C77" s="121" t="s">
        <v>218</v>
      </c>
      <c r="D77" s="82" t="s">
        <v>219</v>
      </c>
      <c r="E77" s="82" t="s">
        <v>60</v>
      </c>
      <c r="F77" s="82" t="s">
        <v>79</v>
      </c>
      <c r="G77" s="261" t="s">
        <v>220</v>
      </c>
    </row>
    <row r="78" spans="1:7" ht="30" x14ac:dyDescent="0.25">
      <c r="A78" s="509"/>
      <c r="B78" s="506"/>
      <c r="C78" s="121" t="s">
        <v>105</v>
      </c>
      <c r="D78" s="82" t="s">
        <v>171</v>
      </c>
      <c r="E78" s="82" t="s">
        <v>86</v>
      </c>
      <c r="F78" s="82" t="s">
        <v>79</v>
      </c>
      <c r="G78" s="95" t="s">
        <v>172</v>
      </c>
    </row>
    <row r="79" spans="1:7" ht="30.75" thickBot="1" x14ac:dyDescent="0.3">
      <c r="A79" s="509"/>
      <c r="B79" s="507"/>
      <c r="C79" s="122" t="s">
        <v>221</v>
      </c>
      <c r="D79" s="96" t="s">
        <v>222</v>
      </c>
      <c r="E79" s="96" t="s">
        <v>60</v>
      </c>
      <c r="F79" s="96" t="s">
        <v>79</v>
      </c>
      <c r="G79" s="97" t="s">
        <v>223</v>
      </c>
    </row>
    <row r="80" spans="1:7" ht="30" x14ac:dyDescent="0.25">
      <c r="A80" s="509"/>
      <c r="B80" s="549" t="s">
        <v>113</v>
      </c>
      <c r="C80" s="123" t="s">
        <v>114</v>
      </c>
      <c r="D80" s="105" t="s">
        <v>224</v>
      </c>
      <c r="E80" s="105" t="s">
        <v>60</v>
      </c>
      <c r="F80" s="105" t="s">
        <v>225</v>
      </c>
      <c r="G80" s="106" t="s">
        <v>223</v>
      </c>
    </row>
    <row r="81" spans="1:7" ht="30.75" thickBot="1" x14ac:dyDescent="0.3">
      <c r="A81" s="509"/>
      <c r="B81" s="550"/>
      <c r="C81" s="124" t="s">
        <v>121</v>
      </c>
      <c r="D81" s="107" t="s">
        <v>226</v>
      </c>
      <c r="E81" s="107" t="s">
        <v>60</v>
      </c>
      <c r="F81" s="107" t="s">
        <v>225</v>
      </c>
      <c r="G81" s="108" t="s">
        <v>223</v>
      </c>
    </row>
    <row r="82" spans="1:7" ht="30" x14ac:dyDescent="0.25">
      <c r="A82" s="509"/>
      <c r="B82" s="551" t="s">
        <v>124</v>
      </c>
      <c r="C82" s="125" t="s">
        <v>227</v>
      </c>
      <c r="D82" s="102" t="s">
        <v>228</v>
      </c>
      <c r="E82" s="102" t="s">
        <v>60</v>
      </c>
      <c r="F82" s="102" t="s">
        <v>79</v>
      </c>
      <c r="G82" s="103" t="s">
        <v>223</v>
      </c>
    </row>
    <row r="83" spans="1:7" ht="30" x14ac:dyDescent="0.25">
      <c r="A83" s="509"/>
      <c r="B83" s="552"/>
      <c r="C83" s="127" t="s">
        <v>229</v>
      </c>
      <c r="D83" s="109" t="s">
        <v>230</v>
      </c>
      <c r="E83" s="109" t="s">
        <v>60</v>
      </c>
      <c r="F83" s="109" t="s">
        <v>225</v>
      </c>
      <c r="G83" s="114" t="s">
        <v>223</v>
      </c>
    </row>
    <row r="84" spans="1:7" ht="30.75" thickBot="1" x14ac:dyDescent="0.3">
      <c r="A84" s="509"/>
      <c r="B84" s="553"/>
      <c r="C84" s="128" t="s">
        <v>187</v>
      </c>
      <c r="D84" s="119" t="s">
        <v>231</v>
      </c>
      <c r="E84" s="119" t="s">
        <v>60</v>
      </c>
      <c r="F84" s="119" t="s">
        <v>225</v>
      </c>
      <c r="G84" s="120" t="s">
        <v>223</v>
      </c>
    </row>
    <row r="85" spans="1:7" ht="30" x14ac:dyDescent="0.25">
      <c r="A85" s="509"/>
      <c r="B85" s="554" t="s">
        <v>144</v>
      </c>
      <c r="C85" s="126" t="s">
        <v>232</v>
      </c>
      <c r="D85" s="111" t="s">
        <v>233</v>
      </c>
      <c r="E85" s="111" t="s">
        <v>60</v>
      </c>
      <c r="F85" s="111" t="s">
        <v>225</v>
      </c>
      <c r="G85" s="112" t="s">
        <v>223</v>
      </c>
    </row>
    <row r="86" spans="1:7" ht="30" x14ac:dyDescent="0.25">
      <c r="A86" s="509"/>
      <c r="B86" s="555"/>
      <c r="C86" s="98" t="s">
        <v>229</v>
      </c>
      <c r="D86" s="83" t="s">
        <v>234</v>
      </c>
      <c r="E86" s="83" t="s">
        <v>60</v>
      </c>
      <c r="F86" s="83" t="s">
        <v>225</v>
      </c>
      <c r="G86" s="99" t="s">
        <v>223</v>
      </c>
    </row>
    <row r="87" spans="1:7" ht="30" x14ac:dyDescent="0.25">
      <c r="A87" s="509"/>
      <c r="B87" s="555"/>
      <c r="C87" s="98" t="s">
        <v>184</v>
      </c>
      <c r="D87" s="83" t="s">
        <v>235</v>
      </c>
      <c r="E87" s="83" t="s">
        <v>60</v>
      </c>
      <c r="F87" s="83" t="s">
        <v>225</v>
      </c>
      <c r="G87" s="99" t="s">
        <v>223</v>
      </c>
    </row>
    <row r="88" spans="1:7" ht="30" x14ac:dyDescent="0.25">
      <c r="A88" s="509"/>
      <c r="B88" s="555"/>
      <c r="C88" s="98" t="s">
        <v>140</v>
      </c>
      <c r="D88" s="83" t="s">
        <v>236</v>
      </c>
      <c r="E88" s="83" t="s">
        <v>60</v>
      </c>
      <c r="F88" s="83" t="s">
        <v>225</v>
      </c>
      <c r="G88" s="99" t="s">
        <v>223</v>
      </c>
    </row>
    <row r="89" spans="1:7" ht="45" customHeight="1" x14ac:dyDescent="0.25">
      <c r="A89" s="509"/>
      <c r="B89" s="555"/>
      <c r="C89" s="98" t="s">
        <v>187</v>
      </c>
      <c r="D89" s="83" t="s">
        <v>237</v>
      </c>
      <c r="E89" s="83" t="s">
        <v>60</v>
      </c>
      <c r="F89" s="83" t="s">
        <v>225</v>
      </c>
      <c r="G89" s="99" t="s">
        <v>223</v>
      </c>
    </row>
    <row r="90" spans="1:7" ht="30.75" thickBot="1" x14ac:dyDescent="0.3">
      <c r="A90" s="521"/>
      <c r="B90" s="556"/>
      <c r="C90" s="26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3" t="s">
        <v>0</v>
      </c>
      <c r="B1" s="318" t="s">
        <v>240</v>
      </c>
      <c r="C1" s="314" t="s">
        <v>241</v>
      </c>
    </row>
    <row r="2" spans="1:3" x14ac:dyDescent="0.25">
      <c r="A2" s="315">
        <v>43807</v>
      </c>
      <c r="B2" s="319" t="s">
        <v>242</v>
      </c>
      <c r="C2" s="323" t="s">
        <v>11</v>
      </c>
    </row>
    <row r="3" spans="1:3" ht="30" x14ac:dyDescent="0.25">
      <c r="A3" s="316">
        <v>43937</v>
      </c>
      <c r="B3" s="320" t="s">
        <v>243</v>
      </c>
      <c r="C3" s="272" t="s">
        <v>11</v>
      </c>
    </row>
    <row r="4" spans="1:3" x14ac:dyDescent="0.25">
      <c r="A4" s="316">
        <v>43941</v>
      </c>
      <c r="B4" s="321" t="s">
        <v>244</v>
      </c>
      <c r="C4" s="272" t="s">
        <v>11</v>
      </c>
    </row>
    <row r="5" spans="1:3" x14ac:dyDescent="0.25">
      <c r="A5" s="316">
        <v>43942</v>
      </c>
      <c r="B5" s="321" t="s">
        <v>245</v>
      </c>
      <c r="C5" s="272" t="s">
        <v>11</v>
      </c>
    </row>
    <row r="6" spans="1:3" x14ac:dyDescent="0.25">
      <c r="A6" s="316">
        <v>43963</v>
      </c>
      <c r="B6" s="321" t="s">
        <v>246</v>
      </c>
      <c r="C6" s="272" t="s">
        <v>11</v>
      </c>
    </row>
    <row r="7" spans="1:3" x14ac:dyDescent="0.25">
      <c r="A7" s="316">
        <v>43990</v>
      </c>
      <c r="B7" s="321" t="s">
        <v>247</v>
      </c>
      <c r="C7" s="272" t="s">
        <v>11</v>
      </c>
    </row>
    <row r="8" spans="1:3" ht="30" x14ac:dyDescent="0.25">
      <c r="A8" s="316">
        <v>44104</v>
      </c>
      <c r="B8" s="320" t="s">
        <v>248</v>
      </c>
      <c r="C8" s="272" t="s">
        <v>249</v>
      </c>
    </row>
    <row r="9" spans="1:3" ht="150.75" thickBot="1" x14ac:dyDescent="0.3">
      <c r="A9" s="317">
        <v>44128</v>
      </c>
      <c r="B9" s="322" t="s">
        <v>250</v>
      </c>
      <c r="C9" s="324"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41"/>
  <sheetViews>
    <sheetView tabSelected="1" topLeftCell="I1" zoomScale="99" zoomScaleNormal="70" workbookViewId="0">
      <pane ySplit="5" topLeftCell="A6" activePane="bottomLeft" state="frozen"/>
      <selection pane="bottomLeft" activeCell="A721" sqref="A721:XFD1084"/>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564" t="s">
        <v>251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22.15" customHeight="1" x14ac:dyDescent="0.25">
      <c r="A2" s="567" t="s">
        <v>252</v>
      </c>
      <c r="B2" s="568"/>
      <c r="C2" s="568"/>
      <c r="D2" s="568"/>
      <c r="E2" s="568"/>
      <c r="F2" s="568"/>
      <c r="G2" s="568"/>
      <c r="H2" s="568"/>
      <c r="I2" s="568"/>
      <c r="J2" s="569"/>
      <c r="K2" s="302">
        <f>SUM(K6:K722)</f>
        <v>931</v>
      </c>
      <c r="L2" s="302">
        <f>SUM(L6:L722)</f>
        <v>1691</v>
      </c>
      <c r="M2" s="303"/>
      <c r="N2" s="349">
        <f>SUMPRODUCT(K6:K722,N6:N722)/K725</f>
        <v>1</v>
      </c>
      <c r="O2" s="350">
        <f>SUM(O6:O722)</f>
        <v>919.5</v>
      </c>
      <c r="P2" s="351">
        <f>SUMPRODUCT(K6:K722,P6:P722)/K725</f>
        <v>0.86680988184747587</v>
      </c>
      <c r="Q2" s="304"/>
      <c r="R2" s="305">
        <f>SUM(R6:R722)</f>
        <v>1687</v>
      </c>
      <c r="S2" s="352">
        <f>SUM(S6:S722)</f>
        <v>1687</v>
      </c>
      <c r="T2" s="352">
        <f>SUM(T6:T722)</f>
        <v>1638</v>
      </c>
      <c r="U2" s="352">
        <f>SUM(U6:U722)</f>
        <v>49</v>
      </c>
      <c r="V2" s="352">
        <f>SUM(V6:V722)</f>
        <v>0</v>
      </c>
      <c r="W2" s="352">
        <f>SUM(W6:W722)</f>
        <v>0</v>
      </c>
      <c r="X2" s="353">
        <f>IF((S725=0),0,((T725+U725)/S725*100%))</f>
        <v>1</v>
      </c>
      <c r="Y2" s="306"/>
      <c r="Z2" s="354">
        <f>SUM(Z6:Z722)</f>
        <v>0</v>
      </c>
      <c r="AA2" s="355">
        <f>SUM(AA6:AA722)</f>
        <v>0</v>
      </c>
      <c r="AB2" s="355">
        <f>SUM(AB6:AB722)</f>
        <v>0</v>
      </c>
      <c r="AC2" s="355">
        <f>SUM(AC6:AC722)</f>
        <v>0</v>
      </c>
      <c r="AD2" s="355">
        <f>SUM(AD6:AD722)</f>
        <v>0</v>
      </c>
      <c r="AE2" s="356">
        <f>IF((Z725=0),0,((AA725+AB725)/Z725*100%))</f>
        <v>0</v>
      </c>
      <c r="AF2" s="307"/>
      <c r="AG2" s="307"/>
      <c r="AH2" s="308"/>
    </row>
    <row r="3" spans="1:34" ht="33" customHeight="1" thickBot="1" x14ac:dyDescent="0.3">
      <c r="A3" s="564" t="s">
        <v>253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thickBot="1" x14ac:dyDescent="0.3">
      <c r="A4" s="570" t="s">
        <v>76</v>
      </c>
      <c r="B4" s="571"/>
      <c r="C4" s="571"/>
      <c r="D4" s="571"/>
      <c r="E4" s="571"/>
      <c r="F4" s="571"/>
      <c r="G4" s="571"/>
      <c r="H4" s="571"/>
      <c r="I4" s="571"/>
      <c r="J4" s="571"/>
      <c r="K4" s="571"/>
      <c r="L4" s="571"/>
      <c r="M4" s="572"/>
      <c r="N4" s="573" t="s">
        <v>254</v>
      </c>
      <c r="O4" s="574"/>
      <c r="P4" s="575"/>
      <c r="Q4" s="579" t="s">
        <v>255</v>
      </c>
      <c r="R4" s="580"/>
      <c r="S4" s="580"/>
      <c r="T4" s="580"/>
      <c r="U4" s="580"/>
      <c r="V4" s="580"/>
      <c r="W4" s="580"/>
      <c r="X4" s="580"/>
      <c r="Y4" s="581"/>
      <c r="Z4" s="576" t="s">
        <v>256</v>
      </c>
      <c r="AA4" s="577"/>
      <c r="AB4" s="577"/>
      <c r="AC4" s="577"/>
      <c r="AD4" s="577"/>
      <c r="AE4" s="577"/>
      <c r="AF4" s="577"/>
      <c r="AG4" s="577"/>
      <c r="AH4" s="578"/>
    </row>
    <row r="5" spans="1:34" s="160" customFormat="1" ht="16.5" customHeight="1" x14ac:dyDescent="0.25">
      <c r="A5" s="665" t="s">
        <v>77</v>
      </c>
      <c r="B5" s="665" t="s">
        <v>81</v>
      </c>
      <c r="C5" s="665" t="s">
        <v>84</v>
      </c>
      <c r="D5" s="665" t="s">
        <v>88</v>
      </c>
      <c r="E5" s="665" t="s">
        <v>91</v>
      </c>
      <c r="F5" s="665" t="s">
        <v>94</v>
      </c>
      <c r="G5" s="665" t="s">
        <v>96</v>
      </c>
      <c r="H5" s="665" t="s">
        <v>99</v>
      </c>
      <c r="I5" s="665" t="s">
        <v>257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35</v>
      </c>
      <c r="W5" s="665" t="s">
        <v>138</v>
      </c>
      <c r="X5" s="665" t="s">
        <v>140</v>
      </c>
      <c r="Y5" s="665" t="s">
        <v>142</v>
      </c>
      <c r="Z5" s="665" t="s">
        <v>1788</v>
      </c>
      <c r="AA5" s="665" t="s">
        <v>1789</v>
      </c>
      <c r="AB5" s="665" t="s">
        <v>1790</v>
      </c>
      <c r="AC5" s="665" t="s">
        <v>1791</v>
      </c>
      <c r="AD5" s="665" t="s">
        <v>1792</v>
      </c>
      <c r="AE5" s="665" t="s">
        <v>1793</v>
      </c>
      <c r="AF5" s="665" t="s">
        <v>155</v>
      </c>
      <c r="AG5" s="665" t="s">
        <v>157</v>
      </c>
      <c r="AH5" s="665" t="s">
        <v>160</v>
      </c>
    </row>
    <row r="6" spans="1:34" x14ac:dyDescent="0.25">
      <c r="A6" t="s">
        <v>1143</v>
      </c>
      <c r="B6" t="s">
        <v>1144</v>
      </c>
      <c r="C6" t="s">
        <v>258</v>
      </c>
      <c r="D6" t="s">
        <v>259</v>
      </c>
      <c r="E6" t="s">
        <v>1794</v>
      </c>
      <c r="F6" t="s">
        <v>260</v>
      </c>
      <c r="G6" t="s">
        <v>1124</v>
      </c>
      <c r="H6" t="s">
        <v>261</v>
      </c>
      <c r="I6" t="s">
        <v>262</v>
      </c>
      <c r="J6" t="s">
        <v>263</v>
      </c>
      <c r="K6">
        <v>1</v>
      </c>
      <c r="L6">
        <v>1</v>
      </c>
      <c r="M6" t="s">
        <v>33</v>
      </c>
      <c r="N6">
        <v>1</v>
      </c>
      <c r="O6">
        <v>1</v>
      </c>
      <c r="P6">
        <v>1</v>
      </c>
      <c r="Q6" t="s">
        <v>52</v>
      </c>
      <c r="R6">
        <v>1</v>
      </c>
      <c r="S6">
        <v>1</v>
      </c>
      <c r="T6">
        <v>1</v>
      </c>
      <c r="U6" t="s">
        <v>1794</v>
      </c>
      <c r="V6" t="s">
        <v>1794</v>
      </c>
      <c r="W6" t="s">
        <v>1794</v>
      </c>
      <c r="X6">
        <v>1</v>
      </c>
      <c r="Y6" t="s">
        <v>1794</v>
      </c>
      <c r="Z6">
        <v>0</v>
      </c>
      <c r="AA6" t="s">
        <v>1794</v>
      </c>
      <c r="AB6" t="s">
        <v>1794</v>
      </c>
      <c r="AC6" t="s">
        <v>1794</v>
      </c>
      <c r="AD6" t="s">
        <v>1794</v>
      </c>
      <c r="AE6">
        <v>0</v>
      </c>
      <c r="AF6" t="s">
        <v>1794</v>
      </c>
      <c r="AG6" t="s">
        <v>1794</v>
      </c>
      <c r="AH6" t="s">
        <v>1794</v>
      </c>
    </row>
    <row r="7" spans="1:34" x14ac:dyDescent="0.25">
      <c r="A7" t="s">
        <v>1147</v>
      </c>
      <c r="B7" t="s">
        <v>1148</v>
      </c>
      <c r="C7" t="s">
        <v>258</v>
      </c>
      <c r="D7" t="s">
        <v>259</v>
      </c>
      <c r="E7" t="s">
        <v>1794</v>
      </c>
      <c r="F7" t="s">
        <v>260</v>
      </c>
      <c r="G7" t="s">
        <v>1124</v>
      </c>
      <c r="H7" t="s">
        <v>261</v>
      </c>
      <c r="I7" t="s">
        <v>262</v>
      </c>
      <c r="J7" t="s">
        <v>263</v>
      </c>
      <c r="K7">
        <v>1</v>
      </c>
      <c r="L7">
        <v>1</v>
      </c>
      <c r="M7" t="s">
        <v>33</v>
      </c>
      <c r="N7">
        <v>1</v>
      </c>
      <c r="O7">
        <v>1</v>
      </c>
      <c r="P7">
        <v>1</v>
      </c>
      <c r="Q7" t="s">
        <v>52</v>
      </c>
      <c r="R7">
        <v>1</v>
      </c>
      <c r="S7">
        <v>1</v>
      </c>
      <c r="T7">
        <v>1</v>
      </c>
      <c r="U7" t="s">
        <v>1794</v>
      </c>
      <c r="V7" t="s">
        <v>1794</v>
      </c>
      <c r="W7" t="s">
        <v>1794</v>
      </c>
      <c r="X7">
        <v>1</v>
      </c>
      <c r="Y7" t="s">
        <v>1794</v>
      </c>
      <c r="Z7">
        <v>0</v>
      </c>
      <c r="AA7" t="s">
        <v>1794</v>
      </c>
      <c r="AB7" t="s">
        <v>1794</v>
      </c>
      <c r="AC7" t="s">
        <v>1794</v>
      </c>
      <c r="AD7" t="s">
        <v>1794</v>
      </c>
      <c r="AE7">
        <v>0</v>
      </c>
      <c r="AF7" t="s">
        <v>1794</v>
      </c>
      <c r="AG7" t="s">
        <v>1794</v>
      </c>
      <c r="AH7" t="s">
        <v>1794</v>
      </c>
    </row>
    <row r="8" spans="1:34" x14ac:dyDescent="0.25">
      <c r="A8" t="s">
        <v>1150</v>
      </c>
      <c r="B8" t="s">
        <v>646</v>
      </c>
      <c r="C8" t="s">
        <v>258</v>
      </c>
      <c r="D8" t="s">
        <v>259</v>
      </c>
      <c r="E8" t="s">
        <v>1794</v>
      </c>
      <c r="F8" t="s">
        <v>260</v>
      </c>
      <c r="G8" t="s">
        <v>619</v>
      </c>
      <c r="H8" t="s">
        <v>261</v>
      </c>
      <c r="I8" t="s">
        <v>262</v>
      </c>
      <c r="J8" t="s">
        <v>263</v>
      </c>
      <c r="K8">
        <v>1</v>
      </c>
      <c r="L8">
        <v>1</v>
      </c>
      <c r="M8" t="s">
        <v>33</v>
      </c>
      <c r="N8">
        <v>1</v>
      </c>
      <c r="O8">
        <v>1</v>
      </c>
      <c r="P8">
        <v>1</v>
      </c>
      <c r="Q8" t="s">
        <v>52</v>
      </c>
      <c r="R8">
        <v>1</v>
      </c>
      <c r="S8">
        <v>1</v>
      </c>
      <c r="T8">
        <v>1</v>
      </c>
      <c r="U8" t="s">
        <v>1794</v>
      </c>
      <c r="V8" t="s">
        <v>1794</v>
      </c>
      <c r="W8" t="s">
        <v>1794</v>
      </c>
      <c r="X8">
        <v>1</v>
      </c>
      <c r="Y8" t="s">
        <v>1794</v>
      </c>
      <c r="Z8">
        <v>0</v>
      </c>
      <c r="AA8" t="s">
        <v>1794</v>
      </c>
      <c r="AB8" t="s">
        <v>1794</v>
      </c>
      <c r="AC8" t="s">
        <v>1794</v>
      </c>
      <c r="AD8" t="s">
        <v>1794</v>
      </c>
      <c r="AE8">
        <v>0</v>
      </c>
      <c r="AF8" t="s">
        <v>1794</v>
      </c>
      <c r="AG8" t="s">
        <v>1794</v>
      </c>
      <c r="AH8" t="s">
        <v>1794</v>
      </c>
    </row>
    <row r="9" spans="1:34" x14ac:dyDescent="0.25">
      <c r="A9" t="s">
        <v>1234</v>
      </c>
      <c r="B9" t="s">
        <v>1098</v>
      </c>
      <c r="C9" t="s">
        <v>258</v>
      </c>
      <c r="D9" t="s">
        <v>259</v>
      </c>
      <c r="E9" t="s">
        <v>1794</v>
      </c>
      <c r="F9" t="s">
        <v>260</v>
      </c>
      <c r="G9" t="s">
        <v>1124</v>
      </c>
      <c r="H9" t="s">
        <v>261</v>
      </c>
      <c r="I9" t="s">
        <v>262</v>
      </c>
      <c r="J9" t="s">
        <v>263</v>
      </c>
      <c r="K9">
        <v>1</v>
      </c>
      <c r="L9">
        <v>1</v>
      </c>
      <c r="M9" t="s">
        <v>33</v>
      </c>
      <c r="N9">
        <v>1</v>
      </c>
      <c r="O9">
        <v>1</v>
      </c>
      <c r="P9">
        <v>1</v>
      </c>
      <c r="Q9" t="s">
        <v>52</v>
      </c>
      <c r="R9">
        <v>1</v>
      </c>
      <c r="S9">
        <v>1</v>
      </c>
      <c r="T9">
        <v>1</v>
      </c>
      <c r="U9" t="s">
        <v>1794</v>
      </c>
      <c r="V9" t="s">
        <v>1794</v>
      </c>
      <c r="W9" t="s">
        <v>1794</v>
      </c>
      <c r="X9">
        <v>1</v>
      </c>
      <c r="Y9" t="s">
        <v>1794</v>
      </c>
      <c r="Z9">
        <v>0</v>
      </c>
      <c r="AA9" t="s">
        <v>1794</v>
      </c>
      <c r="AB9" t="s">
        <v>1794</v>
      </c>
      <c r="AC9" t="s">
        <v>1794</v>
      </c>
      <c r="AD9" t="s">
        <v>1794</v>
      </c>
      <c r="AE9">
        <v>0</v>
      </c>
      <c r="AF9" t="s">
        <v>1794</v>
      </c>
      <c r="AG9" t="s">
        <v>1794</v>
      </c>
      <c r="AH9" t="s">
        <v>1794</v>
      </c>
    </row>
    <row r="10" spans="1:34" x14ac:dyDescent="0.25">
      <c r="A10" t="s">
        <v>1569</v>
      </c>
      <c r="B10" t="s">
        <v>1570</v>
      </c>
      <c r="C10" t="s">
        <v>258</v>
      </c>
      <c r="D10" t="s">
        <v>259</v>
      </c>
      <c r="E10" t="s">
        <v>1794</v>
      </c>
      <c r="F10" t="s">
        <v>260</v>
      </c>
      <c r="G10" t="s">
        <v>1124</v>
      </c>
      <c r="H10" t="s">
        <v>261</v>
      </c>
      <c r="I10" t="s">
        <v>262</v>
      </c>
      <c r="J10" t="s">
        <v>263</v>
      </c>
      <c r="K10">
        <v>1</v>
      </c>
      <c r="L10">
        <v>1</v>
      </c>
      <c r="M10" t="s">
        <v>33</v>
      </c>
      <c r="N10">
        <v>1</v>
      </c>
      <c r="O10">
        <v>1</v>
      </c>
      <c r="P10">
        <v>1</v>
      </c>
      <c r="Q10" t="s">
        <v>52</v>
      </c>
      <c r="R10">
        <v>1</v>
      </c>
      <c r="S10">
        <v>1</v>
      </c>
      <c r="T10">
        <v>1</v>
      </c>
      <c r="U10" t="s">
        <v>1794</v>
      </c>
      <c r="V10" t="s">
        <v>1794</v>
      </c>
      <c r="W10" t="s">
        <v>1794</v>
      </c>
      <c r="X10">
        <v>1</v>
      </c>
      <c r="Y10" t="s">
        <v>1794</v>
      </c>
      <c r="Z10">
        <v>0</v>
      </c>
      <c r="AA10" t="s">
        <v>1794</v>
      </c>
      <c r="AB10" t="s">
        <v>1794</v>
      </c>
      <c r="AC10" t="s">
        <v>1794</v>
      </c>
      <c r="AD10" t="s">
        <v>1794</v>
      </c>
      <c r="AE10">
        <v>0</v>
      </c>
      <c r="AF10" t="s">
        <v>1794</v>
      </c>
      <c r="AG10" t="s">
        <v>1794</v>
      </c>
      <c r="AH10" t="s">
        <v>1794</v>
      </c>
    </row>
    <row r="11" spans="1:34" x14ac:dyDescent="0.25">
      <c r="A11" t="s">
        <v>1143</v>
      </c>
      <c r="B11" t="s">
        <v>1144</v>
      </c>
      <c r="C11" t="s">
        <v>258</v>
      </c>
      <c r="D11" t="s">
        <v>259</v>
      </c>
      <c r="E11" t="s">
        <v>1794</v>
      </c>
      <c r="F11" t="s">
        <v>264</v>
      </c>
      <c r="G11" t="s">
        <v>1124</v>
      </c>
      <c r="H11" t="s">
        <v>265</v>
      </c>
      <c r="I11" t="s">
        <v>262</v>
      </c>
      <c r="J11" t="s">
        <v>263</v>
      </c>
      <c r="K11">
        <v>1</v>
      </c>
      <c r="L11">
        <v>1</v>
      </c>
      <c r="M11" t="s">
        <v>33</v>
      </c>
      <c r="N11">
        <v>1</v>
      </c>
      <c r="O11">
        <v>1</v>
      </c>
      <c r="P11">
        <v>1</v>
      </c>
      <c r="Q11" t="s">
        <v>52</v>
      </c>
      <c r="R11">
        <v>1</v>
      </c>
      <c r="S11">
        <v>1</v>
      </c>
      <c r="T11">
        <v>1</v>
      </c>
      <c r="U11" t="s">
        <v>1794</v>
      </c>
      <c r="V11" t="s">
        <v>1794</v>
      </c>
      <c r="W11" t="s">
        <v>1794</v>
      </c>
      <c r="X11">
        <v>1</v>
      </c>
      <c r="Y11" t="s">
        <v>1794</v>
      </c>
      <c r="Z11">
        <v>0</v>
      </c>
      <c r="AA11" t="s">
        <v>1794</v>
      </c>
      <c r="AB11" t="s">
        <v>1794</v>
      </c>
      <c r="AC11" t="s">
        <v>1794</v>
      </c>
      <c r="AD11" t="s">
        <v>1794</v>
      </c>
      <c r="AE11">
        <v>0</v>
      </c>
      <c r="AF11" t="s">
        <v>1794</v>
      </c>
      <c r="AG11" t="s">
        <v>1794</v>
      </c>
      <c r="AH11" t="s">
        <v>1794</v>
      </c>
    </row>
    <row r="12" spans="1:34" x14ac:dyDescent="0.25">
      <c r="A12" t="s">
        <v>1147</v>
      </c>
      <c r="B12" t="s">
        <v>1148</v>
      </c>
      <c r="C12" t="s">
        <v>258</v>
      </c>
      <c r="D12" t="s">
        <v>259</v>
      </c>
      <c r="E12" t="s">
        <v>1794</v>
      </c>
      <c r="F12" t="s">
        <v>264</v>
      </c>
      <c r="G12" t="s">
        <v>1124</v>
      </c>
      <c r="H12" t="s">
        <v>265</v>
      </c>
      <c r="I12" t="s">
        <v>262</v>
      </c>
      <c r="J12" t="s">
        <v>263</v>
      </c>
      <c r="K12">
        <v>1</v>
      </c>
      <c r="L12">
        <v>1</v>
      </c>
      <c r="M12" t="s">
        <v>33</v>
      </c>
      <c r="N12">
        <v>1</v>
      </c>
      <c r="O12">
        <v>1</v>
      </c>
      <c r="P12">
        <v>1</v>
      </c>
      <c r="Q12" t="s">
        <v>52</v>
      </c>
      <c r="R12">
        <v>1</v>
      </c>
      <c r="S12">
        <v>1</v>
      </c>
      <c r="T12">
        <v>1</v>
      </c>
      <c r="U12" t="s">
        <v>1794</v>
      </c>
      <c r="V12" t="s">
        <v>1794</v>
      </c>
      <c r="W12" t="s">
        <v>1794</v>
      </c>
      <c r="X12">
        <v>1</v>
      </c>
      <c r="Y12" t="s">
        <v>1794</v>
      </c>
      <c r="Z12">
        <v>0</v>
      </c>
      <c r="AA12" t="s">
        <v>1794</v>
      </c>
      <c r="AB12" t="s">
        <v>1794</v>
      </c>
      <c r="AC12" t="s">
        <v>1794</v>
      </c>
      <c r="AD12" t="s">
        <v>1794</v>
      </c>
      <c r="AE12">
        <v>0</v>
      </c>
      <c r="AF12" t="s">
        <v>1794</v>
      </c>
      <c r="AG12" t="s">
        <v>1794</v>
      </c>
      <c r="AH12" t="s">
        <v>1794</v>
      </c>
    </row>
    <row r="13" spans="1:34" x14ac:dyDescent="0.25">
      <c r="A13" t="s">
        <v>1150</v>
      </c>
      <c r="B13" t="s">
        <v>646</v>
      </c>
      <c r="C13" t="s">
        <v>258</v>
      </c>
      <c r="D13" t="s">
        <v>259</v>
      </c>
      <c r="E13" t="s">
        <v>1794</v>
      </c>
      <c r="F13" t="s">
        <v>264</v>
      </c>
      <c r="G13" t="s">
        <v>619</v>
      </c>
      <c r="H13" t="s">
        <v>265</v>
      </c>
      <c r="I13" t="s">
        <v>262</v>
      </c>
      <c r="J13" t="s">
        <v>263</v>
      </c>
      <c r="K13">
        <v>1</v>
      </c>
      <c r="L13">
        <v>1</v>
      </c>
      <c r="M13" t="s">
        <v>33</v>
      </c>
      <c r="N13">
        <v>1</v>
      </c>
      <c r="O13">
        <v>1</v>
      </c>
      <c r="P13">
        <v>1</v>
      </c>
      <c r="Q13" t="s">
        <v>52</v>
      </c>
      <c r="R13">
        <v>1</v>
      </c>
      <c r="S13">
        <v>1</v>
      </c>
      <c r="T13">
        <v>1</v>
      </c>
      <c r="U13" t="s">
        <v>1794</v>
      </c>
      <c r="V13" t="s">
        <v>1794</v>
      </c>
      <c r="W13" t="s">
        <v>1794</v>
      </c>
      <c r="X13">
        <v>1</v>
      </c>
      <c r="Y13" t="s">
        <v>1794</v>
      </c>
      <c r="Z13">
        <v>0</v>
      </c>
      <c r="AA13" t="s">
        <v>1794</v>
      </c>
      <c r="AB13" t="s">
        <v>1794</v>
      </c>
      <c r="AC13" t="s">
        <v>1794</v>
      </c>
      <c r="AD13" t="s">
        <v>1794</v>
      </c>
      <c r="AE13">
        <v>0</v>
      </c>
      <c r="AF13" t="s">
        <v>1794</v>
      </c>
      <c r="AG13" t="s">
        <v>1794</v>
      </c>
      <c r="AH13" t="s">
        <v>1794</v>
      </c>
    </row>
    <row r="14" spans="1:34" x14ac:dyDescent="0.25">
      <c r="A14" t="s">
        <v>1234</v>
      </c>
      <c r="B14" t="s">
        <v>1098</v>
      </c>
      <c r="C14" t="s">
        <v>258</v>
      </c>
      <c r="D14" t="s">
        <v>259</v>
      </c>
      <c r="E14" t="s">
        <v>1794</v>
      </c>
      <c r="F14" t="s">
        <v>264</v>
      </c>
      <c r="G14" t="s">
        <v>1124</v>
      </c>
      <c r="H14" t="s">
        <v>265</v>
      </c>
      <c r="I14" t="s">
        <v>262</v>
      </c>
      <c r="J14" t="s">
        <v>263</v>
      </c>
      <c r="K14">
        <v>1</v>
      </c>
      <c r="L14">
        <v>1</v>
      </c>
      <c r="M14" t="s">
        <v>33</v>
      </c>
      <c r="N14">
        <v>1</v>
      </c>
      <c r="O14">
        <v>1</v>
      </c>
      <c r="P14">
        <v>1</v>
      </c>
      <c r="Q14" t="s">
        <v>52</v>
      </c>
      <c r="R14">
        <v>1</v>
      </c>
      <c r="S14">
        <v>1</v>
      </c>
      <c r="T14">
        <v>1</v>
      </c>
      <c r="U14" t="s">
        <v>1794</v>
      </c>
      <c r="V14" t="s">
        <v>1794</v>
      </c>
      <c r="W14" t="s">
        <v>1794</v>
      </c>
      <c r="X14">
        <v>1</v>
      </c>
      <c r="Y14" t="s">
        <v>1794</v>
      </c>
      <c r="Z14">
        <v>0</v>
      </c>
      <c r="AA14" t="s">
        <v>1794</v>
      </c>
      <c r="AB14" t="s">
        <v>1794</v>
      </c>
      <c r="AC14" t="s">
        <v>1794</v>
      </c>
      <c r="AD14" t="s">
        <v>1794</v>
      </c>
      <c r="AE14">
        <v>0</v>
      </c>
      <c r="AF14" t="s">
        <v>1794</v>
      </c>
      <c r="AG14" t="s">
        <v>1794</v>
      </c>
      <c r="AH14" t="s">
        <v>1794</v>
      </c>
    </row>
    <row r="15" spans="1:34" x14ac:dyDescent="0.25">
      <c r="A15" t="s">
        <v>1569</v>
      </c>
      <c r="B15" t="s">
        <v>1570</v>
      </c>
      <c r="C15" t="s">
        <v>258</v>
      </c>
      <c r="D15" t="s">
        <v>259</v>
      </c>
      <c r="E15" t="s">
        <v>1794</v>
      </c>
      <c r="F15" t="s">
        <v>264</v>
      </c>
      <c r="G15" t="s">
        <v>1124</v>
      </c>
      <c r="H15" t="s">
        <v>265</v>
      </c>
      <c r="I15" t="s">
        <v>262</v>
      </c>
      <c r="J15" t="s">
        <v>263</v>
      </c>
      <c r="K15">
        <v>1</v>
      </c>
      <c r="L15">
        <v>1</v>
      </c>
      <c r="M15" t="s">
        <v>33</v>
      </c>
      <c r="N15">
        <v>1</v>
      </c>
      <c r="O15">
        <v>1</v>
      </c>
      <c r="P15">
        <v>1</v>
      </c>
      <c r="Q15" t="s">
        <v>52</v>
      </c>
      <c r="R15">
        <v>1</v>
      </c>
      <c r="S15">
        <v>1</v>
      </c>
      <c r="T15">
        <v>1</v>
      </c>
      <c r="U15" t="s">
        <v>1794</v>
      </c>
      <c r="V15" t="s">
        <v>1794</v>
      </c>
      <c r="W15" t="s">
        <v>1794</v>
      </c>
      <c r="X15">
        <v>1</v>
      </c>
      <c r="Y15" t="s">
        <v>1794</v>
      </c>
      <c r="Z15">
        <v>0</v>
      </c>
      <c r="AA15" t="s">
        <v>1794</v>
      </c>
      <c r="AB15" t="s">
        <v>1794</v>
      </c>
      <c r="AC15" t="s">
        <v>1794</v>
      </c>
      <c r="AD15" t="s">
        <v>1794</v>
      </c>
      <c r="AE15">
        <v>0</v>
      </c>
      <c r="AF15" t="s">
        <v>1794</v>
      </c>
      <c r="AG15" t="s">
        <v>1794</v>
      </c>
      <c r="AH15" t="s">
        <v>1794</v>
      </c>
    </row>
    <row r="16" spans="1:34" x14ac:dyDescent="0.25">
      <c r="A16" t="s">
        <v>1143</v>
      </c>
      <c r="B16" t="s">
        <v>1144</v>
      </c>
      <c r="C16" t="s">
        <v>258</v>
      </c>
      <c r="D16" t="s">
        <v>259</v>
      </c>
      <c r="E16" t="s">
        <v>1794</v>
      </c>
      <c r="F16" t="s">
        <v>266</v>
      </c>
      <c r="G16" t="s">
        <v>1124</v>
      </c>
      <c r="H16" t="s">
        <v>267</v>
      </c>
      <c r="I16" t="s">
        <v>262</v>
      </c>
      <c r="J16" t="s">
        <v>263</v>
      </c>
      <c r="K16">
        <v>1</v>
      </c>
      <c r="L16">
        <v>1</v>
      </c>
      <c r="M16" t="s">
        <v>33</v>
      </c>
      <c r="N16">
        <v>1</v>
      </c>
      <c r="O16">
        <v>1</v>
      </c>
      <c r="P16">
        <v>1</v>
      </c>
      <c r="Q16" t="s">
        <v>52</v>
      </c>
      <c r="R16">
        <v>1</v>
      </c>
      <c r="S16">
        <v>1</v>
      </c>
      <c r="T16">
        <v>1</v>
      </c>
      <c r="U16" t="s">
        <v>1794</v>
      </c>
      <c r="V16" t="s">
        <v>1794</v>
      </c>
      <c r="W16" t="s">
        <v>1794</v>
      </c>
      <c r="X16">
        <v>1</v>
      </c>
      <c r="Y16" t="s">
        <v>1794</v>
      </c>
      <c r="Z16">
        <v>0</v>
      </c>
      <c r="AA16" t="s">
        <v>1794</v>
      </c>
      <c r="AB16" t="s">
        <v>1794</v>
      </c>
      <c r="AC16" t="s">
        <v>1794</v>
      </c>
      <c r="AD16" t="s">
        <v>1794</v>
      </c>
      <c r="AE16">
        <v>0</v>
      </c>
      <c r="AF16" t="s">
        <v>1794</v>
      </c>
      <c r="AG16" t="s">
        <v>1794</v>
      </c>
      <c r="AH16" t="s">
        <v>1794</v>
      </c>
    </row>
    <row r="17" spans="1:34" x14ac:dyDescent="0.25">
      <c r="A17" t="s">
        <v>1147</v>
      </c>
      <c r="B17" t="s">
        <v>1148</v>
      </c>
      <c r="C17" t="s">
        <v>258</v>
      </c>
      <c r="D17" t="s">
        <v>259</v>
      </c>
      <c r="E17" t="s">
        <v>1794</v>
      </c>
      <c r="F17" t="s">
        <v>266</v>
      </c>
      <c r="G17" t="s">
        <v>1124</v>
      </c>
      <c r="H17" t="s">
        <v>267</v>
      </c>
      <c r="I17" t="s">
        <v>262</v>
      </c>
      <c r="J17" t="s">
        <v>263</v>
      </c>
      <c r="K17">
        <v>1</v>
      </c>
      <c r="L17">
        <v>1</v>
      </c>
      <c r="M17" t="s">
        <v>33</v>
      </c>
      <c r="N17">
        <v>1</v>
      </c>
      <c r="O17">
        <v>1</v>
      </c>
      <c r="P17">
        <v>1</v>
      </c>
      <c r="Q17" t="s">
        <v>52</v>
      </c>
      <c r="R17">
        <v>1</v>
      </c>
      <c r="S17">
        <v>1</v>
      </c>
      <c r="T17">
        <v>1</v>
      </c>
      <c r="U17" t="s">
        <v>1794</v>
      </c>
      <c r="V17" t="s">
        <v>1794</v>
      </c>
      <c r="W17" t="s">
        <v>1794</v>
      </c>
      <c r="X17">
        <v>1</v>
      </c>
      <c r="Y17" t="s">
        <v>1794</v>
      </c>
      <c r="Z17">
        <v>0</v>
      </c>
      <c r="AA17" t="s">
        <v>1794</v>
      </c>
      <c r="AB17" t="s">
        <v>1794</v>
      </c>
      <c r="AC17" t="s">
        <v>1794</v>
      </c>
      <c r="AD17" t="s">
        <v>1794</v>
      </c>
      <c r="AE17">
        <v>0</v>
      </c>
      <c r="AF17" t="s">
        <v>1794</v>
      </c>
      <c r="AG17" t="s">
        <v>1794</v>
      </c>
      <c r="AH17" t="s">
        <v>1794</v>
      </c>
    </row>
    <row r="18" spans="1:34" x14ac:dyDescent="0.25">
      <c r="A18" t="s">
        <v>1150</v>
      </c>
      <c r="B18" t="s">
        <v>646</v>
      </c>
      <c r="C18" t="s">
        <v>258</v>
      </c>
      <c r="D18" t="s">
        <v>259</v>
      </c>
      <c r="E18" t="s">
        <v>1794</v>
      </c>
      <c r="F18" t="s">
        <v>266</v>
      </c>
      <c r="G18" t="s">
        <v>619</v>
      </c>
      <c r="H18" t="s">
        <v>267</v>
      </c>
      <c r="I18" t="s">
        <v>262</v>
      </c>
      <c r="J18" t="s">
        <v>263</v>
      </c>
      <c r="K18">
        <v>1</v>
      </c>
      <c r="L18">
        <v>1</v>
      </c>
      <c r="M18" t="s">
        <v>33</v>
      </c>
      <c r="N18">
        <v>1</v>
      </c>
      <c r="O18">
        <v>1</v>
      </c>
      <c r="P18">
        <v>1</v>
      </c>
      <c r="Q18" t="s">
        <v>52</v>
      </c>
      <c r="R18">
        <v>1</v>
      </c>
      <c r="S18">
        <v>1</v>
      </c>
      <c r="T18">
        <v>1</v>
      </c>
      <c r="U18" t="s">
        <v>1794</v>
      </c>
      <c r="V18" t="s">
        <v>1794</v>
      </c>
      <c r="W18" t="s">
        <v>1794</v>
      </c>
      <c r="X18">
        <v>1</v>
      </c>
      <c r="Y18" t="s">
        <v>1794</v>
      </c>
      <c r="Z18">
        <v>0</v>
      </c>
      <c r="AA18" t="s">
        <v>1794</v>
      </c>
      <c r="AB18" t="s">
        <v>1794</v>
      </c>
      <c r="AC18" t="s">
        <v>1794</v>
      </c>
      <c r="AD18" t="s">
        <v>1794</v>
      </c>
      <c r="AE18">
        <v>0</v>
      </c>
      <c r="AF18" t="s">
        <v>1794</v>
      </c>
      <c r="AG18" t="s">
        <v>1794</v>
      </c>
      <c r="AH18" t="s">
        <v>1794</v>
      </c>
    </row>
    <row r="19" spans="1:34" x14ac:dyDescent="0.25">
      <c r="A19" t="s">
        <v>1234</v>
      </c>
      <c r="B19" t="s">
        <v>1098</v>
      </c>
      <c r="C19" t="s">
        <v>258</v>
      </c>
      <c r="D19" t="s">
        <v>259</v>
      </c>
      <c r="E19" t="s">
        <v>1794</v>
      </c>
      <c r="F19" t="s">
        <v>266</v>
      </c>
      <c r="G19" t="s">
        <v>1124</v>
      </c>
      <c r="H19" t="s">
        <v>267</v>
      </c>
      <c r="I19" t="s">
        <v>262</v>
      </c>
      <c r="J19" t="s">
        <v>263</v>
      </c>
      <c r="K19">
        <v>1</v>
      </c>
      <c r="L19">
        <v>1</v>
      </c>
      <c r="M19" t="s">
        <v>33</v>
      </c>
      <c r="N19">
        <v>1</v>
      </c>
      <c r="O19">
        <v>1</v>
      </c>
      <c r="P19">
        <v>1</v>
      </c>
      <c r="Q19" t="s">
        <v>52</v>
      </c>
      <c r="R19">
        <v>1</v>
      </c>
      <c r="S19">
        <v>1</v>
      </c>
      <c r="T19">
        <v>1</v>
      </c>
      <c r="U19" t="s">
        <v>1794</v>
      </c>
      <c r="V19" t="s">
        <v>1794</v>
      </c>
      <c r="W19" t="s">
        <v>1794</v>
      </c>
      <c r="X19">
        <v>1</v>
      </c>
      <c r="Y19" t="s">
        <v>1794</v>
      </c>
      <c r="Z19">
        <v>0</v>
      </c>
      <c r="AA19" t="s">
        <v>1794</v>
      </c>
      <c r="AB19" t="s">
        <v>1794</v>
      </c>
      <c r="AC19" t="s">
        <v>1794</v>
      </c>
      <c r="AD19" t="s">
        <v>1794</v>
      </c>
      <c r="AE19">
        <v>0</v>
      </c>
      <c r="AF19" t="s">
        <v>1794</v>
      </c>
      <c r="AG19" t="s">
        <v>1794</v>
      </c>
      <c r="AH19" t="s">
        <v>1794</v>
      </c>
    </row>
    <row r="20" spans="1:34" ht="24" customHeight="1" x14ac:dyDescent="0.25">
      <c r="A20" t="s">
        <v>1569</v>
      </c>
      <c r="B20" t="s">
        <v>1570</v>
      </c>
      <c r="C20" t="s">
        <v>258</v>
      </c>
      <c r="D20" t="s">
        <v>259</v>
      </c>
      <c r="E20" t="s">
        <v>1794</v>
      </c>
      <c r="F20" t="s">
        <v>266</v>
      </c>
      <c r="G20" t="s">
        <v>1124</v>
      </c>
      <c r="H20" t="s">
        <v>267</v>
      </c>
      <c r="I20" t="s">
        <v>262</v>
      </c>
      <c r="J20" t="s">
        <v>263</v>
      </c>
      <c r="K20">
        <v>1</v>
      </c>
      <c r="L20">
        <v>1</v>
      </c>
      <c r="M20" t="s">
        <v>33</v>
      </c>
      <c r="N20">
        <v>1</v>
      </c>
      <c r="O20">
        <v>1</v>
      </c>
      <c r="P20">
        <v>1</v>
      </c>
      <c r="Q20" t="s">
        <v>52</v>
      </c>
      <c r="R20">
        <v>1</v>
      </c>
      <c r="S20">
        <v>1</v>
      </c>
      <c r="T20">
        <v>1</v>
      </c>
      <c r="U20" t="s">
        <v>1794</v>
      </c>
      <c r="V20" t="s">
        <v>1794</v>
      </c>
      <c r="W20" t="s">
        <v>1794</v>
      </c>
      <c r="X20">
        <v>1</v>
      </c>
      <c r="Y20" t="s">
        <v>1794</v>
      </c>
      <c r="Z20">
        <v>0</v>
      </c>
      <c r="AA20" t="s">
        <v>1794</v>
      </c>
      <c r="AB20" t="s">
        <v>1794</v>
      </c>
      <c r="AC20" t="s">
        <v>1794</v>
      </c>
      <c r="AD20" t="s">
        <v>1794</v>
      </c>
      <c r="AE20">
        <v>0</v>
      </c>
      <c r="AF20" t="s">
        <v>1794</v>
      </c>
      <c r="AG20" t="s">
        <v>1794</v>
      </c>
      <c r="AH20" t="s">
        <v>1794</v>
      </c>
    </row>
    <row r="21" spans="1:34" x14ac:dyDescent="0.25">
      <c r="A21" t="s">
        <v>1143</v>
      </c>
      <c r="B21" t="s">
        <v>1144</v>
      </c>
      <c r="C21" t="s">
        <v>258</v>
      </c>
      <c r="D21" t="s">
        <v>259</v>
      </c>
      <c r="E21" t="s">
        <v>1794</v>
      </c>
      <c r="F21" t="s">
        <v>268</v>
      </c>
      <c r="G21" t="s">
        <v>1124</v>
      </c>
      <c r="H21" t="s">
        <v>269</v>
      </c>
      <c r="I21" t="s">
        <v>262</v>
      </c>
      <c r="J21" t="s">
        <v>270</v>
      </c>
      <c r="K21">
        <v>1</v>
      </c>
      <c r="L21">
        <v>1</v>
      </c>
      <c r="M21" t="s">
        <v>33</v>
      </c>
      <c r="N21">
        <v>1</v>
      </c>
      <c r="O21">
        <v>1</v>
      </c>
      <c r="P21">
        <v>1</v>
      </c>
      <c r="Q21" t="s">
        <v>52</v>
      </c>
      <c r="R21">
        <v>1</v>
      </c>
      <c r="S21">
        <v>1</v>
      </c>
      <c r="T21">
        <v>1</v>
      </c>
      <c r="U21" t="s">
        <v>1794</v>
      </c>
      <c r="V21" t="s">
        <v>1794</v>
      </c>
      <c r="W21" t="s">
        <v>1794</v>
      </c>
      <c r="X21">
        <v>1</v>
      </c>
      <c r="Y21" t="s">
        <v>1794</v>
      </c>
      <c r="Z21">
        <v>0</v>
      </c>
      <c r="AA21" t="s">
        <v>1794</v>
      </c>
      <c r="AB21" t="s">
        <v>1794</v>
      </c>
      <c r="AC21" t="s">
        <v>1794</v>
      </c>
      <c r="AD21" t="s">
        <v>1794</v>
      </c>
      <c r="AE21">
        <v>0</v>
      </c>
      <c r="AF21" t="s">
        <v>1794</v>
      </c>
      <c r="AG21" t="s">
        <v>1794</v>
      </c>
      <c r="AH21" t="s">
        <v>1794</v>
      </c>
    </row>
    <row r="22" spans="1:34" x14ac:dyDescent="0.25">
      <c r="A22" t="s">
        <v>1147</v>
      </c>
      <c r="B22" t="s">
        <v>1148</v>
      </c>
      <c r="C22" t="s">
        <v>258</v>
      </c>
      <c r="D22" t="s">
        <v>259</v>
      </c>
      <c r="E22" t="s">
        <v>1794</v>
      </c>
      <c r="F22" t="s">
        <v>268</v>
      </c>
      <c r="G22" t="s">
        <v>1124</v>
      </c>
      <c r="H22" t="s">
        <v>269</v>
      </c>
      <c r="I22" t="s">
        <v>262</v>
      </c>
      <c r="J22" t="s">
        <v>270</v>
      </c>
      <c r="K22">
        <v>1</v>
      </c>
      <c r="L22">
        <v>1</v>
      </c>
      <c r="M22" t="s">
        <v>33</v>
      </c>
      <c r="N22">
        <v>1</v>
      </c>
      <c r="O22">
        <v>1</v>
      </c>
      <c r="P22">
        <v>1</v>
      </c>
      <c r="Q22" t="s">
        <v>52</v>
      </c>
      <c r="R22">
        <v>1</v>
      </c>
      <c r="S22">
        <v>1</v>
      </c>
      <c r="T22">
        <v>1</v>
      </c>
      <c r="U22" t="s">
        <v>1794</v>
      </c>
      <c r="V22" t="s">
        <v>1794</v>
      </c>
      <c r="W22" t="s">
        <v>1794</v>
      </c>
      <c r="X22">
        <v>1</v>
      </c>
      <c r="Y22" t="s">
        <v>1794</v>
      </c>
      <c r="Z22">
        <v>0</v>
      </c>
      <c r="AA22" t="s">
        <v>1794</v>
      </c>
      <c r="AB22" t="s">
        <v>1794</v>
      </c>
      <c r="AC22" t="s">
        <v>1794</v>
      </c>
      <c r="AD22" t="s">
        <v>1794</v>
      </c>
      <c r="AE22">
        <v>0</v>
      </c>
      <c r="AF22" t="s">
        <v>1794</v>
      </c>
      <c r="AG22" t="s">
        <v>1794</v>
      </c>
      <c r="AH22" t="s">
        <v>1794</v>
      </c>
    </row>
    <row r="23" spans="1:34" x14ac:dyDescent="0.25">
      <c r="A23" t="s">
        <v>1150</v>
      </c>
      <c r="B23" t="s">
        <v>646</v>
      </c>
      <c r="C23" t="s">
        <v>258</v>
      </c>
      <c r="D23" t="s">
        <v>259</v>
      </c>
      <c r="E23" t="s">
        <v>1794</v>
      </c>
      <c r="F23" t="s">
        <v>268</v>
      </c>
      <c r="G23" t="s">
        <v>619</v>
      </c>
      <c r="H23" t="s">
        <v>269</v>
      </c>
      <c r="I23" t="s">
        <v>262</v>
      </c>
      <c r="J23" t="s">
        <v>270</v>
      </c>
      <c r="K23">
        <v>1</v>
      </c>
      <c r="L23">
        <v>1</v>
      </c>
      <c r="M23" t="s">
        <v>33</v>
      </c>
      <c r="N23">
        <v>1</v>
      </c>
      <c r="O23">
        <v>1</v>
      </c>
      <c r="P23">
        <v>1</v>
      </c>
      <c r="Q23" t="s">
        <v>52</v>
      </c>
      <c r="R23">
        <v>1</v>
      </c>
      <c r="S23">
        <v>1</v>
      </c>
      <c r="T23">
        <v>1</v>
      </c>
      <c r="U23" t="s">
        <v>1794</v>
      </c>
      <c r="V23" t="s">
        <v>1794</v>
      </c>
      <c r="W23" t="s">
        <v>1794</v>
      </c>
      <c r="X23">
        <v>1</v>
      </c>
      <c r="Y23" t="s">
        <v>1794</v>
      </c>
      <c r="Z23">
        <v>0</v>
      </c>
      <c r="AA23" t="s">
        <v>1794</v>
      </c>
      <c r="AB23" t="s">
        <v>1794</v>
      </c>
      <c r="AC23" t="s">
        <v>1794</v>
      </c>
      <c r="AD23" t="s">
        <v>1794</v>
      </c>
      <c r="AE23">
        <v>0</v>
      </c>
      <c r="AF23" t="s">
        <v>1794</v>
      </c>
      <c r="AG23" t="s">
        <v>1794</v>
      </c>
      <c r="AH23" t="s">
        <v>1794</v>
      </c>
    </row>
    <row r="24" spans="1:34" x14ac:dyDescent="0.25">
      <c r="A24" t="s">
        <v>1234</v>
      </c>
      <c r="B24" t="s">
        <v>1098</v>
      </c>
      <c r="C24" t="s">
        <v>258</v>
      </c>
      <c r="D24" t="s">
        <v>259</v>
      </c>
      <c r="E24" t="s">
        <v>1794</v>
      </c>
      <c r="F24" t="s">
        <v>268</v>
      </c>
      <c r="G24" t="s">
        <v>1124</v>
      </c>
      <c r="H24" t="s">
        <v>269</v>
      </c>
      <c r="I24" t="s">
        <v>262</v>
      </c>
      <c r="J24" t="s">
        <v>270</v>
      </c>
      <c r="K24">
        <v>1</v>
      </c>
      <c r="L24">
        <v>1</v>
      </c>
      <c r="M24" t="s">
        <v>33</v>
      </c>
      <c r="N24">
        <v>1</v>
      </c>
      <c r="O24">
        <v>1</v>
      </c>
      <c r="P24">
        <v>1</v>
      </c>
      <c r="Q24" t="s">
        <v>52</v>
      </c>
      <c r="R24">
        <v>1</v>
      </c>
      <c r="S24">
        <v>1</v>
      </c>
      <c r="T24">
        <v>1</v>
      </c>
      <c r="U24" t="s">
        <v>1794</v>
      </c>
      <c r="V24" t="s">
        <v>1794</v>
      </c>
      <c r="W24" t="s">
        <v>1794</v>
      </c>
      <c r="X24">
        <v>1</v>
      </c>
      <c r="Y24" t="s">
        <v>1794</v>
      </c>
      <c r="Z24">
        <v>0</v>
      </c>
      <c r="AA24" t="s">
        <v>1794</v>
      </c>
      <c r="AB24" t="s">
        <v>1794</v>
      </c>
      <c r="AC24" t="s">
        <v>1794</v>
      </c>
      <c r="AD24" t="s">
        <v>1794</v>
      </c>
      <c r="AE24">
        <v>0</v>
      </c>
      <c r="AF24" t="s">
        <v>1794</v>
      </c>
      <c r="AG24" t="s">
        <v>1794</v>
      </c>
      <c r="AH24" t="s">
        <v>1794</v>
      </c>
    </row>
    <row r="25" spans="1:34" x14ac:dyDescent="0.25">
      <c r="A25" t="s">
        <v>1569</v>
      </c>
      <c r="B25" t="s">
        <v>1570</v>
      </c>
      <c r="C25" t="s">
        <v>258</v>
      </c>
      <c r="D25" t="s">
        <v>259</v>
      </c>
      <c r="E25" t="s">
        <v>1794</v>
      </c>
      <c r="F25" t="s">
        <v>268</v>
      </c>
      <c r="G25" t="s">
        <v>1124</v>
      </c>
      <c r="H25" t="s">
        <v>269</v>
      </c>
      <c r="I25" t="s">
        <v>262</v>
      </c>
      <c r="J25" t="s">
        <v>270</v>
      </c>
      <c r="K25">
        <v>1</v>
      </c>
      <c r="L25">
        <v>1</v>
      </c>
      <c r="M25" t="s">
        <v>33</v>
      </c>
      <c r="N25">
        <v>1</v>
      </c>
      <c r="O25">
        <v>1</v>
      </c>
      <c r="P25">
        <v>1</v>
      </c>
      <c r="Q25" t="s">
        <v>52</v>
      </c>
      <c r="R25">
        <v>1</v>
      </c>
      <c r="S25">
        <v>1</v>
      </c>
      <c r="T25">
        <v>1</v>
      </c>
      <c r="U25" t="s">
        <v>1794</v>
      </c>
      <c r="V25" t="s">
        <v>1794</v>
      </c>
      <c r="W25" t="s">
        <v>1794</v>
      </c>
      <c r="X25">
        <v>1</v>
      </c>
      <c r="Y25" t="s">
        <v>1794</v>
      </c>
      <c r="Z25">
        <v>0</v>
      </c>
      <c r="AA25" t="s">
        <v>1794</v>
      </c>
      <c r="AB25" t="s">
        <v>1794</v>
      </c>
      <c r="AC25" t="s">
        <v>1794</v>
      </c>
      <c r="AD25" t="s">
        <v>1794</v>
      </c>
      <c r="AE25">
        <v>0</v>
      </c>
      <c r="AF25" t="s">
        <v>1794</v>
      </c>
      <c r="AG25" t="s">
        <v>1794</v>
      </c>
      <c r="AH25" t="s">
        <v>1794</v>
      </c>
    </row>
    <row r="26" spans="1:34" x14ac:dyDescent="0.25">
      <c r="A26" t="s">
        <v>1143</v>
      </c>
      <c r="B26" t="s">
        <v>1144</v>
      </c>
      <c r="C26" t="s">
        <v>258</v>
      </c>
      <c r="D26" t="s">
        <v>259</v>
      </c>
      <c r="E26" t="s">
        <v>1794</v>
      </c>
      <c r="F26" t="s">
        <v>271</v>
      </c>
      <c r="G26" t="s">
        <v>1124</v>
      </c>
      <c r="H26" t="s">
        <v>272</v>
      </c>
      <c r="I26" t="s">
        <v>262</v>
      </c>
      <c r="J26" t="s">
        <v>270</v>
      </c>
      <c r="K26">
        <v>1</v>
      </c>
      <c r="L26">
        <v>1</v>
      </c>
      <c r="M26" t="s">
        <v>33</v>
      </c>
      <c r="N26">
        <v>1</v>
      </c>
      <c r="O26">
        <v>1</v>
      </c>
      <c r="P26">
        <v>1</v>
      </c>
      <c r="Q26" t="s">
        <v>52</v>
      </c>
      <c r="R26">
        <v>1</v>
      </c>
      <c r="S26">
        <v>1</v>
      </c>
      <c r="T26">
        <v>1</v>
      </c>
      <c r="U26" t="s">
        <v>1794</v>
      </c>
      <c r="V26" t="s">
        <v>1794</v>
      </c>
      <c r="W26" t="s">
        <v>1794</v>
      </c>
      <c r="X26">
        <v>1</v>
      </c>
      <c r="Y26" t="s">
        <v>1794</v>
      </c>
      <c r="Z26">
        <v>0</v>
      </c>
      <c r="AA26" t="s">
        <v>1794</v>
      </c>
      <c r="AB26" t="s">
        <v>1794</v>
      </c>
      <c r="AC26" t="s">
        <v>1794</v>
      </c>
      <c r="AD26" t="s">
        <v>1794</v>
      </c>
      <c r="AE26">
        <v>0</v>
      </c>
      <c r="AF26" t="s">
        <v>1794</v>
      </c>
      <c r="AG26" t="s">
        <v>1794</v>
      </c>
      <c r="AH26" t="s">
        <v>1794</v>
      </c>
    </row>
    <row r="27" spans="1:34" x14ac:dyDescent="0.25">
      <c r="A27" t="s">
        <v>1147</v>
      </c>
      <c r="B27" t="s">
        <v>1148</v>
      </c>
      <c r="C27" t="s">
        <v>258</v>
      </c>
      <c r="D27" t="s">
        <v>259</v>
      </c>
      <c r="E27" t="s">
        <v>1794</v>
      </c>
      <c r="F27" t="s">
        <v>271</v>
      </c>
      <c r="G27" t="s">
        <v>1124</v>
      </c>
      <c r="H27" t="s">
        <v>272</v>
      </c>
      <c r="I27" t="s">
        <v>262</v>
      </c>
      <c r="J27" t="s">
        <v>270</v>
      </c>
      <c r="K27">
        <v>1</v>
      </c>
      <c r="L27">
        <v>1</v>
      </c>
      <c r="M27" t="s">
        <v>33</v>
      </c>
      <c r="N27">
        <v>1</v>
      </c>
      <c r="O27">
        <v>1</v>
      </c>
      <c r="P27">
        <v>1</v>
      </c>
      <c r="Q27" t="s">
        <v>52</v>
      </c>
      <c r="R27">
        <v>1</v>
      </c>
      <c r="S27">
        <v>1</v>
      </c>
      <c r="T27">
        <v>1</v>
      </c>
      <c r="U27" t="s">
        <v>1794</v>
      </c>
      <c r="V27" t="s">
        <v>1794</v>
      </c>
      <c r="W27" t="s">
        <v>1794</v>
      </c>
      <c r="X27">
        <v>1</v>
      </c>
      <c r="Y27" t="s">
        <v>1794</v>
      </c>
      <c r="Z27">
        <v>0</v>
      </c>
      <c r="AA27" t="s">
        <v>1794</v>
      </c>
      <c r="AB27" t="s">
        <v>1794</v>
      </c>
      <c r="AC27" t="s">
        <v>1794</v>
      </c>
      <c r="AD27" t="s">
        <v>1794</v>
      </c>
      <c r="AE27">
        <v>0</v>
      </c>
      <c r="AF27" t="s">
        <v>1794</v>
      </c>
      <c r="AG27" t="s">
        <v>1794</v>
      </c>
      <c r="AH27" t="s">
        <v>1794</v>
      </c>
    </row>
    <row r="28" spans="1:34" x14ac:dyDescent="0.25">
      <c r="A28" t="s">
        <v>1150</v>
      </c>
      <c r="B28" t="s">
        <v>646</v>
      </c>
      <c r="C28" t="s">
        <v>258</v>
      </c>
      <c r="D28" t="s">
        <v>259</v>
      </c>
      <c r="E28" t="s">
        <v>1794</v>
      </c>
      <c r="F28" t="s">
        <v>271</v>
      </c>
      <c r="G28" t="s">
        <v>619</v>
      </c>
      <c r="H28" t="s">
        <v>272</v>
      </c>
      <c r="I28" t="s">
        <v>262</v>
      </c>
      <c r="J28" t="s">
        <v>270</v>
      </c>
      <c r="K28">
        <v>1</v>
      </c>
      <c r="L28">
        <v>1</v>
      </c>
      <c r="M28" t="s">
        <v>33</v>
      </c>
      <c r="N28">
        <v>1</v>
      </c>
      <c r="O28">
        <v>1</v>
      </c>
      <c r="P28">
        <v>1</v>
      </c>
      <c r="Q28" t="s">
        <v>52</v>
      </c>
      <c r="R28">
        <v>1</v>
      </c>
      <c r="S28">
        <v>1</v>
      </c>
      <c r="T28">
        <v>1</v>
      </c>
      <c r="U28" t="s">
        <v>1794</v>
      </c>
      <c r="V28" t="s">
        <v>1794</v>
      </c>
      <c r="W28" t="s">
        <v>1794</v>
      </c>
      <c r="X28">
        <v>1</v>
      </c>
      <c r="Y28" t="s">
        <v>1794</v>
      </c>
      <c r="Z28">
        <v>0</v>
      </c>
      <c r="AA28" t="s">
        <v>1794</v>
      </c>
      <c r="AB28" t="s">
        <v>1794</v>
      </c>
      <c r="AC28" t="s">
        <v>1794</v>
      </c>
      <c r="AD28" t="s">
        <v>1794</v>
      </c>
      <c r="AE28">
        <v>0</v>
      </c>
      <c r="AF28" t="s">
        <v>1794</v>
      </c>
      <c r="AG28" t="s">
        <v>1794</v>
      </c>
      <c r="AH28" t="s">
        <v>1794</v>
      </c>
    </row>
    <row r="29" spans="1:34" x14ac:dyDescent="0.25">
      <c r="A29" t="s">
        <v>1234</v>
      </c>
      <c r="B29" t="s">
        <v>1098</v>
      </c>
      <c r="C29" t="s">
        <v>258</v>
      </c>
      <c r="D29" t="s">
        <v>259</v>
      </c>
      <c r="E29" t="s">
        <v>1794</v>
      </c>
      <c r="F29" t="s">
        <v>271</v>
      </c>
      <c r="G29" t="s">
        <v>1124</v>
      </c>
      <c r="H29" t="s">
        <v>272</v>
      </c>
      <c r="I29" t="s">
        <v>262</v>
      </c>
      <c r="J29" t="s">
        <v>270</v>
      </c>
      <c r="K29">
        <v>1</v>
      </c>
      <c r="L29">
        <v>1</v>
      </c>
      <c r="M29" t="s">
        <v>33</v>
      </c>
      <c r="N29">
        <v>1</v>
      </c>
      <c r="O29">
        <v>1</v>
      </c>
      <c r="P29">
        <v>1</v>
      </c>
      <c r="Q29" t="s">
        <v>52</v>
      </c>
      <c r="R29">
        <v>1</v>
      </c>
      <c r="S29">
        <v>1</v>
      </c>
      <c r="T29">
        <v>1</v>
      </c>
      <c r="U29" t="s">
        <v>1794</v>
      </c>
      <c r="V29" t="s">
        <v>1794</v>
      </c>
      <c r="W29" t="s">
        <v>1794</v>
      </c>
      <c r="X29">
        <v>1</v>
      </c>
      <c r="Y29" t="s">
        <v>1794</v>
      </c>
      <c r="Z29">
        <v>0</v>
      </c>
      <c r="AA29" t="s">
        <v>1794</v>
      </c>
      <c r="AB29" t="s">
        <v>1794</v>
      </c>
      <c r="AC29" t="s">
        <v>1794</v>
      </c>
      <c r="AD29" t="s">
        <v>1794</v>
      </c>
      <c r="AE29">
        <v>0</v>
      </c>
      <c r="AF29" t="s">
        <v>1794</v>
      </c>
      <c r="AG29" t="s">
        <v>1794</v>
      </c>
      <c r="AH29" t="s">
        <v>1794</v>
      </c>
    </row>
    <row r="30" spans="1:34" x14ac:dyDescent="0.25">
      <c r="A30" t="s">
        <v>1569</v>
      </c>
      <c r="B30" t="s">
        <v>1570</v>
      </c>
      <c r="C30" t="s">
        <v>258</v>
      </c>
      <c r="D30" t="s">
        <v>259</v>
      </c>
      <c r="E30" t="s">
        <v>1794</v>
      </c>
      <c r="F30" t="s">
        <v>271</v>
      </c>
      <c r="G30" t="s">
        <v>1124</v>
      </c>
      <c r="H30" t="s">
        <v>272</v>
      </c>
      <c r="I30" t="s">
        <v>262</v>
      </c>
      <c r="J30" t="s">
        <v>270</v>
      </c>
      <c r="K30">
        <v>1</v>
      </c>
      <c r="L30">
        <v>1</v>
      </c>
      <c r="M30" t="s">
        <v>33</v>
      </c>
      <c r="N30">
        <v>1</v>
      </c>
      <c r="O30">
        <v>1</v>
      </c>
      <c r="P30">
        <v>1</v>
      </c>
      <c r="Q30" t="s">
        <v>52</v>
      </c>
      <c r="R30">
        <v>1</v>
      </c>
      <c r="S30">
        <v>1</v>
      </c>
      <c r="T30">
        <v>1</v>
      </c>
      <c r="U30" t="s">
        <v>1794</v>
      </c>
      <c r="V30" t="s">
        <v>1794</v>
      </c>
      <c r="W30" t="s">
        <v>1794</v>
      </c>
      <c r="X30">
        <v>1</v>
      </c>
      <c r="Y30" t="s">
        <v>1794</v>
      </c>
      <c r="Z30">
        <v>0</v>
      </c>
      <c r="AA30" t="s">
        <v>1794</v>
      </c>
      <c r="AB30" t="s">
        <v>1794</v>
      </c>
      <c r="AC30" t="s">
        <v>1794</v>
      </c>
      <c r="AD30" t="s">
        <v>1794</v>
      </c>
      <c r="AE30">
        <v>0</v>
      </c>
      <c r="AF30" t="s">
        <v>1794</v>
      </c>
      <c r="AG30" t="s">
        <v>1794</v>
      </c>
      <c r="AH30" t="s">
        <v>1794</v>
      </c>
    </row>
    <row r="31" spans="1:34" x14ac:dyDescent="0.25">
      <c r="A31" t="s">
        <v>1143</v>
      </c>
      <c r="B31" t="s">
        <v>1144</v>
      </c>
      <c r="C31" t="s">
        <v>258</v>
      </c>
      <c r="D31" t="s">
        <v>259</v>
      </c>
      <c r="E31" t="s">
        <v>1794</v>
      </c>
      <c r="F31" t="s">
        <v>273</v>
      </c>
      <c r="G31" t="s">
        <v>1124</v>
      </c>
      <c r="H31" t="s">
        <v>274</v>
      </c>
      <c r="I31" t="s">
        <v>262</v>
      </c>
      <c r="J31" t="s">
        <v>270</v>
      </c>
      <c r="K31">
        <v>1</v>
      </c>
      <c r="L31">
        <v>1</v>
      </c>
      <c r="M31" t="s">
        <v>33</v>
      </c>
      <c r="N31">
        <v>1</v>
      </c>
      <c r="O31">
        <v>1</v>
      </c>
      <c r="P31">
        <v>1</v>
      </c>
      <c r="Q31" t="s">
        <v>52</v>
      </c>
      <c r="R31">
        <v>1</v>
      </c>
      <c r="S31">
        <v>1</v>
      </c>
      <c r="T31">
        <v>1</v>
      </c>
      <c r="U31" t="s">
        <v>1794</v>
      </c>
      <c r="V31" t="s">
        <v>1794</v>
      </c>
      <c r="W31" t="s">
        <v>1794</v>
      </c>
      <c r="X31">
        <v>1</v>
      </c>
      <c r="Y31" t="s">
        <v>1794</v>
      </c>
      <c r="Z31">
        <v>0</v>
      </c>
      <c r="AA31" t="s">
        <v>1794</v>
      </c>
      <c r="AB31" t="s">
        <v>1794</v>
      </c>
      <c r="AC31" t="s">
        <v>1794</v>
      </c>
      <c r="AD31" t="s">
        <v>1794</v>
      </c>
      <c r="AE31">
        <v>0</v>
      </c>
      <c r="AF31" t="s">
        <v>1794</v>
      </c>
      <c r="AG31" t="s">
        <v>1794</v>
      </c>
      <c r="AH31" t="s">
        <v>1794</v>
      </c>
    </row>
    <row r="32" spans="1:34" x14ac:dyDescent="0.25">
      <c r="A32" t="s">
        <v>1147</v>
      </c>
      <c r="B32" t="s">
        <v>1148</v>
      </c>
      <c r="C32" t="s">
        <v>258</v>
      </c>
      <c r="D32" t="s">
        <v>259</v>
      </c>
      <c r="E32" t="s">
        <v>1794</v>
      </c>
      <c r="F32" t="s">
        <v>273</v>
      </c>
      <c r="G32" t="s">
        <v>1124</v>
      </c>
      <c r="H32" t="s">
        <v>274</v>
      </c>
      <c r="I32" t="s">
        <v>262</v>
      </c>
      <c r="J32" t="s">
        <v>270</v>
      </c>
      <c r="K32">
        <v>1</v>
      </c>
      <c r="L32">
        <v>1</v>
      </c>
      <c r="M32" t="s">
        <v>33</v>
      </c>
      <c r="N32">
        <v>1</v>
      </c>
      <c r="O32">
        <v>1</v>
      </c>
      <c r="P32">
        <v>1</v>
      </c>
      <c r="Q32" t="s">
        <v>52</v>
      </c>
      <c r="R32">
        <v>1</v>
      </c>
      <c r="S32">
        <v>1</v>
      </c>
      <c r="T32">
        <v>1</v>
      </c>
      <c r="U32" t="s">
        <v>1794</v>
      </c>
      <c r="V32" t="s">
        <v>1794</v>
      </c>
      <c r="W32" t="s">
        <v>1794</v>
      </c>
      <c r="X32">
        <v>1</v>
      </c>
      <c r="Y32" t="s">
        <v>1794</v>
      </c>
      <c r="Z32">
        <v>0</v>
      </c>
      <c r="AA32" t="s">
        <v>1794</v>
      </c>
      <c r="AB32" t="s">
        <v>1794</v>
      </c>
      <c r="AC32" t="s">
        <v>1794</v>
      </c>
      <c r="AD32" t="s">
        <v>1794</v>
      </c>
      <c r="AE32">
        <v>0</v>
      </c>
      <c r="AF32" t="s">
        <v>1794</v>
      </c>
      <c r="AG32" t="s">
        <v>1794</v>
      </c>
      <c r="AH32" t="s">
        <v>1794</v>
      </c>
    </row>
    <row r="33" spans="1:34" x14ac:dyDescent="0.25">
      <c r="A33" t="s">
        <v>1150</v>
      </c>
      <c r="B33" t="s">
        <v>646</v>
      </c>
      <c r="C33" t="s">
        <v>258</v>
      </c>
      <c r="D33" t="s">
        <v>259</v>
      </c>
      <c r="E33" t="s">
        <v>1794</v>
      </c>
      <c r="F33" t="s">
        <v>273</v>
      </c>
      <c r="G33" t="s">
        <v>619</v>
      </c>
      <c r="H33" t="s">
        <v>274</v>
      </c>
      <c r="I33" t="s">
        <v>262</v>
      </c>
      <c r="J33" t="s">
        <v>270</v>
      </c>
      <c r="K33">
        <v>1</v>
      </c>
      <c r="L33">
        <v>1</v>
      </c>
      <c r="M33" t="s">
        <v>33</v>
      </c>
      <c r="N33">
        <v>1</v>
      </c>
      <c r="O33">
        <v>1</v>
      </c>
      <c r="P33">
        <v>1</v>
      </c>
      <c r="Q33" t="s">
        <v>52</v>
      </c>
      <c r="R33">
        <v>1</v>
      </c>
      <c r="S33">
        <v>1</v>
      </c>
      <c r="T33">
        <v>1</v>
      </c>
      <c r="U33" t="s">
        <v>1794</v>
      </c>
      <c r="V33" t="s">
        <v>1794</v>
      </c>
      <c r="W33" t="s">
        <v>1794</v>
      </c>
      <c r="X33">
        <v>1</v>
      </c>
      <c r="Y33" t="s">
        <v>1794</v>
      </c>
      <c r="Z33">
        <v>0</v>
      </c>
      <c r="AA33" t="s">
        <v>1794</v>
      </c>
      <c r="AB33" t="s">
        <v>1794</v>
      </c>
      <c r="AC33" t="s">
        <v>1794</v>
      </c>
      <c r="AD33" t="s">
        <v>1794</v>
      </c>
      <c r="AE33">
        <v>0</v>
      </c>
      <c r="AF33" t="s">
        <v>1794</v>
      </c>
      <c r="AG33" t="s">
        <v>1794</v>
      </c>
      <c r="AH33" t="s">
        <v>1794</v>
      </c>
    </row>
    <row r="34" spans="1:34" x14ac:dyDescent="0.25">
      <c r="A34" t="s">
        <v>1234</v>
      </c>
      <c r="B34" t="s">
        <v>1098</v>
      </c>
      <c r="C34" t="s">
        <v>258</v>
      </c>
      <c r="D34" t="s">
        <v>259</v>
      </c>
      <c r="E34" t="s">
        <v>1794</v>
      </c>
      <c r="F34" t="s">
        <v>273</v>
      </c>
      <c r="G34" t="s">
        <v>1124</v>
      </c>
      <c r="H34" t="s">
        <v>274</v>
      </c>
      <c r="I34" t="s">
        <v>262</v>
      </c>
      <c r="J34" t="s">
        <v>270</v>
      </c>
      <c r="K34">
        <v>1</v>
      </c>
      <c r="L34">
        <v>1</v>
      </c>
      <c r="M34" t="s">
        <v>33</v>
      </c>
      <c r="N34">
        <v>1</v>
      </c>
      <c r="O34">
        <v>1</v>
      </c>
      <c r="P34">
        <v>1</v>
      </c>
      <c r="Q34" t="s">
        <v>52</v>
      </c>
      <c r="R34">
        <v>1</v>
      </c>
      <c r="S34">
        <v>1</v>
      </c>
      <c r="T34">
        <v>1</v>
      </c>
      <c r="U34" t="s">
        <v>1794</v>
      </c>
      <c r="V34" t="s">
        <v>1794</v>
      </c>
      <c r="W34" t="s">
        <v>1794</v>
      </c>
      <c r="X34">
        <v>1</v>
      </c>
      <c r="Y34" t="s">
        <v>1794</v>
      </c>
      <c r="Z34">
        <v>0</v>
      </c>
      <c r="AA34" t="s">
        <v>1794</v>
      </c>
      <c r="AB34" t="s">
        <v>1794</v>
      </c>
      <c r="AC34" t="s">
        <v>1794</v>
      </c>
      <c r="AD34" t="s">
        <v>1794</v>
      </c>
      <c r="AE34">
        <v>0</v>
      </c>
      <c r="AF34" t="s">
        <v>1794</v>
      </c>
      <c r="AG34" t="s">
        <v>1794</v>
      </c>
      <c r="AH34" t="s">
        <v>1794</v>
      </c>
    </row>
    <row r="35" spans="1:34" x14ac:dyDescent="0.25">
      <c r="A35" t="s">
        <v>1569</v>
      </c>
      <c r="B35" t="s">
        <v>1570</v>
      </c>
      <c r="C35" t="s">
        <v>258</v>
      </c>
      <c r="D35" t="s">
        <v>259</v>
      </c>
      <c r="E35" t="s">
        <v>1794</v>
      </c>
      <c r="F35" t="s">
        <v>273</v>
      </c>
      <c r="G35" t="s">
        <v>1124</v>
      </c>
      <c r="H35" t="s">
        <v>274</v>
      </c>
      <c r="I35" t="s">
        <v>262</v>
      </c>
      <c r="J35" t="s">
        <v>270</v>
      </c>
      <c r="K35">
        <v>1</v>
      </c>
      <c r="L35">
        <v>1</v>
      </c>
      <c r="M35" t="s">
        <v>33</v>
      </c>
      <c r="N35">
        <v>1</v>
      </c>
      <c r="O35">
        <v>1</v>
      </c>
      <c r="P35">
        <v>1</v>
      </c>
      <c r="Q35" t="s">
        <v>52</v>
      </c>
      <c r="R35">
        <v>1</v>
      </c>
      <c r="S35">
        <v>1</v>
      </c>
      <c r="T35">
        <v>1</v>
      </c>
      <c r="U35" t="s">
        <v>1794</v>
      </c>
      <c r="V35" t="s">
        <v>1794</v>
      </c>
      <c r="W35" t="s">
        <v>1794</v>
      </c>
      <c r="X35">
        <v>1</v>
      </c>
      <c r="Y35" t="s">
        <v>1794</v>
      </c>
      <c r="Z35">
        <v>0</v>
      </c>
      <c r="AA35" t="s">
        <v>1794</v>
      </c>
      <c r="AB35" t="s">
        <v>1794</v>
      </c>
      <c r="AC35" t="s">
        <v>1794</v>
      </c>
      <c r="AD35" t="s">
        <v>1794</v>
      </c>
      <c r="AE35">
        <v>0</v>
      </c>
      <c r="AF35" t="s">
        <v>1794</v>
      </c>
      <c r="AG35" t="s">
        <v>1794</v>
      </c>
      <c r="AH35" t="s">
        <v>1794</v>
      </c>
    </row>
    <row r="36" spans="1:34" x14ac:dyDescent="0.25">
      <c r="A36" t="s">
        <v>1143</v>
      </c>
      <c r="B36" t="s">
        <v>1144</v>
      </c>
      <c r="C36" t="s">
        <v>258</v>
      </c>
      <c r="D36" t="s">
        <v>259</v>
      </c>
      <c r="E36" t="s">
        <v>1794</v>
      </c>
      <c r="F36" t="s">
        <v>275</v>
      </c>
      <c r="G36" t="s">
        <v>1124</v>
      </c>
      <c r="H36" t="s">
        <v>276</v>
      </c>
      <c r="I36" t="s">
        <v>262</v>
      </c>
      <c r="J36" t="s">
        <v>270</v>
      </c>
      <c r="K36">
        <v>1</v>
      </c>
      <c r="L36">
        <v>1</v>
      </c>
      <c r="M36" t="s">
        <v>33</v>
      </c>
      <c r="N36">
        <v>1</v>
      </c>
      <c r="O36">
        <v>1</v>
      </c>
      <c r="P36">
        <v>1</v>
      </c>
      <c r="Q36" t="s">
        <v>52</v>
      </c>
      <c r="R36">
        <v>1</v>
      </c>
      <c r="S36">
        <v>1</v>
      </c>
      <c r="T36">
        <v>1</v>
      </c>
      <c r="U36" t="s">
        <v>1794</v>
      </c>
      <c r="V36" t="s">
        <v>1794</v>
      </c>
      <c r="W36" t="s">
        <v>1794</v>
      </c>
      <c r="X36">
        <v>1</v>
      </c>
      <c r="Y36" t="s">
        <v>1794</v>
      </c>
      <c r="Z36">
        <v>0</v>
      </c>
      <c r="AA36" t="s">
        <v>1794</v>
      </c>
      <c r="AB36" t="s">
        <v>1794</v>
      </c>
      <c r="AC36" t="s">
        <v>1794</v>
      </c>
      <c r="AD36" t="s">
        <v>1794</v>
      </c>
      <c r="AE36">
        <v>0</v>
      </c>
      <c r="AF36" t="s">
        <v>1794</v>
      </c>
      <c r="AG36" t="s">
        <v>1794</v>
      </c>
      <c r="AH36" t="s">
        <v>1794</v>
      </c>
    </row>
    <row r="37" spans="1:34" x14ac:dyDescent="0.25">
      <c r="A37" t="s">
        <v>1147</v>
      </c>
      <c r="B37" t="s">
        <v>1148</v>
      </c>
      <c r="C37" t="s">
        <v>258</v>
      </c>
      <c r="D37" t="s">
        <v>259</v>
      </c>
      <c r="E37" t="s">
        <v>1794</v>
      </c>
      <c r="F37" t="s">
        <v>275</v>
      </c>
      <c r="G37" t="s">
        <v>1124</v>
      </c>
      <c r="H37" t="s">
        <v>276</v>
      </c>
      <c r="I37" t="s">
        <v>262</v>
      </c>
      <c r="J37" t="s">
        <v>270</v>
      </c>
      <c r="K37">
        <v>1</v>
      </c>
      <c r="L37">
        <v>1</v>
      </c>
      <c r="M37" t="s">
        <v>33</v>
      </c>
      <c r="N37">
        <v>1</v>
      </c>
      <c r="O37">
        <v>1</v>
      </c>
      <c r="P37">
        <v>1</v>
      </c>
      <c r="Q37" t="s">
        <v>52</v>
      </c>
      <c r="R37">
        <v>1</v>
      </c>
      <c r="S37">
        <v>1</v>
      </c>
      <c r="T37">
        <v>1</v>
      </c>
      <c r="U37" t="s">
        <v>1794</v>
      </c>
      <c r="V37" t="s">
        <v>1794</v>
      </c>
      <c r="W37" t="s">
        <v>1794</v>
      </c>
      <c r="X37">
        <v>1</v>
      </c>
      <c r="Y37" t="s">
        <v>1794</v>
      </c>
      <c r="Z37">
        <v>0</v>
      </c>
      <c r="AA37" t="s">
        <v>1794</v>
      </c>
      <c r="AB37" t="s">
        <v>1794</v>
      </c>
      <c r="AC37" t="s">
        <v>1794</v>
      </c>
      <c r="AD37" t="s">
        <v>1794</v>
      </c>
      <c r="AE37">
        <v>0</v>
      </c>
      <c r="AF37" t="s">
        <v>1794</v>
      </c>
      <c r="AG37" t="s">
        <v>1794</v>
      </c>
      <c r="AH37" t="s">
        <v>1794</v>
      </c>
    </row>
    <row r="38" spans="1:34" x14ac:dyDescent="0.25">
      <c r="A38" t="s">
        <v>1150</v>
      </c>
      <c r="B38" t="s">
        <v>646</v>
      </c>
      <c r="C38" t="s">
        <v>258</v>
      </c>
      <c r="D38" t="s">
        <v>259</v>
      </c>
      <c r="E38" t="s">
        <v>1794</v>
      </c>
      <c r="F38" t="s">
        <v>275</v>
      </c>
      <c r="G38" t="s">
        <v>619</v>
      </c>
      <c r="H38" t="s">
        <v>276</v>
      </c>
      <c r="I38" t="s">
        <v>262</v>
      </c>
      <c r="J38" t="s">
        <v>270</v>
      </c>
      <c r="K38">
        <v>1</v>
      </c>
      <c r="L38">
        <v>1</v>
      </c>
      <c r="M38" t="s">
        <v>33</v>
      </c>
      <c r="N38">
        <v>1</v>
      </c>
      <c r="O38">
        <v>1</v>
      </c>
      <c r="P38">
        <v>1</v>
      </c>
      <c r="Q38" t="s">
        <v>52</v>
      </c>
      <c r="R38">
        <v>1</v>
      </c>
      <c r="S38">
        <v>1</v>
      </c>
      <c r="T38">
        <v>1</v>
      </c>
      <c r="U38" t="s">
        <v>1794</v>
      </c>
      <c r="V38" t="s">
        <v>1794</v>
      </c>
      <c r="W38" t="s">
        <v>1794</v>
      </c>
      <c r="X38">
        <v>1</v>
      </c>
      <c r="Y38" t="s">
        <v>1794</v>
      </c>
      <c r="Z38">
        <v>0</v>
      </c>
      <c r="AA38" t="s">
        <v>1794</v>
      </c>
      <c r="AB38" t="s">
        <v>1794</v>
      </c>
      <c r="AC38" t="s">
        <v>1794</v>
      </c>
      <c r="AD38" t="s">
        <v>1794</v>
      </c>
      <c r="AE38">
        <v>0</v>
      </c>
      <c r="AF38" t="s">
        <v>1794</v>
      </c>
      <c r="AG38" t="s">
        <v>1794</v>
      </c>
      <c r="AH38" t="s">
        <v>1794</v>
      </c>
    </row>
    <row r="39" spans="1:34" x14ac:dyDescent="0.25">
      <c r="A39" t="s">
        <v>1234</v>
      </c>
      <c r="B39" t="s">
        <v>1098</v>
      </c>
      <c r="C39" t="s">
        <v>258</v>
      </c>
      <c r="D39" t="s">
        <v>259</v>
      </c>
      <c r="E39" t="s">
        <v>1794</v>
      </c>
      <c r="F39" t="s">
        <v>275</v>
      </c>
      <c r="G39" t="s">
        <v>1124</v>
      </c>
      <c r="H39" t="s">
        <v>276</v>
      </c>
      <c r="I39" t="s">
        <v>262</v>
      </c>
      <c r="J39" t="s">
        <v>270</v>
      </c>
      <c r="K39">
        <v>1</v>
      </c>
      <c r="L39">
        <v>1</v>
      </c>
      <c r="M39" t="s">
        <v>33</v>
      </c>
      <c r="N39">
        <v>1</v>
      </c>
      <c r="O39">
        <v>1</v>
      </c>
      <c r="P39">
        <v>1</v>
      </c>
      <c r="Q39" t="s">
        <v>52</v>
      </c>
      <c r="R39">
        <v>1</v>
      </c>
      <c r="S39">
        <v>1</v>
      </c>
      <c r="T39">
        <v>1</v>
      </c>
      <c r="U39" t="s">
        <v>1794</v>
      </c>
      <c r="V39" t="s">
        <v>1794</v>
      </c>
      <c r="W39" t="s">
        <v>1794</v>
      </c>
      <c r="X39">
        <v>1</v>
      </c>
      <c r="Y39" t="s">
        <v>1794</v>
      </c>
      <c r="Z39">
        <v>0</v>
      </c>
      <c r="AA39" t="s">
        <v>1794</v>
      </c>
      <c r="AB39" t="s">
        <v>1794</v>
      </c>
      <c r="AC39" t="s">
        <v>1794</v>
      </c>
      <c r="AD39" t="s">
        <v>1794</v>
      </c>
      <c r="AE39">
        <v>0</v>
      </c>
      <c r="AF39" t="s">
        <v>1794</v>
      </c>
      <c r="AG39" t="s">
        <v>1794</v>
      </c>
      <c r="AH39" t="s">
        <v>1794</v>
      </c>
    </row>
    <row r="40" spans="1:34" x14ac:dyDescent="0.25">
      <c r="A40" t="s">
        <v>1569</v>
      </c>
      <c r="B40" t="s">
        <v>1570</v>
      </c>
      <c r="C40" t="s">
        <v>258</v>
      </c>
      <c r="D40" t="s">
        <v>259</v>
      </c>
      <c r="E40" t="s">
        <v>1794</v>
      </c>
      <c r="F40" t="s">
        <v>275</v>
      </c>
      <c r="G40" t="s">
        <v>1124</v>
      </c>
      <c r="H40" t="s">
        <v>276</v>
      </c>
      <c r="I40" t="s">
        <v>262</v>
      </c>
      <c r="J40" t="s">
        <v>270</v>
      </c>
      <c r="K40">
        <v>1</v>
      </c>
      <c r="L40">
        <v>1</v>
      </c>
      <c r="M40" t="s">
        <v>33</v>
      </c>
      <c r="N40">
        <v>1</v>
      </c>
      <c r="O40">
        <v>1</v>
      </c>
      <c r="P40">
        <v>1</v>
      </c>
      <c r="Q40" t="s">
        <v>52</v>
      </c>
      <c r="R40">
        <v>1</v>
      </c>
      <c r="S40">
        <v>1</v>
      </c>
      <c r="T40">
        <v>1</v>
      </c>
      <c r="U40" t="s">
        <v>1794</v>
      </c>
      <c r="V40" t="s">
        <v>1794</v>
      </c>
      <c r="W40" t="s">
        <v>1794</v>
      </c>
      <c r="X40">
        <v>1</v>
      </c>
      <c r="Y40" t="s">
        <v>1794</v>
      </c>
      <c r="Z40">
        <v>0</v>
      </c>
      <c r="AA40" t="s">
        <v>1794</v>
      </c>
      <c r="AB40" t="s">
        <v>1794</v>
      </c>
      <c r="AC40" t="s">
        <v>1794</v>
      </c>
      <c r="AD40" t="s">
        <v>1794</v>
      </c>
      <c r="AE40">
        <v>0</v>
      </c>
      <c r="AF40" t="s">
        <v>1794</v>
      </c>
      <c r="AG40" t="s">
        <v>1794</v>
      </c>
      <c r="AH40" t="s">
        <v>1794</v>
      </c>
    </row>
    <row r="41" spans="1:34" ht="15" customHeight="1" x14ac:dyDescent="0.25">
      <c r="A41" t="s">
        <v>1143</v>
      </c>
      <c r="B41" t="s">
        <v>1144</v>
      </c>
      <c r="C41" t="s">
        <v>258</v>
      </c>
      <c r="D41" t="s">
        <v>259</v>
      </c>
      <c r="E41" t="s">
        <v>1794</v>
      </c>
      <c r="F41" t="s">
        <v>277</v>
      </c>
      <c r="G41" t="s">
        <v>1124</v>
      </c>
      <c r="H41" t="s">
        <v>278</v>
      </c>
      <c r="I41" t="s">
        <v>262</v>
      </c>
      <c r="J41" t="s">
        <v>279</v>
      </c>
      <c r="K41">
        <v>1</v>
      </c>
      <c r="L41">
        <v>1</v>
      </c>
      <c r="M41" t="s">
        <v>33</v>
      </c>
      <c r="N41">
        <v>1</v>
      </c>
      <c r="O41">
        <v>1</v>
      </c>
      <c r="P41">
        <v>1</v>
      </c>
      <c r="Q41" t="s">
        <v>52</v>
      </c>
      <c r="R41">
        <v>1</v>
      </c>
      <c r="S41">
        <v>1</v>
      </c>
      <c r="T41">
        <v>1</v>
      </c>
      <c r="U41" t="s">
        <v>1794</v>
      </c>
      <c r="V41" t="s">
        <v>1794</v>
      </c>
      <c r="W41" t="s">
        <v>1794</v>
      </c>
      <c r="X41">
        <v>1</v>
      </c>
      <c r="Y41" t="s">
        <v>1794</v>
      </c>
      <c r="Z41">
        <v>0</v>
      </c>
      <c r="AA41" t="s">
        <v>1794</v>
      </c>
      <c r="AB41" t="s">
        <v>1794</v>
      </c>
      <c r="AC41" t="s">
        <v>1794</v>
      </c>
      <c r="AD41" t="s">
        <v>1794</v>
      </c>
      <c r="AE41">
        <v>0</v>
      </c>
      <c r="AF41" t="s">
        <v>1794</v>
      </c>
      <c r="AG41" t="s">
        <v>1794</v>
      </c>
      <c r="AH41" t="s">
        <v>1794</v>
      </c>
    </row>
    <row r="42" spans="1:34" ht="15" customHeight="1" x14ac:dyDescent="0.25">
      <c r="A42" t="s">
        <v>1147</v>
      </c>
      <c r="B42" t="s">
        <v>1148</v>
      </c>
      <c r="C42" t="s">
        <v>258</v>
      </c>
      <c r="D42" t="s">
        <v>259</v>
      </c>
      <c r="E42" t="s">
        <v>1794</v>
      </c>
      <c r="F42" t="s">
        <v>277</v>
      </c>
      <c r="G42" t="s">
        <v>1124</v>
      </c>
      <c r="H42" t="s">
        <v>278</v>
      </c>
      <c r="I42" t="s">
        <v>262</v>
      </c>
      <c r="J42" t="s">
        <v>279</v>
      </c>
      <c r="K42">
        <v>1</v>
      </c>
      <c r="L42">
        <v>1</v>
      </c>
      <c r="M42" t="s">
        <v>33</v>
      </c>
      <c r="N42">
        <v>1</v>
      </c>
      <c r="O42">
        <v>1</v>
      </c>
      <c r="P42">
        <v>1</v>
      </c>
      <c r="Q42" t="s">
        <v>52</v>
      </c>
      <c r="R42">
        <v>1</v>
      </c>
      <c r="S42">
        <v>1</v>
      </c>
      <c r="T42">
        <v>1</v>
      </c>
      <c r="U42" t="s">
        <v>1794</v>
      </c>
      <c r="V42" t="s">
        <v>1794</v>
      </c>
      <c r="W42" t="s">
        <v>1794</v>
      </c>
      <c r="X42">
        <v>1</v>
      </c>
      <c r="Y42" t="s">
        <v>1794</v>
      </c>
      <c r="Z42">
        <v>0</v>
      </c>
      <c r="AA42" t="s">
        <v>1794</v>
      </c>
      <c r="AB42" t="s">
        <v>1794</v>
      </c>
      <c r="AC42" t="s">
        <v>1794</v>
      </c>
      <c r="AD42" t="s">
        <v>1794</v>
      </c>
      <c r="AE42">
        <v>0</v>
      </c>
      <c r="AF42" t="s">
        <v>1794</v>
      </c>
      <c r="AG42" t="s">
        <v>1794</v>
      </c>
      <c r="AH42" t="s">
        <v>1794</v>
      </c>
    </row>
    <row r="43" spans="1:34" x14ac:dyDescent="0.25">
      <c r="A43" t="s">
        <v>1150</v>
      </c>
      <c r="B43" t="s">
        <v>646</v>
      </c>
      <c r="C43" t="s">
        <v>258</v>
      </c>
      <c r="D43" t="s">
        <v>259</v>
      </c>
      <c r="E43" t="s">
        <v>1794</v>
      </c>
      <c r="F43" t="s">
        <v>277</v>
      </c>
      <c r="G43" t="s">
        <v>619</v>
      </c>
      <c r="H43" t="s">
        <v>278</v>
      </c>
      <c r="I43" t="s">
        <v>262</v>
      </c>
      <c r="J43" t="s">
        <v>279</v>
      </c>
      <c r="K43">
        <v>1</v>
      </c>
      <c r="L43">
        <v>1</v>
      </c>
      <c r="M43" t="s">
        <v>33</v>
      </c>
      <c r="N43">
        <v>1</v>
      </c>
      <c r="O43">
        <v>1</v>
      </c>
      <c r="P43">
        <v>1</v>
      </c>
      <c r="Q43" t="s">
        <v>52</v>
      </c>
      <c r="R43">
        <v>1</v>
      </c>
      <c r="S43">
        <v>1</v>
      </c>
      <c r="T43">
        <v>1</v>
      </c>
      <c r="U43" t="s">
        <v>1794</v>
      </c>
      <c r="V43" t="s">
        <v>1794</v>
      </c>
      <c r="W43" t="s">
        <v>1794</v>
      </c>
      <c r="X43">
        <v>1</v>
      </c>
      <c r="Y43" t="s">
        <v>1794</v>
      </c>
      <c r="Z43">
        <v>0</v>
      </c>
      <c r="AA43" t="s">
        <v>1794</v>
      </c>
      <c r="AB43" t="s">
        <v>1794</v>
      </c>
      <c r="AC43" t="s">
        <v>1794</v>
      </c>
      <c r="AD43" t="s">
        <v>1794</v>
      </c>
      <c r="AE43">
        <v>0</v>
      </c>
      <c r="AF43" t="s">
        <v>1794</v>
      </c>
      <c r="AG43" t="s">
        <v>1794</v>
      </c>
      <c r="AH43" t="s">
        <v>1794</v>
      </c>
    </row>
    <row r="44" spans="1:34" x14ac:dyDescent="0.25">
      <c r="A44" t="s">
        <v>1234</v>
      </c>
      <c r="B44" t="s">
        <v>1098</v>
      </c>
      <c r="C44" t="s">
        <v>258</v>
      </c>
      <c r="D44" t="s">
        <v>259</v>
      </c>
      <c r="E44" t="s">
        <v>1794</v>
      </c>
      <c r="F44" t="s">
        <v>277</v>
      </c>
      <c r="G44" t="s">
        <v>1124</v>
      </c>
      <c r="H44" t="s">
        <v>278</v>
      </c>
      <c r="I44" t="s">
        <v>262</v>
      </c>
      <c r="J44" t="s">
        <v>279</v>
      </c>
      <c r="K44">
        <v>1</v>
      </c>
      <c r="L44">
        <v>1</v>
      </c>
      <c r="M44" t="s">
        <v>33</v>
      </c>
      <c r="N44">
        <v>1</v>
      </c>
      <c r="O44">
        <v>1</v>
      </c>
      <c r="P44">
        <v>1</v>
      </c>
      <c r="Q44" t="s">
        <v>52</v>
      </c>
      <c r="R44">
        <v>1</v>
      </c>
      <c r="S44">
        <v>1</v>
      </c>
      <c r="T44">
        <v>1</v>
      </c>
      <c r="U44" t="s">
        <v>1794</v>
      </c>
      <c r="V44" t="s">
        <v>1794</v>
      </c>
      <c r="W44" t="s">
        <v>1794</v>
      </c>
      <c r="X44">
        <v>1</v>
      </c>
      <c r="Y44" t="s">
        <v>1794</v>
      </c>
      <c r="Z44">
        <v>0</v>
      </c>
      <c r="AA44" t="s">
        <v>1794</v>
      </c>
      <c r="AB44" t="s">
        <v>1794</v>
      </c>
      <c r="AC44" t="s">
        <v>1794</v>
      </c>
      <c r="AD44" t="s">
        <v>1794</v>
      </c>
      <c r="AE44">
        <v>0</v>
      </c>
      <c r="AF44" t="s">
        <v>1794</v>
      </c>
      <c r="AG44" t="s">
        <v>1794</v>
      </c>
      <c r="AH44" t="s">
        <v>1794</v>
      </c>
    </row>
    <row r="45" spans="1:34" x14ac:dyDescent="0.25">
      <c r="A45" t="s">
        <v>1569</v>
      </c>
      <c r="B45" t="s">
        <v>1570</v>
      </c>
      <c r="C45" t="s">
        <v>258</v>
      </c>
      <c r="D45" t="s">
        <v>259</v>
      </c>
      <c r="E45" t="s">
        <v>1794</v>
      </c>
      <c r="F45" t="s">
        <v>277</v>
      </c>
      <c r="G45" t="s">
        <v>1124</v>
      </c>
      <c r="H45" t="s">
        <v>278</v>
      </c>
      <c r="I45" t="s">
        <v>262</v>
      </c>
      <c r="J45" t="s">
        <v>279</v>
      </c>
      <c r="K45">
        <v>1</v>
      </c>
      <c r="L45">
        <v>1</v>
      </c>
      <c r="M45" t="s">
        <v>33</v>
      </c>
      <c r="N45">
        <v>1</v>
      </c>
      <c r="O45">
        <v>1</v>
      </c>
      <c r="P45">
        <v>1</v>
      </c>
      <c r="Q45" t="s">
        <v>52</v>
      </c>
      <c r="R45">
        <v>1</v>
      </c>
      <c r="S45">
        <v>1</v>
      </c>
      <c r="T45">
        <v>1</v>
      </c>
      <c r="U45" t="s">
        <v>1794</v>
      </c>
      <c r="V45" t="s">
        <v>1794</v>
      </c>
      <c r="W45" t="s">
        <v>1794</v>
      </c>
      <c r="X45">
        <v>1</v>
      </c>
      <c r="Y45" t="s">
        <v>1794</v>
      </c>
      <c r="Z45">
        <v>0</v>
      </c>
      <c r="AA45" t="s">
        <v>1794</v>
      </c>
      <c r="AB45" t="s">
        <v>1794</v>
      </c>
      <c r="AC45" t="s">
        <v>1794</v>
      </c>
      <c r="AD45" t="s">
        <v>1794</v>
      </c>
      <c r="AE45">
        <v>0</v>
      </c>
      <c r="AF45" t="s">
        <v>1794</v>
      </c>
      <c r="AG45" t="s">
        <v>1794</v>
      </c>
      <c r="AH45" t="s">
        <v>1794</v>
      </c>
    </row>
    <row r="46" spans="1:34" x14ac:dyDescent="0.25">
      <c r="A46" t="s">
        <v>1143</v>
      </c>
      <c r="B46" t="s">
        <v>1144</v>
      </c>
      <c r="C46" t="s">
        <v>258</v>
      </c>
      <c r="D46" t="s">
        <v>259</v>
      </c>
      <c r="E46" t="s">
        <v>1794</v>
      </c>
      <c r="F46" t="s">
        <v>280</v>
      </c>
      <c r="G46" t="s">
        <v>1124</v>
      </c>
      <c r="H46" t="s">
        <v>281</v>
      </c>
      <c r="I46" t="s">
        <v>262</v>
      </c>
      <c r="J46" t="s">
        <v>279</v>
      </c>
      <c r="K46">
        <v>15</v>
      </c>
      <c r="L46">
        <v>15</v>
      </c>
      <c r="M46" t="s">
        <v>33</v>
      </c>
      <c r="N46">
        <v>1</v>
      </c>
      <c r="O46">
        <v>0</v>
      </c>
      <c r="P46">
        <v>0</v>
      </c>
      <c r="Q46" t="s">
        <v>52</v>
      </c>
      <c r="R46">
        <v>15</v>
      </c>
      <c r="S46">
        <v>15</v>
      </c>
      <c r="T46">
        <v>15</v>
      </c>
      <c r="U46" t="s">
        <v>1794</v>
      </c>
      <c r="V46" t="s">
        <v>1794</v>
      </c>
      <c r="W46" t="s">
        <v>1794</v>
      </c>
      <c r="X46">
        <v>1</v>
      </c>
      <c r="Y46" t="s">
        <v>1794</v>
      </c>
      <c r="Z46">
        <v>0</v>
      </c>
      <c r="AA46" t="s">
        <v>1794</v>
      </c>
      <c r="AB46" t="s">
        <v>1794</v>
      </c>
      <c r="AC46" t="s">
        <v>1794</v>
      </c>
      <c r="AD46" t="s">
        <v>1794</v>
      </c>
      <c r="AE46">
        <v>0</v>
      </c>
      <c r="AF46" t="s">
        <v>1794</v>
      </c>
      <c r="AG46" t="s">
        <v>1794</v>
      </c>
      <c r="AH46" t="s">
        <v>1794</v>
      </c>
    </row>
    <row r="47" spans="1:34" x14ac:dyDescent="0.25">
      <c r="A47" t="s">
        <v>1147</v>
      </c>
      <c r="B47" t="s">
        <v>1148</v>
      </c>
      <c r="C47" t="s">
        <v>258</v>
      </c>
      <c r="D47" t="s">
        <v>259</v>
      </c>
      <c r="E47" t="s">
        <v>1794</v>
      </c>
      <c r="F47" t="s">
        <v>280</v>
      </c>
      <c r="G47" t="s">
        <v>1124</v>
      </c>
      <c r="H47" t="s">
        <v>281</v>
      </c>
      <c r="I47" t="s">
        <v>262</v>
      </c>
      <c r="J47" t="s">
        <v>279</v>
      </c>
      <c r="K47">
        <v>15</v>
      </c>
      <c r="L47">
        <v>15</v>
      </c>
      <c r="M47" t="s">
        <v>33</v>
      </c>
      <c r="N47">
        <v>1</v>
      </c>
      <c r="O47">
        <v>0</v>
      </c>
      <c r="P47">
        <v>0</v>
      </c>
      <c r="Q47" t="s">
        <v>52</v>
      </c>
      <c r="R47">
        <v>15</v>
      </c>
      <c r="S47">
        <v>15</v>
      </c>
      <c r="T47">
        <v>15</v>
      </c>
      <c r="U47" t="s">
        <v>1794</v>
      </c>
      <c r="V47" t="s">
        <v>1794</v>
      </c>
      <c r="W47" t="s">
        <v>1794</v>
      </c>
      <c r="X47">
        <v>1</v>
      </c>
      <c r="Y47" t="s">
        <v>1794</v>
      </c>
      <c r="Z47">
        <v>0</v>
      </c>
      <c r="AA47" t="s">
        <v>1794</v>
      </c>
      <c r="AB47" t="s">
        <v>1794</v>
      </c>
      <c r="AC47" t="s">
        <v>1794</v>
      </c>
      <c r="AD47" t="s">
        <v>1794</v>
      </c>
      <c r="AE47">
        <v>0</v>
      </c>
      <c r="AF47" t="s">
        <v>1794</v>
      </c>
      <c r="AG47" t="s">
        <v>1794</v>
      </c>
      <c r="AH47" t="s">
        <v>1794</v>
      </c>
    </row>
    <row r="48" spans="1:34" x14ac:dyDescent="0.25">
      <c r="A48" t="s">
        <v>1150</v>
      </c>
      <c r="B48" t="s">
        <v>646</v>
      </c>
      <c r="C48" t="s">
        <v>258</v>
      </c>
      <c r="D48" t="s">
        <v>259</v>
      </c>
      <c r="E48" t="s">
        <v>1794</v>
      </c>
      <c r="F48" t="s">
        <v>280</v>
      </c>
      <c r="G48" t="s">
        <v>619</v>
      </c>
      <c r="H48" t="s">
        <v>281</v>
      </c>
      <c r="I48" t="s">
        <v>262</v>
      </c>
      <c r="J48" t="s">
        <v>279</v>
      </c>
      <c r="K48">
        <v>15</v>
      </c>
      <c r="L48">
        <v>15</v>
      </c>
      <c r="M48" t="s">
        <v>33</v>
      </c>
      <c r="N48">
        <v>1</v>
      </c>
      <c r="O48">
        <v>0</v>
      </c>
      <c r="P48">
        <v>0</v>
      </c>
      <c r="Q48" t="s">
        <v>52</v>
      </c>
      <c r="R48">
        <v>15</v>
      </c>
      <c r="S48">
        <v>15</v>
      </c>
      <c r="T48">
        <v>15</v>
      </c>
      <c r="U48" t="s">
        <v>1794</v>
      </c>
      <c r="V48" t="s">
        <v>1794</v>
      </c>
      <c r="W48" t="s">
        <v>1794</v>
      </c>
      <c r="X48">
        <v>1</v>
      </c>
      <c r="Y48" t="s">
        <v>1794</v>
      </c>
      <c r="Z48">
        <v>0</v>
      </c>
      <c r="AA48" t="s">
        <v>1794</v>
      </c>
      <c r="AB48" t="s">
        <v>1794</v>
      </c>
      <c r="AC48" t="s">
        <v>1794</v>
      </c>
      <c r="AD48" t="s">
        <v>1794</v>
      </c>
      <c r="AE48">
        <v>0</v>
      </c>
      <c r="AF48" t="s">
        <v>1794</v>
      </c>
      <c r="AG48" t="s">
        <v>1794</v>
      </c>
      <c r="AH48" t="s">
        <v>1794</v>
      </c>
    </row>
    <row r="49" spans="1:34" ht="48" customHeight="1" x14ac:dyDescent="0.25">
      <c r="A49" t="s">
        <v>1234</v>
      </c>
      <c r="B49" t="s">
        <v>1098</v>
      </c>
      <c r="C49" t="s">
        <v>258</v>
      </c>
      <c r="D49" t="s">
        <v>259</v>
      </c>
      <c r="E49" t="s">
        <v>1794</v>
      </c>
      <c r="F49" t="s">
        <v>280</v>
      </c>
      <c r="G49" t="s">
        <v>1124</v>
      </c>
      <c r="H49" t="s">
        <v>281</v>
      </c>
      <c r="I49" t="s">
        <v>262</v>
      </c>
      <c r="J49" t="s">
        <v>279</v>
      </c>
      <c r="K49">
        <v>15</v>
      </c>
      <c r="L49">
        <v>15</v>
      </c>
      <c r="M49" t="s">
        <v>33</v>
      </c>
      <c r="N49">
        <v>1</v>
      </c>
      <c r="O49">
        <v>0</v>
      </c>
      <c r="P49">
        <v>0</v>
      </c>
      <c r="Q49" t="s">
        <v>52</v>
      </c>
      <c r="R49">
        <v>15</v>
      </c>
      <c r="S49">
        <v>15</v>
      </c>
      <c r="T49">
        <v>15</v>
      </c>
      <c r="U49" t="s">
        <v>1794</v>
      </c>
      <c r="V49" t="s">
        <v>1794</v>
      </c>
      <c r="W49" t="s">
        <v>1794</v>
      </c>
      <c r="X49">
        <v>1</v>
      </c>
      <c r="Y49" t="s">
        <v>1794</v>
      </c>
      <c r="Z49">
        <v>0</v>
      </c>
      <c r="AA49" t="s">
        <v>1794</v>
      </c>
      <c r="AB49" t="s">
        <v>1794</v>
      </c>
      <c r="AC49" t="s">
        <v>1794</v>
      </c>
      <c r="AD49" t="s">
        <v>1794</v>
      </c>
      <c r="AE49">
        <v>0</v>
      </c>
      <c r="AF49" t="s">
        <v>1794</v>
      </c>
      <c r="AG49" t="s">
        <v>1794</v>
      </c>
      <c r="AH49" t="s">
        <v>1794</v>
      </c>
    </row>
    <row r="50" spans="1:34" x14ac:dyDescent="0.25">
      <c r="A50" t="s">
        <v>446</v>
      </c>
      <c r="B50" t="s">
        <v>1269</v>
      </c>
      <c r="C50" t="s">
        <v>258</v>
      </c>
      <c r="D50" t="s">
        <v>259</v>
      </c>
      <c r="E50" t="s">
        <v>1794</v>
      </c>
      <c r="F50" t="s">
        <v>280</v>
      </c>
      <c r="G50" t="s">
        <v>1124</v>
      </c>
      <c r="H50" t="s">
        <v>281</v>
      </c>
      <c r="I50" t="s">
        <v>262</v>
      </c>
      <c r="J50" t="s">
        <v>279</v>
      </c>
      <c r="K50">
        <v>15</v>
      </c>
      <c r="L50">
        <v>15</v>
      </c>
      <c r="M50" t="s">
        <v>33</v>
      </c>
      <c r="N50">
        <v>1</v>
      </c>
      <c r="O50">
        <v>0</v>
      </c>
      <c r="P50">
        <v>0</v>
      </c>
      <c r="Q50" t="s">
        <v>52</v>
      </c>
      <c r="R50">
        <v>15</v>
      </c>
      <c r="S50">
        <v>15</v>
      </c>
      <c r="T50">
        <v>15</v>
      </c>
      <c r="U50" t="s">
        <v>1794</v>
      </c>
      <c r="V50" t="s">
        <v>1794</v>
      </c>
      <c r="W50" t="s">
        <v>1794</v>
      </c>
      <c r="X50">
        <v>1</v>
      </c>
      <c r="Y50" t="s">
        <v>1794</v>
      </c>
      <c r="Z50">
        <v>0</v>
      </c>
      <c r="AA50" t="s">
        <v>1794</v>
      </c>
      <c r="AB50" t="s">
        <v>1794</v>
      </c>
      <c r="AC50" t="s">
        <v>1794</v>
      </c>
      <c r="AD50" t="s">
        <v>1794</v>
      </c>
      <c r="AE50">
        <v>0</v>
      </c>
      <c r="AF50" t="s">
        <v>1794</v>
      </c>
      <c r="AG50" t="s">
        <v>1794</v>
      </c>
      <c r="AH50" t="s">
        <v>1794</v>
      </c>
    </row>
    <row r="51" spans="1:34" x14ac:dyDescent="0.25">
      <c r="A51" t="s">
        <v>1143</v>
      </c>
      <c r="B51" t="s">
        <v>1144</v>
      </c>
      <c r="C51" t="s">
        <v>258</v>
      </c>
      <c r="D51" t="s">
        <v>259</v>
      </c>
      <c r="E51" t="s">
        <v>1794</v>
      </c>
      <c r="F51" t="s">
        <v>280</v>
      </c>
      <c r="G51" t="s">
        <v>1124</v>
      </c>
      <c r="H51" t="s">
        <v>282</v>
      </c>
      <c r="I51" t="s">
        <v>262</v>
      </c>
      <c r="J51" t="s">
        <v>279</v>
      </c>
      <c r="K51">
        <v>1</v>
      </c>
      <c r="L51">
        <v>1</v>
      </c>
      <c r="M51" t="s">
        <v>33</v>
      </c>
      <c r="N51">
        <v>1</v>
      </c>
      <c r="O51">
        <v>1</v>
      </c>
      <c r="P51">
        <v>1</v>
      </c>
      <c r="Q51" t="s">
        <v>52</v>
      </c>
      <c r="R51">
        <v>1</v>
      </c>
      <c r="S51">
        <v>1</v>
      </c>
      <c r="T51">
        <v>1</v>
      </c>
      <c r="U51" t="s">
        <v>1794</v>
      </c>
      <c r="V51" t="s">
        <v>1794</v>
      </c>
      <c r="W51" t="s">
        <v>1794</v>
      </c>
      <c r="X51">
        <v>1</v>
      </c>
      <c r="Y51" t="s">
        <v>1794</v>
      </c>
      <c r="Z51">
        <v>0</v>
      </c>
      <c r="AA51" t="s">
        <v>1794</v>
      </c>
      <c r="AB51" t="s">
        <v>1794</v>
      </c>
      <c r="AC51" t="s">
        <v>1794</v>
      </c>
      <c r="AD51" t="s">
        <v>1794</v>
      </c>
      <c r="AE51">
        <v>0</v>
      </c>
      <c r="AF51" t="s">
        <v>1794</v>
      </c>
      <c r="AG51" t="s">
        <v>1794</v>
      </c>
      <c r="AH51" t="s">
        <v>1794</v>
      </c>
    </row>
    <row r="52" spans="1:34" x14ac:dyDescent="0.25">
      <c r="A52" t="s">
        <v>1147</v>
      </c>
      <c r="B52" t="s">
        <v>1148</v>
      </c>
      <c r="C52" t="s">
        <v>258</v>
      </c>
      <c r="D52" t="s">
        <v>259</v>
      </c>
      <c r="E52" t="s">
        <v>1794</v>
      </c>
      <c r="F52" t="s">
        <v>280</v>
      </c>
      <c r="G52" t="s">
        <v>1124</v>
      </c>
      <c r="H52" t="s">
        <v>282</v>
      </c>
      <c r="I52" t="s">
        <v>262</v>
      </c>
      <c r="J52" t="s">
        <v>279</v>
      </c>
      <c r="K52">
        <v>1</v>
      </c>
      <c r="L52">
        <v>1</v>
      </c>
      <c r="M52" t="s">
        <v>33</v>
      </c>
      <c r="N52">
        <v>1</v>
      </c>
      <c r="O52">
        <v>1</v>
      </c>
      <c r="P52">
        <v>1</v>
      </c>
      <c r="Q52" t="s">
        <v>52</v>
      </c>
      <c r="R52">
        <v>1</v>
      </c>
      <c r="S52">
        <v>1</v>
      </c>
      <c r="T52">
        <v>1</v>
      </c>
      <c r="U52" t="s">
        <v>1794</v>
      </c>
      <c r="V52" t="s">
        <v>1794</v>
      </c>
      <c r="W52" t="s">
        <v>1794</v>
      </c>
      <c r="X52">
        <v>1</v>
      </c>
      <c r="Y52" t="s">
        <v>1794</v>
      </c>
      <c r="Z52">
        <v>0</v>
      </c>
      <c r="AA52" t="s">
        <v>1794</v>
      </c>
      <c r="AB52" t="s">
        <v>1794</v>
      </c>
      <c r="AC52" t="s">
        <v>1794</v>
      </c>
      <c r="AD52" t="s">
        <v>1794</v>
      </c>
      <c r="AE52">
        <v>0</v>
      </c>
      <c r="AF52" t="s">
        <v>1794</v>
      </c>
      <c r="AG52" t="s">
        <v>1794</v>
      </c>
      <c r="AH52" t="s">
        <v>1794</v>
      </c>
    </row>
    <row r="53" spans="1:34" x14ac:dyDescent="0.25">
      <c r="A53" t="s">
        <v>1150</v>
      </c>
      <c r="B53" t="s">
        <v>646</v>
      </c>
      <c r="C53" t="s">
        <v>258</v>
      </c>
      <c r="D53" t="s">
        <v>259</v>
      </c>
      <c r="E53" t="s">
        <v>1794</v>
      </c>
      <c r="F53" t="s">
        <v>280</v>
      </c>
      <c r="G53" t="s">
        <v>619</v>
      </c>
      <c r="H53" t="s">
        <v>282</v>
      </c>
      <c r="I53" t="s">
        <v>262</v>
      </c>
      <c r="J53" t="s">
        <v>279</v>
      </c>
      <c r="K53">
        <v>1</v>
      </c>
      <c r="L53">
        <v>1</v>
      </c>
      <c r="M53" t="s">
        <v>33</v>
      </c>
      <c r="N53">
        <v>1</v>
      </c>
      <c r="O53">
        <v>1</v>
      </c>
      <c r="P53">
        <v>1</v>
      </c>
      <c r="Q53" t="s">
        <v>52</v>
      </c>
      <c r="R53">
        <v>1</v>
      </c>
      <c r="S53">
        <v>1</v>
      </c>
      <c r="T53">
        <v>1</v>
      </c>
      <c r="U53" t="s">
        <v>1794</v>
      </c>
      <c r="V53" t="s">
        <v>1794</v>
      </c>
      <c r="W53" t="s">
        <v>1794</v>
      </c>
      <c r="X53">
        <v>1</v>
      </c>
      <c r="Y53" t="s">
        <v>1794</v>
      </c>
      <c r="Z53">
        <v>0</v>
      </c>
      <c r="AA53" t="s">
        <v>1794</v>
      </c>
      <c r="AB53" t="s">
        <v>1794</v>
      </c>
      <c r="AC53" t="s">
        <v>1794</v>
      </c>
      <c r="AD53" t="s">
        <v>1794</v>
      </c>
      <c r="AE53">
        <v>0</v>
      </c>
      <c r="AF53" t="s">
        <v>1794</v>
      </c>
      <c r="AG53" t="s">
        <v>1794</v>
      </c>
      <c r="AH53" t="s">
        <v>1794</v>
      </c>
    </row>
    <row r="54" spans="1:34" x14ac:dyDescent="0.25">
      <c r="A54" t="s">
        <v>1234</v>
      </c>
      <c r="B54" t="s">
        <v>1098</v>
      </c>
      <c r="C54" t="s">
        <v>258</v>
      </c>
      <c r="D54" t="s">
        <v>259</v>
      </c>
      <c r="E54" t="s">
        <v>1794</v>
      </c>
      <c r="F54" t="s">
        <v>280</v>
      </c>
      <c r="G54" t="s">
        <v>1124</v>
      </c>
      <c r="H54" t="s">
        <v>282</v>
      </c>
      <c r="I54" t="s">
        <v>262</v>
      </c>
      <c r="J54" t="s">
        <v>279</v>
      </c>
      <c r="K54">
        <v>1</v>
      </c>
      <c r="L54">
        <v>1</v>
      </c>
      <c r="M54" t="s">
        <v>33</v>
      </c>
      <c r="N54">
        <v>1</v>
      </c>
      <c r="O54">
        <v>1</v>
      </c>
      <c r="P54">
        <v>1</v>
      </c>
      <c r="Q54" t="s">
        <v>52</v>
      </c>
      <c r="R54">
        <v>1</v>
      </c>
      <c r="S54">
        <v>1</v>
      </c>
      <c r="T54">
        <v>1</v>
      </c>
      <c r="U54" t="s">
        <v>1794</v>
      </c>
      <c r="V54" t="s">
        <v>1794</v>
      </c>
      <c r="W54" t="s">
        <v>1794</v>
      </c>
      <c r="X54">
        <v>1</v>
      </c>
      <c r="Y54" t="s">
        <v>1794</v>
      </c>
      <c r="Z54">
        <v>0</v>
      </c>
      <c r="AA54" t="s">
        <v>1794</v>
      </c>
      <c r="AB54" t="s">
        <v>1794</v>
      </c>
      <c r="AC54" t="s">
        <v>1794</v>
      </c>
      <c r="AD54" t="s">
        <v>1794</v>
      </c>
      <c r="AE54">
        <v>0</v>
      </c>
      <c r="AF54" t="s">
        <v>1794</v>
      </c>
      <c r="AG54" t="s">
        <v>1794</v>
      </c>
      <c r="AH54" t="s">
        <v>1794</v>
      </c>
    </row>
    <row r="55" spans="1:34" x14ac:dyDescent="0.25">
      <c r="A55" t="s">
        <v>446</v>
      </c>
      <c r="B55" t="s">
        <v>1269</v>
      </c>
      <c r="C55" t="s">
        <v>258</v>
      </c>
      <c r="D55" t="s">
        <v>259</v>
      </c>
      <c r="E55" t="s">
        <v>1794</v>
      </c>
      <c r="F55" t="s">
        <v>280</v>
      </c>
      <c r="G55" t="s">
        <v>1124</v>
      </c>
      <c r="H55" t="s">
        <v>282</v>
      </c>
      <c r="I55" t="s">
        <v>262</v>
      </c>
      <c r="J55" t="s">
        <v>279</v>
      </c>
      <c r="K55">
        <v>1</v>
      </c>
      <c r="L55">
        <v>1</v>
      </c>
      <c r="M55" t="s">
        <v>33</v>
      </c>
      <c r="N55">
        <v>1</v>
      </c>
      <c r="O55">
        <v>1</v>
      </c>
      <c r="P55">
        <v>1</v>
      </c>
      <c r="Q55" t="s">
        <v>52</v>
      </c>
      <c r="R55">
        <v>1</v>
      </c>
      <c r="S55">
        <v>1</v>
      </c>
      <c r="T55">
        <v>1</v>
      </c>
      <c r="U55" t="s">
        <v>1794</v>
      </c>
      <c r="V55" t="s">
        <v>1794</v>
      </c>
      <c r="W55" t="s">
        <v>1794</v>
      </c>
      <c r="X55">
        <v>1</v>
      </c>
      <c r="Y55" t="s">
        <v>1794</v>
      </c>
      <c r="Z55">
        <v>0</v>
      </c>
      <c r="AA55" t="s">
        <v>1794</v>
      </c>
      <c r="AB55" t="s">
        <v>1794</v>
      </c>
      <c r="AC55" t="s">
        <v>1794</v>
      </c>
      <c r="AD55" t="s">
        <v>1794</v>
      </c>
      <c r="AE55">
        <v>0</v>
      </c>
      <c r="AF55" t="s">
        <v>1794</v>
      </c>
      <c r="AG55" t="s">
        <v>1794</v>
      </c>
      <c r="AH55" t="s">
        <v>1794</v>
      </c>
    </row>
    <row r="56" spans="1:34" x14ac:dyDescent="0.25">
      <c r="A56" t="s">
        <v>1143</v>
      </c>
      <c r="B56" t="s">
        <v>1144</v>
      </c>
      <c r="C56" t="s">
        <v>258</v>
      </c>
      <c r="D56" t="s">
        <v>259</v>
      </c>
      <c r="E56" t="s">
        <v>1794</v>
      </c>
      <c r="F56" t="s">
        <v>280</v>
      </c>
      <c r="G56" t="s">
        <v>1124</v>
      </c>
      <c r="H56" t="s">
        <v>282</v>
      </c>
      <c r="I56" t="s">
        <v>283</v>
      </c>
      <c r="J56" t="s">
        <v>279</v>
      </c>
      <c r="K56">
        <v>2</v>
      </c>
      <c r="L56">
        <v>1</v>
      </c>
      <c r="M56" t="s">
        <v>33</v>
      </c>
      <c r="N56">
        <v>1</v>
      </c>
      <c r="O56">
        <v>0.5</v>
      </c>
      <c r="P56">
        <v>0.5</v>
      </c>
      <c r="Q56" t="s">
        <v>45</v>
      </c>
      <c r="R56">
        <v>1</v>
      </c>
      <c r="S56">
        <v>1</v>
      </c>
      <c r="T56">
        <v>1</v>
      </c>
      <c r="U56" t="s">
        <v>1794</v>
      </c>
      <c r="V56" t="s">
        <v>1794</v>
      </c>
      <c r="W56" t="s">
        <v>1794</v>
      </c>
      <c r="X56">
        <v>1</v>
      </c>
      <c r="Y56" t="s">
        <v>1794</v>
      </c>
      <c r="Z56">
        <v>0</v>
      </c>
      <c r="AA56" t="s">
        <v>1794</v>
      </c>
      <c r="AB56" t="s">
        <v>1794</v>
      </c>
      <c r="AC56" t="s">
        <v>1794</v>
      </c>
      <c r="AD56" t="s">
        <v>1794</v>
      </c>
      <c r="AE56">
        <v>0</v>
      </c>
      <c r="AF56" t="s">
        <v>1794</v>
      </c>
      <c r="AG56" t="s">
        <v>1794</v>
      </c>
      <c r="AH56" t="s">
        <v>1794</v>
      </c>
    </row>
    <row r="57" spans="1:34" x14ac:dyDescent="0.25">
      <c r="A57" t="s">
        <v>1147</v>
      </c>
      <c r="B57" t="s">
        <v>1148</v>
      </c>
      <c r="C57" t="s">
        <v>258</v>
      </c>
      <c r="D57" t="s">
        <v>259</v>
      </c>
      <c r="E57" t="s">
        <v>1794</v>
      </c>
      <c r="F57" t="s">
        <v>280</v>
      </c>
      <c r="G57" t="s">
        <v>1124</v>
      </c>
      <c r="H57" t="s">
        <v>282</v>
      </c>
      <c r="I57" t="s">
        <v>283</v>
      </c>
      <c r="J57" t="s">
        <v>279</v>
      </c>
      <c r="K57">
        <v>2</v>
      </c>
      <c r="L57">
        <v>1</v>
      </c>
      <c r="M57" t="s">
        <v>33</v>
      </c>
      <c r="N57">
        <v>1</v>
      </c>
      <c r="O57">
        <v>0.5</v>
      </c>
      <c r="P57">
        <v>0.5</v>
      </c>
      <c r="Q57" t="s">
        <v>45</v>
      </c>
      <c r="R57">
        <v>1</v>
      </c>
      <c r="S57">
        <v>1</v>
      </c>
      <c r="T57">
        <v>1</v>
      </c>
      <c r="U57" t="s">
        <v>1794</v>
      </c>
      <c r="V57" t="s">
        <v>1794</v>
      </c>
      <c r="W57" t="s">
        <v>1794</v>
      </c>
      <c r="X57">
        <v>1</v>
      </c>
      <c r="Y57" t="s">
        <v>1794</v>
      </c>
      <c r="Z57">
        <v>0</v>
      </c>
      <c r="AA57" t="s">
        <v>1794</v>
      </c>
      <c r="AB57" t="s">
        <v>1794</v>
      </c>
      <c r="AC57" t="s">
        <v>1794</v>
      </c>
      <c r="AD57" t="s">
        <v>1794</v>
      </c>
      <c r="AE57">
        <v>0</v>
      </c>
      <c r="AF57" t="s">
        <v>1794</v>
      </c>
      <c r="AG57" t="s">
        <v>1794</v>
      </c>
      <c r="AH57" t="s">
        <v>1794</v>
      </c>
    </row>
    <row r="58" spans="1:34" x14ac:dyDescent="0.25">
      <c r="A58" t="s">
        <v>1150</v>
      </c>
      <c r="B58" t="s">
        <v>646</v>
      </c>
      <c r="C58" t="s">
        <v>258</v>
      </c>
      <c r="D58" t="s">
        <v>259</v>
      </c>
      <c r="E58" t="s">
        <v>1794</v>
      </c>
      <c r="F58" t="s">
        <v>280</v>
      </c>
      <c r="G58" t="s">
        <v>619</v>
      </c>
      <c r="H58" t="s">
        <v>282</v>
      </c>
      <c r="I58" t="s">
        <v>283</v>
      </c>
      <c r="J58" t="s">
        <v>279</v>
      </c>
      <c r="K58">
        <v>2</v>
      </c>
      <c r="L58">
        <v>1</v>
      </c>
      <c r="M58" t="s">
        <v>33</v>
      </c>
      <c r="N58">
        <v>1</v>
      </c>
      <c r="O58">
        <v>0.5</v>
      </c>
      <c r="P58">
        <v>0.5</v>
      </c>
      <c r="Q58" t="s">
        <v>45</v>
      </c>
      <c r="R58">
        <v>1</v>
      </c>
      <c r="S58">
        <v>1</v>
      </c>
      <c r="T58">
        <v>1</v>
      </c>
      <c r="U58" t="s">
        <v>1794</v>
      </c>
      <c r="V58" t="s">
        <v>1794</v>
      </c>
      <c r="W58" t="s">
        <v>1794</v>
      </c>
      <c r="X58">
        <v>1</v>
      </c>
      <c r="Y58" t="s">
        <v>1794</v>
      </c>
      <c r="Z58">
        <v>0</v>
      </c>
      <c r="AA58" t="s">
        <v>1794</v>
      </c>
      <c r="AB58" t="s">
        <v>1794</v>
      </c>
      <c r="AC58" t="s">
        <v>1794</v>
      </c>
      <c r="AD58" t="s">
        <v>1794</v>
      </c>
      <c r="AE58">
        <v>0</v>
      </c>
      <c r="AF58" t="s">
        <v>1794</v>
      </c>
      <c r="AG58" t="s">
        <v>1794</v>
      </c>
      <c r="AH58" t="s">
        <v>1794</v>
      </c>
    </row>
    <row r="59" spans="1:34" x14ac:dyDescent="0.25">
      <c r="A59" t="s">
        <v>1234</v>
      </c>
      <c r="B59" t="s">
        <v>1098</v>
      </c>
      <c r="C59" t="s">
        <v>258</v>
      </c>
      <c r="D59" t="s">
        <v>259</v>
      </c>
      <c r="E59" t="s">
        <v>1794</v>
      </c>
      <c r="F59" t="s">
        <v>280</v>
      </c>
      <c r="G59" t="s">
        <v>1124</v>
      </c>
      <c r="H59" t="s">
        <v>282</v>
      </c>
      <c r="I59" t="s">
        <v>283</v>
      </c>
      <c r="J59" t="s">
        <v>279</v>
      </c>
      <c r="K59">
        <v>2</v>
      </c>
      <c r="L59">
        <v>1</v>
      </c>
      <c r="M59" t="s">
        <v>33</v>
      </c>
      <c r="N59">
        <v>1</v>
      </c>
      <c r="O59">
        <v>0.5</v>
      </c>
      <c r="P59">
        <v>0.5</v>
      </c>
      <c r="Q59" t="s">
        <v>45</v>
      </c>
      <c r="R59">
        <v>1</v>
      </c>
      <c r="S59">
        <v>1</v>
      </c>
      <c r="T59">
        <v>1</v>
      </c>
      <c r="U59" t="s">
        <v>1794</v>
      </c>
      <c r="V59" t="s">
        <v>1794</v>
      </c>
      <c r="W59" t="s">
        <v>1794</v>
      </c>
      <c r="X59">
        <v>1</v>
      </c>
      <c r="Y59" t="s">
        <v>1794</v>
      </c>
      <c r="Z59">
        <v>0</v>
      </c>
      <c r="AA59" t="s">
        <v>1794</v>
      </c>
      <c r="AB59" t="s">
        <v>1794</v>
      </c>
      <c r="AC59" t="s">
        <v>1794</v>
      </c>
      <c r="AD59" t="s">
        <v>1794</v>
      </c>
      <c r="AE59">
        <v>0</v>
      </c>
      <c r="AF59" t="s">
        <v>1794</v>
      </c>
      <c r="AG59" t="s">
        <v>1794</v>
      </c>
      <c r="AH59" t="s">
        <v>1794</v>
      </c>
    </row>
    <row r="60" spans="1:34" x14ac:dyDescent="0.25">
      <c r="A60" t="s">
        <v>446</v>
      </c>
      <c r="B60" t="s">
        <v>1269</v>
      </c>
      <c r="C60" t="s">
        <v>258</v>
      </c>
      <c r="D60" t="s">
        <v>259</v>
      </c>
      <c r="E60" t="s">
        <v>1794</v>
      </c>
      <c r="F60" t="s">
        <v>280</v>
      </c>
      <c r="G60" t="s">
        <v>1124</v>
      </c>
      <c r="H60" t="s">
        <v>282</v>
      </c>
      <c r="I60" t="s">
        <v>283</v>
      </c>
      <c r="J60" t="s">
        <v>279</v>
      </c>
      <c r="K60">
        <v>2</v>
      </c>
      <c r="L60">
        <v>1</v>
      </c>
      <c r="M60" t="s">
        <v>33</v>
      </c>
      <c r="N60">
        <v>1</v>
      </c>
      <c r="O60">
        <v>0.5</v>
      </c>
      <c r="P60">
        <v>0.5</v>
      </c>
      <c r="Q60" t="s">
        <v>45</v>
      </c>
      <c r="R60">
        <v>1</v>
      </c>
      <c r="S60">
        <v>1</v>
      </c>
      <c r="T60">
        <v>1</v>
      </c>
      <c r="U60" t="s">
        <v>1794</v>
      </c>
      <c r="V60" t="s">
        <v>1794</v>
      </c>
      <c r="W60" t="s">
        <v>1794</v>
      </c>
      <c r="X60">
        <v>1</v>
      </c>
      <c r="Y60" t="s">
        <v>1794</v>
      </c>
      <c r="Z60">
        <v>0</v>
      </c>
      <c r="AA60" t="s">
        <v>1794</v>
      </c>
      <c r="AB60" t="s">
        <v>1794</v>
      </c>
      <c r="AC60" t="s">
        <v>1794</v>
      </c>
      <c r="AD60" t="s">
        <v>1794</v>
      </c>
      <c r="AE60">
        <v>0</v>
      </c>
      <c r="AF60" t="s">
        <v>1794</v>
      </c>
      <c r="AG60" t="s">
        <v>1794</v>
      </c>
      <c r="AH60" t="s">
        <v>1794</v>
      </c>
    </row>
    <row r="61" spans="1:34" ht="14.45" customHeight="1" x14ac:dyDescent="0.25">
      <c r="A61" t="s">
        <v>1143</v>
      </c>
      <c r="B61" t="s">
        <v>1144</v>
      </c>
      <c r="C61" t="s">
        <v>258</v>
      </c>
      <c r="D61" t="s">
        <v>259</v>
      </c>
      <c r="E61" t="s">
        <v>1794</v>
      </c>
      <c r="F61" t="s">
        <v>284</v>
      </c>
      <c r="G61" t="s">
        <v>1124</v>
      </c>
      <c r="H61" t="s">
        <v>285</v>
      </c>
      <c r="I61" t="s">
        <v>262</v>
      </c>
      <c r="J61" t="s">
        <v>279</v>
      </c>
      <c r="K61">
        <v>1</v>
      </c>
      <c r="L61">
        <v>1</v>
      </c>
      <c r="M61" t="s">
        <v>33</v>
      </c>
      <c r="N61">
        <v>1</v>
      </c>
      <c r="O61">
        <v>1</v>
      </c>
      <c r="P61">
        <v>1</v>
      </c>
      <c r="Q61" t="s">
        <v>52</v>
      </c>
      <c r="R61">
        <v>1</v>
      </c>
      <c r="S61">
        <v>1</v>
      </c>
      <c r="T61">
        <v>1</v>
      </c>
      <c r="U61" t="s">
        <v>1794</v>
      </c>
      <c r="V61" t="s">
        <v>1794</v>
      </c>
      <c r="W61" t="s">
        <v>1794</v>
      </c>
      <c r="X61">
        <v>1</v>
      </c>
      <c r="Y61" t="s">
        <v>1794</v>
      </c>
      <c r="Z61">
        <v>0</v>
      </c>
      <c r="AA61" t="s">
        <v>1794</v>
      </c>
      <c r="AB61" t="s">
        <v>1794</v>
      </c>
      <c r="AC61" t="s">
        <v>1794</v>
      </c>
      <c r="AD61" t="s">
        <v>1794</v>
      </c>
      <c r="AE61">
        <v>0</v>
      </c>
      <c r="AF61" t="s">
        <v>1794</v>
      </c>
      <c r="AG61" t="s">
        <v>1794</v>
      </c>
      <c r="AH61" t="s">
        <v>1794</v>
      </c>
    </row>
    <row r="62" spans="1:34" x14ac:dyDescent="0.25">
      <c r="A62" t="s">
        <v>1147</v>
      </c>
      <c r="B62" t="s">
        <v>1148</v>
      </c>
      <c r="C62" t="s">
        <v>258</v>
      </c>
      <c r="D62" t="s">
        <v>259</v>
      </c>
      <c r="E62" t="s">
        <v>1794</v>
      </c>
      <c r="F62" t="s">
        <v>284</v>
      </c>
      <c r="G62" t="s">
        <v>1124</v>
      </c>
      <c r="H62" t="s">
        <v>285</v>
      </c>
      <c r="I62" t="s">
        <v>262</v>
      </c>
      <c r="J62" t="s">
        <v>279</v>
      </c>
      <c r="K62">
        <v>1</v>
      </c>
      <c r="L62">
        <v>1</v>
      </c>
      <c r="M62" t="s">
        <v>33</v>
      </c>
      <c r="N62">
        <v>1</v>
      </c>
      <c r="O62">
        <v>1</v>
      </c>
      <c r="P62">
        <v>1</v>
      </c>
      <c r="Q62" t="s">
        <v>52</v>
      </c>
      <c r="R62">
        <v>1</v>
      </c>
      <c r="S62">
        <v>1</v>
      </c>
      <c r="T62">
        <v>1</v>
      </c>
      <c r="U62" t="s">
        <v>1794</v>
      </c>
      <c r="V62" t="s">
        <v>1794</v>
      </c>
      <c r="W62" t="s">
        <v>1794</v>
      </c>
      <c r="X62">
        <v>1</v>
      </c>
      <c r="Y62" t="s">
        <v>1794</v>
      </c>
      <c r="Z62">
        <v>0</v>
      </c>
      <c r="AA62" t="s">
        <v>1794</v>
      </c>
      <c r="AB62" t="s">
        <v>1794</v>
      </c>
      <c r="AC62" t="s">
        <v>1794</v>
      </c>
      <c r="AD62" t="s">
        <v>1794</v>
      </c>
      <c r="AE62">
        <v>0</v>
      </c>
      <c r="AF62" t="s">
        <v>1794</v>
      </c>
      <c r="AG62" t="s">
        <v>1794</v>
      </c>
      <c r="AH62" t="s">
        <v>1794</v>
      </c>
    </row>
    <row r="63" spans="1:34" x14ac:dyDescent="0.25">
      <c r="A63" t="s">
        <v>1150</v>
      </c>
      <c r="B63" t="s">
        <v>646</v>
      </c>
      <c r="C63" t="s">
        <v>258</v>
      </c>
      <c r="D63" t="s">
        <v>259</v>
      </c>
      <c r="E63" t="s">
        <v>1794</v>
      </c>
      <c r="F63" t="s">
        <v>284</v>
      </c>
      <c r="G63" t="s">
        <v>619</v>
      </c>
      <c r="H63" t="s">
        <v>285</v>
      </c>
      <c r="I63" t="s">
        <v>262</v>
      </c>
      <c r="J63" t="s">
        <v>279</v>
      </c>
      <c r="K63">
        <v>1</v>
      </c>
      <c r="L63">
        <v>1</v>
      </c>
      <c r="M63" t="s">
        <v>33</v>
      </c>
      <c r="N63">
        <v>1</v>
      </c>
      <c r="O63">
        <v>1</v>
      </c>
      <c r="P63">
        <v>1</v>
      </c>
      <c r="Q63" t="s">
        <v>52</v>
      </c>
      <c r="R63">
        <v>1</v>
      </c>
      <c r="S63">
        <v>1</v>
      </c>
      <c r="T63">
        <v>1</v>
      </c>
      <c r="U63" t="s">
        <v>1794</v>
      </c>
      <c r="V63" t="s">
        <v>1794</v>
      </c>
      <c r="W63" t="s">
        <v>1794</v>
      </c>
      <c r="X63">
        <v>1</v>
      </c>
      <c r="Y63" t="s">
        <v>1794</v>
      </c>
      <c r="Z63">
        <v>0</v>
      </c>
      <c r="AA63" t="s">
        <v>1794</v>
      </c>
      <c r="AB63" t="s">
        <v>1794</v>
      </c>
      <c r="AC63" t="s">
        <v>1794</v>
      </c>
      <c r="AD63" t="s">
        <v>1794</v>
      </c>
      <c r="AE63">
        <v>0</v>
      </c>
      <c r="AF63" t="s">
        <v>1794</v>
      </c>
      <c r="AG63" t="s">
        <v>1794</v>
      </c>
      <c r="AH63" t="s">
        <v>1794</v>
      </c>
    </row>
    <row r="64" spans="1:34" x14ac:dyDescent="0.25">
      <c r="A64" t="s">
        <v>1234</v>
      </c>
      <c r="B64" t="s">
        <v>1098</v>
      </c>
      <c r="C64" t="s">
        <v>258</v>
      </c>
      <c r="D64" t="s">
        <v>259</v>
      </c>
      <c r="E64" t="s">
        <v>1794</v>
      </c>
      <c r="F64" t="s">
        <v>284</v>
      </c>
      <c r="G64" t="s">
        <v>1124</v>
      </c>
      <c r="H64" t="s">
        <v>285</v>
      </c>
      <c r="I64" t="s">
        <v>262</v>
      </c>
      <c r="J64" t="s">
        <v>279</v>
      </c>
      <c r="K64">
        <v>1</v>
      </c>
      <c r="L64">
        <v>1</v>
      </c>
      <c r="M64" t="s">
        <v>33</v>
      </c>
      <c r="N64">
        <v>1</v>
      </c>
      <c r="O64">
        <v>1</v>
      </c>
      <c r="P64">
        <v>1</v>
      </c>
      <c r="Q64" t="s">
        <v>52</v>
      </c>
      <c r="R64">
        <v>1</v>
      </c>
      <c r="S64">
        <v>1</v>
      </c>
      <c r="T64">
        <v>1</v>
      </c>
      <c r="U64" t="s">
        <v>1794</v>
      </c>
      <c r="V64" t="s">
        <v>1794</v>
      </c>
      <c r="W64" t="s">
        <v>1794</v>
      </c>
      <c r="X64">
        <v>1</v>
      </c>
      <c r="Y64" t="s">
        <v>1794</v>
      </c>
      <c r="Z64">
        <v>0</v>
      </c>
      <c r="AA64" t="s">
        <v>1794</v>
      </c>
      <c r="AB64" t="s">
        <v>1794</v>
      </c>
      <c r="AC64" t="s">
        <v>1794</v>
      </c>
      <c r="AD64" t="s">
        <v>1794</v>
      </c>
      <c r="AE64">
        <v>0</v>
      </c>
      <c r="AF64" t="s">
        <v>1794</v>
      </c>
      <c r="AG64" t="s">
        <v>1794</v>
      </c>
      <c r="AH64" t="s">
        <v>1794</v>
      </c>
    </row>
    <row r="65" spans="1:34" x14ac:dyDescent="0.25">
      <c r="A65" t="s">
        <v>1143</v>
      </c>
      <c r="B65" t="s">
        <v>1144</v>
      </c>
      <c r="C65" t="s">
        <v>258</v>
      </c>
      <c r="D65" t="s">
        <v>259</v>
      </c>
      <c r="E65" t="s">
        <v>1794</v>
      </c>
      <c r="F65" t="s">
        <v>286</v>
      </c>
      <c r="G65" t="s">
        <v>1124</v>
      </c>
      <c r="H65" t="s">
        <v>287</v>
      </c>
      <c r="I65" t="s">
        <v>262</v>
      </c>
      <c r="J65" t="s">
        <v>279</v>
      </c>
      <c r="K65">
        <v>1</v>
      </c>
      <c r="L65">
        <v>1</v>
      </c>
      <c r="M65" t="s">
        <v>33</v>
      </c>
      <c r="N65">
        <v>1</v>
      </c>
      <c r="O65">
        <v>1</v>
      </c>
      <c r="P65">
        <v>1</v>
      </c>
      <c r="Q65" t="s">
        <v>52</v>
      </c>
      <c r="R65">
        <v>1</v>
      </c>
      <c r="S65">
        <v>1</v>
      </c>
      <c r="T65">
        <v>1</v>
      </c>
      <c r="U65" t="s">
        <v>1794</v>
      </c>
      <c r="V65" t="s">
        <v>1794</v>
      </c>
      <c r="W65" t="s">
        <v>1794</v>
      </c>
      <c r="X65">
        <v>1</v>
      </c>
      <c r="Y65" t="s">
        <v>1794</v>
      </c>
      <c r="Z65">
        <v>0</v>
      </c>
      <c r="AA65" t="s">
        <v>1794</v>
      </c>
      <c r="AB65" t="s">
        <v>1794</v>
      </c>
      <c r="AC65" t="s">
        <v>1794</v>
      </c>
      <c r="AD65" t="s">
        <v>1794</v>
      </c>
      <c r="AE65">
        <v>0</v>
      </c>
      <c r="AF65" t="s">
        <v>1794</v>
      </c>
      <c r="AG65" t="s">
        <v>1794</v>
      </c>
      <c r="AH65" t="s">
        <v>1794</v>
      </c>
    </row>
    <row r="66" spans="1:34" x14ac:dyDescent="0.25">
      <c r="A66" t="s">
        <v>1147</v>
      </c>
      <c r="B66" t="s">
        <v>1148</v>
      </c>
      <c r="C66" t="s">
        <v>258</v>
      </c>
      <c r="D66" t="s">
        <v>259</v>
      </c>
      <c r="E66" t="s">
        <v>1794</v>
      </c>
      <c r="F66" t="s">
        <v>286</v>
      </c>
      <c r="G66" t="s">
        <v>1124</v>
      </c>
      <c r="H66" t="s">
        <v>287</v>
      </c>
      <c r="I66" t="s">
        <v>262</v>
      </c>
      <c r="J66" t="s">
        <v>279</v>
      </c>
      <c r="K66">
        <v>1</v>
      </c>
      <c r="L66">
        <v>1</v>
      </c>
      <c r="M66" t="s">
        <v>33</v>
      </c>
      <c r="N66">
        <v>1</v>
      </c>
      <c r="O66">
        <v>1</v>
      </c>
      <c r="P66">
        <v>1</v>
      </c>
      <c r="Q66" t="s">
        <v>52</v>
      </c>
      <c r="R66">
        <v>1</v>
      </c>
      <c r="S66">
        <v>1</v>
      </c>
      <c r="T66">
        <v>1</v>
      </c>
      <c r="U66" t="s">
        <v>1794</v>
      </c>
      <c r="V66" t="s">
        <v>1794</v>
      </c>
      <c r="W66" t="s">
        <v>1794</v>
      </c>
      <c r="X66">
        <v>1</v>
      </c>
      <c r="Y66" t="s">
        <v>1794</v>
      </c>
      <c r="Z66">
        <v>0</v>
      </c>
      <c r="AA66" t="s">
        <v>1794</v>
      </c>
      <c r="AB66" t="s">
        <v>1794</v>
      </c>
      <c r="AC66" t="s">
        <v>1794</v>
      </c>
      <c r="AD66" t="s">
        <v>1794</v>
      </c>
      <c r="AE66">
        <v>0</v>
      </c>
      <c r="AF66" t="s">
        <v>1794</v>
      </c>
      <c r="AG66" t="s">
        <v>1794</v>
      </c>
      <c r="AH66" t="s">
        <v>1794</v>
      </c>
    </row>
    <row r="67" spans="1:34" x14ac:dyDescent="0.25">
      <c r="A67" t="s">
        <v>1150</v>
      </c>
      <c r="B67" t="s">
        <v>646</v>
      </c>
      <c r="C67" t="s">
        <v>258</v>
      </c>
      <c r="D67" t="s">
        <v>259</v>
      </c>
      <c r="E67" t="s">
        <v>1794</v>
      </c>
      <c r="F67" t="s">
        <v>286</v>
      </c>
      <c r="G67" t="s">
        <v>619</v>
      </c>
      <c r="H67" t="s">
        <v>287</v>
      </c>
      <c r="I67" t="s">
        <v>262</v>
      </c>
      <c r="J67" t="s">
        <v>279</v>
      </c>
      <c r="K67">
        <v>1</v>
      </c>
      <c r="L67">
        <v>1</v>
      </c>
      <c r="M67" t="s">
        <v>33</v>
      </c>
      <c r="N67">
        <v>1</v>
      </c>
      <c r="O67">
        <v>1</v>
      </c>
      <c r="P67">
        <v>1</v>
      </c>
      <c r="Q67" t="s">
        <v>52</v>
      </c>
      <c r="R67">
        <v>1</v>
      </c>
      <c r="S67">
        <v>1</v>
      </c>
      <c r="T67">
        <v>1</v>
      </c>
      <c r="U67" t="s">
        <v>1794</v>
      </c>
      <c r="V67" t="s">
        <v>1794</v>
      </c>
      <c r="W67" t="s">
        <v>1794</v>
      </c>
      <c r="X67">
        <v>1</v>
      </c>
      <c r="Y67" t="s">
        <v>1794</v>
      </c>
      <c r="Z67">
        <v>0</v>
      </c>
      <c r="AA67" t="s">
        <v>1794</v>
      </c>
      <c r="AB67" t="s">
        <v>1794</v>
      </c>
      <c r="AC67" t="s">
        <v>1794</v>
      </c>
      <c r="AD67" t="s">
        <v>1794</v>
      </c>
      <c r="AE67">
        <v>0</v>
      </c>
      <c r="AF67" t="s">
        <v>1794</v>
      </c>
      <c r="AG67" t="s">
        <v>1794</v>
      </c>
      <c r="AH67" t="s">
        <v>1794</v>
      </c>
    </row>
    <row r="68" spans="1:34" x14ac:dyDescent="0.25">
      <c r="A68" t="s">
        <v>1234</v>
      </c>
      <c r="B68" t="s">
        <v>1098</v>
      </c>
      <c r="C68" t="s">
        <v>258</v>
      </c>
      <c r="D68" t="s">
        <v>259</v>
      </c>
      <c r="E68" t="s">
        <v>1794</v>
      </c>
      <c r="F68" t="s">
        <v>286</v>
      </c>
      <c r="G68" t="s">
        <v>1124</v>
      </c>
      <c r="H68" t="s">
        <v>287</v>
      </c>
      <c r="I68" t="s">
        <v>262</v>
      </c>
      <c r="J68" t="s">
        <v>279</v>
      </c>
      <c r="K68">
        <v>1</v>
      </c>
      <c r="L68">
        <v>1</v>
      </c>
      <c r="M68" t="s">
        <v>33</v>
      </c>
      <c r="N68">
        <v>1</v>
      </c>
      <c r="O68">
        <v>1</v>
      </c>
      <c r="P68">
        <v>1</v>
      </c>
      <c r="Q68" t="s">
        <v>52</v>
      </c>
      <c r="R68">
        <v>1</v>
      </c>
      <c r="S68">
        <v>1</v>
      </c>
      <c r="T68">
        <v>1</v>
      </c>
      <c r="U68" t="s">
        <v>1794</v>
      </c>
      <c r="V68" t="s">
        <v>1794</v>
      </c>
      <c r="W68" t="s">
        <v>1794</v>
      </c>
      <c r="X68">
        <v>1</v>
      </c>
      <c r="Y68" t="s">
        <v>1794</v>
      </c>
      <c r="Z68">
        <v>0</v>
      </c>
      <c r="AA68" t="s">
        <v>1794</v>
      </c>
      <c r="AB68" t="s">
        <v>1794</v>
      </c>
      <c r="AC68" t="s">
        <v>1794</v>
      </c>
      <c r="AD68" t="s">
        <v>1794</v>
      </c>
      <c r="AE68">
        <v>0</v>
      </c>
      <c r="AF68" t="s">
        <v>1794</v>
      </c>
      <c r="AG68" t="s">
        <v>1794</v>
      </c>
      <c r="AH68" t="s">
        <v>1794</v>
      </c>
    </row>
    <row r="69" spans="1:34" x14ac:dyDescent="0.25">
      <c r="A69" t="s">
        <v>290</v>
      </c>
      <c r="B69" t="s">
        <v>1278</v>
      </c>
      <c r="C69" t="s">
        <v>258</v>
      </c>
      <c r="D69" t="s">
        <v>259</v>
      </c>
      <c r="E69" t="s">
        <v>1794</v>
      </c>
      <c r="F69" t="s">
        <v>291</v>
      </c>
      <c r="G69" t="s">
        <v>1124</v>
      </c>
      <c r="H69" t="s">
        <v>292</v>
      </c>
      <c r="I69" t="s">
        <v>262</v>
      </c>
      <c r="J69" t="s">
        <v>293</v>
      </c>
      <c r="K69">
        <v>1</v>
      </c>
      <c r="L69">
        <v>1</v>
      </c>
      <c r="M69" t="s">
        <v>33</v>
      </c>
      <c r="N69">
        <v>1</v>
      </c>
      <c r="O69">
        <v>1</v>
      </c>
      <c r="P69">
        <v>1</v>
      </c>
      <c r="Q69" t="s">
        <v>52</v>
      </c>
      <c r="R69">
        <v>1</v>
      </c>
      <c r="S69">
        <v>1</v>
      </c>
      <c r="T69">
        <v>1</v>
      </c>
      <c r="U69" t="s">
        <v>1794</v>
      </c>
      <c r="V69" t="s">
        <v>1794</v>
      </c>
      <c r="W69" t="s">
        <v>1794</v>
      </c>
      <c r="X69">
        <v>1</v>
      </c>
      <c r="Y69" t="s">
        <v>1794</v>
      </c>
      <c r="Z69">
        <v>0</v>
      </c>
      <c r="AA69" t="s">
        <v>1794</v>
      </c>
      <c r="AB69" t="s">
        <v>1794</v>
      </c>
      <c r="AC69" t="s">
        <v>1794</v>
      </c>
      <c r="AD69" t="s">
        <v>1794</v>
      </c>
      <c r="AE69">
        <v>0</v>
      </c>
      <c r="AF69" t="s">
        <v>1794</v>
      </c>
      <c r="AG69" t="s">
        <v>1794</v>
      </c>
      <c r="AH69" t="s">
        <v>1794</v>
      </c>
    </row>
    <row r="70" spans="1:34" x14ac:dyDescent="0.25">
      <c r="A70" t="s">
        <v>294</v>
      </c>
      <c r="B70" t="s">
        <v>1279</v>
      </c>
      <c r="C70" t="s">
        <v>258</v>
      </c>
      <c r="D70" t="s">
        <v>259</v>
      </c>
      <c r="E70" t="s">
        <v>1794</v>
      </c>
      <c r="F70" t="s">
        <v>295</v>
      </c>
      <c r="G70" t="s">
        <v>1124</v>
      </c>
      <c r="H70" t="s">
        <v>296</v>
      </c>
      <c r="I70" t="s">
        <v>262</v>
      </c>
      <c r="J70" t="s">
        <v>279</v>
      </c>
      <c r="K70">
        <v>1</v>
      </c>
      <c r="L70">
        <v>1</v>
      </c>
      <c r="M70" t="s">
        <v>33</v>
      </c>
      <c r="N70">
        <v>1</v>
      </c>
      <c r="O70">
        <v>1</v>
      </c>
      <c r="P70">
        <v>1</v>
      </c>
      <c r="Q70" t="s">
        <v>52</v>
      </c>
      <c r="R70">
        <v>1</v>
      </c>
      <c r="S70">
        <v>1</v>
      </c>
      <c r="T70">
        <v>1</v>
      </c>
      <c r="U70" t="s">
        <v>1794</v>
      </c>
      <c r="V70" t="s">
        <v>1794</v>
      </c>
      <c r="W70" t="s">
        <v>1794</v>
      </c>
      <c r="X70">
        <v>1</v>
      </c>
      <c r="Y70" t="s">
        <v>1794</v>
      </c>
      <c r="Z70">
        <v>0</v>
      </c>
      <c r="AA70" t="s">
        <v>1794</v>
      </c>
      <c r="AB70" t="s">
        <v>1794</v>
      </c>
      <c r="AC70" t="s">
        <v>1794</v>
      </c>
      <c r="AD70" t="s">
        <v>1794</v>
      </c>
      <c r="AE70">
        <v>0</v>
      </c>
      <c r="AF70" t="s">
        <v>1794</v>
      </c>
      <c r="AG70" t="s">
        <v>1794</v>
      </c>
      <c r="AH70" t="s">
        <v>1794</v>
      </c>
    </row>
    <row r="71" spans="1:34" x14ac:dyDescent="0.25">
      <c r="A71" t="s">
        <v>294</v>
      </c>
      <c r="B71" t="s">
        <v>1279</v>
      </c>
      <c r="C71" t="s">
        <v>258</v>
      </c>
      <c r="D71" t="s">
        <v>259</v>
      </c>
      <c r="E71" t="s">
        <v>1794</v>
      </c>
      <c r="F71" t="s">
        <v>297</v>
      </c>
      <c r="G71" t="s">
        <v>1124</v>
      </c>
      <c r="H71" t="s">
        <v>298</v>
      </c>
      <c r="I71" t="s">
        <v>262</v>
      </c>
      <c r="J71" t="s">
        <v>279</v>
      </c>
      <c r="K71">
        <v>1</v>
      </c>
      <c r="L71">
        <v>1</v>
      </c>
      <c r="M71" t="s">
        <v>33</v>
      </c>
      <c r="N71">
        <v>1</v>
      </c>
      <c r="O71">
        <v>1</v>
      </c>
      <c r="P71">
        <v>1</v>
      </c>
      <c r="Q71" t="s">
        <v>52</v>
      </c>
      <c r="R71">
        <v>1</v>
      </c>
      <c r="S71">
        <v>1</v>
      </c>
      <c r="T71">
        <v>1</v>
      </c>
      <c r="U71" t="s">
        <v>1794</v>
      </c>
      <c r="V71" t="s">
        <v>1794</v>
      </c>
      <c r="W71" t="s">
        <v>1794</v>
      </c>
      <c r="X71">
        <v>1</v>
      </c>
      <c r="Y71" t="s">
        <v>1794</v>
      </c>
      <c r="Z71">
        <v>0</v>
      </c>
      <c r="AA71" t="s">
        <v>1794</v>
      </c>
      <c r="AB71" t="s">
        <v>1794</v>
      </c>
      <c r="AC71" t="s">
        <v>1794</v>
      </c>
      <c r="AD71" t="s">
        <v>1794</v>
      </c>
      <c r="AE71">
        <v>0</v>
      </c>
      <c r="AF71" t="s">
        <v>1794</v>
      </c>
      <c r="AG71" t="s">
        <v>1794</v>
      </c>
      <c r="AH71" t="s">
        <v>1794</v>
      </c>
    </row>
    <row r="72" spans="1:34" x14ac:dyDescent="0.25">
      <c r="A72" t="s">
        <v>294</v>
      </c>
      <c r="B72" t="s">
        <v>1279</v>
      </c>
      <c r="C72" t="s">
        <v>258</v>
      </c>
      <c r="D72" t="s">
        <v>259</v>
      </c>
      <c r="E72" t="s">
        <v>1794</v>
      </c>
      <c r="F72" t="s">
        <v>299</v>
      </c>
      <c r="G72" t="s">
        <v>1124</v>
      </c>
      <c r="H72" t="s">
        <v>300</v>
      </c>
      <c r="I72" t="s">
        <v>262</v>
      </c>
      <c r="J72" t="s">
        <v>301</v>
      </c>
      <c r="K72">
        <v>1</v>
      </c>
      <c r="L72">
        <v>1</v>
      </c>
      <c r="M72" t="s">
        <v>33</v>
      </c>
      <c r="N72">
        <v>1</v>
      </c>
      <c r="O72">
        <v>1</v>
      </c>
      <c r="P72">
        <v>1</v>
      </c>
      <c r="Q72" t="s">
        <v>52</v>
      </c>
      <c r="R72">
        <v>1</v>
      </c>
      <c r="S72">
        <v>1</v>
      </c>
      <c r="T72">
        <v>1</v>
      </c>
      <c r="U72" t="s">
        <v>1794</v>
      </c>
      <c r="V72" t="s">
        <v>1794</v>
      </c>
      <c r="W72" t="s">
        <v>1794</v>
      </c>
      <c r="X72">
        <v>1</v>
      </c>
      <c r="Y72" t="s">
        <v>1794</v>
      </c>
      <c r="Z72">
        <v>0</v>
      </c>
      <c r="AA72" t="s">
        <v>1794</v>
      </c>
      <c r="AB72" t="s">
        <v>1794</v>
      </c>
      <c r="AC72" t="s">
        <v>1794</v>
      </c>
      <c r="AD72" t="s">
        <v>1794</v>
      </c>
      <c r="AE72">
        <v>0</v>
      </c>
      <c r="AF72" t="s">
        <v>1794</v>
      </c>
      <c r="AG72" t="s">
        <v>1794</v>
      </c>
      <c r="AH72" t="s">
        <v>1794</v>
      </c>
    </row>
    <row r="73" spans="1:34" x14ac:dyDescent="0.25">
      <c r="A73" t="s">
        <v>294</v>
      </c>
      <c r="B73" t="s">
        <v>1279</v>
      </c>
      <c r="C73" t="s">
        <v>258</v>
      </c>
      <c r="D73" t="s">
        <v>259</v>
      </c>
      <c r="E73" t="s">
        <v>1794</v>
      </c>
      <c r="F73" t="s">
        <v>302</v>
      </c>
      <c r="G73" t="s">
        <v>1124</v>
      </c>
      <c r="H73" t="s">
        <v>303</v>
      </c>
      <c r="I73" t="s">
        <v>262</v>
      </c>
      <c r="J73" t="s">
        <v>279</v>
      </c>
      <c r="K73">
        <v>1</v>
      </c>
      <c r="L73">
        <v>1</v>
      </c>
      <c r="M73" t="s">
        <v>33</v>
      </c>
      <c r="N73">
        <v>1</v>
      </c>
      <c r="O73">
        <v>1</v>
      </c>
      <c r="P73">
        <v>1</v>
      </c>
      <c r="Q73" t="s">
        <v>52</v>
      </c>
      <c r="R73">
        <v>1</v>
      </c>
      <c r="S73">
        <v>1</v>
      </c>
      <c r="T73">
        <v>1</v>
      </c>
      <c r="U73" t="s">
        <v>1794</v>
      </c>
      <c r="V73" t="s">
        <v>1794</v>
      </c>
      <c r="W73" t="s">
        <v>1794</v>
      </c>
      <c r="X73">
        <v>1</v>
      </c>
      <c r="Y73" t="s">
        <v>1794</v>
      </c>
      <c r="Z73">
        <v>0</v>
      </c>
      <c r="AA73" t="s">
        <v>1794</v>
      </c>
      <c r="AB73" t="s">
        <v>1794</v>
      </c>
      <c r="AC73" t="s">
        <v>1794</v>
      </c>
      <c r="AD73" t="s">
        <v>1794</v>
      </c>
      <c r="AE73">
        <v>0</v>
      </c>
      <c r="AF73" t="s">
        <v>1794</v>
      </c>
      <c r="AG73" t="s">
        <v>1794</v>
      </c>
      <c r="AH73" t="s">
        <v>1794</v>
      </c>
    </row>
    <row r="74" spans="1:34" x14ac:dyDescent="0.25">
      <c r="A74" t="s">
        <v>294</v>
      </c>
      <c r="B74" t="s">
        <v>1279</v>
      </c>
      <c r="C74" t="s">
        <v>258</v>
      </c>
      <c r="D74" t="s">
        <v>259</v>
      </c>
      <c r="E74" t="s">
        <v>1794</v>
      </c>
      <c r="F74" t="s">
        <v>304</v>
      </c>
      <c r="G74" t="s">
        <v>1124</v>
      </c>
      <c r="H74" t="s">
        <v>305</v>
      </c>
      <c r="I74" t="s">
        <v>262</v>
      </c>
      <c r="J74" t="s">
        <v>279</v>
      </c>
      <c r="K74">
        <v>1</v>
      </c>
      <c r="L74">
        <v>1</v>
      </c>
      <c r="M74" t="s">
        <v>33</v>
      </c>
      <c r="N74">
        <v>1</v>
      </c>
      <c r="O74">
        <v>1</v>
      </c>
      <c r="P74">
        <v>1</v>
      </c>
      <c r="Q74" t="s">
        <v>52</v>
      </c>
      <c r="R74">
        <v>1</v>
      </c>
      <c r="S74">
        <v>1</v>
      </c>
      <c r="T74">
        <v>1</v>
      </c>
      <c r="U74" t="s">
        <v>1794</v>
      </c>
      <c r="V74" t="s">
        <v>1794</v>
      </c>
      <c r="W74" t="s">
        <v>1794</v>
      </c>
      <c r="X74">
        <v>1</v>
      </c>
      <c r="Y74" t="s">
        <v>1794</v>
      </c>
      <c r="Z74">
        <v>0</v>
      </c>
      <c r="AA74" t="s">
        <v>1794</v>
      </c>
      <c r="AB74" t="s">
        <v>1794</v>
      </c>
      <c r="AC74" t="s">
        <v>1794</v>
      </c>
      <c r="AD74" t="s">
        <v>1794</v>
      </c>
      <c r="AE74">
        <v>0</v>
      </c>
      <c r="AF74" t="s">
        <v>1794</v>
      </c>
      <c r="AG74" t="s">
        <v>1794</v>
      </c>
      <c r="AH74" t="s">
        <v>1794</v>
      </c>
    </row>
    <row r="75" spans="1:34" x14ac:dyDescent="0.25">
      <c r="A75" t="s">
        <v>294</v>
      </c>
      <c r="B75" t="s">
        <v>1279</v>
      </c>
      <c r="C75" t="s">
        <v>306</v>
      </c>
      <c r="D75" t="s">
        <v>259</v>
      </c>
      <c r="E75" t="s">
        <v>1794</v>
      </c>
      <c r="F75" t="s">
        <v>307</v>
      </c>
      <c r="G75" t="s">
        <v>1124</v>
      </c>
      <c r="H75" t="s">
        <v>308</v>
      </c>
      <c r="I75" t="s">
        <v>262</v>
      </c>
      <c r="J75" t="s">
        <v>279</v>
      </c>
      <c r="K75">
        <v>1</v>
      </c>
      <c r="L75">
        <v>1</v>
      </c>
      <c r="M75" t="s">
        <v>33</v>
      </c>
      <c r="N75">
        <v>1</v>
      </c>
      <c r="O75">
        <v>1</v>
      </c>
      <c r="P75">
        <v>1</v>
      </c>
      <c r="Q75" t="s">
        <v>52</v>
      </c>
      <c r="R75">
        <v>1</v>
      </c>
      <c r="S75">
        <v>1</v>
      </c>
      <c r="T75">
        <v>1</v>
      </c>
      <c r="U75" t="s">
        <v>1794</v>
      </c>
      <c r="V75" t="s">
        <v>1794</v>
      </c>
      <c r="W75" t="s">
        <v>1794</v>
      </c>
      <c r="X75">
        <v>1</v>
      </c>
      <c r="Y75" t="s">
        <v>1794</v>
      </c>
      <c r="Z75">
        <v>0</v>
      </c>
      <c r="AA75" t="s">
        <v>1794</v>
      </c>
      <c r="AB75" t="s">
        <v>1794</v>
      </c>
      <c r="AC75" t="s">
        <v>1794</v>
      </c>
      <c r="AD75" t="s">
        <v>1794</v>
      </c>
      <c r="AE75">
        <v>0</v>
      </c>
      <c r="AF75" t="s">
        <v>1794</v>
      </c>
      <c r="AG75" t="s">
        <v>1794</v>
      </c>
      <c r="AH75" t="s">
        <v>1794</v>
      </c>
    </row>
    <row r="76" spans="1:34" x14ac:dyDescent="0.25">
      <c r="A76" t="s">
        <v>294</v>
      </c>
      <c r="B76" t="s">
        <v>1279</v>
      </c>
      <c r="C76" t="s">
        <v>306</v>
      </c>
      <c r="D76" t="s">
        <v>259</v>
      </c>
      <c r="E76" t="s">
        <v>1794</v>
      </c>
      <c r="F76" t="s">
        <v>309</v>
      </c>
      <c r="G76" t="s">
        <v>1124</v>
      </c>
      <c r="H76" t="s">
        <v>310</v>
      </c>
      <c r="I76" t="s">
        <v>262</v>
      </c>
      <c r="J76" t="s">
        <v>279</v>
      </c>
      <c r="K76">
        <v>1</v>
      </c>
      <c r="L76">
        <v>1</v>
      </c>
      <c r="M76" t="s">
        <v>33</v>
      </c>
      <c r="N76">
        <v>1</v>
      </c>
      <c r="O76">
        <v>1</v>
      </c>
      <c r="P76">
        <v>1</v>
      </c>
      <c r="Q76" t="s">
        <v>52</v>
      </c>
      <c r="R76">
        <v>1</v>
      </c>
      <c r="S76">
        <v>1</v>
      </c>
      <c r="T76">
        <v>1</v>
      </c>
      <c r="U76" t="s">
        <v>1794</v>
      </c>
      <c r="V76" t="s">
        <v>1794</v>
      </c>
      <c r="W76" t="s">
        <v>1794</v>
      </c>
      <c r="X76">
        <v>1</v>
      </c>
      <c r="Y76" t="s">
        <v>1794</v>
      </c>
      <c r="Z76">
        <v>0</v>
      </c>
      <c r="AA76" t="s">
        <v>1794</v>
      </c>
      <c r="AB76" t="s">
        <v>1794</v>
      </c>
      <c r="AC76" t="s">
        <v>1794</v>
      </c>
      <c r="AD76" t="s">
        <v>1794</v>
      </c>
      <c r="AE76">
        <v>0</v>
      </c>
      <c r="AF76" t="s">
        <v>1794</v>
      </c>
      <c r="AG76" t="s">
        <v>1794</v>
      </c>
      <c r="AH76" t="s">
        <v>1794</v>
      </c>
    </row>
    <row r="77" spans="1:34" x14ac:dyDescent="0.25">
      <c r="A77" t="s">
        <v>1276</v>
      </c>
      <c r="B77" t="s">
        <v>1277</v>
      </c>
      <c r="C77" t="s">
        <v>258</v>
      </c>
      <c r="D77" t="s">
        <v>259</v>
      </c>
      <c r="E77" t="s">
        <v>1794</v>
      </c>
      <c r="F77" t="s">
        <v>311</v>
      </c>
      <c r="G77" t="s">
        <v>1124</v>
      </c>
      <c r="H77" t="s">
        <v>312</v>
      </c>
      <c r="I77" t="s">
        <v>262</v>
      </c>
      <c r="J77" t="s">
        <v>279</v>
      </c>
      <c r="K77">
        <v>1</v>
      </c>
      <c r="L77">
        <v>1</v>
      </c>
      <c r="M77" t="s">
        <v>33</v>
      </c>
      <c r="N77">
        <v>1</v>
      </c>
      <c r="O77">
        <v>1</v>
      </c>
      <c r="P77">
        <v>1</v>
      </c>
      <c r="Q77" t="s">
        <v>52</v>
      </c>
      <c r="R77">
        <v>1</v>
      </c>
      <c r="S77">
        <v>1</v>
      </c>
      <c r="T77">
        <v>1</v>
      </c>
      <c r="U77" t="s">
        <v>1794</v>
      </c>
      <c r="V77" t="s">
        <v>1794</v>
      </c>
      <c r="W77" t="s">
        <v>1794</v>
      </c>
      <c r="X77">
        <v>1</v>
      </c>
      <c r="Y77" t="s">
        <v>1794</v>
      </c>
      <c r="Z77">
        <v>0</v>
      </c>
      <c r="AA77" t="s">
        <v>1794</v>
      </c>
      <c r="AB77" t="s">
        <v>1794</v>
      </c>
      <c r="AC77" t="s">
        <v>1794</v>
      </c>
      <c r="AD77" t="s">
        <v>1794</v>
      </c>
      <c r="AE77">
        <v>0</v>
      </c>
      <c r="AF77" t="s">
        <v>1794</v>
      </c>
      <c r="AG77" t="s">
        <v>1794</v>
      </c>
      <c r="AH77" t="s">
        <v>1794</v>
      </c>
    </row>
    <row r="78" spans="1:34" x14ac:dyDescent="0.25">
      <c r="A78" t="s">
        <v>290</v>
      </c>
      <c r="B78" t="s">
        <v>1278</v>
      </c>
      <c r="C78" t="s">
        <v>258</v>
      </c>
      <c r="D78" t="s">
        <v>259</v>
      </c>
      <c r="E78" t="s">
        <v>1794</v>
      </c>
      <c r="F78" t="s">
        <v>311</v>
      </c>
      <c r="G78" t="s">
        <v>1124</v>
      </c>
      <c r="H78" t="s">
        <v>312</v>
      </c>
      <c r="I78" t="s">
        <v>262</v>
      </c>
      <c r="J78" t="s">
        <v>279</v>
      </c>
      <c r="K78">
        <v>1</v>
      </c>
      <c r="L78">
        <v>1</v>
      </c>
      <c r="M78" t="s">
        <v>33</v>
      </c>
      <c r="N78">
        <v>1</v>
      </c>
      <c r="O78">
        <v>1</v>
      </c>
      <c r="P78">
        <v>1</v>
      </c>
      <c r="Q78" t="s">
        <v>52</v>
      </c>
      <c r="R78">
        <v>1</v>
      </c>
      <c r="S78">
        <v>1</v>
      </c>
      <c r="T78">
        <v>1</v>
      </c>
      <c r="U78" t="s">
        <v>1794</v>
      </c>
      <c r="V78" t="s">
        <v>1794</v>
      </c>
      <c r="W78" t="s">
        <v>1794</v>
      </c>
      <c r="X78">
        <v>1</v>
      </c>
      <c r="Y78" t="s">
        <v>1794</v>
      </c>
      <c r="Z78">
        <v>0</v>
      </c>
      <c r="AA78" t="s">
        <v>1794</v>
      </c>
      <c r="AB78" t="s">
        <v>1794</v>
      </c>
      <c r="AC78" t="s">
        <v>1794</v>
      </c>
      <c r="AD78" t="s">
        <v>1794</v>
      </c>
      <c r="AE78">
        <v>0</v>
      </c>
      <c r="AF78" t="s">
        <v>1794</v>
      </c>
      <c r="AG78" t="s">
        <v>1794</v>
      </c>
      <c r="AH78" t="s">
        <v>1794</v>
      </c>
    </row>
    <row r="79" spans="1:34" x14ac:dyDescent="0.25">
      <c r="A79" t="s">
        <v>1276</v>
      </c>
      <c r="B79" t="s">
        <v>1277</v>
      </c>
      <c r="C79" t="s">
        <v>258</v>
      </c>
      <c r="D79" t="s">
        <v>259</v>
      </c>
      <c r="E79" t="s">
        <v>1794</v>
      </c>
      <c r="F79" t="s">
        <v>313</v>
      </c>
      <c r="G79" t="s">
        <v>1124</v>
      </c>
      <c r="H79" t="s">
        <v>314</v>
      </c>
      <c r="I79" t="s">
        <v>262</v>
      </c>
      <c r="J79" t="s">
        <v>279</v>
      </c>
      <c r="K79">
        <v>1</v>
      </c>
      <c r="L79">
        <v>1</v>
      </c>
      <c r="M79" t="s">
        <v>33</v>
      </c>
      <c r="N79">
        <v>1</v>
      </c>
      <c r="O79">
        <v>1</v>
      </c>
      <c r="P79">
        <v>1</v>
      </c>
      <c r="Q79" t="s">
        <v>52</v>
      </c>
      <c r="R79">
        <v>1</v>
      </c>
      <c r="S79">
        <v>1</v>
      </c>
      <c r="T79">
        <v>1</v>
      </c>
      <c r="U79" t="s">
        <v>1794</v>
      </c>
      <c r="V79" t="s">
        <v>1794</v>
      </c>
      <c r="W79" t="s">
        <v>1794</v>
      </c>
      <c r="X79">
        <v>1</v>
      </c>
      <c r="Y79" t="s">
        <v>1794</v>
      </c>
      <c r="Z79">
        <v>0</v>
      </c>
      <c r="AA79" t="s">
        <v>1794</v>
      </c>
      <c r="AB79" t="s">
        <v>1794</v>
      </c>
      <c r="AC79" t="s">
        <v>1794</v>
      </c>
      <c r="AD79" t="s">
        <v>1794</v>
      </c>
      <c r="AE79">
        <v>0</v>
      </c>
      <c r="AF79" t="s">
        <v>1794</v>
      </c>
      <c r="AG79" t="s">
        <v>1794</v>
      </c>
      <c r="AH79" t="s">
        <v>1794</v>
      </c>
    </row>
    <row r="80" spans="1:34" x14ac:dyDescent="0.25">
      <c r="A80" t="s">
        <v>290</v>
      </c>
      <c r="B80" t="s">
        <v>1278</v>
      </c>
      <c r="C80" t="s">
        <v>258</v>
      </c>
      <c r="D80" t="s">
        <v>259</v>
      </c>
      <c r="E80" t="s">
        <v>1794</v>
      </c>
      <c r="F80" t="s">
        <v>313</v>
      </c>
      <c r="G80" t="s">
        <v>1124</v>
      </c>
      <c r="H80" t="s">
        <v>314</v>
      </c>
      <c r="I80" t="s">
        <v>262</v>
      </c>
      <c r="J80" t="s">
        <v>279</v>
      </c>
      <c r="K80">
        <v>1</v>
      </c>
      <c r="L80">
        <v>1</v>
      </c>
      <c r="M80" t="s">
        <v>33</v>
      </c>
      <c r="N80">
        <v>1</v>
      </c>
      <c r="O80">
        <v>1</v>
      </c>
      <c r="P80">
        <v>1</v>
      </c>
      <c r="Q80" t="s">
        <v>52</v>
      </c>
      <c r="R80">
        <v>1</v>
      </c>
      <c r="S80">
        <v>1</v>
      </c>
      <c r="T80">
        <v>1</v>
      </c>
      <c r="U80" t="s">
        <v>1794</v>
      </c>
      <c r="V80" t="s">
        <v>1794</v>
      </c>
      <c r="W80" t="s">
        <v>1794</v>
      </c>
      <c r="X80">
        <v>1</v>
      </c>
      <c r="Y80" t="s">
        <v>1794</v>
      </c>
      <c r="Z80">
        <v>0</v>
      </c>
      <c r="AA80" t="s">
        <v>1794</v>
      </c>
      <c r="AB80" t="s">
        <v>1794</v>
      </c>
      <c r="AC80" t="s">
        <v>1794</v>
      </c>
      <c r="AD80" t="s">
        <v>1794</v>
      </c>
      <c r="AE80">
        <v>0</v>
      </c>
      <c r="AF80" t="s">
        <v>1794</v>
      </c>
      <c r="AG80" t="s">
        <v>1794</v>
      </c>
      <c r="AH80" t="s">
        <v>1794</v>
      </c>
    </row>
    <row r="81" spans="1:34" x14ac:dyDescent="0.25">
      <c r="A81" t="s">
        <v>1276</v>
      </c>
      <c r="B81" t="s">
        <v>1277</v>
      </c>
      <c r="C81" t="s">
        <v>315</v>
      </c>
      <c r="D81" t="s">
        <v>259</v>
      </c>
      <c r="E81" t="s">
        <v>1794</v>
      </c>
      <c r="F81" t="s">
        <v>316</v>
      </c>
      <c r="G81" t="s">
        <v>1124</v>
      </c>
      <c r="H81" t="s">
        <v>317</v>
      </c>
      <c r="I81" t="s">
        <v>262</v>
      </c>
      <c r="J81" t="s">
        <v>279</v>
      </c>
      <c r="K81">
        <v>1</v>
      </c>
      <c r="L81">
        <v>1</v>
      </c>
      <c r="M81" t="s">
        <v>33</v>
      </c>
      <c r="N81">
        <v>1</v>
      </c>
      <c r="O81">
        <v>1</v>
      </c>
      <c r="P81">
        <v>1</v>
      </c>
      <c r="Q81" t="s">
        <v>52</v>
      </c>
      <c r="R81">
        <v>1</v>
      </c>
      <c r="S81">
        <v>1</v>
      </c>
      <c r="T81">
        <v>1</v>
      </c>
      <c r="U81" t="s">
        <v>1794</v>
      </c>
      <c r="V81" t="s">
        <v>1794</v>
      </c>
      <c r="W81" t="s">
        <v>1794</v>
      </c>
      <c r="X81">
        <v>1</v>
      </c>
      <c r="Y81" t="s">
        <v>1794</v>
      </c>
      <c r="Z81">
        <v>0</v>
      </c>
      <c r="AA81" t="s">
        <v>1794</v>
      </c>
      <c r="AB81" t="s">
        <v>1794</v>
      </c>
      <c r="AC81" t="s">
        <v>1794</v>
      </c>
      <c r="AD81" t="s">
        <v>1794</v>
      </c>
      <c r="AE81">
        <v>0</v>
      </c>
      <c r="AF81" t="s">
        <v>1794</v>
      </c>
      <c r="AG81" t="s">
        <v>1794</v>
      </c>
      <c r="AH81" t="s">
        <v>1794</v>
      </c>
    </row>
    <row r="82" spans="1:34" x14ac:dyDescent="0.25">
      <c r="A82" t="s">
        <v>294</v>
      </c>
      <c r="B82" t="s">
        <v>1279</v>
      </c>
      <c r="C82" t="s">
        <v>315</v>
      </c>
      <c r="D82" t="s">
        <v>259</v>
      </c>
      <c r="E82" t="s">
        <v>1794</v>
      </c>
      <c r="F82" t="s">
        <v>316</v>
      </c>
      <c r="G82" t="s">
        <v>1124</v>
      </c>
      <c r="H82" t="s">
        <v>317</v>
      </c>
      <c r="I82" t="s">
        <v>262</v>
      </c>
      <c r="J82" t="s">
        <v>279</v>
      </c>
      <c r="K82">
        <v>1</v>
      </c>
      <c r="L82">
        <v>1</v>
      </c>
      <c r="M82" t="s">
        <v>33</v>
      </c>
      <c r="N82">
        <v>1</v>
      </c>
      <c r="O82">
        <v>1</v>
      </c>
      <c r="P82">
        <v>1</v>
      </c>
      <c r="Q82" t="s">
        <v>52</v>
      </c>
      <c r="R82">
        <v>1</v>
      </c>
      <c r="S82">
        <v>1</v>
      </c>
      <c r="T82">
        <v>1</v>
      </c>
      <c r="U82" t="s">
        <v>1794</v>
      </c>
      <c r="V82" t="s">
        <v>1794</v>
      </c>
      <c r="W82" t="s">
        <v>1794</v>
      </c>
      <c r="X82">
        <v>1</v>
      </c>
      <c r="Y82" t="s">
        <v>1794</v>
      </c>
      <c r="Z82">
        <v>0</v>
      </c>
      <c r="AA82" t="s">
        <v>1794</v>
      </c>
      <c r="AB82" t="s">
        <v>1794</v>
      </c>
      <c r="AC82" t="s">
        <v>1794</v>
      </c>
      <c r="AD82" t="s">
        <v>1794</v>
      </c>
      <c r="AE82">
        <v>0</v>
      </c>
      <c r="AF82" t="s">
        <v>1794</v>
      </c>
      <c r="AG82" t="s">
        <v>1794</v>
      </c>
      <c r="AH82" t="s">
        <v>1794</v>
      </c>
    </row>
    <row r="83" spans="1:34" x14ac:dyDescent="0.25">
      <c r="A83" t="s">
        <v>616</v>
      </c>
      <c r="B83" t="s">
        <v>617</v>
      </c>
      <c r="C83" t="s">
        <v>315</v>
      </c>
      <c r="D83" t="s">
        <v>259</v>
      </c>
      <c r="E83" t="s">
        <v>1794</v>
      </c>
      <c r="F83" t="s">
        <v>316</v>
      </c>
      <c r="G83" t="s">
        <v>1124</v>
      </c>
      <c r="H83" t="s">
        <v>317</v>
      </c>
      <c r="I83" t="s">
        <v>262</v>
      </c>
      <c r="J83" t="s">
        <v>279</v>
      </c>
      <c r="K83">
        <v>1</v>
      </c>
      <c r="L83">
        <v>1</v>
      </c>
      <c r="M83" t="s">
        <v>33</v>
      </c>
      <c r="N83">
        <v>1</v>
      </c>
      <c r="O83">
        <v>1</v>
      </c>
      <c r="P83">
        <v>1</v>
      </c>
      <c r="Q83" t="s">
        <v>52</v>
      </c>
      <c r="R83">
        <v>1</v>
      </c>
      <c r="S83">
        <v>1</v>
      </c>
      <c r="T83">
        <v>1</v>
      </c>
      <c r="U83" t="s">
        <v>1794</v>
      </c>
      <c r="V83" t="s">
        <v>1794</v>
      </c>
      <c r="W83" t="s">
        <v>1794</v>
      </c>
      <c r="X83">
        <v>1</v>
      </c>
      <c r="Y83" t="s">
        <v>1794</v>
      </c>
      <c r="Z83">
        <v>0</v>
      </c>
      <c r="AA83" t="s">
        <v>1794</v>
      </c>
      <c r="AB83" t="s">
        <v>1794</v>
      </c>
      <c r="AC83" t="s">
        <v>1794</v>
      </c>
      <c r="AD83" t="s">
        <v>1794</v>
      </c>
      <c r="AE83">
        <v>0</v>
      </c>
      <c r="AF83" t="s">
        <v>1794</v>
      </c>
      <c r="AG83" t="s">
        <v>1794</v>
      </c>
      <c r="AH83" t="s">
        <v>1794</v>
      </c>
    </row>
    <row r="84" spans="1:34" ht="14.45" customHeight="1" x14ac:dyDescent="0.25">
      <c r="A84" t="s">
        <v>1276</v>
      </c>
      <c r="B84" t="s">
        <v>1277</v>
      </c>
      <c r="C84" t="s">
        <v>315</v>
      </c>
      <c r="D84" t="s">
        <v>259</v>
      </c>
      <c r="E84" t="s">
        <v>1794</v>
      </c>
      <c r="F84" t="s">
        <v>318</v>
      </c>
      <c r="G84" t="s">
        <v>1124</v>
      </c>
      <c r="H84" t="s">
        <v>319</v>
      </c>
      <c r="I84" t="s">
        <v>262</v>
      </c>
      <c r="J84" t="s">
        <v>320</v>
      </c>
      <c r="K84">
        <v>1</v>
      </c>
      <c r="L84">
        <v>1</v>
      </c>
      <c r="M84" t="s">
        <v>33</v>
      </c>
      <c r="N84">
        <v>1</v>
      </c>
      <c r="O84">
        <v>1</v>
      </c>
      <c r="P84">
        <v>1</v>
      </c>
      <c r="Q84" t="s">
        <v>52</v>
      </c>
      <c r="R84">
        <v>1</v>
      </c>
      <c r="S84">
        <v>1</v>
      </c>
      <c r="T84">
        <v>1</v>
      </c>
      <c r="U84" t="s">
        <v>1794</v>
      </c>
      <c r="V84" t="s">
        <v>1794</v>
      </c>
      <c r="W84" t="s">
        <v>1794</v>
      </c>
      <c r="X84">
        <v>1</v>
      </c>
      <c r="Y84" t="s">
        <v>1794</v>
      </c>
      <c r="Z84">
        <v>0</v>
      </c>
      <c r="AA84" t="s">
        <v>1794</v>
      </c>
      <c r="AB84" t="s">
        <v>1794</v>
      </c>
      <c r="AC84" t="s">
        <v>1794</v>
      </c>
      <c r="AD84" t="s">
        <v>1794</v>
      </c>
      <c r="AE84">
        <v>0</v>
      </c>
      <c r="AF84" t="s">
        <v>1794</v>
      </c>
      <c r="AG84" t="s">
        <v>1794</v>
      </c>
      <c r="AH84" t="s">
        <v>1794</v>
      </c>
    </row>
    <row r="85" spans="1:34" x14ac:dyDescent="0.25">
      <c r="A85" t="s">
        <v>294</v>
      </c>
      <c r="B85" t="s">
        <v>1279</v>
      </c>
      <c r="C85" t="s">
        <v>315</v>
      </c>
      <c r="D85" t="s">
        <v>259</v>
      </c>
      <c r="E85" t="s">
        <v>1794</v>
      </c>
      <c r="F85" t="s">
        <v>318</v>
      </c>
      <c r="G85" t="s">
        <v>1124</v>
      </c>
      <c r="H85" t="s">
        <v>319</v>
      </c>
      <c r="I85" t="s">
        <v>262</v>
      </c>
      <c r="J85" t="s">
        <v>320</v>
      </c>
      <c r="K85">
        <v>1</v>
      </c>
      <c r="L85">
        <v>1</v>
      </c>
      <c r="M85" t="s">
        <v>33</v>
      </c>
      <c r="N85">
        <v>1</v>
      </c>
      <c r="O85">
        <v>1</v>
      </c>
      <c r="P85">
        <v>1</v>
      </c>
      <c r="Q85" t="s">
        <v>52</v>
      </c>
      <c r="R85">
        <v>1</v>
      </c>
      <c r="S85">
        <v>1</v>
      </c>
      <c r="T85">
        <v>1</v>
      </c>
      <c r="U85" t="s">
        <v>1794</v>
      </c>
      <c r="V85" t="s">
        <v>1794</v>
      </c>
      <c r="W85" t="s">
        <v>1794</v>
      </c>
      <c r="X85">
        <v>1</v>
      </c>
      <c r="Y85" t="s">
        <v>1794</v>
      </c>
      <c r="Z85">
        <v>0</v>
      </c>
      <c r="AA85" t="s">
        <v>1794</v>
      </c>
      <c r="AB85" t="s">
        <v>1794</v>
      </c>
      <c r="AC85" t="s">
        <v>1794</v>
      </c>
      <c r="AD85" t="s">
        <v>1794</v>
      </c>
      <c r="AE85">
        <v>0</v>
      </c>
      <c r="AF85" t="s">
        <v>1794</v>
      </c>
      <c r="AG85" t="s">
        <v>1794</v>
      </c>
      <c r="AH85" t="s">
        <v>1794</v>
      </c>
    </row>
    <row r="86" spans="1:34" x14ac:dyDescent="0.25">
      <c r="A86" t="s">
        <v>616</v>
      </c>
      <c r="B86" t="s">
        <v>617</v>
      </c>
      <c r="C86" t="s">
        <v>315</v>
      </c>
      <c r="D86" t="s">
        <v>259</v>
      </c>
      <c r="E86" t="s">
        <v>1794</v>
      </c>
      <c r="F86" t="s">
        <v>318</v>
      </c>
      <c r="G86" t="s">
        <v>1124</v>
      </c>
      <c r="H86" t="s">
        <v>319</v>
      </c>
      <c r="I86" t="s">
        <v>262</v>
      </c>
      <c r="J86" t="s">
        <v>320</v>
      </c>
      <c r="K86">
        <v>1</v>
      </c>
      <c r="L86">
        <v>1</v>
      </c>
      <c r="M86" t="s">
        <v>33</v>
      </c>
      <c r="N86">
        <v>1</v>
      </c>
      <c r="O86">
        <v>1</v>
      </c>
      <c r="P86">
        <v>1</v>
      </c>
      <c r="Q86" t="s">
        <v>52</v>
      </c>
      <c r="R86">
        <v>1</v>
      </c>
      <c r="S86">
        <v>1</v>
      </c>
      <c r="T86">
        <v>1</v>
      </c>
      <c r="U86" t="s">
        <v>1794</v>
      </c>
      <c r="V86" t="s">
        <v>1794</v>
      </c>
      <c r="W86" t="s">
        <v>1794</v>
      </c>
      <c r="X86">
        <v>1</v>
      </c>
      <c r="Y86" t="s">
        <v>1794</v>
      </c>
      <c r="Z86">
        <v>0</v>
      </c>
      <c r="AA86" t="s">
        <v>1794</v>
      </c>
      <c r="AB86" t="s">
        <v>1794</v>
      </c>
      <c r="AC86" t="s">
        <v>1794</v>
      </c>
      <c r="AD86" t="s">
        <v>1794</v>
      </c>
      <c r="AE86">
        <v>0</v>
      </c>
      <c r="AF86" t="s">
        <v>1794</v>
      </c>
      <c r="AG86" t="s">
        <v>1794</v>
      </c>
      <c r="AH86" t="s">
        <v>1794</v>
      </c>
    </row>
    <row r="87" spans="1:34" ht="14.45" customHeight="1" x14ac:dyDescent="0.25">
      <c r="A87" t="s">
        <v>1276</v>
      </c>
      <c r="B87" t="s">
        <v>1277</v>
      </c>
      <c r="C87" t="s">
        <v>315</v>
      </c>
      <c r="D87" t="s">
        <v>259</v>
      </c>
      <c r="E87" t="s">
        <v>1794</v>
      </c>
      <c r="F87" t="s">
        <v>321</v>
      </c>
      <c r="G87" t="s">
        <v>1124</v>
      </c>
      <c r="H87" t="s">
        <v>322</v>
      </c>
      <c r="I87" t="s">
        <v>262</v>
      </c>
      <c r="J87" t="s">
        <v>323</v>
      </c>
      <c r="K87">
        <v>1</v>
      </c>
      <c r="L87">
        <v>1</v>
      </c>
      <c r="M87" t="s">
        <v>33</v>
      </c>
      <c r="N87">
        <v>1</v>
      </c>
      <c r="O87">
        <v>1</v>
      </c>
      <c r="P87">
        <v>1</v>
      </c>
      <c r="Q87" t="s">
        <v>52</v>
      </c>
      <c r="R87">
        <v>1</v>
      </c>
      <c r="S87">
        <v>1</v>
      </c>
      <c r="T87">
        <v>1</v>
      </c>
      <c r="U87" t="s">
        <v>1794</v>
      </c>
      <c r="V87" t="s">
        <v>1794</v>
      </c>
      <c r="W87" t="s">
        <v>1794</v>
      </c>
      <c r="X87">
        <v>1</v>
      </c>
      <c r="Y87" t="s">
        <v>1794</v>
      </c>
      <c r="Z87">
        <v>0</v>
      </c>
      <c r="AA87" t="s">
        <v>1794</v>
      </c>
      <c r="AB87" t="s">
        <v>1794</v>
      </c>
      <c r="AC87" t="s">
        <v>1794</v>
      </c>
      <c r="AD87" t="s">
        <v>1794</v>
      </c>
      <c r="AE87">
        <v>0</v>
      </c>
      <c r="AF87" t="s">
        <v>1794</v>
      </c>
      <c r="AG87" t="s">
        <v>1794</v>
      </c>
      <c r="AH87" t="s">
        <v>1794</v>
      </c>
    </row>
    <row r="88" spans="1:34" x14ac:dyDescent="0.25">
      <c r="A88" t="s">
        <v>294</v>
      </c>
      <c r="B88" t="s">
        <v>1279</v>
      </c>
      <c r="C88" t="s">
        <v>315</v>
      </c>
      <c r="D88" t="s">
        <v>259</v>
      </c>
      <c r="E88" t="s">
        <v>1794</v>
      </c>
      <c r="F88" t="s">
        <v>321</v>
      </c>
      <c r="G88" t="s">
        <v>1124</v>
      </c>
      <c r="H88" t="s">
        <v>322</v>
      </c>
      <c r="I88" t="s">
        <v>262</v>
      </c>
      <c r="J88" t="s">
        <v>323</v>
      </c>
      <c r="K88">
        <v>1</v>
      </c>
      <c r="L88">
        <v>1</v>
      </c>
      <c r="M88" t="s">
        <v>33</v>
      </c>
      <c r="N88">
        <v>1</v>
      </c>
      <c r="O88">
        <v>1</v>
      </c>
      <c r="P88">
        <v>1</v>
      </c>
      <c r="Q88" t="s">
        <v>52</v>
      </c>
      <c r="R88">
        <v>1</v>
      </c>
      <c r="S88">
        <v>1</v>
      </c>
      <c r="T88">
        <v>1</v>
      </c>
      <c r="U88" t="s">
        <v>1794</v>
      </c>
      <c r="V88" t="s">
        <v>1794</v>
      </c>
      <c r="W88" t="s">
        <v>1794</v>
      </c>
      <c r="X88">
        <v>1</v>
      </c>
      <c r="Y88" t="s">
        <v>1794</v>
      </c>
      <c r="Z88">
        <v>0</v>
      </c>
      <c r="AA88" t="s">
        <v>1794</v>
      </c>
      <c r="AB88" t="s">
        <v>1794</v>
      </c>
      <c r="AC88" t="s">
        <v>1794</v>
      </c>
      <c r="AD88" t="s">
        <v>1794</v>
      </c>
      <c r="AE88">
        <v>0</v>
      </c>
      <c r="AF88" t="s">
        <v>1794</v>
      </c>
      <c r="AG88" t="s">
        <v>1794</v>
      </c>
      <c r="AH88" t="s">
        <v>1794</v>
      </c>
    </row>
    <row r="89" spans="1:34" x14ac:dyDescent="0.25">
      <c r="A89" t="s">
        <v>616</v>
      </c>
      <c r="B89" t="s">
        <v>617</v>
      </c>
      <c r="C89" t="s">
        <v>315</v>
      </c>
      <c r="D89" t="s">
        <v>259</v>
      </c>
      <c r="E89" t="s">
        <v>1794</v>
      </c>
      <c r="F89" t="s">
        <v>321</v>
      </c>
      <c r="G89" t="s">
        <v>1124</v>
      </c>
      <c r="H89" t="s">
        <v>322</v>
      </c>
      <c r="I89" t="s">
        <v>262</v>
      </c>
      <c r="J89" t="s">
        <v>323</v>
      </c>
      <c r="K89">
        <v>1</v>
      </c>
      <c r="L89">
        <v>1</v>
      </c>
      <c r="M89" t="s">
        <v>33</v>
      </c>
      <c r="N89">
        <v>1</v>
      </c>
      <c r="O89">
        <v>1</v>
      </c>
      <c r="P89">
        <v>1</v>
      </c>
      <c r="Q89" t="s">
        <v>52</v>
      </c>
      <c r="R89">
        <v>1</v>
      </c>
      <c r="S89">
        <v>1</v>
      </c>
      <c r="T89">
        <v>1</v>
      </c>
      <c r="U89" t="s">
        <v>1794</v>
      </c>
      <c r="V89" t="s">
        <v>1794</v>
      </c>
      <c r="W89" t="s">
        <v>1794</v>
      </c>
      <c r="X89">
        <v>1</v>
      </c>
      <c r="Y89" t="s">
        <v>1794</v>
      </c>
      <c r="Z89">
        <v>0</v>
      </c>
      <c r="AA89" t="s">
        <v>1794</v>
      </c>
      <c r="AB89" t="s">
        <v>1794</v>
      </c>
      <c r="AC89" t="s">
        <v>1794</v>
      </c>
      <c r="AD89" t="s">
        <v>1794</v>
      </c>
      <c r="AE89">
        <v>0</v>
      </c>
      <c r="AF89" t="s">
        <v>1794</v>
      </c>
      <c r="AG89" t="s">
        <v>1794</v>
      </c>
      <c r="AH89" t="s">
        <v>1794</v>
      </c>
    </row>
    <row r="90" spans="1:34" x14ac:dyDescent="0.25">
      <c r="A90" t="s">
        <v>1276</v>
      </c>
      <c r="B90" t="s">
        <v>1277</v>
      </c>
      <c r="C90" t="s">
        <v>315</v>
      </c>
      <c r="D90" t="s">
        <v>259</v>
      </c>
      <c r="E90" t="s">
        <v>1794</v>
      </c>
      <c r="F90" t="s">
        <v>324</v>
      </c>
      <c r="G90" t="s">
        <v>1124</v>
      </c>
      <c r="H90" t="s">
        <v>325</v>
      </c>
      <c r="I90" t="s">
        <v>262</v>
      </c>
      <c r="J90" t="s">
        <v>326</v>
      </c>
      <c r="K90">
        <v>1</v>
      </c>
      <c r="L90">
        <v>1</v>
      </c>
      <c r="M90" t="s">
        <v>33</v>
      </c>
      <c r="N90">
        <v>1</v>
      </c>
      <c r="O90">
        <v>1</v>
      </c>
      <c r="P90">
        <v>1</v>
      </c>
      <c r="Q90" t="s">
        <v>52</v>
      </c>
      <c r="R90">
        <v>1</v>
      </c>
      <c r="S90">
        <v>1</v>
      </c>
      <c r="T90">
        <v>1</v>
      </c>
      <c r="U90" t="s">
        <v>1794</v>
      </c>
      <c r="V90" t="s">
        <v>1794</v>
      </c>
      <c r="W90" t="s">
        <v>1794</v>
      </c>
      <c r="X90">
        <v>1</v>
      </c>
      <c r="Y90" t="s">
        <v>1794</v>
      </c>
      <c r="Z90">
        <v>0</v>
      </c>
      <c r="AA90" t="s">
        <v>1794</v>
      </c>
      <c r="AB90" t="s">
        <v>1794</v>
      </c>
      <c r="AC90" t="s">
        <v>1794</v>
      </c>
      <c r="AD90" t="s">
        <v>1794</v>
      </c>
      <c r="AE90">
        <v>0</v>
      </c>
      <c r="AF90" t="s">
        <v>1794</v>
      </c>
      <c r="AG90" t="s">
        <v>1794</v>
      </c>
      <c r="AH90" t="s">
        <v>1794</v>
      </c>
    </row>
    <row r="91" spans="1:34" x14ac:dyDescent="0.25">
      <c r="A91" t="s">
        <v>294</v>
      </c>
      <c r="B91" t="s">
        <v>1279</v>
      </c>
      <c r="C91" t="s">
        <v>315</v>
      </c>
      <c r="D91" t="s">
        <v>259</v>
      </c>
      <c r="E91" t="s">
        <v>1794</v>
      </c>
      <c r="F91" t="s">
        <v>324</v>
      </c>
      <c r="G91" t="s">
        <v>1124</v>
      </c>
      <c r="H91" t="s">
        <v>325</v>
      </c>
      <c r="I91" t="s">
        <v>262</v>
      </c>
      <c r="J91" t="s">
        <v>326</v>
      </c>
      <c r="K91">
        <v>1</v>
      </c>
      <c r="L91">
        <v>1</v>
      </c>
      <c r="M91" t="s">
        <v>33</v>
      </c>
      <c r="N91">
        <v>1</v>
      </c>
      <c r="O91">
        <v>1</v>
      </c>
      <c r="P91">
        <v>1</v>
      </c>
      <c r="Q91" t="s">
        <v>52</v>
      </c>
      <c r="R91">
        <v>1</v>
      </c>
      <c r="S91">
        <v>1</v>
      </c>
      <c r="T91">
        <v>1</v>
      </c>
      <c r="U91" t="s">
        <v>1794</v>
      </c>
      <c r="V91" t="s">
        <v>1794</v>
      </c>
      <c r="W91" t="s">
        <v>1794</v>
      </c>
      <c r="X91">
        <v>1</v>
      </c>
      <c r="Y91" t="s">
        <v>1794</v>
      </c>
      <c r="Z91">
        <v>0</v>
      </c>
      <c r="AA91" t="s">
        <v>1794</v>
      </c>
      <c r="AB91" t="s">
        <v>1794</v>
      </c>
      <c r="AC91" t="s">
        <v>1794</v>
      </c>
      <c r="AD91" t="s">
        <v>1794</v>
      </c>
      <c r="AE91">
        <v>0</v>
      </c>
      <c r="AF91" t="s">
        <v>1794</v>
      </c>
      <c r="AG91" t="s">
        <v>1794</v>
      </c>
      <c r="AH91" t="s">
        <v>1794</v>
      </c>
    </row>
    <row r="92" spans="1:34" x14ac:dyDescent="0.25">
      <c r="A92" t="s">
        <v>616</v>
      </c>
      <c r="B92" t="s">
        <v>617</v>
      </c>
      <c r="C92" t="s">
        <v>315</v>
      </c>
      <c r="D92" t="s">
        <v>259</v>
      </c>
      <c r="E92" t="s">
        <v>1794</v>
      </c>
      <c r="F92" t="s">
        <v>324</v>
      </c>
      <c r="G92" t="s">
        <v>1124</v>
      </c>
      <c r="H92" t="s">
        <v>325</v>
      </c>
      <c r="I92" t="s">
        <v>262</v>
      </c>
      <c r="J92" t="s">
        <v>326</v>
      </c>
      <c r="K92">
        <v>1</v>
      </c>
      <c r="L92">
        <v>1</v>
      </c>
      <c r="M92" t="s">
        <v>33</v>
      </c>
      <c r="N92">
        <v>1</v>
      </c>
      <c r="O92">
        <v>1</v>
      </c>
      <c r="P92">
        <v>1</v>
      </c>
      <c r="Q92" t="s">
        <v>52</v>
      </c>
      <c r="R92">
        <v>1</v>
      </c>
      <c r="S92">
        <v>1</v>
      </c>
      <c r="T92">
        <v>1</v>
      </c>
      <c r="U92" t="s">
        <v>1794</v>
      </c>
      <c r="V92" t="s">
        <v>1794</v>
      </c>
      <c r="W92" t="s">
        <v>1794</v>
      </c>
      <c r="X92">
        <v>1</v>
      </c>
      <c r="Y92" t="s">
        <v>1794</v>
      </c>
      <c r="Z92">
        <v>0</v>
      </c>
      <c r="AA92" t="s">
        <v>1794</v>
      </c>
      <c r="AB92" t="s">
        <v>1794</v>
      </c>
      <c r="AC92" t="s">
        <v>1794</v>
      </c>
      <c r="AD92" t="s">
        <v>1794</v>
      </c>
      <c r="AE92">
        <v>0</v>
      </c>
      <c r="AF92" t="s">
        <v>1794</v>
      </c>
      <c r="AG92" t="s">
        <v>1794</v>
      </c>
      <c r="AH92" t="s">
        <v>1794</v>
      </c>
    </row>
    <row r="93" spans="1:34" x14ac:dyDescent="0.25">
      <c r="A93" t="s">
        <v>1276</v>
      </c>
      <c r="B93" t="s">
        <v>1277</v>
      </c>
      <c r="C93" t="s">
        <v>315</v>
      </c>
      <c r="D93" t="s">
        <v>259</v>
      </c>
      <c r="E93" t="s">
        <v>1794</v>
      </c>
      <c r="F93" t="s">
        <v>327</v>
      </c>
      <c r="G93" t="s">
        <v>1124</v>
      </c>
      <c r="H93" t="s">
        <v>328</v>
      </c>
      <c r="I93" t="s">
        <v>262</v>
      </c>
      <c r="J93" t="s">
        <v>329</v>
      </c>
      <c r="K93">
        <v>1</v>
      </c>
      <c r="L93">
        <v>1</v>
      </c>
      <c r="M93" t="s">
        <v>33</v>
      </c>
      <c r="N93">
        <v>1</v>
      </c>
      <c r="O93">
        <v>1</v>
      </c>
      <c r="P93">
        <v>1</v>
      </c>
      <c r="Q93" t="s">
        <v>52</v>
      </c>
      <c r="R93">
        <v>1</v>
      </c>
      <c r="S93">
        <v>1</v>
      </c>
      <c r="T93">
        <v>1</v>
      </c>
      <c r="U93" t="s">
        <v>1794</v>
      </c>
      <c r="V93" t="s">
        <v>1794</v>
      </c>
      <c r="W93" t="s">
        <v>1794</v>
      </c>
      <c r="X93">
        <v>1</v>
      </c>
      <c r="Y93" t="s">
        <v>1794</v>
      </c>
      <c r="Z93">
        <v>0</v>
      </c>
      <c r="AA93" t="s">
        <v>1794</v>
      </c>
      <c r="AB93" t="s">
        <v>1794</v>
      </c>
      <c r="AC93" t="s">
        <v>1794</v>
      </c>
      <c r="AD93" t="s">
        <v>1794</v>
      </c>
      <c r="AE93">
        <v>0</v>
      </c>
      <c r="AF93" t="s">
        <v>1794</v>
      </c>
      <c r="AG93" t="s">
        <v>1794</v>
      </c>
      <c r="AH93" t="s">
        <v>1794</v>
      </c>
    </row>
    <row r="94" spans="1:34" x14ac:dyDescent="0.25">
      <c r="A94" t="s">
        <v>294</v>
      </c>
      <c r="B94" t="s">
        <v>1279</v>
      </c>
      <c r="C94" t="s">
        <v>315</v>
      </c>
      <c r="D94" t="s">
        <v>259</v>
      </c>
      <c r="E94" t="s">
        <v>1794</v>
      </c>
      <c r="F94" t="s">
        <v>327</v>
      </c>
      <c r="G94" t="s">
        <v>1124</v>
      </c>
      <c r="H94" t="s">
        <v>328</v>
      </c>
      <c r="I94" t="s">
        <v>262</v>
      </c>
      <c r="J94" t="s">
        <v>329</v>
      </c>
      <c r="K94">
        <v>1</v>
      </c>
      <c r="L94">
        <v>1</v>
      </c>
      <c r="M94" t="s">
        <v>33</v>
      </c>
      <c r="N94">
        <v>1</v>
      </c>
      <c r="O94">
        <v>1</v>
      </c>
      <c r="P94">
        <v>1</v>
      </c>
      <c r="Q94" t="s">
        <v>52</v>
      </c>
      <c r="R94">
        <v>1</v>
      </c>
      <c r="S94">
        <v>1</v>
      </c>
      <c r="T94">
        <v>1</v>
      </c>
      <c r="U94" t="s">
        <v>1794</v>
      </c>
      <c r="V94" t="s">
        <v>1794</v>
      </c>
      <c r="W94" t="s">
        <v>1794</v>
      </c>
      <c r="X94">
        <v>1</v>
      </c>
      <c r="Y94" t="s">
        <v>1794</v>
      </c>
      <c r="Z94">
        <v>0</v>
      </c>
      <c r="AA94" t="s">
        <v>1794</v>
      </c>
      <c r="AB94" t="s">
        <v>1794</v>
      </c>
      <c r="AC94" t="s">
        <v>1794</v>
      </c>
      <c r="AD94" t="s">
        <v>1794</v>
      </c>
      <c r="AE94">
        <v>0</v>
      </c>
      <c r="AF94" t="s">
        <v>1794</v>
      </c>
      <c r="AG94" t="s">
        <v>1794</v>
      </c>
      <c r="AH94" t="s">
        <v>1794</v>
      </c>
    </row>
    <row r="95" spans="1:34" x14ac:dyDescent="0.25">
      <c r="A95" t="s">
        <v>616</v>
      </c>
      <c r="B95" t="s">
        <v>617</v>
      </c>
      <c r="C95" t="s">
        <v>315</v>
      </c>
      <c r="D95" t="s">
        <v>259</v>
      </c>
      <c r="E95" t="s">
        <v>1794</v>
      </c>
      <c r="F95" t="s">
        <v>327</v>
      </c>
      <c r="G95" t="s">
        <v>1124</v>
      </c>
      <c r="H95" t="s">
        <v>328</v>
      </c>
      <c r="I95" t="s">
        <v>262</v>
      </c>
      <c r="J95" t="s">
        <v>329</v>
      </c>
      <c r="K95">
        <v>1</v>
      </c>
      <c r="L95">
        <v>1</v>
      </c>
      <c r="M95" t="s">
        <v>33</v>
      </c>
      <c r="N95">
        <v>1</v>
      </c>
      <c r="O95">
        <v>1</v>
      </c>
      <c r="P95">
        <v>1</v>
      </c>
      <c r="Q95" t="s">
        <v>52</v>
      </c>
      <c r="R95">
        <v>1</v>
      </c>
      <c r="S95">
        <v>1</v>
      </c>
      <c r="T95">
        <v>1</v>
      </c>
      <c r="U95" t="s">
        <v>1794</v>
      </c>
      <c r="V95" t="s">
        <v>1794</v>
      </c>
      <c r="W95" t="s">
        <v>1794</v>
      </c>
      <c r="X95">
        <v>1</v>
      </c>
      <c r="Y95" t="s">
        <v>1794</v>
      </c>
      <c r="Z95">
        <v>0</v>
      </c>
      <c r="AA95" t="s">
        <v>1794</v>
      </c>
      <c r="AB95" t="s">
        <v>1794</v>
      </c>
      <c r="AC95" t="s">
        <v>1794</v>
      </c>
      <c r="AD95" t="s">
        <v>1794</v>
      </c>
      <c r="AE95">
        <v>0</v>
      </c>
      <c r="AF95" t="s">
        <v>1794</v>
      </c>
      <c r="AG95" t="s">
        <v>1794</v>
      </c>
      <c r="AH95" t="s">
        <v>1794</v>
      </c>
    </row>
    <row r="96" spans="1:34" x14ac:dyDescent="0.25">
      <c r="A96" t="s">
        <v>290</v>
      </c>
      <c r="B96" t="s">
        <v>1278</v>
      </c>
      <c r="C96" t="s">
        <v>330</v>
      </c>
      <c r="D96" t="s">
        <v>259</v>
      </c>
      <c r="E96" t="s">
        <v>1794</v>
      </c>
      <c r="F96" t="s">
        <v>331</v>
      </c>
      <c r="G96" t="s">
        <v>1124</v>
      </c>
      <c r="H96" t="s">
        <v>332</v>
      </c>
      <c r="I96" t="s">
        <v>262</v>
      </c>
      <c r="J96" t="s">
        <v>279</v>
      </c>
      <c r="K96">
        <v>1</v>
      </c>
      <c r="L96">
        <v>1</v>
      </c>
      <c r="M96" t="s">
        <v>33</v>
      </c>
      <c r="N96">
        <v>1</v>
      </c>
      <c r="O96">
        <v>1</v>
      </c>
      <c r="P96">
        <v>1</v>
      </c>
      <c r="Q96" t="s">
        <v>52</v>
      </c>
      <c r="R96">
        <v>1</v>
      </c>
      <c r="S96">
        <v>1</v>
      </c>
      <c r="T96">
        <v>1</v>
      </c>
      <c r="U96" t="s">
        <v>1794</v>
      </c>
      <c r="V96" t="s">
        <v>1794</v>
      </c>
      <c r="W96" t="s">
        <v>1794</v>
      </c>
      <c r="X96">
        <v>1</v>
      </c>
      <c r="Y96" t="s">
        <v>1794</v>
      </c>
      <c r="Z96">
        <v>0</v>
      </c>
      <c r="AA96" t="s">
        <v>1794</v>
      </c>
      <c r="AB96" t="s">
        <v>1794</v>
      </c>
      <c r="AC96" t="s">
        <v>1794</v>
      </c>
      <c r="AD96" t="s">
        <v>1794</v>
      </c>
      <c r="AE96">
        <v>0</v>
      </c>
      <c r="AF96" t="s">
        <v>1794</v>
      </c>
      <c r="AG96" t="s">
        <v>1794</v>
      </c>
      <c r="AH96" t="s">
        <v>1794</v>
      </c>
    </row>
    <row r="97" spans="1:34" x14ac:dyDescent="0.25">
      <c r="A97" t="s">
        <v>294</v>
      </c>
      <c r="B97" t="s">
        <v>1279</v>
      </c>
      <c r="C97" t="s">
        <v>330</v>
      </c>
      <c r="D97" t="s">
        <v>259</v>
      </c>
      <c r="E97" t="s">
        <v>1794</v>
      </c>
      <c r="F97" t="s">
        <v>331</v>
      </c>
      <c r="G97" t="s">
        <v>1124</v>
      </c>
      <c r="H97" t="s">
        <v>332</v>
      </c>
      <c r="I97" t="s">
        <v>262</v>
      </c>
      <c r="J97" t="s">
        <v>279</v>
      </c>
      <c r="K97">
        <v>1</v>
      </c>
      <c r="L97">
        <v>1</v>
      </c>
      <c r="M97" t="s">
        <v>33</v>
      </c>
      <c r="N97">
        <v>1</v>
      </c>
      <c r="O97">
        <v>1</v>
      </c>
      <c r="P97">
        <v>1</v>
      </c>
      <c r="Q97" t="s">
        <v>52</v>
      </c>
      <c r="R97">
        <v>1</v>
      </c>
      <c r="S97">
        <v>1</v>
      </c>
      <c r="T97">
        <v>1</v>
      </c>
      <c r="U97" t="s">
        <v>1794</v>
      </c>
      <c r="V97" t="s">
        <v>1794</v>
      </c>
      <c r="W97" t="s">
        <v>1794</v>
      </c>
      <c r="X97">
        <v>1</v>
      </c>
      <c r="Y97" t="s">
        <v>1794</v>
      </c>
      <c r="Z97">
        <v>0</v>
      </c>
      <c r="AA97" t="s">
        <v>1794</v>
      </c>
      <c r="AB97" t="s">
        <v>1794</v>
      </c>
      <c r="AC97" t="s">
        <v>1794</v>
      </c>
      <c r="AD97" t="s">
        <v>1794</v>
      </c>
      <c r="AE97">
        <v>0</v>
      </c>
      <c r="AF97" t="s">
        <v>1794</v>
      </c>
      <c r="AG97" t="s">
        <v>1794</v>
      </c>
      <c r="AH97" t="s">
        <v>1794</v>
      </c>
    </row>
    <row r="98" spans="1:34" x14ac:dyDescent="0.25">
      <c r="A98" t="s">
        <v>1282</v>
      </c>
      <c r="B98" t="s">
        <v>1283</v>
      </c>
      <c r="C98" t="s">
        <v>330</v>
      </c>
      <c r="D98" t="s">
        <v>259</v>
      </c>
      <c r="E98" t="s">
        <v>1794</v>
      </c>
      <c r="F98" t="s">
        <v>331</v>
      </c>
      <c r="G98" t="s">
        <v>1124</v>
      </c>
      <c r="H98" t="s">
        <v>332</v>
      </c>
      <c r="I98" t="s">
        <v>262</v>
      </c>
      <c r="J98" t="s">
        <v>279</v>
      </c>
      <c r="K98">
        <v>1</v>
      </c>
      <c r="L98">
        <v>1</v>
      </c>
      <c r="M98" t="s">
        <v>33</v>
      </c>
      <c r="N98">
        <v>1</v>
      </c>
      <c r="O98">
        <v>1</v>
      </c>
      <c r="P98">
        <v>1</v>
      </c>
      <c r="Q98" t="s">
        <v>52</v>
      </c>
      <c r="R98">
        <v>1</v>
      </c>
      <c r="S98">
        <v>1</v>
      </c>
      <c r="T98">
        <v>1</v>
      </c>
      <c r="U98" t="s">
        <v>1794</v>
      </c>
      <c r="V98" t="s">
        <v>1794</v>
      </c>
      <c r="W98" t="s">
        <v>1794</v>
      </c>
      <c r="X98">
        <v>1</v>
      </c>
      <c r="Y98" t="s">
        <v>1794</v>
      </c>
      <c r="Z98">
        <v>0</v>
      </c>
      <c r="AA98" t="s">
        <v>1794</v>
      </c>
      <c r="AB98" t="s">
        <v>1794</v>
      </c>
      <c r="AC98" t="s">
        <v>1794</v>
      </c>
      <c r="AD98" t="s">
        <v>1794</v>
      </c>
      <c r="AE98">
        <v>0</v>
      </c>
      <c r="AF98" t="s">
        <v>1794</v>
      </c>
      <c r="AG98" t="s">
        <v>1794</v>
      </c>
      <c r="AH98" t="s">
        <v>1794</v>
      </c>
    </row>
    <row r="99" spans="1:34" x14ac:dyDescent="0.25">
      <c r="A99" t="s">
        <v>1284</v>
      </c>
      <c r="B99" t="s">
        <v>1285</v>
      </c>
      <c r="C99" t="s">
        <v>330</v>
      </c>
      <c r="D99" t="s">
        <v>259</v>
      </c>
      <c r="E99" t="s">
        <v>1794</v>
      </c>
      <c r="F99" t="s">
        <v>331</v>
      </c>
      <c r="G99" t="s">
        <v>1124</v>
      </c>
      <c r="H99" t="s">
        <v>332</v>
      </c>
      <c r="I99" t="s">
        <v>262</v>
      </c>
      <c r="J99" t="s">
        <v>279</v>
      </c>
      <c r="K99">
        <v>1</v>
      </c>
      <c r="L99">
        <v>1</v>
      </c>
      <c r="M99" t="s">
        <v>33</v>
      </c>
      <c r="N99">
        <v>1</v>
      </c>
      <c r="O99">
        <v>1</v>
      </c>
      <c r="P99">
        <v>1</v>
      </c>
      <c r="Q99" t="s">
        <v>52</v>
      </c>
      <c r="R99">
        <v>1</v>
      </c>
      <c r="S99">
        <v>1</v>
      </c>
      <c r="T99">
        <v>1</v>
      </c>
      <c r="U99" t="s">
        <v>1794</v>
      </c>
      <c r="V99" t="s">
        <v>1794</v>
      </c>
      <c r="W99" t="s">
        <v>1794</v>
      </c>
      <c r="X99">
        <v>1</v>
      </c>
      <c r="Y99" t="s">
        <v>1794</v>
      </c>
      <c r="Z99">
        <v>0</v>
      </c>
      <c r="AA99" t="s">
        <v>1794</v>
      </c>
      <c r="AB99" t="s">
        <v>1794</v>
      </c>
      <c r="AC99" t="s">
        <v>1794</v>
      </c>
      <c r="AD99" t="s">
        <v>1794</v>
      </c>
      <c r="AE99">
        <v>0</v>
      </c>
      <c r="AF99" t="s">
        <v>1794</v>
      </c>
      <c r="AG99" t="s">
        <v>1794</v>
      </c>
      <c r="AH99" t="s">
        <v>1794</v>
      </c>
    </row>
    <row r="100" spans="1:34" x14ac:dyDescent="0.25">
      <c r="A100" t="s">
        <v>290</v>
      </c>
      <c r="B100" t="s">
        <v>1278</v>
      </c>
      <c r="C100" t="s">
        <v>258</v>
      </c>
      <c r="D100" t="s">
        <v>259</v>
      </c>
      <c r="E100" t="s">
        <v>1794</v>
      </c>
      <c r="F100" t="s">
        <v>333</v>
      </c>
      <c r="G100" t="s">
        <v>1124</v>
      </c>
      <c r="H100" t="s">
        <v>334</v>
      </c>
      <c r="I100" t="s">
        <v>262</v>
      </c>
      <c r="J100" t="s">
        <v>279</v>
      </c>
      <c r="K100">
        <v>1</v>
      </c>
      <c r="L100">
        <v>1</v>
      </c>
      <c r="M100" t="s">
        <v>33</v>
      </c>
      <c r="N100">
        <v>1</v>
      </c>
      <c r="O100">
        <v>1</v>
      </c>
      <c r="P100">
        <v>1</v>
      </c>
      <c r="Q100" t="s">
        <v>52</v>
      </c>
      <c r="R100">
        <v>1</v>
      </c>
      <c r="S100">
        <v>1</v>
      </c>
      <c r="T100">
        <v>1</v>
      </c>
      <c r="U100" t="s">
        <v>1794</v>
      </c>
      <c r="V100" t="s">
        <v>1794</v>
      </c>
      <c r="W100" t="s">
        <v>1794</v>
      </c>
      <c r="X100">
        <v>1</v>
      </c>
      <c r="Y100" t="s">
        <v>1794</v>
      </c>
      <c r="Z100">
        <v>0</v>
      </c>
      <c r="AA100" t="s">
        <v>1794</v>
      </c>
      <c r="AB100" t="s">
        <v>1794</v>
      </c>
      <c r="AC100" t="s">
        <v>1794</v>
      </c>
      <c r="AD100" t="s">
        <v>1794</v>
      </c>
      <c r="AE100">
        <v>0</v>
      </c>
      <c r="AF100" t="s">
        <v>1794</v>
      </c>
      <c r="AG100" t="s">
        <v>1794</v>
      </c>
      <c r="AH100" t="s">
        <v>1794</v>
      </c>
    </row>
    <row r="101" spans="1:34" x14ac:dyDescent="0.25">
      <c r="A101" t="s">
        <v>294</v>
      </c>
      <c r="B101" t="s">
        <v>1279</v>
      </c>
      <c r="C101" t="s">
        <v>258</v>
      </c>
      <c r="D101" t="s">
        <v>259</v>
      </c>
      <c r="E101" t="s">
        <v>1794</v>
      </c>
      <c r="F101" t="s">
        <v>333</v>
      </c>
      <c r="G101" t="s">
        <v>1124</v>
      </c>
      <c r="H101" t="s">
        <v>334</v>
      </c>
      <c r="I101" t="s">
        <v>262</v>
      </c>
      <c r="J101" t="s">
        <v>279</v>
      </c>
      <c r="K101">
        <v>1</v>
      </c>
      <c r="L101">
        <v>1</v>
      </c>
      <c r="M101" t="s">
        <v>33</v>
      </c>
      <c r="N101">
        <v>1</v>
      </c>
      <c r="O101">
        <v>1</v>
      </c>
      <c r="P101">
        <v>1</v>
      </c>
      <c r="Q101" t="s">
        <v>52</v>
      </c>
      <c r="R101">
        <v>1</v>
      </c>
      <c r="S101">
        <v>1</v>
      </c>
      <c r="T101">
        <v>1</v>
      </c>
      <c r="U101" t="s">
        <v>1794</v>
      </c>
      <c r="V101" t="s">
        <v>1794</v>
      </c>
      <c r="W101" t="s">
        <v>1794</v>
      </c>
      <c r="X101">
        <v>1</v>
      </c>
      <c r="Y101" t="s">
        <v>1794</v>
      </c>
      <c r="Z101">
        <v>0</v>
      </c>
      <c r="AA101" t="s">
        <v>1794</v>
      </c>
      <c r="AB101" t="s">
        <v>1794</v>
      </c>
      <c r="AC101" t="s">
        <v>1794</v>
      </c>
      <c r="AD101" t="s">
        <v>1794</v>
      </c>
      <c r="AE101">
        <v>0</v>
      </c>
      <c r="AF101" t="s">
        <v>1794</v>
      </c>
      <c r="AG101" t="s">
        <v>1794</v>
      </c>
      <c r="AH101" t="s">
        <v>1794</v>
      </c>
    </row>
    <row r="102" spans="1:34" x14ac:dyDescent="0.25">
      <c r="A102" t="s">
        <v>1311</v>
      </c>
      <c r="B102" t="s">
        <v>1312</v>
      </c>
      <c r="C102" t="s">
        <v>258</v>
      </c>
      <c r="D102" t="s">
        <v>259</v>
      </c>
      <c r="E102" t="s">
        <v>1794</v>
      </c>
      <c r="F102" t="s">
        <v>333</v>
      </c>
      <c r="G102" t="s">
        <v>1124</v>
      </c>
      <c r="H102" t="s">
        <v>334</v>
      </c>
      <c r="I102" t="s">
        <v>262</v>
      </c>
      <c r="J102" t="s">
        <v>279</v>
      </c>
      <c r="K102">
        <v>1</v>
      </c>
      <c r="L102">
        <v>1</v>
      </c>
      <c r="M102" t="s">
        <v>33</v>
      </c>
      <c r="N102">
        <v>1</v>
      </c>
      <c r="O102">
        <v>1</v>
      </c>
      <c r="P102">
        <v>1</v>
      </c>
      <c r="Q102" t="s">
        <v>52</v>
      </c>
      <c r="R102">
        <v>1</v>
      </c>
      <c r="S102">
        <v>1</v>
      </c>
      <c r="T102">
        <v>1</v>
      </c>
      <c r="U102" t="s">
        <v>1794</v>
      </c>
      <c r="V102" t="s">
        <v>1794</v>
      </c>
      <c r="W102" t="s">
        <v>1794</v>
      </c>
      <c r="X102">
        <v>1</v>
      </c>
      <c r="Y102" t="s">
        <v>1794</v>
      </c>
      <c r="Z102">
        <v>0</v>
      </c>
      <c r="AA102" t="s">
        <v>1794</v>
      </c>
      <c r="AB102" t="s">
        <v>1794</v>
      </c>
      <c r="AC102" t="s">
        <v>1794</v>
      </c>
      <c r="AD102" t="s">
        <v>1794</v>
      </c>
      <c r="AE102">
        <v>0</v>
      </c>
      <c r="AF102" t="s">
        <v>1794</v>
      </c>
      <c r="AG102" t="s">
        <v>1794</v>
      </c>
      <c r="AH102" t="s">
        <v>1794</v>
      </c>
    </row>
    <row r="103" spans="1:34" x14ac:dyDescent="0.25">
      <c r="A103" t="s">
        <v>290</v>
      </c>
      <c r="B103" t="s">
        <v>1278</v>
      </c>
      <c r="C103" t="s">
        <v>258</v>
      </c>
      <c r="D103" t="s">
        <v>259</v>
      </c>
      <c r="E103" t="s">
        <v>1794</v>
      </c>
      <c r="F103" t="s">
        <v>335</v>
      </c>
      <c r="G103" t="s">
        <v>1124</v>
      </c>
      <c r="H103" t="s">
        <v>336</v>
      </c>
      <c r="I103" t="s">
        <v>262</v>
      </c>
      <c r="J103" t="s">
        <v>337</v>
      </c>
      <c r="K103">
        <v>1</v>
      </c>
      <c r="L103">
        <v>1</v>
      </c>
      <c r="M103" t="s">
        <v>33</v>
      </c>
      <c r="N103">
        <v>1</v>
      </c>
      <c r="O103">
        <v>1</v>
      </c>
      <c r="P103">
        <v>1</v>
      </c>
      <c r="Q103" t="s">
        <v>52</v>
      </c>
      <c r="R103">
        <v>1</v>
      </c>
      <c r="S103">
        <v>1</v>
      </c>
      <c r="T103">
        <v>1</v>
      </c>
      <c r="U103" t="s">
        <v>1794</v>
      </c>
      <c r="V103" t="s">
        <v>1794</v>
      </c>
      <c r="W103" t="s">
        <v>1794</v>
      </c>
      <c r="X103">
        <v>1</v>
      </c>
      <c r="Y103" t="s">
        <v>1794</v>
      </c>
      <c r="Z103">
        <v>0</v>
      </c>
      <c r="AA103" t="s">
        <v>1794</v>
      </c>
      <c r="AB103" t="s">
        <v>1794</v>
      </c>
      <c r="AC103" t="s">
        <v>1794</v>
      </c>
      <c r="AD103" t="s">
        <v>1794</v>
      </c>
      <c r="AE103">
        <v>0</v>
      </c>
      <c r="AF103" t="s">
        <v>1794</v>
      </c>
      <c r="AG103" t="s">
        <v>1794</v>
      </c>
      <c r="AH103" t="s">
        <v>1794</v>
      </c>
    </row>
    <row r="104" spans="1:34" x14ac:dyDescent="0.25">
      <c r="A104" t="s">
        <v>294</v>
      </c>
      <c r="B104" t="s">
        <v>1279</v>
      </c>
      <c r="C104" t="s">
        <v>258</v>
      </c>
      <c r="D104" t="s">
        <v>259</v>
      </c>
      <c r="E104" t="s">
        <v>1794</v>
      </c>
      <c r="F104" t="s">
        <v>335</v>
      </c>
      <c r="G104" t="s">
        <v>1124</v>
      </c>
      <c r="H104" t="s">
        <v>336</v>
      </c>
      <c r="I104" t="s">
        <v>262</v>
      </c>
      <c r="J104" t="s">
        <v>337</v>
      </c>
      <c r="K104">
        <v>1</v>
      </c>
      <c r="L104">
        <v>1</v>
      </c>
      <c r="M104" t="s">
        <v>33</v>
      </c>
      <c r="N104">
        <v>1</v>
      </c>
      <c r="O104">
        <v>1</v>
      </c>
      <c r="P104">
        <v>1</v>
      </c>
      <c r="Q104" t="s">
        <v>52</v>
      </c>
      <c r="R104">
        <v>1</v>
      </c>
      <c r="S104">
        <v>1</v>
      </c>
      <c r="T104">
        <v>1</v>
      </c>
      <c r="U104" t="s">
        <v>1794</v>
      </c>
      <c r="V104" t="s">
        <v>1794</v>
      </c>
      <c r="W104" t="s">
        <v>1794</v>
      </c>
      <c r="X104">
        <v>1</v>
      </c>
      <c r="Y104" t="s">
        <v>1794</v>
      </c>
      <c r="Z104">
        <v>0</v>
      </c>
      <c r="AA104" t="s">
        <v>1794</v>
      </c>
      <c r="AB104" t="s">
        <v>1794</v>
      </c>
      <c r="AC104" t="s">
        <v>1794</v>
      </c>
      <c r="AD104" t="s">
        <v>1794</v>
      </c>
      <c r="AE104">
        <v>0</v>
      </c>
      <c r="AF104" t="s">
        <v>1794</v>
      </c>
      <c r="AG104" t="s">
        <v>1794</v>
      </c>
      <c r="AH104" t="s">
        <v>1794</v>
      </c>
    </row>
    <row r="105" spans="1:34" x14ac:dyDescent="0.25">
      <c r="A105" t="s">
        <v>1311</v>
      </c>
      <c r="B105" t="s">
        <v>1312</v>
      </c>
      <c r="C105" t="s">
        <v>258</v>
      </c>
      <c r="D105" t="s">
        <v>259</v>
      </c>
      <c r="E105" t="s">
        <v>1794</v>
      </c>
      <c r="F105" t="s">
        <v>335</v>
      </c>
      <c r="G105" t="s">
        <v>1124</v>
      </c>
      <c r="H105" t="s">
        <v>336</v>
      </c>
      <c r="I105" t="s">
        <v>262</v>
      </c>
      <c r="J105" t="s">
        <v>337</v>
      </c>
      <c r="K105">
        <v>1</v>
      </c>
      <c r="L105">
        <v>1</v>
      </c>
      <c r="M105" t="s">
        <v>33</v>
      </c>
      <c r="N105">
        <v>1</v>
      </c>
      <c r="O105">
        <v>1</v>
      </c>
      <c r="P105">
        <v>1</v>
      </c>
      <c r="Q105" t="s">
        <v>52</v>
      </c>
      <c r="R105">
        <v>1</v>
      </c>
      <c r="S105">
        <v>1</v>
      </c>
      <c r="T105">
        <v>1</v>
      </c>
      <c r="U105" t="s">
        <v>1794</v>
      </c>
      <c r="V105" t="s">
        <v>1794</v>
      </c>
      <c r="W105" t="s">
        <v>1794</v>
      </c>
      <c r="X105">
        <v>1</v>
      </c>
      <c r="Y105" t="s">
        <v>1794</v>
      </c>
      <c r="Z105">
        <v>0</v>
      </c>
      <c r="AA105" t="s">
        <v>1794</v>
      </c>
      <c r="AB105" t="s">
        <v>1794</v>
      </c>
      <c r="AC105" t="s">
        <v>1794</v>
      </c>
      <c r="AD105" t="s">
        <v>1794</v>
      </c>
      <c r="AE105">
        <v>0</v>
      </c>
      <c r="AF105" t="s">
        <v>1794</v>
      </c>
      <c r="AG105" t="s">
        <v>1794</v>
      </c>
      <c r="AH105" t="s">
        <v>1794</v>
      </c>
    </row>
    <row r="106" spans="1:34" x14ac:dyDescent="0.25">
      <c r="A106" t="s">
        <v>290</v>
      </c>
      <c r="B106" t="s">
        <v>1278</v>
      </c>
      <c r="C106" t="s">
        <v>258</v>
      </c>
      <c r="D106" t="s">
        <v>259</v>
      </c>
      <c r="E106" t="s">
        <v>1794</v>
      </c>
      <c r="F106" t="s">
        <v>338</v>
      </c>
      <c r="G106" t="s">
        <v>1124</v>
      </c>
      <c r="H106" t="s">
        <v>339</v>
      </c>
      <c r="I106" t="s">
        <v>262</v>
      </c>
      <c r="J106" t="s">
        <v>340</v>
      </c>
      <c r="K106">
        <v>1</v>
      </c>
      <c r="L106">
        <v>1</v>
      </c>
      <c r="M106" t="s">
        <v>33</v>
      </c>
      <c r="N106">
        <v>1</v>
      </c>
      <c r="O106">
        <v>1</v>
      </c>
      <c r="P106">
        <v>1</v>
      </c>
      <c r="Q106" t="s">
        <v>52</v>
      </c>
      <c r="R106">
        <v>1</v>
      </c>
      <c r="S106">
        <v>1</v>
      </c>
      <c r="T106">
        <v>1</v>
      </c>
      <c r="U106" t="s">
        <v>1794</v>
      </c>
      <c r="V106" t="s">
        <v>1794</v>
      </c>
      <c r="W106" t="s">
        <v>1794</v>
      </c>
      <c r="X106">
        <v>1</v>
      </c>
      <c r="Y106" t="s">
        <v>1794</v>
      </c>
      <c r="Z106">
        <v>0</v>
      </c>
      <c r="AA106" t="s">
        <v>1794</v>
      </c>
      <c r="AB106" t="s">
        <v>1794</v>
      </c>
      <c r="AC106" t="s">
        <v>1794</v>
      </c>
      <c r="AD106" t="s">
        <v>1794</v>
      </c>
      <c r="AE106">
        <v>0</v>
      </c>
      <c r="AF106" t="s">
        <v>1794</v>
      </c>
      <c r="AG106" t="s">
        <v>1794</v>
      </c>
      <c r="AH106" t="s">
        <v>1794</v>
      </c>
    </row>
    <row r="107" spans="1:34" x14ac:dyDescent="0.25">
      <c r="A107" t="s">
        <v>294</v>
      </c>
      <c r="B107" t="s">
        <v>1279</v>
      </c>
      <c r="C107" t="s">
        <v>258</v>
      </c>
      <c r="D107" t="s">
        <v>259</v>
      </c>
      <c r="E107" t="s">
        <v>1794</v>
      </c>
      <c r="F107" t="s">
        <v>338</v>
      </c>
      <c r="G107" t="s">
        <v>1124</v>
      </c>
      <c r="H107" t="s">
        <v>339</v>
      </c>
      <c r="I107" t="s">
        <v>262</v>
      </c>
      <c r="J107" t="s">
        <v>340</v>
      </c>
      <c r="K107">
        <v>1</v>
      </c>
      <c r="L107">
        <v>1</v>
      </c>
      <c r="M107" t="s">
        <v>33</v>
      </c>
      <c r="N107">
        <v>1</v>
      </c>
      <c r="O107">
        <v>1</v>
      </c>
      <c r="P107">
        <v>1</v>
      </c>
      <c r="Q107" t="s">
        <v>52</v>
      </c>
      <c r="R107">
        <v>1</v>
      </c>
      <c r="S107">
        <v>1</v>
      </c>
      <c r="T107">
        <v>1</v>
      </c>
      <c r="U107" t="s">
        <v>1794</v>
      </c>
      <c r="V107" t="s">
        <v>1794</v>
      </c>
      <c r="W107" t="s">
        <v>1794</v>
      </c>
      <c r="X107">
        <v>1</v>
      </c>
      <c r="Y107" t="s">
        <v>1794</v>
      </c>
      <c r="Z107">
        <v>0</v>
      </c>
      <c r="AA107" t="s">
        <v>1794</v>
      </c>
      <c r="AB107" t="s">
        <v>1794</v>
      </c>
      <c r="AC107" t="s">
        <v>1794</v>
      </c>
      <c r="AD107" t="s">
        <v>1794</v>
      </c>
      <c r="AE107">
        <v>0</v>
      </c>
      <c r="AF107" t="s">
        <v>1794</v>
      </c>
      <c r="AG107" t="s">
        <v>1794</v>
      </c>
      <c r="AH107" t="s">
        <v>1794</v>
      </c>
    </row>
    <row r="108" spans="1:34" x14ac:dyDescent="0.25">
      <c r="A108" t="s">
        <v>1311</v>
      </c>
      <c r="B108" t="s">
        <v>1312</v>
      </c>
      <c r="C108" t="s">
        <v>258</v>
      </c>
      <c r="D108" t="s">
        <v>259</v>
      </c>
      <c r="E108" t="s">
        <v>1794</v>
      </c>
      <c r="F108" t="s">
        <v>338</v>
      </c>
      <c r="G108" t="s">
        <v>1124</v>
      </c>
      <c r="H108" t="s">
        <v>339</v>
      </c>
      <c r="I108" t="s">
        <v>262</v>
      </c>
      <c r="J108" t="s">
        <v>340</v>
      </c>
      <c r="K108">
        <v>1</v>
      </c>
      <c r="L108">
        <v>1</v>
      </c>
      <c r="M108" t="s">
        <v>33</v>
      </c>
      <c r="N108">
        <v>1</v>
      </c>
      <c r="O108">
        <v>1</v>
      </c>
      <c r="P108">
        <v>1</v>
      </c>
      <c r="Q108" t="s">
        <v>52</v>
      </c>
      <c r="R108">
        <v>1</v>
      </c>
      <c r="S108">
        <v>1</v>
      </c>
      <c r="T108">
        <v>1</v>
      </c>
      <c r="U108" t="s">
        <v>1794</v>
      </c>
      <c r="V108" t="s">
        <v>1794</v>
      </c>
      <c r="W108" t="s">
        <v>1794</v>
      </c>
      <c r="X108">
        <v>1</v>
      </c>
      <c r="Y108" t="s">
        <v>1794</v>
      </c>
      <c r="Z108">
        <v>0</v>
      </c>
      <c r="AA108" t="s">
        <v>1794</v>
      </c>
      <c r="AB108" t="s">
        <v>1794</v>
      </c>
      <c r="AC108" t="s">
        <v>1794</v>
      </c>
      <c r="AD108" t="s">
        <v>1794</v>
      </c>
      <c r="AE108">
        <v>0</v>
      </c>
      <c r="AF108" t="s">
        <v>1794</v>
      </c>
      <c r="AG108" t="s">
        <v>1794</v>
      </c>
      <c r="AH108" t="s">
        <v>1794</v>
      </c>
    </row>
    <row r="109" spans="1:34" x14ac:dyDescent="0.25">
      <c r="A109" t="s">
        <v>290</v>
      </c>
      <c r="B109" t="s">
        <v>1278</v>
      </c>
      <c r="C109" t="s">
        <v>258</v>
      </c>
      <c r="D109" t="s">
        <v>259</v>
      </c>
      <c r="E109" t="s">
        <v>1794</v>
      </c>
      <c r="F109" t="s">
        <v>341</v>
      </c>
      <c r="G109" t="s">
        <v>1124</v>
      </c>
      <c r="H109" t="s">
        <v>342</v>
      </c>
      <c r="I109" t="s">
        <v>262</v>
      </c>
      <c r="J109" t="s">
        <v>340</v>
      </c>
      <c r="K109">
        <v>1</v>
      </c>
      <c r="L109">
        <v>1</v>
      </c>
      <c r="M109" t="s">
        <v>33</v>
      </c>
      <c r="N109">
        <v>1</v>
      </c>
      <c r="O109">
        <v>1</v>
      </c>
      <c r="P109">
        <v>1</v>
      </c>
      <c r="Q109" t="s">
        <v>52</v>
      </c>
      <c r="R109">
        <v>1</v>
      </c>
      <c r="S109">
        <v>1</v>
      </c>
      <c r="T109">
        <v>1</v>
      </c>
      <c r="U109" t="s">
        <v>1794</v>
      </c>
      <c r="V109" t="s">
        <v>1794</v>
      </c>
      <c r="W109" t="s">
        <v>1794</v>
      </c>
      <c r="X109">
        <v>1</v>
      </c>
      <c r="Y109" t="s">
        <v>1794</v>
      </c>
      <c r="Z109">
        <v>0</v>
      </c>
      <c r="AA109" t="s">
        <v>1794</v>
      </c>
      <c r="AB109" t="s">
        <v>1794</v>
      </c>
      <c r="AC109" t="s">
        <v>1794</v>
      </c>
      <c r="AD109" t="s">
        <v>1794</v>
      </c>
      <c r="AE109">
        <v>0</v>
      </c>
      <c r="AF109" t="s">
        <v>1794</v>
      </c>
      <c r="AG109" t="s">
        <v>1794</v>
      </c>
      <c r="AH109" t="s">
        <v>1794</v>
      </c>
    </row>
    <row r="110" spans="1:34" x14ac:dyDescent="0.25">
      <c r="A110" t="s">
        <v>294</v>
      </c>
      <c r="B110" t="s">
        <v>1279</v>
      </c>
      <c r="C110" t="s">
        <v>258</v>
      </c>
      <c r="D110" t="s">
        <v>259</v>
      </c>
      <c r="E110" t="s">
        <v>1794</v>
      </c>
      <c r="F110" t="s">
        <v>341</v>
      </c>
      <c r="G110" t="s">
        <v>1124</v>
      </c>
      <c r="H110" t="s">
        <v>342</v>
      </c>
      <c r="I110" t="s">
        <v>262</v>
      </c>
      <c r="J110" t="s">
        <v>340</v>
      </c>
      <c r="K110">
        <v>1</v>
      </c>
      <c r="L110">
        <v>1</v>
      </c>
      <c r="M110" t="s">
        <v>33</v>
      </c>
      <c r="N110">
        <v>1</v>
      </c>
      <c r="O110">
        <v>1</v>
      </c>
      <c r="P110">
        <v>1</v>
      </c>
      <c r="Q110" t="s">
        <v>52</v>
      </c>
      <c r="R110">
        <v>1</v>
      </c>
      <c r="S110">
        <v>1</v>
      </c>
      <c r="T110">
        <v>1</v>
      </c>
      <c r="U110" t="s">
        <v>1794</v>
      </c>
      <c r="V110" t="s">
        <v>1794</v>
      </c>
      <c r="W110" t="s">
        <v>1794</v>
      </c>
      <c r="X110">
        <v>1</v>
      </c>
      <c r="Y110" t="s">
        <v>1794</v>
      </c>
      <c r="Z110">
        <v>0</v>
      </c>
      <c r="AA110" t="s">
        <v>1794</v>
      </c>
      <c r="AB110" t="s">
        <v>1794</v>
      </c>
      <c r="AC110" t="s">
        <v>1794</v>
      </c>
      <c r="AD110" t="s">
        <v>1794</v>
      </c>
      <c r="AE110">
        <v>0</v>
      </c>
      <c r="AF110" t="s">
        <v>1794</v>
      </c>
      <c r="AG110" t="s">
        <v>1794</v>
      </c>
      <c r="AH110" t="s">
        <v>1794</v>
      </c>
    </row>
    <row r="111" spans="1:34" x14ac:dyDescent="0.25">
      <c r="A111" t="s">
        <v>1311</v>
      </c>
      <c r="B111" t="s">
        <v>1312</v>
      </c>
      <c r="C111" t="s">
        <v>258</v>
      </c>
      <c r="D111" t="s">
        <v>259</v>
      </c>
      <c r="E111" t="s">
        <v>1794</v>
      </c>
      <c r="F111" t="s">
        <v>341</v>
      </c>
      <c r="G111" t="s">
        <v>1124</v>
      </c>
      <c r="H111" t="s">
        <v>342</v>
      </c>
      <c r="I111" t="s">
        <v>262</v>
      </c>
      <c r="J111" t="s">
        <v>340</v>
      </c>
      <c r="K111">
        <v>1</v>
      </c>
      <c r="L111">
        <v>1</v>
      </c>
      <c r="M111" t="s">
        <v>33</v>
      </c>
      <c r="N111">
        <v>1</v>
      </c>
      <c r="O111">
        <v>1</v>
      </c>
      <c r="P111">
        <v>1</v>
      </c>
      <c r="Q111" t="s">
        <v>52</v>
      </c>
      <c r="R111">
        <v>1</v>
      </c>
      <c r="S111">
        <v>1</v>
      </c>
      <c r="T111">
        <v>1</v>
      </c>
      <c r="U111" t="s">
        <v>1794</v>
      </c>
      <c r="V111" t="s">
        <v>1794</v>
      </c>
      <c r="W111" t="s">
        <v>1794</v>
      </c>
      <c r="X111">
        <v>1</v>
      </c>
      <c r="Y111" t="s">
        <v>1794</v>
      </c>
      <c r="Z111">
        <v>0</v>
      </c>
      <c r="AA111" t="s">
        <v>1794</v>
      </c>
      <c r="AB111" t="s">
        <v>1794</v>
      </c>
      <c r="AC111" t="s">
        <v>1794</v>
      </c>
      <c r="AD111" t="s">
        <v>1794</v>
      </c>
      <c r="AE111">
        <v>0</v>
      </c>
      <c r="AF111" t="s">
        <v>1794</v>
      </c>
      <c r="AG111" t="s">
        <v>1794</v>
      </c>
      <c r="AH111" t="s">
        <v>1794</v>
      </c>
    </row>
    <row r="112" spans="1:34" x14ac:dyDescent="0.25">
      <c r="A112" t="s">
        <v>290</v>
      </c>
      <c r="B112" t="s">
        <v>1278</v>
      </c>
      <c r="C112" t="s">
        <v>258</v>
      </c>
      <c r="D112" t="s">
        <v>259</v>
      </c>
      <c r="E112" t="s">
        <v>1794</v>
      </c>
      <c r="F112" t="s">
        <v>343</v>
      </c>
      <c r="G112" t="s">
        <v>1124</v>
      </c>
      <c r="H112" t="s">
        <v>344</v>
      </c>
      <c r="I112" t="s">
        <v>262</v>
      </c>
      <c r="J112" t="s">
        <v>340</v>
      </c>
      <c r="K112">
        <v>1</v>
      </c>
      <c r="L112">
        <v>1</v>
      </c>
      <c r="M112" t="s">
        <v>33</v>
      </c>
      <c r="N112">
        <v>1</v>
      </c>
      <c r="O112">
        <v>1</v>
      </c>
      <c r="P112">
        <v>1</v>
      </c>
      <c r="Q112" t="s">
        <v>52</v>
      </c>
      <c r="R112">
        <v>1</v>
      </c>
      <c r="S112">
        <v>1</v>
      </c>
      <c r="T112">
        <v>1</v>
      </c>
      <c r="U112" t="s">
        <v>1794</v>
      </c>
      <c r="V112" t="s">
        <v>1794</v>
      </c>
      <c r="W112" t="s">
        <v>1794</v>
      </c>
      <c r="X112">
        <v>1</v>
      </c>
      <c r="Y112" t="s">
        <v>1794</v>
      </c>
      <c r="Z112">
        <v>0</v>
      </c>
      <c r="AA112" t="s">
        <v>1794</v>
      </c>
      <c r="AB112" t="s">
        <v>1794</v>
      </c>
      <c r="AC112" t="s">
        <v>1794</v>
      </c>
      <c r="AD112" t="s">
        <v>1794</v>
      </c>
      <c r="AE112">
        <v>0</v>
      </c>
      <c r="AF112" t="s">
        <v>1794</v>
      </c>
      <c r="AG112" t="s">
        <v>1794</v>
      </c>
      <c r="AH112" t="s">
        <v>1794</v>
      </c>
    </row>
    <row r="113" spans="1:34" x14ac:dyDescent="0.25">
      <c r="A113" t="s">
        <v>294</v>
      </c>
      <c r="B113" t="s">
        <v>1279</v>
      </c>
      <c r="C113" t="s">
        <v>258</v>
      </c>
      <c r="D113" t="s">
        <v>259</v>
      </c>
      <c r="E113" t="s">
        <v>1794</v>
      </c>
      <c r="F113" t="s">
        <v>343</v>
      </c>
      <c r="G113" t="s">
        <v>1124</v>
      </c>
      <c r="H113" t="s">
        <v>344</v>
      </c>
      <c r="I113" t="s">
        <v>262</v>
      </c>
      <c r="J113" t="s">
        <v>340</v>
      </c>
      <c r="K113">
        <v>1</v>
      </c>
      <c r="L113">
        <v>1</v>
      </c>
      <c r="M113" t="s">
        <v>33</v>
      </c>
      <c r="N113">
        <v>1</v>
      </c>
      <c r="O113">
        <v>1</v>
      </c>
      <c r="P113">
        <v>1</v>
      </c>
      <c r="Q113" t="s">
        <v>52</v>
      </c>
      <c r="R113">
        <v>1</v>
      </c>
      <c r="S113">
        <v>1</v>
      </c>
      <c r="T113">
        <v>1</v>
      </c>
      <c r="U113" t="s">
        <v>1794</v>
      </c>
      <c r="V113" t="s">
        <v>1794</v>
      </c>
      <c r="W113" t="s">
        <v>1794</v>
      </c>
      <c r="X113">
        <v>1</v>
      </c>
      <c r="Y113" t="s">
        <v>1794</v>
      </c>
      <c r="Z113">
        <v>0</v>
      </c>
      <c r="AA113" t="s">
        <v>1794</v>
      </c>
      <c r="AB113" t="s">
        <v>1794</v>
      </c>
      <c r="AC113" t="s">
        <v>1794</v>
      </c>
      <c r="AD113" t="s">
        <v>1794</v>
      </c>
      <c r="AE113">
        <v>0</v>
      </c>
      <c r="AF113" t="s">
        <v>1794</v>
      </c>
      <c r="AG113" t="s">
        <v>1794</v>
      </c>
      <c r="AH113" t="s">
        <v>1794</v>
      </c>
    </row>
    <row r="114" spans="1:34" x14ac:dyDescent="0.25">
      <c r="A114" t="s">
        <v>1311</v>
      </c>
      <c r="B114" t="s">
        <v>1312</v>
      </c>
      <c r="C114" t="s">
        <v>258</v>
      </c>
      <c r="D114" t="s">
        <v>259</v>
      </c>
      <c r="E114" t="s">
        <v>1794</v>
      </c>
      <c r="F114" t="s">
        <v>343</v>
      </c>
      <c r="G114" t="s">
        <v>1124</v>
      </c>
      <c r="H114" t="s">
        <v>344</v>
      </c>
      <c r="I114" t="s">
        <v>262</v>
      </c>
      <c r="J114" t="s">
        <v>340</v>
      </c>
      <c r="K114">
        <v>1</v>
      </c>
      <c r="L114">
        <v>1</v>
      </c>
      <c r="M114" t="s">
        <v>33</v>
      </c>
      <c r="N114">
        <v>1</v>
      </c>
      <c r="O114">
        <v>1</v>
      </c>
      <c r="P114">
        <v>1</v>
      </c>
      <c r="Q114" t="s">
        <v>52</v>
      </c>
      <c r="R114">
        <v>1</v>
      </c>
      <c r="S114">
        <v>1</v>
      </c>
      <c r="T114">
        <v>1</v>
      </c>
      <c r="U114" t="s">
        <v>1794</v>
      </c>
      <c r="V114" t="s">
        <v>1794</v>
      </c>
      <c r="W114" t="s">
        <v>1794</v>
      </c>
      <c r="X114">
        <v>1</v>
      </c>
      <c r="Y114" t="s">
        <v>1794</v>
      </c>
      <c r="Z114">
        <v>0</v>
      </c>
      <c r="AA114" t="s">
        <v>1794</v>
      </c>
      <c r="AB114" t="s">
        <v>1794</v>
      </c>
      <c r="AC114" t="s">
        <v>1794</v>
      </c>
      <c r="AD114" t="s">
        <v>1794</v>
      </c>
      <c r="AE114">
        <v>0</v>
      </c>
      <c r="AF114" t="s">
        <v>1794</v>
      </c>
      <c r="AG114" t="s">
        <v>1794</v>
      </c>
      <c r="AH114" t="s">
        <v>1794</v>
      </c>
    </row>
    <row r="115" spans="1:34" x14ac:dyDescent="0.25">
      <c r="A115" t="s">
        <v>290</v>
      </c>
      <c r="B115" t="s">
        <v>1278</v>
      </c>
      <c r="C115" t="s">
        <v>258</v>
      </c>
      <c r="D115" t="s">
        <v>259</v>
      </c>
      <c r="E115" t="s">
        <v>1794</v>
      </c>
      <c r="F115" t="s">
        <v>345</v>
      </c>
      <c r="G115" t="s">
        <v>1124</v>
      </c>
      <c r="H115" t="s">
        <v>346</v>
      </c>
      <c r="I115" t="s">
        <v>262</v>
      </c>
      <c r="J115" t="s">
        <v>340</v>
      </c>
      <c r="K115">
        <v>1</v>
      </c>
      <c r="L115">
        <v>1</v>
      </c>
      <c r="M115" t="s">
        <v>33</v>
      </c>
      <c r="N115">
        <v>1</v>
      </c>
      <c r="O115">
        <v>1</v>
      </c>
      <c r="P115">
        <v>1</v>
      </c>
      <c r="Q115" t="s">
        <v>52</v>
      </c>
      <c r="R115">
        <v>1</v>
      </c>
      <c r="S115">
        <v>1</v>
      </c>
      <c r="T115">
        <v>1</v>
      </c>
      <c r="U115" t="s">
        <v>1794</v>
      </c>
      <c r="V115" t="s">
        <v>1794</v>
      </c>
      <c r="W115" t="s">
        <v>1794</v>
      </c>
      <c r="X115">
        <v>1</v>
      </c>
      <c r="Y115" t="s">
        <v>1794</v>
      </c>
      <c r="Z115">
        <v>0</v>
      </c>
      <c r="AA115" t="s">
        <v>1794</v>
      </c>
      <c r="AB115" t="s">
        <v>1794</v>
      </c>
      <c r="AC115" t="s">
        <v>1794</v>
      </c>
      <c r="AD115" t="s">
        <v>1794</v>
      </c>
      <c r="AE115">
        <v>0</v>
      </c>
      <c r="AF115" t="s">
        <v>1794</v>
      </c>
      <c r="AG115" t="s">
        <v>1794</v>
      </c>
      <c r="AH115" t="s">
        <v>1794</v>
      </c>
    </row>
    <row r="116" spans="1:34" x14ac:dyDescent="0.25">
      <c r="A116" t="s">
        <v>294</v>
      </c>
      <c r="B116" t="s">
        <v>1279</v>
      </c>
      <c r="C116" t="s">
        <v>258</v>
      </c>
      <c r="D116" t="s">
        <v>259</v>
      </c>
      <c r="E116" t="s">
        <v>1794</v>
      </c>
      <c r="F116" t="s">
        <v>345</v>
      </c>
      <c r="G116" t="s">
        <v>1124</v>
      </c>
      <c r="H116" t="s">
        <v>346</v>
      </c>
      <c r="I116" t="s">
        <v>262</v>
      </c>
      <c r="J116" t="s">
        <v>340</v>
      </c>
      <c r="K116">
        <v>1</v>
      </c>
      <c r="L116">
        <v>1</v>
      </c>
      <c r="M116" t="s">
        <v>33</v>
      </c>
      <c r="N116">
        <v>1</v>
      </c>
      <c r="O116">
        <v>1</v>
      </c>
      <c r="P116">
        <v>1</v>
      </c>
      <c r="Q116" t="s">
        <v>52</v>
      </c>
      <c r="R116">
        <v>1</v>
      </c>
      <c r="S116">
        <v>1</v>
      </c>
      <c r="T116">
        <v>1</v>
      </c>
      <c r="U116" t="s">
        <v>1794</v>
      </c>
      <c r="V116" t="s">
        <v>1794</v>
      </c>
      <c r="W116" t="s">
        <v>1794</v>
      </c>
      <c r="X116">
        <v>1</v>
      </c>
      <c r="Y116" t="s">
        <v>1794</v>
      </c>
      <c r="Z116">
        <v>0</v>
      </c>
      <c r="AA116" t="s">
        <v>1794</v>
      </c>
      <c r="AB116" t="s">
        <v>1794</v>
      </c>
      <c r="AC116" t="s">
        <v>1794</v>
      </c>
      <c r="AD116" t="s">
        <v>1794</v>
      </c>
      <c r="AE116">
        <v>0</v>
      </c>
      <c r="AF116" t="s">
        <v>1794</v>
      </c>
      <c r="AG116" t="s">
        <v>1794</v>
      </c>
      <c r="AH116" t="s">
        <v>1794</v>
      </c>
    </row>
    <row r="117" spans="1:34" x14ac:dyDescent="0.25">
      <c r="A117" t="s">
        <v>1311</v>
      </c>
      <c r="B117" t="s">
        <v>1312</v>
      </c>
      <c r="C117" t="s">
        <v>258</v>
      </c>
      <c r="D117" t="s">
        <v>259</v>
      </c>
      <c r="E117" t="s">
        <v>1794</v>
      </c>
      <c r="F117" t="s">
        <v>345</v>
      </c>
      <c r="G117" t="s">
        <v>1124</v>
      </c>
      <c r="H117" t="s">
        <v>346</v>
      </c>
      <c r="I117" t="s">
        <v>262</v>
      </c>
      <c r="J117" t="s">
        <v>340</v>
      </c>
      <c r="K117">
        <v>1</v>
      </c>
      <c r="L117">
        <v>1</v>
      </c>
      <c r="M117" t="s">
        <v>33</v>
      </c>
      <c r="N117">
        <v>1</v>
      </c>
      <c r="O117">
        <v>1</v>
      </c>
      <c r="P117">
        <v>1</v>
      </c>
      <c r="Q117" t="s">
        <v>52</v>
      </c>
      <c r="R117">
        <v>1</v>
      </c>
      <c r="S117">
        <v>1</v>
      </c>
      <c r="T117">
        <v>1</v>
      </c>
      <c r="U117" t="s">
        <v>1794</v>
      </c>
      <c r="V117" t="s">
        <v>1794</v>
      </c>
      <c r="W117" t="s">
        <v>1794</v>
      </c>
      <c r="X117">
        <v>1</v>
      </c>
      <c r="Y117" t="s">
        <v>1794</v>
      </c>
      <c r="Z117">
        <v>0</v>
      </c>
      <c r="AA117" t="s">
        <v>1794</v>
      </c>
      <c r="AB117" t="s">
        <v>1794</v>
      </c>
      <c r="AC117" t="s">
        <v>1794</v>
      </c>
      <c r="AD117" t="s">
        <v>1794</v>
      </c>
      <c r="AE117">
        <v>0</v>
      </c>
      <c r="AF117" t="s">
        <v>1794</v>
      </c>
      <c r="AG117" t="s">
        <v>1794</v>
      </c>
      <c r="AH117" t="s">
        <v>1794</v>
      </c>
    </row>
    <row r="118" spans="1:34" x14ac:dyDescent="0.25">
      <c r="A118" t="s">
        <v>290</v>
      </c>
      <c r="B118" t="s">
        <v>1278</v>
      </c>
      <c r="C118" t="s">
        <v>258</v>
      </c>
      <c r="D118" t="s">
        <v>259</v>
      </c>
      <c r="E118" t="s">
        <v>1794</v>
      </c>
      <c r="F118" t="s">
        <v>347</v>
      </c>
      <c r="G118" t="s">
        <v>1124</v>
      </c>
      <c r="H118" t="s">
        <v>348</v>
      </c>
      <c r="I118" t="s">
        <v>262</v>
      </c>
      <c r="J118" t="s">
        <v>293</v>
      </c>
      <c r="K118">
        <v>1</v>
      </c>
      <c r="L118">
        <v>1</v>
      </c>
      <c r="M118" t="s">
        <v>33</v>
      </c>
      <c r="N118">
        <v>1</v>
      </c>
      <c r="O118">
        <v>1</v>
      </c>
      <c r="P118">
        <v>1</v>
      </c>
      <c r="Q118" t="s">
        <v>52</v>
      </c>
      <c r="R118">
        <v>1</v>
      </c>
      <c r="S118">
        <v>1</v>
      </c>
      <c r="T118">
        <v>1</v>
      </c>
      <c r="U118" t="s">
        <v>1794</v>
      </c>
      <c r="V118" t="s">
        <v>1794</v>
      </c>
      <c r="W118" t="s">
        <v>1794</v>
      </c>
      <c r="X118">
        <v>1</v>
      </c>
      <c r="Y118" t="s">
        <v>1794</v>
      </c>
      <c r="Z118">
        <v>0</v>
      </c>
      <c r="AA118" t="s">
        <v>1794</v>
      </c>
      <c r="AB118" t="s">
        <v>1794</v>
      </c>
      <c r="AC118" t="s">
        <v>1794</v>
      </c>
      <c r="AD118" t="s">
        <v>1794</v>
      </c>
      <c r="AE118">
        <v>0</v>
      </c>
      <c r="AF118" t="s">
        <v>1794</v>
      </c>
      <c r="AG118" t="s">
        <v>1794</v>
      </c>
      <c r="AH118" t="s">
        <v>1794</v>
      </c>
    </row>
    <row r="119" spans="1:34" x14ac:dyDescent="0.25">
      <c r="A119" t="s">
        <v>294</v>
      </c>
      <c r="B119" t="s">
        <v>1279</v>
      </c>
      <c r="C119" t="s">
        <v>258</v>
      </c>
      <c r="D119" t="s">
        <v>259</v>
      </c>
      <c r="E119" t="s">
        <v>1794</v>
      </c>
      <c r="F119" t="s">
        <v>347</v>
      </c>
      <c r="G119" t="s">
        <v>1124</v>
      </c>
      <c r="H119" t="s">
        <v>348</v>
      </c>
      <c r="I119" t="s">
        <v>262</v>
      </c>
      <c r="J119" t="s">
        <v>293</v>
      </c>
      <c r="K119">
        <v>1</v>
      </c>
      <c r="L119">
        <v>1</v>
      </c>
      <c r="M119" t="s">
        <v>33</v>
      </c>
      <c r="N119">
        <v>1</v>
      </c>
      <c r="O119">
        <v>1</v>
      </c>
      <c r="P119">
        <v>1</v>
      </c>
      <c r="Q119" t="s">
        <v>52</v>
      </c>
      <c r="R119">
        <v>1</v>
      </c>
      <c r="S119">
        <v>1</v>
      </c>
      <c r="T119">
        <v>1</v>
      </c>
      <c r="U119" t="s">
        <v>1794</v>
      </c>
      <c r="V119" t="s">
        <v>1794</v>
      </c>
      <c r="W119" t="s">
        <v>1794</v>
      </c>
      <c r="X119">
        <v>1</v>
      </c>
      <c r="Y119" t="s">
        <v>1794</v>
      </c>
      <c r="Z119">
        <v>0</v>
      </c>
      <c r="AA119" t="s">
        <v>1794</v>
      </c>
      <c r="AB119" t="s">
        <v>1794</v>
      </c>
      <c r="AC119" t="s">
        <v>1794</v>
      </c>
      <c r="AD119" t="s">
        <v>1794</v>
      </c>
      <c r="AE119">
        <v>0</v>
      </c>
      <c r="AF119" t="s">
        <v>1794</v>
      </c>
      <c r="AG119" t="s">
        <v>1794</v>
      </c>
      <c r="AH119" t="s">
        <v>1794</v>
      </c>
    </row>
    <row r="120" spans="1:34" x14ac:dyDescent="0.25">
      <c r="A120" t="s">
        <v>1311</v>
      </c>
      <c r="B120" t="s">
        <v>1312</v>
      </c>
      <c r="C120" t="s">
        <v>258</v>
      </c>
      <c r="D120" t="s">
        <v>259</v>
      </c>
      <c r="E120" t="s">
        <v>1794</v>
      </c>
      <c r="F120" t="s">
        <v>347</v>
      </c>
      <c r="G120" t="s">
        <v>1124</v>
      </c>
      <c r="H120" t="s">
        <v>348</v>
      </c>
      <c r="I120" t="s">
        <v>262</v>
      </c>
      <c r="J120" t="s">
        <v>293</v>
      </c>
      <c r="K120">
        <v>1</v>
      </c>
      <c r="L120">
        <v>1</v>
      </c>
      <c r="M120" t="s">
        <v>33</v>
      </c>
      <c r="N120">
        <v>1</v>
      </c>
      <c r="O120">
        <v>1</v>
      </c>
      <c r="P120">
        <v>1</v>
      </c>
      <c r="Q120" t="s">
        <v>52</v>
      </c>
      <c r="R120">
        <v>1</v>
      </c>
      <c r="S120">
        <v>1</v>
      </c>
      <c r="T120">
        <v>1</v>
      </c>
      <c r="U120" t="s">
        <v>1794</v>
      </c>
      <c r="V120" t="s">
        <v>1794</v>
      </c>
      <c r="W120" t="s">
        <v>1794</v>
      </c>
      <c r="X120">
        <v>1</v>
      </c>
      <c r="Y120" t="s">
        <v>1794</v>
      </c>
      <c r="Z120">
        <v>0</v>
      </c>
      <c r="AA120" t="s">
        <v>1794</v>
      </c>
      <c r="AB120" t="s">
        <v>1794</v>
      </c>
      <c r="AC120" t="s">
        <v>1794</v>
      </c>
      <c r="AD120" t="s">
        <v>1794</v>
      </c>
      <c r="AE120">
        <v>0</v>
      </c>
      <c r="AF120" t="s">
        <v>1794</v>
      </c>
      <c r="AG120" t="s">
        <v>1794</v>
      </c>
      <c r="AH120" t="s">
        <v>1794</v>
      </c>
    </row>
    <row r="121" spans="1:34" x14ac:dyDescent="0.25">
      <c r="A121" t="s">
        <v>290</v>
      </c>
      <c r="B121" t="s">
        <v>1278</v>
      </c>
      <c r="C121" t="s">
        <v>258</v>
      </c>
      <c r="D121" t="s">
        <v>259</v>
      </c>
      <c r="E121" t="s">
        <v>1794</v>
      </c>
      <c r="F121" t="s">
        <v>349</v>
      </c>
      <c r="G121" t="s">
        <v>1124</v>
      </c>
      <c r="H121" t="s">
        <v>350</v>
      </c>
      <c r="I121" t="s">
        <v>262</v>
      </c>
      <c r="J121" t="s">
        <v>293</v>
      </c>
      <c r="K121">
        <v>1</v>
      </c>
      <c r="L121">
        <v>1</v>
      </c>
      <c r="M121" t="s">
        <v>33</v>
      </c>
      <c r="N121">
        <v>1</v>
      </c>
      <c r="O121">
        <v>1</v>
      </c>
      <c r="P121">
        <v>1</v>
      </c>
      <c r="Q121" t="s">
        <v>52</v>
      </c>
      <c r="R121">
        <v>1</v>
      </c>
      <c r="S121">
        <v>1</v>
      </c>
      <c r="T121">
        <v>1</v>
      </c>
      <c r="U121" t="s">
        <v>1794</v>
      </c>
      <c r="V121" t="s">
        <v>1794</v>
      </c>
      <c r="W121" t="s">
        <v>1794</v>
      </c>
      <c r="X121">
        <v>1</v>
      </c>
      <c r="Y121" t="s">
        <v>1794</v>
      </c>
      <c r="Z121">
        <v>0</v>
      </c>
      <c r="AA121" t="s">
        <v>1794</v>
      </c>
      <c r="AB121" t="s">
        <v>1794</v>
      </c>
      <c r="AC121" t="s">
        <v>1794</v>
      </c>
      <c r="AD121" t="s">
        <v>1794</v>
      </c>
      <c r="AE121">
        <v>0</v>
      </c>
      <c r="AF121" t="s">
        <v>1794</v>
      </c>
      <c r="AG121" t="s">
        <v>1794</v>
      </c>
      <c r="AH121" t="s">
        <v>1794</v>
      </c>
    </row>
    <row r="122" spans="1:34" x14ac:dyDescent="0.25">
      <c r="A122" t="s">
        <v>294</v>
      </c>
      <c r="B122" t="s">
        <v>1279</v>
      </c>
      <c r="C122" t="s">
        <v>258</v>
      </c>
      <c r="D122" t="s">
        <v>259</v>
      </c>
      <c r="E122" t="s">
        <v>1794</v>
      </c>
      <c r="F122" t="s">
        <v>349</v>
      </c>
      <c r="G122" t="s">
        <v>1124</v>
      </c>
      <c r="H122" t="s">
        <v>350</v>
      </c>
      <c r="I122" t="s">
        <v>262</v>
      </c>
      <c r="J122" t="s">
        <v>293</v>
      </c>
      <c r="K122">
        <v>1</v>
      </c>
      <c r="L122">
        <v>1</v>
      </c>
      <c r="M122" t="s">
        <v>33</v>
      </c>
      <c r="N122">
        <v>1</v>
      </c>
      <c r="O122">
        <v>1</v>
      </c>
      <c r="P122">
        <v>1</v>
      </c>
      <c r="Q122" t="s">
        <v>52</v>
      </c>
      <c r="R122">
        <v>1</v>
      </c>
      <c r="S122">
        <v>1</v>
      </c>
      <c r="T122">
        <v>1</v>
      </c>
      <c r="U122" t="s">
        <v>1794</v>
      </c>
      <c r="V122" t="s">
        <v>1794</v>
      </c>
      <c r="W122" t="s">
        <v>1794</v>
      </c>
      <c r="X122">
        <v>1</v>
      </c>
      <c r="Y122" t="s">
        <v>1794</v>
      </c>
      <c r="Z122">
        <v>0</v>
      </c>
      <c r="AA122" t="s">
        <v>1794</v>
      </c>
      <c r="AB122" t="s">
        <v>1794</v>
      </c>
      <c r="AC122" t="s">
        <v>1794</v>
      </c>
      <c r="AD122" t="s">
        <v>1794</v>
      </c>
      <c r="AE122">
        <v>0</v>
      </c>
      <c r="AF122" t="s">
        <v>1794</v>
      </c>
      <c r="AG122" t="s">
        <v>1794</v>
      </c>
      <c r="AH122" t="s">
        <v>1794</v>
      </c>
    </row>
    <row r="123" spans="1:34" x14ac:dyDescent="0.25">
      <c r="A123" t="s">
        <v>1311</v>
      </c>
      <c r="B123" t="s">
        <v>1312</v>
      </c>
      <c r="C123" t="s">
        <v>258</v>
      </c>
      <c r="D123" t="s">
        <v>259</v>
      </c>
      <c r="E123" t="s">
        <v>1794</v>
      </c>
      <c r="F123" t="s">
        <v>349</v>
      </c>
      <c r="G123" t="s">
        <v>1124</v>
      </c>
      <c r="H123" t="s">
        <v>350</v>
      </c>
      <c r="I123" t="s">
        <v>262</v>
      </c>
      <c r="J123" t="s">
        <v>293</v>
      </c>
      <c r="K123">
        <v>1</v>
      </c>
      <c r="L123">
        <v>1</v>
      </c>
      <c r="M123" t="s">
        <v>33</v>
      </c>
      <c r="N123">
        <v>1</v>
      </c>
      <c r="O123">
        <v>1</v>
      </c>
      <c r="P123">
        <v>1</v>
      </c>
      <c r="Q123" t="s">
        <v>52</v>
      </c>
      <c r="R123">
        <v>1</v>
      </c>
      <c r="S123">
        <v>1</v>
      </c>
      <c r="T123">
        <v>1</v>
      </c>
      <c r="U123" t="s">
        <v>1794</v>
      </c>
      <c r="V123" t="s">
        <v>1794</v>
      </c>
      <c r="W123" t="s">
        <v>1794</v>
      </c>
      <c r="X123">
        <v>1</v>
      </c>
      <c r="Y123" t="s">
        <v>1794</v>
      </c>
      <c r="Z123">
        <v>0</v>
      </c>
      <c r="AA123" t="s">
        <v>1794</v>
      </c>
      <c r="AB123" t="s">
        <v>1794</v>
      </c>
      <c r="AC123" t="s">
        <v>1794</v>
      </c>
      <c r="AD123" t="s">
        <v>1794</v>
      </c>
      <c r="AE123">
        <v>0</v>
      </c>
      <c r="AF123" t="s">
        <v>1794</v>
      </c>
      <c r="AG123" t="s">
        <v>1794</v>
      </c>
      <c r="AH123" t="s">
        <v>1794</v>
      </c>
    </row>
    <row r="124" spans="1:34" ht="21.75" customHeight="1" x14ac:dyDescent="0.25">
      <c r="A124" t="s">
        <v>290</v>
      </c>
      <c r="B124" t="s">
        <v>1278</v>
      </c>
      <c r="C124" t="s">
        <v>258</v>
      </c>
      <c r="D124" t="s">
        <v>259</v>
      </c>
      <c r="E124" t="s">
        <v>1794</v>
      </c>
      <c r="F124" t="s">
        <v>351</v>
      </c>
      <c r="G124" t="s">
        <v>1124</v>
      </c>
      <c r="H124" t="s">
        <v>352</v>
      </c>
      <c r="I124" t="s">
        <v>262</v>
      </c>
      <c r="J124" t="s">
        <v>293</v>
      </c>
      <c r="K124">
        <v>1</v>
      </c>
      <c r="L124">
        <v>1</v>
      </c>
      <c r="M124" t="s">
        <v>33</v>
      </c>
      <c r="N124">
        <v>1</v>
      </c>
      <c r="O124">
        <v>1</v>
      </c>
      <c r="P124">
        <v>1</v>
      </c>
      <c r="Q124" t="s">
        <v>52</v>
      </c>
      <c r="R124">
        <v>1</v>
      </c>
      <c r="S124">
        <v>1</v>
      </c>
      <c r="T124">
        <v>1</v>
      </c>
      <c r="U124" t="s">
        <v>1794</v>
      </c>
      <c r="V124" t="s">
        <v>1794</v>
      </c>
      <c r="W124" t="s">
        <v>1794</v>
      </c>
      <c r="X124">
        <v>1</v>
      </c>
      <c r="Y124" t="s">
        <v>1794</v>
      </c>
      <c r="Z124">
        <v>0</v>
      </c>
      <c r="AA124" t="s">
        <v>1794</v>
      </c>
      <c r="AB124" t="s">
        <v>1794</v>
      </c>
      <c r="AC124" t="s">
        <v>1794</v>
      </c>
      <c r="AD124" t="s">
        <v>1794</v>
      </c>
      <c r="AE124">
        <v>0</v>
      </c>
      <c r="AF124" t="s">
        <v>1794</v>
      </c>
      <c r="AG124" t="s">
        <v>1794</v>
      </c>
      <c r="AH124" t="s">
        <v>1794</v>
      </c>
    </row>
    <row r="125" spans="1:34" x14ac:dyDescent="0.25">
      <c r="A125" t="s">
        <v>294</v>
      </c>
      <c r="B125" t="s">
        <v>1279</v>
      </c>
      <c r="C125" t="s">
        <v>258</v>
      </c>
      <c r="D125" t="s">
        <v>259</v>
      </c>
      <c r="E125" t="s">
        <v>1794</v>
      </c>
      <c r="F125" t="s">
        <v>351</v>
      </c>
      <c r="G125" t="s">
        <v>1124</v>
      </c>
      <c r="H125" t="s">
        <v>352</v>
      </c>
      <c r="I125" t="s">
        <v>262</v>
      </c>
      <c r="J125" t="s">
        <v>293</v>
      </c>
      <c r="K125">
        <v>1</v>
      </c>
      <c r="L125">
        <v>1</v>
      </c>
      <c r="M125" t="s">
        <v>33</v>
      </c>
      <c r="N125">
        <v>1</v>
      </c>
      <c r="O125">
        <v>1</v>
      </c>
      <c r="P125">
        <v>1</v>
      </c>
      <c r="Q125" t="s">
        <v>52</v>
      </c>
      <c r="R125">
        <v>1</v>
      </c>
      <c r="S125">
        <v>1</v>
      </c>
      <c r="T125">
        <v>1</v>
      </c>
      <c r="U125" t="s">
        <v>1794</v>
      </c>
      <c r="V125" t="s">
        <v>1794</v>
      </c>
      <c r="W125" t="s">
        <v>1794</v>
      </c>
      <c r="X125">
        <v>1</v>
      </c>
      <c r="Y125" t="s">
        <v>1794</v>
      </c>
      <c r="Z125">
        <v>0</v>
      </c>
      <c r="AA125" t="s">
        <v>1794</v>
      </c>
      <c r="AB125" t="s">
        <v>1794</v>
      </c>
      <c r="AC125" t="s">
        <v>1794</v>
      </c>
      <c r="AD125" t="s">
        <v>1794</v>
      </c>
      <c r="AE125">
        <v>0</v>
      </c>
      <c r="AF125" t="s">
        <v>1794</v>
      </c>
      <c r="AG125" t="s">
        <v>1794</v>
      </c>
      <c r="AH125" t="s">
        <v>1794</v>
      </c>
    </row>
    <row r="126" spans="1:34" x14ac:dyDescent="0.25">
      <c r="A126" t="s">
        <v>1311</v>
      </c>
      <c r="B126" t="s">
        <v>1312</v>
      </c>
      <c r="C126" t="s">
        <v>258</v>
      </c>
      <c r="D126" t="s">
        <v>259</v>
      </c>
      <c r="E126" t="s">
        <v>1794</v>
      </c>
      <c r="F126" t="s">
        <v>351</v>
      </c>
      <c r="G126" t="s">
        <v>1124</v>
      </c>
      <c r="H126" t="s">
        <v>352</v>
      </c>
      <c r="I126" t="s">
        <v>262</v>
      </c>
      <c r="J126" t="s">
        <v>293</v>
      </c>
      <c r="K126">
        <v>1</v>
      </c>
      <c r="L126">
        <v>1</v>
      </c>
      <c r="M126" t="s">
        <v>33</v>
      </c>
      <c r="N126">
        <v>1</v>
      </c>
      <c r="O126">
        <v>1</v>
      </c>
      <c r="P126">
        <v>1</v>
      </c>
      <c r="Q126" t="s">
        <v>52</v>
      </c>
      <c r="R126">
        <v>1</v>
      </c>
      <c r="S126">
        <v>1</v>
      </c>
      <c r="T126">
        <v>1</v>
      </c>
      <c r="U126" t="s">
        <v>1794</v>
      </c>
      <c r="V126" t="s">
        <v>1794</v>
      </c>
      <c r="W126" t="s">
        <v>1794</v>
      </c>
      <c r="X126">
        <v>1</v>
      </c>
      <c r="Y126" t="s">
        <v>1794</v>
      </c>
      <c r="Z126">
        <v>0</v>
      </c>
      <c r="AA126" t="s">
        <v>1794</v>
      </c>
      <c r="AB126" t="s">
        <v>1794</v>
      </c>
      <c r="AC126" t="s">
        <v>1794</v>
      </c>
      <c r="AD126" t="s">
        <v>1794</v>
      </c>
      <c r="AE126">
        <v>0</v>
      </c>
      <c r="AF126" t="s">
        <v>1794</v>
      </c>
      <c r="AG126" t="s">
        <v>1794</v>
      </c>
      <c r="AH126" t="s">
        <v>1794</v>
      </c>
    </row>
    <row r="127" spans="1:34" x14ac:dyDescent="0.25">
      <c r="A127" t="s">
        <v>290</v>
      </c>
      <c r="B127" t="s">
        <v>1278</v>
      </c>
      <c r="C127" t="s">
        <v>258</v>
      </c>
      <c r="D127" t="s">
        <v>259</v>
      </c>
      <c r="E127" t="s">
        <v>1794</v>
      </c>
      <c r="F127" t="s">
        <v>353</v>
      </c>
      <c r="G127" t="s">
        <v>1124</v>
      </c>
      <c r="H127" t="s">
        <v>354</v>
      </c>
      <c r="I127" t="s">
        <v>262</v>
      </c>
      <c r="J127" t="s">
        <v>293</v>
      </c>
      <c r="K127">
        <v>1</v>
      </c>
      <c r="L127">
        <v>1</v>
      </c>
      <c r="M127" t="s">
        <v>33</v>
      </c>
      <c r="N127">
        <v>1</v>
      </c>
      <c r="O127">
        <v>1</v>
      </c>
      <c r="P127">
        <v>1</v>
      </c>
      <c r="Q127" t="s">
        <v>52</v>
      </c>
      <c r="R127">
        <v>1</v>
      </c>
      <c r="S127">
        <v>1</v>
      </c>
      <c r="T127">
        <v>1</v>
      </c>
      <c r="U127" t="s">
        <v>1794</v>
      </c>
      <c r="V127" t="s">
        <v>1794</v>
      </c>
      <c r="W127" t="s">
        <v>1794</v>
      </c>
      <c r="X127">
        <v>1</v>
      </c>
      <c r="Y127" t="s">
        <v>1794</v>
      </c>
      <c r="Z127">
        <v>0</v>
      </c>
      <c r="AA127" t="s">
        <v>1794</v>
      </c>
      <c r="AB127" t="s">
        <v>1794</v>
      </c>
      <c r="AC127" t="s">
        <v>1794</v>
      </c>
      <c r="AD127" t="s">
        <v>1794</v>
      </c>
      <c r="AE127">
        <v>0</v>
      </c>
      <c r="AF127" t="s">
        <v>1794</v>
      </c>
      <c r="AG127" t="s">
        <v>1794</v>
      </c>
      <c r="AH127" t="s">
        <v>1794</v>
      </c>
    </row>
    <row r="128" spans="1:34" x14ac:dyDescent="0.25">
      <c r="A128" t="s">
        <v>294</v>
      </c>
      <c r="B128" t="s">
        <v>1279</v>
      </c>
      <c r="C128" t="s">
        <v>258</v>
      </c>
      <c r="D128" t="s">
        <v>259</v>
      </c>
      <c r="E128" t="s">
        <v>1794</v>
      </c>
      <c r="F128" t="s">
        <v>353</v>
      </c>
      <c r="G128" t="s">
        <v>1124</v>
      </c>
      <c r="H128" t="s">
        <v>354</v>
      </c>
      <c r="I128" t="s">
        <v>262</v>
      </c>
      <c r="J128" t="s">
        <v>293</v>
      </c>
      <c r="K128">
        <v>1</v>
      </c>
      <c r="L128">
        <v>1</v>
      </c>
      <c r="M128" t="s">
        <v>33</v>
      </c>
      <c r="N128">
        <v>1</v>
      </c>
      <c r="O128">
        <v>1</v>
      </c>
      <c r="P128">
        <v>1</v>
      </c>
      <c r="Q128" t="s">
        <v>52</v>
      </c>
      <c r="R128">
        <v>1</v>
      </c>
      <c r="S128">
        <v>1</v>
      </c>
      <c r="T128">
        <v>1</v>
      </c>
      <c r="U128" t="s">
        <v>1794</v>
      </c>
      <c r="V128" t="s">
        <v>1794</v>
      </c>
      <c r="W128" t="s">
        <v>1794</v>
      </c>
      <c r="X128">
        <v>1</v>
      </c>
      <c r="Y128" t="s">
        <v>1794</v>
      </c>
      <c r="Z128">
        <v>0</v>
      </c>
      <c r="AA128" t="s">
        <v>1794</v>
      </c>
      <c r="AB128" t="s">
        <v>1794</v>
      </c>
      <c r="AC128" t="s">
        <v>1794</v>
      </c>
      <c r="AD128" t="s">
        <v>1794</v>
      </c>
      <c r="AE128">
        <v>0</v>
      </c>
      <c r="AF128" t="s">
        <v>1794</v>
      </c>
      <c r="AG128" t="s">
        <v>1794</v>
      </c>
      <c r="AH128" t="s">
        <v>1794</v>
      </c>
    </row>
    <row r="129" spans="1:34" x14ac:dyDescent="0.25">
      <c r="A129" t="s">
        <v>1311</v>
      </c>
      <c r="B129" t="s">
        <v>1312</v>
      </c>
      <c r="C129" t="s">
        <v>258</v>
      </c>
      <c r="D129" t="s">
        <v>259</v>
      </c>
      <c r="E129" t="s">
        <v>1794</v>
      </c>
      <c r="F129" t="s">
        <v>353</v>
      </c>
      <c r="G129" t="s">
        <v>1124</v>
      </c>
      <c r="H129" t="s">
        <v>354</v>
      </c>
      <c r="I129" t="s">
        <v>262</v>
      </c>
      <c r="J129" t="s">
        <v>293</v>
      </c>
      <c r="K129">
        <v>1</v>
      </c>
      <c r="L129">
        <v>1</v>
      </c>
      <c r="M129" t="s">
        <v>33</v>
      </c>
      <c r="N129">
        <v>1</v>
      </c>
      <c r="O129">
        <v>1</v>
      </c>
      <c r="P129">
        <v>1</v>
      </c>
      <c r="Q129" t="s">
        <v>52</v>
      </c>
      <c r="R129">
        <v>1</v>
      </c>
      <c r="S129">
        <v>1</v>
      </c>
      <c r="T129">
        <v>1</v>
      </c>
      <c r="U129" t="s">
        <v>1794</v>
      </c>
      <c r="V129" t="s">
        <v>1794</v>
      </c>
      <c r="W129" t="s">
        <v>1794</v>
      </c>
      <c r="X129">
        <v>1</v>
      </c>
      <c r="Y129" t="s">
        <v>1794</v>
      </c>
      <c r="Z129">
        <v>0</v>
      </c>
      <c r="AA129" t="s">
        <v>1794</v>
      </c>
      <c r="AB129" t="s">
        <v>1794</v>
      </c>
      <c r="AC129" t="s">
        <v>1794</v>
      </c>
      <c r="AD129" t="s">
        <v>1794</v>
      </c>
      <c r="AE129">
        <v>0</v>
      </c>
      <c r="AF129" t="s">
        <v>1794</v>
      </c>
      <c r="AG129" t="s">
        <v>1794</v>
      </c>
      <c r="AH129" t="s">
        <v>1794</v>
      </c>
    </row>
    <row r="130" spans="1:34" x14ac:dyDescent="0.25">
      <c r="A130" t="s">
        <v>294</v>
      </c>
      <c r="B130" t="s">
        <v>1279</v>
      </c>
      <c r="C130" t="s">
        <v>330</v>
      </c>
      <c r="D130" t="s">
        <v>259</v>
      </c>
      <c r="E130" t="s">
        <v>1794</v>
      </c>
      <c r="F130" t="s">
        <v>355</v>
      </c>
      <c r="G130" t="s">
        <v>1124</v>
      </c>
      <c r="H130" t="s">
        <v>1795</v>
      </c>
      <c r="I130" t="s">
        <v>262</v>
      </c>
      <c r="J130" t="s">
        <v>279</v>
      </c>
      <c r="K130">
        <v>2</v>
      </c>
      <c r="L130">
        <v>2</v>
      </c>
      <c r="M130" t="s">
        <v>33</v>
      </c>
      <c r="N130">
        <v>1</v>
      </c>
      <c r="O130">
        <v>2</v>
      </c>
      <c r="P130">
        <v>1</v>
      </c>
      <c r="Q130" t="s">
        <v>52</v>
      </c>
      <c r="R130">
        <v>2</v>
      </c>
      <c r="S130">
        <v>2</v>
      </c>
      <c r="T130">
        <v>2</v>
      </c>
      <c r="U130" t="s">
        <v>1794</v>
      </c>
      <c r="V130" t="s">
        <v>1794</v>
      </c>
      <c r="W130" t="s">
        <v>1794</v>
      </c>
      <c r="X130">
        <v>1</v>
      </c>
      <c r="Y130" t="s">
        <v>1794</v>
      </c>
      <c r="Z130">
        <v>0</v>
      </c>
      <c r="AA130" t="s">
        <v>1794</v>
      </c>
      <c r="AB130" t="s">
        <v>1794</v>
      </c>
      <c r="AC130" t="s">
        <v>1794</v>
      </c>
      <c r="AD130" t="s">
        <v>1794</v>
      </c>
      <c r="AE130">
        <v>0</v>
      </c>
      <c r="AF130" t="s">
        <v>1794</v>
      </c>
      <c r="AG130" t="s">
        <v>1794</v>
      </c>
      <c r="AH130" t="s">
        <v>1794</v>
      </c>
    </row>
    <row r="131" spans="1:34" x14ac:dyDescent="0.25">
      <c r="A131" t="s">
        <v>356</v>
      </c>
      <c r="B131" t="s">
        <v>1100</v>
      </c>
      <c r="C131" t="s">
        <v>330</v>
      </c>
      <c r="D131" t="s">
        <v>259</v>
      </c>
      <c r="E131" t="s">
        <v>1794</v>
      </c>
      <c r="F131" t="s">
        <v>357</v>
      </c>
      <c r="G131" t="s">
        <v>1124</v>
      </c>
      <c r="H131" t="s">
        <v>1796</v>
      </c>
      <c r="I131" t="s">
        <v>262</v>
      </c>
      <c r="J131" t="s">
        <v>279</v>
      </c>
      <c r="K131">
        <v>2</v>
      </c>
      <c r="L131">
        <v>2</v>
      </c>
      <c r="M131" t="s">
        <v>33</v>
      </c>
      <c r="N131">
        <v>1</v>
      </c>
      <c r="O131">
        <v>2</v>
      </c>
      <c r="P131">
        <v>1</v>
      </c>
      <c r="Q131" t="s">
        <v>52</v>
      </c>
      <c r="R131">
        <v>2</v>
      </c>
      <c r="S131">
        <v>2</v>
      </c>
      <c r="T131">
        <v>1</v>
      </c>
      <c r="U131">
        <v>1</v>
      </c>
      <c r="V131" t="s">
        <v>1794</v>
      </c>
      <c r="W131" t="s">
        <v>1794</v>
      </c>
      <c r="X131">
        <v>1</v>
      </c>
      <c r="Y131" t="s">
        <v>1794</v>
      </c>
      <c r="Z131">
        <v>0</v>
      </c>
      <c r="AA131" t="s">
        <v>1794</v>
      </c>
      <c r="AB131" t="s">
        <v>1794</v>
      </c>
      <c r="AC131" t="s">
        <v>1794</v>
      </c>
      <c r="AD131" t="s">
        <v>1794</v>
      </c>
      <c r="AE131">
        <v>0</v>
      </c>
      <c r="AF131" t="s">
        <v>1794</v>
      </c>
      <c r="AG131" t="s">
        <v>1794</v>
      </c>
      <c r="AH131" t="s">
        <v>1794</v>
      </c>
    </row>
    <row r="132" spans="1:34" x14ac:dyDescent="0.25">
      <c r="A132" t="s">
        <v>356</v>
      </c>
      <c r="B132" t="s">
        <v>1100</v>
      </c>
      <c r="C132" t="s">
        <v>306</v>
      </c>
      <c r="D132" t="s">
        <v>358</v>
      </c>
      <c r="E132" t="s">
        <v>1794</v>
      </c>
      <c r="F132" t="s">
        <v>359</v>
      </c>
      <c r="G132" t="s">
        <v>1124</v>
      </c>
      <c r="H132" t="s">
        <v>360</v>
      </c>
      <c r="I132" t="s">
        <v>262</v>
      </c>
      <c r="J132" t="s">
        <v>279</v>
      </c>
      <c r="K132">
        <v>1</v>
      </c>
      <c r="L132">
        <v>1</v>
      </c>
      <c r="M132" t="s">
        <v>33</v>
      </c>
      <c r="N132">
        <v>1</v>
      </c>
      <c r="O132">
        <v>1</v>
      </c>
      <c r="P132">
        <v>1</v>
      </c>
      <c r="Q132" t="s">
        <v>52</v>
      </c>
      <c r="R132">
        <v>1</v>
      </c>
      <c r="S132">
        <v>1</v>
      </c>
      <c r="T132">
        <v>1</v>
      </c>
      <c r="U132" t="s">
        <v>1794</v>
      </c>
      <c r="V132" t="s">
        <v>1794</v>
      </c>
      <c r="W132" t="s">
        <v>1794</v>
      </c>
      <c r="X132">
        <v>1</v>
      </c>
      <c r="Y132" t="s">
        <v>1794</v>
      </c>
      <c r="Z132">
        <v>0</v>
      </c>
      <c r="AA132" t="s">
        <v>1794</v>
      </c>
      <c r="AB132" t="s">
        <v>1794</v>
      </c>
      <c r="AC132" t="s">
        <v>1794</v>
      </c>
      <c r="AD132" t="s">
        <v>1794</v>
      </c>
      <c r="AE132">
        <v>0</v>
      </c>
      <c r="AF132" t="s">
        <v>1794</v>
      </c>
      <c r="AG132" t="s">
        <v>1794</v>
      </c>
      <c r="AH132" t="s">
        <v>1794</v>
      </c>
    </row>
    <row r="133" spans="1:34" x14ac:dyDescent="0.25">
      <c r="A133" t="s">
        <v>356</v>
      </c>
      <c r="B133" t="s">
        <v>1100</v>
      </c>
      <c r="C133" t="s">
        <v>306</v>
      </c>
      <c r="D133" t="s">
        <v>358</v>
      </c>
      <c r="E133" t="s">
        <v>1794</v>
      </c>
      <c r="F133" t="s">
        <v>361</v>
      </c>
      <c r="G133" t="s">
        <v>1124</v>
      </c>
      <c r="H133" t="s">
        <v>362</v>
      </c>
      <c r="I133" t="s">
        <v>262</v>
      </c>
      <c r="J133" t="s">
        <v>363</v>
      </c>
      <c r="K133">
        <v>1</v>
      </c>
      <c r="L133">
        <v>1</v>
      </c>
      <c r="M133" t="s">
        <v>33</v>
      </c>
      <c r="N133">
        <v>1</v>
      </c>
      <c r="O133">
        <v>1</v>
      </c>
      <c r="P133">
        <v>1</v>
      </c>
      <c r="Q133" t="s">
        <v>52</v>
      </c>
      <c r="R133">
        <v>1</v>
      </c>
      <c r="S133">
        <v>1</v>
      </c>
      <c r="T133">
        <v>1</v>
      </c>
      <c r="U133" t="s">
        <v>1794</v>
      </c>
      <c r="V133" t="s">
        <v>1794</v>
      </c>
      <c r="W133" t="s">
        <v>1794</v>
      </c>
      <c r="X133">
        <v>1</v>
      </c>
      <c r="Y133" t="s">
        <v>1794</v>
      </c>
      <c r="Z133">
        <v>0</v>
      </c>
      <c r="AA133" t="s">
        <v>1794</v>
      </c>
      <c r="AB133" t="s">
        <v>1794</v>
      </c>
      <c r="AC133" t="s">
        <v>1794</v>
      </c>
      <c r="AD133" t="s">
        <v>1794</v>
      </c>
      <c r="AE133">
        <v>0</v>
      </c>
      <c r="AF133" t="s">
        <v>1794</v>
      </c>
      <c r="AG133" t="s">
        <v>1794</v>
      </c>
      <c r="AH133" t="s">
        <v>1794</v>
      </c>
    </row>
    <row r="134" spans="1:34" x14ac:dyDescent="0.25">
      <c r="A134" t="s">
        <v>1233</v>
      </c>
      <c r="B134" t="s">
        <v>494</v>
      </c>
      <c r="C134" t="s">
        <v>364</v>
      </c>
      <c r="D134" t="s">
        <v>259</v>
      </c>
      <c r="E134" t="s">
        <v>1794</v>
      </c>
      <c r="F134" t="s">
        <v>365</v>
      </c>
      <c r="G134" t="s">
        <v>1124</v>
      </c>
      <c r="H134" t="s">
        <v>366</v>
      </c>
      <c r="I134" t="s">
        <v>262</v>
      </c>
      <c r="J134" t="s">
        <v>301</v>
      </c>
      <c r="K134">
        <v>1</v>
      </c>
      <c r="L134">
        <v>1</v>
      </c>
      <c r="M134" t="s">
        <v>33</v>
      </c>
      <c r="N134">
        <v>1</v>
      </c>
      <c r="O134">
        <v>1</v>
      </c>
      <c r="P134">
        <v>1</v>
      </c>
      <c r="Q134" t="s">
        <v>52</v>
      </c>
      <c r="R134">
        <v>1</v>
      </c>
      <c r="S134">
        <v>1</v>
      </c>
      <c r="T134">
        <v>1</v>
      </c>
      <c r="U134" t="s">
        <v>1794</v>
      </c>
      <c r="V134" t="s">
        <v>1794</v>
      </c>
      <c r="W134" t="s">
        <v>1794</v>
      </c>
      <c r="X134">
        <v>1</v>
      </c>
      <c r="Y134" t="s">
        <v>1794</v>
      </c>
      <c r="Z134">
        <v>0</v>
      </c>
      <c r="AA134" t="s">
        <v>1794</v>
      </c>
      <c r="AB134" t="s">
        <v>1794</v>
      </c>
      <c r="AC134" t="s">
        <v>1794</v>
      </c>
      <c r="AD134" t="s">
        <v>1794</v>
      </c>
      <c r="AE134">
        <v>0</v>
      </c>
      <c r="AF134" t="s">
        <v>1794</v>
      </c>
      <c r="AG134" t="s">
        <v>1794</v>
      </c>
      <c r="AH134" t="s">
        <v>1794</v>
      </c>
    </row>
    <row r="135" spans="1:34" x14ac:dyDescent="0.25">
      <c r="A135" t="s">
        <v>1235</v>
      </c>
      <c r="B135" t="s">
        <v>1236</v>
      </c>
      <c r="C135" t="s">
        <v>364</v>
      </c>
      <c r="D135" t="s">
        <v>259</v>
      </c>
      <c r="E135" t="s">
        <v>1794</v>
      </c>
      <c r="F135" t="s">
        <v>365</v>
      </c>
      <c r="G135" t="s">
        <v>1124</v>
      </c>
      <c r="H135" t="s">
        <v>366</v>
      </c>
      <c r="I135" t="s">
        <v>262</v>
      </c>
      <c r="J135" t="s">
        <v>301</v>
      </c>
      <c r="K135">
        <v>1</v>
      </c>
      <c r="L135">
        <v>1</v>
      </c>
      <c r="M135" t="s">
        <v>33</v>
      </c>
      <c r="N135">
        <v>1</v>
      </c>
      <c r="O135">
        <v>1</v>
      </c>
      <c r="P135">
        <v>1</v>
      </c>
      <c r="Q135" t="s">
        <v>52</v>
      </c>
      <c r="R135">
        <v>1</v>
      </c>
      <c r="S135">
        <v>1</v>
      </c>
      <c r="T135">
        <v>1</v>
      </c>
      <c r="U135" t="s">
        <v>1794</v>
      </c>
      <c r="V135" t="s">
        <v>1794</v>
      </c>
      <c r="W135" t="s">
        <v>1794</v>
      </c>
      <c r="X135">
        <v>1</v>
      </c>
      <c r="Y135" t="s">
        <v>1794</v>
      </c>
      <c r="Z135">
        <v>0</v>
      </c>
      <c r="AA135" t="s">
        <v>1794</v>
      </c>
      <c r="AB135" t="s">
        <v>1794</v>
      </c>
      <c r="AC135" t="s">
        <v>1794</v>
      </c>
      <c r="AD135" t="s">
        <v>1794</v>
      </c>
      <c r="AE135">
        <v>0</v>
      </c>
      <c r="AF135" t="s">
        <v>1794</v>
      </c>
      <c r="AG135" t="s">
        <v>1794</v>
      </c>
      <c r="AH135" t="s">
        <v>1794</v>
      </c>
    </row>
    <row r="136" spans="1:34" x14ac:dyDescent="0.25">
      <c r="A136" t="s">
        <v>1233</v>
      </c>
      <c r="B136" t="s">
        <v>494</v>
      </c>
      <c r="C136" t="s">
        <v>364</v>
      </c>
      <c r="D136" t="s">
        <v>259</v>
      </c>
      <c r="E136" t="s">
        <v>1794</v>
      </c>
      <c r="F136" t="s">
        <v>367</v>
      </c>
      <c r="G136" t="s">
        <v>1124</v>
      </c>
      <c r="H136" t="s">
        <v>1797</v>
      </c>
      <c r="I136" t="s">
        <v>262</v>
      </c>
      <c r="J136" t="s">
        <v>368</v>
      </c>
      <c r="K136">
        <v>2</v>
      </c>
      <c r="L136">
        <v>2</v>
      </c>
      <c r="M136" t="s">
        <v>33</v>
      </c>
      <c r="N136">
        <v>1</v>
      </c>
      <c r="O136">
        <v>2</v>
      </c>
      <c r="P136">
        <v>1</v>
      </c>
      <c r="Q136" t="s">
        <v>52</v>
      </c>
      <c r="R136">
        <v>2</v>
      </c>
      <c r="S136">
        <v>2</v>
      </c>
      <c r="T136">
        <v>2</v>
      </c>
      <c r="U136" t="s">
        <v>1794</v>
      </c>
      <c r="V136" t="s">
        <v>1794</v>
      </c>
      <c r="W136" t="s">
        <v>1794</v>
      </c>
      <c r="X136">
        <v>1</v>
      </c>
      <c r="Y136" t="s">
        <v>1794</v>
      </c>
      <c r="Z136">
        <v>0</v>
      </c>
      <c r="AA136" t="s">
        <v>1794</v>
      </c>
      <c r="AB136" t="s">
        <v>1794</v>
      </c>
      <c r="AC136" t="s">
        <v>1794</v>
      </c>
      <c r="AD136" t="s">
        <v>1794</v>
      </c>
      <c r="AE136">
        <v>0</v>
      </c>
      <c r="AF136" t="s">
        <v>1794</v>
      </c>
      <c r="AG136" t="s">
        <v>1794</v>
      </c>
      <c r="AH136" t="s">
        <v>1794</v>
      </c>
    </row>
    <row r="137" spans="1:34" x14ac:dyDescent="0.25">
      <c r="A137" t="s">
        <v>1235</v>
      </c>
      <c r="B137" t="s">
        <v>1236</v>
      </c>
      <c r="C137" t="s">
        <v>364</v>
      </c>
      <c r="D137" t="s">
        <v>259</v>
      </c>
      <c r="E137" t="s">
        <v>1794</v>
      </c>
      <c r="F137" t="s">
        <v>367</v>
      </c>
      <c r="G137" t="s">
        <v>1124</v>
      </c>
      <c r="H137" t="s">
        <v>1797</v>
      </c>
      <c r="I137" t="s">
        <v>262</v>
      </c>
      <c r="J137" t="s">
        <v>368</v>
      </c>
      <c r="K137">
        <v>2</v>
      </c>
      <c r="L137">
        <v>2</v>
      </c>
      <c r="M137" t="s">
        <v>33</v>
      </c>
      <c r="N137">
        <v>1</v>
      </c>
      <c r="O137">
        <v>2</v>
      </c>
      <c r="P137">
        <v>1</v>
      </c>
      <c r="Q137" t="s">
        <v>52</v>
      </c>
      <c r="R137">
        <v>2</v>
      </c>
      <c r="S137">
        <v>2</v>
      </c>
      <c r="T137">
        <v>2</v>
      </c>
      <c r="U137" t="s">
        <v>1794</v>
      </c>
      <c r="V137" t="s">
        <v>1794</v>
      </c>
      <c r="W137" t="s">
        <v>1794</v>
      </c>
      <c r="X137">
        <v>1</v>
      </c>
      <c r="Y137" t="s">
        <v>1794</v>
      </c>
      <c r="Z137">
        <v>0</v>
      </c>
      <c r="AA137" t="s">
        <v>1794</v>
      </c>
      <c r="AB137" t="s">
        <v>1794</v>
      </c>
      <c r="AC137" t="s">
        <v>1794</v>
      </c>
      <c r="AD137" t="s">
        <v>1794</v>
      </c>
      <c r="AE137">
        <v>0</v>
      </c>
      <c r="AF137" t="s">
        <v>1794</v>
      </c>
      <c r="AG137" t="s">
        <v>1794</v>
      </c>
      <c r="AH137" t="s">
        <v>1794</v>
      </c>
    </row>
    <row r="138" spans="1:34" x14ac:dyDescent="0.25">
      <c r="A138" t="s">
        <v>1233</v>
      </c>
      <c r="B138" t="s">
        <v>494</v>
      </c>
      <c r="C138" t="s">
        <v>364</v>
      </c>
      <c r="D138" t="s">
        <v>259</v>
      </c>
      <c r="E138" t="s">
        <v>1794</v>
      </c>
      <c r="F138" t="s">
        <v>369</v>
      </c>
      <c r="G138" t="s">
        <v>1124</v>
      </c>
      <c r="H138" t="s">
        <v>1798</v>
      </c>
      <c r="I138" t="s">
        <v>262</v>
      </c>
      <c r="J138" t="s">
        <v>301</v>
      </c>
      <c r="K138">
        <v>2</v>
      </c>
      <c r="L138">
        <v>2</v>
      </c>
      <c r="M138" t="s">
        <v>33</v>
      </c>
      <c r="N138">
        <v>1</v>
      </c>
      <c r="O138">
        <v>2</v>
      </c>
      <c r="P138">
        <v>1</v>
      </c>
      <c r="Q138" t="s">
        <v>52</v>
      </c>
      <c r="R138">
        <v>2</v>
      </c>
      <c r="S138">
        <v>2</v>
      </c>
      <c r="T138" t="s">
        <v>1794</v>
      </c>
      <c r="U138">
        <v>2</v>
      </c>
      <c r="V138" t="s">
        <v>1794</v>
      </c>
      <c r="W138" t="s">
        <v>1794</v>
      </c>
      <c r="X138">
        <v>1</v>
      </c>
      <c r="Y138" t="s">
        <v>1794</v>
      </c>
      <c r="Z138">
        <v>0</v>
      </c>
      <c r="AA138" t="s">
        <v>1794</v>
      </c>
      <c r="AB138" t="s">
        <v>1794</v>
      </c>
      <c r="AC138" t="s">
        <v>1794</v>
      </c>
      <c r="AD138" t="s">
        <v>1794</v>
      </c>
      <c r="AE138">
        <v>0</v>
      </c>
      <c r="AF138" t="s">
        <v>1794</v>
      </c>
      <c r="AG138" t="s">
        <v>1794</v>
      </c>
      <c r="AH138" t="s">
        <v>1794</v>
      </c>
    </row>
    <row r="139" spans="1:34" x14ac:dyDescent="0.25">
      <c r="A139" t="s">
        <v>1235</v>
      </c>
      <c r="B139" t="s">
        <v>1236</v>
      </c>
      <c r="C139" t="s">
        <v>364</v>
      </c>
      <c r="D139" t="s">
        <v>259</v>
      </c>
      <c r="E139" t="s">
        <v>1794</v>
      </c>
      <c r="F139" t="s">
        <v>369</v>
      </c>
      <c r="G139" t="s">
        <v>1124</v>
      </c>
      <c r="H139" t="s">
        <v>1798</v>
      </c>
      <c r="I139" t="s">
        <v>262</v>
      </c>
      <c r="J139" t="s">
        <v>301</v>
      </c>
      <c r="K139">
        <v>2</v>
      </c>
      <c r="L139">
        <v>2</v>
      </c>
      <c r="M139" t="s">
        <v>33</v>
      </c>
      <c r="N139">
        <v>1</v>
      </c>
      <c r="O139">
        <v>2</v>
      </c>
      <c r="P139">
        <v>1</v>
      </c>
      <c r="Q139" t="s">
        <v>52</v>
      </c>
      <c r="R139">
        <v>2</v>
      </c>
      <c r="S139">
        <v>2</v>
      </c>
      <c r="T139" t="s">
        <v>1794</v>
      </c>
      <c r="U139">
        <v>2</v>
      </c>
      <c r="V139" t="s">
        <v>1794</v>
      </c>
      <c r="W139" t="s">
        <v>1794</v>
      </c>
      <c r="X139">
        <v>1</v>
      </c>
      <c r="Y139" t="s">
        <v>1794</v>
      </c>
      <c r="Z139">
        <v>0</v>
      </c>
      <c r="AA139" t="s">
        <v>1794</v>
      </c>
      <c r="AB139" t="s">
        <v>1794</v>
      </c>
      <c r="AC139" t="s">
        <v>1794</v>
      </c>
      <c r="AD139" t="s">
        <v>1794</v>
      </c>
      <c r="AE139">
        <v>0</v>
      </c>
      <c r="AF139" t="s">
        <v>1794</v>
      </c>
      <c r="AG139" t="s">
        <v>1794</v>
      </c>
      <c r="AH139" t="s">
        <v>1794</v>
      </c>
    </row>
    <row r="140" spans="1:34" ht="162.75" customHeight="1" x14ac:dyDescent="0.25">
      <c r="A140" t="s">
        <v>1233</v>
      </c>
      <c r="B140" t="s">
        <v>494</v>
      </c>
      <c r="C140" t="s">
        <v>364</v>
      </c>
      <c r="D140" t="s">
        <v>259</v>
      </c>
      <c r="E140" t="s">
        <v>1794</v>
      </c>
      <c r="F140" t="s">
        <v>370</v>
      </c>
      <c r="G140" t="s">
        <v>1124</v>
      </c>
      <c r="H140" t="s">
        <v>1799</v>
      </c>
      <c r="I140" t="s">
        <v>262</v>
      </c>
      <c r="J140" t="s">
        <v>301</v>
      </c>
      <c r="K140">
        <v>2</v>
      </c>
      <c r="L140">
        <v>2</v>
      </c>
      <c r="M140" t="s">
        <v>33</v>
      </c>
      <c r="N140">
        <v>1</v>
      </c>
      <c r="O140">
        <v>2</v>
      </c>
      <c r="P140">
        <v>1</v>
      </c>
      <c r="Q140" t="s">
        <v>52</v>
      </c>
      <c r="R140">
        <v>2</v>
      </c>
      <c r="S140">
        <v>2</v>
      </c>
      <c r="T140" t="s">
        <v>1794</v>
      </c>
      <c r="U140">
        <v>2</v>
      </c>
      <c r="V140" t="s">
        <v>1794</v>
      </c>
      <c r="W140" t="s">
        <v>1794</v>
      </c>
      <c r="X140">
        <v>1</v>
      </c>
      <c r="Y140" t="s">
        <v>1794</v>
      </c>
      <c r="Z140">
        <v>0</v>
      </c>
      <c r="AA140" t="s">
        <v>1794</v>
      </c>
      <c r="AB140" t="s">
        <v>1794</v>
      </c>
      <c r="AC140" t="s">
        <v>1794</v>
      </c>
      <c r="AD140" t="s">
        <v>1794</v>
      </c>
      <c r="AE140">
        <v>0</v>
      </c>
      <c r="AF140" t="s">
        <v>1794</v>
      </c>
      <c r="AG140" t="s">
        <v>1794</v>
      </c>
      <c r="AH140" t="s">
        <v>1794</v>
      </c>
    </row>
    <row r="141" spans="1:34" x14ac:dyDescent="0.25">
      <c r="A141" t="s">
        <v>1235</v>
      </c>
      <c r="B141" t="s">
        <v>1236</v>
      </c>
      <c r="C141" t="s">
        <v>364</v>
      </c>
      <c r="D141" t="s">
        <v>259</v>
      </c>
      <c r="E141" t="s">
        <v>1794</v>
      </c>
      <c r="F141" t="s">
        <v>370</v>
      </c>
      <c r="G141" t="s">
        <v>1124</v>
      </c>
      <c r="H141" t="s">
        <v>1799</v>
      </c>
      <c r="I141" t="s">
        <v>262</v>
      </c>
      <c r="J141" t="s">
        <v>301</v>
      </c>
      <c r="K141">
        <v>2</v>
      </c>
      <c r="L141">
        <v>2</v>
      </c>
      <c r="M141" t="s">
        <v>33</v>
      </c>
      <c r="N141">
        <v>1</v>
      </c>
      <c r="O141">
        <v>2</v>
      </c>
      <c r="P141">
        <v>1</v>
      </c>
      <c r="Q141" t="s">
        <v>52</v>
      </c>
      <c r="R141">
        <v>2</v>
      </c>
      <c r="S141">
        <v>2</v>
      </c>
      <c r="T141" t="s">
        <v>1794</v>
      </c>
      <c r="U141">
        <v>2</v>
      </c>
      <c r="V141" t="s">
        <v>1794</v>
      </c>
      <c r="W141" t="s">
        <v>1794</v>
      </c>
      <c r="X141">
        <v>1</v>
      </c>
      <c r="Y141" t="s">
        <v>1794</v>
      </c>
      <c r="Z141">
        <v>0</v>
      </c>
      <c r="AA141" t="s">
        <v>1794</v>
      </c>
      <c r="AB141" t="s">
        <v>1794</v>
      </c>
      <c r="AC141" t="s">
        <v>1794</v>
      </c>
      <c r="AD141" t="s">
        <v>1794</v>
      </c>
      <c r="AE141">
        <v>0</v>
      </c>
      <c r="AF141" t="s">
        <v>1794</v>
      </c>
      <c r="AG141" t="s">
        <v>1794</v>
      </c>
      <c r="AH141" t="s">
        <v>1794</v>
      </c>
    </row>
    <row r="142" spans="1:34" x14ac:dyDescent="0.25">
      <c r="A142" t="s">
        <v>1233</v>
      </c>
      <c r="B142" t="s">
        <v>494</v>
      </c>
      <c r="C142" t="s">
        <v>364</v>
      </c>
      <c r="D142" t="s">
        <v>259</v>
      </c>
      <c r="E142" t="s">
        <v>1794</v>
      </c>
      <c r="F142" t="s">
        <v>371</v>
      </c>
      <c r="G142" t="s">
        <v>1124</v>
      </c>
      <c r="H142" t="s">
        <v>372</v>
      </c>
      <c r="I142" t="s">
        <v>262</v>
      </c>
      <c r="J142" t="s">
        <v>373</v>
      </c>
      <c r="K142">
        <v>1</v>
      </c>
      <c r="L142">
        <v>1</v>
      </c>
      <c r="M142" t="s">
        <v>33</v>
      </c>
      <c r="N142">
        <v>1</v>
      </c>
      <c r="O142">
        <v>1</v>
      </c>
      <c r="P142">
        <v>1</v>
      </c>
      <c r="Q142" t="s">
        <v>52</v>
      </c>
      <c r="R142">
        <v>1</v>
      </c>
      <c r="S142">
        <v>1</v>
      </c>
      <c r="T142" t="s">
        <v>1794</v>
      </c>
      <c r="U142">
        <v>1</v>
      </c>
      <c r="V142" t="s">
        <v>1794</v>
      </c>
      <c r="W142" t="s">
        <v>1794</v>
      </c>
      <c r="X142">
        <v>1</v>
      </c>
      <c r="Y142" t="s">
        <v>1794</v>
      </c>
      <c r="Z142">
        <v>0</v>
      </c>
      <c r="AA142" t="s">
        <v>1794</v>
      </c>
      <c r="AB142" t="s">
        <v>1794</v>
      </c>
      <c r="AC142" t="s">
        <v>1794</v>
      </c>
      <c r="AD142" t="s">
        <v>1794</v>
      </c>
      <c r="AE142">
        <v>0</v>
      </c>
      <c r="AF142" t="s">
        <v>1794</v>
      </c>
      <c r="AG142" t="s">
        <v>1794</v>
      </c>
      <c r="AH142" t="s">
        <v>1794</v>
      </c>
    </row>
    <row r="143" spans="1:34" x14ac:dyDescent="0.25">
      <c r="A143" t="s">
        <v>1235</v>
      </c>
      <c r="B143" t="s">
        <v>1236</v>
      </c>
      <c r="C143" t="s">
        <v>364</v>
      </c>
      <c r="D143" t="s">
        <v>259</v>
      </c>
      <c r="E143" t="s">
        <v>1794</v>
      </c>
      <c r="F143" t="s">
        <v>371</v>
      </c>
      <c r="G143" t="s">
        <v>1124</v>
      </c>
      <c r="H143" t="s">
        <v>372</v>
      </c>
      <c r="I143" t="s">
        <v>262</v>
      </c>
      <c r="J143" t="s">
        <v>373</v>
      </c>
      <c r="K143">
        <v>1</v>
      </c>
      <c r="L143">
        <v>1</v>
      </c>
      <c r="M143" t="s">
        <v>33</v>
      </c>
      <c r="N143">
        <v>1</v>
      </c>
      <c r="O143">
        <v>1</v>
      </c>
      <c r="P143">
        <v>1</v>
      </c>
      <c r="Q143" t="s">
        <v>52</v>
      </c>
      <c r="R143">
        <v>1</v>
      </c>
      <c r="S143">
        <v>1</v>
      </c>
      <c r="T143" t="s">
        <v>1794</v>
      </c>
      <c r="U143">
        <v>1</v>
      </c>
      <c r="V143" t="s">
        <v>1794</v>
      </c>
      <c r="W143" t="s">
        <v>1794</v>
      </c>
      <c r="X143">
        <v>1</v>
      </c>
      <c r="Y143" t="s">
        <v>1794</v>
      </c>
      <c r="Z143">
        <v>0</v>
      </c>
      <c r="AA143" t="s">
        <v>1794</v>
      </c>
      <c r="AB143" t="s">
        <v>1794</v>
      </c>
      <c r="AC143" t="s">
        <v>1794</v>
      </c>
      <c r="AD143" t="s">
        <v>1794</v>
      </c>
      <c r="AE143">
        <v>0</v>
      </c>
      <c r="AF143" t="s">
        <v>1794</v>
      </c>
      <c r="AG143" t="s">
        <v>1794</v>
      </c>
      <c r="AH143" t="s">
        <v>1794</v>
      </c>
    </row>
    <row r="144" spans="1:34" x14ac:dyDescent="0.25">
      <c r="A144" t="s">
        <v>1221</v>
      </c>
      <c r="B144" t="s">
        <v>1222</v>
      </c>
      <c r="C144" t="s">
        <v>364</v>
      </c>
      <c r="D144" t="s">
        <v>259</v>
      </c>
      <c r="E144" t="s">
        <v>1794</v>
      </c>
      <c r="F144" t="s">
        <v>374</v>
      </c>
      <c r="G144" t="s">
        <v>619</v>
      </c>
      <c r="H144" t="s">
        <v>1800</v>
      </c>
      <c r="I144" t="s">
        <v>262</v>
      </c>
      <c r="J144" t="s">
        <v>279</v>
      </c>
      <c r="K144">
        <v>2</v>
      </c>
      <c r="L144">
        <v>2</v>
      </c>
      <c r="M144" t="s">
        <v>33</v>
      </c>
      <c r="N144">
        <v>1</v>
      </c>
      <c r="O144">
        <v>2</v>
      </c>
      <c r="P144">
        <v>1</v>
      </c>
      <c r="Q144" t="s">
        <v>52</v>
      </c>
      <c r="R144">
        <v>2</v>
      </c>
      <c r="S144">
        <v>2</v>
      </c>
      <c r="T144">
        <v>2</v>
      </c>
      <c r="U144" t="s">
        <v>1794</v>
      </c>
      <c r="V144" t="s">
        <v>1794</v>
      </c>
      <c r="W144" t="s">
        <v>1794</v>
      </c>
      <c r="X144">
        <v>1</v>
      </c>
      <c r="Y144" t="s">
        <v>1794</v>
      </c>
      <c r="Z144">
        <v>0</v>
      </c>
      <c r="AA144" t="s">
        <v>1794</v>
      </c>
      <c r="AB144" t="s">
        <v>1794</v>
      </c>
      <c r="AC144" t="s">
        <v>1794</v>
      </c>
      <c r="AD144" t="s">
        <v>1794</v>
      </c>
      <c r="AE144">
        <v>0</v>
      </c>
      <c r="AF144" t="s">
        <v>1794</v>
      </c>
      <c r="AG144" t="s">
        <v>1794</v>
      </c>
      <c r="AH144" t="s">
        <v>1794</v>
      </c>
    </row>
    <row r="145" spans="1:34" x14ac:dyDescent="0.25">
      <c r="A145" t="s">
        <v>1235</v>
      </c>
      <c r="B145" t="s">
        <v>1236</v>
      </c>
      <c r="C145" t="s">
        <v>364</v>
      </c>
      <c r="D145" t="s">
        <v>259</v>
      </c>
      <c r="E145" t="s">
        <v>1794</v>
      </c>
      <c r="F145" t="s">
        <v>374</v>
      </c>
      <c r="G145" t="s">
        <v>1124</v>
      </c>
      <c r="H145" t="s">
        <v>1800</v>
      </c>
      <c r="I145" t="s">
        <v>262</v>
      </c>
      <c r="J145" t="s">
        <v>279</v>
      </c>
      <c r="K145">
        <v>2</v>
      </c>
      <c r="L145">
        <v>2</v>
      </c>
      <c r="M145" t="s">
        <v>33</v>
      </c>
      <c r="N145">
        <v>1</v>
      </c>
      <c r="O145">
        <v>2</v>
      </c>
      <c r="P145">
        <v>1</v>
      </c>
      <c r="Q145" t="s">
        <v>52</v>
      </c>
      <c r="R145">
        <v>2</v>
      </c>
      <c r="S145">
        <v>2</v>
      </c>
      <c r="T145">
        <v>2</v>
      </c>
      <c r="U145" t="s">
        <v>1794</v>
      </c>
      <c r="V145" t="s">
        <v>1794</v>
      </c>
      <c r="W145" t="s">
        <v>1794</v>
      </c>
      <c r="X145">
        <v>1</v>
      </c>
      <c r="Y145" t="s">
        <v>1794</v>
      </c>
      <c r="Z145">
        <v>0</v>
      </c>
      <c r="AA145" t="s">
        <v>1794</v>
      </c>
      <c r="AB145" t="s">
        <v>1794</v>
      </c>
      <c r="AC145" t="s">
        <v>1794</v>
      </c>
      <c r="AD145" t="s">
        <v>1794</v>
      </c>
      <c r="AE145">
        <v>0</v>
      </c>
      <c r="AF145" t="s">
        <v>1794</v>
      </c>
      <c r="AG145" t="s">
        <v>1794</v>
      </c>
      <c r="AH145" t="s">
        <v>1794</v>
      </c>
    </row>
    <row r="146" spans="1:34" x14ac:dyDescent="0.25">
      <c r="A146" t="s">
        <v>1221</v>
      </c>
      <c r="B146" t="s">
        <v>1222</v>
      </c>
      <c r="C146" t="s">
        <v>364</v>
      </c>
      <c r="D146" t="s">
        <v>259</v>
      </c>
      <c r="E146" t="s">
        <v>1794</v>
      </c>
      <c r="F146" t="s">
        <v>375</v>
      </c>
      <c r="G146" t="s">
        <v>619</v>
      </c>
      <c r="H146" t="s">
        <v>1801</v>
      </c>
      <c r="I146" t="s">
        <v>262</v>
      </c>
      <c r="J146" t="s">
        <v>279</v>
      </c>
      <c r="K146">
        <v>2</v>
      </c>
      <c r="L146">
        <v>2</v>
      </c>
      <c r="M146" t="s">
        <v>33</v>
      </c>
      <c r="N146">
        <v>1</v>
      </c>
      <c r="O146">
        <v>2</v>
      </c>
      <c r="P146">
        <v>1</v>
      </c>
      <c r="Q146" t="s">
        <v>52</v>
      </c>
      <c r="R146">
        <v>2</v>
      </c>
      <c r="S146">
        <v>2</v>
      </c>
      <c r="T146">
        <v>2</v>
      </c>
      <c r="U146" t="s">
        <v>1794</v>
      </c>
      <c r="V146" t="s">
        <v>1794</v>
      </c>
      <c r="W146" t="s">
        <v>1794</v>
      </c>
      <c r="X146">
        <v>1</v>
      </c>
      <c r="Y146" t="s">
        <v>1794</v>
      </c>
      <c r="Z146">
        <v>0</v>
      </c>
      <c r="AA146" t="s">
        <v>1794</v>
      </c>
      <c r="AB146" t="s">
        <v>1794</v>
      </c>
      <c r="AC146" t="s">
        <v>1794</v>
      </c>
      <c r="AD146" t="s">
        <v>1794</v>
      </c>
      <c r="AE146">
        <v>0</v>
      </c>
      <c r="AF146" t="s">
        <v>1794</v>
      </c>
      <c r="AG146" t="s">
        <v>1794</v>
      </c>
      <c r="AH146" t="s">
        <v>1794</v>
      </c>
    </row>
    <row r="147" spans="1:34" x14ac:dyDescent="0.25">
      <c r="A147" t="s">
        <v>1235</v>
      </c>
      <c r="B147" t="s">
        <v>1236</v>
      </c>
      <c r="C147" t="s">
        <v>364</v>
      </c>
      <c r="D147" t="s">
        <v>259</v>
      </c>
      <c r="E147" t="s">
        <v>1794</v>
      </c>
      <c r="F147" t="s">
        <v>375</v>
      </c>
      <c r="G147" t="s">
        <v>1124</v>
      </c>
      <c r="H147" t="s">
        <v>1801</v>
      </c>
      <c r="I147" t="s">
        <v>262</v>
      </c>
      <c r="J147" t="s">
        <v>279</v>
      </c>
      <c r="K147">
        <v>2</v>
      </c>
      <c r="L147">
        <v>2</v>
      </c>
      <c r="M147" t="s">
        <v>33</v>
      </c>
      <c r="N147">
        <v>1</v>
      </c>
      <c r="O147">
        <v>2</v>
      </c>
      <c r="P147">
        <v>1</v>
      </c>
      <c r="Q147" t="s">
        <v>52</v>
      </c>
      <c r="R147">
        <v>2</v>
      </c>
      <c r="S147">
        <v>2</v>
      </c>
      <c r="T147">
        <v>2</v>
      </c>
      <c r="U147" t="s">
        <v>1794</v>
      </c>
      <c r="V147" t="s">
        <v>1794</v>
      </c>
      <c r="W147" t="s">
        <v>1794</v>
      </c>
      <c r="X147">
        <v>1</v>
      </c>
      <c r="Y147" t="s">
        <v>1794</v>
      </c>
      <c r="Z147">
        <v>0</v>
      </c>
      <c r="AA147" t="s">
        <v>1794</v>
      </c>
      <c r="AB147" t="s">
        <v>1794</v>
      </c>
      <c r="AC147" t="s">
        <v>1794</v>
      </c>
      <c r="AD147" t="s">
        <v>1794</v>
      </c>
      <c r="AE147">
        <v>0</v>
      </c>
      <c r="AF147" t="s">
        <v>1794</v>
      </c>
      <c r="AG147" t="s">
        <v>1794</v>
      </c>
      <c r="AH147" t="s">
        <v>1794</v>
      </c>
    </row>
    <row r="148" spans="1:34" x14ac:dyDescent="0.25">
      <c r="A148" t="s">
        <v>1221</v>
      </c>
      <c r="B148" t="s">
        <v>1222</v>
      </c>
      <c r="C148" t="s">
        <v>364</v>
      </c>
      <c r="D148" t="s">
        <v>259</v>
      </c>
      <c r="E148" t="s">
        <v>1794</v>
      </c>
      <c r="F148" t="s">
        <v>376</v>
      </c>
      <c r="G148" t="s">
        <v>619</v>
      </c>
      <c r="H148" t="s">
        <v>1802</v>
      </c>
      <c r="I148" t="s">
        <v>262</v>
      </c>
      <c r="J148" t="s">
        <v>377</v>
      </c>
      <c r="K148">
        <v>2</v>
      </c>
      <c r="L148">
        <v>2</v>
      </c>
      <c r="M148" t="s">
        <v>33</v>
      </c>
      <c r="N148">
        <v>1</v>
      </c>
      <c r="O148">
        <v>2</v>
      </c>
      <c r="P148">
        <v>1</v>
      </c>
      <c r="Q148" t="s">
        <v>52</v>
      </c>
      <c r="R148">
        <v>2</v>
      </c>
      <c r="S148">
        <v>2</v>
      </c>
      <c r="T148">
        <v>2</v>
      </c>
      <c r="U148" t="s">
        <v>1794</v>
      </c>
      <c r="V148" t="s">
        <v>1794</v>
      </c>
      <c r="W148" t="s">
        <v>1794</v>
      </c>
      <c r="X148">
        <v>1</v>
      </c>
      <c r="Y148" t="s">
        <v>1794</v>
      </c>
      <c r="Z148">
        <v>0</v>
      </c>
      <c r="AA148" t="s">
        <v>1794</v>
      </c>
      <c r="AB148" t="s">
        <v>1794</v>
      </c>
      <c r="AC148" t="s">
        <v>1794</v>
      </c>
      <c r="AD148" t="s">
        <v>1794</v>
      </c>
      <c r="AE148">
        <v>0</v>
      </c>
      <c r="AF148" t="s">
        <v>1794</v>
      </c>
      <c r="AG148" t="s">
        <v>1794</v>
      </c>
      <c r="AH148" t="s">
        <v>1794</v>
      </c>
    </row>
    <row r="149" spans="1:34" x14ac:dyDescent="0.25">
      <c r="A149" t="s">
        <v>1235</v>
      </c>
      <c r="B149" t="s">
        <v>1236</v>
      </c>
      <c r="C149" t="s">
        <v>364</v>
      </c>
      <c r="D149" t="s">
        <v>259</v>
      </c>
      <c r="E149" t="s">
        <v>1794</v>
      </c>
      <c r="F149" t="s">
        <v>376</v>
      </c>
      <c r="G149" t="s">
        <v>1124</v>
      </c>
      <c r="H149" t="s">
        <v>1802</v>
      </c>
      <c r="I149" t="s">
        <v>262</v>
      </c>
      <c r="J149" t="s">
        <v>377</v>
      </c>
      <c r="K149">
        <v>2</v>
      </c>
      <c r="L149">
        <v>2</v>
      </c>
      <c r="M149" t="s">
        <v>33</v>
      </c>
      <c r="N149">
        <v>1</v>
      </c>
      <c r="O149">
        <v>2</v>
      </c>
      <c r="P149">
        <v>1</v>
      </c>
      <c r="Q149" t="s">
        <v>52</v>
      </c>
      <c r="R149">
        <v>2</v>
      </c>
      <c r="S149">
        <v>2</v>
      </c>
      <c r="T149">
        <v>2</v>
      </c>
      <c r="U149" t="s">
        <v>1794</v>
      </c>
      <c r="V149" t="s">
        <v>1794</v>
      </c>
      <c r="W149" t="s">
        <v>1794</v>
      </c>
      <c r="X149">
        <v>1</v>
      </c>
      <c r="Y149" t="s">
        <v>1794</v>
      </c>
      <c r="Z149">
        <v>0</v>
      </c>
      <c r="AA149" t="s">
        <v>1794</v>
      </c>
      <c r="AB149" t="s">
        <v>1794</v>
      </c>
      <c r="AC149" t="s">
        <v>1794</v>
      </c>
      <c r="AD149" t="s">
        <v>1794</v>
      </c>
      <c r="AE149">
        <v>0</v>
      </c>
      <c r="AF149" t="s">
        <v>1794</v>
      </c>
      <c r="AG149" t="s">
        <v>1794</v>
      </c>
      <c r="AH149" t="s">
        <v>1794</v>
      </c>
    </row>
    <row r="150" spans="1:34" x14ac:dyDescent="0.25">
      <c r="A150" t="s">
        <v>1221</v>
      </c>
      <c r="B150" t="s">
        <v>1222</v>
      </c>
      <c r="C150" t="s">
        <v>364</v>
      </c>
      <c r="D150" t="s">
        <v>259</v>
      </c>
      <c r="E150" t="s">
        <v>1794</v>
      </c>
      <c r="F150" t="s">
        <v>378</v>
      </c>
      <c r="G150" t="s">
        <v>619</v>
      </c>
      <c r="H150" t="s">
        <v>1787</v>
      </c>
      <c r="I150" t="s">
        <v>262</v>
      </c>
      <c r="J150" t="s">
        <v>289</v>
      </c>
      <c r="K150">
        <v>3</v>
      </c>
      <c r="L150">
        <v>3</v>
      </c>
      <c r="M150" t="s">
        <v>33</v>
      </c>
      <c r="N150">
        <v>1</v>
      </c>
      <c r="O150">
        <v>3</v>
      </c>
      <c r="P150">
        <v>1</v>
      </c>
      <c r="Q150" t="s">
        <v>52</v>
      </c>
      <c r="R150">
        <v>3</v>
      </c>
      <c r="S150">
        <v>3</v>
      </c>
      <c r="T150">
        <v>3</v>
      </c>
      <c r="U150" t="s">
        <v>1794</v>
      </c>
      <c r="V150" t="s">
        <v>1794</v>
      </c>
      <c r="W150" t="s">
        <v>1794</v>
      </c>
      <c r="X150">
        <v>1</v>
      </c>
      <c r="Y150" t="s">
        <v>1794</v>
      </c>
      <c r="Z150">
        <v>0</v>
      </c>
      <c r="AA150" t="s">
        <v>1794</v>
      </c>
      <c r="AB150" t="s">
        <v>1794</v>
      </c>
      <c r="AC150" t="s">
        <v>1794</v>
      </c>
      <c r="AD150" t="s">
        <v>1794</v>
      </c>
      <c r="AE150">
        <v>0</v>
      </c>
      <c r="AF150" t="s">
        <v>1794</v>
      </c>
      <c r="AG150" t="s">
        <v>1794</v>
      </c>
      <c r="AH150" t="s">
        <v>1794</v>
      </c>
    </row>
    <row r="151" spans="1:34" x14ac:dyDescent="0.25">
      <c r="A151" t="s">
        <v>1235</v>
      </c>
      <c r="B151" t="s">
        <v>1236</v>
      </c>
      <c r="C151" t="s">
        <v>364</v>
      </c>
      <c r="D151" t="s">
        <v>259</v>
      </c>
      <c r="E151" t="s">
        <v>1794</v>
      </c>
      <c r="F151" t="s">
        <v>378</v>
      </c>
      <c r="G151" t="s">
        <v>1124</v>
      </c>
      <c r="H151" t="s">
        <v>1787</v>
      </c>
      <c r="I151" t="s">
        <v>262</v>
      </c>
      <c r="J151" t="s">
        <v>289</v>
      </c>
      <c r="K151">
        <v>3</v>
      </c>
      <c r="L151">
        <v>3</v>
      </c>
      <c r="M151" t="s">
        <v>33</v>
      </c>
      <c r="N151">
        <v>1</v>
      </c>
      <c r="O151">
        <v>3</v>
      </c>
      <c r="P151">
        <v>1</v>
      </c>
      <c r="Q151" t="s">
        <v>52</v>
      </c>
      <c r="R151">
        <v>3</v>
      </c>
      <c r="S151">
        <v>3</v>
      </c>
      <c r="T151">
        <v>3</v>
      </c>
      <c r="U151" t="s">
        <v>1794</v>
      </c>
      <c r="V151" t="s">
        <v>1794</v>
      </c>
      <c r="W151" t="s">
        <v>1794</v>
      </c>
      <c r="X151">
        <v>1</v>
      </c>
      <c r="Y151" t="s">
        <v>1794</v>
      </c>
      <c r="Z151">
        <v>0</v>
      </c>
      <c r="AA151" t="s">
        <v>1794</v>
      </c>
      <c r="AB151" t="s">
        <v>1794</v>
      </c>
      <c r="AC151" t="s">
        <v>1794</v>
      </c>
      <c r="AD151" t="s">
        <v>1794</v>
      </c>
      <c r="AE151">
        <v>0</v>
      </c>
      <c r="AF151" t="s">
        <v>1794</v>
      </c>
      <c r="AG151" t="s">
        <v>1794</v>
      </c>
      <c r="AH151" t="s">
        <v>1794</v>
      </c>
    </row>
    <row r="152" spans="1:34" x14ac:dyDescent="0.25">
      <c r="A152" t="s">
        <v>1276</v>
      </c>
      <c r="B152" t="s">
        <v>1277</v>
      </c>
      <c r="C152" t="s">
        <v>364</v>
      </c>
      <c r="D152" t="s">
        <v>259</v>
      </c>
      <c r="E152" t="s">
        <v>1794</v>
      </c>
      <c r="F152" t="s">
        <v>379</v>
      </c>
      <c r="G152" t="s">
        <v>1124</v>
      </c>
      <c r="H152" t="s">
        <v>380</v>
      </c>
      <c r="I152" t="s">
        <v>262</v>
      </c>
      <c r="J152" t="s">
        <v>279</v>
      </c>
      <c r="K152">
        <v>1</v>
      </c>
      <c r="L152">
        <v>1</v>
      </c>
      <c r="M152" t="s">
        <v>33</v>
      </c>
      <c r="N152">
        <v>1</v>
      </c>
      <c r="O152">
        <v>1</v>
      </c>
      <c r="P152">
        <v>1</v>
      </c>
      <c r="Q152" t="s">
        <v>52</v>
      </c>
      <c r="R152">
        <v>1</v>
      </c>
      <c r="S152">
        <v>1</v>
      </c>
      <c r="T152">
        <v>1</v>
      </c>
      <c r="U152" t="s">
        <v>1794</v>
      </c>
      <c r="V152" t="s">
        <v>1794</v>
      </c>
      <c r="W152" t="s">
        <v>1794</v>
      </c>
      <c r="X152">
        <v>1</v>
      </c>
      <c r="Y152" t="s">
        <v>1794</v>
      </c>
      <c r="Z152">
        <v>0</v>
      </c>
      <c r="AA152" t="s">
        <v>1794</v>
      </c>
      <c r="AB152" t="s">
        <v>1794</v>
      </c>
      <c r="AC152" t="s">
        <v>1794</v>
      </c>
      <c r="AD152" t="s">
        <v>1794</v>
      </c>
      <c r="AE152">
        <v>0</v>
      </c>
      <c r="AF152" t="s">
        <v>1794</v>
      </c>
      <c r="AG152" t="s">
        <v>1794</v>
      </c>
      <c r="AH152" t="s">
        <v>1794</v>
      </c>
    </row>
    <row r="153" spans="1:34" x14ac:dyDescent="0.25">
      <c r="A153" t="s">
        <v>417</v>
      </c>
      <c r="B153" t="s">
        <v>1252</v>
      </c>
      <c r="C153" t="s">
        <v>364</v>
      </c>
      <c r="D153" t="s">
        <v>259</v>
      </c>
      <c r="E153" t="s">
        <v>1794</v>
      </c>
      <c r="F153" t="s">
        <v>379</v>
      </c>
      <c r="G153" t="s">
        <v>1124</v>
      </c>
      <c r="H153" t="s">
        <v>380</v>
      </c>
      <c r="I153" t="s">
        <v>262</v>
      </c>
      <c r="J153" t="s">
        <v>279</v>
      </c>
      <c r="K153">
        <v>1</v>
      </c>
      <c r="L153">
        <v>1</v>
      </c>
      <c r="M153" t="s">
        <v>33</v>
      </c>
      <c r="N153">
        <v>1</v>
      </c>
      <c r="O153">
        <v>1</v>
      </c>
      <c r="P153">
        <v>1</v>
      </c>
      <c r="Q153" t="s">
        <v>52</v>
      </c>
      <c r="R153">
        <v>1</v>
      </c>
      <c r="S153">
        <v>1</v>
      </c>
      <c r="T153">
        <v>1</v>
      </c>
      <c r="U153" t="s">
        <v>1794</v>
      </c>
      <c r="V153" t="s">
        <v>1794</v>
      </c>
      <c r="W153" t="s">
        <v>1794</v>
      </c>
      <c r="X153">
        <v>1</v>
      </c>
      <c r="Y153" t="s">
        <v>1794</v>
      </c>
      <c r="Z153">
        <v>0</v>
      </c>
      <c r="AA153" t="s">
        <v>1794</v>
      </c>
      <c r="AB153" t="s">
        <v>1794</v>
      </c>
      <c r="AC153" t="s">
        <v>1794</v>
      </c>
      <c r="AD153" t="s">
        <v>1794</v>
      </c>
      <c r="AE153">
        <v>0</v>
      </c>
      <c r="AF153" t="s">
        <v>1794</v>
      </c>
      <c r="AG153" t="s">
        <v>1794</v>
      </c>
      <c r="AH153" t="s">
        <v>1794</v>
      </c>
    </row>
    <row r="154" spans="1:34" x14ac:dyDescent="0.25">
      <c r="A154" t="s">
        <v>1241</v>
      </c>
      <c r="B154" t="s">
        <v>1242</v>
      </c>
      <c r="C154" t="s">
        <v>364</v>
      </c>
      <c r="D154" t="s">
        <v>259</v>
      </c>
      <c r="E154" t="s">
        <v>1794</v>
      </c>
      <c r="F154" t="s">
        <v>379</v>
      </c>
      <c r="G154" t="s">
        <v>1124</v>
      </c>
      <c r="H154" t="s">
        <v>380</v>
      </c>
      <c r="I154" t="s">
        <v>262</v>
      </c>
      <c r="J154" t="s">
        <v>279</v>
      </c>
      <c r="K154">
        <v>1</v>
      </c>
      <c r="L154">
        <v>1</v>
      </c>
      <c r="M154" t="s">
        <v>33</v>
      </c>
      <c r="N154">
        <v>1</v>
      </c>
      <c r="O154">
        <v>1</v>
      </c>
      <c r="P154">
        <v>1</v>
      </c>
      <c r="Q154" t="s">
        <v>52</v>
      </c>
      <c r="R154">
        <v>1</v>
      </c>
      <c r="S154">
        <v>1</v>
      </c>
      <c r="T154">
        <v>1</v>
      </c>
      <c r="U154" t="s">
        <v>1794</v>
      </c>
      <c r="V154" t="s">
        <v>1794</v>
      </c>
      <c r="W154" t="s">
        <v>1794</v>
      </c>
      <c r="X154">
        <v>1</v>
      </c>
      <c r="Y154" t="s">
        <v>1794</v>
      </c>
      <c r="Z154">
        <v>0</v>
      </c>
      <c r="AA154" t="s">
        <v>1794</v>
      </c>
      <c r="AB154" t="s">
        <v>1794</v>
      </c>
      <c r="AC154" t="s">
        <v>1794</v>
      </c>
      <c r="AD154" t="s">
        <v>1794</v>
      </c>
      <c r="AE154">
        <v>0</v>
      </c>
      <c r="AF154" t="s">
        <v>1794</v>
      </c>
      <c r="AG154" t="s">
        <v>1794</v>
      </c>
      <c r="AH154" t="s">
        <v>1794</v>
      </c>
    </row>
    <row r="155" spans="1:34" x14ac:dyDescent="0.25">
      <c r="A155" t="s">
        <v>1276</v>
      </c>
      <c r="B155" t="s">
        <v>1277</v>
      </c>
      <c r="C155" t="s">
        <v>364</v>
      </c>
      <c r="D155" t="s">
        <v>259</v>
      </c>
      <c r="E155" t="s">
        <v>1794</v>
      </c>
      <c r="F155" t="s">
        <v>379</v>
      </c>
      <c r="G155" t="s">
        <v>1124</v>
      </c>
      <c r="H155" t="s">
        <v>381</v>
      </c>
      <c r="I155" t="s">
        <v>262</v>
      </c>
      <c r="J155" t="s">
        <v>382</v>
      </c>
      <c r="K155">
        <v>1</v>
      </c>
      <c r="L155">
        <v>1</v>
      </c>
      <c r="M155" t="s">
        <v>33</v>
      </c>
      <c r="N155">
        <v>1</v>
      </c>
      <c r="O155">
        <v>1</v>
      </c>
      <c r="P155">
        <v>1</v>
      </c>
      <c r="Q155" t="s">
        <v>52</v>
      </c>
      <c r="R155">
        <v>1</v>
      </c>
      <c r="S155">
        <v>1</v>
      </c>
      <c r="T155">
        <v>1</v>
      </c>
      <c r="U155" t="s">
        <v>1794</v>
      </c>
      <c r="V155" t="s">
        <v>1794</v>
      </c>
      <c r="W155" t="s">
        <v>1794</v>
      </c>
      <c r="X155">
        <v>1</v>
      </c>
      <c r="Y155" t="s">
        <v>1794</v>
      </c>
      <c r="Z155">
        <v>0</v>
      </c>
      <c r="AA155" t="s">
        <v>1794</v>
      </c>
      <c r="AB155" t="s">
        <v>1794</v>
      </c>
      <c r="AC155" t="s">
        <v>1794</v>
      </c>
      <c r="AD155" t="s">
        <v>1794</v>
      </c>
      <c r="AE155">
        <v>0</v>
      </c>
      <c r="AF155" t="s">
        <v>1794</v>
      </c>
      <c r="AG155" t="s">
        <v>1794</v>
      </c>
      <c r="AH155" t="s">
        <v>1794</v>
      </c>
    </row>
    <row r="156" spans="1:34" x14ac:dyDescent="0.25">
      <c r="A156" t="s">
        <v>417</v>
      </c>
      <c r="B156" t="s">
        <v>1252</v>
      </c>
      <c r="C156" t="s">
        <v>364</v>
      </c>
      <c r="D156" t="s">
        <v>259</v>
      </c>
      <c r="E156" t="s">
        <v>1794</v>
      </c>
      <c r="F156" t="s">
        <v>379</v>
      </c>
      <c r="G156" t="s">
        <v>1124</v>
      </c>
      <c r="H156" t="s">
        <v>381</v>
      </c>
      <c r="I156" t="s">
        <v>262</v>
      </c>
      <c r="J156" t="s">
        <v>382</v>
      </c>
      <c r="K156">
        <v>1</v>
      </c>
      <c r="L156">
        <v>1</v>
      </c>
      <c r="M156" t="s">
        <v>33</v>
      </c>
      <c r="N156">
        <v>1</v>
      </c>
      <c r="O156">
        <v>1</v>
      </c>
      <c r="P156">
        <v>1</v>
      </c>
      <c r="Q156" t="s">
        <v>52</v>
      </c>
      <c r="R156">
        <v>1</v>
      </c>
      <c r="S156">
        <v>1</v>
      </c>
      <c r="T156">
        <v>1</v>
      </c>
      <c r="U156" t="s">
        <v>1794</v>
      </c>
      <c r="V156" t="s">
        <v>1794</v>
      </c>
      <c r="W156" t="s">
        <v>1794</v>
      </c>
      <c r="X156">
        <v>1</v>
      </c>
      <c r="Y156" t="s">
        <v>1794</v>
      </c>
      <c r="Z156">
        <v>0</v>
      </c>
      <c r="AA156" t="s">
        <v>1794</v>
      </c>
      <c r="AB156" t="s">
        <v>1794</v>
      </c>
      <c r="AC156" t="s">
        <v>1794</v>
      </c>
      <c r="AD156" t="s">
        <v>1794</v>
      </c>
      <c r="AE156">
        <v>0</v>
      </c>
      <c r="AF156" t="s">
        <v>1794</v>
      </c>
      <c r="AG156" t="s">
        <v>1794</v>
      </c>
      <c r="AH156" t="s">
        <v>1794</v>
      </c>
    </row>
    <row r="157" spans="1:34" x14ac:dyDescent="0.25">
      <c r="A157" t="s">
        <v>1241</v>
      </c>
      <c r="B157" t="s">
        <v>1242</v>
      </c>
      <c r="C157" t="s">
        <v>364</v>
      </c>
      <c r="D157" t="s">
        <v>259</v>
      </c>
      <c r="E157" t="s">
        <v>1794</v>
      </c>
      <c r="F157" t="s">
        <v>379</v>
      </c>
      <c r="G157" t="s">
        <v>1124</v>
      </c>
      <c r="H157" t="s">
        <v>381</v>
      </c>
      <c r="I157" t="s">
        <v>262</v>
      </c>
      <c r="J157" t="s">
        <v>382</v>
      </c>
      <c r="K157">
        <v>1</v>
      </c>
      <c r="L157">
        <v>1</v>
      </c>
      <c r="M157" t="s">
        <v>33</v>
      </c>
      <c r="N157">
        <v>1</v>
      </c>
      <c r="O157">
        <v>1</v>
      </c>
      <c r="P157">
        <v>1</v>
      </c>
      <c r="Q157" t="s">
        <v>52</v>
      </c>
      <c r="R157">
        <v>1</v>
      </c>
      <c r="S157">
        <v>1</v>
      </c>
      <c r="T157">
        <v>1</v>
      </c>
      <c r="U157" t="s">
        <v>1794</v>
      </c>
      <c r="V157" t="s">
        <v>1794</v>
      </c>
      <c r="W157" t="s">
        <v>1794</v>
      </c>
      <c r="X157">
        <v>1</v>
      </c>
      <c r="Y157" t="s">
        <v>1794</v>
      </c>
      <c r="Z157">
        <v>0</v>
      </c>
      <c r="AA157" t="s">
        <v>1794</v>
      </c>
      <c r="AB157" t="s">
        <v>1794</v>
      </c>
      <c r="AC157" t="s">
        <v>1794</v>
      </c>
      <c r="AD157" t="s">
        <v>1794</v>
      </c>
      <c r="AE157">
        <v>0</v>
      </c>
      <c r="AF157" t="s">
        <v>1794</v>
      </c>
      <c r="AG157" t="s">
        <v>1794</v>
      </c>
      <c r="AH157" t="s">
        <v>1794</v>
      </c>
    </row>
    <row r="158" spans="1:34" x14ac:dyDescent="0.25">
      <c r="A158" t="s">
        <v>1276</v>
      </c>
      <c r="B158" t="s">
        <v>1277</v>
      </c>
      <c r="C158" t="s">
        <v>364</v>
      </c>
      <c r="D158" t="s">
        <v>259</v>
      </c>
      <c r="E158" t="s">
        <v>1794</v>
      </c>
      <c r="F158" t="s">
        <v>379</v>
      </c>
      <c r="G158" t="s">
        <v>1124</v>
      </c>
      <c r="H158" t="s">
        <v>383</v>
      </c>
      <c r="I158" t="s">
        <v>262</v>
      </c>
      <c r="J158" t="s">
        <v>279</v>
      </c>
      <c r="K158">
        <v>3</v>
      </c>
      <c r="L158">
        <v>3</v>
      </c>
      <c r="M158" t="s">
        <v>33</v>
      </c>
      <c r="N158">
        <v>1</v>
      </c>
      <c r="O158">
        <v>3</v>
      </c>
      <c r="P158">
        <v>1</v>
      </c>
      <c r="Q158" t="s">
        <v>52</v>
      </c>
      <c r="R158">
        <v>3</v>
      </c>
      <c r="S158">
        <v>3</v>
      </c>
      <c r="T158">
        <v>3</v>
      </c>
      <c r="U158" t="s">
        <v>1794</v>
      </c>
      <c r="V158" t="s">
        <v>1794</v>
      </c>
      <c r="W158" t="s">
        <v>1794</v>
      </c>
      <c r="X158">
        <v>1</v>
      </c>
      <c r="Y158" t="s">
        <v>1794</v>
      </c>
      <c r="Z158">
        <v>0</v>
      </c>
      <c r="AA158" t="s">
        <v>1794</v>
      </c>
      <c r="AB158" t="s">
        <v>1794</v>
      </c>
      <c r="AC158" t="s">
        <v>1794</v>
      </c>
      <c r="AD158" t="s">
        <v>1794</v>
      </c>
      <c r="AE158">
        <v>0</v>
      </c>
      <c r="AF158" t="s">
        <v>1794</v>
      </c>
      <c r="AG158" t="s">
        <v>1794</v>
      </c>
      <c r="AH158" t="s">
        <v>1794</v>
      </c>
    </row>
    <row r="159" spans="1:34" x14ac:dyDescent="0.25">
      <c r="A159" t="s">
        <v>417</v>
      </c>
      <c r="B159" t="s">
        <v>1252</v>
      </c>
      <c r="C159" t="s">
        <v>364</v>
      </c>
      <c r="D159" t="s">
        <v>259</v>
      </c>
      <c r="E159" t="s">
        <v>1794</v>
      </c>
      <c r="F159" t="s">
        <v>379</v>
      </c>
      <c r="G159" t="s">
        <v>1124</v>
      </c>
      <c r="H159" t="s">
        <v>383</v>
      </c>
      <c r="I159" t="s">
        <v>262</v>
      </c>
      <c r="J159" t="s">
        <v>279</v>
      </c>
      <c r="K159">
        <v>3</v>
      </c>
      <c r="L159">
        <v>3</v>
      </c>
      <c r="M159" t="s">
        <v>33</v>
      </c>
      <c r="N159">
        <v>1</v>
      </c>
      <c r="O159">
        <v>3</v>
      </c>
      <c r="P159">
        <v>1</v>
      </c>
      <c r="Q159" t="s">
        <v>52</v>
      </c>
      <c r="R159">
        <v>3</v>
      </c>
      <c r="S159">
        <v>3</v>
      </c>
      <c r="T159">
        <v>3</v>
      </c>
      <c r="U159" t="s">
        <v>1794</v>
      </c>
      <c r="V159" t="s">
        <v>1794</v>
      </c>
      <c r="W159" t="s">
        <v>1794</v>
      </c>
      <c r="X159">
        <v>1</v>
      </c>
      <c r="Y159" t="s">
        <v>1794</v>
      </c>
      <c r="Z159">
        <v>0</v>
      </c>
      <c r="AA159" t="s">
        <v>1794</v>
      </c>
      <c r="AB159" t="s">
        <v>1794</v>
      </c>
      <c r="AC159" t="s">
        <v>1794</v>
      </c>
      <c r="AD159" t="s">
        <v>1794</v>
      </c>
      <c r="AE159">
        <v>0</v>
      </c>
      <c r="AF159" t="s">
        <v>1794</v>
      </c>
      <c r="AG159" t="s">
        <v>1794</v>
      </c>
      <c r="AH159" t="s">
        <v>1794</v>
      </c>
    </row>
    <row r="160" spans="1:34" x14ac:dyDescent="0.25">
      <c r="A160" t="s">
        <v>1241</v>
      </c>
      <c r="B160" t="s">
        <v>1242</v>
      </c>
      <c r="C160" t="s">
        <v>364</v>
      </c>
      <c r="D160" t="s">
        <v>259</v>
      </c>
      <c r="E160" t="s">
        <v>1794</v>
      </c>
      <c r="F160" t="s">
        <v>379</v>
      </c>
      <c r="G160" t="s">
        <v>1124</v>
      </c>
      <c r="H160" t="s">
        <v>383</v>
      </c>
      <c r="I160" t="s">
        <v>262</v>
      </c>
      <c r="J160" t="s">
        <v>279</v>
      </c>
      <c r="K160">
        <v>3</v>
      </c>
      <c r="L160">
        <v>3</v>
      </c>
      <c r="M160" t="s">
        <v>33</v>
      </c>
      <c r="N160">
        <v>1</v>
      </c>
      <c r="O160">
        <v>3</v>
      </c>
      <c r="P160">
        <v>1</v>
      </c>
      <c r="Q160" t="s">
        <v>52</v>
      </c>
      <c r="R160">
        <v>3</v>
      </c>
      <c r="S160">
        <v>3</v>
      </c>
      <c r="T160">
        <v>3</v>
      </c>
      <c r="U160" t="s">
        <v>1794</v>
      </c>
      <c r="V160" t="s">
        <v>1794</v>
      </c>
      <c r="W160" t="s">
        <v>1794</v>
      </c>
      <c r="X160">
        <v>1</v>
      </c>
      <c r="Y160" t="s">
        <v>1794</v>
      </c>
      <c r="Z160">
        <v>0</v>
      </c>
      <c r="AA160" t="s">
        <v>1794</v>
      </c>
      <c r="AB160" t="s">
        <v>1794</v>
      </c>
      <c r="AC160" t="s">
        <v>1794</v>
      </c>
      <c r="AD160" t="s">
        <v>1794</v>
      </c>
      <c r="AE160">
        <v>0</v>
      </c>
      <c r="AF160" t="s">
        <v>1794</v>
      </c>
      <c r="AG160" t="s">
        <v>1794</v>
      </c>
      <c r="AH160" t="s">
        <v>1794</v>
      </c>
    </row>
    <row r="161" spans="1:34" x14ac:dyDescent="0.25">
      <c r="A161" t="s">
        <v>1276</v>
      </c>
      <c r="B161" t="s">
        <v>1277</v>
      </c>
      <c r="C161" t="s">
        <v>364</v>
      </c>
      <c r="D161" t="s">
        <v>259</v>
      </c>
      <c r="E161" t="s">
        <v>1794</v>
      </c>
      <c r="F161" t="s">
        <v>379</v>
      </c>
      <c r="G161" t="s">
        <v>1124</v>
      </c>
      <c r="H161" t="s">
        <v>384</v>
      </c>
      <c r="I161" t="s">
        <v>262</v>
      </c>
      <c r="J161" t="s">
        <v>279</v>
      </c>
      <c r="K161">
        <v>4</v>
      </c>
      <c r="L161">
        <v>4</v>
      </c>
      <c r="M161" t="s">
        <v>33</v>
      </c>
      <c r="N161">
        <v>1</v>
      </c>
      <c r="O161">
        <v>4</v>
      </c>
      <c r="P161">
        <v>1</v>
      </c>
      <c r="Q161" t="s">
        <v>52</v>
      </c>
      <c r="R161">
        <v>4</v>
      </c>
      <c r="S161">
        <v>4</v>
      </c>
      <c r="T161">
        <v>4</v>
      </c>
      <c r="U161" t="s">
        <v>1794</v>
      </c>
      <c r="V161" t="s">
        <v>1794</v>
      </c>
      <c r="W161" t="s">
        <v>1794</v>
      </c>
      <c r="X161">
        <v>1</v>
      </c>
      <c r="Y161" t="s">
        <v>1794</v>
      </c>
      <c r="Z161">
        <v>0</v>
      </c>
      <c r="AA161" t="s">
        <v>1794</v>
      </c>
      <c r="AB161" t="s">
        <v>1794</v>
      </c>
      <c r="AC161" t="s">
        <v>1794</v>
      </c>
      <c r="AD161" t="s">
        <v>1794</v>
      </c>
      <c r="AE161">
        <v>0</v>
      </c>
      <c r="AF161" t="s">
        <v>1794</v>
      </c>
      <c r="AG161" t="s">
        <v>1794</v>
      </c>
      <c r="AH161" t="s">
        <v>1794</v>
      </c>
    </row>
    <row r="162" spans="1:34" x14ac:dyDescent="0.25">
      <c r="A162" t="s">
        <v>417</v>
      </c>
      <c r="B162" t="s">
        <v>1252</v>
      </c>
      <c r="C162" t="s">
        <v>364</v>
      </c>
      <c r="D162" t="s">
        <v>259</v>
      </c>
      <c r="E162" t="s">
        <v>1794</v>
      </c>
      <c r="F162" t="s">
        <v>379</v>
      </c>
      <c r="G162" t="s">
        <v>1124</v>
      </c>
      <c r="H162" t="s">
        <v>384</v>
      </c>
      <c r="I162" t="s">
        <v>262</v>
      </c>
      <c r="J162" t="s">
        <v>279</v>
      </c>
      <c r="K162">
        <v>4</v>
      </c>
      <c r="L162">
        <v>4</v>
      </c>
      <c r="M162" t="s">
        <v>33</v>
      </c>
      <c r="N162">
        <v>1</v>
      </c>
      <c r="O162">
        <v>4</v>
      </c>
      <c r="P162">
        <v>1</v>
      </c>
      <c r="Q162" t="s">
        <v>52</v>
      </c>
      <c r="R162">
        <v>4</v>
      </c>
      <c r="S162">
        <v>4</v>
      </c>
      <c r="T162">
        <v>4</v>
      </c>
      <c r="U162" t="s">
        <v>1794</v>
      </c>
      <c r="V162" t="s">
        <v>1794</v>
      </c>
      <c r="W162" t="s">
        <v>1794</v>
      </c>
      <c r="X162">
        <v>1</v>
      </c>
      <c r="Y162" t="s">
        <v>1794</v>
      </c>
      <c r="Z162">
        <v>0</v>
      </c>
      <c r="AA162" t="s">
        <v>1794</v>
      </c>
      <c r="AB162" t="s">
        <v>1794</v>
      </c>
      <c r="AC162" t="s">
        <v>1794</v>
      </c>
      <c r="AD162" t="s">
        <v>1794</v>
      </c>
      <c r="AE162">
        <v>0</v>
      </c>
      <c r="AF162" t="s">
        <v>1794</v>
      </c>
      <c r="AG162" t="s">
        <v>1794</v>
      </c>
      <c r="AH162" t="s">
        <v>1794</v>
      </c>
    </row>
    <row r="163" spans="1:34" x14ac:dyDescent="0.25">
      <c r="A163" t="s">
        <v>1241</v>
      </c>
      <c r="B163" t="s">
        <v>1242</v>
      </c>
      <c r="C163" t="s">
        <v>364</v>
      </c>
      <c r="D163" t="s">
        <v>259</v>
      </c>
      <c r="E163" t="s">
        <v>1794</v>
      </c>
      <c r="F163" t="s">
        <v>379</v>
      </c>
      <c r="G163" t="s">
        <v>1124</v>
      </c>
      <c r="H163" t="s">
        <v>384</v>
      </c>
      <c r="I163" t="s">
        <v>262</v>
      </c>
      <c r="J163" t="s">
        <v>279</v>
      </c>
      <c r="K163">
        <v>4</v>
      </c>
      <c r="L163">
        <v>4</v>
      </c>
      <c r="M163" t="s">
        <v>33</v>
      </c>
      <c r="N163">
        <v>1</v>
      </c>
      <c r="O163">
        <v>4</v>
      </c>
      <c r="P163">
        <v>1</v>
      </c>
      <c r="Q163" t="s">
        <v>52</v>
      </c>
      <c r="R163">
        <v>4</v>
      </c>
      <c r="S163">
        <v>4</v>
      </c>
      <c r="T163">
        <v>4</v>
      </c>
      <c r="U163" t="s">
        <v>1794</v>
      </c>
      <c r="V163" t="s">
        <v>1794</v>
      </c>
      <c r="W163" t="s">
        <v>1794</v>
      </c>
      <c r="X163">
        <v>1</v>
      </c>
      <c r="Y163" t="s">
        <v>1794</v>
      </c>
      <c r="Z163">
        <v>0</v>
      </c>
      <c r="AA163" t="s">
        <v>1794</v>
      </c>
      <c r="AB163" t="s">
        <v>1794</v>
      </c>
      <c r="AC163" t="s">
        <v>1794</v>
      </c>
      <c r="AD163" t="s">
        <v>1794</v>
      </c>
      <c r="AE163">
        <v>0</v>
      </c>
      <c r="AF163" t="s">
        <v>1794</v>
      </c>
      <c r="AG163" t="s">
        <v>1794</v>
      </c>
      <c r="AH163" t="s">
        <v>1794</v>
      </c>
    </row>
    <row r="164" spans="1:34" x14ac:dyDescent="0.25">
      <c r="A164" t="s">
        <v>385</v>
      </c>
      <c r="B164" t="s">
        <v>1309</v>
      </c>
      <c r="C164" t="s">
        <v>364</v>
      </c>
      <c r="D164" t="s">
        <v>259</v>
      </c>
      <c r="E164" t="s">
        <v>1794</v>
      </c>
      <c r="F164" t="s">
        <v>386</v>
      </c>
      <c r="G164" t="s">
        <v>1310</v>
      </c>
      <c r="H164" t="s">
        <v>387</v>
      </c>
      <c r="I164" t="s">
        <v>262</v>
      </c>
      <c r="J164" t="s">
        <v>388</v>
      </c>
      <c r="K164">
        <v>4</v>
      </c>
      <c r="L164">
        <v>4</v>
      </c>
      <c r="M164" t="s">
        <v>33</v>
      </c>
      <c r="N164">
        <v>1</v>
      </c>
      <c r="O164">
        <v>4</v>
      </c>
      <c r="P164">
        <v>1</v>
      </c>
      <c r="Q164" t="s">
        <v>52</v>
      </c>
      <c r="R164">
        <v>4</v>
      </c>
      <c r="S164">
        <v>4</v>
      </c>
      <c r="T164">
        <v>4</v>
      </c>
      <c r="U164" t="s">
        <v>1794</v>
      </c>
      <c r="V164" t="s">
        <v>1794</v>
      </c>
      <c r="W164" t="s">
        <v>1794</v>
      </c>
      <c r="X164">
        <v>1</v>
      </c>
      <c r="Y164" t="s">
        <v>1794</v>
      </c>
      <c r="Z164">
        <v>0</v>
      </c>
      <c r="AA164" t="s">
        <v>1794</v>
      </c>
      <c r="AB164" t="s">
        <v>1794</v>
      </c>
      <c r="AC164" t="s">
        <v>1794</v>
      </c>
      <c r="AD164" t="s">
        <v>1794</v>
      </c>
      <c r="AE164">
        <v>0</v>
      </c>
      <c r="AF164" t="s">
        <v>1794</v>
      </c>
      <c r="AG164" t="s">
        <v>1794</v>
      </c>
      <c r="AH164" t="s">
        <v>1794</v>
      </c>
    </row>
    <row r="165" spans="1:34" x14ac:dyDescent="0.25">
      <c r="A165" t="s">
        <v>389</v>
      </c>
      <c r="B165" t="s">
        <v>1265</v>
      </c>
      <c r="C165" t="s">
        <v>364</v>
      </c>
      <c r="D165" t="s">
        <v>259</v>
      </c>
      <c r="E165" t="s">
        <v>1794</v>
      </c>
      <c r="F165" t="s">
        <v>390</v>
      </c>
      <c r="G165" t="s">
        <v>1124</v>
      </c>
      <c r="H165" t="s">
        <v>391</v>
      </c>
      <c r="I165" t="s">
        <v>262</v>
      </c>
      <c r="J165" t="s">
        <v>392</v>
      </c>
      <c r="K165">
        <v>2</v>
      </c>
      <c r="L165">
        <v>2</v>
      </c>
      <c r="M165" t="s">
        <v>33</v>
      </c>
      <c r="N165">
        <v>1</v>
      </c>
      <c r="O165">
        <v>2</v>
      </c>
      <c r="P165">
        <v>1</v>
      </c>
      <c r="Q165" t="s">
        <v>52</v>
      </c>
      <c r="R165">
        <v>2</v>
      </c>
      <c r="S165">
        <v>2</v>
      </c>
      <c r="T165">
        <v>2</v>
      </c>
      <c r="U165" t="s">
        <v>1794</v>
      </c>
      <c r="V165" t="s">
        <v>1794</v>
      </c>
      <c r="W165" t="s">
        <v>1794</v>
      </c>
      <c r="X165">
        <v>1</v>
      </c>
      <c r="Y165" t="s">
        <v>1794</v>
      </c>
      <c r="Z165">
        <v>0</v>
      </c>
      <c r="AA165" t="s">
        <v>1794</v>
      </c>
      <c r="AB165" t="s">
        <v>1794</v>
      </c>
      <c r="AC165" t="s">
        <v>1794</v>
      </c>
      <c r="AD165" t="s">
        <v>1794</v>
      </c>
      <c r="AE165">
        <v>0</v>
      </c>
      <c r="AF165" t="s">
        <v>1794</v>
      </c>
      <c r="AG165" t="s">
        <v>1794</v>
      </c>
      <c r="AH165" t="s">
        <v>1794</v>
      </c>
    </row>
    <row r="166" spans="1:34" x14ac:dyDescent="0.25">
      <c r="A166" t="s">
        <v>389</v>
      </c>
      <c r="B166" t="s">
        <v>1265</v>
      </c>
      <c r="C166" t="s">
        <v>364</v>
      </c>
      <c r="D166" t="s">
        <v>259</v>
      </c>
      <c r="E166" t="s">
        <v>1794</v>
      </c>
      <c r="F166" t="s">
        <v>393</v>
      </c>
      <c r="G166" t="s">
        <v>1124</v>
      </c>
      <c r="H166" t="s">
        <v>394</v>
      </c>
      <c r="I166" t="s">
        <v>262</v>
      </c>
      <c r="J166" t="s">
        <v>395</v>
      </c>
      <c r="K166">
        <v>1</v>
      </c>
      <c r="L166">
        <v>1</v>
      </c>
      <c r="M166" t="s">
        <v>33</v>
      </c>
      <c r="N166">
        <v>1</v>
      </c>
      <c r="O166">
        <v>1</v>
      </c>
      <c r="P166">
        <v>1</v>
      </c>
      <c r="Q166" t="s">
        <v>52</v>
      </c>
      <c r="R166">
        <v>1</v>
      </c>
      <c r="S166">
        <v>1</v>
      </c>
      <c r="T166">
        <v>1</v>
      </c>
      <c r="U166" t="s">
        <v>1794</v>
      </c>
      <c r="V166" t="s">
        <v>1794</v>
      </c>
      <c r="W166" t="s">
        <v>1794</v>
      </c>
      <c r="X166">
        <v>1</v>
      </c>
      <c r="Y166" t="s">
        <v>1794</v>
      </c>
      <c r="Z166">
        <v>0</v>
      </c>
      <c r="AA166" t="s">
        <v>1794</v>
      </c>
      <c r="AB166" t="s">
        <v>1794</v>
      </c>
      <c r="AC166" t="s">
        <v>1794</v>
      </c>
      <c r="AD166" t="s">
        <v>1794</v>
      </c>
      <c r="AE166">
        <v>0</v>
      </c>
      <c r="AF166" t="s">
        <v>1794</v>
      </c>
      <c r="AG166" t="s">
        <v>1794</v>
      </c>
      <c r="AH166" t="s">
        <v>1794</v>
      </c>
    </row>
    <row r="167" spans="1:34" x14ac:dyDescent="0.25">
      <c r="A167" t="s">
        <v>389</v>
      </c>
      <c r="B167" t="s">
        <v>1265</v>
      </c>
      <c r="C167" t="s">
        <v>364</v>
      </c>
      <c r="D167" t="s">
        <v>259</v>
      </c>
      <c r="E167" t="s">
        <v>1794</v>
      </c>
      <c r="F167" t="s">
        <v>396</v>
      </c>
      <c r="G167" t="s">
        <v>1124</v>
      </c>
      <c r="H167" t="s">
        <v>397</v>
      </c>
      <c r="I167" t="s">
        <v>262</v>
      </c>
      <c r="J167" t="s">
        <v>395</v>
      </c>
      <c r="K167">
        <v>1</v>
      </c>
      <c r="L167">
        <v>1</v>
      </c>
      <c r="M167" t="s">
        <v>33</v>
      </c>
      <c r="N167">
        <v>1</v>
      </c>
      <c r="O167">
        <v>1</v>
      </c>
      <c r="P167">
        <v>1</v>
      </c>
      <c r="Q167" t="s">
        <v>52</v>
      </c>
      <c r="R167">
        <v>1</v>
      </c>
      <c r="S167">
        <v>1</v>
      </c>
      <c r="T167">
        <v>1</v>
      </c>
      <c r="U167" t="s">
        <v>1794</v>
      </c>
      <c r="V167" t="s">
        <v>1794</v>
      </c>
      <c r="W167" t="s">
        <v>1794</v>
      </c>
      <c r="X167">
        <v>1</v>
      </c>
      <c r="Y167" t="s">
        <v>1794</v>
      </c>
      <c r="Z167">
        <v>0</v>
      </c>
      <c r="AA167" t="s">
        <v>1794</v>
      </c>
      <c r="AB167" t="s">
        <v>1794</v>
      </c>
      <c r="AC167" t="s">
        <v>1794</v>
      </c>
      <c r="AD167" t="s">
        <v>1794</v>
      </c>
      <c r="AE167">
        <v>0</v>
      </c>
      <c r="AF167" t="s">
        <v>1794</v>
      </c>
      <c r="AG167" t="s">
        <v>1794</v>
      </c>
      <c r="AH167" t="s">
        <v>1794</v>
      </c>
    </row>
    <row r="168" spans="1:34" x14ac:dyDescent="0.25">
      <c r="A168" t="s">
        <v>389</v>
      </c>
      <c r="B168" t="s">
        <v>1265</v>
      </c>
      <c r="C168" t="s">
        <v>364</v>
      </c>
      <c r="D168" t="s">
        <v>259</v>
      </c>
      <c r="E168" t="s">
        <v>1794</v>
      </c>
      <c r="F168" t="s">
        <v>398</v>
      </c>
      <c r="G168" t="s">
        <v>1124</v>
      </c>
      <c r="H168" t="s">
        <v>399</v>
      </c>
      <c r="I168" t="s">
        <v>262</v>
      </c>
      <c r="J168" t="s">
        <v>400</v>
      </c>
      <c r="K168">
        <v>1</v>
      </c>
      <c r="L168">
        <v>1</v>
      </c>
      <c r="M168" t="s">
        <v>33</v>
      </c>
      <c r="N168">
        <v>1</v>
      </c>
      <c r="O168">
        <v>1</v>
      </c>
      <c r="P168">
        <v>1</v>
      </c>
      <c r="Q168" t="s">
        <v>52</v>
      </c>
      <c r="R168">
        <v>1</v>
      </c>
      <c r="S168">
        <v>1</v>
      </c>
      <c r="T168">
        <v>1</v>
      </c>
      <c r="U168" t="s">
        <v>1794</v>
      </c>
      <c r="V168" t="s">
        <v>1794</v>
      </c>
      <c r="W168" t="s">
        <v>1794</v>
      </c>
      <c r="X168">
        <v>1</v>
      </c>
      <c r="Y168" t="s">
        <v>1794</v>
      </c>
      <c r="Z168">
        <v>0</v>
      </c>
      <c r="AA168" t="s">
        <v>1794</v>
      </c>
      <c r="AB168" t="s">
        <v>1794</v>
      </c>
      <c r="AC168" t="s">
        <v>1794</v>
      </c>
      <c r="AD168" t="s">
        <v>1794</v>
      </c>
      <c r="AE168">
        <v>0</v>
      </c>
      <c r="AF168" t="s">
        <v>1794</v>
      </c>
      <c r="AG168" t="s">
        <v>1794</v>
      </c>
      <c r="AH168" t="s">
        <v>1794</v>
      </c>
    </row>
    <row r="169" spans="1:34" x14ac:dyDescent="0.25">
      <c r="A169" t="s">
        <v>389</v>
      </c>
      <c r="B169" t="s">
        <v>1265</v>
      </c>
      <c r="C169" t="s">
        <v>364</v>
      </c>
      <c r="D169" t="s">
        <v>259</v>
      </c>
      <c r="E169" t="s">
        <v>1794</v>
      </c>
      <c r="F169" t="s">
        <v>401</v>
      </c>
      <c r="G169" t="s">
        <v>1124</v>
      </c>
      <c r="H169" t="s">
        <v>402</v>
      </c>
      <c r="I169" t="s">
        <v>262</v>
      </c>
      <c r="J169" t="s">
        <v>403</v>
      </c>
      <c r="K169">
        <v>1</v>
      </c>
      <c r="L169">
        <v>1</v>
      </c>
      <c r="M169" t="s">
        <v>33</v>
      </c>
      <c r="N169">
        <v>1</v>
      </c>
      <c r="O169">
        <v>1</v>
      </c>
      <c r="P169">
        <v>1</v>
      </c>
      <c r="Q169" t="s">
        <v>52</v>
      </c>
      <c r="R169">
        <v>1</v>
      </c>
      <c r="S169">
        <v>1</v>
      </c>
      <c r="T169">
        <v>1</v>
      </c>
      <c r="U169" t="s">
        <v>1794</v>
      </c>
      <c r="V169" t="s">
        <v>1794</v>
      </c>
      <c r="W169" t="s">
        <v>1794</v>
      </c>
      <c r="X169">
        <v>1</v>
      </c>
      <c r="Y169" t="s">
        <v>1794</v>
      </c>
      <c r="Z169">
        <v>0</v>
      </c>
      <c r="AA169" t="s">
        <v>1794</v>
      </c>
      <c r="AB169" t="s">
        <v>1794</v>
      </c>
      <c r="AC169" t="s">
        <v>1794</v>
      </c>
      <c r="AD169" t="s">
        <v>1794</v>
      </c>
      <c r="AE169">
        <v>0</v>
      </c>
      <c r="AF169" t="s">
        <v>1794</v>
      </c>
      <c r="AG169" t="s">
        <v>1794</v>
      </c>
      <c r="AH169" t="s">
        <v>1794</v>
      </c>
    </row>
    <row r="170" spans="1:34" x14ac:dyDescent="0.25">
      <c r="A170" t="s">
        <v>389</v>
      </c>
      <c r="B170" t="s">
        <v>1265</v>
      </c>
      <c r="C170" t="s">
        <v>364</v>
      </c>
      <c r="D170" t="s">
        <v>259</v>
      </c>
      <c r="E170" t="s">
        <v>1794</v>
      </c>
      <c r="F170" t="s">
        <v>404</v>
      </c>
      <c r="G170" t="s">
        <v>1124</v>
      </c>
      <c r="H170" t="s">
        <v>405</v>
      </c>
      <c r="I170" t="s">
        <v>262</v>
      </c>
      <c r="J170" t="s">
        <v>406</v>
      </c>
      <c r="K170">
        <v>1</v>
      </c>
      <c r="L170">
        <v>1</v>
      </c>
      <c r="M170" t="s">
        <v>33</v>
      </c>
      <c r="N170">
        <v>1</v>
      </c>
      <c r="O170">
        <v>1</v>
      </c>
      <c r="P170">
        <v>1</v>
      </c>
      <c r="Q170" t="s">
        <v>52</v>
      </c>
      <c r="R170">
        <v>1</v>
      </c>
      <c r="S170">
        <v>1</v>
      </c>
      <c r="T170">
        <v>1</v>
      </c>
      <c r="U170" t="s">
        <v>1794</v>
      </c>
      <c r="V170" t="s">
        <v>1794</v>
      </c>
      <c r="W170" t="s">
        <v>1794</v>
      </c>
      <c r="X170">
        <v>1</v>
      </c>
      <c r="Y170" t="s">
        <v>1794</v>
      </c>
      <c r="Z170">
        <v>0</v>
      </c>
      <c r="AA170" t="s">
        <v>1794</v>
      </c>
      <c r="AB170" t="s">
        <v>1794</v>
      </c>
      <c r="AC170" t="s">
        <v>1794</v>
      </c>
      <c r="AD170" t="s">
        <v>1794</v>
      </c>
      <c r="AE170">
        <v>0</v>
      </c>
      <c r="AF170" t="s">
        <v>1794</v>
      </c>
      <c r="AG170" t="s">
        <v>1794</v>
      </c>
      <c r="AH170" t="s">
        <v>1794</v>
      </c>
    </row>
    <row r="171" spans="1:34" x14ac:dyDescent="0.25">
      <c r="A171" t="s">
        <v>389</v>
      </c>
      <c r="B171" t="s">
        <v>1265</v>
      </c>
      <c r="C171" t="s">
        <v>364</v>
      </c>
      <c r="D171" t="s">
        <v>259</v>
      </c>
      <c r="E171" t="s">
        <v>1794</v>
      </c>
      <c r="F171" t="s">
        <v>404</v>
      </c>
      <c r="G171" t="s">
        <v>1124</v>
      </c>
      <c r="H171" t="s">
        <v>407</v>
      </c>
      <c r="I171" t="s">
        <v>262</v>
      </c>
      <c r="J171" t="s">
        <v>323</v>
      </c>
      <c r="K171">
        <v>1</v>
      </c>
      <c r="L171">
        <v>1</v>
      </c>
      <c r="M171" t="s">
        <v>33</v>
      </c>
      <c r="N171">
        <v>1</v>
      </c>
      <c r="O171">
        <v>1</v>
      </c>
      <c r="P171">
        <v>1</v>
      </c>
      <c r="Q171" t="s">
        <v>52</v>
      </c>
      <c r="R171">
        <v>1</v>
      </c>
      <c r="S171">
        <v>1</v>
      </c>
      <c r="T171">
        <v>1</v>
      </c>
      <c r="U171" t="s">
        <v>1794</v>
      </c>
      <c r="V171" t="s">
        <v>1794</v>
      </c>
      <c r="W171" t="s">
        <v>1794</v>
      </c>
      <c r="X171">
        <v>1</v>
      </c>
      <c r="Y171" t="s">
        <v>1794</v>
      </c>
      <c r="Z171">
        <v>0</v>
      </c>
      <c r="AA171" t="s">
        <v>1794</v>
      </c>
      <c r="AB171" t="s">
        <v>1794</v>
      </c>
      <c r="AC171" t="s">
        <v>1794</v>
      </c>
      <c r="AD171" t="s">
        <v>1794</v>
      </c>
      <c r="AE171">
        <v>0</v>
      </c>
      <c r="AF171" t="s">
        <v>1794</v>
      </c>
      <c r="AG171" t="s">
        <v>1794</v>
      </c>
      <c r="AH171" t="s">
        <v>1794</v>
      </c>
    </row>
    <row r="172" spans="1:34" x14ac:dyDescent="0.25">
      <c r="A172" t="s">
        <v>389</v>
      </c>
      <c r="B172" t="s">
        <v>1265</v>
      </c>
      <c r="C172" t="s">
        <v>364</v>
      </c>
      <c r="D172" t="s">
        <v>259</v>
      </c>
      <c r="E172" t="s">
        <v>1794</v>
      </c>
      <c r="F172" t="s">
        <v>408</v>
      </c>
      <c r="G172" t="s">
        <v>1124</v>
      </c>
      <c r="H172" t="s">
        <v>409</v>
      </c>
      <c r="I172" t="s">
        <v>262</v>
      </c>
      <c r="J172" t="s">
        <v>410</v>
      </c>
      <c r="K172">
        <v>1</v>
      </c>
      <c r="L172">
        <v>1</v>
      </c>
      <c r="M172" t="s">
        <v>33</v>
      </c>
      <c r="N172">
        <v>1</v>
      </c>
      <c r="O172">
        <v>1</v>
      </c>
      <c r="P172">
        <v>1</v>
      </c>
      <c r="Q172" t="s">
        <v>52</v>
      </c>
      <c r="R172">
        <v>1</v>
      </c>
      <c r="S172">
        <v>1</v>
      </c>
      <c r="T172">
        <v>1</v>
      </c>
      <c r="U172" t="s">
        <v>1794</v>
      </c>
      <c r="V172" t="s">
        <v>1794</v>
      </c>
      <c r="W172" t="s">
        <v>1794</v>
      </c>
      <c r="X172">
        <v>1</v>
      </c>
      <c r="Y172" t="s">
        <v>1794</v>
      </c>
      <c r="Z172">
        <v>0</v>
      </c>
      <c r="AA172" t="s">
        <v>1794</v>
      </c>
      <c r="AB172" t="s">
        <v>1794</v>
      </c>
      <c r="AC172" t="s">
        <v>1794</v>
      </c>
      <c r="AD172" t="s">
        <v>1794</v>
      </c>
      <c r="AE172">
        <v>0</v>
      </c>
      <c r="AF172" t="s">
        <v>1794</v>
      </c>
      <c r="AG172" t="s">
        <v>1794</v>
      </c>
      <c r="AH172" t="s">
        <v>1794</v>
      </c>
    </row>
    <row r="173" spans="1:34" x14ac:dyDescent="0.25">
      <c r="A173" t="s">
        <v>389</v>
      </c>
      <c r="B173" t="s">
        <v>1265</v>
      </c>
      <c r="C173" t="s">
        <v>364</v>
      </c>
      <c r="D173" t="s">
        <v>259</v>
      </c>
      <c r="E173" t="s">
        <v>1794</v>
      </c>
      <c r="F173" t="s">
        <v>396</v>
      </c>
      <c r="G173" t="s">
        <v>1124</v>
      </c>
      <c r="H173" t="s">
        <v>411</v>
      </c>
      <c r="I173" t="s">
        <v>262</v>
      </c>
      <c r="J173" t="s">
        <v>412</v>
      </c>
      <c r="K173">
        <v>1</v>
      </c>
      <c r="L173">
        <v>1</v>
      </c>
      <c r="M173" t="s">
        <v>33</v>
      </c>
      <c r="N173">
        <v>1</v>
      </c>
      <c r="O173">
        <v>1</v>
      </c>
      <c r="P173">
        <v>1</v>
      </c>
      <c r="Q173" t="s">
        <v>52</v>
      </c>
      <c r="R173">
        <v>1</v>
      </c>
      <c r="S173">
        <v>1</v>
      </c>
      <c r="T173">
        <v>1</v>
      </c>
      <c r="U173" t="s">
        <v>1794</v>
      </c>
      <c r="V173" t="s">
        <v>1794</v>
      </c>
      <c r="W173" t="s">
        <v>1794</v>
      </c>
      <c r="X173">
        <v>1</v>
      </c>
      <c r="Y173" t="s">
        <v>1794</v>
      </c>
      <c r="Z173">
        <v>0</v>
      </c>
      <c r="AA173" t="s">
        <v>1794</v>
      </c>
      <c r="AB173" t="s">
        <v>1794</v>
      </c>
      <c r="AC173" t="s">
        <v>1794</v>
      </c>
      <c r="AD173" t="s">
        <v>1794</v>
      </c>
      <c r="AE173">
        <v>0</v>
      </c>
      <c r="AF173" t="s">
        <v>1794</v>
      </c>
      <c r="AG173" t="s">
        <v>1794</v>
      </c>
      <c r="AH173" t="s">
        <v>1794</v>
      </c>
    </row>
    <row r="174" spans="1:34" x14ac:dyDescent="0.25">
      <c r="A174" t="s">
        <v>389</v>
      </c>
      <c r="B174" t="s">
        <v>1265</v>
      </c>
      <c r="C174" t="s">
        <v>364</v>
      </c>
      <c r="D174" t="s">
        <v>259</v>
      </c>
      <c r="E174" t="s">
        <v>1794</v>
      </c>
      <c r="F174" t="s">
        <v>413</v>
      </c>
      <c r="G174" t="s">
        <v>1124</v>
      </c>
      <c r="H174" t="s">
        <v>414</v>
      </c>
      <c r="I174" t="s">
        <v>262</v>
      </c>
      <c r="J174" t="s">
        <v>415</v>
      </c>
      <c r="K174">
        <v>1</v>
      </c>
      <c r="L174">
        <v>1</v>
      </c>
      <c r="M174" t="s">
        <v>33</v>
      </c>
      <c r="N174">
        <v>1</v>
      </c>
      <c r="O174">
        <v>1</v>
      </c>
      <c r="P174">
        <v>1</v>
      </c>
      <c r="Q174" t="s">
        <v>52</v>
      </c>
      <c r="R174">
        <v>1</v>
      </c>
      <c r="S174">
        <v>1</v>
      </c>
      <c r="T174">
        <v>1</v>
      </c>
      <c r="U174" t="s">
        <v>1794</v>
      </c>
      <c r="V174" t="s">
        <v>1794</v>
      </c>
      <c r="W174" t="s">
        <v>1794</v>
      </c>
      <c r="X174">
        <v>1</v>
      </c>
      <c r="Y174" t="s">
        <v>1794</v>
      </c>
      <c r="Z174">
        <v>0</v>
      </c>
      <c r="AA174" t="s">
        <v>1794</v>
      </c>
      <c r="AB174" t="s">
        <v>1794</v>
      </c>
      <c r="AC174" t="s">
        <v>1794</v>
      </c>
      <c r="AD174" t="s">
        <v>1794</v>
      </c>
      <c r="AE174">
        <v>0</v>
      </c>
      <c r="AF174" t="s">
        <v>1794</v>
      </c>
      <c r="AG174" t="s">
        <v>1794</v>
      </c>
      <c r="AH174" t="s">
        <v>1794</v>
      </c>
    </row>
    <row r="175" spans="1:34" x14ac:dyDescent="0.25">
      <c r="A175" t="s">
        <v>389</v>
      </c>
      <c r="B175" t="s">
        <v>1265</v>
      </c>
      <c r="C175" t="s">
        <v>364</v>
      </c>
      <c r="D175" t="s">
        <v>259</v>
      </c>
      <c r="E175" t="s">
        <v>1794</v>
      </c>
      <c r="F175" t="s">
        <v>401</v>
      </c>
      <c r="G175" t="s">
        <v>1124</v>
      </c>
      <c r="H175" t="s">
        <v>416</v>
      </c>
      <c r="I175" t="s">
        <v>262</v>
      </c>
      <c r="J175" t="s">
        <v>415</v>
      </c>
      <c r="K175">
        <v>1</v>
      </c>
      <c r="L175">
        <v>1</v>
      </c>
      <c r="M175" t="s">
        <v>33</v>
      </c>
      <c r="N175">
        <v>1</v>
      </c>
      <c r="O175">
        <v>1</v>
      </c>
      <c r="P175">
        <v>1</v>
      </c>
      <c r="Q175" t="s">
        <v>52</v>
      </c>
      <c r="R175">
        <v>1</v>
      </c>
      <c r="S175">
        <v>1</v>
      </c>
      <c r="T175">
        <v>1</v>
      </c>
      <c r="U175" t="s">
        <v>1794</v>
      </c>
      <c r="V175" t="s">
        <v>1794</v>
      </c>
      <c r="W175" t="s">
        <v>1794</v>
      </c>
      <c r="X175">
        <v>1</v>
      </c>
      <c r="Y175" t="s">
        <v>1794</v>
      </c>
      <c r="Z175">
        <v>0</v>
      </c>
      <c r="AA175" t="s">
        <v>1794</v>
      </c>
      <c r="AB175" t="s">
        <v>1794</v>
      </c>
      <c r="AC175" t="s">
        <v>1794</v>
      </c>
      <c r="AD175" t="s">
        <v>1794</v>
      </c>
      <c r="AE175">
        <v>0</v>
      </c>
      <c r="AF175" t="s">
        <v>1794</v>
      </c>
      <c r="AG175" t="s">
        <v>1794</v>
      </c>
      <c r="AH175" t="s">
        <v>1794</v>
      </c>
    </row>
    <row r="176" spans="1:34" x14ac:dyDescent="0.25">
      <c r="A176" t="s">
        <v>417</v>
      </c>
      <c r="B176" t="s">
        <v>1252</v>
      </c>
      <c r="C176" t="s">
        <v>364</v>
      </c>
      <c r="D176" t="s">
        <v>259</v>
      </c>
      <c r="E176" t="s">
        <v>1794</v>
      </c>
      <c r="F176" t="s">
        <v>418</v>
      </c>
      <c r="G176" t="s">
        <v>1124</v>
      </c>
      <c r="H176" t="s">
        <v>419</v>
      </c>
      <c r="I176" t="s">
        <v>262</v>
      </c>
      <c r="J176" t="s">
        <v>420</v>
      </c>
      <c r="K176">
        <v>1</v>
      </c>
      <c r="L176">
        <v>1</v>
      </c>
      <c r="M176" t="s">
        <v>33</v>
      </c>
      <c r="N176">
        <v>1</v>
      </c>
      <c r="O176">
        <v>1</v>
      </c>
      <c r="P176">
        <v>1</v>
      </c>
      <c r="Q176" t="s">
        <v>52</v>
      </c>
      <c r="R176">
        <v>1</v>
      </c>
      <c r="S176">
        <v>1</v>
      </c>
      <c r="T176">
        <v>1</v>
      </c>
      <c r="U176" t="s">
        <v>1794</v>
      </c>
      <c r="V176" t="s">
        <v>1794</v>
      </c>
      <c r="W176" t="s">
        <v>1794</v>
      </c>
      <c r="X176">
        <v>1</v>
      </c>
      <c r="Y176" t="s">
        <v>1794</v>
      </c>
      <c r="Z176">
        <v>0</v>
      </c>
      <c r="AA176" t="s">
        <v>1794</v>
      </c>
      <c r="AB176" t="s">
        <v>1794</v>
      </c>
      <c r="AC176" t="s">
        <v>1794</v>
      </c>
      <c r="AD176" t="s">
        <v>1794</v>
      </c>
      <c r="AE176">
        <v>0</v>
      </c>
      <c r="AF176" t="s">
        <v>1794</v>
      </c>
      <c r="AG176" t="s">
        <v>1794</v>
      </c>
      <c r="AH176" t="s">
        <v>1794</v>
      </c>
    </row>
    <row r="177" spans="1:34" x14ac:dyDescent="0.25">
      <c r="A177" t="s">
        <v>417</v>
      </c>
      <c r="B177" t="s">
        <v>1252</v>
      </c>
      <c r="C177" t="s">
        <v>364</v>
      </c>
      <c r="D177" t="s">
        <v>259</v>
      </c>
      <c r="E177" t="s">
        <v>1794</v>
      </c>
      <c r="F177" t="s">
        <v>421</v>
      </c>
      <c r="G177" t="s">
        <v>1124</v>
      </c>
      <c r="H177" t="s">
        <v>422</v>
      </c>
      <c r="I177" t="s">
        <v>262</v>
      </c>
      <c r="J177" t="s">
        <v>289</v>
      </c>
      <c r="K177">
        <v>1</v>
      </c>
      <c r="L177">
        <v>1</v>
      </c>
      <c r="M177" t="s">
        <v>33</v>
      </c>
      <c r="N177">
        <v>1</v>
      </c>
      <c r="O177">
        <v>1</v>
      </c>
      <c r="P177">
        <v>1</v>
      </c>
      <c r="Q177" t="s">
        <v>52</v>
      </c>
      <c r="R177">
        <v>1</v>
      </c>
      <c r="S177">
        <v>1</v>
      </c>
      <c r="T177">
        <v>1</v>
      </c>
      <c r="U177" t="s">
        <v>1794</v>
      </c>
      <c r="V177" t="s">
        <v>1794</v>
      </c>
      <c r="W177" t="s">
        <v>1794</v>
      </c>
      <c r="X177">
        <v>1</v>
      </c>
      <c r="Y177" t="s">
        <v>1794</v>
      </c>
      <c r="Z177">
        <v>0</v>
      </c>
      <c r="AA177" t="s">
        <v>1794</v>
      </c>
      <c r="AB177" t="s">
        <v>1794</v>
      </c>
      <c r="AC177" t="s">
        <v>1794</v>
      </c>
      <c r="AD177" t="s">
        <v>1794</v>
      </c>
      <c r="AE177">
        <v>0</v>
      </c>
      <c r="AF177" t="s">
        <v>1794</v>
      </c>
      <c r="AG177" t="s">
        <v>1794</v>
      </c>
      <c r="AH177" t="s">
        <v>1794</v>
      </c>
    </row>
    <row r="178" spans="1:34" x14ac:dyDescent="0.25">
      <c r="A178" t="s">
        <v>417</v>
      </c>
      <c r="B178" t="s">
        <v>1252</v>
      </c>
      <c r="C178" t="s">
        <v>364</v>
      </c>
      <c r="D178" t="s">
        <v>259</v>
      </c>
      <c r="E178" t="s">
        <v>1794</v>
      </c>
      <c r="F178" t="s">
        <v>423</v>
      </c>
      <c r="G178" t="s">
        <v>1124</v>
      </c>
      <c r="H178" t="s">
        <v>424</v>
      </c>
      <c r="I178" t="s">
        <v>262</v>
      </c>
      <c r="J178" t="s">
        <v>425</v>
      </c>
      <c r="K178">
        <v>1</v>
      </c>
      <c r="L178">
        <v>1</v>
      </c>
      <c r="M178" t="s">
        <v>33</v>
      </c>
      <c r="N178">
        <v>1</v>
      </c>
      <c r="O178">
        <v>1</v>
      </c>
      <c r="P178">
        <v>1</v>
      </c>
      <c r="Q178" t="s">
        <v>52</v>
      </c>
      <c r="R178">
        <v>1</v>
      </c>
      <c r="S178">
        <v>1</v>
      </c>
      <c r="T178">
        <v>1</v>
      </c>
      <c r="U178" t="s">
        <v>1794</v>
      </c>
      <c r="V178" t="s">
        <v>1794</v>
      </c>
      <c r="W178" t="s">
        <v>1794</v>
      </c>
      <c r="X178">
        <v>1</v>
      </c>
      <c r="Y178" t="s">
        <v>1794</v>
      </c>
      <c r="Z178">
        <v>0</v>
      </c>
      <c r="AA178" t="s">
        <v>1794</v>
      </c>
      <c r="AB178" t="s">
        <v>1794</v>
      </c>
      <c r="AC178" t="s">
        <v>1794</v>
      </c>
      <c r="AD178" t="s">
        <v>1794</v>
      </c>
      <c r="AE178">
        <v>0</v>
      </c>
      <c r="AF178" t="s">
        <v>1794</v>
      </c>
      <c r="AG178" t="s">
        <v>1794</v>
      </c>
      <c r="AH178" t="s">
        <v>1794</v>
      </c>
    </row>
    <row r="179" spans="1:34" x14ac:dyDescent="0.25">
      <c r="A179" t="s">
        <v>385</v>
      </c>
      <c r="B179" t="s">
        <v>1309</v>
      </c>
      <c r="C179" t="s">
        <v>364</v>
      </c>
      <c r="D179" t="s">
        <v>259</v>
      </c>
      <c r="E179" t="s">
        <v>1794</v>
      </c>
      <c r="F179" t="s">
        <v>426</v>
      </c>
      <c r="G179" t="s">
        <v>1310</v>
      </c>
      <c r="H179" t="s">
        <v>1803</v>
      </c>
      <c r="I179" t="s">
        <v>262</v>
      </c>
      <c r="J179" t="s">
        <v>427</v>
      </c>
      <c r="K179">
        <v>1</v>
      </c>
      <c r="L179">
        <v>3</v>
      </c>
      <c r="M179" t="s">
        <v>33</v>
      </c>
      <c r="N179">
        <v>1</v>
      </c>
      <c r="O179">
        <v>3</v>
      </c>
      <c r="P179">
        <v>1</v>
      </c>
      <c r="Q179" t="s">
        <v>52</v>
      </c>
      <c r="R179">
        <v>3</v>
      </c>
      <c r="S179">
        <v>3</v>
      </c>
      <c r="T179">
        <v>3</v>
      </c>
      <c r="U179" t="s">
        <v>1794</v>
      </c>
      <c r="V179" t="s">
        <v>1794</v>
      </c>
      <c r="W179" t="s">
        <v>1794</v>
      </c>
      <c r="X179">
        <v>1</v>
      </c>
      <c r="Y179" t="s">
        <v>1794</v>
      </c>
      <c r="Z179">
        <v>0</v>
      </c>
      <c r="AA179" t="s">
        <v>1794</v>
      </c>
      <c r="AB179" t="s">
        <v>1794</v>
      </c>
      <c r="AC179" t="s">
        <v>1794</v>
      </c>
      <c r="AD179" t="s">
        <v>1794</v>
      </c>
      <c r="AE179">
        <v>0</v>
      </c>
      <c r="AF179" t="s">
        <v>1794</v>
      </c>
      <c r="AG179" t="s">
        <v>1794</v>
      </c>
      <c r="AH179" t="s">
        <v>1794</v>
      </c>
    </row>
    <row r="180" spans="1:34" x14ac:dyDescent="0.25">
      <c r="A180" t="s">
        <v>385</v>
      </c>
      <c r="B180" t="s">
        <v>1309</v>
      </c>
      <c r="C180" t="s">
        <v>364</v>
      </c>
      <c r="D180" t="s">
        <v>259</v>
      </c>
      <c r="E180" t="s">
        <v>1794</v>
      </c>
      <c r="F180" t="s">
        <v>426</v>
      </c>
      <c r="G180" t="s">
        <v>1310</v>
      </c>
      <c r="H180" t="s">
        <v>428</v>
      </c>
      <c r="I180" t="s">
        <v>262</v>
      </c>
      <c r="J180" t="s">
        <v>429</v>
      </c>
      <c r="K180">
        <v>1</v>
      </c>
      <c r="L180">
        <v>1</v>
      </c>
      <c r="M180" t="s">
        <v>33</v>
      </c>
      <c r="N180">
        <v>1</v>
      </c>
      <c r="O180">
        <v>1</v>
      </c>
      <c r="P180">
        <v>1</v>
      </c>
      <c r="Q180" t="s">
        <v>52</v>
      </c>
      <c r="R180">
        <v>1</v>
      </c>
      <c r="S180">
        <v>1</v>
      </c>
      <c r="T180">
        <v>1</v>
      </c>
      <c r="U180" t="s">
        <v>1794</v>
      </c>
      <c r="V180" t="s">
        <v>1794</v>
      </c>
      <c r="W180" t="s">
        <v>1794</v>
      </c>
      <c r="X180">
        <v>1</v>
      </c>
      <c r="Y180" t="s">
        <v>1794</v>
      </c>
      <c r="Z180">
        <v>0</v>
      </c>
      <c r="AA180" t="s">
        <v>1794</v>
      </c>
      <c r="AB180" t="s">
        <v>1794</v>
      </c>
      <c r="AC180" t="s">
        <v>1794</v>
      </c>
      <c r="AD180" t="s">
        <v>1794</v>
      </c>
      <c r="AE180">
        <v>0</v>
      </c>
      <c r="AF180" t="s">
        <v>1794</v>
      </c>
      <c r="AG180" t="s">
        <v>1794</v>
      </c>
      <c r="AH180" t="s">
        <v>1794</v>
      </c>
    </row>
    <row r="181" spans="1:34" x14ac:dyDescent="0.25">
      <c r="A181" t="s">
        <v>389</v>
      </c>
      <c r="B181" t="s">
        <v>1265</v>
      </c>
      <c r="C181" t="s">
        <v>315</v>
      </c>
      <c r="D181" t="s">
        <v>259</v>
      </c>
      <c r="E181" t="s">
        <v>1794</v>
      </c>
      <c r="F181" t="s">
        <v>430</v>
      </c>
      <c r="G181" t="s">
        <v>1124</v>
      </c>
      <c r="H181" t="s">
        <v>431</v>
      </c>
      <c r="I181" t="s">
        <v>262</v>
      </c>
      <c r="J181" t="s">
        <v>432</v>
      </c>
      <c r="K181">
        <v>1</v>
      </c>
      <c r="L181">
        <v>1</v>
      </c>
      <c r="M181" t="s">
        <v>33</v>
      </c>
      <c r="N181">
        <v>1</v>
      </c>
      <c r="O181">
        <v>1</v>
      </c>
      <c r="P181">
        <v>1</v>
      </c>
      <c r="Q181" t="s">
        <v>52</v>
      </c>
      <c r="R181">
        <v>1</v>
      </c>
      <c r="S181">
        <v>1</v>
      </c>
      <c r="T181">
        <v>1</v>
      </c>
      <c r="U181" t="s">
        <v>1794</v>
      </c>
      <c r="V181" t="s">
        <v>1794</v>
      </c>
      <c r="W181" t="s">
        <v>1794</v>
      </c>
      <c r="X181">
        <v>1</v>
      </c>
      <c r="Y181" t="s">
        <v>1794</v>
      </c>
      <c r="Z181">
        <v>0</v>
      </c>
      <c r="AA181" t="s">
        <v>1794</v>
      </c>
      <c r="AB181" t="s">
        <v>1794</v>
      </c>
      <c r="AC181" t="s">
        <v>1794</v>
      </c>
      <c r="AD181" t="s">
        <v>1794</v>
      </c>
      <c r="AE181">
        <v>0</v>
      </c>
      <c r="AF181" t="s">
        <v>1794</v>
      </c>
      <c r="AG181" t="s">
        <v>1794</v>
      </c>
      <c r="AH181" t="s">
        <v>1794</v>
      </c>
    </row>
    <row r="182" spans="1:34" x14ac:dyDescent="0.25">
      <c r="A182" t="s">
        <v>1297</v>
      </c>
      <c r="B182" t="s">
        <v>1298</v>
      </c>
      <c r="C182" t="s">
        <v>315</v>
      </c>
      <c r="D182" t="s">
        <v>259</v>
      </c>
      <c r="E182" t="s">
        <v>1794</v>
      </c>
      <c r="F182" t="s">
        <v>430</v>
      </c>
      <c r="G182" t="s">
        <v>1124</v>
      </c>
      <c r="H182" t="s">
        <v>431</v>
      </c>
      <c r="I182" t="s">
        <v>262</v>
      </c>
      <c r="J182" t="s">
        <v>432</v>
      </c>
      <c r="K182">
        <v>1</v>
      </c>
      <c r="L182">
        <v>1</v>
      </c>
      <c r="M182" t="s">
        <v>33</v>
      </c>
      <c r="N182">
        <v>1</v>
      </c>
      <c r="O182">
        <v>1</v>
      </c>
      <c r="P182">
        <v>1</v>
      </c>
      <c r="Q182" t="s">
        <v>52</v>
      </c>
      <c r="R182">
        <v>1</v>
      </c>
      <c r="S182">
        <v>1</v>
      </c>
      <c r="T182">
        <v>1</v>
      </c>
      <c r="U182" t="s">
        <v>1794</v>
      </c>
      <c r="V182" t="s">
        <v>1794</v>
      </c>
      <c r="W182" t="s">
        <v>1794</v>
      </c>
      <c r="X182">
        <v>1</v>
      </c>
      <c r="Y182" t="s">
        <v>1794</v>
      </c>
      <c r="Z182">
        <v>0</v>
      </c>
      <c r="AA182" t="s">
        <v>1794</v>
      </c>
      <c r="AB182" t="s">
        <v>1794</v>
      </c>
      <c r="AC182" t="s">
        <v>1794</v>
      </c>
      <c r="AD182" t="s">
        <v>1794</v>
      </c>
      <c r="AE182">
        <v>0</v>
      </c>
      <c r="AF182" t="s">
        <v>1794</v>
      </c>
      <c r="AG182" t="s">
        <v>1794</v>
      </c>
      <c r="AH182" t="s">
        <v>1794</v>
      </c>
    </row>
    <row r="183" spans="1:34" x14ac:dyDescent="0.25">
      <c r="A183" t="s">
        <v>389</v>
      </c>
      <c r="B183" t="s">
        <v>1265</v>
      </c>
      <c r="C183" t="s">
        <v>315</v>
      </c>
      <c r="D183" t="s">
        <v>259</v>
      </c>
      <c r="E183" t="s">
        <v>1794</v>
      </c>
      <c r="F183" t="s">
        <v>433</v>
      </c>
      <c r="G183" t="s">
        <v>1124</v>
      </c>
      <c r="H183" t="s">
        <v>434</v>
      </c>
      <c r="I183" t="s">
        <v>262</v>
      </c>
      <c r="J183" t="s">
        <v>435</v>
      </c>
      <c r="K183">
        <v>1</v>
      </c>
      <c r="L183">
        <v>1</v>
      </c>
      <c r="M183" t="s">
        <v>33</v>
      </c>
      <c r="N183">
        <v>1</v>
      </c>
      <c r="O183">
        <v>1</v>
      </c>
      <c r="P183">
        <v>1</v>
      </c>
      <c r="Q183" t="s">
        <v>52</v>
      </c>
      <c r="R183">
        <v>1</v>
      </c>
      <c r="S183">
        <v>1</v>
      </c>
      <c r="T183">
        <v>1</v>
      </c>
      <c r="U183" t="s">
        <v>1794</v>
      </c>
      <c r="V183" t="s">
        <v>1794</v>
      </c>
      <c r="W183" t="s">
        <v>1794</v>
      </c>
      <c r="X183">
        <v>1</v>
      </c>
      <c r="Y183" t="s">
        <v>1794</v>
      </c>
      <c r="Z183">
        <v>0</v>
      </c>
      <c r="AA183" t="s">
        <v>1794</v>
      </c>
      <c r="AB183" t="s">
        <v>1794</v>
      </c>
      <c r="AC183" t="s">
        <v>1794</v>
      </c>
      <c r="AD183" t="s">
        <v>1794</v>
      </c>
      <c r="AE183">
        <v>0</v>
      </c>
      <c r="AF183" t="s">
        <v>1794</v>
      </c>
      <c r="AG183" t="s">
        <v>1794</v>
      </c>
      <c r="AH183" t="s">
        <v>1794</v>
      </c>
    </row>
    <row r="184" spans="1:34" x14ac:dyDescent="0.25">
      <c r="A184" t="s">
        <v>1297</v>
      </c>
      <c r="B184" t="s">
        <v>1298</v>
      </c>
      <c r="C184" t="s">
        <v>315</v>
      </c>
      <c r="D184" t="s">
        <v>259</v>
      </c>
      <c r="E184" t="s">
        <v>1794</v>
      </c>
      <c r="F184" t="s">
        <v>433</v>
      </c>
      <c r="G184" t="s">
        <v>1124</v>
      </c>
      <c r="H184" t="s">
        <v>434</v>
      </c>
      <c r="I184" t="s">
        <v>262</v>
      </c>
      <c r="J184" t="s">
        <v>435</v>
      </c>
      <c r="K184">
        <v>1</v>
      </c>
      <c r="L184">
        <v>1</v>
      </c>
      <c r="M184" t="s">
        <v>33</v>
      </c>
      <c r="N184">
        <v>1</v>
      </c>
      <c r="O184">
        <v>1</v>
      </c>
      <c r="P184">
        <v>1</v>
      </c>
      <c r="Q184" t="s">
        <v>52</v>
      </c>
      <c r="R184">
        <v>1</v>
      </c>
      <c r="S184">
        <v>1</v>
      </c>
      <c r="T184">
        <v>1</v>
      </c>
      <c r="U184" t="s">
        <v>1794</v>
      </c>
      <c r="V184" t="s">
        <v>1794</v>
      </c>
      <c r="W184" t="s">
        <v>1794</v>
      </c>
      <c r="X184">
        <v>1</v>
      </c>
      <c r="Y184" t="s">
        <v>1794</v>
      </c>
      <c r="Z184">
        <v>0</v>
      </c>
      <c r="AA184" t="s">
        <v>1794</v>
      </c>
      <c r="AB184" t="s">
        <v>1794</v>
      </c>
      <c r="AC184" t="s">
        <v>1794</v>
      </c>
      <c r="AD184" t="s">
        <v>1794</v>
      </c>
      <c r="AE184">
        <v>0</v>
      </c>
      <c r="AF184" t="s">
        <v>1794</v>
      </c>
      <c r="AG184" t="s">
        <v>1794</v>
      </c>
      <c r="AH184" t="s">
        <v>1794</v>
      </c>
    </row>
    <row r="185" spans="1:34" x14ac:dyDescent="0.25">
      <c r="A185" t="s">
        <v>389</v>
      </c>
      <c r="B185" t="s">
        <v>1265</v>
      </c>
      <c r="C185" t="s">
        <v>315</v>
      </c>
      <c r="D185" t="s">
        <v>259</v>
      </c>
      <c r="E185" t="s">
        <v>1794</v>
      </c>
      <c r="F185" t="s">
        <v>436</v>
      </c>
      <c r="G185" t="s">
        <v>1124</v>
      </c>
      <c r="H185" t="s">
        <v>437</v>
      </c>
      <c r="I185" t="s">
        <v>262</v>
      </c>
      <c r="J185" t="s">
        <v>438</v>
      </c>
      <c r="K185">
        <v>1</v>
      </c>
      <c r="L185">
        <v>1</v>
      </c>
      <c r="M185" t="s">
        <v>33</v>
      </c>
      <c r="N185">
        <v>1</v>
      </c>
      <c r="O185">
        <v>1</v>
      </c>
      <c r="P185">
        <v>1</v>
      </c>
      <c r="Q185" t="s">
        <v>52</v>
      </c>
      <c r="R185">
        <v>1</v>
      </c>
      <c r="S185">
        <v>1</v>
      </c>
      <c r="T185">
        <v>1</v>
      </c>
      <c r="U185" t="s">
        <v>1794</v>
      </c>
      <c r="V185" t="s">
        <v>1794</v>
      </c>
      <c r="W185" t="s">
        <v>1794</v>
      </c>
      <c r="X185">
        <v>1</v>
      </c>
      <c r="Y185" t="s">
        <v>1794</v>
      </c>
      <c r="Z185">
        <v>0</v>
      </c>
      <c r="AA185" t="s">
        <v>1794</v>
      </c>
      <c r="AB185" t="s">
        <v>1794</v>
      </c>
      <c r="AC185" t="s">
        <v>1794</v>
      </c>
      <c r="AD185" t="s">
        <v>1794</v>
      </c>
      <c r="AE185">
        <v>0</v>
      </c>
      <c r="AF185" t="s">
        <v>1794</v>
      </c>
      <c r="AG185" t="s">
        <v>1794</v>
      </c>
      <c r="AH185" t="s">
        <v>1794</v>
      </c>
    </row>
    <row r="186" spans="1:34" x14ac:dyDescent="0.25">
      <c r="A186" t="s">
        <v>1297</v>
      </c>
      <c r="B186" t="s">
        <v>1298</v>
      </c>
      <c r="C186" t="s">
        <v>315</v>
      </c>
      <c r="D186" t="s">
        <v>259</v>
      </c>
      <c r="E186" t="s">
        <v>1794</v>
      </c>
      <c r="F186" t="s">
        <v>436</v>
      </c>
      <c r="G186" t="s">
        <v>1124</v>
      </c>
      <c r="H186" t="s">
        <v>437</v>
      </c>
      <c r="I186" t="s">
        <v>262</v>
      </c>
      <c r="J186" t="s">
        <v>438</v>
      </c>
      <c r="K186">
        <v>1</v>
      </c>
      <c r="L186">
        <v>1</v>
      </c>
      <c r="M186" t="s">
        <v>33</v>
      </c>
      <c r="N186">
        <v>1</v>
      </c>
      <c r="O186">
        <v>1</v>
      </c>
      <c r="P186">
        <v>1</v>
      </c>
      <c r="Q186" t="s">
        <v>52</v>
      </c>
      <c r="R186">
        <v>1</v>
      </c>
      <c r="S186">
        <v>1</v>
      </c>
      <c r="T186">
        <v>1</v>
      </c>
      <c r="U186" t="s">
        <v>1794</v>
      </c>
      <c r="V186" t="s">
        <v>1794</v>
      </c>
      <c r="W186" t="s">
        <v>1794</v>
      </c>
      <c r="X186">
        <v>1</v>
      </c>
      <c r="Y186" t="s">
        <v>1794</v>
      </c>
      <c r="Z186">
        <v>0</v>
      </c>
      <c r="AA186" t="s">
        <v>1794</v>
      </c>
      <c r="AB186" t="s">
        <v>1794</v>
      </c>
      <c r="AC186" t="s">
        <v>1794</v>
      </c>
      <c r="AD186" t="s">
        <v>1794</v>
      </c>
      <c r="AE186">
        <v>0</v>
      </c>
      <c r="AF186" t="s">
        <v>1794</v>
      </c>
      <c r="AG186" t="s">
        <v>1794</v>
      </c>
      <c r="AH186" t="s">
        <v>1794</v>
      </c>
    </row>
    <row r="187" spans="1:34" x14ac:dyDescent="0.25">
      <c r="A187" t="s">
        <v>389</v>
      </c>
      <c r="B187" t="s">
        <v>1265</v>
      </c>
      <c r="C187" t="s">
        <v>315</v>
      </c>
      <c r="D187" t="s">
        <v>259</v>
      </c>
      <c r="E187" t="s">
        <v>1794</v>
      </c>
      <c r="F187" t="s">
        <v>439</v>
      </c>
      <c r="G187" t="s">
        <v>1124</v>
      </c>
      <c r="H187" t="s">
        <v>440</v>
      </c>
      <c r="I187" t="s">
        <v>262</v>
      </c>
      <c r="J187" t="s">
        <v>441</v>
      </c>
      <c r="K187">
        <v>1</v>
      </c>
      <c r="L187">
        <v>1</v>
      </c>
      <c r="M187" t="s">
        <v>33</v>
      </c>
      <c r="N187">
        <v>1</v>
      </c>
      <c r="O187">
        <v>1</v>
      </c>
      <c r="P187">
        <v>1</v>
      </c>
      <c r="Q187" t="s">
        <v>52</v>
      </c>
      <c r="R187">
        <v>1</v>
      </c>
      <c r="S187">
        <v>1</v>
      </c>
      <c r="T187">
        <v>1</v>
      </c>
      <c r="U187" t="s">
        <v>1794</v>
      </c>
      <c r="V187" t="s">
        <v>1794</v>
      </c>
      <c r="W187" t="s">
        <v>1794</v>
      </c>
      <c r="X187">
        <v>1</v>
      </c>
      <c r="Y187" t="s">
        <v>1794</v>
      </c>
      <c r="Z187">
        <v>0</v>
      </c>
      <c r="AA187" t="s">
        <v>1794</v>
      </c>
      <c r="AB187" t="s">
        <v>1794</v>
      </c>
      <c r="AC187" t="s">
        <v>1794</v>
      </c>
      <c r="AD187" t="s">
        <v>1794</v>
      </c>
      <c r="AE187">
        <v>0</v>
      </c>
      <c r="AF187" t="s">
        <v>1794</v>
      </c>
      <c r="AG187" t="s">
        <v>1794</v>
      </c>
      <c r="AH187" t="s">
        <v>1794</v>
      </c>
    </row>
    <row r="188" spans="1:34" x14ac:dyDescent="0.25">
      <c r="A188" t="s">
        <v>1297</v>
      </c>
      <c r="B188" t="s">
        <v>1298</v>
      </c>
      <c r="C188" t="s">
        <v>315</v>
      </c>
      <c r="D188" t="s">
        <v>259</v>
      </c>
      <c r="E188" t="s">
        <v>1794</v>
      </c>
      <c r="F188" t="s">
        <v>439</v>
      </c>
      <c r="G188" t="s">
        <v>1124</v>
      </c>
      <c r="H188" t="s">
        <v>440</v>
      </c>
      <c r="I188" t="s">
        <v>262</v>
      </c>
      <c r="J188" t="s">
        <v>441</v>
      </c>
      <c r="K188">
        <v>1</v>
      </c>
      <c r="L188">
        <v>1</v>
      </c>
      <c r="M188" t="s">
        <v>33</v>
      </c>
      <c r="N188">
        <v>1</v>
      </c>
      <c r="O188">
        <v>1</v>
      </c>
      <c r="P188">
        <v>1</v>
      </c>
      <c r="Q188" t="s">
        <v>52</v>
      </c>
      <c r="R188">
        <v>1</v>
      </c>
      <c r="S188">
        <v>1</v>
      </c>
      <c r="T188">
        <v>1</v>
      </c>
      <c r="U188" t="s">
        <v>1794</v>
      </c>
      <c r="V188" t="s">
        <v>1794</v>
      </c>
      <c r="W188" t="s">
        <v>1794</v>
      </c>
      <c r="X188">
        <v>1</v>
      </c>
      <c r="Y188" t="s">
        <v>1794</v>
      </c>
      <c r="Z188">
        <v>0</v>
      </c>
      <c r="AA188" t="s">
        <v>1794</v>
      </c>
      <c r="AB188" t="s">
        <v>1794</v>
      </c>
      <c r="AC188" t="s">
        <v>1794</v>
      </c>
      <c r="AD188" t="s">
        <v>1794</v>
      </c>
      <c r="AE188">
        <v>0</v>
      </c>
      <c r="AF188" t="s">
        <v>1794</v>
      </c>
      <c r="AG188" t="s">
        <v>1794</v>
      </c>
      <c r="AH188" t="s">
        <v>1794</v>
      </c>
    </row>
    <row r="189" spans="1:34" x14ac:dyDescent="0.25">
      <c r="A189" t="s">
        <v>290</v>
      </c>
      <c r="B189" t="s">
        <v>1278</v>
      </c>
      <c r="C189" t="s">
        <v>364</v>
      </c>
      <c r="D189" t="s">
        <v>259</v>
      </c>
      <c r="E189" t="s">
        <v>1794</v>
      </c>
      <c r="F189" t="s">
        <v>442</v>
      </c>
      <c r="G189" t="s">
        <v>1124</v>
      </c>
      <c r="H189" t="s">
        <v>1804</v>
      </c>
      <c r="I189" t="s">
        <v>262</v>
      </c>
      <c r="J189" t="s">
        <v>301</v>
      </c>
      <c r="K189">
        <v>6</v>
      </c>
      <c r="L189">
        <v>6</v>
      </c>
      <c r="M189" t="s">
        <v>33</v>
      </c>
      <c r="N189">
        <v>1</v>
      </c>
      <c r="O189">
        <v>5</v>
      </c>
      <c r="P189">
        <v>0.83333333333333337</v>
      </c>
      <c r="Q189" t="s">
        <v>52</v>
      </c>
      <c r="R189">
        <v>6</v>
      </c>
      <c r="S189">
        <v>6</v>
      </c>
      <c r="T189">
        <v>6</v>
      </c>
      <c r="U189" t="s">
        <v>1794</v>
      </c>
      <c r="V189" t="s">
        <v>1794</v>
      </c>
      <c r="W189" t="s">
        <v>1794</v>
      </c>
      <c r="X189">
        <v>1</v>
      </c>
      <c r="Y189" t="s">
        <v>1794</v>
      </c>
      <c r="Z189">
        <v>0</v>
      </c>
      <c r="AA189" t="s">
        <v>1794</v>
      </c>
      <c r="AB189" t="s">
        <v>1794</v>
      </c>
      <c r="AC189" t="s">
        <v>1794</v>
      </c>
      <c r="AD189" t="s">
        <v>1794</v>
      </c>
      <c r="AE189">
        <v>0</v>
      </c>
      <c r="AF189" t="s">
        <v>1794</v>
      </c>
      <c r="AG189" t="s">
        <v>1794</v>
      </c>
      <c r="AH189" t="s">
        <v>1794</v>
      </c>
    </row>
    <row r="190" spans="1:34" x14ac:dyDescent="0.25">
      <c r="A190" t="s">
        <v>290</v>
      </c>
      <c r="B190" t="s">
        <v>1278</v>
      </c>
      <c r="C190" t="s">
        <v>364</v>
      </c>
      <c r="D190" t="s">
        <v>259</v>
      </c>
      <c r="E190" t="s">
        <v>1794</v>
      </c>
      <c r="F190" t="s">
        <v>443</v>
      </c>
      <c r="G190" t="s">
        <v>1124</v>
      </c>
      <c r="H190" t="s">
        <v>1805</v>
      </c>
      <c r="I190" t="s">
        <v>262</v>
      </c>
      <c r="J190" t="s">
        <v>301</v>
      </c>
      <c r="K190">
        <v>6</v>
      </c>
      <c r="L190">
        <v>6</v>
      </c>
      <c r="M190" t="s">
        <v>33</v>
      </c>
      <c r="N190">
        <v>1</v>
      </c>
      <c r="O190">
        <v>6</v>
      </c>
      <c r="P190">
        <v>1</v>
      </c>
      <c r="Q190" t="s">
        <v>52</v>
      </c>
      <c r="R190">
        <v>6</v>
      </c>
      <c r="S190">
        <v>6</v>
      </c>
      <c r="T190">
        <v>6</v>
      </c>
      <c r="U190" t="s">
        <v>1794</v>
      </c>
      <c r="V190" t="s">
        <v>1794</v>
      </c>
      <c r="W190" t="s">
        <v>1794</v>
      </c>
      <c r="X190">
        <v>1</v>
      </c>
      <c r="Y190" t="s">
        <v>1794</v>
      </c>
      <c r="Z190">
        <v>0</v>
      </c>
      <c r="AA190" t="s">
        <v>1794</v>
      </c>
      <c r="AB190" t="s">
        <v>1794</v>
      </c>
      <c r="AC190" t="s">
        <v>1794</v>
      </c>
      <c r="AD190" t="s">
        <v>1794</v>
      </c>
      <c r="AE190">
        <v>0</v>
      </c>
      <c r="AF190" t="s">
        <v>1794</v>
      </c>
      <c r="AG190" t="s">
        <v>1794</v>
      </c>
      <c r="AH190" t="s">
        <v>1794</v>
      </c>
    </row>
    <row r="191" spans="1:34" x14ac:dyDescent="0.25">
      <c r="A191" t="s">
        <v>290</v>
      </c>
      <c r="B191" t="s">
        <v>1278</v>
      </c>
      <c r="C191" t="s">
        <v>364</v>
      </c>
      <c r="D191" t="s">
        <v>259</v>
      </c>
      <c r="E191" t="s">
        <v>1794</v>
      </c>
      <c r="F191" t="s">
        <v>444</v>
      </c>
      <c r="G191" t="s">
        <v>1124</v>
      </c>
      <c r="H191" t="s">
        <v>1806</v>
      </c>
      <c r="I191" t="s">
        <v>262</v>
      </c>
      <c r="J191" t="s">
        <v>279</v>
      </c>
      <c r="K191">
        <v>6</v>
      </c>
      <c r="L191">
        <v>6</v>
      </c>
      <c r="M191" t="s">
        <v>33</v>
      </c>
      <c r="N191">
        <v>1</v>
      </c>
      <c r="O191">
        <v>6</v>
      </c>
      <c r="P191">
        <v>1</v>
      </c>
      <c r="Q191" t="s">
        <v>52</v>
      </c>
      <c r="R191">
        <v>6</v>
      </c>
      <c r="S191">
        <v>6</v>
      </c>
      <c r="T191">
        <v>6</v>
      </c>
      <c r="U191" t="s">
        <v>1794</v>
      </c>
      <c r="V191" t="s">
        <v>1794</v>
      </c>
      <c r="W191" t="s">
        <v>1794</v>
      </c>
      <c r="X191">
        <v>1</v>
      </c>
      <c r="Y191" t="s">
        <v>1794</v>
      </c>
      <c r="Z191">
        <v>0</v>
      </c>
      <c r="AA191" t="s">
        <v>1794</v>
      </c>
      <c r="AB191" t="s">
        <v>1794</v>
      </c>
      <c r="AC191" t="s">
        <v>1794</v>
      </c>
      <c r="AD191" t="s">
        <v>1794</v>
      </c>
      <c r="AE191">
        <v>0</v>
      </c>
      <c r="AF191" t="s">
        <v>1794</v>
      </c>
      <c r="AG191" t="s">
        <v>1794</v>
      </c>
      <c r="AH191" t="s">
        <v>1794</v>
      </c>
    </row>
    <row r="192" spans="1:34" x14ac:dyDescent="0.25">
      <c r="A192" t="s">
        <v>290</v>
      </c>
      <c r="B192" t="s">
        <v>1278</v>
      </c>
      <c r="C192" t="s">
        <v>364</v>
      </c>
      <c r="D192" t="s">
        <v>259</v>
      </c>
      <c r="E192" t="s">
        <v>1794</v>
      </c>
      <c r="F192" t="s">
        <v>445</v>
      </c>
      <c r="G192" t="s">
        <v>1124</v>
      </c>
      <c r="H192" t="s">
        <v>1807</v>
      </c>
      <c r="I192" t="s">
        <v>262</v>
      </c>
      <c r="J192" t="s">
        <v>279</v>
      </c>
      <c r="K192">
        <v>6</v>
      </c>
      <c r="L192">
        <v>6</v>
      </c>
      <c r="M192" t="s">
        <v>33</v>
      </c>
      <c r="N192">
        <v>1</v>
      </c>
      <c r="O192">
        <v>6</v>
      </c>
      <c r="P192">
        <v>1</v>
      </c>
      <c r="Q192" t="s">
        <v>52</v>
      </c>
      <c r="R192">
        <v>6</v>
      </c>
      <c r="S192">
        <v>6</v>
      </c>
      <c r="T192">
        <v>6</v>
      </c>
      <c r="U192" t="s">
        <v>1794</v>
      </c>
      <c r="V192" t="s">
        <v>1794</v>
      </c>
      <c r="W192" t="s">
        <v>1794</v>
      </c>
      <c r="X192">
        <v>1</v>
      </c>
      <c r="Y192" t="s">
        <v>1794</v>
      </c>
      <c r="Z192">
        <v>0</v>
      </c>
      <c r="AA192" t="s">
        <v>1794</v>
      </c>
      <c r="AB192" t="s">
        <v>1794</v>
      </c>
      <c r="AC192" t="s">
        <v>1794</v>
      </c>
      <c r="AD192" t="s">
        <v>1794</v>
      </c>
      <c r="AE192">
        <v>0</v>
      </c>
      <c r="AF192" t="s">
        <v>1794</v>
      </c>
      <c r="AG192" t="s">
        <v>1794</v>
      </c>
      <c r="AH192" t="s">
        <v>1794</v>
      </c>
    </row>
    <row r="193" spans="1:34" x14ac:dyDescent="0.25">
      <c r="A193" t="s">
        <v>446</v>
      </c>
      <c r="B193" t="s">
        <v>1269</v>
      </c>
      <c r="C193" t="s">
        <v>364</v>
      </c>
      <c r="D193" t="s">
        <v>259</v>
      </c>
      <c r="E193" t="s">
        <v>1794</v>
      </c>
      <c r="F193" t="s">
        <v>447</v>
      </c>
      <c r="G193" t="s">
        <v>1124</v>
      </c>
      <c r="H193" t="s">
        <v>448</v>
      </c>
      <c r="I193" t="s">
        <v>262</v>
      </c>
      <c r="J193" t="s">
        <v>368</v>
      </c>
      <c r="K193">
        <v>4</v>
      </c>
      <c r="L193">
        <v>4</v>
      </c>
      <c r="M193" t="s">
        <v>33</v>
      </c>
      <c r="N193">
        <v>1</v>
      </c>
      <c r="O193">
        <v>4</v>
      </c>
      <c r="P193">
        <v>1</v>
      </c>
      <c r="Q193" t="s">
        <v>52</v>
      </c>
      <c r="R193">
        <v>4</v>
      </c>
      <c r="S193">
        <v>4</v>
      </c>
      <c r="T193">
        <v>4</v>
      </c>
      <c r="U193" t="s">
        <v>1794</v>
      </c>
      <c r="V193" t="s">
        <v>1794</v>
      </c>
      <c r="W193" t="s">
        <v>1794</v>
      </c>
      <c r="X193">
        <v>1</v>
      </c>
      <c r="Y193" t="s">
        <v>1794</v>
      </c>
      <c r="Z193">
        <v>0</v>
      </c>
      <c r="AA193" t="s">
        <v>1794</v>
      </c>
      <c r="AB193" t="s">
        <v>1794</v>
      </c>
      <c r="AC193" t="s">
        <v>1794</v>
      </c>
      <c r="AD193" t="s">
        <v>1794</v>
      </c>
      <c r="AE193">
        <v>0</v>
      </c>
      <c r="AF193" t="s">
        <v>1794</v>
      </c>
      <c r="AG193" t="s">
        <v>1794</v>
      </c>
      <c r="AH193" t="s">
        <v>1794</v>
      </c>
    </row>
    <row r="194" spans="1:34" x14ac:dyDescent="0.25">
      <c r="A194" t="s">
        <v>446</v>
      </c>
      <c r="B194" t="s">
        <v>1269</v>
      </c>
      <c r="C194" t="s">
        <v>364</v>
      </c>
      <c r="D194" t="s">
        <v>259</v>
      </c>
      <c r="E194" t="s">
        <v>1794</v>
      </c>
      <c r="F194" t="s">
        <v>449</v>
      </c>
      <c r="G194" t="s">
        <v>1124</v>
      </c>
      <c r="H194" t="s">
        <v>450</v>
      </c>
      <c r="I194" t="s">
        <v>262</v>
      </c>
      <c r="J194" t="s">
        <v>368</v>
      </c>
      <c r="K194">
        <v>4</v>
      </c>
      <c r="L194">
        <v>4</v>
      </c>
      <c r="M194" t="s">
        <v>33</v>
      </c>
      <c r="N194">
        <v>1</v>
      </c>
      <c r="O194">
        <v>4</v>
      </c>
      <c r="P194">
        <v>1</v>
      </c>
      <c r="Q194" t="s">
        <v>52</v>
      </c>
      <c r="R194">
        <v>4</v>
      </c>
      <c r="S194">
        <v>4</v>
      </c>
      <c r="T194">
        <v>4</v>
      </c>
      <c r="U194" t="s">
        <v>1794</v>
      </c>
      <c r="V194" t="s">
        <v>1794</v>
      </c>
      <c r="W194" t="s">
        <v>1794</v>
      </c>
      <c r="X194">
        <v>1</v>
      </c>
      <c r="Y194" t="s">
        <v>1794</v>
      </c>
      <c r="Z194">
        <v>0</v>
      </c>
      <c r="AA194" t="s">
        <v>1794</v>
      </c>
      <c r="AB194" t="s">
        <v>1794</v>
      </c>
      <c r="AC194" t="s">
        <v>1794</v>
      </c>
      <c r="AD194" t="s">
        <v>1794</v>
      </c>
      <c r="AE194">
        <v>0</v>
      </c>
      <c r="AF194" t="s">
        <v>1794</v>
      </c>
      <c r="AG194" t="s">
        <v>1794</v>
      </c>
      <c r="AH194" t="s">
        <v>1794</v>
      </c>
    </row>
    <row r="195" spans="1:34" x14ac:dyDescent="0.25">
      <c r="A195" t="s">
        <v>638</v>
      </c>
      <c r="B195" t="s">
        <v>1270</v>
      </c>
      <c r="C195" t="s">
        <v>364</v>
      </c>
      <c r="D195" t="s">
        <v>259</v>
      </c>
      <c r="E195" t="s">
        <v>1794</v>
      </c>
      <c r="F195" t="s">
        <v>449</v>
      </c>
      <c r="G195" t="s">
        <v>1124</v>
      </c>
      <c r="H195" t="s">
        <v>450</v>
      </c>
      <c r="I195" t="s">
        <v>262</v>
      </c>
      <c r="J195" t="s">
        <v>368</v>
      </c>
      <c r="K195">
        <v>4</v>
      </c>
      <c r="L195">
        <v>4</v>
      </c>
      <c r="M195" t="s">
        <v>33</v>
      </c>
      <c r="N195">
        <v>1</v>
      </c>
      <c r="O195">
        <v>4</v>
      </c>
      <c r="P195">
        <v>1</v>
      </c>
      <c r="Q195" t="s">
        <v>52</v>
      </c>
      <c r="R195">
        <v>4</v>
      </c>
      <c r="S195">
        <v>4</v>
      </c>
      <c r="T195">
        <v>4</v>
      </c>
      <c r="U195" t="s">
        <v>1794</v>
      </c>
      <c r="V195" t="s">
        <v>1794</v>
      </c>
      <c r="W195" t="s">
        <v>1794</v>
      </c>
      <c r="X195">
        <v>1</v>
      </c>
      <c r="Y195" t="s">
        <v>1794</v>
      </c>
      <c r="Z195">
        <v>0</v>
      </c>
      <c r="AA195" t="s">
        <v>1794</v>
      </c>
      <c r="AB195" t="s">
        <v>1794</v>
      </c>
      <c r="AC195" t="s">
        <v>1794</v>
      </c>
      <c r="AD195" t="s">
        <v>1794</v>
      </c>
      <c r="AE195">
        <v>0</v>
      </c>
      <c r="AF195" t="s">
        <v>1794</v>
      </c>
      <c r="AG195" t="s">
        <v>1794</v>
      </c>
      <c r="AH195" t="s">
        <v>1794</v>
      </c>
    </row>
    <row r="196" spans="1:34" x14ac:dyDescent="0.25">
      <c r="A196" t="s">
        <v>454</v>
      </c>
      <c r="B196" t="s">
        <v>1321</v>
      </c>
      <c r="C196" t="s">
        <v>364</v>
      </c>
      <c r="D196" t="s">
        <v>259</v>
      </c>
      <c r="E196" t="s">
        <v>1794</v>
      </c>
      <c r="F196" t="s">
        <v>449</v>
      </c>
      <c r="G196" t="s">
        <v>1124</v>
      </c>
      <c r="H196" t="s">
        <v>450</v>
      </c>
      <c r="I196" t="s">
        <v>262</v>
      </c>
      <c r="J196" t="s">
        <v>368</v>
      </c>
      <c r="K196">
        <v>4</v>
      </c>
      <c r="L196">
        <v>4</v>
      </c>
      <c r="M196" t="s">
        <v>33</v>
      </c>
      <c r="N196">
        <v>1</v>
      </c>
      <c r="O196">
        <v>4</v>
      </c>
      <c r="P196">
        <v>1</v>
      </c>
      <c r="Q196" t="s">
        <v>52</v>
      </c>
      <c r="R196">
        <v>4</v>
      </c>
      <c r="S196">
        <v>4</v>
      </c>
      <c r="T196">
        <v>4</v>
      </c>
      <c r="U196" t="s">
        <v>1794</v>
      </c>
      <c r="V196" t="s">
        <v>1794</v>
      </c>
      <c r="W196" t="s">
        <v>1794</v>
      </c>
      <c r="X196">
        <v>1</v>
      </c>
      <c r="Y196" t="s">
        <v>1794</v>
      </c>
      <c r="Z196">
        <v>0</v>
      </c>
      <c r="AA196" t="s">
        <v>1794</v>
      </c>
      <c r="AB196" t="s">
        <v>1794</v>
      </c>
      <c r="AC196" t="s">
        <v>1794</v>
      </c>
      <c r="AD196" t="s">
        <v>1794</v>
      </c>
      <c r="AE196">
        <v>0</v>
      </c>
      <c r="AF196" t="s">
        <v>1794</v>
      </c>
      <c r="AG196" t="s">
        <v>1794</v>
      </c>
      <c r="AH196" t="s">
        <v>1794</v>
      </c>
    </row>
    <row r="197" spans="1:34" x14ac:dyDescent="0.25">
      <c r="A197" t="s">
        <v>638</v>
      </c>
      <c r="B197" t="s">
        <v>1270</v>
      </c>
      <c r="C197" t="s">
        <v>364</v>
      </c>
      <c r="D197" t="s">
        <v>259</v>
      </c>
      <c r="E197" t="s">
        <v>1794</v>
      </c>
      <c r="F197" t="s">
        <v>449</v>
      </c>
      <c r="G197" t="s">
        <v>1124</v>
      </c>
      <c r="H197" t="s">
        <v>1808</v>
      </c>
      <c r="I197" t="s">
        <v>262</v>
      </c>
      <c r="J197" t="s">
        <v>451</v>
      </c>
      <c r="K197">
        <v>2</v>
      </c>
      <c r="L197">
        <v>2</v>
      </c>
      <c r="M197" t="s">
        <v>33</v>
      </c>
      <c r="N197">
        <v>1</v>
      </c>
      <c r="O197">
        <v>2</v>
      </c>
      <c r="P197">
        <v>1</v>
      </c>
      <c r="Q197" t="s">
        <v>52</v>
      </c>
      <c r="R197">
        <v>2</v>
      </c>
      <c r="S197">
        <v>2</v>
      </c>
      <c r="T197">
        <v>2</v>
      </c>
      <c r="U197" t="s">
        <v>1794</v>
      </c>
      <c r="V197" t="s">
        <v>1794</v>
      </c>
      <c r="W197" t="s">
        <v>1794</v>
      </c>
      <c r="X197">
        <v>1</v>
      </c>
      <c r="Y197" t="s">
        <v>1794</v>
      </c>
      <c r="Z197">
        <v>0</v>
      </c>
      <c r="AA197" t="s">
        <v>1794</v>
      </c>
      <c r="AB197" t="s">
        <v>1794</v>
      </c>
      <c r="AC197" t="s">
        <v>1794</v>
      </c>
      <c r="AD197" t="s">
        <v>1794</v>
      </c>
      <c r="AE197">
        <v>0</v>
      </c>
      <c r="AF197" t="s">
        <v>1794</v>
      </c>
      <c r="AG197" t="s">
        <v>1794</v>
      </c>
      <c r="AH197" t="s">
        <v>1794</v>
      </c>
    </row>
    <row r="198" spans="1:34" x14ac:dyDescent="0.25">
      <c r="A198" t="s">
        <v>454</v>
      </c>
      <c r="B198" t="s">
        <v>1321</v>
      </c>
      <c r="C198" t="s">
        <v>364</v>
      </c>
      <c r="D198" t="s">
        <v>259</v>
      </c>
      <c r="E198" t="s">
        <v>1794</v>
      </c>
      <c r="F198" t="s">
        <v>449</v>
      </c>
      <c r="G198" t="s">
        <v>1124</v>
      </c>
      <c r="H198" t="s">
        <v>1808</v>
      </c>
      <c r="I198" t="s">
        <v>262</v>
      </c>
      <c r="J198" t="s">
        <v>451</v>
      </c>
      <c r="K198">
        <v>2</v>
      </c>
      <c r="L198">
        <v>2</v>
      </c>
      <c r="M198" t="s">
        <v>33</v>
      </c>
      <c r="N198">
        <v>1</v>
      </c>
      <c r="O198">
        <v>2</v>
      </c>
      <c r="P198">
        <v>1</v>
      </c>
      <c r="Q198" t="s">
        <v>52</v>
      </c>
      <c r="R198">
        <v>2</v>
      </c>
      <c r="S198">
        <v>2</v>
      </c>
      <c r="T198">
        <v>2</v>
      </c>
      <c r="U198" t="s">
        <v>1794</v>
      </c>
      <c r="V198" t="s">
        <v>1794</v>
      </c>
      <c r="W198" t="s">
        <v>1794</v>
      </c>
      <c r="X198">
        <v>1</v>
      </c>
      <c r="Y198" t="s">
        <v>1794</v>
      </c>
      <c r="Z198">
        <v>0</v>
      </c>
      <c r="AA198" t="s">
        <v>1794</v>
      </c>
      <c r="AB198" t="s">
        <v>1794</v>
      </c>
      <c r="AC198" t="s">
        <v>1794</v>
      </c>
      <c r="AD198" t="s">
        <v>1794</v>
      </c>
      <c r="AE198">
        <v>0</v>
      </c>
      <c r="AF198" t="s">
        <v>1794</v>
      </c>
      <c r="AG198" t="s">
        <v>1794</v>
      </c>
      <c r="AH198" t="s">
        <v>1794</v>
      </c>
    </row>
    <row r="199" spans="1:34" x14ac:dyDescent="0.25">
      <c r="A199" t="s">
        <v>638</v>
      </c>
      <c r="B199" t="s">
        <v>1270</v>
      </c>
      <c r="C199" t="s">
        <v>364</v>
      </c>
      <c r="D199" t="s">
        <v>259</v>
      </c>
      <c r="E199" t="s">
        <v>1794</v>
      </c>
      <c r="F199" t="s">
        <v>452</v>
      </c>
      <c r="G199" t="s">
        <v>1124</v>
      </c>
      <c r="H199" t="s">
        <v>1809</v>
      </c>
      <c r="I199" t="s">
        <v>262</v>
      </c>
      <c r="J199" t="s">
        <v>453</v>
      </c>
      <c r="K199">
        <v>1</v>
      </c>
      <c r="L199">
        <v>2</v>
      </c>
      <c r="M199" t="s">
        <v>33</v>
      </c>
      <c r="N199">
        <v>1</v>
      </c>
      <c r="O199">
        <v>2</v>
      </c>
      <c r="P199">
        <v>1</v>
      </c>
      <c r="Q199" t="s">
        <v>52</v>
      </c>
      <c r="R199">
        <v>2</v>
      </c>
      <c r="S199">
        <v>2</v>
      </c>
      <c r="T199">
        <v>2</v>
      </c>
      <c r="U199" t="s">
        <v>1794</v>
      </c>
      <c r="V199" t="s">
        <v>1794</v>
      </c>
      <c r="W199" t="s">
        <v>1794</v>
      </c>
      <c r="X199">
        <v>1</v>
      </c>
      <c r="Y199" t="s">
        <v>1794</v>
      </c>
      <c r="Z199">
        <v>0</v>
      </c>
      <c r="AA199" t="s">
        <v>1794</v>
      </c>
      <c r="AB199" t="s">
        <v>1794</v>
      </c>
      <c r="AC199" t="s">
        <v>1794</v>
      </c>
      <c r="AD199" t="s">
        <v>1794</v>
      </c>
      <c r="AE199">
        <v>0</v>
      </c>
      <c r="AF199" t="s">
        <v>1794</v>
      </c>
      <c r="AG199" t="s">
        <v>1794</v>
      </c>
      <c r="AH199" t="s">
        <v>1794</v>
      </c>
    </row>
    <row r="200" spans="1:34" x14ac:dyDescent="0.25">
      <c r="A200" t="s">
        <v>454</v>
      </c>
      <c r="B200" t="s">
        <v>1321</v>
      </c>
      <c r="C200" t="s">
        <v>364</v>
      </c>
      <c r="D200" t="s">
        <v>259</v>
      </c>
      <c r="E200" t="s">
        <v>1794</v>
      </c>
      <c r="F200" t="s">
        <v>452</v>
      </c>
      <c r="G200" t="s">
        <v>1124</v>
      </c>
      <c r="H200" t="s">
        <v>1809</v>
      </c>
      <c r="I200" t="s">
        <v>262</v>
      </c>
      <c r="J200" t="s">
        <v>453</v>
      </c>
      <c r="K200">
        <v>1</v>
      </c>
      <c r="L200">
        <v>2</v>
      </c>
      <c r="M200" t="s">
        <v>33</v>
      </c>
      <c r="N200">
        <v>1</v>
      </c>
      <c r="O200">
        <v>2</v>
      </c>
      <c r="P200">
        <v>1</v>
      </c>
      <c r="Q200" t="s">
        <v>52</v>
      </c>
      <c r="R200">
        <v>2</v>
      </c>
      <c r="S200">
        <v>2</v>
      </c>
      <c r="T200">
        <v>2</v>
      </c>
      <c r="U200" t="s">
        <v>1794</v>
      </c>
      <c r="V200" t="s">
        <v>1794</v>
      </c>
      <c r="W200" t="s">
        <v>1794</v>
      </c>
      <c r="X200">
        <v>1</v>
      </c>
      <c r="Y200" t="s">
        <v>1794</v>
      </c>
      <c r="Z200">
        <v>0</v>
      </c>
      <c r="AA200" t="s">
        <v>1794</v>
      </c>
      <c r="AB200" t="s">
        <v>1794</v>
      </c>
      <c r="AC200" t="s">
        <v>1794</v>
      </c>
      <c r="AD200" t="s">
        <v>1794</v>
      </c>
      <c r="AE200">
        <v>0</v>
      </c>
      <c r="AF200" t="s">
        <v>1794</v>
      </c>
      <c r="AG200" t="s">
        <v>1794</v>
      </c>
      <c r="AH200" t="s">
        <v>1794</v>
      </c>
    </row>
    <row r="201" spans="1:34" x14ac:dyDescent="0.25">
      <c r="A201" t="s">
        <v>454</v>
      </c>
      <c r="B201" t="s">
        <v>1321</v>
      </c>
      <c r="C201" t="s">
        <v>364</v>
      </c>
      <c r="D201" t="s">
        <v>259</v>
      </c>
      <c r="E201" t="s">
        <v>1794</v>
      </c>
      <c r="F201" t="s">
        <v>455</v>
      </c>
      <c r="G201" t="s">
        <v>1124</v>
      </c>
      <c r="H201" t="s">
        <v>456</v>
      </c>
      <c r="I201" t="s">
        <v>262</v>
      </c>
      <c r="J201" t="s">
        <v>301</v>
      </c>
      <c r="K201">
        <v>1</v>
      </c>
      <c r="L201">
        <v>1</v>
      </c>
      <c r="M201" t="s">
        <v>33</v>
      </c>
      <c r="N201">
        <v>1</v>
      </c>
      <c r="O201">
        <v>1</v>
      </c>
      <c r="P201">
        <v>1</v>
      </c>
      <c r="Q201" t="s">
        <v>52</v>
      </c>
      <c r="R201">
        <v>1</v>
      </c>
      <c r="S201">
        <v>1</v>
      </c>
      <c r="T201">
        <v>1</v>
      </c>
      <c r="U201" t="s">
        <v>1794</v>
      </c>
      <c r="V201" t="s">
        <v>1794</v>
      </c>
      <c r="W201" t="s">
        <v>1794</v>
      </c>
      <c r="X201">
        <v>1</v>
      </c>
      <c r="Y201" t="s">
        <v>1794</v>
      </c>
      <c r="Z201">
        <v>0</v>
      </c>
      <c r="AA201" t="s">
        <v>1794</v>
      </c>
      <c r="AB201" t="s">
        <v>1794</v>
      </c>
      <c r="AC201" t="s">
        <v>1794</v>
      </c>
      <c r="AD201" t="s">
        <v>1794</v>
      </c>
      <c r="AE201">
        <v>0</v>
      </c>
      <c r="AF201" t="s">
        <v>1794</v>
      </c>
      <c r="AG201" t="s">
        <v>1794</v>
      </c>
      <c r="AH201" t="s">
        <v>1794</v>
      </c>
    </row>
    <row r="202" spans="1:34" x14ac:dyDescent="0.25">
      <c r="A202" t="s">
        <v>454</v>
      </c>
      <c r="B202" t="s">
        <v>1321</v>
      </c>
      <c r="C202" t="s">
        <v>364</v>
      </c>
      <c r="D202" t="s">
        <v>259</v>
      </c>
      <c r="E202" t="s">
        <v>1794</v>
      </c>
      <c r="F202" t="s">
        <v>457</v>
      </c>
      <c r="G202" t="s">
        <v>1124</v>
      </c>
      <c r="H202" t="s">
        <v>458</v>
      </c>
      <c r="I202" t="s">
        <v>262</v>
      </c>
      <c r="J202" t="s">
        <v>301</v>
      </c>
      <c r="K202">
        <v>1</v>
      </c>
      <c r="L202">
        <v>1</v>
      </c>
      <c r="M202" t="s">
        <v>33</v>
      </c>
      <c r="N202">
        <v>1</v>
      </c>
      <c r="O202">
        <v>1</v>
      </c>
      <c r="P202">
        <v>1</v>
      </c>
      <c r="Q202" t="s">
        <v>52</v>
      </c>
      <c r="R202">
        <v>1</v>
      </c>
      <c r="S202">
        <v>1</v>
      </c>
      <c r="T202">
        <v>1</v>
      </c>
      <c r="U202" t="s">
        <v>1794</v>
      </c>
      <c r="V202" t="s">
        <v>1794</v>
      </c>
      <c r="W202" t="s">
        <v>1794</v>
      </c>
      <c r="X202">
        <v>1</v>
      </c>
      <c r="Y202" t="s">
        <v>1794</v>
      </c>
      <c r="Z202">
        <v>0</v>
      </c>
      <c r="AA202" t="s">
        <v>1794</v>
      </c>
      <c r="AB202" t="s">
        <v>1794</v>
      </c>
      <c r="AC202" t="s">
        <v>1794</v>
      </c>
      <c r="AD202" t="s">
        <v>1794</v>
      </c>
      <c r="AE202">
        <v>0</v>
      </c>
      <c r="AF202" t="s">
        <v>1794</v>
      </c>
      <c r="AG202" t="s">
        <v>1794</v>
      </c>
      <c r="AH202" t="s">
        <v>1794</v>
      </c>
    </row>
    <row r="203" spans="1:34" x14ac:dyDescent="0.25">
      <c r="A203" t="s">
        <v>459</v>
      </c>
      <c r="B203" t="s">
        <v>1262</v>
      </c>
      <c r="C203" t="s">
        <v>460</v>
      </c>
      <c r="D203" t="s">
        <v>259</v>
      </c>
      <c r="E203" t="s">
        <v>1794</v>
      </c>
      <c r="F203" t="s">
        <v>461</v>
      </c>
      <c r="G203" t="s">
        <v>1124</v>
      </c>
      <c r="H203" t="s">
        <v>462</v>
      </c>
      <c r="I203" t="s">
        <v>262</v>
      </c>
      <c r="J203" t="s">
        <v>289</v>
      </c>
      <c r="K203">
        <v>1</v>
      </c>
      <c r="L203">
        <v>8</v>
      </c>
      <c r="M203" t="s">
        <v>33</v>
      </c>
      <c r="N203">
        <v>1</v>
      </c>
      <c r="O203">
        <v>0</v>
      </c>
      <c r="P203">
        <v>0</v>
      </c>
      <c r="Q203" t="s">
        <v>52</v>
      </c>
      <c r="R203">
        <v>8</v>
      </c>
      <c r="S203">
        <v>8</v>
      </c>
      <c r="T203">
        <v>8</v>
      </c>
      <c r="U203" t="s">
        <v>1794</v>
      </c>
      <c r="V203" t="s">
        <v>1794</v>
      </c>
      <c r="W203" t="s">
        <v>1794</v>
      </c>
      <c r="X203">
        <v>1</v>
      </c>
      <c r="Y203" t="s">
        <v>1794</v>
      </c>
      <c r="Z203">
        <v>0</v>
      </c>
      <c r="AA203" t="s">
        <v>1794</v>
      </c>
      <c r="AB203" t="s">
        <v>1794</v>
      </c>
      <c r="AC203" t="s">
        <v>1794</v>
      </c>
      <c r="AD203" t="s">
        <v>1794</v>
      </c>
      <c r="AE203">
        <v>0</v>
      </c>
      <c r="AF203" t="s">
        <v>1794</v>
      </c>
      <c r="AG203" t="s">
        <v>1794</v>
      </c>
      <c r="AH203" t="s">
        <v>1794</v>
      </c>
    </row>
    <row r="204" spans="1:34" x14ac:dyDescent="0.25">
      <c r="A204" t="s">
        <v>464</v>
      </c>
      <c r="B204" t="s">
        <v>1264</v>
      </c>
      <c r="C204" t="s">
        <v>306</v>
      </c>
      <c r="D204" t="s">
        <v>259</v>
      </c>
      <c r="E204" t="s">
        <v>1794</v>
      </c>
      <c r="F204" t="s">
        <v>465</v>
      </c>
      <c r="G204" t="s">
        <v>1124</v>
      </c>
      <c r="H204" t="s">
        <v>466</v>
      </c>
      <c r="I204" t="s">
        <v>262</v>
      </c>
      <c r="J204" t="s">
        <v>467</v>
      </c>
      <c r="K204">
        <v>1</v>
      </c>
      <c r="L204">
        <v>1</v>
      </c>
      <c r="M204" t="s">
        <v>33</v>
      </c>
      <c r="N204">
        <v>1</v>
      </c>
      <c r="O204">
        <v>1</v>
      </c>
      <c r="P204">
        <v>1</v>
      </c>
      <c r="Q204" t="s">
        <v>52</v>
      </c>
      <c r="R204">
        <v>1</v>
      </c>
      <c r="S204">
        <v>1</v>
      </c>
      <c r="T204">
        <v>1</v>
      </c>
      <c r="U204" t="s">
        <v>1794</v>
      </c>
      <c r="V204" t="s">
        <v>1794</v>
      </c>
      <c r="W204" t="s">
        <v>1794</v>
      </c>
      <c r="X204">
        <v>1</v>
      </c>
      <c r="Y204" t="s">
        <v>1794</v>
      </c>
      <c r="Z204">
        <v>0</v>
      </c>
      <c r="AA204" t="s">
        <v>1794</v>
      </c>
      <c r="AB204" t="s">
        <v>1794</v>
      </c>
      <c r="AC204" t="s">
        <v>1794</v>
      </c>
      <c r="AD204" t="s">
        <v>1794</v>
      </c>
      <c r="AE204">
        <v>0</v>
      </c>
      <c r="AF204" t="s">
        <v>1794</v>
      </c>
      <c r="AG204" t="s">
        <v>1794</v>
      </c>
      <c r="AH204" t="s">
        <v>1794</v>
      </c>
    </row>
    <row r="205" spans="1:34" x14ac:dyDescent="0.25">
      <c r="A205" t="s">
        <v>464</v>
      </c>
      <c r="B205" t="s">
        <v>1264</v>
      </c>
      <c r="C205" t="s">
        <v>306</v>
      </c>
      <c r="D205" t="s">
        <v>259</v>
      </c>
      <c r="E205" t="s">
        <v>1794</v>
      </c>
      <c r="F205" t="s">
        <v>468</v>
      </c>
      <c r="G205" t="s">
        <v>1124</v>
      </c>
      <c r="H205" t="s">
        <v>469</v>
      </c>
      <c r="I205" t="s">
        <v>262</v>
      </c>
      <c r="J205" t="s">
        <v>470</v>
      </c>
      <c r="K205">
        <v>1</v>
      </c>
      <c r="L205">
        <v>1</v>
      </c>
      <c r="M205" t="s">
        <v>33</v>
      </c>
      <c r="N205">
        <v>1</v>
      </c>
      <c r="O205">
        <v>1</v>
      </c>
      <c r="P205">
        <v>1</v>
      </c>
      <c r="Q205" t="s">
        <v>52</v>
      </c>
      <c r="R205">
        <v>1</v>
      </c>
      <c r="S205">
        <v>1</v>
      </c>
      <c r="T205">
        <v>1</v>
      </c>
      <c r="U205" t="s">
        <v>1794</v>
      </c>
      <c r="V205" t="s">
        <v>1794</v>
      </c>
      <c r="W205" t="s">
        <v>1794</v>
      </c>
      <c r="X205">
        <v>1</v>
      </c>
      <c r="Y205" t="s">
        <v>1794</v>
      </c>
      <c r="Z205">
        <v>0</v>
      </c>
      <c r="AA205" t="s">
        <v>1794</v>
      </c>
      <c r="AB205" t="s">
        <v>1794</v>
      </c>
      <c r="AC205" t="s">
        <v>1794</v>
      </c>
      <c r="AD205" t="s">
        <v>1794</v>
      </c>
      <c r="AE205">
        <v>0</v>
      </c>
      <c r="AF205" t="s">
        <v>1794</v>
      </c>
      <c r="AG205" t="s">
        <v>1794</v>
      </c>
      <c r="AH205" t="s">
        <v>1794</v>
      </c>
    </row>
    <row r="206" spans="1:34" x14ac:dyDescent="0.25">
      <c r="A206" t="s">
        <v>464</v>
      </c>
      <c r="B206" t="s">
        <v>1264</v>
      </c>
      <c r="C206" t="s">
        <v>306</v>
      </c>
      <c r="D206" t="s">
        <v>259</v>
      </c>
      <c r="E206" t="s">
        <v>1794</v>
      </c>
      <c r="F206" t="s">
        <v>471</v>
      </c>
      <c r="G206" t="s">
        <v>1124</v>
      </c>
      <c r="H206" t="s">
        <v>472</v>
      </c>
      <c r="I206" t="s">
        <v>262</v>
      </c>
      <c r="J206" t="s">
        <v>473</v>
      </c>
      <c r="K206">
        <v>1</v>
      </c>
      <c r="L206">
        <v>1</v>
      </c>
      <c r="M206" t="s">
        <v>33</v>
      </c>
      <c r="N206">
        <v>1</v>
      </c>
      <c r="O206">
        <v>1</v>
      </c>
      <c r="P206">
        <v>1</v>
      </c>
      <c r="Q206" t="s">
        <v>52</v>
      </c>
      <c r="R206">
        <v>1</v>
      </c>
      <c r="S206">
        <v>1</v>
      </c>
      <c r="T206">
        <v>1</v>
      </c>
      <c r="U206" t="s">
        <v>1794</v>
      </c>
      <c r="V206" t="s">
        <v>1794</v>
      </c>
      <c r="W206" t="s">
        <v>1794</v>
      </c>
      <c r="X206">
        <v>1</v>
      </c>
      <c r="Y206" t="s">
        <v>1794</v>
      </c>
      <c r="Z206">
        <v>0</v>
      </c>
      <c r="AA206" t="s">
        <v>1794</v>
      </c>
      <c r="AB206" t="s">
        <v>1794</v>
      </c>
      <c r="AC206" t="s">
        <v>1794</v>
      </c>
      <c r="AD206" t="s">
        <v>1794</v>
      </c>
      <c r="AE206">
        <v>0</v>
      </c>
      <c r="AF206" t="s">
        <v>1794</v>
      </c>
      <c r="AG206" t="s">
        <v>1794</v>
      </c>
      <c r="AH206" t="s">
        <v>1794</v>
      </c>
    </row>
    <row r="207" spans="1:34" x14ac:dyDescent="0.25">
      <c r="A207" t="s">
        <v>464</v>
      </c>
      <c r="B207" t="s">
        <v>1264</v>
      </c>
      <c r="C207" t="s">
        <v>306</v>
      </c>
      <c r="D207" t="s">
        <v>259</v>
      </c>
      <c r="E207" t="s">
        <v>1794</v>
      </c>
      <c r="F207" t="s">
        <v>474</v>
      </c>
      <c r="G207" t="s">
        <v>1124</v>
      </c>
      <c r="H207" t="s">
        <v>475</v>
      </c>
      <c r="I207" t="s">
        <v>262</v>
      </c>
      <c r="J207" t="s">
        <v>476</v>
      </c>
      <c r="K207">
        <v>1</v>
      </c>
      <c r="L207">
        <v>1</v>
      </c>
      <c r="M207" t="s">
        <v>33</v>
      </c>
      <c r="N207">
        <v>1</v>
      </c>
      <c r="O207">
        <v>1</v>
      </c>
      <c r="P207">
        <v>1</v>
      </c>
      <c r="Q207" t="s">
        <v>52</v>
      </c>
      <c r="R207">
        <v>1</v>
      </c>
      <c r="S207">
        <v>1</v>
      </c>
      <c r="T207">
        <v>1</v>
      </c>
      <c r="U207" t="s">
        <v>1794</v>
      </c>
      <c r="V207" t="s">
        <v>1794</v>
      </c>
      <c r="W207" t="s">
        <v>1794</v>
      </c>
      <c r="X207">
        <v>1</v>
      </c>
      <c r="Y207" t="s">
        <v>1794</v>
      </c>
      <c r="Z207">
        <v>0</v>
      </c>
      <c r="AA207" t="s">
        <v>1794</v>
      </c>
      <c r="AB207" t="s">
        <v>1794</v>
      </c>
      <c r="AC207" t="s">
        <v>1794</v>
      </c>
      <c r="AD207" t="s">
        <v>1794</v>
      </c>
      <c r="AE207">
        <v>0</v>
      </c>
      <c r="AF207" t="s">
        <v>1794</v>
      </c>
      <c r="AG207" t="s">
        <v>1794</v>
      </c>
      <c r="AH207" t="s">
        <v>1794</v>
      </c>
    </row>
    <row r="208" spans="1:34" x14ac:dyDescent="0.25">
      <c r="A208" t="s">
        <v>464</v>
      </c>
      <c r="B208" t="s">
        <v>1264</v>
      </c>
      <c r="C208" t="s">
        <v>306</v>
      </c>
      <c r="D208" t="s">
        <v>259</v>
      </c>
      <c r="E208" t="s">
        <v>1794</v>
      </c>
      <c r="F208" t="s">
        <v>477</v>
      </c>
      <c r="G208" t="s">
        <v>1124</v>
      </c>
      <c r="H208" t="s">
        <v>478</v>
      </c>
      <c r="I208" t="s">
        <v>262</v>
      </c>
      <c r="J208" t="s">
        <v>476</v>
      </c>
      <c r="K208">
        <v>1</v>
      </c>
      <c r="L208">
        <v>1</v>
      </c>
      <c r="M208" t="s">
        <v>33</v>
      </c>
      <c r="N208">
        <v>1</v>
      </c>
      <c r="O208">
        <v>1</v>
      </c>
      <c r="P208">
        <v>1</v>
      </c>
      <c r="Q208" t="s">
        <v>52</v>
      </c>
      <c r="R208">
        <v>1</v>
      </c>
      <c r="S208">
        <v>1</v>
      </c>
      <c r="T208">
        <v>1</v>
      </c>
      <c r="U208" t="s">
        <v>1794</v>
      </c>
      <c r="V208" t="s">
        <v>1794</v>
      </c>
      <c r="W208" t="s">
        <v>1794</v>
      </c>
      <c r="X208">
        <v>1</v>
      </c>
      <c r="Y208" t="s">
        <v>1794</v>
      </c>
      <c r="Z208">
        <v>0</v>
      </c>
      <c r="AA208" t="s">
        <v>1794</v>
      </c>
      <c r="AB208" t="s">
        <v>1794</v>
      </c>
      <c r="AC208" t="s">
        <v>1794</v>
      </c>
      <c r="AD208" t="s">
        <v>1794</v>
      </c>
      <c r="AE208">
        <v>0</v>
      </c>
      <c r="AF208" t="s">
        <v>1794</v>
      </c>
      <c r="AG208" t="s">
        <v>1794</v>
      </c>
      <c r="AH208" t="s">
        <v>1794</v>
      </c>
    </row>
    <row r="209" spans="1:34" x14ac:dyDescent="0.25">
      <c r="A209" t="s">
        <v>464</v>
      </c>
      <c r="B209" t="s">
        <v>1264</v>
      </c>
      <c r="C209" t="s">
        <v>306</v>
      </c>
      <c r="D209" t="s">
        <v>259</v>
      </c>
      <c r="E209" t="s">
        <v>1794</v>
      </c>
      <c r="F209" t="s">
        <v>479</v>
      </c>
      <c r="G209" t="s">
        <v>1124</v>
      </c>
      <c r="H209" t="s">
        <v>480</v>
      </c>
      <c r="I209" t="s">
        <v>262</v>
      </c>
      <c r="J209" t="s">
        <v>481</v>
      </c>
      <c r="K209">
        <v>1</v>
      </c>
      <c r="L209">
        <v>1</v>
      </c>
      <c r="M209" t="s">
        <v>33</v>
      </c>
      <c r="N209">
        <v>1</v>
      </c>
      <c r="O209">
        <v>1</v>
      </c>
      <c r="P209">
        <v>1</v>
      </c>
      <c r="Q209" t="s">
        <v>52</v>
      </c>
      <c r="R209">
        <v>1</v>
      </c>
      <c r="S209">
        <v>1</v>
      </c>
      <c r="T209">
        <v>1</v>
      </c>
      <c r="U209" t="s">
        <v>1794</v>
      </c>
      <c r="V209" t="s">
        <v>1794</v>
      </c>
      <c r="W209" t="s">
        <v>1794</v>
      </c>
      <c r="X209">
        <v>1</v>
      </c>
      <c r="Y209" t="s">
        <v>1794</v>
      </c>
      <c r="Z209">
        <v>0</v>
      </c>
      <c r="AA209" t="s">
        <v>1794</v>
      </c>
      <c r="AB209" t="s">
        <v>1794</v>
      </c>
      <c r="AC209" t="s">
        <v>1794</v>
      </c>
      <c r="AD209" t="s">
        <v>1794</v>
      </c>
      <c r="AE209">
        <v>0</v>
      </c>
      <c r="AF209" t="s">
        <v>1794</v>
      </c>
      <c r="AG209" t="s">
        <v>1794</v>
      </c>
      <c r="AH209" t="s">
        <v>1794</v>
      </c>
    </row>
    <row r="210" spans="1:34" x14ac:dyDescent="0.25">
      <c r="A210" t="s">
        <v>464</v>
      </c>
      <c r="B210" t="s">
        <v>1264</v>
      </c>
      <c r="C210" t="s">
        <v>306</v>
      </c>
      <c r="D210" t="s">
        <v>259</v>
      </c>
      <c r="E210" t="s">
        <v>1794</v>
      </c>
      <c r="F210" t="s">
        <v>482</v>
      </c>
      <c r="G210" t="s">
        <v>1124</v>
      </c>
      <c r="H210" t="s">
        <v>483</v>
      </c>
      <c r="I210" t="s">
        <v>262</v>
      </c>
      <c r="J210" t="s">
        <v>476</v>
      </c>
      <c r="K210">
        <v>1</v>
      </c>
      <c r="L210">
        <v>1</v>
      </c>
      <c r="M210" t="s">
        <v>33</v>
      </c>
      <c r="N210">
        <v>1</v>
      </c>
      <c r="O210">
        <v>1</v>
      </c>
      <c r="P210">
        <v>1</v>
      </c>
      <c r="Q210" t="s">
        <v>52</v>
      </c>
      <c r="R210">
        <v>1</v>
      </c>
      <c r="S210">
        <v>1</v>
      </c>
      <c r="T210">
        <v>1</v>
      </c>
      <c r="U210" t="s">
        <v>1794</v>
      </c>
      <c r="V210" t="s">
        <v>1794</v>
      </c>
      <c r="W210" t="s">
        <v>1794</v>
      </c>
      <c r="X210">
        <v>1</v>
      </c>
      <c r="Y210" t="s">
        <v>1794</v>
      </c>
      <c r="Z210">
        <v>0</v>
      </c>
      <c r="AA210" t="s">
        <v>1794</v>
      </c>
      <c r="AB210" t="s">
        <v>1794</v>
      </c>
      <c r="AC210" t="s">
        <v>1794</v>
      </c>
      <c r="AD210" t="s">
        <v>1794</v>
      </c>
      <c r="AE210">
        <v>0</v>
      </c>
      <c r="AF210" t="s">
        <v>1794</v>
      </c>
      <c r="AG210" t="s">
        <v>1794</v>
      </c>
      <c r="AH210" t="s">
        <v>1794</v>
      </c>
    </row>
    <row r="211" spans="1:34" x14ac:dyDescent="0.25">
      <c r="A211" t="s">
        <v>1266</v>
      </c>
      <c r="B211" t="s">
        <v>1267</v>
      </c>
      <c r="C211" t="s">
        <v>306</v>
      </c>
      <c r="D211" t="s">
        <v>259</v>
      </c>
      <c r="E211" t="s">
        <v>1794</v>
      </c>
      <c r="F211" t="s">
        <v>484</v>
      </c>
      <c r="G211" t="s">
        <v>1124</v>
      </c>
      <c r="H211" t="s">
        <v>485</v>
      </c>
      <c r="I211" t="s">
        <v>262</v>
      </c>
      <c r="J211" t="s">
        <v>279</v>
      </c>
      <c r="K211">
        <v>1</v>
      </c>
      <c r="L211">
        <v>1</v>
      </c>
      <c r="M211" t="s">
        <v>33</v>
      </c>
      <c r="N211">
        <v>1</v>
      </c>
      <c r="O211">
        <v>1</v>
      </c>
      <c r="P211">
        <v>1</v>
      </c>
      <c r="Q211" t="s">
        <v>52</v>
      </c>
      <c r="R211">
        <v>1</v>
      </c>
      <c r="S211">
        <v>1</v>
      </c>
      <c r="T211">
        <v>1</v>
      </c>
      <c r="U211" t="s">
        <v>1794</v>
      </c>
      <c r="V211" t="s">
        <v>1794</v>
      </c>
      <c r="W211" t="s">
        <v>1794</v>
      </c>
      <c r="X211">
        <v>1</v>
      </c>
      <c r="Y211" t="s">
        <v>1794</v>
      </c>
      <c r="Z211">
        <v>0</v>
      </c>
      <c r="AA211" t="s">
        <v>1794</v>
      </c>
      <c r="AB211" t="s">
        <v>1794</v>
      </c>
      <c r="AC211" t="s">
        <v>1794</v>
      </c>
      <c r="AD211" t="s">
        <v>1794</v>
      </c>
      <c r="AE211">
        <v>0</v>
      </c>
      <c r="AF211" t="s">
        <v>1794</v>
      </c>
      <c r="AG211" t="s">
        <v>1794</v>
      </c>
      <c r="AH211" t="s">
        <v>1794</v>
      </c>
    </row>
    <row r="212" spans="1:34" ht="29.1" customHeight="1" x14ac:dyDescent="0.25">
      <c r="A212" t="s">
        <v>491</v>
      </c>
      <c r="B212" t="s">
        <v>488</v>
      </c>
      <c r="C212" t="s">
        <v>306</v>
      </c>
      <c r="D212" t="s">
        <v>259</v>
      </c>
      <c r="E212" t="s">
        <v>1794</v>
      </c>
      <c r="F212" t="s">
        <v>484</v>
      </c>
      <c r="G212" t="s">
        <v>1124</v>
      </c>
      <c r="H212" t="s">
        <v>485</v>
      </c>
      <c r="I212" t="s">
        <v>262</v>
      </c>
      <c r="J212" t="s">
        <v>279</v>
      </c>
      <c r="K212">
        <v>1</v>
      </c>
      <c r="L212">
        <v>1</v>
      </c>
      <c r="M212" t="s">
        <v>33</v>
      </c>
      <c r="N212">
        <v>1</v>
      </c>
      <c r="O212">
        <v>1</v>
      </c>
      <c r="P212">
        <v>1</v>
      </c>
      <c r="Q212" t="s">
        <v>52</v>
      </c>
      <c r="R212">
        <v>1</v>
      </c>
      <c r="S212">
        <v>1</v>
      </c>
      <c r="T212">
        <v>1</v>
      </c>
      <c r="U212" t="s">
        <v>1794</v>
      </c>
      <c r="V212" t="s">
        <v>1794</v>
      </c>
      <c r="W212" t="s">
        <v>1794</v>
      </c>
      <c r="X212">
        <v>1</v>
      </c>
      <c r="Y212" t="s">
        <v>1794</v>
      </c>
      <c r="Z212">
        <v>0</v>
      </c>
      <c r="AA212" t="s">
        <v>1794</v>
      </c>
      <c r="AB212" t="s">
        <v>1794</v>
      </c>
      <c r="AC212" t="s">
        <v>1794</v>
      </c>
      <c r="AD212" t="s">
        <v>1794</v>
      </c>
      <c r="AE212">
        <v>0</v>
      </c>
      <c r="AF212" t="s">
        <v>1794</v>
      </c>
      <c r="AG212" t="s">
        <v>1794</v>
      </c>
      <c r="AH212" t="s">
        <v>1794</v>
      </c>
    </row>
    <row r="213" spans="1:34" ht="29.1" customHeight="1" x14ac:dyDescent="0.25">
      <c r="A213" t="s">
        <v>1266</v>
      </c>
      <c r="B213" t="s">
        <v>1267</v>
      </c>
      <c r="C213" t="s">
        <v>306</v>
      </c>
      <c r="D213" t="s">
        <v>259</v>
      </c>
      <c r="E213" t="s">
        <v>1794</v>
      </c>
      <c r="F213" t="s">
        <v>486</v>
      </c>
      <c r="G213" t="s">
        <v>1124</v>
      </c>
      <c r="H213" t="s">
        <v>487</v>
      </c>
      <c r="I213" t="s">
        <v>262</v>
      </c>
      <c r="J213" t="s">
        <v>301</v>
      </c>
      <c r="K213">
        <v>1</v>
      </c>
      <c r="L213">
        <v>1</v>
      </c>
      <c r="M213" t="s">
        <v>33</v>
      </c>
      <c r="N213">
        <v>1</v>
      </c>
      <c r="O213">
        <v>1</v>
      </c>
      <c r="P213">
        <v>1</v>
      </c>
      <c r="Q213" t="s">
        <v>52</v>
      </c>
      <c r="R213">
        <v>1</v>
      </c>
      <c r="S213">
        <v>1</v>
      </c>
      <c r="T213">
        <v>1</v>
      </c>
      <c r="U213" t="s">
        <v>1794</v>
      </c>
      <c r="V213" t="s">
        <v>1794</v>
      </c>
      <c r="W213" t="s">
        <v>1794</v>
      </c>
      <c r="X213">
        <v>1</v>
      </c>
      <c r="Y213" t="s">
        <v>1794</v>
      </c>
      <c r="Z213">
        <v>0</v>
      </c>
      <c r="AA213" t="s">
        <v>1794</v>
      </c>
      <c r="AB213" t="s">
        <v>1794</v>
      </c>
      <c r="AC213" t="s">
        <v>1794</v>
      </c>
      <c r="AD213" t="s">
        <v>1794</v>
      </c>
      <c r="AE213">
        <v>0</v>
      </c>
      <c r="AF213" t="s">
        <v>1794</v>
      </c>
      <c r="AG213" t="s">
        <v>1794</v>
      </c>
      <c r="AH213" t="s">
        <v>1794</v>
      </c>
    </row>
    <row r="214" spans="1:34" x14ac:dyDescent="0.25">
      <c r="A214" t="s">
        <v>491</v>
      </c>
      <c r="B214" t="s">
        <v>488</v>
      </c>
      <c r="C214" t="s">
        <v>306</v>
      </c>
      <c r="D214" t="s">
        <v>259</v>
      </c>
      <c r="E214" t="s">
        <v>1794</v>
      </c>
      <c r="F214" t="s">
        <v>486</v>
      </c>
      <c r="G214" t="s">
        <v>1124</v>
      </c>
      <c r="H214" t="s">
        <v>487</v>
      </c>
      <c r="I214" t="s">
        <v>262</v>
      </c>
      <c r="J214" t="s">
        <v>301</v>
      </c>
      <c r="K214">
        <v>1</v>
      </c>
      <c r="L214">
        <v>1</v>
      </c>
      <c r="M214" t="s">
        <v>33</v>
      </c>
      <c r="N214">
        <v>1</v>
      </c>
      <c r="O214">
        <v>1</v>
      </c>
      <c r="P214">
        <v>1</v>
      </c>
      <c r="Q214" t="s">
        <v>52</v>
      </c>
      <c r="R214">
        <v>1</v>
      </c>
      <c r="S214">
        <v>1</v>
      </c>
      <c r="T214">
        <v>1</v>
      </c>
      <c r="U214" t="s">
        <v>1794</v>
      </c>
      <c r="V214" t="s">
        <v>1794</v>
      </c>
      <c r="W214" t="s">
        <v>1794</v>
      </c>
      <c r="X214">
        <v>1</v>
      </c>
      <c r="Y214" t="s">
        <v>1794</v>
      </c>
      <c r="Z214">
        <v>0</v>
      </c>
      <c r="AA214" t="s">
        <v>1794</v>
      </c>
      <c r="AB214" t="s">
        <v>1794</v>
      </c>
      <c r="AC214" t="s">
        <v>1794</v>
      </c>
      <c r="AD214" t="s">
        <v>1794</v>
      </c>
      <c r="AE214">
        <v>0</v>
      </c>
      <c r="AF214" t="s">
        <v>1794</v>
      </c>
      <c r="AG214" t="s">
        <v>1794</v>
      </c>
      <c r="AH214" t="s">
        <v>1794</v>
      </c>
    </row>
    <row r="215" spans="1:34" x14ac:dyDescent="0.25">
      <c r="A215" t="s">
        <v>1266</v>
      </c>
      <c r="B215" t="s">
        <v>1267</v>
      </c>
      <c r="C215" t="s">
        <v>258</v>
      </c>
      <c r="D215" t="s">
        <v>259</v>
      </c>
      <c r="E215" t="s">
        <v>1794</v>
      </c>
      <c r="F215" t="s">
        <v>489</v>
      </c>
      <c r="G215" t="s">
        <v>1124</v>
      </c>
      <c r="H215" t="s">
        <v>490</v>
      </c>
      <c r="I215" t="s">
        <v>262</v>
      </c>
      <c r="J215" t="s">
        <v>279</v>
      </c>
      <c r="K215">
        <v>3</v>
      </c>
      <c r="L215">
        <v>1</v>
      </c>
      <c r="M215" t="s">
        <v>33</v>
      </c>
      <c r="N215">
        <v>1</v>
      </c>
      <c r="O215">
        <v>1</v>
      </c>
      <c r="P215">
        <v>1</v>
      </c>
      <c r="Q215" t="s">
        <v>52</v>
      </c>
      <c r="R215">
        <v>1</v>
      </c>
      <c r="S215">
        <v>1</v>
      </c>
      <c r="T215">
        <v>1</v>
      </c>
      <c r="U215" t="s">
        <v>1794</v>
      </c>
      <c r="V215" t="s">
        <v>1794</v>
      </c>
      <c r="W215" t="s">
        <v>1794</v>
      </c>
      <c r="X215">
        <v>1</v>
      </c>
      <c r="Y215" t="s">
        <v>1794</v>
      </c>
      <c r="Z215">
        <v>0</v>
      </c>
      <c r="AA215" t="s">
        <v>1794</v>
      </c>
      <c r="AB215" t="s">
        <v>1794</v>
      </c>
      <c r="AC215" t="s">
        <v>1794</v>
      </c>
      <c r="AD215" t="s">
        <v>1794</v>
      </c>
      <c r="AE215">
        <v>0</v>
      </c>
      <c r="AF215" t="s">
        <v>1794</v>
      </c>
      <c r="AG215" t="s">
        <v>1794</v>
      </c>
      <c r="AH215" t="s">
        <v>1794</v>
      </c>
    </row>
    <row r="216" spans="1:34" x14ac:dyDescent="0.25">
      <c r="A216" t="s">
        <v>491</v>
      </c>
      <c r="B216" t="s">
        <v>488</v>
      </c>
      <c r="C216" t="s">
        <v>258</v>
      </c>
      <c r="D216" t="s">
        <v>259</v>
      </c>
      <c r="E216" t="s">
        <v>1794</v>
      </c>
      <c r="F216" t="s">
        <v>489</v>
      </c>
      <c r="G216" t="s">
        <v>1124</v>
      </c>
      <c r="H216" t="s">
        <v>490</v>
      </c>
      <c r="I216" t="s">
        <v>262</v>
      </c>
      <c r="J216" t="s">
        <v>279</v>
      </c>
      <c r="K216">
        <v>3</v>
      </c>
      <c r="L216">
        <v>1</v>
      </c>
      <c r="M216" t="s">
        <v>33</v>
      </c>
      <c r="N216">
        <v>1</v>
      </c>
      <c r="O216">
        <v>1</v>
      </c>
      <c r="P216">
        <v>1</v>
      </c>
      <c r="Q216" t="s">
        <v>52</v>
      </c>
      <c r="R216">
        <v>1</v>
      </c>
      <c r="S216">
        <v>1</v>
      </c>
      <c r="T216">
        <v>1</v>
      </c>
      <c r="U216" t="s">
        <v>1794</v>
      </c>
      <c r="V216" t="s">
        <v>1794</v>
      </c>
      <c r="W216" t="s">
        <v>1794</v>
      </c>
      <c r="X216">
        <v>1</v>
      </c>
      <c r="Y216" t="s">
        <v>1794</v>
      </c>
      <c r="Z216">
        <v>0</v>
      </c>
      <c r="AA216" t="s">
        <v>1794</v>
      </c>
      <c r="AB216" t="s">
        <v>1794</v>
      </c>
      <c r="AC216" t="s">
        <v>1794</v>
      </c>
      <c r="AD216" t="s">
        <v>1794</v>
      </c>
      <c r="AE216">
        <v>0</v>
      </c>
      <c r="AF216" t="s">
        <v>1794</v>
      </c>
      <c r="AG216" t="s">
        <v>1794</v>
      </c>
      <c r="AH216" t="s">
        <v>1794</v>
      </c>
    </row>
    <row r="217" spans="1:34" x14ac:dyDescent="0.25">
      <c r="A217" t="s">
        <v>1275</v>
      </c>
      <c r="B217" t="s">
        <v>492</v>
      </c>
      <c r="C217" t="s">
        <v>258</v>
      </c>
      <c r="D217" t="s">
        <v>259</v>
      </c>
      <c r="E217" t="s">
        <v>1794</v>
      </c>
      <c r="F217" t="s">
        <v>489</v>
      </c>
      <c r="G217" t="s">
        <v>1124</v>
      </c>
      <c r="H217" t="s">
        <v>490</v>
      </c>
      <c r="I217" t="s">
        <v>262</v>
      </c>
      <c r="J217" t="s">
        <v>279</v>
      </c>
      <c r="K217">
        <v>3</v>
      </c>
      <c r="L217">
        <v>1</v>
      </c>
      <c r="M217" t="s">
        <v>33</v>
      </c>
      <c r="N217">
        <v>1</v>
      </c>
      <c r="O217">
        <v>1</v>
      </c>
      <c r="P217">
        <v>1</v>
      </c>
      <c r="Q217" t="s">
        <v>52</v>
      </c>
      <c r="R217">
        <v>1</v>
      </c>
      <c r="S217">
        <v>1</v>
      </c>
      <c r="T217">
        <v>1</v>
      </c>
      <c r="U217" t="s">
        <v>1794</v>
      </c>
      <c r="V217" t="s">
        <v>1794</v>
      </c>
      <c r="W217" t="s">
        <v>1794</v>
      </c>
      <c r="X217">
        <v>1</v>
      </c>
      <c r="Y217" t="s">
        <v>1794</v>
      </c>
      <c r="Z217">
        <v>0</v>
      </c>
      <c r="AA217" t="s">
        <v>1794</v>
      </c>
      <c r="AB217" t="s">
        <v>1794</v>
      </c>
      <c r="AC217" t="s">
        <v>1794</v>
      </c>
      <c r="AD217" t="s">
        <v>1794</v>
      </c>
      <c r="AE217">
        <v>0</v>
      </c>
      <c r="AF217" t="s">
        <v>1794</v>
      </c>
      <c r="AG217" t="s">
        <v>1794</v>
      </c>
      <c r="AH217" t="s">
        <v>1794</v>
      </c>
    </row>
    <row r="218" spans="1:34" x14ac:dyDescent="0.25">
      <c r="A218" t="s">
        <v>491</v>
      </c>
      <c r="B218" t="s">
        <v>488</v>
      </c>
      <c r="C218" t="s">
        <v>258</v>
      </c>
      <c r="D218" t="s">
        <v>259</v>
      </c>
      <c r="E218" t="s">
        <v>1794</v>
      </c>
      <c r="F218" t="s">
        <v>493</v>
      </c>
      <c r="G218" t="s">
        <v>1124</v>
      </c>
      <c r="H218" t="s">
        <v>1810</v>
      </c>
      <c r="I218" t="s">
        <v>262</v>
      </c>
      <c r="J218" t="s">
        <v>279</v>
      </c>
      <c r="K218">
        <v>1</v>
      </c>
      <c r="L218">
        <v>5</v>
      </c>
      <c r="M218" t="s">
        <v>33</v>
      </c>
      <c r="N218">
        <v>1</v>
      </c>
      <c r="O218">
        <v>5</v>
      </c>
      <c r="P218">
        <v>1</v>
      </c>
      <c r="Q218" t="s">
        <v>52</v>
      </c>
      <c r="R218">
        <v>5</v>
      </c>
      <c r="S218">
        <v>5</v>
      </c>
      <c r="T218">
        <v>5</v>
      </c>
      <c r="U218" t="s">
        <v>1794</v>
      </c>
      <c r="V218" t="s">
        <v>1794</v>
      </c>
      <c r="W218" t="s">
        <v>1794</v>
      </c>
      <c r="X218">
        <v>1</v>
      </c>
      <c r="Y218" t="s">
        <v>1794</v>
      </c>
      <c r="Z218">
        <v>0</v>
      </c>
      <c r="AA218" t="s">
        <v>1794</v>
      </c>
      <c r="AB218" t="s">
        <v>1794</v>
      </c>
      <c r="AC218" t="s">
        <v>1794</v>
      </c>
      <c r="AD218" t="s">
        <v>1794</v>
      </c>
      <c r="AE218">
        <v>0</v>
      </c>
      <c r="AF218" t="s">
        <v>1794</v>
      </c>
      <c r="AG218" t="s">
        <v>1794</v>
      </c>
      <c r="AH218" t="s">
        <v>1794</v>
      </c>
    </row>
    <row r="219" spans="1:34" x14ac:dyDescent="0.25">
      <c r="A219" t="s">
        <v>1266</v>
      </c>
      <c r="B219" t="s">
        <v>1267</v>
      </c>
      <c r="C219" t="s">
        <v>258</v>
      </c>
      <c r="D219" t="s">
        <v>259</v>
      </c>
      <c r="E219" t="s">
        <v>1794</v>
      </c>
      <c r="F219" t="s">
        <v>495</v>
      </c>
      <c r="G219" t="s">
        <v>1124</v>
      </c>
      <c r="H219" t="s">
        <v>496</v>
      </c>
      <c r="I219" t="s">
        <v>262</v>
      </c>
      <c r="J219" t="s">
        <v>279</v>
      </c>
      <c r="K219">
        <v>4</v>
      </c>
      <c r="L219">
        <v>1</v>
      </c>
      <c r="M219" t="s">
        <v>33</v>
      </c>
      <c r="N219">
        <v>1</v>
      </c>
      <c r="O219">
        <v>1</v>
      </c>
      <c r="P219">
        <v>1</v>
      </c>
      <c r="Q219" t="s">
        <v>52</v>
      </c>
      <c r="R219">
        <v>1</v>
      </c>
      <c r="S219">
        <v>1</v>
      </c>
      <c r="T219">
        <v>1</v>
      </c>
      <c r="U219" t="s">
        <v>1794</v>
      </c>
      <c r="V219" t="s">
        <v>1794</v>
      </c>
      <c r="W219" t="s">
        <v>1794</v>
      </c>
      <c r="X219">
        <v>1</v>
      </c>
      <c r="Y219" t="s">
        <v>1794</v>
      </c>
      <c r="Z219">
        <v>0</v>
      </c>
      <c r="AA219" t="s">
        <v>1794</v>
      </c>
      <c r="AB219" t="s">
        <v>1794</v>
      </c>
      <c r="AC219" t="s">
        <v>1794</v>
      </c>
      <c r="AD219" t="s">
        <v>1794</v>
      </c>
      <c r="AE219">
        <v>0</v>
      </c>
      <c r="AF219" t="s">
        <v>1794</v>
      </c>
      <c r="AG219" t="s">
        <v>1794</v>
      </c>
      <c r="AH219" t="s">
        <v>1794</v>
      </c>
    </row>
    <row r="220" spans="1:34" x14ac:dyDescent="0.25">
      <c r="A220" t="s">
        <v>491</v>
      </c>
      <c r="B220" t="s">
        <v>488</v>
      </c>
      <c r="C220" t="s">
        <v>258</v>
      </c>
      <c r="D220" t="s">
        <v>259</v>
      </c>
      <c r="E220" t="s">
        <v>1794</v>
      </c>
      <c r="F220" t="s">
        <v>495</v>
      </c>
      <c r="G220" t="s">
        <v>1124</v>
      </c>
      <c r="H220" t="s">
        <v>496</v>
      </c>
      <c r="I220" t="s">
        <v>262</v>
      </c>
      <c r="J220" t="s">
        <v>279</v>
      </c>
      <c r="K220">
        <v>4</v>
      </c>
      <c r="L220">
        <v>1</v>
      </c>
      <c r="M220" t="s">
        <v>33</v>
      </c>
      <c r="N220">
        <v>1</v>
      </c>
      <c r="O220">
        <v>1</v>
      </c>
      <c r="P220">
        <v>1</v>
      </c>
      <c r="Q220" t="s">
        <v>52</v>
      </c>
      <c r="R220">
        <v>1</v>
      </c>
      <c r="S220">
        <v>1</v>
      </c>
      <c r="T220">
        <v>1</v>
      </c>
      <c r="U220" t="s">
        <v>1794</v>
      </c>
      <c r="V220" t="s">
        <v>1794</v>
      </c>
      <c r="W220" t="s">
        <v>1794</v>
      </c>
      <c r="X220">
        <v>1</v>
      </c>
      <c r="Y220" t="s">
        <v>1794</v>
      </c>
      <c r="Z220">
        <v>0</v>
      </c>
      <c r="AA220" t="s">
        <v>1794</v>
      </c>
      <c r="AB220" t="s">
        <v>1794</v>
      </c>
      <c r="AC220" t="s">
        <v>1794</v>
      </c>
      <c r="AD220" t="s">
        <v>1794</v>
      </c>
      <c r="AE220">
        <v>0</v>
      </c>
      <c r="AF220" t="s">
        <v>1794</v>
      </c>
      <c r="AG220" t="s">
        <v>1794</v>
      </c>
      <c r="AH220" t="s">
        <v>1794</v>
      </c>
    </row>
    <row r="221" spans="1:34" x14ac:dyDescent="0.25">
      <c r="A221" t="s">
        <v>1275</v>
      </c>
      <c r="B221" t="s">
        <v>492</v>
      </c>
      <c r="C221" t="s">
        <v>258</v>
      </c>
      <c r="D221" t="s">
        <v>259</v>
      </c>
      <c r="E221" t="s">
        <v>1794</v>
      </c>
      <c r="F221" t="s">
        <v>495</v>
      </c>
      <c r="G221" t="s">
        <v>1124</v>
      </c>
      <c r="H221" t="s">
        <v>496</v>
      </c>
      <c r="I221" t="s">
        <v>262</v>
      </c>
      <c r="J221" t="s">
        <v>279</v>
      </c>
      <c r="K221">
        <v>4</v>
      </c>
      <c r="L221">
        <v>1</v>
      </c>
      <c r="M221" t="s">
        <v>33</v>
      </c>
      <c r="N221">
        <v>1</v>
      </c>
      <c r="O221">
        <v>1</v>
      </c>
      <c r="P221">
        <v>1</v>
      </c>
      <c r="Q221" t="s">
        <v>52</v>
      </c>
      <c r="R221">
        <v>1</v>
      </c>
      <c r="S221">
        <v>1</v>
      </c>
      <c r="T221">
        <v>1</v>
      </c>
      <c r="U221" t="s">
        <v>1794</v>
      </c>
      <c r="V221" t="s">
        <v>1794</v>
      </c>
      <c r="W221" t="s">
        <v>1794</v>
      </c>
      <c r="X221">
        <v>1</v>
      </c>
      <c r="Y221" t="s">
        <v>1794</v>
      </c>
      <c r="Z221">
        <v>0</v>
      </c>
      <c r="AA221" t="s">
        <v>1794</v>
      </c>
      <c r="AB221" t="s">
        <v>1794</v>
      </c>
      <c r="AC221" t="s">
        <v>1794</v>
      </c>
      <c r="AD221" t="s">
        <v>1794</v>
      </c>
      <c r="AE221">
        <v>0</v>
      </c>
      <c r="AF221" t="s">
        <v>1794</v>
      </c>
      <c r="AG221" t="s">
        <v>1794</v>
      </c>
      <c r="AH221" t="s">
        <v>1794</v>
      </c>
    </row>
    <row r="222" spans="1:34" x14ac:dyDescent="0.25">
      <c r="A222" t="s">
        <v>1268</v>
      </c>
      <c r="B222" t="s">
        <v>497</v>
      </c>
      <c r="C222" t="s">
        <v>306</v>
      </c>
      <c r="D222" t="s">
        <v>259</v>
      </c>
      <c r="E222" t="s">
        <v>1794</v>
      </c>
      <c r="F222" t="s">
        <v>498</v>
      </c>
      <c r="G222" t="s">
        <v>1124</v>
      </c>
      <c r="H222" t="s">
        <v>499</v>
      </c>
      <c r="I222" t="s">
        <v>262</v>
      </c>
      <c r="J222" t="s">
        <v>279</v>
      </c>
      <c r="K222">
        <v>1</v>
      </c>
      <c r="L222">
        <v>1</v>
      </c>
      <c r="M222" t="s">
        <v>33</v>
      </c>
      <c r="N222">
        <v>1</v>
      </c>
      <c r="O222">
        <v>1</v>
      </c>
      <c r="P222">
        <v>1</v>
      </c>
      <c r="Q222" t="s">
        <v>52</v>
      </c>
      <c r="R222">
        <v>1</v>
      </c>
      <c r="S222">
        <v>1</v>
      </c>
      <c r="T222">
        <v>1</v>
      </c>
      <c r="U222" t="s">
        <v>1794</v>
      </c>
      <c r="V222" t="s">
        <v>1794</v>
      </c>
      <c r="W222" t="s">
        <v>1794</v>
      </c>
      <c r="X222">
        <v>1</v>
      </c>
      <c r="Y222" t="s">
        <v>1794</v>
      </c>
      <c r="Z222">
        <v>0</v>
      </c>
      <c r="AA222" t="s">
        <v>1794</v>
      </c>
      <c r="AB222" t="s">
        <v>1794</v>
      </c>
      <c r="AC222" t="s">
        <v>1794</v>
      </c>
      <c r="AD222" t="s">
        <v>1794</v>
      </c>
      <c r="AE222">
        <v>0</v>
      </c>
      <c r="AF222" t="s">
        <v>1794</v>
      </c>
      <c r="AG222" t="s">
        <v>1794</v>
      </c>
      <c r="AH222" t="s">
        <v>1794</v>
      </c>
    </row>
    <row r="223" spans="1:34" x14ac:dyDescent="0.25">
      <c r="A223" t="s">
        <v>446</v>
      </c>
      <c r="B223" t="s">
        <v>1269</v>
      </c>
      <c r="C223" t="s">
        <v>306</v>
      </c>
      <c r="D223" t="s">
        <v>259</v>
      </c>
      <c r="E223" t="s">
        <v>1794</v>
      </c>
      <c r="F223" t="s">
        <v>498</v>
      </c>
      <c r="G223" t="s">
        <v>1124</v>
      </c>
      <c r="H223" t="s">
        <v>499</v>
      </c>
      <c r="I223" t="s">
        <v>262</v>
      </c>
      <c r="J223" t="s">
        <v>279</v>
      </c>
      <c r="K223">
        <v>1</v>
      </c>
      <c r="L223">
        <v>1</v>
      </c>
      <c r="M223" t="s">
        <v>33</v>
      </c>
      <c r="N223">
        <v>1</v>
      </c>
      <c r="O223">
        <v>1</v>
      </c>
      <c r="P223">
        <v>1</v>
      </c>
      <c r="Q223" t="s">
        <v>52</v>
      </c>
      <c r="R223">
        <v>1</v>
      </c>
      <c r="S223">
        <v>1</v>
      </c>
      <c r="T223">
        <v>1</v>
      </c>
      <c r="U223" t="s">
        <v>1794</v>
      </c>
      <c r="V223" t="s">
        <v>1794</v>
      </c>
      <c r="W223" t="s">
        <v>1794</v>
      </c>
      <c r="X223">
        <v>1</v>
      </c>
      <c r="Y223" t="s">
        <v>1794</v>
      </c>
      <c r="Z223">
        <v>0</v>
      </c>
      <c r="AA223" t="s">
        <v>1794</v>
      </c>
      <c r="AB223" t="s">
        <v>1794</v>
      </c>
      <c r="AC223" t="s">
        <v>1794</v>
      </c>
      <c r="AD223" t="s">
        <v>1794</v>
      </c>
      <c r="AE223">
        <v>0</v>
      </c>
      <c r="AF223" t="s">
        <v>1794</v>
      </c>
      <c r="AG223" t="s">
        <v>1794</v>
      </c>
      <c r="AH223" t="s">
        <v>1794</v>
      </c>
    </row>
    <row r="224" spans="1:34" x14ac:dyDescent="0.25">
      <c r="A224" t="s">
        <v>491</v>
      </c>
      <c r="B224" t="s">
        <v>488</v>
      </c>
      <c r="C224" t="s">
        <v>306</v>
      </c>
      <c r="D224" t="s">
        <v>259</v>
      </c>
      <c r="E224" t="s">
        <v>1794</v>
      </c>
      <c r="F224" t="s">
        <v>498</v>
      </c>
      <c r="G224" t="s">
        <v>1124</v>
      </c>
      <c r="H224" t="s">
        <v>499</v>
      </c>
      <c r="I224" t="s">
        <v>262</v>
      </c>
      <c r="J224" t="s">
        <v>279</v>
      </c>
      <c r="K224">
        <v>1</v>
      </c>
      <c r="L224">
        <v>1</v>
      </c>
      <c r="M224" t="s">
        <v>33</v>
      </c>
      <c r="N224">
        <v>1</v>
      </c>
      <c r="O224">
        <v>1</v>
      </c>
      <c r="P224">
        <v>1</v>
      </c>
      <c r="Q224" t="s">
        <v>52</v>
      </c>
      <c r="R224">
        <v>1</v>
      </c>
      <c r="S224">
        <v>1</v>
      </c>
      <c r="T224">
        <v>1</v>
      </c>
      <c r="U224" t="s">
        <v>1794</v>
      </c>
      <c r="V224" t="s">
        <v>1794</v>
      </c>
      <c r="W224" t="s">
        <v>1794</v>
      </c>
      <c r="X224">
        <v>1</v>
      </c>
      <c r="Y224" t="s">
        <v>1794</v>
      </c>
      <c r="Z224">
        <v>0</v>
      </c>
      <c r="AA224" t="s">
        <v>1794</v>
      </c>
      <c r="AB224" t="s">
        <v>1794</v>
      </c>
      <c r="AC224" t="s">
        <v>1794</v>
      </c>
      <c r="AD224" t="s">
        <v>1794</v>
      </c>
      <c r="AE224">
        <v>0</v>
      </c>
      <c r="AF224" t="s">
        <v>1794</v>
      </c>
      <c r="AG224" t="s">
        <v>1794</v>
      </c>
      <c r="AH224" t="s">
        <v>1794</v>
      </c>
    </row>
    <row r="225" spans="1:34" x14ac:dyDescent="0.25">
      <c r="A225" t="s">
        <v>1275</v>
      </c>
      <c r="B225" t="s">
        <v>492</v>
      </c>
      <c r="C225" t="s">
        <v>306</v>
      </c>
      <c r="D225" t="s">
        <v>259</v>
      </c>
      <c r="E225" t="s">
        <v>1794</v>
      </c>
      <c r="F225" t="s">
        <v>498</v>
      </c>
      <c r="G225" t="s">
        <v>1124</v>
      </c>
      <c r="H225" t="s">
        <v>499</v>
      </c>
      <c r="I225" t="s">
        <v>262</v>
      </c>
      <c r="J225" t="s">
        <v>279</v>
      </c>
      <c r="K225">
        <v>1</v>
      </c>
      <c r="L225">
        <v>1</v>
      </c>
      <c r="M225" t="s">
        <v>33</v>
      </c>
      <c r="N225">
        <v>1</v>
      </c>
      <c r="O225">
        <v>1</v>
      </c>
      <c r="P225">
        <v>1</v>
      </c>
      <c r="Q225" t="s">
        <v>52</v>
      </c>
      <c r="R225">
        <v>1</v>
      </c>
      <c r="S225">
        <v>1</v>
      </c>
      <c r="T225">
        <v>1</v>
      </c>
      <c r="U225" t="s">
        <v>1794</v>
      </c>
      <c r="V225" t="s">
        <v>1794</v>
      </c>
      <c r="W225" t="s">
        <v>1794</v>
      </c>
      <c r="X225">
        <v>1</v>
      </c>
      <c r="Y225" t="s">
        <v>1794</v>
      </c>
      <c r="Z225">
        <v>0</v>
      </c>
      <c r="AA225" t="s">
        <v>1794</v>
      </c>
      <c r="AB225" t="s">
        <v>1794</v>
      </c>
      <c r="AC225" t="s">
        <v>1794</v>
      </c>
      <c r="AD225" t="s">
        <v>1794</v>
      </c>
      <c r="AE225">
        <v>0</v>
      </c>
      <c r="AF225" t="s">
        <v>1794</v>
      </c>
      <c r="AG225" t="s">
        <v>1794</v>
      </c>
      <c r="AH225" t="s">
        <v>1794</v>
      </c>
    </row>
    <row r="226" spans="1:34" x14ac:dyDescent="0.25">
      <c r="A226" t="s">
        <v>1268</v>
      </c>
      <c r="B226" t="s">
        <v>497</v>
      </c>
      <c r="C226" t="s">
        <v>306</v>
      </c>
      <c r="D226" t="s">
        <v>259</v>
      </c>
      <c r="E226" t="s">
        <v>1794</v>
      </c>
      <c r="F226" t="s">
        <v>498</v>
      </c>
      <c r="G226" t="s">
        <v>1124</v>
      </c>
      <c r="H226" t="s">
        <v>500</v>
      </c>
      <c r="I226" t="s">
        <v>262</v>
      </c>
      <c r="J226" t="s">
        <v>368</v>
      </c>
      <c r="K226">
        <v>1</v>
      </c>
      <c r="L226">
        <v>1</v>
      </c>
      <c r="M226" t="s">
        <v>33</v>
      </c>
      <c r="N226">
        <v>1</v>
      </c>
      <c r="O226">
        <v>1</v>
      </c>
      <c r="P226">
        <v>1</v>
      </c>
      <c r="Q226" t="s">
        <v>52</v>
      </c>
      <c r="R226">
        <v>1</v>
      </c>
      <c r="S226">
        <v>1</v>
      </c>
      <c r="T226">
        <v>1</v>
      </c>
      <c r="U226" t="s">
        <v>1794</v>
      </c>
      <c r="V226" t="s">
        <v>1794</v>
      </c>
      <c r="W226" t="s">
        <v>1794</v>
      </c>
      <c r="X226">
        <v>1</v>
      </c>
      <c r="Y226" t="s">
        <v>1794</v>
      </c>
      <c r="Z226">
        <v>0</v>
      </c>
      <c r="AA226" t="s">
        <v>1794</v>
      </c>
      <c r="AB226" t="s">
        <v>1794</v>
      </c>
      <c r="AC226" t="s">
        <v>1794</v>
      </c>
      <c r="AD226" t="s">
        <v>1794</v>
      </c>
      <c r="AE226">
        <v>0</v>
      </c>
      <c r="AF226" t="s">
        <v>1794</v>
      </c>
      <c r="AG226" t="s">
        <v>1794</v>
      </c>
      <c r="AH226" t="s">
        <v>1794</v>
      </c>
    </row>
    <row r="227" spans="1:34" x14ac:dyDescent="0.25">
      <c r="A227" t="s">
        <v>491</v>
      </c>
      <c r="B227" t="s">
        <v>488</v>
      </c>
      <c r="C227" t="s">
        <v>306</v>
      </c>
      <c r="D227" t="s">
        <v>259</v>
      </c>
      <c r="E227" t="s">
        <v>1794</v>
      </c>
      <c r="F227" t="s">
        <v>498</v>
      </c>
      <c r="G227" t="s">
        <v>1124</v>
      </c>
      <c r="H227" t="s">
        <v>500</v>
      </c>
      <c r="I227" t="s">
        <v>262</v>
      </c>
      <c r="J227" t="s">
        <v>368</v>
      </c>
      <c r="K227">
        <v>1</v>
      </c>
      <c r="L227">
        <v>1</v>
      </c>
      <c r="M227" t="s">
        <v>33</v>
      </c>
      <c r="N227">
        <v>1</v>
      </c>
      <c r="O227">
        <v>1</v>
      </c>
      <c r="P227">
        <v>1</v>
      </c>
      <c r="Q227" t="s">
        <v>52</v>
      </c>
      <c r="R227">
        <v>1</v>
      </c>
      <c r="S227">
        <v>1</v>
      </c>
      <c r="T227">
        <v>1</v>
      </c>
      <c r="U227" t="s">
        <v>1794</v>
      </c>
      <c r="V227" t="s">
        <v>1794</v>
      </c>
      <c r="W227" t="s">
        <v>1794</v>
      </c>
      <c r="X227">
        <v>1</v>
      </c>
      <c r="Y227" t="s">
        <v>1794</v>
      </c>
      <c r="Z227">
        <v>0</v>
      </c>
      <c r="AA227" t="s">
        <v>1794</v>
      </c>
      <c r="AB227" t="s">
        <v>1794</v>
      </c>
      <c r="AC227" t="s">
        <v>1794</v>
      </c>
      <c r="AD227" t="s">
        <v>1794</v>
      </c>
      <c r="AE227">
        <v>0</v>
      </c>
      <c r="AF227" t="s">
        <v>1794</v>
      </c>
      <c r="AG227" t="s">
        <v>1794</v>
      </c>
      <c r="AH227" t="s">
        <v>1794</v>
      </c>
    </row>
    <row r="228" spans="1:34" x14ac:dyDescent="0.25">
      <c r="A228" t="s">
        <v>1275</v>
      </c>
      <c r="B228" t="s">
        <v>492</v>
      </c>
      <c r="C228" t="s">
        <v>306</v>
      </c>
      <c r="D228" t="s">
        <v>259</v>
      </c>
      <c r="E228" t="s">
        <v>1794</v>
      </c>
      <c r="F228" t="s">
        <v>498</v>
      </c>
      <c r="G228" t="s">
        <v>1124</v>
      </c>
      <c r="H228" t="s">
        <v>500</v>
      </c>
      <c r="I228" t="s">
        <v>262</v>
      </c>
      <c r="J228" t="s">
        <v>368</v>
      </c>
      <c r="K228">
        <v>1</v>
      </c>
      <c r="L228">
        <v>1</v>
      </c>
      <c r="M228" t="s">
        <v>33</v>
      </c>
      <c r="N228">
        <v>1</v>
      </c>
      <c r="O228">
        <v>1</v>
      </c>
      <c r="P228">
        <v>1</v>
      </c>
      <c r="Q228" t="s">
        <v>52</v>
      </c>
      <c r="R228">
        <v>1</v>
      </c>
      <c r="S228">
        <v>1</v>
      </c>
      <c r="T228">
        <v>1</v>
      </c>
      <c r="U228" t="s">
        <v>1794</v>
      </c>
      <c r="V228" t="s">
        <v>1794</v>
      </c>
      <c r="W228" t="s">
        <v>1794</v>
      </c>
      <c r="X228">
        <v>1</v>
      </c>
      <c r="Y228" t="s">
        <v>1794</v>
      </c>
      <c r="Z228">
        <v>0</v>
      </c>
      <c r="AA228" t="s">
        <v>1794</v>
      </c>
      <c r="AB228" t="s">
        <v>1794</v>
      </c>
      <c r="AC228" t="s">
        <v>1794</v>
      </c>
      <c r="AD228" t="s">
        <v>1794</v>
      </c>
      <c r="AE228">
        <v>0</v>
      </c>
      <c r="AF228" t="s">
        <v>1794</v>
      </c>
      <c r="AG228" t="s">
        <v>1794</v>
      </c>
      <c r="AH228" t="s">
        <v>1794</v>
      </c>
    </row>
    <row r="229" spans="1:34" x14ac:dyDescent="0.25">
      <c r="A229" t="s">
        <v>501</v>
      </c>
      <c r="B229" t="s">
        <v>1263</v>
      </c>
      <c r="C229" t="s">
        <v>315</v>
      </c>
      <c r="D229" t="s">
        <v>259</v>
      </c>
      <c r="E229" t="s">
        <v>1794</v>
      </c>
      <c r="F229" t="s">
        <v>502</v>
      </c>
      <c r="G229" t="s">
        <v>1124</v>
      </c>
      <c r="H229" t="s">
        <v>503</v>
      </c>
      <c r="I229" t="s">
        <v>262</v>
      </c>
      <c r="J229" t="s">
        <v>504</v>
      </c>
      <c r="K229">
        <v>1</v>
      </c>
      <c r="L229">
        <v>1</v>
      </c>
      <c r="M229" t="s">
        <v>33</v>
      </c>
      <c r="N229">
        <v>1</v>
      </c>
      <c r="O229">
        <v>1</v>
      </c>
      <c r="P229">
        <v>1</v>
      </c>
      <c r="Q229" t="s">
        <v>52</v>
      </c>
      <c r="R229">
        <v>1</v>
      </c>
      <c r="S229">
        <v>1</v>
      </c>
      <c r="T229">
        <v>1</v>
      </c>
      <c r="U229" t="s">
        <v>1794</v>
      </c>
      <c r="V229" t="s">
        <v>1794</v>
      </c>
      <c r="W229" t="s">
        <v>1794</v>
      </c>
      <c r="X229">
        <v>1</v>
      </c>
      <c r="Y229" t="s">
        <v>1794</v>
      </c>
      <c r="Z229">
        <v>0</v>
      </c>
      <c r="AA229" t="s">
        <v>1794</v>
      </c>
      <c r="AB229" t="s">
        <v>1794</v>
      </c>
      <c r="AC229" t="s">
        <v>1794</v>
      </c>
      <c r="AD229" t="s">
        <v>1794</v>
      </c>
      <c r="AE229">
        <v>0</v>
      </c>
      <c r="AF229" t="s">
        <v>1794</v>
      </c>
      <c r="AG229" t="s">
        <v>1794</v>
      </c>
      <c r="AH229" t="s">
        <v>1794</v>
      </c>
    </row>
    <row r="230" spans="1:34" x14ac:dyDescent="0.25">
      <c r="A230" t="s">
        <v>501</v>
      </c>
      <c r="B230" t="s">
        <v>1263</v>
      </c>
      <c r="C230" t="s">
        <v>315</v>
      </c>
      <c r="D230" t="s">
        <v>259</v>
      </c>
      <c r="E230" t="s">
        <v>1794</v>
      </c>
      <c r="F230" t="s">
        <v>505</v>
      </c>
      <c r="G230" t="s">
        <v>1124</v>
      </c>
      <c r="H230" t="s">
        <v>506</v>
      </c>
      <c r="I230" t="s">
        <v>262</v>
      </c>
      <c r="J230" t="s">
        <v>507</v>
      </c>
      <c r="K230">
        <v>1</v>
      </c>
      <c r="L230">
        <v>1</v>
      </c>
      <c r="M230" t="s">
        <v>33</v>
      </c>
      <c r="N230">
        <v>1</v>
      </c>
      <c r="O230">
        <v>1</v>
      </c>
      <c r="P230">
        <v>1</v>
      </c>
      <c r="Q230" t="s">
        <v>52</v>
      </c>
      <c r="R230">
        <v>1</v>
      </c>
      <c r="S230">
        <v>1</v>
      </c>
      <c r="T230">
        <v>1</v>
      </c>
      <c r="U230" t="s">
        <v>1794</v>
      </c>
      <c r="V230" t="s">
        <v>1794</v>
      </c>
      <c r="W230" t="s">
        <v>1794</v>
      </c>
      <c r="X230">
        <v>1</v>
      </c>
      <c r="Y230" t="s">
        <v>1794</v>
      </c>
      <c r="Z230">
        <v>0</v>
      </c>
      <c r="AA230" t="s">
        <v>1794</v>
      </c>
      <c r="AB230" t="s">
        <v>1794</v>
      </c>
      <c r="AC230" t="s">
        <v>1794</v>
      </c>
      <c r="AD230" t="s">
        <v>1794</v>
      </c>
      <c r="AE230">
        <v>0</v>
      </c>
      <c r="AF230" t="s">
        <v>1794</v>
      </c>
      <c r="AG230" t="s">
        <v>1794</v>
      </c>
      <c r="AH230" t="s">
        <v>1794</v>
      </c>
    </row>
    <row r="231" spans="1:34" x14ac:dyDescent="0.25">
      <c r="A231" t="s">
        <v>501</v>
      </c>
      <c r="B231" t="s">
        <v>1263</v>
      </c>
      <c r="C231" t="s">
        <v>315</v>
      </c>
      <c r="D231" t="s">
        <v>259</v>
      </c>
      <c r="E231" t="s">
        <v>1794</v>
      </c>
      <c r="F231" t="s">
        <v>508</v>
      </c>
      <c r="G231" t="s">
        <v>1124</v>
      </c>
      <c r="H231" t="s">
        <v>509</v>
      </c>
      <c r="I231" t="s">
        <v>262</v>
      </c>
      <c r="J231" t="s">
        <v>510</v>
      </c>
      <c r="K231">
        <v>1</v>
      </c>
      <c r="L231">
        <v>1</v>
      </c>
      <c r="M231" t="s">
        <v>33</v>
      </c>
      <c r="N231">
        <v>1</v>
      </c>
      <c r="O231">
        <v>1</v>
      </c>
      <c r="P231">
        <v>1</v>
      </c>
      <c r="Q231" t="s">
        <v>52</v>
      </c>
      <c r="R231">
        <v>1</v>
      </c>
      <c r="S231">
        <v>1</v>
      </c>
      <c r="T231">
        <v>1</v>
      </c>
      <c r="U231" t="s">
        <v>1794</v>
      </c>
      <c r="V231" t="s">
        <v>1794</v>
      </c>
      <c r="W231" t="s">
        <v>1794</v>
      </c>
      <c r="X231">
        <v>1</v>
      </c>
      <c r="Y231" t="s">
        <v>1794</v>
      </c>
      <c r="Z231">
        <v>0</v>
      </c>
      <c r="AA231" t="s">
        <v>1794</v>
      </c>
      <c r="AB231" t="s">
        <v>1794</v>
      </c>
      <c r="AC231" t="s">
        <v>1794</v>
      </c>
      <c r="AD231" t="s">
        <v>1794</v>
      </c>
      <c r="AE231">
        <v>0</v>
      </c>
      <c r="AF231" t="s">
        <v>1794</v>
      </c>
      <c r="AG231" t="s">
        <v>1794</v>
      </c>
      <c r="AH231" t="s">
        <v>1794</v>
      </c>
    </row>
    <row r="232" spans="1:34" x14ac:dyDescent="0.25">
      <c r="A232" t="s">
        <v>501</v>
      </c>
      <c r="B232" t="s">
        <v>1263</v>
      </c>
      <c r="C232" t="s">
        <v>315</v>
      </c>
      <c r="D232" t="s">
        <v>259</v>
      </c>
      <c r="E232" t="s">
        <v>1794</v>
      </c>
      <c r="F232" t="s">
        <v>512</v>
      </c>
      <c r="G232" t="s">
        <v>1124</v>
      </c>
      <c r="H232" t="s">
        <v>513</v>
      </c>
      <c r="I232" t="s">
        <v>262</v>
      </c>
      <c r="J232" t="s">
        <v>507</v>
      </c>
      <c r="K232">
        <v>1</v>
      </c>
      <c r="L232">
        <v>1</v>
      </c>
      <c r="M232" t="s">
        <v>33</v>
      </c>
      <c r="N232">
        <v>1</v>
      </c>
      <c r="O232">
        <v>1</v>
      </c>
      <c r="P232">
        <v>1</v>
      </c>
      <c r="Q232" t="s">
        <v>52</v>
      </c>
      <c r="R232">
        <v>1</v>
      </c>
      <c r="S232">
        <v>1</v>
      </c>
      <c r="T232">
        <v>1</v>
      </c>
      <c r="U232" t="s">
        <v>1794</v>
      </c>
      <c r="V232" t="s">
        <v>1794</v>
      </c>
      <c r="W232" t="s">
        <v>1794</v>
      </c>
      <c r="X232">
        <v>1</v>
      </c>
      <c r="Y232" t="s">
        <v>1794</v>
      </c>
      <c r="Z232">
        <v>0</v>
      </c>
      <c r="AA232" t="s">
        <v>1794</v>
      </c>
      <c r="AB232" t="s">
        <v>1794</v>
      </c>
      <c r="AC232" t="s">
        <v>1794</v>
      </c>
      <c r="AD232" t="s">
        <v>1794</v>
      </c>
      <c r="AE232">
        <v>0</v>
      </c>
      <c r="AF232" t="s">
        <v>1794</v>
      </c>
      <c r="AG232" t="s">
        <v>1794</v>
      </c>
      <c r="AH232" t="s">
        <v>1794</v>
      </c>
    </row>
    <row r="233" spans="1:34" x14ac:dyDescent="0.25">
      <c r="A233" t="s">
        <v>501</v>
      </c>
      <c r="B233" t="s">
        <v>1263</v>
      </c>
      <c r="C233" t="s">
        <v>315</v>
      </c>
      <c r="D233" t="s">
        <v>259</v>
      </c>
      <c r="E233" t="s">
        <v>1794</v>
      </c>
      <c r="F233" t="s">
        <v>514</v>
      </c>
      <c r="G233" t="s">
        <v>1124</v>
      </c>
      <c r="H233" t="s">
        <v>515</v>
      </c>
      <c r="I233" t="s">
        <v>262</v>
      </c>
      <c r="J233" t="s">
        <v>510</v>
      </c>
      <c r="K233">
        <v>1</v>
      </c>
      <c r="L233">
        <v>1</v>
      </c>
      <c r="M233" t="s">
        <v>33</v>
      </c>
      <c r="N233">
        <v>1</v>
      </c>
      <c r="O233">
        <v>1</v>
      </c>
      <c r="P233">
        <v>1</v>
      </c>
      <c r="Q233" t="s">
        <v>52</v>
      </c>
      <c r="R233">
        <v>1</v>
      </c>
      <c r="S233">
        <v>1</v>
      </c>
      <c r="T233">
        <v>1</v>
      </c>
      <c r="U233" t="s">
        <v>1794</v>
      </c>
      <c r="V233" t="s">
        <v>1794</v>
      </c>
      <c r="W233" t="s">
        <v>1794</v>
      </c>
      <c r="X233">
        <v>1</v>
      </c>
      <c r="Y233" t="s">
        <v>1794</v>
      </c>
      <c r="Z233">
        <v>0</v>
      </c>
      <c r="AA233" t="s">
        <v>1794</v>
      </c>
      <c r="AB233" t="s">
        <v>1794</v>
      </c>
      <c r="AC233" t="s">
        <v>1794</v>
      </c>
      <c r="AD233" t="s">
        <v>1794</v>
      </c>
      <c r="AE233">
        <v>0</v>
      </c>
      <c r="AF233" t="s">
        <v>1794</v>
      </c>
      <c r="AG233" t="s">
        <v>1794</v>
      </c>
      <c r="AH233" t="s">
        <v>1794</v>
      </c>
    </row>
    <row r="234" spans="1:34" x14ac:dyDescent="0.25">
      <c r="A234" t="s">
        <v>501</v>
      </c>
      <c r="B234" t="s">
        <v>1263</v>
      </c>
      <c r="C234" t="s">
        <v>315</v>
      </c>
      <c r="D234" t="s">
        <v>259</v>
      </c>
      <c r="E234" t="s">
        <v>1794</v>
      </c>
      <c r="F234" t="s">
        <v>516</v>
      </c>
      <c r="G234" t="s">
        <v>1124</v>
      </c>
      <c r="H234" t="s">
        <v>517</v>
      </c>
      <c r="I234" t="s">
        <v>262</v>
      </c>
      <c r="J234" t="s">
        <v>518</v>
      </c>
      <c r="K234">
        <v>1</v>
      </c>
      <c r="L234">
        <v>1</v>
      </c>
      <c r="M234" t="s">
        <v>33</v>
      </c>
      <c r="N234">
        <v>1</v>
      </c>
      <c r="O234">
        <v>1</v>
      </c>
      <c r="P234">
        <v>1</v>
      </c>
      <c r="Q234" t="s">
        <v>52</v>
      </c>
      <c r="R234">
        <v>1</v>
      </c>
      <c r="S234">
        <v>1</v>
      </c>
      <c r="T234">
        <v>1</v>
      </c>
      <c r="U234" t="s">
        <v>1794</v>
      </c>
      <c r="V234" t="s">
        <v>1794</v>
      </c>
      <c r="W234" t="s">
        <v>1794</v>
      </c>
      <c r="X234">
        <v>1</v>
      </c>
      <c r="Y234" t="s">
        <v>1794</v>
      </c>
      <c r="Z234">
        <v>0</v>
      </c>
      <c r="AA234" t="s">
        <v>1794</v>
      </c>
      <c r="AB234" t="s">
        <v>1794</v>
      </c>
      <c r="AC234" t="s">
        <v>1794</v>
      </c>
      <c r="AD234" t="s">
        <v>1794</v>
      </c>
      <c r="AE234">
        <v>0</v>
      </c>
      <c r="AF234" t="s">
        <v>1794</v>
      </c>
      <c r="AG234" t="s">
        <v>1794</v>
      </c>
      <c r="AH234" t="s">
        <v>1794</v>
      </c>
    </row>
    <row r="235" spans="1:34" x14ac:dyDescent="0.25">
      <c r="A235" t="s">
        <v>501</v>
      </c>
      <c r="B235" t="s">
        <v>1263</v>
      </c>
      <c r="C235" t="s">
        <v>315</v>
      </c>
      <c r="D235" t="s">
        <v>259</v>
      </c>
      <c r="E235" t="s">
        <v>1794</v>
      </c>
      <c r="F235" t="s">
        <v>519</v>
      </c>
      <c r="G235" t="s">
        <v>1124</v>
      </c>
      <c r="H235" t="s">
        <v>520</v>
      </c>
      <c r="I235" t="s">
        <v>262</v>
      </c>
      <c r="J235" t="s">
        <v>510</v>
      </c>
      <c r="K235">
        <v>1</v>
      </c>
      <c r="L235">
        <v>1</v>
      </c>
      <c r="M235" t="s">
        <v>33</v>
      </c>
      <c r="N235">
        <v>1</v>
      </c>
      <c r="O235">
        <v>1</v>
      </c>
      <c r="P235">
        <v>1</v>
      </c>
      <c r="Q235" t="s">
        <v>52</v>
      </c>
      <c r="R235">
        <v>1</v>
      </c>
      <c r="S235">
        <v>1</v>
      </c>
      <c r="T235">
        <v>1</v>
      </c>
      <c r="U235" t="s">
        <v>1794</v>
      </c>
      <c r="V235" t="s">
        <v>1794</v>
      </c>
      <c r="W235" t="s">
        <v>1794</v>
      </c>
      <c r="X235">
        <v>1</v>
      </c>
      <c r="Y235" t="s">
        <v>1794</v>
      </c>
      <c r="Z235">
        <v>0</v>
      </c>
      <c r="AA235" t="s">
        <v>1794</v>
      </c>
      <c r="AB235" t="s">
        <v>1794</v>
      </c>
      <c r="AC235" t="s">
        <v>1794</v>
      </c>
      <c r="AD235" t="s">
        <v>1794</v>
      </c>
      <c r="AE235">
        <v>0</v>
      </c>
      <c r="AF235" t="s">
        <v>1794</v>
      </c>
      <c r="AG235" t="s">
        <v>1794</v>
      </c>
      <c r="AH235" t="s">
        <v>1794</v>
      </c>
    </row>
    <row r="236" spans="1:34" x14ac:dyDescent="0.25">
      <c r="A236" t="s">
        <v>501</v>
      </c>
      <c r="B236" t="s">
        <v>1263</v>
      </c>
      <c r="C236" t="s">
        <v>315</v>
      </c>
      <c r="D236" t="s">
        <v>259</v>
      </c>
      <c r="E236" t="s">
        <v>1794</v>
      </c>
      <c r="F236" t="s">
        <v>521</v>
      </c>
      <c r="G236" t="s">
        <v>1124</v>
      </c>
      <c r="H236" t="s">
        <v>522</v>
      </c>
      <c r="I236" t="s">
        <v>262</v>
      </c>
      <c r="J236" t="s">
        <v>507</v>
      </c>
      <c r="K236">
        <v>1</v>
      </c>
      <c r="L236">
        <v>1</v>
      </c>
      <c r="M236" t="s">
        <v>33</v>
      </c>
      <c r="N236">
        <v>1</v>
      </c>
      <c r="O236">
        <v>1</v>
      </c>
      <c r="P236">
        <v>1</v>
      </c>
      <c r="Q236" t="s">
        <v>52</v>
      </c>
      <c r="R236">
        <v>1</v>
      </c>
      <c r="S236">
        <v>1</v>
      </c>
      <c r="T236">
        <v>1</v>
      </c>
      <c r="U236" t="s">
        <v>1794</v>
      </c>
      <c r="V236" t="s">
        <v>1794</v>
      </c>
      <c r="W236" t="s">
        <v>1794</v>
      </c>
      <c r="X236">
        <v>1</v>
      </c>
      <c r="Y236" t="s">
        <v>1794</v>
      </c>
      <c r="Z236">
        <v>0</v>
      </c>
      <c r="AA236" t="s">
        <v>1794</v>
      </c>
      <c r="AB236" t="s">
        <v>1794</v>
      </c>
      <c r="AC236" t="s">
        <v>1794</v>
      </c>
      <c r="AD236" t="s">
        <v>1794</v>
      </c>
      <c r="AE236">
        <v>0</v>
      </c>
      <c r="AF236" t="s">
        <v>1794</v>
      </c>
      <c r="AG236" t="s">
        <v>1794</v>
      </c>
      <c r="AH236" t="s">
        <v>1794</v>
      </c>
    </row>
    <row r="237" spans="1:34" x14ac:dyDescent="0.25">
      <c r="A237" t="s">
        <v>501</v>
      </c>
      <c r="B237" t="s">
        <v>1263</v>
      </c>
      <c r="C237" t="s">
        <v>315</v>
      </c>
      <c r="D237" t="s">
        <v>259</v>
      </c>
      <c r="E237" t="s">
        <v>1794</v>
      </c>
      <c r="F237" t="s">
        <v>523</v>
      </c>
      <c r="G237" t="s">
        <v>1124</v>
      </c>
      <c r="H237" t="s">
        <v>524</v>
      </c>
      <c r="I237" t="s">
        <v>262</v>
      </c>
      <c r="J237" t="s">
        <v>510</v>
      </c>
      <c r="K237">
        <v>1</v>
      </c>
      <c r="L237">
        <v>1</v>
      </c>
      <c r="M237" t="s">
        <v>33</v>
      </c>
      <c r="N237">
        <v>1</v>
      </c>
      <c r="O237">
        <v>1</v>
      </c>
      <c r="P237">
        <v>1</v>
      </c>
      <c r="Q237" t="s">
        <v>52</v>
      </c>
      <c r="R237">
        <v>1</v>
      </c>
      <c r="S237">
        <v>1</v>
      </c>
      <c r="T237">
        <v>1</v>
      </c>
      <c r="U237" t="s">
        <v>1794</v>
      </c>
      <c r="V237" t="s">
        <v>1794</v>
      </c>
      <c r="W237" t="s">
        <v>1794</v>
      </c>
      <c r="X237">
        <v>1</v>
      </c>
      <c r="Y237" t="s">
        <v>1794</v>
      </c>
      <c r="Z237">
        <v>0</v>
      </c>
      <c r="AA237" t="s">
        <v>1794</v>
      </c>
      <c r="AB237" t="s">
        <v>1794</v>
      </c>
      <c r="AC237" t="s">
        <v>1794</v>
      </c>
      <c r="AD237" t="s">
        <v>1794</v>
      </c>
      <c r="AE237">
        <v>0</v>
      </c>
      <c r="AF237" t="s">
        <v>1794</v>
      </c>
      <c r="AG237" t="s">
        <v>1794</v>
      </c>
      <c r="AH237" t="s">
        <v>1794</v>
      </c>
    </row>
    <row r="238" spans="1:34" x14ac:dyDescent="0.25">
      <c r="A238" t="s">
        <v>501</v>
      </c>
      <c r="B238" t="s">
        <v>1263</v>
      </c>
      <c r="C238" t="s">
        <v>315</v>
      </c>
      <c r="D238" t="s">
        <v>259</v>
      </c>
      <c r="E238" t="s">
        <v>1794</v>
      </c>
      <c r="F238" t="s">
        <v>525</v>
      </c>
      <c r="G238" t="s">
        <v>1124</v>
      </c>
      <c r="H238" t="s">
        <v>526</v>
      </c>
      <c r="I238" t="s">
        <v>262</v>
      </c>
      <c r="J238" t="s">
        <v>518</v>
      </c>
      <c r="K238">
        <v>1</v>
      </c>
      <c r="L238">
        <v>1</v>
      </c>
      <c r="M238" t="s">
        <v>33</v>
      </c>
      <c r="N238">
        <v>1</v>
      </c>
      <c r="O238">
        <v>1</v>
      </c>
      <c r="P238">
        <v>1</v>
      </c>
      <c r="Q238" t="s">
        <v>52</v>
      </c>
      <c r="R238">
        <v>1</v>
      </c>
      <c r="S238">
        <v>1</v>
      </c>
      <c r="T238">
        <v>1</v>
      </c>
      <c r="U238" t="s">
        <v>1794</v>
      </c>
      <c r="V238" t="s">
        <v>1794</v>
      </c>
      <c r="W238" t="s">
        <v>1794</v>
      </c>
      <c r="X238">
        <v>1</v>
      </c>
      <c r="Y238" t="s">
        <v>1794</v>
      </c>
      <c r="Z238">
        <v>0</v>
      </c>
      <c r="AA238" t="s">
        <v>1794</v>
      </c>
      <c r="AB238" t="s">
        <v>1794</v>
      </c>
      <c r="AC238" t="s">
        <v>1794</v>
      </c>
      <c r="AD238" t="s">
        <v>1794</v>
      </c>
      <c r="AE238">
        <v>0</v>
      </c>
      <c r="AF238" t="s">
        <v>1794</v>
      </c>
      <c r="AG238" t="s">
        <v>1794</v>
      </c>
      <c r="AH238" t="s">
        <v>1794</v>
      </c>
    </row>
    <row r="239" spans="1:34" x14ac:dyDescent="0.25">
      <c r="A239" t="s">
        <v>501</v>
      </c>
      <c r="B239" t="s">
        <v>1263</v>
      </c>
      <c r="C239" t="s">
        <v>315</v>
      </c>
      <c r="D239" t="s">
        <v>259</v>
      </c>
      <c r="E239" t="s">
        <v>1794</v>
      </c>
      <c r="F239" t="s">
        <v>527</v>
      </c>
      <c r="G239" t="s">
        <v>1124</v>
      </c>
      <c r="H239" t="s">
        <v>528</v>
      </c>
      <c r="I239" t="s">
        <v>262</v>
      </c>
      <c r="J239" t="s">
        <v>504</v>
      </c>
      <c r="K239">
        <v>1</v>
      </c>
      <c r="L239">
        <v>1</v>
      </c>
      <c r="M239" t="s">
        <v>33</v>
      </c>
      <c r="N239">
        <v>1</v>
      </c>
      <c r="O239">
        <v>1</v>
      </c>
      <c r="P239">
        <v>1</v>
      </c>
      <c r="Q239" t="s">
        <v>52</v>
      </c>
      <c r="R239">
        <v>1</v>
      </c>
      <c r="S239">
        <v>1</v>
      </c>
      <c r="T239">
        <v>1</v>
      </c>
      <c r="U239" t="s">
        <v>1794</v>
      </c>
      <c r="V239" t="s">
        <v>1794</v>
      </c>
      <c r="W239" t="s">
        <v>1794</v>
      </c>
      <c r="X239">
        <v>1</v>
      </c>
      <c r="Y239" t="s">
        <v>1794</v>
      </c>
      <c r="Z239">
        <v>0</v>
      </c>
      <c r="AA239" t="s">
        <v>1794</v>
      </c>
      <c r="AB239" t="s">
        <v>1794</v>
      </c>
      <c r="AC239" t="s">
        <v>1794</v>
      </c>
      <c r="AD239" t="s">
        <v>1794</v>
      </c>
      <c r="AE239">
        <v>0</v>
      </c>
      <c r="AF239" t="s">
        <v>1794</v>
      </c>
      <c r="AG239" t="s">
        <v>1794</v>
      </c>
      <c r="AH239" t="s">
        <v>1794</v>
      </c>
    </row>
    <row r="240" spans="1:34" x14ac:dyDescent="0.25">
      <c r="A240" t="s">
        <v>501</v>
      </c>
      <c r="B240" t="s">
        <v>1263</v>
      </c>
      <c r="C240" t="s">
        <v>315</v>
      </c>
      <c r="D240" t="s">
        <v>259</v>
      </c>
      <c r="E240" t="s">
        <v>1794</v>
      </c>
      <c r="F240" t="s">
        <v>529</v>
      </c>
      <c r="G240" t="s">
        <v>1124</v>
      </c>
      <c r="H240" t="s">
        <v>530</v>
      </c>
      <c r="I240" t="s">
        <v>262</v>
      </c>
      <c r="J240" t="s">
        <v>507</v>
      </c>
      <c r="K240">
        <v>1</v>
      </c>
      <c r="L240">
        <v>1</v>
      </c>
      <c r="M240" t="s">
        <v>33</v>
      </c>
      <c r="N240">
        <v>1</v>
      </c>
      <c r="O240">
        <v>1</v>
      </c>
      <c r="P240">
        <v>1</v>
      </c>
      <c r="Q240" t="s">
        <v>52</v>
      </c>
      <c r="R240">
        <v>1</v>
      </c>
      <c r="S240">
        <v>1</v>
      </c>
      <c r="T240">
        <v>1</v>
      </c>
      <c r="U240" t="s">
        <v>1794</v>
      </c>
      <c r="V240" t="s">
        <v>1794</v>
      </c>
      <c r="W240" t="s">
        <v>1794</v>
      </c>
      <c r="X240">
        <v>1</v>
      </c>
      <c r="Y240" t="s">
        <v>1794</v>
      </c>
      <c r="Z240">
        <v>0</v>
      </c>
      <c r="AA240" t="s">
        <v>1794</v>
      </c>
      <c r="AB240" t="s">
        <v>1794</v>
      </c>
      <c r="AC240" t="s">
        <v>1794</v>
      </c>
      <c r="AD240" t="s">
        <v>1794</v>
      </c>
      <c r="AE240">
        <v>0</v>
      </c>
      <c r="AF240" t="s">
        <v>1794</v>
      </c>
      <c r="AG240" t="s">
        <v>1794</v>
      </c>
      <c r="AH240" t="s">
        <v>1794</v>
      </c>
    </row>
    <row r="241" spans="1:34" x14ac:dyDescent="0.25">
      <c r="A241" t="s">
        <v>501</v>
      </c>
      <c r="B241" t="s">
        <v>1263</v>
      </c>
      <c r="C241" t="s">
        <v>315</v>
      </c>
      <c r="D241" t="s">
        <v>259</v>
      </c>
      <c r="E241" t="s">
        <v>1794</v>
      </c>
      <c r="F241" t="s">
        <v>531</v>
      </c>
      <c r="G241" t="s">
        <v>1124</v>
      </c>
      <c r="H241" t="s">
        <v>532</v>
      </c>
      <c r="I241" t="s">
        <v>262</v>
      </c>
      <c r="J241" t="s">
        <v>533</v>
      </c>
      <c r="K241">
        <v>1</v>
      </c>
      <c r="L241">
        <v>1</v>
      </c>
      <c r="M241" t="s">
        <v>33</v>
      </c>
      <c r="N241">
        <v>1</v>
      </c>
      <c r="O241">
        <v>1</v>
      </c>
      <c r="P241">
        <v>1</v>
      </c>
      <c r="Q241" t="s">
        <v>52</v>
      </c>
      <c r="R241">
        <v>1</v>
      </c>
      <c r="S241">
        <v>1</v>
      </c>
      <c r="T241">
        <v>1</v>
      </c>
      <c r="U241" t="s">
        <v>1794</v>
      </c>
      <c r="V241" t="s">
        <v>1794</v>
      </c>
      <c r="W241" t="s">
        <v>1794</v>
      </c>
      <c r="X241">
        <v>1</v>
      </c>
      <c r="Y241" t="s">
        <v>1794</v>
      </c>
      <c r="Z241">
        <v>0</v>
      </c>
      <c r="AA241" t="s">
        <v>1794</v>
      </c>
      <c r="AB241" t="s">
        <v>1794</v>
      </c>
      <c r="AC241" t="s">
        <v>1794</v>
      </c>
      <c r="AD241" t="s">
        <v>1794</v>
      </c>
      <c r="AE241">
        <v>0</v>
      </c>
      <c r="AF241" t="s">
        <v>1794</v>
      </c>
      <c r="AG241" t="s">
        <v>1794</v>
      </c>
      <c r="AH241" t="s">
        <v>1794</v>
      </c>
    </row>
    <row r="242" spans="1:34" x14ac:dyDescent="0.25">
      <c r="A242" t="s">
        <v>501</v>
      </c>
      <c r="B242" t="s">
        <v>1263</v>
      </c>
      <c r="C242" t="s">
        <v>315</v>
      </c>
      <c r="D242" t="s">
        <v>259</v>
      </c>
      <c r="E242" t="s">
        <v>1794</v>
      </c>
      <c r="F242" t="s">
        <v>534</v>
      </c>
      <c r="G242" t="s">
        <v>1124</v>
      </c>
      <c r="H242" t="s">
        <v>535</v>
      </c>
      <c r="I242" t="s">
        <v>262</v>
      </c>
      <c r="J242" t="s">
        <v>536</v>
      </c>
      <c r="K242">
        <v>1</v>
      </c>
      <c r="L242">
        <v>1</v>
      </c>
      <c r="M242" t="s">
        <v>33</v>
      </c>
      <c r="N242">
        <v>1</v>
      </c>
      <c r="O242">
        <v>1</v>
      </c>
      <c r="P242">
        <v>1</v>
      </c>
      <c r="Q242" t="s">
        <v>52</v>
      </c>
      <c r="R242">
        <v>1</v>
      </c>
      <c r="S242">
        <v>1</v>
      </c>
      <c r="T242">
        <v>1</v>
      </c>
      <c r="U242" t="s">
        <v>1794</v>
      </c>
      <c r="V242" t="s">
        <v>1794</v>
      </c>
      <c r="W242" t="s">
        <v>1794</v>
      </c>
      <c r="X242">
        <v>1</v>
      </c>
      <c r="Y242" t="s">
        <v>1794</v>
      </c>
      <c r="Z242">
        <v>0</v>
      </c>
      <c r="AA242" t="s">
        <v>1794</v>
      </c>
      <c r="AB242" t="s">
        <v>1794</v>
      </c>
      <c r="AC242" t="s">
        <v>1794</v>
      </c>
      <c r="AD242" t="s">
        <v>1794</v>
      </c>
      <c r="AE242">
        <v>0</v>
      </c>
      <c r="AF242" t="s">
        <v>1794</v>
      </c>
      <c r="AG242" t="s">
        <v>1794</v>
      </c>
      <c r="AH242" t="s">
        <v>1794</v>
      </c>
    </row>
    <row r="243" spans="1:34" x14ac:dyDescent="0.25">
      <c r="A243" t="s">
        <v>501</v>
      </c>
      <c r="B243" t="s">
        <v>1263</v>
      </c>
      <c r="C243" t="s">
        <v>315</v>
      </c>
      <c r="D243" t="s">
        <v>259</v>
      </c>
      <c r="E243" t="s">
        <v>1794</v>
      </c>
      <c r="F243" t="s">
        <v>537</v>
      </c>
      <c r="G243" t="s">
        <v>1124</v>
      </c>
      <c r="H243" t="s">
        <v>538</v>
      </c>
      <c r="I243" t="s">
        <v>262</v>
      </c>
      <c r="J243" t="s">
        <v>533</v>
      </c>
      <c r="K243">
        <v>1</v>
      </c>
      <c r="L243">
        <v>1</v>
      </c>
      <c r="M243" t="s">
        <v>33</v>
      </c>
      <c r="N243">
        <v>1</v>
      </c>
      <c r="O243">
        <v>1</v>
      </c>
      <c r="P243">
        <v>1</v>
      </c>
      <c r="Q243" t="s">
        <v>52</v>
      </c>
      <c r="R243">
        <v>1</v>
      </c>
      <c r="S243">
        <v>1</v>
      </c>
      <c r="T243">
        <v>1</v>
      </c>
      <c r="U243" t="s">
        <v>1794</v>
      </c>
      <c r="V243" t="s">
        <v>1794</v>
      </c>
      <c r="W243" t="s">
        <v>1794</v>
      </c>
      <c r="X243">
        <v>1</v>
      </c>
      <c r="Y243" t="s">
        <v>1794</v>
      </c>
      <c r="Z243">
        <v>0</v>
      </c>
      <c r="AA243" t="s">
        <v>1794</v>
      </c>
      <c r="AB243" t="s">
        <v>1794</v>
      </c>
      <c r="AC243" t="s">
        <v>1794</v>
      </c>
      <c r="AD243" t="s">
        <v>1794</v>
      </c>
      <c r="AE243">
        <v>0</v>
      </c>
      <c r="AF243" t="s">
        <v>1794</v>
      </c>
      <c r="AG243" t="s">
        <v>1794</v>
      </c>
      <c r="AH243" t="s">
        <v>1794</v>
      </c>
    </row>
    <row r="244" spans="1:34" x14ac:dyDescent="0.25">
      <c r="A244" t="s">
        <v>501</v>
      </c>
      <c r="B244" t="s">
        <v>1263</v>
      </c>
      <c r="C244" t="s">
        <v>315</v>
      </c>
      <c r="D244" t="s">
        <v>259</v>
      </c>
      <c r="E244" t="s">
        <v>1794</v>
      </c>
      <c r="F244" t="s">
        <v>539</v>
      </c>
      <c r="G244" t="s">
        <v>1124</v>
      </c>
      <c r="H244" t="s">
        <v>540</v>
      </c>
      <c r="I244" t="s">
        <v>262</v>
      </c>
      <c r="J244" t="s">
        <v>536</v>
      </c>
      <c r="K244">
        <v>1</v>
      </c>
      <c r="L244">
        <v>1</v>
      </c>
      <c r="M244" t="s">
        <v>33</v>
      </c>
      <c r="N244">
        <v>1</v>
      </c>
      <c r="O244">
        <v>1</v>
      </c>
      <c r="P244">
        <v>1</v>
      </c>
      <c r="Q244" t="s">
        <v>52</v>
      </c>
      <c r="R244">
        <v>1</v>
      </c>
      <c r="S244">
        <v>1</v>
      </c>
      <c r="T244">
        <v>1</v>
      </c>
      <c r="U244" t="s">
        <v>1794</v>
      </c>
      <c r="V244" t="s">
        <v>1794</v>
      </c>
      <c r="W244" t="s">
        <v>1794</v>
      </c>
      <c r="X244">
        <v>1</v>
      </c>
      <c r="Y244" t="s">
        <v>1794</v>
      </c>
      <c r="Z244">
        <v>0</v>
      </c>
      <c r="AA244" t="s">
        <v>1794</v>
      </c>
      <c r="AB244" t="s">
        <v>1794</v>
      </c>
      <c r="AC244" t="s">
        <v>1794</v>
      </c>
      <c r="AD244" t="s">
        <v>1794</v>
      </c>
      <c r="AE244">
        <v>0</v>
      </c>
      <c r="AF244" t="s">
        <v>1794</v>
      </c>
      <c r="AG244" t="s">
        <v>1794</v>
      </c>
      <c r="AH244" t="s">
        <v>1794</v>
      </c>
    </row>
    <row r="245" spans="1:34" x14ac:dyDescent="0.25">
      <c r="A245" t="s">
        <v>501</v>
      </c>
      <c r="B245" t="s">
        <v>1263</v>
      </c>
      <c r="C245" t="s">
        <v>315</v>
      </c>
      <c r="D245" t="s">
        <v>259</v>
      </c>
      <c r="E245" t="s">
        <v>1794</v>
      </c>
      <c r="F245" t="s">
        <v>541</v>
      </c>
      <c r="G245" t="s">
        <v>1124</v>
      </c>
      <c r="H245" t="s">
        <v>542</v>
      </c>
      <c r="I245" t="s">
        <v>262</v>
      </c>
      <c r="J245" t="s">
        <v>533</v>
      </c>
      <c r="K245">
        <v>1</v>
      </c>
      <c r="L245">
        <v>1</v>
      </c>
      <c r="M245" t="s">
        <v>33</v>
      </c>
      <c r="N245">
        <v>1</v>
      </c>
      <c r="O245">
        <v>1</v>
      </c>
      <c r="P245">
        <v>1</v>
      </c>
      <c r="Q245" t="s">
        <v>52</v>
      </c>
      <c r="R245">
        <v>1</v>
      </c>
      <c r="S245">
        <v>1</v>
      </c>
      <c r="T245">
        <v>1</v>
      </c>
      <c r="U245" t="s">
        <v>1794</v>
      </c>
      <c r="V245" t="s">
        <v>1794</v>
      </c>
      <c r="W245" t="s">
        <v>1794</v>
      </c>
      <c r="X245">
        <v>1</v>
      </c>
      <c r="Y245" t="s">
        <v>1794</v>
      </c>
      <c r="Z245">
        <v>0</v>
      </c>
      <c r="AA245" t="s">
        <v>1794</v>
      </c>
      <c r="AB245" t="s">
        <v>1794</v>
      </c>
      <c r="AC245" t="s">
        <v>1794</v>
      </c>
      <c r="AD245" t="s">
        <v>1794</v>
      </c>
      <c r="AE245">
        <v>0</v>
      </c>
      <c r="AF245" t="s">
        <v>1794</v>
      </c>
      <c r="AG245" t="s">
        <v>1794</v>
      </c>
      <c r="AH245" t="s">
        <v>1794</v>
      </c>
    </row>
    <row r="246" spans="1:34" x14ac:dyDescent="0.25">
      <c r="A246" t="s">
        <v>501</v>
      </c>
      <c r="B246" t="s">
        <v>1263</v>
      </c>
      <c r="C246" t="s">
        <v>315</v>
      </c>
      <c r="D246" t="s">
        <v>259</v>
      </c>
      <c r="E246" t="s">
        <v>1794</v>
      </c>
      <c r="F246" t="s">
        <v>543</v>
      </c>
      <c r="G246" t="s">
        <v>1124</v>
      </c>
      <c r="H246" t="s">
        <v>544</v>
      </c>
      <c r="I246" t="s">
        <v>262</v>
      </c>
      <c r="J246" t="s">
        <v>536</v>
      </c>
      <c r="K246">
        <v>1</v>
      </c>
      <c r="L246">
        <v>1</v>
      </c>
      <c r="M246" t="s">
        <v>33</v>
      </c>
      <c r="N246">
        <v>1</v>
      </c>
      <c r="O246">
        <v>1</v>
      </c>
      <c r="P246">
        <v>1</v>
      </c>
      <c r="Q246" t="s">
        <v>52</v>
      </c>
      <c r="R246">
        <v>1</v>
      </c>
      <c r="S246">
        <v>1</v>
      </c>
      <c r="T246">
        <v>1</v>
      </c>
      <c r="U246" t="s">
        <v>1794</v>
      </c>
      <c r="V246" t="s">
        <v>1794</v>
      </c>
      <c r="W246" t="s">
        <v>1794</v>
      </c>
      <c r="X246">
        <v>1</v>
      </c>
      <c r="Y246" t="s">
        <v>1794</v>
      </c>
      <c r="Z246">
        <v>0</v>
      </c>
      <c r="AA246" t="s">
        <v>1794</v>
      </c>
      <c r="AB246" t="s">
        <v>1794</v>
      </c>
      <c r="AC246" t="s">
        <v>1794</v>
      </c>
      <c r="AD246" t="s">
        <v>1794</v>
      </c>
      <c r="AE246">
        <v>0</v>
      </c>
      <c r="AF246" t="s">
        <v>1794</v>
      </c>
      <c r="AG246" t="s">
        <v>1794</v>
      </c>
      <c r="AH246" t="s">
        <v>1794</v>
      </c>
    </row>
    <row r="247" spans="1:34" x14ac:dyDescent="0.25">
      <c r="A247" t="s">
        <v>501</v>
      </c>
      <c r="B247" t="s">
        <v>1263</v>
      </c>
      <c r="C247" t="s">
        <v>315</v>
      </c>
      <c r="D247" t="s">
        <v>259</v>
      </c>
      <c r="E247" t="s">
        <v>1794</v>
      </c>
      <c r="F247" t="s">
        <v>545</v>
      </c>
      <c r="G247" t="s">
        <v>1124</v>
      </c>
      <c r="H247" t="s">
        <v>546</v>
      </c>
      <c r="I247" t="s">
        <v>262</v>
      </c>
      <c r="J247" t="s">
        <v>510</v>
      </c>
      <c r="K247">
        <v>1</v>
      </c>
      <c r="L247">
        <v>1</v>
      </c>
      <c r="M247" t="s">
        <v>33</v>
      </c>
      <c r="N247">
        <v>1</v>
      </c>
      <c r="O247">
        <v>1</v>
      </c>
      <c r="P247">
        <v>1</v>
      </c>
      <c r="Q247" t="s">
        <v>52</v>
      </c>
      <c r="R247">
        <v>1</v>
      </c>
      <c r="S247">
        <v>1</v>
      </c>
      <c r="T247">
        <v>1</v>
      </c>
      <c r="U247" t="s">
        <v>1794</v>
      </c>
      <c r="V247" t="s">
        <v>1794</v>
      </c>
      <c r="W247" t="s">
        <v>1794</v>
      </c>
      <c r="X247">
        <v>1</v>
      </c>
      <c r="Y247" t="s">
        <v>1794</v>
      </c>
      <c r="Z247">
        <v>0</v>
      </c>
      <c r="AA247" t="s">
        <v>1794</v>
      </c>
      <c r="AB247" t="s">
        <v>1794</v>
      </c>
      <c r="AC247" t="s">
        <v>1794</v>
      </c>
      <c r="AD247" t="s">
        <v>1794</v>
      </c>
      <c r="AE247">
        <v>0</v>
      </c>
      <c r="AF247" t="s">
        <v>1794</v>
      </c>
      <c r="AG247" t="s">
        <v>1794</v>
      </c>
      <c r="AH247" t="s">
        <v>1794</v>
      </c>
    </row>
    <row r="248" spans="1:34" x14ac:dyDescent="0.25">
      <c r="A248" t="s">
        <v>501</v>
      </c>
      <c r="B248" t="s">
        <v>1263</v>
      </c>
      <c r="C248" t="s">
        <v>315</v>
      </c>
      <c r="D248" t="s">
        <v>259</v>
      </c>
      <c r="E248" t="s">
        <v>1794</v>
      </c>
      <c r="F248" t="s">
        <v>547</v>
      </c>
      <c r="G248" t="s">
        <v>1124</v>
      </c>
      <c r="H248" t="s">
        <v>548</v>
      </c>
      <c r="I248" t="s">
        <v>262</v>
      </c>
      <c r="J248" t="s">
        <v>536</v>
      </c>
      <c r="K248">
        <v>1</v>
      </c>
      <c r="L248">
        <v>1</v>
      </c>
      <c r="M248" t="s">
        <v>33</v>
      </c>
      <c r="N248">
        <v>1</v>
      </c>
      <c r="O248">
        <v>1</v>
      </c>
      <c r="P248">
        <v>1</v>
      </c>
      <c r="Q248" t="s">
        <v>52</v>
      </c>
      <c r="R248">
        <v>1</v>
      </c>
      <c r="S248">
        <v>1</v>
      </c>
      <c r="T248">
        <v>1</v>
      </c>
      <c r="U248" t="s">
        <v>1794</v>
      </c>
      <c r="V248" t="s">
        <v>1794</v>
      </c>
      <c r="W248" t="s">
        <v>1794</v>
      </c>
      <c r="X248">
        <v>1</v>
      </c>
      <c r="Y248" t="s">
        <v>1794</v>
      </c>
      <c r="Z248">
        <v>0</v>
      </c>
      <c r="AA248" t="s">
        <v>1794</v>
      </c>
      <c r="AB248" t="s">
        <v>1794</v>
      </c>
      <c r="AC248" t="s">
        <v>1794</v>
      </c>
      <c r="AD248" t="s">
        <v>1794</v>
      </c>
      <c r="AE248">
        <v>0</v>
      </c>
      <c r="AF248" t="s">
        <v>1794</v>
      </c>
      <c r="AG248" t="s">
        <v>1794</v>
      </c>
      <c r="AH248" t="s">
        <v>1794</v>
      </c>
    </row>
    <row r="249" spans="1:34" x14ac:dyDescent="0.25">
      <c r="A249" t="s">
        <v>459</v>
      </c>
      <c r="B249" t="s">
        <v>1262</v>
      </c>
      <c r="C249" t="s">
        <v>258</v>
      </c>
      <c r="D249" t="s">
        <v>259</v>
      </c>
      <c r="E249" t="s">
        <v>1794</v>
      </c>
      <c r="F249" t="s">
        <v>549</v>
      </c>
      <c r="G249" t="s">
        <v>1124</v>
      </c>
      <c r="H249" t="s">
        <v>550</v>
      </c>
      <c r="I249" t="s">
        <v>262</v>
      </c>
      <c r="J249" t="s">
        <v>551</v>
      </c>
      <c r="K249">
        <v>1</v>
      </c>
      <c r="L249">
        <v>32</v>
      </c>
      <c r="M249" t="s">
        <v>33</v>
      </c>
      <c r="N249">
        <v>1</v>
      </c>
      <c r="O249">
        <v>0</v>
      </c>
      <c r="P249">
        <v>0</v>
      </c>
      <c r="Q249" t="s">
        <v>52</v>
      </c>
      <c r="R249">
        <v>32</v>
      </c>
      <c r="S249">
        <v>32</v>
      </c>
      <c r="T249">
        <v>32</v>
      </c>
      <c r="U249" t="s">
        <v>1794</v>
      </c>
      <c r="V249" t="s">
        <v>1794</v>
      </c>
      <c r="W249" t="s">
        <v>1794</v>
      </c>
      <c r="X249">
        <v>1</v>
      </c>
      <c r="Y249" t="s">
        <v>1794</v>
      </c>
      <c r="Z249">
        <v>0</v>
      </c>
      <c r="AA249" t="s">
        <v>1794</v>
      </c>
      <c r="AB249" t="s">
        <v>1794</v>
      </c>
      <c r="AC249" t="s">
        <v>1794</v>
      </c>
      <c r="AD249" t="s">
        <v>1794</v>
      </c>
      <c r="AE249">
        <v>0</v>
      </c>
      <c r="AF249" t="s">
        <v>1794</v>
      </c>
      <c r="AG249" t="s">
        <v>1794</v>
      </c>
      <c r="AH249" t="s">
        <v>1794</v>
      </c>
    </row>
    <row r="250" spans="1:34" x14ac:dyDescent="0.25">
      <c r="A250" t="s">
        <v>389</v>
      </c>
      <c r="B250" t="s">
        <v>1265</v>
      </c>
      <c r="C250" t="s">
        <v>258</v>
      </c>
      <c r="D250" t="s">
        <v>259</v>
      </c>
      <c r="E250" t="s">
        <v>1794</v>
      </c>
      <c r="F250" t="s">
        <v>549</v>
      </c>
      <c r="G250" t="s">
        <v>1124</v>
      </c>
      <c r="H250" t="s">
        <v>550</v>
      </c>
      <c r="I250" t="s">
        <v>262</v>
      </c>
      <c r="J250" t="s">
        <v>551</v>
      </c>
      <c r="K250">
        <v>1</v>
      </c>
      <c r="L250">
        <v>32</v>
      </c>
      <c r="M250" t="s">
        <v>33</v>
      </c>
      <c r="N250">
        <v>1</v>
      </c>
      <c r="O250">
        <v>0</v>
      </c>
      <c r="P250">
        <v>0</v>
      </c>
      <c r="Q250" t="s">
        <v>52</v>
      </c>
      <c r="R250">
        <v>32</v>
      </c>
      <c r="S250">
        <v>32</v>
      </c>
      <c r="T250">
        <v>32</v>
      </c>
      <c r="U250" t="s">
        <v>1794</v>
      </c>
      <c r="V250" t="s">
        <v>1794</v>
      </c>
      <c r="W250" t="s">
        <v>1794</v>
      </c>
      <c r="X250">
        <v>1</v>
      </c>
      <c r="Y250" t="s">
        <v>1794</v>
      </c>
      <c r="Z250">
        <v>0</v>
      </c>
      <c r="AA250" t="s">
        <v>1794</v>
      </c>
      <c r="AB250" t="s">
        <v>1794</v>
      </c>
      <c r="AC250" t="s">
        <v>1794</v>
      </c>
      <c r="AD250" t="s">
        <v>1794</v>
      </c>
      <c r="AE250">
        <v>0</v>
      </c>
      <c r="AF250" t="s">
        <v>1794</v>
      </c>
      <c r="AG250" t="s">
        <v>1794</v>
      </c>
      <c r="AH250" t="s">
        <v>1794</v>
      </c>
    </row>
    <row r="251" spans="1:34" x14ac:dyDescent="0.25">
      <c r="A251" t="s">
        <v>1305</v>
      </c>
      <c r="B251" t="s">
        <v>1306</v>
      </c>
      <c r="C251" t="s">
        <v>258</v>
      </c>
      <c r="D251" t="s">
        <v>259</v>
      </c>
      <c r="E251" t="s">
        <v>1794</v>
      </c>
      <c r="F251" t="s">
        <v>549</v>
      </c>
      <c r="G251" t="s">
        <v>1794</v>
      </c>
      <c r="H251" t="s">
        <v>550</v>
      </c>
      <c r="I251" t="s">
        <v>262</v>
      </c>
      <c r="J251" t="s">
        <v>551</v>
      </c>
      <c r="K251">
        <v>1</v>
      </c>
      <c r="L251">
        <v>32</v>
      </c>
      <c r="M251" t="s">
        <v>33</v>
      </c>
      <c r="N251">
        <v>1</v>
      </c>
      <c r="O251">
        <v>0</v>
      </c>
      <c r="P251">
        <v>0</v>
      </c>
      <c r="Q251" t="s">
        <v>52</v>
      </c>
      <c r="R251">
        <v>32</v>
      </c>
      <c r="S251">
        <v>32</v>
      </c>
      <c r="T251">
        <v>32</v>
      </c>
      <c r="U251" t="s">
        <v>1794</v>
      </c>
      <c r="V251" t="s">
        <v>1794</v>
      </c>
      <c r="W251" t="s">
        <v>1794</v>
      </c>
      <c r="X251">
        <v>1</v>
      </c>
      <c r="Y251" t="s">
        <v>1794</v>
      </c>
      <c r="Z251">
        <v>0</v>
      </c>
      <c r="AA251" t="s">
        <v>1794</v>
      </c>
      <c r="AB251" t="s">
        <v>1794</v>
      </c>
      <c r="AC251" t="s">
        <v>1794</v>
      </c>
      <c r="AD251" t="s">
        <v>1794</v>
      </c>
      <c r="AE251">
        <v>0</v>
      </c>
      <c r="AF251" t="s">
        <v>1794</v>
      </c>
      <c r="AG251" t="s">
        <v>1794</v>
      </c>
      <c r="AH251" t="s">
        <v>1794</v>
      </c>
    </row>
    <row r="252" spans="1:34" x14ac:dyDescent="0.25">
      <c r="A252" t="s">
        <v>1307</v>
      </c>
      <c r="B252" t="s">
        <v>1308</v>
      </c>
      <c r="C252" t="s">
        <v>258</v>
      </c>
      <c r="D252" t="s">
        <v>259</v>
      </c>
      <c r="E252" t="s">
        <v>1794</v>
      </c>
      <c r="F252" t="s">
        <v>549</v>
      </c>
      <c r="G252" t="s">
        <v>1124</v>
      </c>
      <c r="H252" t="s">
        <v>550</v>
      </c>
      <c r="I252" t="s">
        <v>262</v>
      </c>
      <c r="J252" t="s">
        <v>551</v>
      </c>
      <c r="K252">
        <v>1</v>
      </c>
      <c r="L252">
        <v>32</v>
      </c>
      <c r="M252" t="s">
        <v>33</v>
      </c>
      <c r="N252">
        <v>1</v>
      </c>
      <c r="O252">
        <v>0</v>
      </c>
      <c r="P252">
        <v>0</v>
      </c>
      <c r="Q252" t="s">
        <v>52</v>
      </c>
      <c r="R252">
        <v>32</v>
      </c>
      <c r="S252">
        <v>32</v>
      </c>
      <c r="T252">
        <v>32</v>
      </c>
      <c r="U252" t="s">
        <v>1794</v>
      </c>
      <c r="V252" t="s">
        <v>1794</v>
      </c>
      <c r="W252" t="s">
        <v>1794</v>
      </c>
      <c r="X252">
        <v>1</v>
      </c>
      <c r="Y252" t="s">
        <v>1794</v>
      </c>
      <c r="Z252">
        <v>0</v>
      </c>
      <c r="AA252" t="s">
        <v>1794</v>
      </c>
      <c r="AB252" t="s">
        <v>1794</v>
      </c>
      <c r="AC252" t="s">
        <v>1794</v>
      </c>
      <c r="AD252" t="s">
        <v>1794</v>
      </c>
      <c r="AE252">
        <v>0</v>
      </c>
      <c r="AF252" t="s">
        <v>1794</v>
      </c>
      <c r="AG252" t="s">
        <v>1794</v>
      </c>
      <c r="AH252" t="s">
        <v>1794</v>
      </c>
    </row>
    <row r="253" spans="1:34" x14ac:dyDescent="0.25">
      <c r="A253" t="s">
        <v>1087</v>
      </c>
      <c r="B253" t="s">
        <v>1251</v>
      </c>
      <c r="C253" t="s">
        <v>460</v>
      </c>
      <c r="D253" t="s">
        <v>259</v>
      </c>
      <c r="E253" t="s">
        <v>1794</v>
      </c>
      <c r="F253" t="s">
        <v>552</v>
      </c>
      <c r="G253" t="s">
        <v>1124</v>
      </c>
      <c r="H253" t="s">
        <v>553</v>
      </c>
      <c r="I253" t="s">
        <v>262</v>
      </c>
      <c r="J253" t="s">
        <v>279</v>
      </c>
      <c r="K253">
        <v>1</v>
      </c>
      <c r="L253">
        <v>16</v>
      </c>
      <c r="M253" t="s">
        <v>33</v>
      </c>
      <c r="N253">
        <v>1</v>
      </c>
      <c r="O253">
        <v>0</v>
      </c>
      <c r="P253">
        <v>0</v>
      </c>
      <c r="Q253" t="s">
        <v>52</v>
      </c>
      <c r="R253">
        <v>16</v>
      </c>
      <c r="S253">
        <v>16</v>
      </c>
      <c r="T253">
        <v>16</v>
      </c>
      <c r="U253" t="s">
        <v>1794</v>
      </c>
      <c r="V253" t="s">
        <v>1794</v>
      </c>
      <c r="W253" t="s">
        <v>1794</v>
      </c>
      <c r="X253">
        <v>1</v>
      </c>
      <c r="Y253" t="s">
        <v>1794</v>
      </c>
      <c r="Z253">
        <v>0</v>
      </c>
      <c r="AA253" t="s">
        <v>1794</v>
      </c>
      <c r="AB253" t="s">
        <v>1794</v>
      </c>
      <c r="AC253" t="s">
        <v>1794</v>
      </c>
      <c r="AD253" t="s">
        <v>1794</v>
      </c>
      <c r="AE253">
        <v>0</v>
      </c>
      <c r="AF253" t="s">
        <v>1794</v>
      </c>
      <c r="AG253" t="s">
        <v>1794</v>
      </c>
      <c r="AH253" t="s">
        <v>1794</v>
      </c>
    </row>
    <row r="254" spans="1:34" x14ac:dyDescent="0.25">
      <c r="A254" t="s">
        <v>1260</v>
      </c>
      <c r="B254" t="s">
        <v>1261</v>
      </c>
      <c r="C254" t="s">
        <v>460</v>
      </c>
      <c r="D254" t="s">
        <v>259</v>
      </c>
      <c r="E254" t="s">
        <v>1794</v>
      </c>
      <c r="F254" t="s">
        <v>552</v>
      </c>
      <c r="G254" t="s">
        <v>1124</v>
      </c>
      <c r="H254" t="s">
        <v>553</v>
      </c>
      <c r="I254" t="s">
        <v>262</v>
      </c>
      <c r="J254" t="s">
        <v>279</v>
      </c>
      <c r="K254">
        <v>1</v>
      </c>
      <c r="L254">
        <v>16</v>
      </c>
      <c r="M254" t="s">
        <v>33</v>
      </c>
      <c r="N254">
        <v>1</v>
      </c>
      <c r="O254">
        <v>0</v>
      </c>
      <c r="P254">
        <v>0</v>
      </c>
      <c r="Q254" t="s">
        <v>52</v>
      </c>
      <c r="R254">
        <v>16</v>
      </c>
      <c r="S254">
        <v>16</v>
      </c>
      <c r="T254">
        <v>16</v>
      </c>
      <c r="U254" t="s">
        <v>1794</v>
      </c>
      <c r="V254" t="s">
        <v>1794</v>
      </c>
      <c r="W254" t="s">
        <v>1794</v>
      </c>
      <c r="X254">
        <v>1</v>
      </c>
      <c r="Y254" t="s">
        <v>1794</v>
      </c>
      <c r="Z254">
        <v>0</v>
      </c>
      <c r="AA254" t="s">
        <v>1794</v>
      </c>
      <c r="AB254" t="s">
        <v>1794</v>
      </c>
      <c r="AC254" t="s">
        <v>1794</v>
      </c>
      <c r="AD254" t="s">
        <v>1794</v>
      </c>
      <c r="AE254">
        <v>0</v>
      </c>
      <c r="AF254" t="s">
        <v>1794</v>
      </c>
      <c r="AG254" t="s">
        <v>1794</v>
      </c>
      <c r="AH254" t="s">
        <v>1794</v>
      </c>
    </row>
    <row r="255" spans="1:34" x14ac:dyDescent="0.25">
      <c r="A255" t="s">
        <v>1087</v>
      </c>
      <c r="B255" t="s">
        <v>1251</v>
      </c>
      <c r="C255" t="s">
        <v>460</v>
      </c>
      <c r="D255" t="s">
        <v>259</v>
      </c>
      <c r="E255" t="s">
        <v>1794</v>
      </c>
      <c r="F255" t="s">
        <v>554</v>
      </c>
      <c r="G255" t="s">
        <v>1124</v>
      </c>
      <c r="H255" t="s">
        <v>555</v>
      </c>
      <c r="I255" t="s">
        <v>262</v>
      </c>
      <c r="J255" t="s">
        <v>279</v>
      </c>
      <c r="K255">
        <v>1</v>
      </c>
      <c r="L255">
        <v>16</v>
      </c>
      <c r="M255" t="s">
        <v>33</v>
      </c>
      <c r="N255">
        <v>1</v>
      </c>
      <c r="O255">
        <v>0</v>
      </c>
      <c r="P255">
        <v>0</v>
      </c>
      <c r="Q255" t="s">
        <v>52</v>
      </c>
      <c r="R255">
        <v>16</v>
      </c>
      <c r="S255">
        <v>16</v>
      </c>
      <c r="T255">
        <v>16</v>
      </c>
      <c r="U255" t="s">
        <v>1794</v>
      </c>
      <c r="V255" t="s">
        <v>1794</v>
      </c>
      <c r="W255" t="s">
        <v>1794</v>
      </c>
      <c r="X255">
        <v>1</v>
      </c>
      <c r="Y255" t="s">
        <v>1794</v>
      </c>
      <c r="Z255">
        <v>0</v>
      </c>
      <c r="AA255" t="s">
        <v>1794</v>
      </c>
      <c r="AB255" t="s">
        <v>1794</v>
      </c>
      <c r="AC255" t="s">
        <v>1794</v>
      </c>
      <c r="AD255" t="s">
        <v>1794</v>
      </c>
      <c r="AE255">
        <v>0</v>
      </c>
      <c r="AF255" t="s">
        <v>1794</v>
      </c>
      <c r="AG255" t="s">
        <v>1794</v>
      </c>
      <c r="AH255" t="s">
        <v>1794</v>
      </c>
    </row>
    <row r="256" spans="1:34" x14ac:dyDescent="0.25">
      <c r="A256" t="s">
        <v>1260</v>
      </c>
      <c r="B256" t="s">
        <v>1261</v>
      </c>
      <c r="C256" t="s">
        <v>460</v>
      </c>
      <c r="D256" t="s">
        <v>259</v>
      </c>
      <c r="E256" t="s">
        <v>1794</v>
      </c>
      <c r="F256" t="s">
        <v>554</v>
      </c>
      <c r="G256" t="s">
        <v>1124</v>
      </c>
      <c r="H256" t="s">
        <v>555</v>
      </c>
      <c r="I256" t="s">
        <v>262</v>
      </c>
      <c r="J256" t="s">
        <v>279</v>
      </c>
      <c r="K256">
        <v>1</v>
      </c>
      <c r="L256">
        <v>16</v>
      </c>
      <c r="M256" t="s">
        <v>33</v>
      </c>
      <c r="N256">
        <v>1</v>
      </c>
      <c r="O256">
        <v>0</v>
      </c>
      <c r="P256">
        <v>0</v>
      </c>
      <c r="Q256" t="s">
        <v>52</v>
      </c>
      <c r="R256">
        <v>16</v>
      </c>
      <c r="S256">
        <v>16</v>
      </c>
      <c r="T256">
        <v>16</v>
      </c>
      <c r="U256" t="s">
        <v>1794</v>
      </c>
      <c r="V256" t="s">
        <v>1794</v>
      </c>
      <c r="W256" t="s">
        <v>1794</v>
      </c>
      <c r="X256">
        <v>1</v>
      </c>
      <c r="Y256" t="s">
        <v>1794</v>
      </c>
      <c r="Z256">
        <v>0</v>
      </c>
      <c r="AA256" t="s">
        <v>1794</v>
      </c>
      <c r="AB256" t="s">
        <v>1794</v>
      </c>
      <c r="AC256" t="s">
        <v>1794</v>
      </c>
      <c r="AD256" t="s">
        <v>1794</v>
      </c>
      <c r="AE256">
        <v>0</v>
      </c>
      <c r="AF256" t="s">
        <v>1794</v>
      </c>
      <c r="AG256" t="s">
        <v>1794</v>
      </c>
      <c r="AH256" t="s">
        <v>1794</v>
      </c>
    </row>
    <row r="257" spans="1:34" x14ac:dyDescent="0.25">
      <c r="A257" t="s">
        <v>1087</v>
      </c>
      <c r="B257" t="s">
        <v>1251</v>
      </c>
      <c r="C257" t="s">
        <v>460</v>
      </c>
      <c r="D257" t="s">
        <v>259</v>
      </c>
      <c r="E257" t="s">
        <v>1794</v>
      </c>
      <c r="F257" t="s">
        <v>556</v>
      </c>
      <c r="G257" t="s">
        <v>1124</v>
      </c>
      <c r="H257" t="s">
        <v>557</v>
      </c>
      <c r="I257" t="s">
        <v>262</v>
      </c>
      <c r="J257" t="s">
        <v>301</v>
      </c>
      <c r="K257">
        <v>1</v>
      </c>
      <c r="L257">
        <v>14</v>
      </c>
      <c r="M257" t="s">
        <v>33</v>
      </c>
      <c r="N257">
        <v>1</v>
      </c>
      <c r="O257">
        <v>0</v>
      </c>
      <c r="P257">
        <v>0</v>
      </c>
      <c r="Q257" t="s">
        <v>52</v>
      </c>
      <c r="R257">
        <v>14</v>
      </c>
      <c r="S257">
        <v>14</v>
      </c>
      <c r="T257">
        <v>14</v>
      </c>
      <c r="U257" t="s">
        <v>1794</v>
      </c>
      <c r="V257" t="s">
        <v>1794</v>
      </c>
      <c r="W257" t="s">
        <v>1794</v>
      </c>
      <c r="X257">
        <v>1</v>
      </c>
      <c r="Y257" t="s">
        <v>1794</v>
      </c>
      <c r="Z257">
        <v>0</v>
      </c>
      <c r="AA257" t="s">
        <v>1794</v>
      </c>
      <c r="AB257" t="s">
        <v>1794</v>
      </c>
      <c r="AC257" t="s">
        <v>1794</v>
      </c>
      <c r="AD257" t="s">
        <v>1794</v>
      </c>
      <c r="AE257">
        <v>0</v>
      </c>
      <c r="AF257" t="s">
        <v>1794</v>
      </c>
      <c r="AG257" t="s">
        <v>1794</v>
      </c>
      <c r="AH257" t="s">
        <v>1794</v>
      </c>
    </row>
    <row r="258" spans="1:34" x14ac:dyDescent="0.25">
      <c r="A258" t="s">
        <v>1260</v>
      </c>
      <c r="B258" t="s">
        <v>1261</v>
      </c>
      <c r="C258" t="s">
        <v>460</v>
      </c>
      <c r="D258" t="s">
        <v>259</v>
      </c>
      <c r="E258" t="s">
        <v>1794</v>
      </c>
      <c r="F258" t="s">
        <v>556</v>
      </c>
      <c r="G258" t="s">
        <v>1124</v>
      </c>
      <c r="H258" t="s">
        <v>557</v>
      </c>
      <c r="I258" t="s">
        <v>262</v>
      </c>
      <c r="J258" t="s">
        <v>301</v>
      </c>
      <c r="K258">
        <v>1</v>
      </c>
      <c r="L258">
        <v>14</v>
      </c>
      <c r="M258" t="s">
        <v>33</v>
      </c>
      <c r="N258">
        <v>1</v>
      </c>
      <c r="O258">
        <v>0</v>
      </c>
      <c r="P258">
        <v>0</v>
      </c>
      <c r="Q258" t="s">
        <v>52</v>
      </c>
      <c r="R258">
        <v>14</v>
      </c>
      <c r="S258">
        <v>14</v>
      </c>
      <c r="T258">
        <v>14</v>
      </c>
      <c r="U258" t="s">
        <v>1794</v>
      </c>
      <c r="V258" t="s">
        <v>1794</v>
      </c>
      <c r="W258" t="s">
        <v>1794</v>
      </c>
      <c r="X258">
        <v>1</v>
      </c>
      <c r="Y258" t="s">
        <v>1794</v>
      </c>
      <c r="Z258">
        <v>0</v>
      </c>
      <c r="AA258" t="s">
        <v>1794</v>
      </c>
      <c r="AB258" t="s">
        <v>1794</v>
      </c>
      <c r="AC258" t="s">
        <v>1794</v>
      </c>
      <c r="AD258" t="s">
        <v>1794</v>
      </c>
      <c r="AE258">
        <v>0</v>
      </c>
      <c r="AF258" t="s">
        <v>1794</v>
      </c>
      <c r="AG258" t="s">
        <v>1794</v>
      </c>
      <c r="AH258" t="s">
        <v>1794</v>
      </c>
    </row>
    <row r="259" spans="1:34" x14ac:dyDescent="0.25">
      <c r="A259" t="s">
        <v>1087</v>
      </c>
      <c r="B259" t="s">
        <v>1251</v>
      </c>
      <c r="C259" t="s">
        <v>460</v>
      </c>
      <c r="D259" t="s">
        <v>259</v>
      </c>
      <c r="E259" t="s">
        <v>1794</v>
      </c>
      <c r="F259" t="s">
        <v>558</v>
      </c>
      <c r="G259" t="s">
        <v>1124</v>
      </c>
      <c r="H259" t="s">
        <v>559</v>
      </c>
      <c r="I259" t="s">
        <v>262</v>
      </c>
      <c r="J259" t="s">
        <v>301</v>
      </c>
      <c r="K259">
        <v>1</v>
      </c>
      <c r="L259">
        <v>14</v>
      </c>
      <c r="M259" t="s">
        <v>33</v>
      </c>
      <c r="N259">
        <v>1</v>
      </c>
      <c r="O259">
        <v>0</v>
      </c>
      <c r="P259">
        <v>0</v>
      </c>
      <c r="Q259" t="s">
        <v>52</v>
      </c>
      <c r="R259">
        <v>14</v>
      </c>
      <c r="S259">
        <v>14</v>
      </c>
      <c r="T259">
        <v>14</v>
      </c>
      <c r="U259" t="s">
        <v>1794</v>
      </c>
      <c r="V259" t="s">
        <v>1794</v>
      </c>
      <c r="W259" t="s">
        <v>1794</v>
      </c>
      <c r="X259">
        <v>1</v>
      </c>
      <c r="Y259" t="s">
        <v>1794</v>
      </c>
      <c r="Z259">
        <v>0</v>
      </c>
      <c r="AA259" t="s">
        <v>1794</v>
      </c>
      <c r="AB259" t="s">
        <v>1794</v>
      </c>
      <c r="AC259" t="s">
        <v>1794</v>
      </c>
      <c r="AD259" t="s">
        <v>1794</v>
      </c>
      <c r="AE259">
        <v>0</v>
      </c>
      <c r="AF259" t="s">
        <v>1794</v>
      </c>
      <c r="AG259" t="s">
        <v>1794</v>
      </c>
      <c r="AH259" t="s">
        <v>1794</v>
      </c>
    </row>
    <row r="260" spans="1:34" x14ac:dyDescent="0.25">
      <c r="A260" t="s">
        <v>1260</v>
      </c>
      <c r="B260" t="s">
        <v>1261</v>
      </c>
      <c r="C260" t="s">
        <v>460</v>
      </c>
      <c r="D260" t="s">
        <v>259</v>
      </c>
      <c r="E260" t="s">
        <v>1794</v>
      </c>
      <c r="F260" t="s">
        <v>558</v>
      </c>
      <c r="G260" t="s">
        <v>1124</v>
      </c>
      <c r="H260" t="s">
        <v>559</v>
      </c>
      <c r="I260" t="s">
        <v>262</v>
      </c>
      <c r="J260" t="s">
        <v>301</v>
      </c>
      <c r="K260">
        <v>1</v>
      </c>
      <c r="L260">
        <v>14</v>
      </c>
      <c r="M260" t="s">
        <v>33</v>
      </c>
      <c r="N260">
        <v>1</v>
      </c>
      <c r="O260">
        <v>0</v>
      </c>
      <c r="P260">
        <v>0</v>
      </c>
      <c r="Q260" t="s">
        <v>52</v>
      </c>
      <c r="R260">
        <v>14</v>
      </c>
      <c r="S260">
        <v>14</v>
      </c>
      <c r="T260">
        <v>14</v>
      </c>
      <c r="U260" t="s">
        <v>1794</v>
      </c>
      <c r="V260" t="s">
        <v>1794</v>
      </c>
      <c r="W260" t="s">
        <v>1794</v>
      </c>
      <c r="X260">
        <v>1</v>
      </c>
      <c r="Y260" t="s">
        <v>1794</v>
      </c>
      <c r="Z260">
        <v>0</v>
      </c>
      <c r="AA260" t="s">
        <v>1794</v>
      </c>
      <c r="AB260" t="s">
        <v>1794</v>
      </c>
      <c r="AC260" t="s">
        <v>1794</v>
      </c>
      <c r="AD260" t="s">
        <v>1794</v>
      </c>
      <c r="AE260">
        <v>0</v>
      </c>
      <c r="AF260" t="s">
        <v>1794</v>
      </c>
      <c r="AG260" t="s">
        <v>1794</v>
      </c>
      <c r="AH260" t="s">
        <v>1794</v>
      </c>
    </row>
    <row r="261" spans="1:34" x14ac:dyDescent="0.25">
      <c r="A261" t="s">
        <v>1087</v>
      </c>
      <c r="B261" t="s">
        <v>1251</v>
      </c>
      <c r="C261" t="s">
        <v>460</v>
      </c>
      <c r="D261" t="s">
        <v>259</v>
      </c>
      <c r="E261" t="s">
        <v>1794</v>
      </c>
      <c r="F261" t="s">
        <v>560</v>
      </c>
      <c r="G261" t="s">
        <v>1124</v>
      </c>
      <c r="H261" t="s">
        <v>561</v>
      </c>
      <c r="I261" t="s">
        <v>262</v>
      </c>
      <c r="J261" t="s">
        <v>562</v>
      </c>
      <c r="K261">
        <v>1</v>
      </c>
      <c r="L261">
        <v>1</v>
      </c>
      <c r="M261" t="s">
        <v>33</v>
      </c>
      <c r="N261">
        <v>1</v>
      </c>
      <c r="O261">
        <v>1</v>
      </c>
      <c r="P261">
        <v>1</v>
      </c>
      <c r="Q261" t="s">
        <v>52</v>
      </c>
      <c r="R261">
        <v>1</v>
      </c>
      <c r="S261">
        <v>1</v>
      </c>
      <c r="T261">
        <v>1</v>
      </c>
      <c r="U261" t="s">
        <v>1794</v>
      </c>
      <c r="V261" t="s">
        <v>1794</v>
      </c>
      <c r="W261" t="s">
        <v>1794</v>
      </c>
      <c r="X261">
        <v>1</v>
      </c>
      <c r="Y261" t="s">
        <v>1794</v>
      </c>
      <c r="Z261">
        <v>0</v>
      </c>
      <c r="AA261" t="s">
        <v>1794</v>
      </c>
      <c r="AB261" t="s">
        <v>1794</v>
      </c>
      <c r="AC261" t="s">
        <v>1794</v>
      </c>
      <c r="AD261" t="s">
        <v>1794</v>
      </c>
      <c r="AE261">
        <v>0</v>
      </c>
      <c r="AF261" t="s">
        <v>1794</v>
      </c>
      <c r="AG261" t="s">
        <v>1794</v>
      </c>
      <c r="AH261" t="s">
        <v>1794</v>
      </c>
    </row>
    <row r="262" spans="1:34" x14ac:dyDescent="0.25">
      <c r="A262" t="s">
        <v>1260</v>
      </c>
      <c r="B262" t="s">
        <v>1261</v>
      </c>
      <c r="C262" t="s">
        <v>460</v>
      </c>
      <c r="D262" t="s">
        <v>259</v>
      </c>
      <c r="E262" t="s">
        <v>1794</v>
      </c>
      <c r="F262" t="s">
        <v>560</v>
      </c>
      <c r="G262" t="s">
        <v>1124</v>
      </c>
      <c r="H262" t="s">
        <v>561</v>
      </c>
      <c r="I262" t="s">
        <v>262</v>
      </c>
      <c r="J262" t="s">
        <v>562</v>
      </c>
      <c r="K262">
        <v>1</v>
      </c>
      <c r="L262">
        <v>1</v>
      </c>
      <c r="M262" t="s">
        <v>33</v>
      </c>
      <c r="N262">
        <v>1</v>
      </c>
      <c r="O262">
        <v>1</v>
      </c>
      <c r="P262">
        <v>1</v>
      </c>
      <c r="Q262" t="s">
        <v>52</v>
      </c>
      <c r="R262">
        <v>1</v>
      </c>
      <c r="S262">
        <v>1</v>
      </c>
      <c r="T262">
        <v>1</v>
      </c>
      <c r="U262" t="s">
        <v>1794</v>
      </c>
      <c r="V262" t="s">
        <v>1794</v>
      </c>
      <c r="W262" t="s">
        <v>1794</v>
      </c>
      <c r="X262">
        <v>1</v>
      </c>
      <c r="Y262" t="s">
        <v>1794</v>
      </c>
      <c r="Z262">
        <v>0</v>
      </c>
      <c r="AA262" t="s">
        <v>1794</v>
      </c>
      <c r="AB262" t="s">
        <v>1794</v>
      </c>
      <c r="AC262" t="s">
        <v>1794</v>
      </c>
      <c r="AD262" t="s">
        <v>1794</v>
      </c>
      <c r="AE262">
        <v>0</v>
      </c>
      <c r="AF262" t="s">
        <v>1794</v>
      </c>
      <c r="AG262" t="s">
        <v>1794</v>
      </c>
      <c r="AH262" t="s">
        <v>1794</v>
      </c>
    </row>
    <row r="263" spans="1:34" x14ac:dyDescent="0.25">
      <c r="A263" t="s">
        <v>1087</v>
      </c>
      <c r="B263" t="s">
        <v>1251</v>
      </c>
      <c r="C263" t="s">
        <v>460</v>
      </c>
      <c r="D263" t="s">
        <v>259</v>
      </c>
      <c r="E263" t="s">
        <v>1794</v>
      </c>
      <c r="F263" t="s">
        <v>563</v>
      </c>
      <c r="G263" t="s">
        <v>1124</v>
      </c>
      <c r="H263" t="s">
        <v>564</v>
      </c>
      <c r="I263" t="s">
        <v>262</v>
      </c>
      <c r="J263" t="s">
        <v>562</v>
      </c>
      <c r="K263">
        <v>1</v>
      </c>
      <c r="L263">
        <v>1</v>
      </c>
      <c r="M263" t="s">
        <v>33</v>
      </c>
      <c r="N263">
        <v>1</v>
      </c>
      <c r="O263">
        <v>1</v>
      </c>
      <c r="P263">
        <v>1</v>
      </c>
      <c r="Q263" t="s">
        <v>52</v>
      </c>
      <c r="R263">
        <v>1</v>
      </c>
      <c r="S263">
        <v>1</v>
      </c>
      <c r="T263">
        <v>1</v>
      </c>
      <c r="U263" t="s">
        <v>1794</v>
      </c>
      <c r="V263" t="s">
        <v>1794</v>
      </c>
      <c r="W263" t="s">
        <v>1794</v>
      </c>
      <c r="X263">
        <v>1</v>
      </c>
      <c r="Y263" t="s">
        <v>1794</v>
      </c>
      <c r="Z263">
        <v>0</v>
      </c>
      <c r="AA263" t="s">
        <v>1794</v>
      </c>
      <c r="AB263" t="s">
        <v>1794</v>
      </c>
      <c r="AC263" t="s">
        <v>1794</v>
      </c>
      <c r="AD263" t="s">
        <v>1794</v>
      </c>
      <c r="AE263">
        <v>0</v>
      </c>
      <c r="AF263" t="s">
        <v>1794</v>
      </c>
      <c r="AG263" t="s">
        <v>1794</v>
      </c>
      <c r="AH263" t="s">
        <v>1794</v>
      </c>
    </row>
    <row r="264" spans="1:34" x14ac:dyDescent="0.25">
      <c r="A264" t="s">
        <v>1260</v>
      </c>
      <c r="B264" t="s">
        <v>1261</v>
      </c>
      <c r="C264" t="s">
        <v>460</v>
      </c>
      <c r="D264" t="s">
        <v>259</v>
      </c>
      <c r="E264" t="s">
        <v>1794</v>
      </c>
      <c r="F264" t="s">
        <v>563</v>
      </c>
      <c r="G264" t="s">
        <v>1124</v>
      </c>
      <c r="H264" t="s">
        <v>564</v>
      </c>
      <c r="I264" t="s">
        <v>262</v>
      </c>
      <c r="J264" t="s">
        <v>562</v>
      </c>
      <c r="K264">
        <v>1</v>
      </c>
      <c r="L264">
        <v>1</v>
      </c>
      <c r="M264" t="s">
        <v>33</v>
      </c>
      <c r="N264">
        <v>1</v>
      </c>
      <c r="O264">
        <v>1</v>
      </c>
      <c r="P264">
        <v>1</v>
      </c>
      <c r="Q264" t="s">
        <v>52</v>
      </c>
      <c r="R264">
        <v>1</v>
      </c>
      <c r="S264">
        <v>1</v>
      </c>
      <c r="T264">
        <v>1</v>
      </c>
      <c r="U264" t="s">
        <v>1794</v>
      </c>
      <c r="V264" t="s">
        <v>1794</v>
      </c>
      <c r="W264" t="s">
        <v>1794</v>
      </c>
      <c r="X264">
        <v>1</v>
      </c>
      <c r="Y264" t="s">
        <v>1794</v>
      </c>
      <c r="Z264">
        <v>0</v>
      </c>
      <c r="AA264" t="s">
        <v>1794</v>
      </c>
      <c r="AB264" t="s">
        <v>1794</v>
      </c>
      <c r="AC264" t="s">
        <v>1794</v>
      </c>
      <c r="AD264" t="s">
        <v>1794</v>
      </c>
      <c r="AE264">
        <v>0</v>
      </c>
      <c r="AF264" t="s">
        <v>1794</v>
      </c>
      <c r="AG264" t="s">
        <v>1794</v>
      </c>
      <c r="AH264" t="s">
        <v>1794</v>
      </c>
    </row>
    <row r="265" spans="1:34" x14ac:dyDescent="0.25">
      <c r="A265" t="s">
        <v>1087</v>
      </c>
      <c r="B265" t="s">
        <v>1251</v>
      </c>
      <c r="C265" t="s">
        <v>460</v>
      </c>
      <c r="D265" t="s">
        <v>259</v>
      </c>
      <c r="E265" t="s">
        <v>1794</v>
      </c>
      <c r="F265" t="s">
        <v>565</v>
      </c>
      <c r="G265" t="s">
        <v>1124</v>
      </c>
      <c r="H265" t="s">
        <v>566</v>
      </c>
      <c r="I265" t="s">
        <v>262</v>
      </c>
      <c r="J265" t="s">
        <v>567</v>
      </c>
      <c r="K265">
        <v>1</v>
      </c>
      <c r="L265">
        <v>1</v>
      </c>
      <c r="M265" t="s">
        <v>33</v>
      </c>
      <c r="N265">
        <v>1</v>
      </c>
      <c r="O265">
        <v>1</v>
      </c>
      <c r="P265">
        <v>1</v>
      </c>
      <c r="Q265" t="s">
        <v>52</v>
      </c>
      <c r="R265">
        <v>1</v>
      </c>
      <c r="S265">
        <v>1</v>
      </c>
      <c r="T265">
        <v>1</v>
      </c>
      <c r="U265" t="s">
        <v>1794</v>
      </c>
      <c r="V265" t="s">
        <v>1794</v>
      </c>
      <c r="W265" t="s">
        <v>1794</v>
      </c>
      <c r="X265">
        <v>1</v>
      </c>
      <c r="Y265" t="s">
        <v>1794</v>
      </c>
      <c r="Z265">
        <v>0</v>
      </c>
      <c r="AA265" t="s">
        <v>1794</v>
      </c>
      <c r="AB265" t="s">
        <v>1794</v>
      </c>
      <c r="AC265" t="s">
        <v>1794</v>
      </c>
      <c r="AD265" t="s">
        <v>1794</v>
      </c>
      <c r="AE265">
        <v>0</v>
      </c>
      <c r="AF265" t="s">
        <v>1794</v>
      </c>
      <c r="AG265" t="s">
        <v>1794</v>
      </c>
      <c r="AH265" t="s">
        <v>1794</v>
      </c>
    </row>
    <row r="266" spans="1:34" x14ac:dyDescent="0.25">
      <c r="A266" t="s">
        <v>1260</v>
      </c>
      <c r="B266" t="s">
        <v>1261</v>
      </c>
      <c r="C266" t="s">
        <v>460</v>
      </c>
      <c r="D266" t="s">
        <v>259</v>
      </c>
      <c r="E266" t="s">
        <v>1794</v>
      </c>
      <c r="F266" t="s">
        <v>565</v>
      </c>
      <c r="G266" t="s">
        <v>1124</v>
      </c>
      <c r="H266" t="s">
        <v>566</v>
      </c>
      <c r="I266" t="s">
        <v>262</v>
      </c>
      <c r="J266" t="s">
        <v>567</v>
      </c>
      <c r="K266">
        <v>1</v>
      </c>
      <c r="L266">
        <v>1</v>
      </c>
      <c r="M266" t="s">
        <v>33</v>
      </c>
      <c r="N266">
        <v>1</v>
      </c>
      <c r="O266">
        <v>1</v>
      </c>
      <c r="P266">
        <v>1</v>
      </c>
      <c r="Q266" t="s">
        <v>52</v>
      </c>
      <c r="R266">
        <v>1</v>
      </c>
      <c r="S266">
        <v>1</v>
      </c>
      <c r="T266">
        <v>1</v>
      </c>
      <c r="U266" t="s">
        <v>1794</v>
      </c>
      <c r="V266" t="s">
        <v>1794</v>
      </c>
      <c r="W266" t="s">
        <v>1794</v>
      </c>
      <c r="X266">
        <v>1</v>
      </c>
      <c r="Y266" t="s">
        <v>1794</v>
      </c>
      <c r="Z266">
        <v>0</v>
      </c>
      <c r="AA266" t="s">
        <v>1794</v>
      </c>
      <c r="AB266" t="s">
        <v>1794</v>
      </c>
      <c r="AC266" t="s">
        <v>1794</v>
      </c>
      <c r="AD266" t="s">
        <v>1794</v>
      </c>
      <c r="AE266">
        <v>0</v>
      </c>
      <c r="AF266" t="s">
        <v>1794</v>
      </c>
      <c r="AG266" t="s">
        <v>1794</v>
      </c>
      <c r="AH266" t="s">
        <v>1794</v>
      </c>
    </row>
    <row r="267" spans="1:34" x14ac:dyDescent="0.25">
      <c r="A267" t="s">
        <v>1087</v>
      </c>
      <c r="B267" t="s">
        <v>1251</v>
      </c>
      <c r="C267" t="s">
        <v>460</v>
      </c>
      <c r="D267" t="s">
        <v>259</v>
      </c>
      <c r="E267" t="s">
        <v>1794</v>
      </c>
      <c r="F267" t="s">
        <v>568</v>
      </c>
      <c r="G267" t="s">
        <v>1124</v>
      </c>
      <c r="H267" t="s">
        <v>569</v>
      </c>
      <c r="I267" t="s">
        <v>262</v>
      </c>
      <c r="J267" t="s">
        <v>567</v>
      </c>
      <c r="K267">
        <v>1</v>
      </c>
      <c r="L267">
        <v>1</v>
      </c>
      <c r="M267" t="s">
        <v>33</v>
      </c>
      <c r="N267">
        <v>1</v>
      </c>
      <c r="O267">
        <v>1</v>
      </c>
      <c r="P267">
        <v>1</v>
      </c>
      <c r="Q267" t="s">
        <v>52</v>
      </c>
      <c r="R267">
        <v>1</v>
      </c>
      <c r="S267">
        <v>1</v>
      </c>
      <c r="T267">
        <v>1</v>
      </c>
      <c r="U267" t="s">
        <v>1794</v>
      </c>
      <c r="V267" t="s">
        <v>1794</v>
      </c>
      <c r="W267" t="s">
        <v>1794</v>
      </c>
      <c r="X267">
        <v>1</v>
      </c>
      <c r="Y267" t="s">
        <v>1794</v>
      </c>
      <c r="Z267">
        <v>0</v>
      </c>
      <c r="AA267" t="s">
        <v>1794</v>
      </c>
      <c r="AB267" t="s">
        <v>1794</v>
      </c>
      <c r="AC267" t="s">
        <v>1794</v>
      </c>
      <c r="AD267" t="s">
        <v>1794</v>
      </c>
      <c r="AE267">
        <v>0</v>
      </c>
      <c r="AF267" t="s">
        <v>1794</v>
      </c>
      <c r="AG267" t="s">
        <v>1794</v>
      </c>
      <c r="AH267" t="s">
        <v>1794</v>
      </c>
    </row>
    <row r="268" spans="1:34" x14ac:dyDescent="0.25">
      <c r="A268" t="s">
        <v>1260</v>
      </c>
      <c r="B268" t="s">
        <v>1261</v>
      </c>
      <c r="C268" t="s">
        <v>460</v>
      </c>
      <c r="D268" t="s">
        <v>259</v>
      </c>
      <c r="E268" t="s">
        <v>1794</v>
      </c>
      <c r="F268" t="s">
        <v>568</v>
      </c>
      <c r="G268" t="s">
        <v>1124</v>
      </c>
      <c r="H268" t="s">
        <v>569</v>
      </c>
      <c r="I268" t="s">
        <v>262</v>
      </c>
      <c r="J268" t="s">
        <v>567</v>
      </c>
      <c r="K268">
        <v>1</v>
      </c>
      <c r="L268">
        <v>1</v>
      </c>
      <c r="M268" t="s">
        <v>33</v>
      </c>
      <c r="N268">
        <v>1</v>
      </c>
      <c r="O268">
        <v>1</v>
      </c>
      <c r="P268">
        <v>1</v>
      </c>
      <c r="Q268" t="s">
        <v>52</v>
      </c>
      <c r="R268">
        <v>1</v>
      </c>
      <c r="S268">
        <v>1</v>
      </c>
      <c r="T268">
        <v>1</v>
      </c>
      <c r="U268" t="s">
        <v>1794</v>
      </c>
      <c r="V268" t="s">
        <v>1794</v>
      </c>
      <c r="W268" t="s">
        <v>1794</v>
      </c>
      <c r="X268">
        <v>1</v>
      </c>
      <c r="Y268" t="s">
        <v>1794</v>
      </c>
      <c r="Z268">
        <v>0</v>
      </c>
      <c r="AA268" t="s">
        <v>1794</v>
      </c>
      <c r="AB268" t="s">
        <v>1794</v>
      </c>
      <c r="AC268" t="s">
        <v>1794</v>
      </c>
      <c r="AD268" t="s">
        <v>1794</v>
      </c>
      <c r="AE268">
        <v>0</v>
      </c>
      <c r="AF268" t="s">
        <v>1794</v>
      </c>
      <c r="AG268" t="s">
        <v>1794</v>
      </c>
      <c r="AH268" t="s">
        <v>1794</v>
      </c>
    </row>
    <row r="269" spans="1:34" x14ac:dyDescent="0.25">
      <c r="A269" t="s">
        <v>1087</v>
      </c>
      <c r="B269" t="s">
        <v>1251</v>
      </c>
      <c r="C269" t="s">
        <v>460</v>
      </c>
      <c r="D269" t="s">
        <v>259</v>
      </c>
      <c r="E269" t="s">
        <v>1794</v>
      </c>
      <c r="F269" t="s">
        <v>570</v>
      </c>
      <c r="G269" t="s">
        <v>1124</v>
      </c>
      <c r="H269" t="s">
        <v>571</v>
      </c>
      <c r="I269" t="s">
        <v>262</v>
      </c>
      <c r="J269" t="s">
        <v>279</v>
      </c>
      <c r="K269">
        <v>1</v>
      </c>
      <c r="L269">
        <v>1</v>
      </c>
      <c r="M269" t="s">
        <v>33</v>
      </c>
      <c r="N269">
        <v>1</v>
      </c>
      <c r="O269">
        <v>1</v>
      </c>
      <c r="P269">
        <v>1</v>
      </c>
      <c r="Q269" t="s">
        <v>52</v>
      </c>
      <c r="R269">
        <v>1</v>
      </c>
      <c r="S269">
        <v>1</v>
      </c>
      <c r="T269">
        <v>1</v>
      </c>
      <c r="U269" t="s">
        <v>1794</v>
      </c>
      <c r="V269" t="s">
        <v>1794</v>
      </c>
      <c r="W269" t="s">
        <v>1794</v>
      </c>
      <c r="X269">
        <v>1</v>
      </c>
      <c r="Y269" t="s">
        <v>1794</v>
      </c>
      <c r="Z269">
        <v>0</v>
      </c>
      <c r="AA269" t="s">
        <v>1794</v>
      </c>
      <c r="AB269" t="s">
        <v>1794</v>
      </c>
      <c r="AC269" t="s">
        <v>1794</v>
      </c>
      <c r="AD269" t="s">
        <v>1794</v>
      </c>
      <c r="AE269">
        <v>0</v>
      </c>
      <c r="AF269" t="s">
        <v>1794</v>
      </c>
      <c r="AG269" t="s">
        <v>1794</v>
      </c>
      <c r="AH269" t="s">
        <v>1794</v>
      </c>
    </row>
    <row r="270" spans="1:34" x14ac:dyDescent="0.25">
      <c r="A270" t="s">
        <v>1260</v>
      </c>
      <c r="B270" t="s">
        <v>1261</v>
      </c>
      <c r="C270" t="s">
        <v>460</v>
      </c>
      <c r="D270" t="s">
        <v>259</v>
      </c>
      <c r="E270" t="s">
        <v>1794</v>
      </c>
      <c r="F270" t="s">
        <v>570</v>
      </c>
      <c r="G270" t="s">
        <v>1124</v>
      </c>
      <c r="H270" t="s">
        <v>571</v>
      </c>
      <c r="I270" t="s">
        <v>262</v>
      </c>
      <c r="J270" t="s">
        <v>279</v>
      </c>
      <c r="K270">
        <v>1</v>
      </c>
      <c r="L270">
        <v>1</v>
      </c>
      <c r="M270" t="s">
        <v>33</v>
      </c>
      <c r="N270">
        <v>1</v>
      </c>
      <c r="O270">
        <v>1</v>
      </c>
      <c r="P270">
        <v>1</v>
      </c>
      <c r="Q270" t="s">
        <v>52</v>
      </c>
      <c r="R270">
        <v>1</v>
      </c>
      <c r="S270">
        <v>1</v>
      </c>
      <c r="T270">
        <v>1</v>
      </c>
      <c r="U270" t="s">
        <v>1794</v>
      </c>
      <c r="V270" t="s">
        <v>1794</v>
      </c>
      <c r="W270" t="s">
        <v>1794</v>
      </c>
      <c r="X270">
        <v>1</v>
      </c>
      <c r="Y270" t="s">
        <v>1794</v>
      </c>
      <c r="Z270">
        <v>0</v>
      </c>
      <c r="AA270" t="s">
        <v>1794</v>
      </c>
      <c r="AB270" t="s">
        <v>1794</v>
      </c>
      <c r="AC270" t="s">
        <v>1794</v>
      </c>
      <c r="AD270" t="s">
        <v>1794</v>
      </c>
      <c r="AE270">
        <v>0</v>
      </c>
      <c r="AF270" t="s">
        <v>1794</v>
      </c>
      <c r="AG270" t="s">
        <v>1794</v>
      </c>
      <c r="AH270" t="s">
        <v>1794</v>
      </c>
    </row>
    <row r="271" spans="1:34" x14ac:dyDescent="0.25">
      <c r="A271" t="s">
        <v>1087</v>
      </c>
      <c r="B271" t="s">
        <v>1251</v>
      </c>
      <c r="C271" t="s">
        <v>460</v>
      </c>
      <c r="D271" t="s">
        <v>259</v>
      </c>
      <c r="E271" t="s">
        <v>1794</v>
      </c>
      <c r="F271" t="s">
        <v>572</v>
      </c>
      <c r="G271" t="s">
        <v>1124</v>
      </c>
      <c r="H271" t="s">
        <v>573</v>
      </c>
      <c r="I271" t="s">
        <v>262</v>
      </c>
      <c r="J271" t="s">
        <v>279</v>
      </c>
      <c r="K271">
        <v>1</v>
      </c>
      <c r="L271">
        <v>1</v>
      </c>
      <c r="M271" t="s">
        <v>33</v>
      </c>
      <c r="N271">
        <v>1</v>
      </c>
      <c r="O271">
        <v>1</v>
      </c>
      <c r="P271">
        <v>1</v>
      </c>
      <c r="Q271" t="s">
        <v>52</v>
      </c>
      <c r="R271">
        <v>1</v>
      </c>
      <c r="S271">
        <v>1</v>
      </c>
      <c r="T271">
        <v>1</v>
      </c>
      <c r="U271" t="s">
        <v>1794</v>
      </c>
      <c r="V271" t="s">
        <v>1794</v>
      </c>
      <c r="W271" t="s">
        <v>1794</v>
      </c>
      <c r="X271">
        <v>1</v>
      </c>
      <c r="Y271" t="s">
        <v>1794</v>
      </c>
      <c r="Z271">
        <v>0</v>
      </c>
      <c r="AA271" t="s">
        <v>1794</v>
      </c>
      <c r="AB271" t="s">
        <v>1794</v>
      </c>
      <c r="AC271" t="s">
        <v>1794</v>
      </c>
      <c r="AD271" t="s">
        <v>1794</v>
      </c>
      <c r="AE271">
        <v>0</v>
      </c>
      <c r="AF271" t="s">
        <v>1794</v>
      </c>
      <c r="AG271" t="s">
        <v>1794</v>
      </c>
      <c r="AH271" t="s">
        <v>1794</v>
      </c>
    </row>
    <row r="272" spans="1:34" x14ac:dyDescent="0.25">
      <c r="A272" t="s">
        <v>1260</v>
      </c>
      <c r="B272" t="s">
        <v>1261</v>
      </c>
      <c r="C272" t="s">
        <v>460</v>
      </c>
      <c r="D272" t="s">
        <v>259</v>
      </c>
      <c r="E272" t="s">
        <v>1794</v>
      </c>
      <c r="F272" t="s">
        <v>572</v>
      </c>
      <c r="G272" t="s">
        <v>1124</v>
      </c>
      <c r="H272" t="s">
        <v>573</v>
      </c>
      <c r="I272" t="s">
        <v>262</v>
      </c>
      <c r="J272" t="s">
        <v>279</v>
      </c>
      <c r="K272">
        <v>1</v>
      </c>
      <c r="L272">
        <v>1</v>
      </c>
      <c r="M272" t="s">
        <v>33</v>
      </c>
      <c r="N272">
        <v>1</v>
      </c>
      <c r="O272">
        <v>1</v>
      </c>
      <c r="P272">
        <v>1</v>
      </c>
      <c r="Q272" t="s">
        <v>52</v>
      </c>
      <c r="R272">
        <v>1</v>
      </c>
      <c r="S272">
        <v>1</v>
      </c>
      <c r="T272">
        <v>1</v>
      </c>
      <c r="U272" t="s">
        <v>1794</v>
      </c>
      <c r="V272" t="s">
        <v>1794</v>
      </c>
      <c r="W272" t="s">
        <v>1794</v>
      </c>
      <c r="X272">
        <v>1</v>
      </c>
      <c r="Y272" t="s">
        <v>1794</v>
      </c>
      <c r="Z272">
        <v>0</v>
      </c>
      <c r="AA272" t="s">
        <v>1794</v>
      </c>
      <c r="AB272" t="s">
        <v>1794</v>
      </c>
      <c r="AC272" t="s">
        <v>1794</v>
      </c>
      <c r="AD272" t="s">
        <v>1794</v>
      </c>
      <c r="AE272">
        <v>0</v>
      </c>
      <c r="AF272" t="s">
        <v>1794</v>
      </c>
      <c r="AG272" t="s">
        <v>1794</v>
      </c>
      <c r="AH272" t="s">
        <v>1794</v>
      </c>
    </row>
    <row r="273" spans="1:34" x14ac:dyDescent="0.25">
      <c r="A273" t="s">
        <v>1087</v>
      </c>
      <c r="B273" t="s">
        <v>1251</v>
      </c>
      <c r="C273" t="s">
        <v>460</v>
      </c>
      <c r="D273" t="s">
        <v>259</v>
      </c>
      <c r="E273" t="s">
        <v>1794</v>
      </c>
      <c r="F273" t="s">
        <v>574</v>
      </c>
      <c r="G273" t="s">
        <v>1124</v>
      </c>
      <c r="H273" t="s">
        <v>575</v>
      </c>
      <c r="I273" t="s">
        <v>262</v>
      </c>
      <c r="J273" t="s">
        <v>279</v>
      </c>
      <c r="K273">
        <v>1</v>
      </c>
      <c r="L273">
        <v>1</v>
      </c>
      <c r="M273" t="s">
        <v>33</v>
      </c>
      <c r="N273">
        <v>1</v>
      </c>
      <c r="O273">
        <v>1</v>
      </c>
      <c r="P273">
        <v>1</v>
      </c>
      <c r="Q273" t="s">
        <v>52</v>
      </c>
      <c r="R273">
        <v>1</v>
      </c>
      <c r="S273">
        <v>1</v>
      </c>
      <c r="T273">
        <v>1</v>
      </c>
      <c r="U273" t="s">
        <v>1794</v>
      </c>
      <c r="V273" t="s">
        <v>1794</v>
      </c>
      <c r="W273" t="s">
        <v>1794</v>
      </c>
      <c r="X273">
        <v>1</v>
      </c>
      <c r="Y273" t="s">
        <v>1794</v>
      </c>
      <c r="Z273">
        <v>0</v>
      </c>
      <c r="AA273" t="s">
        <v>1794</v>
      </c>
      <c r="AB273" t="s">
        <v>1794</v>
      </c>
      <c r="AC273" t="s">
        <v>1794</v>
      </c>
      <c r="AD273" t="s">
        <v>1794</v>
      </c>
      <c r="AE273">
        <v>0</v>
      </c>
      <c r="AF273" t="s">
        <v>1794</v>
      </c>
      <c r="AG273" t="s">
        <v>1794</v>
      </c>
      <c r="AH273" t="s">
        <v>1794</v>
      </c>
    </row>
    <row r="274" spans="1:34" x14ac:dyDescent="0.25">
      <c r="A274" t="s">
        <v>1260</v>
      </c>
      <c r="B274" t="s">
        <v>1261</v>
      </c>
      <c r="C274" t="s">
        <v>460</v>
      </c>
      <c r="D274" t="s">
        <v>259</v>
      </c>
      <c r="E274" t="s">
        <v>1794</v>
      </c>
      <c r="F274" t="s">
        <v>574</v>
      </c>
      <c r="G274" t="s">
        <v>1124</v>
      </c>
      <c r="H274" t="s">
        <v>575</v>
      </c>
      <c r="I274" t="s">
        <v>262</v>
      </c>
      <c r="J274" t="s">
        <v>279</v>
      </c>
      <c r="K274">
        <v>1</v>
      </c>
      <c r="L274">
        <v>1</v>
      </c>
      <c r="M274" t="s">
        <v>33</v>
      </c>
      <c r="N274">
        <v>1</v>
      </c>
      <c r="O274">
        <v>1</v>
      </c>
      <c r="P274">
        <v>1</v>
      </c>
      <c r="Q274" t="s">
        <v>52</v>
      </c>
      <c r="R274">
        <v>1</v>
      </c>
      <c r="S274">
        <v>1</v>
      </c>
      <c r="T274">
        <v>1</v>
      </c>
      <c r="U274" t="s">
        <v>1794</v>
      </c>
      <c r="V274" t="s">
        <v>1794</v>
      </c>
      <c r="W274" t="s">
        <v>1794</v>
      </c>
      <c r="X274">
        <v>1</v>
      </c>
      <c r="Y274" t="s">
        <v>1794</v>
      </c>
      <c r="Z274">
        <v>0</v>
      </c>
      <c r="AA274" t="s">
        <v>1794</v>
      </c>
      <c r="AB274" t="s">
        <v>1794</v>
      </c>
      <c r="AC274" t="s">
        <v>1794</v>
      </c>
      <c r="AD274" t="s">
        <v>1794</v>
      </c>
      <c r="AE274">
        <v>0</v>
      </c>
      <c r="AF274" t="s">
        <v>1794</v>
      </c>
      <c r="AG274" t="s">
        <v>1794</v>
      </c>
      <c r="AH274" t="s">
        <v>1794</v>
      </c>
    </row>
    <row r="275" spans="1:34" x14ac:dyDescent="0.25">
      <c r="A275" t="s">
        <v>1087</v>
      </c>
      <c r="B275" t="s">
        <v>1251</v>
      </c>
      <c r="C275" t="s">
        <v>460</v>
      </c>
      <c r="D275" t="s">
        <v>259</v>
      </c>
      <c r="E275" t="s">
        <v>1794</v>
      </c>
      <c r="F275" t="s">
        <v>576</v>
      </c>
      <c r="G275" t="s">
        <v>1124</v>
      </c>
      <c r="H275" t="s">
        <v>577</v>
      </c>
      <c r="I275" t="s">
        <v>262</v>
      </c>
      <c r="J275" t="s">
        <v>377</v>
      </c>
      <c r="K275">
        <v>1</v>
      </c>
      <c r="L275">
        <v>1</v>
      </c>
      <c r="M275" t="s">
        <v>33</v>
      </c>
      <c r="N275">
        <v>1</v>
      </c>
      <c r="O275">
        <v>1</v>
      </c>
      <c r="P275">
        <v>1</v>
      </c>
      <c r="Q275" t="s">
        <v>52</v>
      </c>
      <c r="R275">
        <v>1</v>
      </c>
      <c r="S275">
        <v>1</v>
      </c>
      <c r="T275">
        <v>1</v>
      </c>
      <c r="U275" t="s">
        <v>1794</v>
      </c>
      <c r="V275" t="s">
        <v>1794</v>
      </c>
      <c r="W275" t="s">
        <v>1794</v>
      </c>
      <c r="X275">
        <v>1</v>
      </c>
      <c r="Y275" t="s">
        <v>1794</v>
      </c>
      <c r="Z275">
        <v>0</v>
      </c>
      <c r="AA275" t="s">
        <v>1794</v>
      </c>
      <c r="AB275" t="s">
        <v>1794</v>
      </c>
      <c r="AC275" t="s">
        <v>1794</v>
      </c>
      <c r="AD275" t="s">
        <v>1794</v>
      </c>
      <c r="AE275">
        <v>0</v>
      </c>
      <c r="AF275" t="s">
        <v>1794</v>
      </c>
      <c r="AG275" t="s">
        <v>1794</v>
      </c>
      <c r="AH275" t="s">
        <v>1794</v>
      </c>
    </row>
    <row r="276" spans="1:34" x14ac:dyDescent="0.25">
      <c r="A276" t="s">
        <v>1260</v>
      </c>
      <c r="B276" t="s">
        <v>1261</v>
      </c>
      <c r="C276" t="s">
        <v>460</v>
      </c>
      <c r="D276" t="s">
        <v>259</v>
      </c>
      <c r="E276" t="s">
        <v>1794</v>
      </c>
      <c r="F276" t="s">
        <v>576</v>
      </c>
      <c r="G276" t="s">
        <v>1124</v>
      </c>
      <c r="H276" t="s">
        <v>577</v>
      </c>
      <c r="I276" t="s">
        <v>262</v>
      </c>
      <c r="J276" t="s">
        <v>377</v>
      </c>
      <c r="K276">
        <v>1</v>
      </c>
      <c r="L276">
        <v>1</v>
      </c>
      <c r="M276" t="s">
        <v>33</v>
      </c>
      <c r="N276">
        <v>1</v>
      </c>
      <c r="O276">
        <v>1</v>
      </c>
      <c r="P276">
        <v>1</v>
      </c>
      <c r="Q276" t="s">
        <v>52</v>
      </c>
      <c r="R276">
        <v>1</v>
      </c>
      <c r="S276">
        <v>1</v>
      </c>
      <c r="T276">
        <v>1</v>
      </c>
      <c r="U276" t="s">
        <v>1794</v>
      </c>
      <c r="V276" t="s">
        <v>1794</v>
      </c>
      <c r="W276" t="s">
        <v>1794</v>
      </c>
      <c r="X276">
        <v>1</v>
      </c>
      <c r="Y276" t="s">
        <v>1794</v>
      </c>
      <c r="Z276">
        <v>0</v>
      </c>
      <c r="AA276" t="s">
        <v>1794</v>
      </c>
      <c r="AB276" t="s">
        <v>1794</v>
      </c>
      <c r="AC276" t="s">
        <v>1794</v>
      </c>
      <c r="AD276" t="s">
        <v>1794</v>
      </c>
      <c r="AE276">
        <v>0</v>
      </c>
      <c r="AF276" t="s">
        <v>1794</v>
      </c>
      <c r="AG276" t="s">
        <v>1794</v>
      </c>
      <c r="AH276" t="s">
        <v>1794</v>
      </c>
    </row>
    <row r="277" spans="1:34" x14ac:dyDescent="0.25">
      <c r="A277" t="s">
        <v>1087</v>
      </c>
      <c r="B277" t="s">
        <v>1251</v>
      </c>
      <c r="C277" t="s">
        <v>460</v>
      </c>
      <c r="D277" t="s">
        <v>259</v>
      </c>
      <c r="E277" t="s">
        <v>1794</v>
      </c>
      <c r="F277" t="s">
        <v>578</v>
      </c>
      <c r="G277" t="s">
        <v>1124</v>
      </c>
      <c r="H277" t="s">
        <v>579</v>
      </c>
      <c r="I277" t="s">
        <v>262</v>
      </c>
      <c r="J277" t="s">
        <v>301</v>
      </c>
      <c r="K277">
        <v>1</v>
      </c>
      <c r="L277">
        <v>1</v>
      </c>
      <c r="M277" t="s">
        <v>33</v>
      </c>
      <c r="N277">
        <v>1</v>
      </c>
      <c r="O277">
        <v>1</v>
      </c>
      <c r="P277">
        <v>1</v>
      </c>
      <c r="Q277" t="s">
        <v>52</v>
      </c>
      <c r="R277">
        <v>1</v>
      </c>
      <c r="S277">
        <v>1</v>
      </c>
      <c r="T277">
        <v>1</v>
      </c>
      <c r="U277" t="s">
        <v>1794</v>
      </c>
      <c r="V277" t="s">
        <v>1794</v>
      </c>
      <c r="W277" t="s">
        <v>1794</v>
      </c>
      <c r="X277">
        <v>1</v>
      </c>
      <c r="Y277" t="s">
        <v>1794</v>
      </c>
      <c r="Z277">
        <v>0</v>
      </c>
      <c r="AA277" t="s">
        <v>1794</v>
      </c>
      <c r="AB277" t="s">
        <v>1794</v>
      </c>
      <c r="AC277" t="s">
        <v>1794</v>
      </c>
      <c r="AD277" t="s">
        <v>1794</v>
      </c>
      <c r="AE277">
        <v>0</v>
      </c>
      <c r="AF277" t="s">
        <v>1794</v>
      </c>
      <c r="AG277" t="s">
        <v>1794</v>
      </c>
      <c r="AH277" t="s">
        <v>1794</v>
      </c>
    </row>
    <row r="278" spans="1:34" x14ac:dyDescent="0.25">
      <c r="A278" t="s">
        <v>1260</v>
      </c>
      <c r="B278" t="s">
        <v>1261</v>
      </c>
      <c r="C278" t="s">
        <v>460</v>
      </c>
      <c r="D278" t="s">
        <v>259</v>
      </c>
      <c r="E278" t="s">
        <v>1794</v>
      </c>
      <c r="F278" t="s">
        <v>578</v>
      </c>
      <c r="G278" t="s">
        <v>1124</v>
      </c>
      <c r="H278" t="s">
        <v>579</v>
      </c>
      <c r="I278" t="s">
        <v>262</v>
      </c>
      <c r="J278" t="s">
        <v>301</v>
      </c>
      <c r="K278">
        <v>1</v>
      </c>
      <c r="L278">
        <v>1</v>
      </c>
      <c r="M278" t="s">
        <v>33</v>
      </c>
      <c r="N278">
        <v>1</v>
      </c>
      <c r="O278">
        <v>1</v>
      </c>
      <c r="P278">
        <v>1</v>
      </c>
      <c r="Q278" t="s">
        <v>52</v>
      </c>
      <c r="R278">
        <v>1</v>
      </c>
      <c r="S278">
        <v>1</v>
      </c>
      <c r="T278">
        <v>1</v>
      </c>
      <c r="U278" t="s">
        <v>1794</v>
      </c>
      <c r="V278" t="s">
        <v>1794</v>
      </c>
      <c r="W278" t="s">
        <v>1794</v>
      </c>
      <c r="X278">
        <v>1</v>
      </c>
      <c r="Y278" t="s">
        <v>1794</v>
      </c>
      <c r="Z278">
        <v>0</v>
      </c>
      <c r="AA278" t="s">
        <v>1794</v>
      </c>
      <c r="AB278" t="s">
        <v>1794</v>
      </c>
      <c r="AC278" t="s">
        <v>1794</v>
      </c>
      <c r="AD278" t="s">
        <v>1794</v>
      </c>
      <c r="AE278">
        <v>0</v>
      </c>
      <c r="AF278" t="s">
        <v>1794</v>
      </c>
      <c r="AG278" t="s">
        <v>1794</v>
      </c>
      <c r="AH278" t="s">
        <v>1794</v>
      </c>
    </row>
    <row r="279" spans="1:34" x14ac:dyDescent="0.25">
      <c r="A279" t="s">
        <v>1087</v>
      </c>
      <c r="B279" t="s">
        <v>1251</v>
      </c>
      <c r="C279" t="s">
        <v>460</v>
      </c>
      <c r="D279" t="s">
        <v>259</v>
      </c>
      <c r="E279" t="s">
        <v>1794</v>
      </c>
      <c r="F279" t="s">
        <v>580</v>
      </c>
      <c r="G279" t="s">
        <v>1124</v>
      </c>
      <c r="H279" t="s">
        <v>581</v>
      </c>
      <c r="I279" t="s">
        <v>262</v>
      </c>
      <c r="J279" t="s">
        <v>301</v>
      </c>
      <c r="K279">
        <v>1</v>
      </c>
      <c r="L279">
        <v>1</v>
      </c>
      <c r="M279" t="s">
        <v>33</v>
      </c>
      <c r="N279">
        <v>1</v>
      </c>
      <c r="O279">
        <v>1</v>
      </c>
      <c r="P279">
        <v>1</v>
      </c>
      <c r="Q279" t="s">
        <v>52</v>
      </c>
      <c r="R279">
        <v>1</v>
      </c>
      <c r="S279">
        <v>1</v>
      </c>
      <c r="T279">
        <v>1</v>
      </c>
      <c r="U279" t="s">
        <v>1794</v>
      </c>
      <c r="V279" t="s">
        <v>1794</v>
      </c>
      <c r="W279" t="s">
        <v>1794</v>
      </c>
      <c r="X279">
        <v>1</v>
      </c>
      <c r="Y279" t="s">
        <v>1794</v>
      </c>
      <c r="Z279">
        <v>0</v>
      </c>
      <c r="AA279" t="s">
        <v>1794</v>
      </c>
      <c r="AB279" t="s">
        <v>1794</v>
      </c>
      <c r="AC279" t="s">
        <v>1794</v>
      </c>
      <c r="AD279" t="s">
        <v>1794</v>
      </c>
      <c r="AE279">
        <v>0</v>
      </c>
      <c r="AF279" t="s">
        <v>1794</v>
      </c>
      <c r="AG279" t="s">
        <v>1794</v>
      </c>
      <c r="AH279" t="s">
        <v>1794</v>
      </c>
    </row>
    <row r="280" spans="1:34" x14ac:dyDescent="0.25">
      <c r="A280" t="s">
        <v>1260</v>
      </c>
      <c r="B280" t="s">
        <v>1261</v>
      </c>
      <c r="C280" t="s">
        <v>460</v>
      </c>
      <c r="D280" t="s">
        <v>259</v>
      </c>
      <c r="E280" t="s">
        <v>1794</v>
      </c>
      <c r="F280" t="s">
        <v>580</v>
      </c>
      <c r="G280" t="s">
        <v>1124</v>
      </c>
      <c r="H280" t="s">
        <v>581</v>
      </c>
      <c r="I280" t="s">
        <v>262</v>
      </c>
      <c r="J280" t="s">
        <v>301</v>
      </c>
      <c r="K280">
        <v>1</v>
      </c>
      <c r="L280">
        <v>1</v>
      </c>
      <c r="M280" t="s">
        <v>33</v>
      </c>
      <c r="N280">
        <v>1</v>
      </c>
      <c r="O280">
        <v>1</v>
      </c>
      <c r="P280">
        <v>1</v>
      </c>
      <c r="Q280" t="s">
        <v>52</v>
      </c>
      <c r="R280">
        <v>1</v>
      </c>
      <c r="S280">
        <v>1</v>
      </c>
      <c r="T280">
        <v>1</v>
      </c>
      <c r="U280" t="s">
        <v>1794</v>
      </c>
      <c r="V280" t="s">
        <v>1794</v>
      </c>
      <c r="W280" t="s">
        <v>1794</v>
      </c>
      <c r="X280">
        <v>1</v>
      </c>
      <c r="Y280" t="s">
        <v>1794</v>
      </c>
      <c r="Z280">
        <v>0</v>
      </c>
      <c r="AA280" t="s">
        <v>1794</v>
      </c>
      <c r="AB280" t="s">
        <v>1794</v>
      </c>
      <c r="AC280" t="s">
        <v>1794</v>
      </c>
      <c r="AD280" t="s">
        <v>1794</v>
      </c>
      <c r="AE280">
        <v>0</v>
      </c>
      <c r="AF280" t="s">
        <v>1794</v>
      </c>
      <c r="AG280" t="s">
        <v>1794</v>
      </c>
      <c r="AH280" t="s">
        <v>1794</v>
      </c>
    </row>
    <row r="281" spans="1:34" x14ac:dyDescent="0.25">
      <c r="A281" t="s">
        <v>1087</v>
      </c>
      <c r="B281" t="s">
        <v>1251</v>
      </c>
      <c r="C281" t="s">
        <v>460</v>
      </c>
      <c r="D281" t="s">
        <v>259</v>
      </c>
      <c r="E281" t="s">
        <v>1794</v>
      </c>
      <c r="F281" t="s">
        <v>582</v>
      </c>
      <c r="G281" t="s">
        <v>1124</v>
      </c>
      <c r="H281" t="s">
        <v>583</v>
      </c>
      <c r="I281" t="s">
        <v>262</v>
      </c>
      <c r="J281" t="s">
        <v>562</v>
      </c>
      <c r="K281">
        <v>1</v>
      </c>
      <c r="L281">
        <v>1</v>
      </c>
      <c r="M281" t="s">
        <v>33</v>
      </c>
      <c r="N281">
        <v>1</v>
      </c>
      <c r="O281">
        <v>1</v>
      </c>
      <c r="P281">
        <v>1</v>
      </c>
      <c r="Q281" t="s">
        <v>52</v>
      </c>
      <c r="R281">
        <v>1</v>
      </c>
      <c r="S281">
        <v>1</v>
      </c>
      <c r="T281">
        <v>1</v>
      </c>
      <c r="U281" t="s">
        <v>1794</v>
      </c>
      <c r="V281" t="s">
        <v>1794</v>
      </c>
      <c r="W281" t="s">
        <v>1794</v>
      </c>
      <c r="X281">
        <v>1</v>
      </c>
      <c r="Y281" t="s">
        <v>1794</v>
      </c>
      <c r="Z281">
        <v>0</v>
      </c>
      <c r="AA281" t="s">
        <v>1794</v>
      </c>
      <c r="AB281" t="s">
        <v>1794</v>
      </c>
      <c r="AC281" t="s">
        <v>1794</v>
      </c>
      <c r="AD281" t="s">
        <v>1794</v>
      </c>
      <c r="AE281">
        <v>0</v>
      </c>
      <c r="AF281" t="s">
        <v>1794</v>
      </c>
      <c r="AG281" t="s">
        <v>1794</v>
      </c>
      <c r="AH281" t="s">
        <v>1794</v>
      </c>
    </row>
    <row r="282" spans="1:34" x14ac:dyDescent="0.25">
      <c r="A282" t="s">
        <v>1260</v>
      </c>
      <c r="B282" t="s">
        <v>1261</v>
      </c>
      <c r="C282" t="s">
        <v>460</v>
      </c>
      <c r="D282" t="s">
        <v>259</v>
      </c>
      <c r="E282" t="s">
        <v>1794</v>
      </c>
      <c r="F282" t="s">
        <v>582</v>
      </c>
      <c r="G282" t="s">
        <v>1124</v>
      </c>
      <c r="H282" t="s">
        <v>583</v>
      </c>
      <c r="I282" t="s">
        <v>262</v>
      </c>
      <c r="J282" t="s">
        <v>562</v>
      </c>
      <c r="K282">
        <v>1</v>
      </c>
      <c r="L282">
        <v>1</v>
      </c>
      <c r="M282" t="s">
        <v>33</v>
      </c>
      <c r="N282">
        <v>1</v>
      </c>
      <c r="O282">
        <v>1</v>
      </c>
      <c r="P282">
        <v>1</v>
      </c>
      <c r="Q282" t="s">
        <v>52</v>
      </c>
      <c r="R282">
        <v>1</v>
      </c>
      <c r="S282">
        <v>1</v>
      </c>
      <c r="T282">
        <v>1</v>
      </c>
      <c r="U282" t="s">
        <v>1794</v>
      </c>
      <c r="V282" t="s">
        <v>1794</v>
      </c>
      <c r="W282" t="s">
        <v>1794</v>
      </c>
      <c r="X282">
        <v>1</v>
      </c>
      <c r="Y282" t="s">
        <v>1794</v>
      </c>
      <c r="Z282">
        <v>0</v>
      </c>
      <c r="AA282" t="s">
        <v>1794</v>
      </c>
      <c r="AB282" t="s">
        <v>1794</v>
      </c>
      <c r="AC282" t="s">
        <v>1794</v>
      </c>
      <c r="AD282" t="s">
        <v>1794</v>
      </c>
      <c r="AE282">
        <v>0</v>
      </c>
      <c r="AF282" t="s">
        <v>1794</v>
      </c>
      <c r="AG282" t="s">
        <v>1794</v>
      </c>
      <c r="AH282" t="s">
        <v>1794</v>
      </c>
    </row>
    <row r="283" spans="1:34" x14ac:dyDescent="0.25">
      <c r="A283" t="s">
        <v>1087</v>
      </c>
      <c r="B283" t="s">
        <v>1251</v>
      </c>
      <c r="C283" t="s">
        <v>460</v>
      </c>
      <c r="D283" t="s">
        <v>259</v>
      </c>
      <c r="E283" t="s">
        <v>1794</v>
      </c>
      <c r="F283" t="s">
        <v>584</v>
      </c>
      <c r="G283" t="s">
        <v>1124</v>
      </c>
      <c r="H283" t="s">
        <v>585</v>
      </c>
      <c r="I283" t="s">
        <v>262</v>
      </c>
      <c r="J283" t="s">
        <v>562</v>
      </c>
      <c r="K283">
        <v>1</v>
      </c>
      <c r="L283">
        <v>1</v>
      </c>
      <c r="M283" t="s">
        <v>33</v>
      </c>
      <c r="N283">
        <v>1</v>
      </c>
      <c r="O283">
        <v>1</v>
      </c>
      <c r="P283">
        <v>1</v>
      </c>
      <c r="Q283" t="s">
        <v>52</v>
      </c>
      <c r="R283">
        <v>1</v>
      </c>
      <c r="S283">
        <v>1</v>
      </c>
      <c r="T283">
        <v>1</v>
      </c>
      <c r="U283" t="s">
        <v>1794</v>
      </c>
      <c r="V283" t="s">
        <v>1794</v>
      </c>
      <c r="W283" t="s">
        <v>1794</v>
      </c>
      <c r="X283">
        <v>1</v>
      </c>
      <c r="Y283" t="s">
        <v>1794</v>
      </c>
      <c r="Z283">
        <v>0</v>
      </c>
      <c r="AA283" t="s">
        <v>1794</v>
      </c>
      <c r="AB283" t="s">
        <v>1794</v>
      </c>
      <c r="AC283" t="s">
        <v>1794</v>
      </c>
      <c r="AD283" t="s">
        <v>1794</v>
      </c>
      <c r="AE283">
        <v>0</v>
      </c>
      <c r="AF283" t="s">
        <v>1794</v>
      </c>
      <c r="AG283" t="s">
        <v>1794</v>
      </c>
      <c r="AH283" t="s">
        <v>1794</v>
      </c>
    </row>
    <row r="284" spans="1:34" x14ac:dyDescent="0.25">
      <c r="A284" t="s">
        <v>1260</v>
      </c>
      <c r="B284" t="s">
        <v>1261</v>
      </c>
      <c r="C284" t="s">
        <v>460</v>
      </c>
      <c r="D284" t="s">
        <v>259</v>
      </c>
      <c r="E284" t="s">
        <v>1794</v>
      </c>
      <c r="F284" t="s">
        <v>584</v>
      </c>
      <c r="G284" t="s">
        <v>1124</v>
      </c>
      <c r="H284" t="s">
        <v>585</v>
      </c>
      <c r="I284" t="s">
        <v>262</v>
      </c>
      <c r="J284" t="s">
        <v>562</v>
      </c>
      <c r="K284">
        <v>1</v>
      </c>
      <c r="L284">
        <v>1</v>
      </c>
      <c r="M284" t="s">
        <v>33</v>
      </c>
      <c r="N284">
        <v>1</v>
      </c>
      <c r="O284">
        <v>1</v>
      </c>
      <c r="P284">
        <v>1</v>
      </c>
      <c r="Q284" t="s">
        <v>52</v>
      </c>
      <c r="R284">
        <v>1</v>
      </c>
      <c r="S284">
        <v>1</v>
      </c>
      <c r="T284">
        <v>1</v>
      </c>
      <c r="U284" t="s">
        <v>1794</v>
      </c>
      <c r="V284" t="s">
        <v>1794</v>
      </c>
      <c r="W284" t="s">
        <v>1794</v>
      </c>
      <c r="X284">
        <v>1</v>
      </c>
      <c r="Y284" t="s">
        <v>1794</v>
      </c>
      <c r="Z284">
        <v>0</v>
      </c>
      <c r="AA284" t="s">
        <v>1794</v>
      </c>
      <c r="AB284" t="s">
        <v>1794</v>
      </c>
      <c r="AC284" t="s">
        <v>1794</v>
      </c>
      <c r="AD284" t="s">
        <v>1794</v>
      </c>
      <c r="AE284">
        <v>0</v>
      </c>
      <c r="AF284" t="s">
        <v>1794</v>
      </c>
      <c r="AG284" t="s">
        <v>1794</v>
      </c>
      <c r="AH284" t="s">
        <v>1794</v>
      </c>
    </row>
    <row r="285" spans="1:34" x14ac:dyDescent="0.25">
      <c r="A285" t="s">
        <v>587</v>
      </c>
      <c r="B285" t="s">
        <v>1281</v>
      </c>
      <c r="C285" t="s">
        <v>315</v>
      </c>
      <c r="D285" t="s">
        <v>259</v>
      </c>
      <c r="E285" t="s">
        <v>1794</v>
      </c>
      <c r="F285" t="s">
        <v>588</v>
      </c>
      <c r="G285" t="s">
        <v>1124</v>
      </c>
      <c r="H285" t="s">
        <v>1811</v>
      </c>
      <c r="I285" t="s">
        <v>262</v>
      </c>
      <c r="J285" t="s">
        <v>589</v>
      </c>
      <c r="K285">
        <v>1</v>
      </c>
      <c r="L285">
        <v>2</v>
      </c>
      <c r="M285" t="s">
        <v>33</v>
      </c>
      <c r="N285">
        <v>1</v>
      </c>
      <c r="O285">
        <v>2</v>
      </c>
      <c r="P285">
        <v>1</v>
      </c>
      <c r="Q285" t="s">
        <v>52</v>
      </c>
      <c r="R285">
        <v>2</v>
      </c>
      <c r="S285">
        <v>2</v>
      </c>
      <c r="T285">
        <v>2</v>
      </c>
      <c r="U285" t="s">
        <v>1794</v>
      </c>
      <c r="V285" t="s">
        <v>1794</v>
      </c>
      <c r="W285" t="s">
        <v>1794</v>
      </c>
      <c r="X285">
        <v>1</v>
      </c>
      <c r="Y285" t="s">
        <v>1794</v>
      </c>
      <c r="Z285">
        <v>0</v>
      </c>
      <c r="AA285" t="s">
        <v>1794</v>
      </c>
      <c r="AB285" t="s">
        <v>1794</v>
      </c>
      <c r="AC285" t="s">
        <v>1794</v>
      </c>
      <c r="AD285" t="s">
        <v>1794</v>
      </c>
      <c r="AE285">
        <v>0</v>
      </c>
      <c r="AF285" t="s">
        <v>1794</v>
      </c>
      <c r="AG285" t="s">
        <v>1794</v>
      </c>
      <c r="AH285" t="s">
        <v>1794</v>
      </c>
    </row>
    <row r="286" spans="1:34" x14ac:dyDescent="0.25">
      <c r="A286" t="s">
        <v>587</v>
      </c>
      <c r="B286" t="s">
        <v>1281</v>
      </c>
      <c r="C286" t="s">
        <v>315</v>
      </c>
      <c r="D286" t="s">
        <v>259</v>
      </c>
      <c r="E286" t="s">
        <v>1794</v>
      </c>
      <c r="F286" t="s">
        <v>590</v>
      </c>
      <c r="G286" t="s">
        <v>1124</v>
      </c>
      <c r="H286" t="s">
        <v>1812</v>
      </c>
      <c r="I286" t="s">
        <v>262</v>
      </c>
      <c r="J286" t="s">
        <v>586</v>
      </c>
      <c r="K286">
        <v>1</v>
      </c>
      <c r="L286">
        <v>2</v>
      </c>
      <c r="M286" t="s">
        <v>33</v>
      </c>
      <c r="N286">
        <v>1</v>
      </c>
      <c r="O286">
        <v>2</v>
      </c>
      <c r="P286">
        <v>1</v>
      </c>
      <c r="Q286" t="s">
        <v>52</v>
      </c>
      <c r="R286">
        <v>2</v>
      </c>
      <c r="S286">
        <v>2</v>
      </c>
      <c r="T286">
        <v>2</v>
      </c>
      <c r="U286" t="s">
        <v>1794</v>
      </c>
      <c r="V286" t="s">
        <v>1794</v>
      </c>
      <c r="W286" t="s">
        <v>1794</v>
      </c>
      <c r="X286">
        <v>1</v>
      </c>
      <c r="Y286" t="s">
        <v>1794</v>
      </c>
      <c r="Z286">
        <v>0</v>
      </c>
      <c r="AA286" t="s">
        <v>1794</v>
      </c>
      <c r="AB286" t="s">
        <v>1794</v>
      </c>
      <c r="AC286" t="s">
        <v>1794</v>
      </c>
      <c r="AD286" t="s">
        <v>1794</v>
      </c>
      <c r="AE286">
        <v>0</v>
      </c>
      <c r="AF286" t="s">
        <v>1794</v>
      </c>
      <c r="AG286" t="s">
        <v>1794</v>
      </c>
      <c r="AH286" t="s">
        <v>1794</v>
      </c>
    </row>
    <row r="287" spans="1:34" x14ac:dyDescent="0.25">
      <c r="A287" t="s">
        <v>587</v>
      </c>
      <c r="B287" t="s">
        <v>1281</v>
      </c>
      <c r="C287" t="s">
        <v>315</v>
      </c>
      <c r="D287" t="s">
        <v>259</v>
      </c>
      <c r="E287" t="s">
        <v>1794</v>
      </c>
      <c r="F287" t="s">
        <v>591</v>
      </c>
      <c r="G287" t="s">
        <v>1124</v>
      </c>
      <c r="H287" t="s">
        <v>592</v>
      </c>
      <c r="I287" t="s">
        <v>262</v>
      </c>
      <c r="J287" t="s">
        <v>368</v>
      </c>
      <c r="K287">
        <v>1</v>
      </c>
      <c r="L287">
        <v>4</v>
      </c>
      <c r="M287" t="s">
        <v>33</v>
      </c>
      <c r="N287">
        <v>1</v>
      </c>
      <c r="O287">
        <v>4</v>
      </c>
      <c r="P287">
        <v>1</v>
      </c>
      <c r="Q287" t="s">
        <v>52</v>
      </c>
      <c r="R287">
        <v>4</v>
      </c>
      <c r="S287">
        <v>4</v>
      </c>
      <c r="T287">
        <v>4</v>
      </c>
      <c r="U287" t="s">
        <v>1794</v>
      </c>
      <c r="V287" t="s">
        <v>1794</v>
      </c>
      <c r="W287" t="s">
        <v>1794</v>
      </c>
      <c r="X287">
        <v>1</v>
      </c>
      <c r="Y287" t="s">
        <v>1794</v>
      </c>
      <c r="Z287">
        <v>0</v>
      </c>
      <c r="AA287" t="s">
        <v>1794</v>
      </c>
      <c r="AB287" t="s">
        <v>1794</v>
      </c>
      <c r="AC287" t="s">
        <v>1794</v>
      </c>
      <c r="AD287" t="s">
        <v>1794</v>
      </c>
      <c r="AE287">
        <v>0</v>
      </c>
      <c r="AF287" t="s">
        <v>1794</v>
      </c>
      <c r="AG287" t="s">
        <v>1794</v>
      </c>
      <c r="AH287" t="s">
        <v>1794</v>
      </c>
    </row>
    <row r="288" spans="1:34" x14ac:dyDescent="0.25">
      <c r="A288" t="s">
        <v>1589</v>
      </c>
      <c r="B288" t="s">
        <v>1590</v>
      </c>
      <c r="C288" t="s">
        <v>315</v>
      </c>
      <c r="D288" t="s">
        <v>259</v>
      </c>
      <c r="E288" t="s">
        <v>1794</v>
      </c>
      <c r="F288" t="s">
        <v>591</v>
      </c>
      <c r="G288" t="s">
        <v>1124</v>
      </c>
      <c r="H288" t="s">
        <v>592</v>
      </c>
      <c r="I288" t="s">
        <v>262</v>
      </c>
      <c r="J288" t="s">
        <v>368</v>
      </c>
      <c r="K288">
        <v>1</v>
      </c>
      <c r="L288">
        <v>4</v>
      </c>
      <c r="M288" t="s">
        <v>33</v>
      </c>
      <c r="N288">
        <v>1</v>
      </c>
      <c r="O288">
        <v>4</v>
      </c>
      <c r="P288">
        <v>1</v>
      </c>
      <c r="Q288" t="s">
        <v>52</v>
      </c>
      <c r="R288">
        <v>4</v>
      </c>
      <c r="S288">
        <v>4</v>
      </c>
      <c r="T288">
        <v>4</v>
      </c>
      <c r="U288" t="s">
        <v>1794</v>
      </c>
      <c r="V288" t="s">
        <v>1794</v>
      </c>
      <c r="W288" t="s">
        <v>1794</v>
      </c>
      <c r="X288">
        <v>1</v>
      </c>
      <c r="Y288" t="s">
        <v>1794</v>
      </c>
      <c r="Z288">
        <v>0</v>
      </c>
      <c r="AA288" t="s">
        <v>1794</v>
      </c>
      <c r="AB288" t="s">
        <v>1794</v>
      </c>
      <c r="AC288" t="s">
        <v>1794</v>
      </c>
      <c r="AD288" t="s">
        <v>1794</v>
      </c>
      <c r="AE288">
        <v>0</v>
      </c>
      <c r="AF288" t="s">
        <v>1794</v>
      </c>
      <c r="AG288" t="s">
        <v>1794</v>
      </c>
      <c r="AH288" t="s">
        <v>1794</v>
      </c>
    </row>
    <row r="289" spans="1:34" x14ac:dyDescent="0.25">
      <c r="A289" t="s">
        <v>593</v>
      </c>
      <c r="B289" t="s">
        <v>1280</v>
      </c>
      <c r="C289" t="s">
        <v>315</v>
      </c>
      <c r="D289" t="s">
        <v>259</v>
      </c>
      <c r="E289" t="s">
        <v>1794</v>
      </c>
      <c r="F289" t="s">
        <v>594</v>
      </c>
      <c r="G289" t="s">
        <v>1124</v>
      </c>
      <c r="H289" t="s">
        <v>595</v>
      </c>
      <c r="I289" t="s">
        <v>262</v>
      </c>
      <c r="J289" t="s">
        <v>368</v>
      </c>
      <c r="K289">
        <v>1</v>
      </c>
      <c r="L289">
        <v>5</v>
      </c>
      <c r="M289" t="s">
        <v>33</v>
      </c>
      <c r="N289">
        <v>1</v>
      </c>
      <c r="O289">
        <v>5</v>
      </c>
      <c r="P289">
        <v>1</v>
      </c>
      <c r="Q289" t="s">
        <v>52</v>
      </c>
      <c r="R289">
        <v>5</v>
      </c>
      <c r="S289">
        <v>5</v>
      </c>
      <c r="T289">
        <v>5</v>
      </c>
      <c r="U289" t="s">
        <v>1794</v>
      </c>
      <c r="V289" t="s">
        <v>1794</v>
      </c>
      <c r="W289" t="s">
        <v>1794</v>
      </c>
      <c r="X289">
        <v>1</v>
      </c>
      <c r="Y289" t="s">
        <v>1794</v>
      </c>
      <c r="Z289">
        <v>0</v>
      </c>
      <c r="AA289" t="s">
        <v>1794</v>
      </c>
      <c r="AB289" t="s">
        <v>1794</v>
      </c>
      <c r="AC289" t="s">
        <v>1794</v>
      </c>
      <c r="AD289" t="s">
        <v>1794</v>
      </c>
      <c r="AE289">
        <v>0</v>
      </c>
      <c r="AF289" t="s">
        <v>1794</v>
      </c>
      <c r="AG289" t="s">
        <v>1794</v>
      </c>
      <c r="AH289" t="s">
        <v>1794</v>
      </c>
    </row>
    <row r="290" spans="1:34" x14ac:dyDescent="0.25">
      <c r="A290" t="s">
        <v>417</v>
      </c>
      <c r="B290" t="s">
        <v>1252</v>
      </c>
      <c r="C290" t="s">
        <v>460</v>
      </c>
      <c r="D290" t="s">
        <v>259</v>
      </c>
      <c r="E290" t="s">
        <v>1794</v>
      </c>
      <c r="F290" t="s">
        <v>596</v>
      </c>
      <c r="G290" t="s">
        <v>1124</v>
      </c>
      <c r="H290" t="s">
        <v>1813</v>
      </c>
      <c r="I290" t="s">
        <v>262</v>
      </c>
      <c r="J290" t="s">
        <v>279</v>
      </c>
      <c r="K290">
        <v>1</v>
      </c>
      <c r="L290">
        <v>2</v>
      </c>
      <c r="M290" t="s">
        <v>33</v>
      </c>
      <c r="N290">
        <v>1</v>
      </c>
      <c r="O290">
        <v>2</v>
      </c>
      <c r="P290">
        <v>1</v>
      </c>
      <c r="Q290" t="s">
        <v>52</v>
      </c>
      <c r="R290">
        <v>2</v>
      </c>
      <c r="S290">
        <v>2</v>
      </c>
      <c r="T290">
        <v>2</v>
      </c>
      <c r="U290" t="s">
        <v>1794</v>
      </c>
      <c r="V290" t="s">
        <v>1794</v>
      </c>
      <c r="W290" t="s">
        <v>1794</v>
      </c>
      <c r="X290">
        <v>1</v>
      </c>
      <c r="Y290" t="s">
        <v>1794</v>
      </c>
      <c r="Z290">
        <v>0</v>
      </c>
      <c r="AA290" t="s">
        <v>1794</v>
      </c>
      <c r="AB290" t="s">
        <v>1794</v>
      </c>
      <c r="AC290" t="s">
        <v>1794</v>
      </c>
      <c r="AD290" t="s">
        <v>1794</v>
      </c>
      <c r="AE290">
        <v>0</v>
      </c>
      <c r="AF290" t="s">
        <v>1794</v>
      </c>
      <c r="AG290" t="s">
        <v>1794</v>
      </c>
      <c r="AH290" t="s">
        <v>1794</v>
      </c>
    </row>
    <row r="291" spans="1:34" x14ac:dyDescent="0.25">
      <c r="A291" t="s">
        <v>417</v>
      </c>
      <c r="B291" t="s">
        <v>1252</v>
      </c>
      <c r="C291" t="s">
        <v>460</v>
      </c>
      <c r="D291" t="s">
        <v>259</v>
      </c>
      <c r="E291" t="s">
        <v>1794</v>
      </c>
      <c r="F291" t="s">
        <v>597</v>
      </c>
      <c r="G291" t="s">
        <v>1124</v>
      </c>
      <c r="H291" t="s">
        <v>598</v>
      </c>
      <c r="I291" t="s">
        <v>262</v>
      </c>
      <c r="J291" t="s">
        <v>279</v>
      </c>
      <c r="K291">
        <v>1</v>
      </c>
      <c r="L291">
        <v>1</v>
      </c>
      <c r="M291" t="s">
        <v>33</v>
      </c>
      <c r="N291">
        <v>1</v>
      </c>
      <c r="O291">
        <v>1</v>
      </c>
      <c r="P291">
        <v>1</v>
      </c>
      <c r="Q291" t="s">
        <v>52</v>
      </c>
      <c r="R291">
        <v>1</v>
      </c>
      <c r="S291">
        <v>1</v>
      </c>
      <c r="T291">
        <v>1</v>
      </c>
      <c r="U291" t="s">
        <v>1794</v>
      </c>
      <c r="V291" t="s">
        <v>1794</v>
      </c>
      <c r="W291" t="s">
        <v>1794</v>
      </c>
      <c r="X291">
        <v>1</v>
      </c>
      <c r="Y291" t="s">
        <v>1794</v>
      </c>
      <c r="Z291">
        <v>0</v>
      </c>
      <c r="AA291" t="s">
        <v>1794</v>
      </c>
      <c r="AB291" t="s">
        <v>1794</v>
      </c>
      <c r="AC291" t="s">
        <v>1794</v>
      </c>
      <c r="AD291" t="s">
        <v>1794</v>
      </c>
      <c r="AE291">
        <v>0</v>
      </c>
      <c r="AF291" t="s">
        <v>1794</v>
      </c>
      <c r="AG291" t="s">
        <v>1794</v>
      </c>
      <c r="AH291" t="s">
        <v>1794</v>
      </c>
    </row>
    <row r="292" spans="1:34" x14ac:dyDescent="0.25">
      <c r="A292" t="s">
        <v>417</v>
      </c>
      <c r="B292" t="s">
        <v>1252</v>
      </c>
      <c r="C292" t="s">
        <v>460</v>
      </c>
      <c r="D292" t="s">
        <v>259</v>
      </c>
      <c r="E292" t="s">
        <v>1794</v>
      </c>
      <c r="F292" t="s">
        <v>599</v>
      </c>
      <c r="G292" t="s">
        <v>1124</v>
      </c>
      <c r="H292" t="s">
        <v>600</v>
      </c>
      <c r="I292" t="s">
        <v>262</v>
      </c>
      <c r="J292" t="s">
        <v>279</v>
      </c>
      <c r="K292">
        <v>1</v>
      </c>
      <c r="L292">
        <v>1</v>
      </c>
      <c r="M292" t="s">
        <v>33</v>
      </c>
      <c r="N292">
        <v>1</v>
      </c>
      <c r="O292">
        <v>1</v>
      </c>
      <c r="P292">
        <v>1</v>
      </c>
      <c r="Q292" t="s">
        <v>52</v>
      </c>
      <c r="R292">
        <v>1</v>
      </c>
      <c r="S292">
        <v>1</v>
      </c>
      <c r="T292">
        <v>1</v>
      </c>
      <c r="U292" t="s">
        <v>1794</v>
      </c>
      <c r="V292" t="s">
        <v>1794</v>
      </c>
      <c r="W292" t="s">
        <v>1794</v>
      </c>
      <c r="X292">
        <v>1</v>
      </c>
      <c r="Y292" t="s">
        <v>1794</v>
      </c>
      <c r="Z292">
        <v>0</v>
      </c>
      <c r="AA292" t="s">
        <v>1794</v>
      </c>
      <c r="AB292" t="s">
        <v>1794</v>
      </c>
      <c r="AC292" t="s">
        <v>1794</v>
      </c>
      <c r="AD292" t="s">
        <v>1794</v>
      </c>
      <c r="AE292">
        <v>0</v>
      </c>
      <c r="AF292" t="s">
        <v>1794</v>
      </c>
      <c r="AG292" t="s">
        <v>1794</v>
      </c>
      <c r="AH292" t="s">
        <v>1794</v>
      </c>
    </row>
    <row r="293" spans="1:34" x14ac:dyDescent="0.25">
      <c r="A293" t="s">
        <v>417</v>
      </c>
      <c r="B293" t="s">
        <v>1252</v>
      </c>
      <c r="C293" t="s">
        <v>460</v>
      </c>
      <c r="D293" t="s">
        <v>259</v>
      </c>
      <c r="E293" t="s">
        <v>1794</v>
      </c>
      <c r="F293" t="s">
        <v>601</v>
      </c>
      <c r="G293" t="s">
        <v>1124</v>
      </c>
      <c r="H293" t="s">
        <v>602</v>
      </c>
      <c r="I293" t="s">
        <v>262</v>
      </c>
      <c r="J293" t="s">
        <v>279</v>
      </c>
      <c r="K293">
        <v>1</v>
      </c>
      <c r="L293">
        <v>2</v>
      </c>
      <c r="M293" t="s">
        <v>33</v>
      </c>
      <c r="N293">
        <v>1</v>
      </c>
      <c r="O293">
        <v>2</v>
      </c>
      <c r="P293">
        <v>1</v>
      </c>
      <c r="Q293" t="s">
        <v>52</v>
      </c>
      <c r="R293">
        <v>2</v>
      </c>
      <c r="S293">
        <v>2</v>
      </c>
      <c r="T293">
        <v>2</v>
      </c>
      <c r="U293" t="s">
        <v>1794</v>
      </c>
      <c r="V293" t="s">
        <v>1794</v>
      </c>
      <c r="W293" t="s">
        <v>1794</v>
      </c>
      <c r="X293">
        <v>1</v>
      </c>
      <c r="Y293" t="s">
        <v>1794</v>
      </c>
      <c r="Z293">
        <v>0</v>
      </c>
      <c r="AA293" t="s">
        <v>1794</v>
      </c>
      <c r="AB293" t="s">
        <v>1794</v>
      </c>
      <c r="AC293" t="s">
        <v>1794</v>
      </c>
      <c r="AD293" t="s">
        <v>1794</v>
      </c>
      <c r="AE293">
        <v>0</v>
      </c>
      <c r="AF293" t="s">
        <v>1794</v>
      </c>
      <c r="AG293" t="s">
        <v>1794</v>
      </c>
      <c r="AH293" t="s">
        <v>1794</v>
      </c>
    </row>
    <row r="294" spans="1:34" x14ac:dyDescent="0.25">
      <c r="A294" t="s">
        <v>417</v>
      </c>
      <c r="B294" t="s">
        <v>1252</v>
      </c>
      <c r="C294" t="s">
        <v>460</v>
      </c>
      <c r="D294" t="s">
        <v>259</v>
      </c>
      <c r="E294" t="s">
        <v>1794</v>
      </c>
      <c r="F294" t="s">
        <v>603</v>
      </c>
      <c r="G294" t="s">
        <v>1124</v>
      </c>
      <c r="H294" t="s">
        <v>604</v>
      </c>
      <c r="I294" t="s">
        <v>262</v>
      </c>
      <c r="J294" t="s">
        <v>279</v>
      </c>
      <c r="K294">
        <v>1</v>
      </c>
      <c r="L294">
        <v>1</v>
      </c>
      <c r="M294" t="s">
        <v>33</v>
      </c>
      <c r="N294">
        <v>1</v>
      </c>
      <c r="O294">
        <v>1</v>
      </c>
      <c r="P294">
        <v>1</v>
      </c>
      <c r="Q294" t="s">
        <v>52</v>
      </c>
      <c r="R294">
        <v>1</v>
      </c>
      <c r="S294">
        <v>1</v>
      </c>
      <c r="T294">
        <v>1</v>
      </c>
      <c r="U294" t="s">
        <v>1794</v>
      </c>
      <c r="V294" t="s">
        <v>1794</v>
      </c>
      <c r="W294" t="s">
        <v>1794</v>
      </c>
      <c r="X294">
        <v>1</v>
      </c>
      <c r="Y294" t="s">
        <v>1794</v>
      </c>
      <c r="Z294">
        <v>0</v>
      </c>
      <c r="AA294" t="s">
        <v>1794</v>
      </c>
      <c r="AB294" t="s">
        <v>1794</v>
      </c>
      <c r="AC294" t="s">
        <v>1794</v>
      </c>
      <c r="AD294" t="s">
        <v>1794</v>
      </c>
      <c r="AE294">
        <v>0</v>
      </c>
      <c r="AF294" t="s">
        <v>1794</v>
      </c>
      <c r="AG294" t="s">
        <v>1794</v>
      </c>
      <c r="AH294" t="s">
        <v>1794</v>
      </c>
    </row>
    <row r="295" spans="1:34" x14ac:dyDescent="0.25">
      <c r="A295" t="s">
        <v>417</v>
      </c>
      <c r="B295" t="s">
        <v>1252</v>
      </c>
      <c r="C295" t="s">
        <v>460</v>
      </c>
      <c r="D295" t="s">
        <v>259</v>
      </c>
      <c r="E295" t="s">
        <v>1794</v>
      </c>
      <c r="F295" t="s">
        <v>605</v>
      </c>
      <c r="G295" t="s">
        <v>1124</v>
      </c>
      <c r="H295" t="s">
        <v>1814</v>
      </c>
      <c r="I295" t="s">
        <v>262</v>
      </c>
      <c r="J295" t="s">
        <v>279</v>
      </c>
      <c r="K295">
        <v>1</v>
      </c>
      <c r="L295">
        <v>2</v>
      </c>
      <c r="M295" t="s">
        <v>33</v>
      </c>
      <c r="N295">
        <v>1</v>
      </c>
      <c r="O295">
        <v>2</v>
      </c>
      <c r="P295">
        <v>1</v>
      </c>
      <c r="Q295" t="s">
        <v>52</v>
      </c>
      <c r="R295">
        <v>2</v>
      </c>
      <c r="S295">
        <v>2</v>
      </c>
      <c r="T295">
        <v>2</v>
      </c>
      <c r="U295" t="s">
        <v>1794</v>
      </c>
      <c r="V295" t="s">
        <v>1794</v>
      </c>
      <c r="W295" t="s">
        <v>1794</v>
      </c>
      <c r="X295">
        <v>1</v>
      </c>
      <c r="Y295" t="s">
        <v>1794</v>
      </c>
      <c r="Z295">
        <v>0</v>
      </c>
      <c r="AA295" t="s">
        <v>1794</v>
      </c>
      <c r="AB295" t="s">
        <v>1794</v>
      </c>
      <c r="AC295" t="s">
        <v>1794</v>
      </c>
      <c r="AD295" t="s">
        <v>1794</v>
      </c>
      <c r="AE295">
        <v>0</v>
      </c>
      <c r="AF295" t="s">
        <v>1794</v>
      </c>
      <c r="AG295" t="s">
        <v>1794</v>
      </c>
      <c r="AH295" t="s">
        <v>1794</v>
      </c>
    </row>
    <row r="296" spans="1:34" x14ac:dyDescent="0.25">
      <c r="A296" t="s">
        <v>294</v>
      </c>
      <c r="B296" t="s">
        <v>1279</v>
      </c>
      <c r="C296" t="s">
        <v>460</v>
      </c>
      <c r="D296" t="s">
        <v>259</v>
      </c>
      <c r="E296" t="s">
        <v>1794</v>
      </c>
      <c r="F296" t="s">
        <v>605</v>
      </c>
      <c r="G296" t="s">
        <v>1124</v>
      </c>
      <c r="H296" t="s">
        <v>1814</v>
      </c>
      <c r="I296" t="s">
        <v>262</v>
      </c>
      <c r="J296" t="s">
        <v>279</v>
      </c>
      <c r="K296">
        <v>1</v>
      </c>
      <c r="L296">
        <v>2</v>
      </c>
      <c r="M296" t="s">
        <v>33</v>
      </c>
      <c r="N296">
        <v>1</v>
      </c>
      <c r="O296">
        <v>2</v>
      </c>
      <c r="P296">
        <v>1</v>
      </c>
      <c r="Q296" t="s">
        <v>52</v>
      </c>
      <c r="R296">
        <v>2</v>
      </c>
      <c r="S296">
        <v>2</v>
      </c>
      <c r="T296">
        <v>2</v>
      </c>
      <c r="U296" t="s">
        <v>1794</v>
      </c>
      <c r="V296" t="s">
        <v>1794</v>
      </c>
      <c r="W296" t="s">
        <v>1794</v>
      </c>
      <c r="X296">
        <v>1</v>
      </c>
      <c r="Y296" t="s">
        <v>1794</v>
      </c>
      <c r="Z296">
        <v>0</v>
      </c>
      <c r="AA296" t="s">
        <v>1794</v>
      </c>
      <c r="AB296" t="s">
        <v>1794</v>
      </c>
      <c r="AC296" t="s">
        <v>1794</v>
      </c>
      <c r="AD296" t="s">
        <v>1794</v>
      </c>
      <c r="AE296">
        <v>0</v>
      </c>
      <c r="AF296" t="s">
        <v>1794</v>
      </c>
      <c r="AG296" t="s">
        <v>1794</v>
      </c>
      <c r="AH296" t="s">
        <v>1794</v>
      </c>
    </row>
    <row r="297" spans="1:34" x14ac:dyDescent="0.25">
      <c r="A297" t="s">
        <v>417</v>
      </c>
      <c r="B297" t="s">
        <v>1252</v>
      </c>
      <c r="C297" t="s">
        <v>460</v>
      </c>
      <c r="D297" t="s">
        <v>259</v>
      </c>
      <c r="E297" t="s">
        <v>1794</v>
      </c>
      <c r="F297" t="s">
        <v>606</v>
      </c>
      <c r="G297" t="s">
        <v>1124</v>
      </c>
      <c r="H297" t="s">
        <v>607</v>
      </c>
      <c r="I297" t="s">
        <v>262</v>
      </c>
      <c r="J297" t="s">
        <v>279</v>
      </c>
      <c r="K297">
        <v>1</v>
      </c>
      <c r="L297">
        <v>1</v>
      </c>
      <c r="M297" t="s">
        <v>33</v>
      </c>
      <c r="N297">
        <v>1</v>
      </c>
      <c r="O297">
        <v>1</v>
      </c>
      <c r="P297">
        <v>1</v>
      </c>
      <c r="Q297" t="s">
        <v>52</v>
      </c>
      <c r="R297">
        <v>1</v>
      </c>
      <c r="S297">
        <v>1</v>
      </c>
      <c r="T297">
        <v>1</v>
      </c>
      <c r="U297" t="s">
        <v>1794</v>
      </c>
      <c r="V297" t="s">
        <v>1794</v>
      </c>
      <c r="W297" t="s">
        <v>1794</v>
      </c>
      <c r="X297">
        <v>1</v>
      </c>
      <c r="Y297" t="s">
        <v>1794</v>
      </c>
      <c r="Z297">
        <v>0</v>
      </c>
      <c r="AA297" t="s">
        <v>1794</v>
      </c>
      <c r="AB297" t="s">
        <v>1794</v>
      </c>
      <c r="AC297" t="s">
        <v>1794</v>
      </c>
      <c r="AD297" t="s">
        <v>1794</v>
      </c>
      <c r="AE297">
        <v>0</v>
      </c>
      <c r="AF297" t="s">
        <v>1794</v>
      </c>
      <c r="AG297" t="s">
        <v>1794</v>
      </c>
      <c r="AH297" t="s">
        <v>1794</v>
      </c>
    </row>
    <row r="298" spans="1:34" x14ac:dyDescent="0.25">
      <c r="A298" t="s">
        <v>417</v>
      </c>
      <c r="B298" t="s">
        <v>1252</v>
      </c>
      <c r="C298" t="s">
        <v>460</v>
      </c>
      <c r="D298" t="s">
        <v>259</v>
      </c>
      <c r="E298" t="s">
        <v>1794</v>
      </c>
      <c r="F298" t="s">
        <v>608</v>
      </c>
      <c r="G298" t="s">
        <v>1124</v>
      </c>
      <c r="H298" t="s">
        <v>609</v>
      </c>
      <c r="I298" t="s">
        <v>262</v>
      </c>
      <c r="J298" t="s">
        <v>279</v>
      </c>
      <c r="K298">
        <v>1</v>
      </c>
      <c r="L298">
        <v>1</v>
      </c>
      <c r="M298" t="s">
        <v>33</v>
      </c>
      <c r="N298">
        <v>1</v>
      </c>
      <c r="O298">
        <v>1</v>
      </c>
      <c r="P298">
        <v>1</v>
      </c>
      <c r="Q298" t="s">
        <v>52</v>
      </c>
      <c r="R298">
        <v>1</v>
      </c>
      <c r="S298">
        <v>1</v>
      </c>
      <c r="T298">
        <v>1</v>
      </c>
      <c r="U298" t="s">
        <v>1794</v>
      </c>
      <c r="V298" t="s">
        <v>1794</v>
      </c>
      <c r="W298" t="s">
        <v>1794</v>
      </c>
      <c r="X298">
        <v>1</v>
      </c>
      <c r="Y298" t="s">
        <v>1794</v>
      </c>
      <c r="Z298">
        <v>0</v>
      </c>
      <c r="AA298" t="s">
        <v>1794</v>
      </c>
      <c r="AB298" t="s">
        <v>1794</v>
      </c>
      <c r="AC298" t="s">
        <v>1794</v>
      </c>
      <c r="AD298" t="s">
        <v>1794</v>
      </c>
      <c r="AE298">
        <v>0</v>
      </c>
      <c r="AF298" t="s">
        <v>1794</v>
      </c>
      <c r="AG298" t="s">
        <v>1794</v>
      </c>
      <c r="AH298" t="s">
        <v>1794</v>
      </c>
    </row>
    <row r="299" spans="1:34" x14ac:dyDescent="0.25">
      <c r="A299" t="s">
        <v>417</v>
      </c>
      <c r="B299" t="s">
        <v>1252</v>
      </c>
      <c r="C299" t="s">
        <v>460</v>
      </c>
      <c r="D299" t="s">
        <v>259</v>
      </c>
      <c r="E299" t="s">
        <v>1794</v>
      </c>
      <c r="F299" t="s">
        <v>610</v>
      </c>
      <c r="G299" t="s">
        <v>1124</v>
      </c>
      <c r="H299" t="s">
        <v>611</v>
      </c>
      <c r="I299" t="s">
        <v>262</v>
      </c>
      <c r="J299" t="s">
        <v>279</v>
      </c>
      <c r="K299">
        <v>1</v>
      </c>
      <c r="L299">
        <v>1</v>
      </c>
      <c r="M299" t="s">
        <v>33</v>
      </c>
      <c r="N299">
        <v>1</v>
      </c>
      <c r="O299">
        <v>1</v>
      </c>
      <c r="P299">
        <v>1</v>
      </c>
      <c r="Q299" t="s">
        <v>52</v>
      </c>
      <c r="R299">
        <v>1</v>
      </c>
      <c r="S299">
        <v>1</v>
      </c>
      <c r="T299">
        <v>1</v>
      </c>
      <c r="U299" t="s">
        <v>1794</v>
      </c>
      <c r="V299" t="s">
        <v>1794</v>
      </c>
      <c r="W299" t="s">
        <v>1794</v>
      </c>
      <c r="X299">
        <v>1</v>
      </c>
      <c r="Y299" t="s">
        <v>1794</v>
      </c>
      <c r="Z299">
        <v>0</v>
      </c>
      <c r="AA299" t="s">
        <v>1794</v>
      </c>
      <c r="AB299" t="s">
        <v>1794</v>
      </c>
      <c r="AC299" t="s">
        <v>1794</v>
      </c>
      <c r="AD299" t="s">
        <v>1794</v>
      </c>
      <c r="AE299">
        <v>0</v>
      </c>
      <c r="AF299" t="s">
        <v>1794</v>
      </c>
      <c r="AG299" t="s">
        <v>1794</v>
      </c>
      <c r="AH299" t="s">
        <v>1794</v>
      </c>
    </row>
    <row r="300" spans="1:34" x14ac:dyDescent="0.25">
      <c r="A300" t="s">
        <v>446</v>
      </c>
      <c r="B300" t="s">
        <v>1269</v>
      </c>
      <c r="C300" t="s">
        <v>306</v>
      </c>
      <c r="D300" t="s">
        <v>259</v>
      </c>
      <c r="E300" t="s">
        <v>1794</v>
      </c>
      <c r="F300" t="s">
        <v>612</v>
      </c>
      <c r="G300" t="s">
        <v>1124</v>
      </c>
      <c r="H300" t="s">
        <v>613</v>
      </c>
      <c r="I300" t="s">
        <v>262</v>
      </c>
      <c r="J300" t="s">
        <v>279</v>
      </c>
      <c r="K300">
        <v>1</v>
      </c>
      <c r="L300">
        <v>1</v>
      </c>
      <c r="M300" t="s">
        <v>33</v>
      </c>
      <c r="N300">
        <v>1</v>
      </c>
      <c r="O300">
        <v>1</v>
      </c>
      <c r="P300">
        <v>1</v>
      </c>
      <c r="Q300" t="s">
        <v>52</v>
      </c>
      <c r="R300">
        <v>1</v>
      </c>
      <c r="S300">
        <v>1</v>
      </c>
      <c r="T300">
        <v>1</v>
      </c>
      <c r="U300" t="s">
        <v>1794</v>
      </c>
      <c r="V300" t="s">
        <v>1794</v>
      </c>
      <c r="W300" t="s">
        <v>1794</v>
      </c>
      <c r="X300">
        <v>1</v>
      </c>
      <c r="Y300" t="s">
        <v>1794</v>
      </c>
      <c r="Z300">
        <v>0</v>
      </c>
      <c r="AA300" t="s">
        <v>1794</v>
      </c>
      <c r="AB300" t="s">
        <v>1794</v>
      </c>
      <c r="AC300" t="s">
        <v>1794</v>
      </c>
      <c r="AD300" t="s">
        <v>1794</v>
      </c>
      <c r="AE300">
        <v>0</v>
      </c>
      <c r="AF300" t="s">
        <v>1794</v>
      </c>
      <c r="AG300" t="s">
        <v>1794</v>
      </c>
      <c r="AH300" t="s">
        <v>1794</v>
      </c>
    </row>
    <row r="301" spans="1:34" x14ac:dyDescent="0.25">
      <c r="A301" t="s">
        <v>1175</v>
      </c>
      <c r="B301" t="s">
        <v>1176</v>
      </c>
      <c r="C301" t="s">
        <v>330</v>
      </c>
      <c r="D301" t="s">
        <v>259</v>
      </c>
      <c r="E301" t="s">
        <v>1794</v>
      </c>
      <c r="F301" t="s">
        <v>614</v>
      </c>
      <c r="G301" t="s">
        <v>1124</v>
      </c>
      <c r="H301" t="s">
        <v>615</v>
      </c>
      <c r="I301" t="s">
        <v>262</v>
      </c>
      <c r="J301" t="s">
        <v>279</v>
      </c>
      <c r="K301">
        <v>1</v>
      </c>
      <c r="L301">
        <v>4</v>
      </c>
      <c r="M301" t="s">
        <v>33</v>
      </c>
      <c r="N301">
        <v>1</v>
      </c>
      <c r="O301">
        <v>4</v>
      </c>
      <c r="P301">
        <v>1</v>
      </c>
      <c r="Q301" t="s">
        <v>52</v>
      </c>
      <c r="R301">
        <v>4</v>
      </c>
      <c r="S301">
        <v>4</v>
      </c>
      <c r="T301">
        <v>4</v>
      </c>
      <c r="U301" t="s">
        <v>1794</v>
      </c>
      <c r="V301" t="s">
        <v>1794</v>
      </c>
      <c r="W301" t="s">
        <v>1794</v>
      </c>
      <c r="X301">
        <v>1</v>
      </c>
      <c r="Y301" t="s">
        <v>1794</v>
      </c>
      <c r="Z301">
        <v>0</v>
      </c>
      <c r="AA301" t="s">
        <v>1794</v>
      </c>
      <c r="AB301" t="s">
        <v>1794</v>
      </c>
      <c r="AC301" t="s">
        <v>1794</v>
      </c>
      <c r="AD301" t="s">
        <v>1794</v>
      </c>
      <c r="AE301">
        <v>0</v>
      </c>
      <c r="AF301" t="s">
        <v>1794</v>
      </c>
      <c r="AG301" t="s">
        <v>1794</v>
      </c>
      <c r="AH301" t="s">
        <v>1794</v>
      </c>
    </row>
    <row r="302" spans="1:34" x14ac:dyDescent="0.25">
      <c r="A302" t="s">
        <v>1186</v>
      </c>
      <c r="B302" t="s">
        <v>1187</v>
      </c>
      <c r="C302" t="s">
        <v>330</v>
      </c>
      <c r="D302" t="s">
        <v>259</v>
      </c>
      <c r="E302" t="s">
        <v>1794</v>
      </c>
      <c r="F302" t="s">
        <v>614</v>
      </c>
      <c r="G302" t="s">
        <v>1794</v>
      </c>
      <c r="H302" t="s">
        <v>615</v>
      </c>
      <c r="I302" t="s">
        <v>262</v>
      </c>
      <c r="J302" t="s">
        <v>279</v>
      </c>
      <c r="K302">
        <v>1</v>
      </c>
      <c r="L302">
        <v>4</v>
      </c>
      <c r="M302" t="s">
        <v>33</v>
      </c>
      <c r="N302">
        <v>1</v>
      </c>
      <c r="O302">
        <v>4</v>
      </c>
      <c r="P302">
        <v>1</v>
      </c>
      <c r="Q302" t="s">
        <v>52</v>
      </c>
      <c r="R302">
        <v>4</v>
      </c>
      <c r="S302">
        <v>4</v>
      </c>
      <c r="T302">
        <v>4</v>
      </c>
      <c r="U302" t="s">
        <v>1794</v>
      </c>
      <c r="V302" t="s">
        <v>1794</v>
      </c>
      <c r="W302" t="s">
        <v>1794</v>
      </c>
      <c r="X302">
        <v>1</v>
      </c>
      <c r="Y302" t="s">
        <v>1794</v>
      </c>
      <c r="Z302">
        <v>0</v>
      </c>
      <c r="AA302" t="s">
        <v>1794</v>
      </c>
      <c r="AB302" t="s">
        <v>1794</v>
      </c>
      <c r="AC302" t="s">
        <v>1794</v>
      </c>
      <c r="AD302" t="s">
        <v>1794</v>
      </c>
      <c r="AE302">
        <v>0</v>
      </c>
      <c r="AF302" t="s">
        <v>1794</v>
      </c>
      <c r="AG302" t="s">
        <v>1794</v>
      </c>
      <c r="AH302" t="s">
        <v>1794</v>
      </c>
    </row>
    <row r="303" spans="1:34" x14ac:dyDescent="0.25">
      <c r="A303" t="s">
        <v>1203</v>
      </c>
      <c r="B303" t="s">
        <v>1204</v>
      </c>
      <c r="C303" t="s">
        <v>330</v>
      </c>
      <c r="D303" t="s">
        <v>259</v>
      </c>
      <c r="E303" t="s">
        <v>1794</v>
      </c>
      <c r="F303" t="s">
        <v>614</v>
      </c>
      <c r="G303" t="s">
        <v>1794</v>
      </c>
      <c r="H303" t="s">
        <v>615</v>
      </c>
      <c r="I303" t="s">
        <v>262</v>
      </c>
      <c r="J303" t="s">
        <v>279</v>
      </c>
      <c r="K303">
        <v>1</v>
      </c>
      <c r="L303">
        <v>4</v>
      </c>
      <c r="M303" t="s">
        <v>33</v>
      </c>
      <c r="N303">
        <v>1</v>
      </c>
      <c r="O303">
        <v>4</v>
      </c>
      <c r="P303">
        <v>1</v>
      </c>
      <c r="Q303" t="s">
        <v>52</v>
      </c>
      <c r="R303">
        <v>4</v>
      </c>
      <c r="S303">
        <v>4</v>
      </c>
      <c r="T303">
        <v>4</v>
      </c>
      <c r="U303" t="s">
        <v>1794</v>
      </c>
      <c r="V303" t="s">
        <v>1794</v>
      </c>
      <c r="W303" t="s">
        <v>1794</v>
      </c>
      <c r="X303">
        <v>1</v>
      </c>
      <c r="Y303" t="s">
        <v>1794</v>
      </c>
      <c r="Z303">
        <v>0</v>
      </c>
      <c r="AA303" t="s">
        <v>1794</v>
      </c>
      <c r="AB303" t="s">
        <v>1794</v>
      </c>
      <c r="AC303" t="s">
        <v>1794</v>
      </c>
      <c r="AD303" t="s">
        <v>1794</v>
      </c>
      <c r="AE303">
        <v>0</v>
      </c>
      <c r="AF303" t="s">
        <v>1794</v>
      </c>
      <c r="AG303" t="s">
        <v>1794</v>
      </c>
      <c r="AH303" t="s">
        <v>1794</v>
      </c>
    </row>
    <row r="304" spans="1:34" x14ac:dyDescent="0.25">
      <c r="A304" t="s">
        <v>1205</v>
      </c>
      <c r="B304" t="s">
        <v>1206</v>
      </c>
      <c r="C304" t="s">
        <v>330</v>
      </c>
      <c r="D304" t="s">
        <v>259</v>
      </c>
      <c r="E304" t="s">
        <v>1794</v>
      </c>
      <c r="F304" t="s">
        <v>614</v>
      </c>
      <c r="G304" t="s">
        <v>1794</v>
      </c>
      <c r="H304" t="s">
        <v>615</v>
      </c>
      <c r="I304" t="s">
        <v>262</v>
      </c>
      <c r="J304" t="s">
        <v>279</v>
      </c>
      <c r="K304">
        <v>1</v>
      </c>
      <c r="L304">
        <v>4</v>
      </c>
      <c r="M304" t="s">
        <v>33</v>
      </c>
      <c r="N304">
        <v>1</v>
      </c>
      <c r="O304">
        <v>4</v>
      </c>
      <c r="P304">
        <v>1</v>
      </c>
      <c r="Q304" t="s">
        <v>52</v>
      </c>
      <c r="R304">
        <v>4</v>
      </c>
      <c r="S304">
        <v>4</v>
      </c>
      <c r="T304">
        <v>4</v>
      </c>
      <c r="U304" t="s">
        <v>1794</v>
      </c>
      <c r="V304" t="s">
        <v>1794</v>
      </c>
      <c r="W304" t="s">
        <v>1794</v>
      </c>
      <c r="X304">
        <v>1</v>
      </c>
      <c r="Y304" t="s">
        <v>1794</v>
      </c>
      <c r="Z304">
        <v>0</v>
      </c>
      <c r="AA304" t="s">
        <v>1794</v>
      </c>
      <c r="AB304" t="s">
        <v>1794</v>
      </c>
      <c r="AC304" t="s">
        <v>1794</v>
      </c>
      <c r="AD304" t="s">
        <v>1794</v>
      </c>
      <c r="AE304">
        <v>0</v>
      </c>
      <c r="AF304" t="s">
        <v>1794</v>
      </c>
      <c r="AG304" t="s">
        <v>1794</v>
      </c>
      <c r="AH304" t="s">
        <v>1794</v>
      </c>
    </row>
    <row r="305" spans="1:34" x14ac:dyDescent="0.25">
      <c r="A305" t="s">
        <v>1209</v>
      </c>
      <c r="B305" t="s">
        <v>1210</v>
      </c>
      <c r="C305" t="s">
        <v>330</v>
      </c>
      <c r="D305" t="s">
        <v>259</v>
      </c>
      <c r="E305" t="s">
        <v>1794</v>
      </c>
      <c r="F305" t="s">
        <v>614</v>
      </c>
      <c r="G305" t="s">
        <v>1794</v>
      </c>
      <c r="H305" t="s">
        <v>615</v>
      </c>
      <c r="I305" t="s">
        <v>262</v>
      </c>
      <c r="J305" t="s">
        <v>279</v>
      </c>
      <c r="K305">
        <v>1</v>
      </c>
      <c r="L305">
        <v>4</v>
      </c>
      <c r="M305" t="s">
        <v>33</v>
      </c>
      <c r="N305">
        <v>1</v>
      </c>
      <c r="O305">
        <v>4</v>
      </c>
      <c r="P305">
        <v>1</v>
      </c>
      <c r="Q305" t="s">
        <v>52</v>
      </c>
      <c r="R305">
        <v>4</v>
      </c>
      <c r="S305">
        <v>4</v>
      </c>
      <c r="T305">
        <v>4</v>
      </c>
      <c r="U305" t="s">
        <v>1794</v>
      </c>
      <c r="V305" t="s">
        <v>1794</v>
      </c>
      <c r="W305" t="s">
        <v>1794</v>
      </c>
      <c r="X305">
        <v>1</v>
      </c>
      <c r="Y305" t="s">
        <v>1794</v>
      </c>
      <c r="Z305">
        <v>0</v>
      </c>
      <c r="AA305" t="s">
        <v>1794</v>
      </c>
      <c r="AB305" t="s">
        <v>1794</v>
      </c>
      <c r="AC305" t="s">
        <v>1794</v>
      </c>
      <c r="AD305" t="s">
        <v>1794</v>
      </c>
      <c r="AE305">
        <v>0</v>
      </c>
      <c r="AF305" t="s">
        <v>1794</v>
      </c>
      <c r="AG305" t="s">
        <v>1794</v>
      </c>
      <c r="AH305" t="s">
        <v>1794</v>
      </c>
    </row>
    <row r="306" spans="1:34" x14ac:dyDescent="0.25">
      <c r="A306" t="s">
        <v>616</v>
      </c>
      <c r="B306" t="s">
        <v>617</v>
      </c>
      <c r="C306" t="s">
        <v>364</v>
      </c>
      <c r="D306" t="s">
        <v>259</v>
      </c>
      <c r="E306" t="s">
        <v>1794</v>
      </c>
      <c r="F306" t="s">
        <v>618</v>
      </c>
      <c r="G306" t="s">
        <v>1124</v>
      </c>
      <c r="H306" t="s">
        <v>620</v>
      </c>
      <c r="I306" t="s">
        <v>262</v>
      </c>
      <c r="J306" t="s">
        <v>621</v>
      </c>
      <c r="K306">
        <v>1</v>
      </c>
      <c r="L306">
        <v>1</v>
      </c>
      <c r="M306" t="s">
        <v>33</v>
      </c>
      <c r="N306">
        <v>1</v>
      </c>
      <c r="O306">
        <v>1</v>
      </c>
      <c r="P306">
        <v>1</v>
      </c>
      <c r="Q306" t="s">
        <v>52</v>
      </c>
      <c r="R306">
        <v>1</v>
      </c>
      <c r="S306">
        <v>1</v>
      </c>
      <c r="T306">
        <v>1</v>
      </c>
      <c r="U306" t="s">
        <v>1794</v>
      </c>
      <c r="V306" t="s">
        <v>1794</v>
      </c>
      <c r="W306" t="s">
        <v>1794</v>
      </c>
      <c r="X306">
        <v>1</v>
      </c>
      <c r="Y306" t="s">
        <v>1794</v>
      </c>
      <c r="Z306">
        <v>0</v>
      </c>
      <c r="AA306" t="s">
        <v>1794</v>
      </c>
      <c r="AB306" t="s">
        <v>1794</v>
      </c>
      <c r="AC306" t="s">
        <v>1794</v>
      </c>
      <c r="AD306" t="s">
        <v>1794</v>
      </c>
      <c r="AE306">
        <v>0</v>
      </c>
      <c r="AF306" t="s">
        <v>1794</v>
      </c>
      <c r="AG306" t="s">
        <v>1794</v>
      </c>
      <c r="AH306" t="s">
        <v>1794</v>
      </c>
    </row>
    <row r="307" spans="1:34" x14ac:dyDescent="0.25">
      <c r="A307" t="s">
        <v>616</v>
      </c>
      <c r="B307" t="s">
        <v>617</v>
      </c>
      <c r="C307" t="s">
        <v>364</v>
      </c>
      <c r="D307" t="s">
        <v>259</v>
      </c>
      <c r="E307" t="s">
        <v>1794</v>
      </c>
      <c r="F307" t="s">
        <v>618</v>
      </c>
      <c r="G307" t="s">
        <v>1124</v>
      </c>
      <c r="H307" t="s">
        <v>622</v>
      </c>
      <c r="I307" t="s">
        <v>262</v>
      </c>
      <c r="J307" t="s">
        <v>623</v>
      </c>
      <c r="K307">
        <v>1</v>
      </c>
      <c r="L307">
        <v>1</v>
      </c>
      <c r="M307" t="s">
        <v>33</v>
      </c>
      <c r="N307">
        <v>1</v>
      </c>
      <c r="O307">
        <v>1</v>
      </c>
      <c r="P307">
        <v>1</v>
      </c>
      <c r="Q307" t="s">
        <v>52</v>
      </c>
      <c r="R307">
        <v>1</v>
      </c>
      <c r="S307">
        <v>1</v>
      </c>
      <c r="T307">
        <v>1</v>
      </c>
      <c r="U307" t="s">
        <v>1794</v>
      </c>
      <c r="V307" t="s">
        <v>1794</v>
      </c>
      <c r="W307" t="s">
        <v>1794</v>
      </c>
      <c r="X307">
        <v>1</v>
      </c>
      <c r="Y307" t="s">
        <v>1794</v>
      </c>
      <c r="Z307">
        <v>0</v>
      </c>
      <c r="AA307" t="s">
        <v>1794</v>
      </c>
      <c r="AB307" t="s">
        <v>1794</v>
      </c>
      <c r="AC307" t="s">
        <v>1794</v>
      </c>
      <c r="AD307" t="s">
        <v>1794</v>
      </c>
      <c r="AE307">
        <v>0</v>
      </c>
      <c r="AF307" t="s">
        <v>1794</v>
      </c>
      <c r="AG307" t="s">
        <v>1794</v>
      </c>
      <c r="AH307" t="s">
        <v>1794</v>
      </c>
    </row>
    <row r="308" spans="1:34" x14ac:dyDescent="0.25">
      <c r="A308" t="s">
        <v>616</v>
      </c>
      <c r="B308" t="s">
        <v>617</v>
      </c>
      <c r="C308" t="s">
        <v>364</v>
      </c>
      <c r="D308" t="s">
        <v>259</v>
      </c>
      <c r="E308" t="s">
        <v>1794</v>
      </c>
      <c r="F308" t="s">
        <v>618</v>
      </c>
      <c r="G308" t="s">
        <v>1124</v>
      </c>
      <c r="H308" t="s">
        <v>624</v>
      </c>
      <c r="I308" t="s">
        <v>262</v>
      </c>
      <c r="J308" t="s">
        <v>625</v>
      </c>
      <c r="K308">
        <v>1</v>
      </c>
      <c r="L308">
        <v>1</v>
      </c>
      <c r="M308" t="s">
        <v>33</v>
      </c>
      <c r="N308">
        <v>1</v>
      </c>
      <c r="O308">
        <v>1</v>
      </c>
      <c r="P308">
        <v>1</v>
      </c>
      <c r="Q308" t="s">
        <v>52</v>
      </c>
      <c r="R308">
        <v>1</v>
      </c>
      <c r="S308">
        <v>1</v>
      </c>
      <c r="T308">
        <v>1</v>
      </c>
      <c r="U308" t="s">
        <v>1794</v>
      </c>
      <c r="V308" t="s">
        <v>1794</v>
      </c>
      <c r="W308" t="s">
        <v>1794</v>
      </c>
      <c r="X308">
        <v>1</v>
      </c>
      <c r="Y308" t="s">
        <v>1794</v>
      </c>
      <c r="Z308">
        <v>0</v>
      </c>
      <c r="AA308" t="s">
        <v>1794</v>
      </c>
      <c r="AB308" t="s">
        <v>1794</v>
      </c>
      <c r="AC308" t="s">
        <v>1794</v>
      </c>
      <c r="AD308" t="s">
        <v>1794</v>
      </c>
      <c r="AE308">
        <v>0</v>
      </c>
      <c r="AF308" t="s">
        <v>1794</v>
      </c>
      <c r="AG308" t="s">
        <v>1794</v>
      </c>
      <c r="AH308" t="s">
        <v>1794</v>
      </c>
    </row>
    <row r="309" spans="1:34" x14ac:dyDescent="0.25">
      <c r="A309" t="s">
        <v>616</v>
      </c>
      <c r="B309" t="s">
        <v>617</v>
      </c>
      <c r="C309" t="s">
        <v>364</v>
      </c>
      <c r="D309" t="s">
        <v>259</v>
      </c>
      <c r="E309" t="s">
        <v>1794</v>
      </c>
      <c r="F309" t="s">
        <v>618</v>
      </c>
      <c r="G309" t="s">
        <v>1124</v>
      </c>
      <c r="H309" t="s">
        <v>626</v>
      </c>
      <c r="I309" t="s">
        <v>262</v>
      </c>
      <c r="J309" t="s">
        <v>627</v>
      </c>
      <c r="K309">
        <v>1</v>
      </c>
      <c r="L309">
        <v>1</v>
      </c>
      <c r="M309" t="s">
        <v>33</v>
      </c>
      <c r="N309">
        <v>1</v>
      </c>
      <c r="O309">
        <v>1</v>
      </c>
      <c r="P309">
        <v>1</v>
      </c>
      <c r="Q309" t="s">
        <v>52</v>
      </c>
      <c r="R309">
        <v>1</v>
      </c>
      <c r="S309">
        <v>1</v>
      </c>
      <c r="T309">
        <v>1</v>
      </c>
      <c r="U309" t="s">
        <v>1794</v>
      </c>
      <c r="V309" t="s">
        <v>1794</v>
      </c>
      <c r="W309" t="s">
        <v>1794</v>
      </c>
      <c r="X309">
        <v>1</v>
      </c>
      <c r="Y309" t="s">
        <v>1794</v>
      </c>
      <c r="Z309">
        <v>0</v>
      </c>
      <c r="AA309" t="s">
        <v>1794</v>
      </c>
      <c r="AB309" t="s">
        <v>1794</v>
      </c>
      <c r="AC309" t="s">
        <v>1794</v>
      </c>
      <c r="AD309" t="s">
        <v>1794</v>
      </c>
      <c r="AE309">
        <v>0</v>
      </c>
      <c r="AF309" t="s">
        <v>1794</v>
      </c>
      <c r="AG309" t="s">
        <v>1794</v>
      </c>
      <c r="AH309" t="s">
        <v>1794</v>
      </c>
    </row>
    <row r="310" spans="1:34" x14ac:dyDescent="0.25">
      <c r="A310" t="s">
        <v>616</v>
      </c>
      <c r="B310" t="s">
        <v>617</v>
      </c>
      <c r="C310" t="s">
        <v>364</v>
      </c>
      <c r="D310" t="s">
        <v>259</v>
      </c>
      <c r="E310" t="s">
        <v>1794</v>
      </c>
      <c r="F310" t="s">
        <v>618</v>
      </c>
      <c r="G310" t="s">
        <v>1124</v>
      </c>
      <c r="H310" t="s">
        <v>628</v>
      </c>
      <c r="I310" t="s">
        <v>262</v>
      </c>
      <c r="J310" t="s">
        <v>621</v>
      </c>
      <c r="K310">
        <v>1</v>
      </c>
      <c r="L310">
        <v>1</v>
      </c>
      <c r="M310" t="s">
        <v>33</v>
      </c>
      <c r="N310">
        <v>1</v>
      </c>
      <c r="O310">
        <v>1</v>
      </c>
      <c r="P310">
        <v>1</v>
      </c>
      <c r="Q310" t="s">
        <v>52</v>
      </c>
      <c r="R310">
        <v>1</v>
      </c>
      <c r="S310">
        <v>1</v>
      </c>
      <c r="T310">
        <v>1</v>
      </c>
      <c r="U310" t="s">
        <v>1794</v>
      </c>
      <c r="V310" t="s">
        <v>1794</v>
      </c>
      <c r="W310" t="s">
        <v>1794</v>
      </c>
      <c r="X310">
        <v>1</v>
      </c>
      <c r="Y310" t="s">
        <v>1794</v>
      </c>
      <c r="Z310">
        <v>0</v>
      </c>
      <c r="AA310" t="s">
        <v>1794</v>
      </c>
      <c r="AB310" t="s">
        <v>1794</v>
      </c>
      <c r="AC310" t="s">
        <v>1794</v>
      </c>
      <c r="AD310" t="s">
        <v>1794</v>
      </c>
      <c r="AE310">
        <v>0</v>
      </c>
      <c r="AF310" t="s">
        <v>1794</v>
      </c>
      <c r="AG310" t="s">
        <v>1794</v>
      </c>
      <c r="AH310" t="s">
        <v>1794</v>
      </c>
    </row>
    <row r="311" spans="1:34" x14ac:dyDescent="0.25">
      <c r="A311" t="s">
        <v>616</v>
      </c>
      <c r="B311" t="s">
        <v>617</v>
      </c>
      <c r="C311" t="s">
        <v>364</v>
      </c>
      <c r="D311" t="s">
        <v>259</v>
      </c>
      <c r="E311" t="s">
        <v>1794</v>
      </c>
      <c r="F311" t="s">
        <v>618</v>
      </c>
      <c r="G311" t="s">
        <v>1124</v>
      </c>
      <c r="H311" t="s">
        <v>629</v>
      </c>
      <c r="I311" t="s">
        <v>262</v>
      </c>
      <c r="J311" t="s">
        <v>623</v>
      </c>
      <c r="K311">
        <v>1</v>
      </c>
      <c r="L311">
        <v>1</v>
      </c>
      <c r="M311" t="s">
        <v>33</v>
      </c>
      <c r="N311">
        <v>1</v>
      </c>
      <c r="O311">
        <v>1</v>
      </c>
      <c r="P311">
        <v>1</v>
      </c>
      <c r="Q311" t="s">
        <v>52</v>
      </c>
      <c r="R311">
        <v>1</v>
      </c>
      <c r="S311">
        <v>1</v>
      </c>
      <c r="T311">
        <v>1</v>
      </c>
      <c r="U311" t="s">
        <v>1794</v>
      </c>
      <c r="V311" t="s">
        <v>1794</v>
      </c>
      <c r="W311" t="s">
        <v>1794</v>
      </c>
      <c r="X311">
        <v>1</v>
      </c>
      <c r="Y311" t="s">
        <v>1794</v>
      </c>
      <c r="Z311">
        <v>0</v>
      </c>
      <c r="AA311" t="s">
        <v>1794</v>
      </c>
      <c r="AB311" t="s">
        <v>1794</v>
      </c>
      <c r="AC311" t="s">
        <v>1794</v>
      </c>
      <c r="AD311" t="s">
        <v>1794</v>
      </c>
      <c r="AE311">
        <v>0</v>
      </c>
      <c r="AF311" t="s">
        <v>1794</v>
      </c>
      <c r="AG311" t="s">
        <v>1794</v>
      </c>
      <c r="AH311" t="s">
        <v>1794</v>
      </c>
    </row>
    <row r="312" spans="1:34" x14ac:dyDescent="0.25">
      <c r="A312" t="s">
        <v>616</v>
      </c>
      <c r="B312" t="s">
        <v>617</v>
      </c>
      <c r="C312" t="s">
        <v>364</v>
      </c>
      <c r="D312" t="s">
        <v>259</v>
      </c>
      <c r="E312" t="s">
        <v>1794</v>
      </c>
      <c r="F312" t="s">
        <v>618</v>
      </c>
      <c r="G312" t="s">
        <v>1124</v>
      </c>
      <c r="H312" t="s">
        <v>630</v>
      </c>
      <c r="I312" t="s">
        <v>262</v>
      </c>
      <c r="J312" t="s">
        <v>631</v>
      </c>
      <c r="K312">
        <v>1</v>
      </c>
      <c r="L312">
        <v>1</v>
      </c>
      <c r="M312" t="s">
        <v>33</v>
      </c>
      <c r="N312">
        <v>1</v>
      </c>
      <c r="O312">
        <v>1</v>
      </c>
      <c r="P312">
        <v>1</v>
      </c>
      <c r="Q312" t="s">
        <v>52</v>
      </c>
      <c r="R312">
        <v>1</v>
      </c>
      <c r="S312">
        <v>1</v>
      </c>
      <c r="T312">
        <v>1</v>
      </c>
      <c r="U312" t="s">
        <v>1794</v>
      </c>
      <c r="V312" t="s">
        <v>1794</v>
      </c>
      <c r="W312" t="s">
        <v>1794</v>
      </c>
      <c r="X312">
        <v>1</v>
      </c>
      <c r="Y312" t="s">
        <v>1794</v>
      </c>
      <c r="Z312">
        <v>0</v>
      </c>
      <c r="AA312" t="s">
        <v>1794</v>
      </c>
      <c r="AB312" t="s">
        <v>1794</v>
      </c>
      <c r="AC312" t="s">
        <v>1794</v>
      </c>
      <c r="AD312" t="s">
        <v>1794</v>
      </c>
      <c r="AE312">
        <v>0</v>
      </c>
      <c r="AF312" t="s">
        <v>1794</v>
      </c>
      <c r="AG312" t="s">
        <v>1794</v>
      </c>
      <c r="AH312" t="s">
        <v>1794</v>
      </c>
    </row>
    <row r="313" spans="1:34" x14ac:dyDescent="0.25">
      <c r="A313" t="s">
        <v>616</v>
      </c>
      <c r="B313" t="s">
        <v>617</v>
      </c>
      <c r="C313" t="s">
        <v>364</v>
      </c>
      <c r="D313" t="s">
        <v>259</v>
      </c>
      <c r="E313" t="s">
        <v>1794</v>
      </c>
      <c r="F313" t="s">
        <v>618</v>
      </c>
      <c r="G313" t="s">
        <v>1124</v>
      </c>
      <c r="H313" t="s">
        <v>632</v>
      </c>
      <c r="I313" t="s">
        <v>262</v>
      </c>
      <c r="J313" t="s">
        <v>633</v>
      </c>
      <c r="K313">
        <v>1</v>
      </c>
      <c r="L313">
        <v>1</v>
      </c>
      <c r="M313" t="s">
        <v>33</v>
      </c>
      <c r="N313">
        <v>1</v>
      </c>
      <c r="O313">
        <v>1</v>
      </c>
      <c r="P313">
        <v>1</v>
      </c>
      <c r="Q313" t="s">
        <v>52</v>
      </c>
      <c r="R313">
        <v>1</v>
      </c>
      <c r="S313">
        <v>1</v>
      </c>
      <c r="T313">
        <v>1</v>
      </c>
      <c r="U313" t="s">
        <v>1794</v>
      </c>
      <c r="V313" t="s">
        <v>1794</v>
      </c>
      <c r="W313" t="s">
        <v>1794</v>
      </c>
      <c r="X313">
        <v>1</v>
      </c>
      <c r="Y313" t="s">
        <v>1794</v>
      </c>
      <c r="Z313">
        <v>0</v>
      </c>
      <c r="AA313" t="s">
        <v>1794</v>
      </c>
      <c r="AB313" t="s">
        <v>1794</v>
      </c>
      <c r="AC313" t="s">
        <v>1794</v>
      </c>
      <c r="AD313" t="s">
        <v>1794</v>
      </c>
      <c r="AE313">
        <v>0</v>
      </c>
      <c r="AF313" t="s">
        <v>1794</v>
      </c>
      <c r="AG313" t="s">
        <v>1794</v>
      </c>
      <c r="AH313" t="s">
        <v>1794</v>
      </c>
    </row>
    <row r="314" spans="1:34" x14ac:dyDescent="0.25">
      <c r="A314" t="s">
        <v>593</v>
      </c>
      <c r="B314" t="s">
        <v>1280</v>
      </c>
      <c r="C314" t="s">
        <v>306</v>
      </c>
      <c r="D314" t="s">
        <v>259</v>
      </c>
      <c r="E314" t="s">
        <v>1794</v>
      </c>
      <c r="F314" t="s">
        <v>634</v>
      </c>
      <c r="G314" t="s">
        <v>1124</v>
      </c>
      <c r="H314" t="s">
        <v>635</v>
      </c>
      <c r="I314" t="s">
        <v>262</v>
      </c>
      <c r="J314" t="s">
        <v>279</v>
      </c>
      <c r="K314">
        <v>1</v>
      </c>
      <c r="L314">
        <v>1</v>
      </c>
      <c r="M314" t="s">
        <v>33</v>
      </c>
      <c r="N314">
        <v>1</v>
      </c>
      <c r="O314">
        <v>1</v>
      </c>
      <c r="P314">
        <v>1</v>
      </c>
      <c r="Q314" t="s">
        <v>52</v>
      </c>
      <c r="R314">
        <v>1</v>
      </c>
      <c r="S314">
        <v>1</v>
      </c>
      <c r="T314">
        <v>1</v>
      </c>
      <c r="U314" t="s">
        <v>1794</v>
      </c>
      <c r="V314" t="s">
        <v>1794</v>
      </c>
      <c r="W314" t="s">
        <v>1794</v>
      </c>
      <c r="X314">
        <v>1</v>
      </c>
      <c r="Y314" t="s">
        <v>1794</v>
      </c>
      <c r="Z314">
        <v>0</v>
      </c>
      <c r="AA314" t="s">
        <v>1794</v>
      </c>
      <c r="AB314" t="s">
        <v>1794</v>
      </c>
      <c r="AC314" t="s">
        <v>1794</v>
      </c>
      <c r="AD314" t="s">
        <v>1794</v>
      </c>
      <c r="AE314">
        <v>0</v>
      </c>
      <c r="AF314" t="s">
        <v>1794</v>
      </c>
      <c r="AG314" t="s">
        <v>1794</v>
      </c>
      <c r="AH314" t="s">
        <v>1794</v>
      </c>
    </row>
    <row r="315" spans="1:34" x14ac:dyDescent="0.25">
      <c r="A315" t="s">
        <v>1342</v>
      </c>
      <c r="B315" t="s">
        <v>1343</v>
      </c>
      <c r="C315" t="s">
        <v>306</v>
      </c>
      <c r="D315" t="s">
        <v>259</v>
      </c>
      <c r="E315" t="s">
        <v>1794</v>
      </c>
      <c r="F315" t="s">
        <v>634</v>
      </c>
      <c r="G315" t="s">
        <v>1124</v>
      </c>
      <c r="H315" t="s">
        <v>635</v>
      </c>
      <c r="I315" t="s">
        <v>262</v>
      </c>
      <c r="J315" t="s">
        <v>279</v>
      </c>
      <c r="K315">
        <v>1</v>
      </c>
      <c r="L315">
        <v>1</v>
      </c>
      <c r="M315" t="s">
        <v>33</v>
      </c>
      <c r="N315">
        <v>1</v>
      </c>
      <c r="O315">
        <v>1</v>
      </c>
      <c r="P315">
        <v>1</v>
      </c>
      <c r="Q315" t="s">
        <v>52</v>
      </c>
      <c r="R315">
        <v>1</v>
      </c>
      <c r="S315">
        <v>1</v>
      </c>
      <c r="T315">
        <v>1</v>
      </c>
      <c r="U315" t="s">
        <v>1794</v>
      </c>
      <c r="V315" t="s">
        <v>1794</v>
      </c>
      <c r="W315" t="s">
        <v>1794</v>
      </c>
      <c r="X315">
        <v>1</v>
      </c>
      <c r="Y315" t="s">
        <v>1794</v>
      </c>
      <c r="Z315">
        <v>0</v>
      </c>
      <c r="AA315" t="s">
        <v>1794</v>
      </c>
      <c r="AB315" t="s">
        <v>1794</v>
      </c>
      <c r="AC315" t="s">
        <v>1794</v>
      </c>
      <c r="AD315" t="s">
        <v>1794</v>
      </c>
      <c r="AE315">
        <v>0</v>
      </c>
      <c r="AF315" t="s">
        <v>1794</v>
      </c>
      <c r="AG315" t="s">
        <v>1794</v>
      </c>
      <c r="AH315" t="s">
        <v>1794</v>
      </c>
    </row>
    <row r="316" spans="1:34" x14ac:dyDescent="0.25">
      <c r="A316" t="s">
        <v>593</v>
      </c>
      <c r="B316" t="s">
        <v>1280</v>
      </c>
      <c r="C316" t="s">
        <v>306</v>
      </c>
      <c r="D316" t="s">
        <v>259</v>
      </c>
      <c r="E316" t="s">
        <v>1794</v>
      </c>
      <c r="F316" t="s">
        <v>636</v>
      </c>
      <c r="G316" t="s">
        <v>1124</v>
      </c>
      <c r="H316" t="s">
        <v>637</v>
      </c>
      <c r="I316" t="s">
        <v>262</v>
      </c>
      <c r="J316" t="s">
        <v>279</v>
      </c>
      <c r="K316">
        <v>1</v>
      </c>
      <c r="L316">
        <v>1</v>
      </c>
      <c r="M316" t="s">
        <v>33</v>
      </c>
      <c r="N316">
        <v>1</v>
      </c>
      <c r="O316">
        <v>1</v>
      </c>
      <c r="P316">
        <v>1</v>
      </c>
      <c r="Q316" t="s">
        <v>52</v>
      </c>
      <c r="R316">
        <v>1</v>
      </c>
      <c r="S316">
        <v>1</v>
      </c>
      <c r="T316">
        <v>1</v>
      </c>
      <c r="U316" t="s">
        <v>1794</v>
      </c>
      <c r="V316" t="s">
        <v>1794</v>
      </c>
      <c r="W316" t="s">
        <v>1794</v>
      </c>
      <c r="X316">
        <v>1</v>
      </c>
      <c r="Y316" t="s">
        <v>1794</v>
      </c>
      <c r="Z316">
        <v>0</v>
      </c>
      <c r="AA316" t="s">
        <v>1794</v>
      </c>
      <c r="AB316" t="s">
        <v>1794</v>
      </c>
      <c r="AC316" t="s">
        <v>1794</v>
      </c>
      <c r="AD316" t="s">
        <v>1794</v>
      </c>
      <c r="AE316">
        <v>0</v>
      </c>
      <c r="AF316" t="s">
        <v>1794</v>
      </c>
      <c r="AG316" t="s">
        <v>1794</v>
      </c>
      <c r="AH316" t="s">
        <v>1794</v>
      </c>
    </row>
    <row r="317" spans="1:34" x14ac:dyDescent="0.25">
      <c r="A317" t="s">
        <v>1342</v>
      </c>
      <c r="B317" t="s">
        <v>1343</v>
      </c>
      <c r="C317" t="s">
        <v>306</v>
      </c>
      <c r="D317" t="s">
        <v>259</v>
      </c>
      <c r="E317" t="s">
        <v>1794</v>
      </c>
      <c r="F317" t="s">
        <v>636</v>
      </c>
      <c r="G317" t="s">
        <v>1124</v>
      </c>
      <c r="H317" t="s">
        <v>637</v>
      </c>
      <c r="I317" t="s">
        <v>262</v>
      </c>
      <c r="J317" t="s">
        <v>279</v>
      </c>
      <c r="K317">
        <v>1</v>
      </c>
      <c r="L317">
        <v>1</v>
      </c>
      <c r="M317" t="s">
        <v>33</v>
      </c>
      <c r="N317">
        <v>1</v>
      </c>
      <c r="O317">
        <v>1</v>
      </c>
      <c r="P317">
        <v>1</v>
      </c>
      <c r="Q317" t="s">
        <v>52</v>
      </c>
      <c r="R317">
        <v>1</v>
      </c>
      <c r="S317">
        <v>1</v>
      </c>
      <c r="T317">
        <v>1</v>
      </c>
      <c r="U317" t="s">
        <v>1794</v>
      </c>
      <c r="V317" t="s">
        <v>1794</v>
      </c>
      <c r="W317" t="s">
        <v>1794</v>
      </c>
      <c r="X317">
        <v>1</v>
      </c>
      <c r="Y317" t="s">
        <v>1794</v>
      </c>
      <c r="Z317">
        <v>0</v>
      </c>
      <c r="AA317" t="s">
        <v>1794</v>
      </c>
      <c r="AB317" t="s">
        <v>1794</v>
      </c>
      <c r="AC317" t="s">
        <v>1794</v>
      </c>
      <c r="AD317" t="s">
        <v>1794</v>
      </c>
      <c r="AE317">
        <v>0</v>
      </c>
      <c r="AF317" t="s">
        <v>1794</v>
      </c>
      <c r="AG317" t="s">
        <v>1794</v>
      </c>
      <c r="AH317" t="s">
        <v>1794</v>
      </c>
    </row>
    <row r="318" spans="1:34" x14ac:dyDescent="0.25">
      <c r="A318" t="s">
        <v>638</v>
      </c>
      <c r="B318" t="s">
        <v>1270</v>
      </c>
      <c r="C318" t="s">
        <v>364</v>
      </c>
      <c r="D318" t="s">
        <v>259</v>
      </c>
      <c r="E318" t="s">
        <v>1794</v>
      </c>
      <c r="F318" t="s">
        <v>639</v>
      </c>
      <c r="G318" t="s">
        <v>1124</v>
      </c>
      <c r="H318" t="s">
        <v>640</v>
      </c>
      <c r="I318" t="s">
        <v>262</v>
      </c>
      <c r="J318" t="s">
        <v>279</v>
      </c>
      <c r="K318">
        <v>1</v>
      </c>
      <c r="L318">
        <v>2</v>
      </c>
      <c r="M318" t="s">
        <v>33</v>
      </c>
      <c r="N318">
        <v>1</v>
      </c>
      <c r="O318">
        <v>2</v>
      </c>
      <c r="P318">
        <v>1</v>
      </c>
      <c r="Q318" t="s">
        <v>52</v>
      </c>
      <c r="R318">
        <v>2</v>
      </c>
      <c r="S318">
        <v>2</v>
      </c>
      <c r="T318">
        <v>2</v>
      </c>
      <c r="U318" t="s">
        <v>1794</v>
      </c>
      <c r="V318" t="s">
        <v>1794</v>
      </c>
      <c r="W318" t="s">
        <v>1794</v>
      </c>
      <c r="X318">
        <v>1</v>
      </c>
      <c r="Y318" t="s">
        <v>1794</v>
      </c>
      <c r="Z318">
        <v>0</v>
      </c>
      <c r="AA318" t="s">
        <v>1794</v>
      </c>
      <c r="AB318" t="s">
        <v>1794</v>
      </c>
      <c r="AC318" t="s">
        <v>1794</v>
      </c>
      <c r="AD318" t="s">
        <v>1794</v>
      </c>
      <c r="AE318">
        <v>0</v>
      </c>
      <c r="AF318" t="s">
        <v>1794</v>
      </c>
      <c r="AG318" t="s">
        <v>1794</v>
      </c>
      <c r="AH318" t="s">
        <v>1794</v>
      </c>
    </row>
    <row r="319" spans="1:34" x14ac:dyDescent="0.25">
      <c r="A319" t="s">
        <v>641</v>
      </c>
      <c r="B319" t="s">
        <v>1271</v>
      </c>
      <c r="C319" t="s">
        <v>364</v>
      </c>
      <c r="D319" t="s">
        <v>259</v>
      </c>
      <c r="E319" t="s">
        <v>1794</v>
      </c>
      <c r="F319" t="s">
        <v>642</v>
      </c>
      <c r="G319" t="s">
        <v>1124</v>
      </c>
      <c r="H319" t="s">
        <v>643</v>
      </c>
      <c r="I319" t="s">
        <v>262</v>
      </c>
      <c r="J319" t="s">
        <v>279</v>
      </c>
      <c r="K319">
        <v>1</v>
      </c>
      <c r="L319">
        <v>2</v>
      </c>
      <c r="M319" t="s">
        <v>33</v>
      </c>
      <c r="N319">
        <v>1</v>
      </c>
      <c r="O319">
        <v>2</v>
      </c>
      <c r="P319">
        <v>1</v>
      </c>
      <c r="Q319" t="s">
        <v>52</v>
      </c>
      <c r="R319">
        <v>2</v>
      </c>
      <c r="S319">
        <v>2</v>
      </c>
      <c r="T319">
        <v>2</v>
      </c>
      <c r="U319" t="s">
        <v>1794</v>
      </c>
      <c r="V319" t="s">
        <v>1794</v>
      </c>
      <c r="W319" t="s">
        <v>1794</v>
      </c>
      <c r="X319">
        <v>1</v>
      </c>
      <c r="Y319" t="s">
        <v>1794</v>
      </c>
      <c r="Z319">
        <v>0</v>
      </c>
      <c r="AA319" t="s">
        <v>1794</v>
      </c>
      <c r="AB319" t="s">
        <v>1794</v>
      </c>
      <c r="AC319" t="s">
        <v>1794</v>
      </c>
      <c r="AD319" t="s">
        <v>1794</v>
      </c>
      <c r="AE319">
        <v>0</v>
      </c>
      <c r="AF319" t="s">
        <v>1794</v>
      </c>
      <c r="AG319" t="s">
        <v>1794</v>
      </c>
      <c r="AH319" t="s">
        <v>1794</v>
      </c>
    </row>
    <row r="320" spans="1:34" x14ac:dyDescent="0.25">
      <c r="A320" t="s">
        <v>1299</v>
      </c>
      <c r="B320" t="s">
        <v>1300</v>
      </c>
      <c r="C320" t="s">
        <v>463</v>
      </c>
      <c r="D320" t="s">
        <v>259</v>
      </c>
      <c r="E320" t="s">
        <v>1794</v>
      </c>
      <c r="F320" t="s">
        <v>644</v>
      </c>
      <c r="G320" t="s">
        <v>1794</v>
      </c>
      <c r="H320" t="s">
        <v>1815</v>
      </c>
      <c r="I320" t="s">
        <v>262</v>
      </c>
      <c r="J320" t="s">
        <v>645</v>
      </c>
      <c r="K320">
        <v>1</v>
      </c>
      <c r="L320">
        <v>21</v>
      </c>
      <c r="M320" t="s">
        <v>33</v>
      </c>
      <c r="N320">
        <v>1</v>
      </c>
      <c r="O320">
        <v>0</v>
      </c>
      <c r="P320">
        <v>0</v>
      </c>
      <c r="Q320" t="s">
        <v>52</v>
      </c>
      <c r="R320">
        <v>19</v>
      </c>
      <c r="S320">
        <v>19</v>
      </c>
      <c r="T320">
        <v>19</v>
      </c>
      <c r="U320" t="s">
        <v>1794</v>
      </c>
      <c r="V320" t="s">
        <v>1794</v>
      </c>
      <c r="W320" t="s">
        <v>1794</v>
      </c>
      <c r="X320">
        <v>1</v>
      </c>
      <c r="Y320" t="s">
        <v>1794</v>
      </c>
      <c r="Z320">
        <v>0</v>
      </c>
      <c r="AA320" t="s">
        <v>1794</v>
      </c>
      <c r="AB320" t="s">
        <v>1794</v>
      </c>
      <c r="AC320" t="s">
        <v>1794</v>
      </c>
      <c r="AD320" t="s">
        <v>1794</v>
      </c>
      <c r="AE320">
        <v>0</v>
      </c>
      <c r="AF320" t="s">
        <v>1794</v>
      </c>
      <c r="AG320" t="s">
        <v>1794</v>
      </c>
      <c r="AH320" t="s">
        <v>1794</v>
      </c>
    </row>
    <row r="321" spans="1:34" x14ac:dyDescent="0.25">
      <c r="A321" t="s">
        <v>1362</v>
      </c>
      <c r="B321" t="s">
        <v>1363</v>
      </c>
      <c r="C321" t="s">
        <v>463</v>
      </c>
      <c r="D321" t="s">
        <v>259</v>
      </c>
      <c r="E321" t="s">
        <v>1794</v>
      </c>
      <c r="F321" t="s">
        <v>644</v>
      </c>
      <c r="G321" t="s">
        <v>1124</v>
      </c>
      <c r="H321" t="s">
        <v>1815</v>
      </c>
      <c r="I321" t="s">
        <v>262</v>
      </c>
      <c r="J321" t="s">
        <v>645</v>
      </c>
      <c r="K321">
        <v>1</v>
      </c>
      <c r="L321">
        <v>21</v>
      </c>
      <c r="M321" t="s">
        <v>33</v>
      </c>
      <c r="N321">
        <v>1</v>
      </c>
      <c r="O321">
        <v>0</v>
      </c>
      <c r="P321">
        <v>0</v>
      </c>
      <c r="Q321" t="s">
        <v>52</v>
      </c>
      <c r="R321">
        <v>19</v>
      </c>
      <c r="S321">
        <v>19</v>
      </c>
      <c r="T321">
        <v>19</v>
      </c>
      <c r="U321" t="s">
        <v>1794</v>
      </c>
      <c r="V321" t="s">
        <v>1794</v>
      </c>
      <c r="W321" t="s">
        <v>1794</v>
      </c>
      <c r="X321">
        <v>1</v>
      </c>
      <c r="Y321" t="s">
        <v>1794</v>
      </c>
      <c r="Z321">
        <v>0</v>
      </c>
      <c r="AA321" t="s">
        <v>1794</v>
      </c>
      <c r="AB321" t="s">
        <v>1794</v>
      </c>
      <c r="AC321" t="s">
        <v>1794</v>
      </c>
      <c r="AD321" t="s">
        <v>1794</v>
      </c>
      <c r="AE321">
        <v>0</v>
      </c>
      <c r="AF321" t="s">
        <v>1794</v>
      </c>
      <c r="AG321" t="s">
        <v>1794</v>
      </c>
      <c r="AH321" t="s">
        <v>1794</v>
      </c>
    </row>
    <row r="322" spans="1:34" x14ac:dyDescent="0.25">
      <c r="A322" t="s">
        <v>1150</v>
      </c>
      <c r="B322" t="s">
        <v>646</v>
      </c>
      <c r="C322" t="s">
        <v>330</v>
      </c>
      <c r="D322" t="s">
        <v>259</v>
      </c>
      <c r="E322" t="s">
        <v>1794</v>
      </c>
      <c r="F322" t="s">
        <v>647</v>
      </c>
      <c r="G322" t="s">
        <v>619</v>
      </c>
      <c r="H322" t="s">
        <v>1816</v>
      </c>
      <c r="I322" t="s">
        <v>262</v>
      </c>
      <c r="J322" t="s">
        <v>279</v>
      </c>
      <c r="K322">
        <v>1</v>
      </c>
      <c r="L322">
        <v>3</v>
      </c>
      <c r="M322" t="s">
        <v>33</v>
      </c>
      <c r="N322">
        <v>1</v>
      </c>
      <c r="O322">
        <v>3</v>
      </c>
      <c r="P322">
        <v>1</v>
      </c>
      <c r="Q322" t="s">
        <v>52</v>
      </c>
      <c r="R322">
        <v>3</v>
      </c>
      <c r="S322">
        <v>3</v>
      </c>
      <c r="T322">
        <v>3</v>
      </c>
      <c r="U322" t="s">
        <v>1794</v>
      </c>
      <c r="V322" t="s">
        <v>1794</v>
      </c>
      <c r="W322" t="s">
        <v>1794</v>
      </c>
      <c r="X322">
        <v>1</v>
      </c>
      <c r="Y322" t="s">
        <v>1794</v>
      </c>
      <c r="Z322">
        <v>0</v>
      </c>
      <c r="AA322" t="s">
        <v>1794</v>
      </c>
      <c r="AB322" t="s">
        <v>1794</v>
      </c>
      <c r="AC322" t="s">
        <v>1794</v>
      </c>
      <c r="AD322" t="s">
        <v>1794</v>
      </c>
      <c r="AE322">
        <v>0</v>
      </c>
      <c r="AF322" t="s">
        <v>1794</v>
      </c>
      <c r="AG322" t="s">
        <v>1794</v>
      </c>
      <c r="AH322" t="s">
        <v>1794</v>
      </c>
    </row>
    <row r="323" spans="1:34" x14ac:dyDescent="0.25">
      <c r="A323" t="s">
        <v>1234</v>
      </c>
      <c r="B323" t="s">
        <v>1098</v>
      </c>
      <c r="C323" t="s">
        <v>330</v>
      </c>
      <c r="D323" t="s">
        <v>259</v>
      </c>
      <c r="E323" t="s">
        <v>1794</v>
      </c>
      <c r="F323" t="s">
        <v>647</v>
      </c>
      <c r="G323" t="s">
        <v>1124</v>
      </c>
      <c r="H323" t="s">
        <v>1816</v>
      </c>
      <c r="I323" t="s">
        <v>262</v>
      </c>
      <c r="J323" t="s">
        <v>279</v>
      </c>
      <c r="K323">
        <v>1</v>
      </c>
      <c r="L323">
        <v>3</v>
      </c>
      <c r="M323" t="s">
        <v>33</v>
      </c>
      <c r="N323">
        <v>1</v>
      </c>
      <c r="O323">
        <v>3</v>
      </c>
      <c r="P323">
        <v>1</v>
      </c>
      <c r="Q323" t="s">
        <v>52</v>
      </c>
      <c r="R323">
        <v>3</v>
      </c>
      <c r="S323">
        <v>3</v>
      </c>
      <c r="T323">
        <v>3</v>
      </c>
      <c r="U323" t="s">
        <v>1794</v>
      </c>
      <c r="V323" t="s">
        <v>1794</v>
      </c>
      <c r="W323" t="s">
        <v>1794</v>
      </c>
      <c r="X323">
        <v>1</v>
      </c>
      <c r="Y323" t="s">
        <v>1794</v>
      </c>
      <c r="Z323">
        <v>0</v>
      </c>
      <c r="AA323" t="s">
        <v>1794</v>
      </c>
      <c r="AB323" t="s">
        <v>1794</v>
      </c>
      <c r="AC323" t="s">
        <v>1794</v>
      </c>
      <c r="AD323" t="s">
        <v>1794</v>
      </c>
      <c r="AE323">
        <v>0</v>
      </c>
      <c r="AF323" t="s">
        <v>1794</v>
      </c>
      <c r="AG323" t="s">
        <v>1794</v>
      </c>
      <c r="AH323" t="s">
        <v>1794</v>
      </c>
    </row>
    <row r="324" spans="1:34" x14ac:dyDescent="0.25">
      <c r="A324" t="s">
        <v>1150</v>
      </c>
      <c r="B324" t="s">
        <v>646</v>
      </c>
      <c r="C324" t="s">
        <v>330</v>
      </c>
      <c r="D324" t="s">
        <v>259</v>
      </c>
      <c r="E324" t="s">
        <v>1794</v>
      </c>
      <c r="F324" t="s">
        <v>647</v>
      </c>
      <c r="G324" t="s">
        <v>619</v>
      </c>
      <c r="H324" t="s">
        <v>648</v>
      </c>
      <c r="I324" t="s">
        <v>262</v>
      </c>
      <c r="J324" t="s">
        <v>301</v>
      </c>
      <c r="K324">
        <v>1</v>
      </c>
      <c r="L324">
        <v>1</v>
      </c>
      <c r="M324" t="s">
        <v>33</v>
      </c>
      <c r="N324">
        <v>1</v>
      </c>
      <c r="O324">
        <v>1</v>
      </c>
      <c r="P324">
        <v>1</v>
      </c>
      <c r="Q324" t="s">
        <v>52</v>
      </c>
      <c r="R324">
        <v>1</v>
      </c>
      <c r="S324">
        <v>1</v>
      </c>
      <c r="T324">
        <v>1</v>
      </c>
      <c r="U324" t="s">
        <v>1794</v>
      </c>
      <c r="V324" t="s">
        <v>1794</v>
      </c>
      <c r="W324" t="s">
        <v>1794</v>
      </c>
      <c r="X324">
        <v>1</v>
      </c>
      <c r="Y324" t="s">
        <v>1794</v>
      </c>
      <c r="Z324">
        <v>0</v>
      </c>
      <c r="AA324" t="s">
        <v>1794</v>
      </c>
      <c r="AB324" t="s">
        <v>1794</v>
      </c>
      <c r="AC324" t="s">
        <v>1794</v>
      </c>
      <c r="AD324" t="s">
        <v>1794</v>
      </c>
      <c r="AE324">
        <v>0</v>
      </c>
      <c r="AF324" t="s">
        <v>1794</v>
      </c>
      <c r="AG324" t="s">
        <v>1794</v>
      </c>
      <c r="AH324" t="s">
        <v>1794</v>
      </c>
    </row>
    <row r="325" spans="1:34" x14ac:dyDescent="0.25">
      <c r="A325" t="s">
        <v>1234</v>
      </c>
      <c r="B325" t="s">
        <v>1098</v>
      </c>
      <c r="C325" t="s">
        <v>330</v>
      </c>
      <c r="D325" t="s">
        <v>259</v>
      </c>
      <c r="E325" t="s">
        <v>1794</v>
      </c>
      <c r="F325" t="s">
        <v>647</v>
      </c>
      <c r="G325" t="s">
        <v>1124</v>
      </c>
      <c r="H325" t="s">
        <v>648</v>
      </c>
      <c r="I325" t="s">
        <v>262</v>
      </c>
      <c r="J325" t="s">
        <v>301</v>
      </c>
      <c r="K325">
        <v>1</v>
      </c>
      <c r="L325">
        <v>1</v>
      </c>
      <c r="M325" t="s">
        <v>33</v>
      </c>
      <c r="N325">
        <v>1</v>
      </c>
      <c r="O325">
        <v>1</v>
      </c>
      <c r="P325">
        <v>1</v>
      </c>
      <c r="Q325" t="s">
        <v>52</v>
      </c>
      <c r="R325">
        <v>1</v>
      </c>
      <c r="S325">
        <v>1</v>
      </c>
      <c r="T325">
        <v>1</v>
      </c>
      <c r="U325" t="s">
        <v>1794</v>
      </c>
      <c r="V325" t="s">
        <v>1794</v>
      </c>
      <c r="W325" t="s">
        <v>1794</v>
      </c>
      <c r="X325">
        <v>1</v>
      </c>
      <c r="Y325" t="s">
        <v>1794</v>
      </c>
      <c r="Z325">
        <v>0</v>
      </c>
      <c r="AA325" t="s">
        <v>1794</v>
      </c>
      <c r="AB325" t="s">
        <v>1794</v>
      </c>
      <c r="AC325" t="s">
        <v>1794</v>
      </c>
      <c r="AD325" t="s">
        <v>1794</v>
      </c>
      <c r="AE325">
        <v>0</v>
      </c>
      <c r="AF325" t="s">
        <v>1794</v>
      </c>
      <c r="AG325" t="s">
        <v>1794</v>
      </c>
      <c r="AH325" t="s">
        <v>1794</v>
      </c>
    </row>
    <row r="326" spans="1:34" x14ac:dyDescent="0.25">
      <c r="A326" t="s">
        <v>1576</v>
      </c>
      <c r="B326" t="s">
        <v>1577</v>
      </c>
      <c r="C326" t="s">
        <v>330</v>
      </c>
      <c r="D326" t="s">
        <v>358</v>
      </c>
      <c r="E326" t="s">
        <v>1794</v>
      </c>
      <c r="F326" t="s">
        <v>650</v>
      </c>
      <c r="G326" t="s">
        <v>1124</v>
      </c>
      <c r="H326" t="s">
        <v>651</v>
      </c>
      <c r="I326" t="s">
        <v>262</v>
      </c>
      <c r="J326" t="s">
        <v>649</v>
      </c>
      <c r="K326">
        <v>1</v>
      </c>
      <c r="L326">
        <v>1</v>
      </c>
      <c r="M326" t="s">
        <v>33</v>
      </c>
      <c r="N326">
        <v>1</v>
      </c>
      <c r="O326">
        <v>1</v>
      </c>
      <c r="P326">
        <v>1</v>
      </c>
      <c r="Q326" t="s">
        <v>52</v>
      </c>
      <c r="R326">
        <v>1</v>
      </c>
      <c r="S326">
        <v>1</v>
      </c>
      <c r="T326">
        <v>1</v>
      </c>
      <c r="U326" t="s">
        <v>1794</v>
      </c>
      <c r="V326" t="s">
        <v>1794</v>
      </c>
      <c r="W326" t="s">
        <v>1794</v>
      </c>
      <c r="X326">
        <v>1</v>
      </c>
      <c r="Y326" t="s">
        <v>1794</v>
      </c>
      <c r="Z326">
        <v>0</v>
      </c>
      <c r="AA326" t="s">
        <v>1794</v>
      </c>
      <c r="AB326" t="s">
        <v>1794</v>
      </c>
      <c r="AC326" t="s">
        <v>1794</v>
      </c>
      <c r="AD326" t="s">
        <v>1794</v>
      </c>
      <c r="AE326">
        <v>0</v>
      </c>
      <c r="AF326" t="s">
        <v>1794</v>
      </c>
      <c r="AG326" t="s">
        <v>1794</v>
      </c>
      <c r="AH326" t="s">
        <v>1794</v>
      </c>
    </row>
    <row r="327" spans="1:34" x14ac:dyDescent="0.25">
      <c r="A327" t="s">
        <v>1585</v>
      </c>
      <c r="B327" t="s">
        <v>1586</v>
      </c>
      <c r="C327" t="s">
        <v>330</v>
      </c>
      <c r="D327" t="s">
        <v>358</v>
      </c>
      <c r="E327" t="s">
        <v>1794</v>
      </c>
      <c r="F327" t="s">
        <v>650</v>
      </c>
      <c r="G327" t="s">
        <v>1124</v>
      </c>
      <c r="H327" t="s">
        <v>651</v>
      </c>
      <c r="I327" t="s">
        <v>262</v>
      </c>
      <c r="J327" t="s">
        <v>649</v>
      </c>
      <c r="K327">
        <v>1</v>
      </c>
      <c r="L327">
        <v>1</v>
      </c>
      <c r="M327" t="s">
        <v>33</v>
      </c>
      <c r="N327">
        <v>1</v>
      </c>
      <c r="O327">
        <v>1</v>
      </c>
      <c r="P327">
        <v>1</v>
      </c>
      <c r="Q327" t="s">
        <v>52</v>
      </c>
      <c r="R327">
        <v>1</v>
      </c>
      <c r="S327">
        <v>1</v>
      </c>
      <c r="T327">
        <v>1</v>
      </c>
      <c r="U327" t="s">
        <v>1794</v>
      </c>
      <c r="V327" t="s">
        <v>1794</v>
      </c>
      <c r="W327" t="s">
        <v>1794</v>
      </c>
      <c r="X327">
        <v>1</v>
      </c>
      <c r="Y327" t="s">
        <v>1794</v>
      </c>
      <c r="Z327">
        <v>0</v>
      </c>
      <c r="AA327" t="s">
        <v>1794</v>
      </c>
      <c r="AB327" t="s">
        <v>1794</v>
      </c>
      <c r="AC327" t="s">
        <v>1794</v>
      </c>
      <c r="AD327" t="s">
        <v>1794</v>
      </c>
      <c r="AE327">
        <v>0</v>
      </c>
      <c r="AF327" t="s">
        <v>1794</v>
      </c>
      <c r="AG327" t="s">
        <v>1794</v>
      </c>
      <c r="AH327" t="s">
        <v>1794</v>
      </c>
    </row>
    <row r="328" spans="1:34" ht="15" customHeight="1" x14ac:dyDescent="0.25">
      <c r="A328" t="s">
        <v>653</v>
      </c>
      <c r="B328" t="s">
        <v>1441</v>
      </c>
      <c r="C328" t="s">
        <v>460</v>
      </c>
      <c r="D328" t="s">
        <v>358</v>
      </c>
      <c r="E328" t="s">
        <v>1794</v>
      </c>
      <c r="F328" t="s">
        <v>654</v>
      </c>
      <c r="G328" t="s">
        <v>619</v>
      </c>
      <c r="H328" t="s">
        <v>655</v>
      </c>
      <c r="I328" t="s">
        <v>262</v>
      </c>
      <c r="J328" t="s">
        <v>279</v>
      </c>
      <c r="K328">
        <v>1</v>
      </c>
      <c r="L328">
        <v>1</v>
      </c>
      <c r="M328" t="s">
        <v>33</v>
      </c>
      <c r="N328">
        <v>1</v>
      </c>
      <c r="O328">
        <v>1</v>
      </c>
      <c r="P328">
        <v>1</v>
      </c>
      <c r="Q328" t="s">
        <v>52</v>
      </c>
      <c r="R328">
        <v>1</v>
      </c>
      <c r="S328">
        <v>1</v>
      </c>
      <c r="T328">
        <v>1</v>
      </c>
      <c r="U328" t="s">
        <v>1794</v>
      </c>
      <c r="V328" t="s">
        <v>1794</v>
      </c>
      <c r="W328" t="s">
        <v>1794</v>
      </c>
      <c r="X328">
        <v>1</v>
      </c>
      <c r="Y328" t="s">
        <v>1794</v>
      </c>
      <c r="Z328">
        <v>0</v>
      </c>
      <c r="AA328" t="s">
        <v>1794</v>
      </c>
      <c r="AB328" t="s">
        <v>1794</v>
      </c>
      <c r="AC328" t="s">
        <v>1794</v>
      </c>
      <c r="AD328" t="s">
        <v>1794</v>
      </c>
      <c r="AE328">
        <v>0</v>
      </c>
      <c r="AF328" t="s">
        <v>1794</v>
      </c>
      <c r="AG328" t="s">
        <v>1794</v>
      </c>
      <c r="AH328" t="s">
        <v>1794</v>
      </c>
    </row>
    <row r="329" spans="1:34" x14ac:dyDescent="0.25">
      <c r="A329" t="s">
        <v>653</v>
      </c>
      <c r="B329" t="s">
        <v>1441</v>
      </c>
      <c r="C329" t="s">
        <v>460</v>
      </c>
      <c r="D329" t="s">
        <v>358</v>
      </c>
      <c r="E329" t="s">
        <v>1794</v>
      </c>
      <c r="F329" t="s">
        <v>656</v>
      </c>
      <c r="G329" t="s">
        <v>619</v>
      </c>
      <c r="H329" t="s">
        <v>657</v>
      </c>
      <c r="I329" t="s">
        <v>262</v>
      </c>
      <c r="J329" t="s">
        <v>279</v>
      </c>
      <c r="K329">
        <v>1</v>
      </c>
      <c r="L329">
        <v>1</v>
      </c>
      <c r="M329" t="s">
        <v>33</v>
      </c>
      <c r="N329">
        <v>1</v>
      </c>
      <c r="O329">
        <v>1</v>
      </c>
      <c r="P329">
        <v>1</v>
      </c>
      <c r="Q329" t="s">
        <v>52</v>
      </c>
      <c r="R329">
        <v>1</v>
      </c>
      <c r="S329">
        <v>1</v>
      </c>
      <c r="T329">
        <v>1</v>
      </c>
      <c r="U329" t="s">
        <v>1794</v>
      </c>
      <c r="V329" t="s">
        <v>1794</v>
      </c>
      <c r="W329" t="s">
        <v>1794</v>
      </c>
      <c r="X329">
        <v>1</v>
      </c>
      <c r="Y329" t="s">
        <v>1794</v>
      </c>
      <c r="Z329">
        <v>0</v>
      </c>
      <c r="AA329" t="s">
        <v>1794</v>
      </c>
      <c r="AB329" t="s">
        <v>1794</v>
      </c>
      <c r="AC329" t="s">
        <v>1794</v>
      </c>
      <c r="AD329" t="s">
        <v>1794</v>
      </c>
      <c r="AE329">
        <v>0</v>
      </c>
      <c r="AF329" t="s">
        <v>1794</v>
      </c>
      <c r="AG329" t="s">
        <v>1794</v>
      </c>
      <c r="AH329" t="s">
        <v>1794</v>
      </c>
    </row>
    <row r="330" spans="1:34" x14ac:dyDescent="0.25">
      <c r="A330" t="s">
        <v>653</v>
      </c>
      <c r="B330" t="s">
        <v>1441</v>
      </c>
      <c r="C330" t="s">
        <v>460</v>
      </c>
      <c r="D330" t="s">
        <v>358</v>
      </c>
      <c r="E330" t="s">
        <v>1794</v>
      </c>
      <c r="F330" t="s">
        <v>658</v>
      </c>
      <c r="G330" t="s">
        <v>619</v>
      </c>
      <c r="H330" t="s">
        <v>659</v>
      </c>
      <c r="I330" t="s">
        <v>262</v>
      </c>
      <c r="J330" t="s">
        <v>301</v>
      </c>
      <c r="K330">
        <v>1</v>
      </c>
      <c r="L330">
        <v>1</v>
      </c>
      <c r="M330" t="s">
        <v>33</v>
      </c>
      <c r="N330">
        <v>1</v>
      </c>
      <c r="O330">
        <v>1</v>
      </c>
      <c r="P330">
        <v>1</v>
      </c>
      <c r="Q330" t="s">
        <v>52</v>
      </c>
      <c r="R330">
        <v>1</v>
      </c>
      <c r="S330">
        <v>1</v>
      </c>
      <c r="T330">
        <v>1</v>
      </c>
      <c r="U330" t="s">
        <v>1794</v>
      </c>
      <c r="V330" t="s">
        <v>1794</v>
      </c>
      <c r="W330" t="s">
        <v>1794</v>
      </c>
      <c r="X330">
        <v>1</v>
      </c>
      <c r="Y330" t="s">
        <v>1794</v>
      </c>
      <c r="Z330">
        <v>0</v>
      </c>
      <c r="AA330" t="s">
        <v>1794</v>
      </c>
      <c r="AB330" t="s">
        <v>1794</v>
      </c>
      <c r="AC330" t="s">
        <v>1794</v>
      </c>
      <c r="AD330" t="s">
        <v>1794</v>
      </c>
      <c r="AE330">
        <v>0</v>
      </c>
      <c r="AF330" t="s">
        <v>1794</v>
      </c>
      <c r="AG330" t="s">
        <v>1794</v>
      </c>
      <c r="AH330" t="s">
        <v>1794</v>
      </c>
    </row>
    <row r="331" spans="1:34" x14ac:dyDescent="0.25">
      <c r="A331" t="s">
        <v>653</v>
      </c>
      <c r="B331" t="s">
        <v>1441</v>
      </c>
      <c r="C331" t="s">
        <v>460</v>
      </c>
      <c r="D331" t="s">
        <v>358</v>
      </c>
      <c r="E331" t="s">
        <v>1794</v>
      </c>
      <c r="F331" t="s">
        <v>660</v>
      </c>
      <c r="G331" t="s">
        <v>619</v>
      </c>
      <c r="H331" t="s">
        <v>661</v>
      </c>
      <c r="I331" t="s">
        <v>262</v>
      </c>
      <c r="J331" t="s">
        <v>279</v>
      </c>
      <c r="K331">
        <v>1</v>
      </c>
      <c r="L331">
        <v>1</v>
      </c>
      <c r="M331" t="s">
        <v>33</v>
      </c>
      <c r="N331">
        <v>1</v>
      </c>
      <c r="O331">
        <v>1</v>
      </c>
      <c r="P331">
        <v>1</v>
      </c>
      <c r="Q331" t="s">
        <v>52</v>
      </c>
      <c r="R331">
        <v>1</v>
      </c>
      <c r="S331">
        <v>1</v>
      </c>
      <c r="T331">
        <v>1</v>
      </c>
      <c r="U331" t="s">
        <v>1794</v>
      </c>
      <c r="V331" t="s">
        <v>1794</v>
      </c>
      <c r="W331" t="s">
        <v>1794</v>
      </c>
      <c r="X331">
        <v>1</v>
      </c>
      <c r="Y331" t="s">
        <v>1794</v>
      </c>
      <c r="Z331">
        <v>0</v>
      </c>
      <c r="AA331" t="s">
        <v>1794</v>
      </c>
      <c r="AB331" t="s">
        <v>1794</v>
      </c>
      <c r="AC331" t="s">
        <v>1794</v>
      </c>
      <c r="AD331" t="s">
        <v>1794</v>
      </c>
      <c r="AE331">
        <v>0</v>
      </c>
      <c r="AF331" t="s">
        <v>1794</v>
      </c>
      <c r="AG331" t="s">
        <v>1794</v>
      </c>
      <c r="AH331" t="s">
        <v>1794</v>
      </c>
    </row>
    <row r="332" spans="1:34" x14ac:dyDescent="0.25">
      <c r="A332" t="s">
        <v>653</v>
      </c>
      <c r="B332" t="s">
        <v>1441</v>
      </c>
      <c r="C332" t="s">
        <v>306</v>
      </c>
      <c r="D332" t="s">
        <v>358</v>
      </c>
      <c r="E332" t="s">
        <v>1794</v>
      </c>
      <c r="F332" t="s">
        <v>662</v>
      </c>
      <c r="G332" t="s">
        <v>619</v>
      </c>
      <c r="H332" t="s">
        <v>663</v>
      </c>
      <c r="I332" t="s">
        <v>262</v>
      </c>
      <c r="J332" t="s">
        <v>279</v>
      </c>
      <c r="K332">
        <v>1</v>
      </c>
      <c r="L332">
        <v>1</v>
      </c>
      <c r="M332" t="s">
        <v>33</v>
      </c>
      <c r="N332">
        <v>1</v>
      </c>
      <c r="O332">
        <v>1</v>
      </c>
      <c r="P332">
        <v>1</v>
      </c>
      <c r="Q332" t="s">
        <v>52</v>
      </c>
      <c r="R332">
        <v>1</v>
      </c>
      <c r="S332">
        <v>1</v>
      </c>
      <c r="T332">
        <v>1</v>
      </c>
      <c r="U332" t="s">
        <v>1794</v>
      </c>
      <c r="V332" t="s">
        <v>1794</v>
      </c>
      <c r="W332" t="s">
        <v>1794</v>
      </c>
      <c r="X332">
        <v>1</v>
      </c>
      <c r="Y332" t="s">
        <v>1794</v>
      </c>
      <c r="Z332">
        <v>0</v>
      </c>
      <c r="AA332" t="s">
        <v>1794</v>
      </c>
      <c r="AB332" t="s">
        <v>1794</v>
      </c>
      <c r="AC332" t="s">
        <v>1794</v>
      </c>
      <c r="AD332" t="s">
        <v>1794</v>
      </c>
      <c r="AE332">
        <v>0</v>
      </c>
      <c r="AF332" t="s">
        <v>1794</v>
      </c>
      <c r="AG332" t="s">
        <v>1794</v>
      </c>
      <c r="AH332" t="s">
        <v>1794</v>
      </c>
    </row>
    <row r="333" spans="1:34" x14ac:dyDescent="0.25">
      <c r="A333" t="s">
        <v>653</v>
      </c>
      <c r="B333" t="s">
        <v>1441</v>
      </c>
      <c r="C333" t="s">
        <v>306</v>
      </c>
      <c r="D333" t="s">
        <v>358</v>
      </c>
      <c r="E333" t="s">
        <v>1794</v>
      </c>
      <c r="F333" t="s">
        <v>664</v>
      </c>
      <c r="G333" t="s">
        <v>619</v>
      </c>
      <c r="H333" t="s">
        <v>665</v>
      </c>
      <c r="I333" t="s">
        <v>262</v>
      </c>
      <c r="J333" t="s">
        <v>279</v>
      </c>
      <c r="K333">
        <v>1</v>
      </c>
      <c r="L333">
        <v>1</v>
      </c>
      <c r="M333" t="s">
        <v>33</v>
      </c>
      <c r="N333">
        <v>1</v>
      </c>
      <c r="O333">
        <v>1</v>
      </c>
      <c r="P333">
        <v>1</v>
      </c>
      <c r="Q333" t="s">
        <v>52</v>
      </c>
      <c r="R333">
        <v>1</v>
      </c>
      <c r="S333">
        <v>1</v>
      </c>
      <c r="T333">
        <v>1</v>
      </c>
      <c r="U333" t="s">
        <v>1794</v>
      </c>
      <c r="V333" t="s">
        <v>1794</v>
      </c>
      <c r="W333" t="s">
        <v>1794</v>
      </c>
      <c r="X333">
        <v>1</v>
      </c>
      <c r="Y333" t="s">
        <v>1794</v>
      </c>
      <c r="Z333">
        <v>0</v>
      </c>
      <c r="AA333" t="s">
        <v>1794</v>
      </c>
      <c r="AB333" t="s">
        <v>1794</v>
      </c>
      <c r="AC333" t="s">
        <v>1794</v>
      </c>
      <c r="AD333" t="s">
        <v>1794</v>
      </c>
      <c r="AE333">
        <v>0</v>
      </c>
      <c r="AF333" t="s">
        <v>1794</v>
      </c>
      <c r="AG333" t="s">
        <v>1794</v>
      </c>
      <c r="AH333" t="s">
        <v>1794</v>
      </c>
    </row>
    <row r="334" spans="1:34" x14ac:dyDescent="0.25">
      <c r="A334" t="s">
        <v>653</v>
      </c>
      <c r="B334" t="s">
        <v>1441</v>
      </c>
      <c r="C334" t="s">
        <v>306</v>
      </c>
      <c r="D334" t="s">
        <v>358</v>
      </c>
      <c r="E334" t="s">
        <v>1794</v>
      </c>
      <c r="F334" t="s">
        <v>666</v>
      </c>
      <c r="G334" t="s">
        <v>619</v>
      </c>
      <c r="H334" t="s">
        <v>667</v>
      </c>
      <c r="I334" t="s">
        <v>262</v>
      </c>
      <c r="J334" t="s">
        <v>668</v>
      </c>
      <c r="K334">
        <v>1</v>
      </c>
      <c r="L334">
        <v>1</v>
      </c>
      <c r="M334" t="s">
        <v>33</v>
      </c>
      <c r="N334">
        <v>1</v>
      </c>
      <c r="O334">
        <v>1</v>
      </c>
      <c r="P334">
        <v>1</v>
      </c>
      <c r="Q334" t="s">
        <v>52</v>
      </c>
      <c r="R334">
        <v>1</v>
      </c>
      <c r="S334">
        <v>1</v>
      </c>
      <c r="T334">
        <v>1</v>
      </c>
      <c r="U334" t="s">
        <v>1794</v>
      </c>
      <c r="V334" t="s">
        <v>1794</v>
      </c>
      <c r="W334" t="s">
        <v>1794</v>
      </c>
      <c r="X334">
        <v>1</v>
      </c>
      <c r="Y334" t="s">
        <v>1794</v>
      </c>
      <c r="Z334">
        <v>0</v>
      </c>
      <c r="AA334" t="s">
        <v>1794</v>
      </c>
      <c r="AB334" t="s">
        <v>1794</v>
      </c>
      <c r="AC334" t="s">
        <v>1794</v>
      </c>
      <c r="AD334" t="s">
        <v>1794</v>
      </c>
      <c r="AE334">
        <v>0</v>
      </c>
      <c r="AF334" t="s">
        <v>1794</v>
      </c>
      <c r="AG334" t="s">
        <v>1794</v>
      </c>
      <c r="AH334" t="s">
        <v>1794</v>
      </c>
    </row>
    <row r="335" spans="1:34" x14ac:dyDescent="0.25">
      <c r="A335" t="s">
        <v>1466</v>
      </c>
      <c r="B335" t="s">
        <v>1467</v>
      </c>
      <c r="C335" t="s">
        <v>306</v>
      </c>
      <c r="D335" t="s">
        <v>358</v>
      </c>
      <c r="E335" t="s">
        <v>1794</v>
      </c>
      <c r="F335" t="s">
        <v>666</v>
      </c>
      <c r="G335" t="s">
        <v>1124</v>
      </c>
      <c r="H335" t="s">
        <v>667</v>
      </c>
      <c r="I335" t="s">
        <v>262</v>
      </c>
      <c r="J335" t="s">
        <v>668</v>
      </c>
      <c r="K335">
        <v>1</v>
      </c>
      <c r="L335">
        <v>1</v>
      </c>
      <c r="M335" t="s">
        <v>33</v>
      </c>
      <c r="N335">
        <v>1</v>
      </c>
      <c r="O335">
        <v>1</v>
      </c>
      <c r="P335">
        <v>1</v>
      </c>
      <c r="Q335" t="s">
        <v>52</v>
      </c>
      <c r="R335">
        <v>1</v>
      </c>
      <c r="S335">
        <v>1</v>
      </c>
      <c r="T335">
        <v>1</v>
      </c>
      <c r="U335" t="s">
        <v>1794</v>
      </c>
      <c r="V335" t="s">
        <v>1794</v>
      </c>
      <c r="W335" t="s">
        <v>1794</v>
      </c>
      <c r="X335">
        <v>1</v>
      </c>
      <c r="Y335" t="s">
        <v>1794</v>
      </c>
      <c r="Z335">
        <v>0</v>
      </c>
      <c r="AA335" t="s">
        <v>1794</v>
      </c>
      <c r="AB335" t="s">
        <v>1794</v>
      </c>
      <c r="AC335" t="s">
        <v>1794</v>
      </c>
      <c r="AD335" t="s">
        <v>1794</v>
      </c>
      <c r="AE335">
        <v>0</v>
      </c>
      <c r="AF335" t="s">
        <v>1794</v>
      </c>
      <c r="AG335" t="s">
        <v>1794</v>
      </c>
      <c r="AH335" t="s">
        <v>1794</v>
      </c>
    </row>
    <row r="336" spans="1:34" x14ac:dyDescent="0.25">
      <c r="A336" t="s">
        <v>669</v>
      </c>
      <c r="B336" t="s">
        <v>1440</v>
      </c>
      <c r="C336" t="s">
        <v>460</v>
      </c>
      <c r="D336" t="s">
        <v>358</v>
      </c>
      <c r="E336" t="s">
        <v>1794</v>
      </c>
      <c r="F336" t="s">
        <v>670</v>
      </c>
      <c r="G336" t="s">
        <v>1124</v>
      </c>
      <c r="H336" t="s">
        <v>671</v>
      </c>
      <c r="I336" t="s">
        <v>262</v>
      </c>
      <c r="J336" t="s">
        <v>279</v>
      </c>
      <c r="K336">
        <v>1</v>
      </c>
      <c r="L336">
        <v>1</v>
      </c>
      <c r="M336" t="s">
        <v>33</v>
      </c>
      <c r="N336">
        <v>1</v>
      </c>
      <c r="O336">
        <v>1</v>
      </c>
      <c r="P336">
        <v>1</v>
      </c>
      <c r="Q336" t="s">
        <v>52</v>
      </c>
      <c r="R336">
        <v>1</v>
      </c>
      <c r="S336">
        <v>1</v>
      </c>
      <c r="T336">
        <v>1</v>
      </c>
      <c r="U336" t="s">
        <v>1794</v>
      </c>
      <c r="V336" t="s">
        <v>1794</v>
      </c>
      <c r="W336" t="s">
        <v>1794</v>
      </c>
      <c r="X336">
        <v>1</v>
      </c>
      <c r="Y336" t="s">
        <v>1794</v>
      </c>
      <c r="Z336">
        <v>0</v>
      </c>
      <c r="AA336" t="s">
        <v>1794</v>
      </c>
      <c r="AB336" t="s">
        <v>1794</v>
      </c>
      <c r="AC336" t="s">
        <v>1794</v>
      </c>
      <c r="AD336" t="s">
        <v>1794</v>
      </c>
      <c r="AE336">
        <v>0</v>
      </c>
      <c r="AF336" t="s">
        <v>1794</v>
      </c>
      <c r="AG336" t="s">
        <v>1794</v>
      </c>
      <c r="AH336" t="s">
        <v>1794</v>
      </c>
    </row>
    <row r="337" spans="1:34" x14ac:dyDescent="0.25">
      <c r="A337" t="s">
        <v>672</v>
      </c>
      <c r="B337" t="s">
        <v>766</v>
      </c>
      <c r="C337" t="s">
        <v>460</v>
      </c>
      <c r="D337" t="s">
        <v>358</v>
      </c>
      <c r="E337" t="s">
        <v>1794</v>
      </c>
      <c r="F337" t="s">
        <v>673</v>
      </c>
      <c r="G337" t="s">
        <v>1124</v>
      </c>
      <c r="H337" t="s">
        <v>674</v>
      </c>
      <c r="I337" t="s">
        <v>262</v>
      </c>
      <c r="J337" t="s">
        <v>279</v>
      </c>
      <c r="K337">
        <v>1</v>
      </c>
      <c r="L337">
        <v>1</v>
      </c>
      <c r="M337" t="s">
        <v>33</v>
      </c>
      <c r="N337">
        <v>1</v>
      </c>
      <c r="O337">
        <v>1</v>
      </c>
      <c r="P337">
        <v>1</v>
      </c>
      <c r="Q337" t="s">
        <v>52</v>
      </c>
      <c r="R337">
        <v>1</v>
      </c>
      <c r="S337">
        <v>1</v>
      </c>
      <c r="T337">
        <v>1</v>
      </c>
      <c r="U337" t="s">
        <v>1794</v>
      </c>
      <c r="V337" t="s">
        <v>1794</v>
      </c>
      <c r="W337" t="s">
        <v>1794</v>
      </c>
      <c r="X337">
        <v>1</v>
      </c>
      <c r="Y337" t="s">
        <v>1794</v>
      </c>
      <c r="Z337">
        <v>0</v>
      </c>
      <c r="AA337" t="s">
        <v>1794</v>
      </c>
      <c r="AB337" t="s">
        <v>1794</v>
      </c>
      <c r="AC337" t="s">
        <v>1794</v>
      </c>
      <c r="AD337" t="s">
        <v>1794</v>
      </c>
      <c r="AE337">
        <v>0</v>
      </c>
      <c r="AF337" t="s">
        <v>1794</v>
      </c>
      <c r="AG337" t="s">
        <v>1794</v>
      </c>
      <c r="AH337" t="s">
        <v>1794</v>
      </c>
    </row>
    <row r="338" spans="1:34" x14ac:dyDescent="0.25">
      <c r="A338" t="s">
        <v>669</v>
      </c>
      <c r="B338" t="s">
        <v>1440</v>
      </c>
      <c r="C338" t="s">
        <v>315</v>
      </c>
      <c r="D338" t="s">
        <v>358</v>
      </c>
      <c r="E338" t="s">
        <v>1794</v>
      </c>
      <c r="F338" t="s">
        <v>675</v>
      </c>
      <c r="G338" t="s">
        <v>1124</v>
      </c>
      <c r="H338" t="s">
        <v>676</v>
      </c>
      <c r="I338" t="s">
        <v>262</v>
      </c>
      <c r="J338" t="s">
        <v>279</v>
      </c>
      <c r="K338">
        <v>1</v>
      </c>
      <c r="L338">
        <v>1</v>
      </c>
      <c r="M338" t="s">
        <v>33</v>
      </c>
      <c r="N338">
        <v>1</v>
      </c>
      <c r="O338">
        <v>1</v>
      </c>
      <c r="P338">
        <v>1</v>
      </c>
      <c r="Q338" t="s">
        <v>52</v>
      </c>
      <c r="R338">
        <v>1</v>
      </c>
      <c r="S338">
        <v>1</v>
      </c>
      <c r="T338">
        <v>1</v>
      </c>
      <c r="U338" t="s">
        <v>1794</v>
      </c>
      <c r="V338" t="s">
        <v>1794</v>
      </c>
      <c r="W338" t="s">
        <v>1794</v>
      </c>
      <c r="X338">
        <v>1</v>
      </c>
      <c r="Y338" t="s">
        <v>1794</v>
      </c>
      <c r="Z338">
        <v>0</v>
      </c>
      <c r="AA338" t="s">
        <v>1794</v>
      </c>
      <c r="AB338" t="s">
        <v>1794</v>
      </c>
      <c r="AC338" t="s">
        <v>1794</v>
      </c>
      <c r="AD338" t="s">
        <v>1794</v>
      </c>
      <c r="AE338">
        <v>0</v>
      </c>
      <c r="AF338" t="s">
        <v>1794</v>
      </c>
      <c r="AG338" t="s">
        <v>1794</v>
      </c>
      <c r="AH338" t="s">
        <v>1794</v>
      </c>
    </row>
    <row r="339" spans="1:34" x14ac:dyDescent="0.25">
      <c r="A339" t="s">
        <v>672</v>
      </c>
      <c r="B339" t="s">
        <v>766</v>
      </c>
      <c r="C339" t="s">
        <v>315</v>
      </c>
      <c r="D339" t="s">
        <v>358</v>
      </c>
      <c r="E339" t="s">
        <v>1794</v>
      </c>
      <c r="F339" t="s">
        <v>675</v>
      </c>
      <c r="G339" t="s">
        <v>1124</v>
      </c>
      <c r="H339" t="s">
        <v>676</v>
      </c>
      <c r="I339" t="s">
        <v>262</v>
      </c>
      <c r="J339" t="s">
        <v>279</v>
      </c>
      <c r="K339">
        <v>1</v>
      </c>
      <c r="L339">
        <v>1</v>
      </c>
      <c r="M339" t="s">
        <v>33</v>
      </c>
      <c r="N339">
        <v>1</v>
      </c>
      <c r="O339">
        <v>1</v>
      </c>
      <c r="P339">
        <v>1</v>
      </c>
      <c r="Q339" t="s">
        <v>52</v>
      </c>
      <c r="R339">
        <v>1</v>
      </c>
      <c r="S339">
        <v>1</v>
      </c>
      <c r="T339">
        <v>1</v>
      </c>
      <c r="U339" t="s">
        <v>1794</v>
      </c>
      <c r="V339" t="s">
        <v>1794</v>
      </c>
      <c r="W339" t="s">
        <v>1794</v>
      </c>
      <c r="X339">
        <v>1</v>
      </c>
      <c r="Y339" t="s">
        <v>1794</v>
      </c>
      <c r="Z339">
        <v>0</v>
      </c>
      <c r="AA339" t="s">
        <v>1794</v>
      </c>
      <c r="AB339" t="s">
        <v>1794</v>
      </c>
      <c r="AC339" t="s">
        <v>1794</v>
      </c>
      <c r="AD339" t="s">
        <v>1794</v>
      </c>
      <c r="AE339">
        <v>0</v>
      </c>
      <c r="AF339" t="s">
        <v>1794</v>
      </c>
      <c r="AG339" t="s">
        <v>1794</v>
      </c>
      <c r="AH339" t="s">
        <v>1794</v>
      </c>
    </row>
    <row r="340" spans="1:34" x14ac:dyDescent="0.25">
      <c r="A340" t="s">
        <v>669</v>
      </c>
      <c r="B340" t="s">
        <v>1440</v>
      </c>
      <c r="C340" t="s">
        <v>315</v>
      </c>
      <c r="D340" t="s">
        <v>358</v>
      </c>
      <c r="E340" t="s">
        <v>1794</v>
      </c>
      <c r="F340" t="s">
        <v>677</v>
      </c>
      <c r="G340" t="s">
        <v>1124</v>
      </c>
      <c r="H340" t="s">
        <v>678</v>
      </c>
      <c r="I340" t="s">
        <v>262</v>
      </c>
      <c r="J340" t="s">
        <v>679</v>
      </c>
      <c r="K340">
        <v>1</v>
      </c>
      <c r="L340">
        <v>1</v>
      </c>
      <c r="M340" t="s">
        <v>33</v>
      </c>
      <c r="N340">
        <v>1</v>
      </c>
      <c r="O340">
        <v>1</v>
      </c>
      <c r="P340">
        <v>1</v>
      </c>
      <c r="Q340" t="s">
        <v>52</v>
      </c>
      <c r="R340">
        <v>1</v>
      </c>
      <c r="S340">
        <v>1</v>
      </c>
      <c r="T340">
        <v>1</v>
      </c>
      <c r="U340" t="s">
        <v>1794</v>
      </c>
      <c r="V340" t="s">
        <v>1794</v>
      </c>
      <c r="W340" t="s">
        <v>1794</v>
      </c>
      <c r="X340">
        <v>1</v>
      </c>
      <c r="Y340" t="s">
        <v>1794</v>
      </c>
      <c r="Z340">
        <v>0</v>
      </c>
      <c r="AA340" t="s">
        <v>1794</v>
      </c>
      <c r="AB340" t="s">
        <v>1794</v>
      </c>
      <c r="AC340" t="s">
        <v>1794</v>
      </c>
      <c r="AD340" t="s">
        <v>1794</v>
      </c>
      <c r="AE340">
        <v>0</v>
      </c>
      <c r="AF340" t="s">
        <v>1794</v>
      </c>
      <c r="AG340" t="s">
        <v>1794</v>
      </c>
      <c r="AH340" t="s">
        <v>1794</v>
      </c>
    </row>
    <row r="341" spans="1:34" x14ac:dyDescent="0.25">
      <c r="A341" t="s">
        <v>672</v>
      </c>
      <c r="B341" t="s">
        <v>766</v>
      </c>
      <c r="C341" t="s">
        <v>315</v>
      </c>
      <c r="D341" t="s">
        <v>358</v>
      </c>
      <c r="E341" t="s">
        <v>1794</v>
      </c>
      <c r="F341" t="s">
        <v>677</v>
      </c>
      <c r="G341" t="s">
        <v>1124</v>
      </c>
      <c r="H341" t="s">
        <v>678</v>
      </c>
      <c r="I341" t="s">
        <v>262</v>
      </c>
      <c r="J341" t="s">
        <v>679</v>
      </c>
      <c r="K341">
        <v>1</v>
      </c>
      <c r="L341">
        <v>1</v>
      </c>
      <c r="M341" t="s">
        <v>33</v>
      </c>
      <c r="N341">
        <v>1</v>
      </c>
      <c r="O341">
        <v>1</v>
      </c>
      <c r="P341">
        <v>1</v>
      </c>
      <c r="Q341" t="s">
        <v>52</v>
      </c>
      <c r="R341">
        <v>1</v>
      </c>
      <c r="S341">
        <v>1</v>
      </c>
      <c r="T341">
        <v>1</v>
      </c>
      <c r="U341" t="s">
        <v>1794</v>
      </c>
      <c r="V341" t="s">
        <v>1794</v>
      </c>
      <c r="W341" t="s">
        <v>1794</v>
      </c>
      <c r="X341">
        <v>1</v>
      </c>
      <c r="Y341" t="s">
        <v>1794</v>
      </c>
      <c r="Z341">
        <v>0</v>
      </c>
      <c r="AA341" t="s">
        <v>1794</v>
      </c>
      <c r="AB341" t="s">
        <v>1794</v>
      </c>
      <c r="AC341" t="s">
        <v>1794</v>
      </c>
      <c r="AD341" t="s">
        <v>1794</v>
      </c>
      <c r="AE341">
        <v>0</v>
      </c>
      <c r="AF341" t="s">
        <v>1794</v>
      </c>
      <c r="AG341" t="s">
        <v>1794</v>
      </c>
      <c r="AH341" t="s">
        <v>1794</v>
      </c>
    </row>
    <row r="342" spans="1:34" x14ac:dyDescent="0.25">
      <c r="A342" t="s">
        <v>669</v>
      </c>
      <c r="B342" t="s">
        <v>1440</v>
      </c>
      <c r="C342" t="s">
        <v>315</v>
      </c>
      <c r="D342" t="s">
        <v>358</v>
      </c>
      <c r="E342" t="s">
        <v>1794</v>
      </c>
      <c r="F342" t="s">
        <v>680</v>
      </c>
      <c r="G342" t="s">
        <v>1124</v>
      </c>
      <c r="H342" t="s">
        <v>681</v>
      </c>
      <c r="I342" t="s">
        <v>262</v>
      </c>
      <c r="J342" t="s">
        <v>682</v>
      </c>
      <c r="K342">
        <v>1</v>
      </c>
      <c r="L342">
        <v>1</v>
      </c>
      <c r="M342" t="s">
        <v>33</v>
      </c>
      <c r="N342">
        <v>1</v>
      </c>
      <c r="O342">
        <v>1</v>
      </c>
      <c r="P342">
        <v>1</v>
      </c>
      <c r="Q342" t="s">
        <v>52</v>
      </c>
      <c r="R342">
        <v>1</v>
      </c>
      <c r="S342">
        <v>1</v>
      </c>
      <c r="T342">
        <v>1</v>
      </c>
      <c r="U342" t="s">
        <v>1794</v>
      </c>
      <c r="V342" t="s">
        <v>1794</v>
      </c>
      <c r="W342" t="s">
        <v>1794</v>
      </c>
      <c r="X342">
        <v>1</v>
      </c>
      <c r="Y342" t="s">
        <v>1794</v>
      </c>
      <c r="Z342">
        <v>0</v>
      </c>
      <c r="AA342" t="s">
        <v>1794</v>
      </c>
      <c r="AB342" t="s">
        <v>1794</v>
      </c>
      <c r="AC342" t="s">
        <v>1794</v>
      </c>
      <c r="AD342" t="s">
        <v>1794</v>
      </c>
      <c r="AE342">
        <v>0</v>
      </c>
      <c r="AF342" t="s">
        <v>1794</v>
      </c>
      <c r="AG342" t="s">
        <v>1794</v>
      </c>
      <c r="AH342" t="s">
        <v>1794</v>
      </c>
    </row>
    <row r="343" spans="1:34" ht="14.25" customHeight="1" x14ac:dyDescent="0.25">
      <c r="A343" t="s">
        <v>672</v>
      </c>
      <c r="B343" t="s">
        <v>766</v>
      </c>
      <c r="C343" t="s">
        <v>315</v>
      </c>
      <c r="D343" t="s">
        <v>358</v>
      </c>
      <c r="E343" t="s">
        <v>1794</v>
      </c>
      <c r="F343" t="s">
        <v>680</v>
      </c>
      <c r="G343" t="s">
        <v>1124</v>
      </c>
      <c r="H343" t="s">
        <v>681</v>
      </c>
      <c r="I343" t="s">
        <v>262</v>
      </c>
      <c r="J343" t="s">
        <v>682</v>
      </c>
      <c r="K343">
        <v>1</v>
      </c>
      <c r="L343">
        <v>1</v>
      </c>
      <c r="M343" t="s">
        <v>33</v>
      </c>
      <c r="N343">
        <v>1</v>
      </c>
      <c r="O343">
        <v>1</v>
      </c>
      <c r="P343">
        <v>1</v>
      </c>
      <c r="Q343" t="s">
        <v>52</v>
      </c>
      <c r="R343">
        <v>1</v>
      </c>
      <c r="S343">
        <v>1</v>
      </c>
      <c r="T343">
        <v>1</v>
      </c>
      <c r="U343" t="s">
        <v>1794</v>
      </c>
      <c r="V343" t="s">
        <v>1794</v>
      </c>
      <c r="W343" t="s">
        <v>1794</v>
      </c>
      <c r="X343">
        <v>1</v>
      </c>
      <c r="Y343" t="s">
        <v>1794</v>
      </c>
      <c r="Z343">
        <v>0</v>
      </c>
      <c r="AA343" t="s">
        <v>1794</v>
      </c>
      <c r="AB343" t="s">
        <v>1794</v>
      </c>
      <c r="AC343" t="s">
        <v>1794</v>
      </c>
      <c r="AD343" t="s">
        <v>1794</v>
      </c>
      <c r="AE343">
        <v>0</v>
      </c>
      <c r="AF343" t="s">
        <v>1794</v>
      </c>
      <c r="AG343" t="s">
        <v>1794</v>
      </c>
      <c r="AH343" t="s">
        <v>1794</v>
      </c>
    </row>
    <row r="344" spans="1:34" x14ac:dyDescent="0.25">
      <c r="A344" t="s">
        <v>683</v>
      </c>
      <c r="B344" t="s">
        <v>1448</v>
      </c>
      <c r="C344" t="s">
        <v>460</v>
      </c>
      <c r="D344" t="s">
        <v>358</v>
      </c>
      <c r="E344" t="s">
        <v>1794</v>
      </c>
      <c r="F344" t="s">
        <v>684</v>
      </c>
      <c r="G344" t="s">
        <v>1124</v>
      </c>
      <c r="H344" t="s">
        <v>685</v>
      </c>
      <c r="I344" t="s">
        <v>262</v>
      </c>
      <c r="J344" t="s">
        <v>279</v>
      </c>
      <c r="K344">
        <v>1</v>
      </c>
      <c r="L344">
        <v>1</v>
      </c>
      <c r="M344" t="s">
        <v>33</v>
      </c>
      <c r="N344">
        <v>1</v>
      </c>
      <c r="O344">
        <v>1</v>
      </c>
      <c r="P344">
        <v>1</v>
      </c>
      <c r="Q344" t="s">
        <v>52</v>
      </c>
      <c r="R344">
        <v>1</v>
      </c>
      <c r="S344">
        <v>1</v>
      </c>
      <c r="T344">
        <v>1</v>
      </c>
      <c r="U344" t="s">
        <v>1794</v>
      </c>
      <c r="V344" t="s">
        <v>1794</v>
      </c>
      <c r="W344" t="s">
        <v>1794</v>
      </c>
      <c r="X344">
        <v>1</v>
      </c>
      <c r="Y344" t="s">
        <v>1794</v>
      </c>
      <c r="Z344">
        <v>0</v>
      </c>
      <c r="AA344" t="s">
        <v>1794</v>
      </c>
      <c r="AB344" t="s">
        <v>1794</v>
      </c>
      <c r="AC344" t="s">
        <v>1794</v>
      </c>
      <c r="AD344" t="s">
        <v>1794</v>
      </c>
      <c r="AE344">
        <v>0</v>
      </c>
      <c r="AF344" t="s">
        <v>1794</v>
      </c>
      <c r="AG344" t="s">
        <v>1794</v>
      </c>
      <c r="AH344" t="s">
        <v>1794</v>
      </c>
    </row>
    <row r="345" spans="1:34" ht="31.5" customHeight="1" x14ac:dyDescent="0.25">
      <c r="A345" t="s">
        <v>653</v>
      </c>
      <c r="B345" t="s">
        <v>1441</v>
      </c>
      <c r="C345" t="s">
        <v>460</v>
      </c>
      <c r="D345" t="s">
        <v>358</v>
      </c>
      <c r="E345" t="s">
        <v>1794</v>
      </c>
      <c r="F345" t="s">
        <v>686</v>
      </c>
      <c r="G345" t="s">
        <v>619</v>
      </c>
      <c r="H345" t="s">
        <v>687</v>
      </c>
      <c r="I345" t="s">
        <v>262</v>
      </c>
      <c r="J345" t="s">
        <v>279</v>
      </c>
      <c r="K345">
        <v>1</v>
      </c>
      <c r="L345">
        <v>1</v>
      </c>
      <c r="M345" t="s">
        <v>33</v>
      </c>
      <c r="N345">
        <v>1</v>
      </c>
      <c r="O345">
        <v>1</v>
      </c>
      <c r="P345">
        <v>1</v>
      </c>
      <c r="Q345" t="s">
        <v>52</v>
      </c>
      <c r="R345">
        <v>1</v>
      </c>
      <c r="S345">
        <v>1</v>
      </c>
      <c r="T345">
        <v>1</v>
      </c>
      <c r="U345" t="s">
        <v>1794</v>
      </c>
      <c r="V345" t="s">
        <v>1794</v>
      </c>
      <c r="W345" t="s">
        <v>1794</v>
      </c>
      <c r="X345">
        <v>1</v>
      </c>
      <c r="Y345" t="s">
        <v>1794</v>
      </c>
      <c r="Z345">
        <v>0</v>
      </c>
      <c r="AA345" t="s">
        <v>1794</v>
      </c>
      <c r="AB345" t="s">
        <v>1794</v>
      </c>
      <c r="AC345" t="s">
        <v>1794</v>
      </c>
      <c r="AD345" t="s">
        <v>1794</v>
      </c>
      <c r="AE345">
        <v>0</v>
      </c>
      <c r="AF345" t="s">
        <v>1794</v>
      </c>
      <c r="AG345" t="s">
        <v>1794</v>
      </c>
      <c r="AH345" t="s">
        <v>1794</v>
      </c>
    </row>
    <row r="346" spans="1:34" x14ac:dyDescent="0.25">
      <c r="A346" t="s">
        <v>653</v>
      </c>
      <c r="B346" t="s">
        <v>1441</v>
      </c>
      <c r="C346" t="s">
        <v>460</v>
      </c>
      <c r="D346" t="s">
        <v>358</v>
      </c>
      <c r="E346" t="s">
        <v>1794</v>
      </c>
      <c r="F346" t="s">
        <v>688</v>
      </c>
      <c r="G346" t="s">
        <v>619</v>
      </c>
      <c r="H346" t="s">
        <v>689</v>
      </c>
      <c r="I346" t="s">
        <v>262</v>
      </c>
      <c r="J346" t="s">
        <v>690</v>
      </c>
      <c r="K346">
        <v>1</v>
      </c>
      <c r="L346">
        <v>1</v>
      </c>
      <c r="M346" t="s">
        <v>33</v>
      </c>
      <c r="N346">
        <v>1</v>
      </c>
      <c r="O346">
        <v>1</v>
      </c>
      <c r="P346">
        <v>1</v>
      </c>
      <c r="Q346" t="s">
        <v>52</v>
      </c>
      <c r="R346">
        <v>1</v>
      </c>
      <c r="S346">
        <v>1</v>
      </c>
      <c r="T346">
        <v>1</v>
      </c>
      <c r="U346" t="s">
        <v>1794</v>
      </c>
      <c r="V346" t="s">
        <v>1794</v>
      </c>
      <c r="W346" t="s">
        <v>1794</v>
      </c>
      <c r="X346">
        <v>1</v>
      </c>
      <c r="Y346" t="s">
        <v>1794</v>
      </c>
      <c r="Z346">
        <v>0</v>
      </c>
      <c r="AA346" t="s">
        <v>1794</v>
      </c>
      <c r="AB346" t="s">
        <v>1794</v>
      </c>
      <c r="AC346" t="s">
        <v>1794</v>
      </c>
      <c r="AD346" t="s">
        <v>1794</v>
      </c>
      <c r="AE346">
        <v>0</v>
      </c>
      <c r="AF346" t="s">
        <v>1794</v>
      </c>
      <c r="AG346" t="s">
        <v>1794</v>
      </c>
      <c r="AH346" t="s">
        <v>1794</v>
      </c>
    </row>
    <row r="347" spans="1:34" x14ac:dyDescent="0.25">
      <c r="A347" t="s">
        <v>653</v>
      </c>
      <c r="B347" t="s">
        <v>1441</v>
      </c>
      <c r="C347" t="s">
        <v>460</v>
      </c>
      <c r="D347" t="s">
        <v>358</v>
      </c>
      <c r="E347" t="s">
        <v>1794</v>
      </c>
      <c r="F347" t="s">
        <v>691</v>
      </c>
      <c r="G347" t="s">
        <v>619</v>
      </c>
      <c r="H347" t="s">
        <v>1817</v>
      </c>
      <c r="I347" t="s">
        <v>262</v>
      </c>
      <c r="J347" t="s">
        <v>279</v>
      </c>
      <c r="K347">
        <v>1</v>
      </c>
      <c r="L347">
        <v>2</v>
      </c>
      <c r="M347" t="s">
        <v>33</v>
      </c>
      <c r="N347">
        <v>1</v>
      </c>
      <c r="O347">
        <v>2</v>
      </c>
      <c r="P347">
        <v>1</v>
      </c>
      <c r="Q347" t="s">
        <v>52</v>
      </c>
      <c r="R347">
        <v>2</v>
      </c>
      <c r="S347">
        <v>2</v>
      </c>
      <c r="T347">
        <v>2</v>
      </c>
      <c r="U347" t="s">
        <v>1794</v>
      </c>
      <c r="V347" t="s">
        <v>1794</v>
      </c>
      <c r="W347" t="s">
        <v>1794</v>
      </c>
      <c r="X347">
        <v>1</v>
      </c>
      <c r="Y347" t="s">
        <v>1794</v>
      </c>
      <c r="Z347">
        <v>0</v>
      </c>
      <c r="AA347" t="s">
        <v>1794</v>
      </c>
      <c r="AB347" t="s">
        <v>1794</v>
      </c>
      <c r="AC347" t="s">
        <v>1794</v>
      </c>
      <c r="AD347" t="s">
        <v>1794</v>
      </c>
      <c r="AE347">
        <v>0</v>
      </c>
      <c r="AF347" t="s">
        <v>1794</v>
      </c>
      <c r="AG347" t="s">
        <v>1794</v>
      </c>
      <c r="AH347" t="s">
        <v>1794</v>
      </c>
    </row>
    <row r="348" spans="1:34" x14ac:dyDescent="0.25">
      <c r="A348" t="s">
        <v>693</v>
      </c>
      <c r="B348" t="s">
        <v>1447</v>
      </c>
      <c r="C348" t="s">
        <v>306</v>
      </c>
      <c r="D348" t="s">
        <v>358</v>
      </c>
      <c r="E348" t="s">
        <v>1794</v>
      </c>
      <c r="F348" t="s">
        <v>694</v>
      </c>
      <c r="G348" t="s">
        <v>1124</v>
      </c>
      <c r="H348" t="s">
        <v>695</v>
      </c>
      <c r="I348" t="s">
        <v>262</v>
      </c>
      <c r="J348" t="s">
        <v>279</v>
      </c>
      <c r="K348">
        <v>1</v>
      </c>
      <c r="L348">
        <v>1</v>
      </c>
      <c r="M348" t="s">
        <v>33</v>
      </c>
      <c r="N348">
        <v>1</v>
      </c>
      <c r="O348">
        <v>1</v>
      </c>
      <c r="P348">
        <v>1</v>
      </c>
      <c r="Q348" t="s">
        <v>52</v>
      </c>
      <c r="R348">
        <v>1</v>
      </c>
      <c r="S348">
        <v>1</v>
      </c>
      <c r="T348">
        <v>1</v>
      </c>
      <c r="U348" t="s">
        <v>1794</v>
      </c>
      <c r="V348" t="s">
        <v>1794</v>
      </c>
      <c r="W348" t="s">
        <v>1794</v>
      </c>
      <c r="X348">
        <v>1</v>
      </c>
      <c r="Y348" t="s">
        <v>1794</v>
      </c>
      <c r="Z348">
        <v>0</v>
      </c>
      <c r="AA348" t="s">
        <v>1794</v>
      </c>
      <c r="AB348" t="s">
        <v>1794</v>
      </c>
      <c r="AC348" t="s">
        <v>1794</v>
      </c>
      <c r="AD348" t="s">
        <v>1794</v>
      </c>
      <c r="AE348">
        <v>0</v>
      </c>
      <c r="AF348" t="s">
        <v>1794</v>
      </c>
      <c r="AG348" t="s">
        <v>1794</v>
      </c>
      <c r="AH348" t="s">
        <v>1794</v>
      </c>
    </row>
    <row r="349" spans="1:34" ht="13.5" customHeight="1" x14ac:dyDescent="0.25">
      <c r="A349" t="s">
        <v>693</v>
      </c>
      <c r="B349" t="s">
        <v>1447</v>
      </c>
      <c r="C349" t="s">
        <v>306</v>
      </c>
      <c r="D349" t="s">
        <v>358</v>
      </c>
      <c r="E349" t="s">
        <v>1794</v>
      </c>
      <c r="F349" t="s">
        <v>696</v>
      </c>
      <c r="G349" t="s">
        <v>1124</v>
      </c>
      <c r="H349" t="s">
        <v>697</v>
      </c>
      <c r="I349" t="s">
        <v>262</v>
      </c>
      <c r="J349" t="s">
        <v>279</v>
      </c>
      <c r="K349">
        <v>1</v>
      </c>
      <c r="L349">
        <v>1</v>
      </c>
      <c r="M349" t="s">
        <v>33</v>
      </c>
      <c r="N349">
        <v>1</v>
      </c>
      <c r="O349">
        <v>1</v>
      </c>
      <c r="P349">
        <v>1</v>
      </c>
      <c r="Q349" t="s">
        <v>52</v>
      </c>
      <c r="R349">
        <v>1</v>
      </c>
      <c r="S349">
        <v>1</v>
      </c>
      <c r="T349">
        <v>1</v>
      </c>
      <c r="U349" t="s">
        <v>1794</v>
      </c>
      <c r="V349" t="s">
        <v>1794</v>
      </c>
      <c r="W349" t="s">
        <v>1794</v>
      </c>
      <c r="X349">
        <v>1</v>
      </c>
      <c r="Y349" t="s">
        <v>1794</v>
      </c>
      <c r="Z349">
        <v>0</v>
      </c>
      <c r="AA349" t="s">
        <v>1794</v>
      </c>
      <c r="AB349" t="s">
        <v>1794</v>
      </c>
      <c r="AC349" t="s">
        <v>1794</v>
      </c>
      <c r="AD349" t="s">
        <v>1794</v>
      </c>
      <c r="AE349">
        <v>0</v>
      </c>
      <c r="AF349" t="s">
        <v>1794</v>
      </c>
      <c r="AG349" t="s">
        <v>1794</v>
      </c>
      <c r="AH349" t="s">
        <v>1794</v>
      </c>
    </row>
    <row r="350" spans="1:34" x14ac:dyDescent="0.25">
      <c r="A350" t="s">
        <v>693</v>
      </c>
      <c r="B350" t="s">
        <v>1447</v>
      </c>
      <c r="C350" t="s">
        <v>306</v>
      </c>
      <c r="D350" t="s">
        <v>358</v>
      </c>
      <c r="E350" t="s">
        <v>1794</v>
      </c>
      <c r="F350" t="s">
        <v>698</v>
      </c>
      <c r="G350" t="s">
        <v>1124</v>
      </c>
      <c r="H350" t="s">
        <v>699</v>
      </c>
      <c r="I350" t="s">
        <v>262</v>
      </c>
      <c r="J350" t="s">
        <v>279</v>
      </c>
      <c r="K350">
        <v>1</v>
      </c>
      <c r="L350">
        <v>1</v>
      </c>
      <c r="M350" t="s">
        <v>33</v>
      </c>
      <c r="N350">
        <v>1</v>
      </c>
      <c r="O350">
        <v>1</v>
      </c>
      <c r="P350">
        <v>1</v>
      </c>
      <c r="Q350" t="s">
        <v>52</v>
      </c>
      <c r="R350">
        <v>1</v>
      </c>
      <c r="S350">
        <v>1</v>
      </c>
      <c r="T350">
        <v>1</v>
      </c>
      <c r="U350" t="s">
        <v>1794</v>
      </c>
      <c r="V350" t="s">
        <v>1794</v>
      </c>
      <c r="W350" t="s">
        <v>1794</v>
      </c>
      <c r="X350">
        <v>1</v>
      </c>
      <c r="Y350" t="s">
        <v>1794</v>
      </c>
      <c r="Z350">
        <v>0</v>
      </c>
      <c r="AA350" t="s">
        <v>1794</v>
      </c>
      <c r="AB350" t="s">
        <v>1794</v>
      </c>
      <c r="AC350" t="s">
        <v>1794</v>
      </c>
      <c r="AD350" t="s">
        <v>1794</v>
      </c>
      <c r="AE350">
        <v>0</v>
      </c>
      <c r="AF350" t="s">
        <v>1794</v>
      </c>
      <c r="AG350" t="s">
        <v>1794</v>
      </c>
      <c r="AH350" t="s">
        <v>1794</v>
      </c>
    </row>
    <row r="351" spans="1:34" x14ac:dyDescent="0.25">
      <c r="A351" t="s">
        <v>700</v>
      </c>
      <c r="B351" t="s">
        <v>1409</v>
      </c>
      <c r="C351" t="s">
        <v>364</v>
      </c>
      <c r="D351" t="s">
        <v>358</v>
      </c>
      <c r="E351" t="s">
        <v>1794</v>
      </c>
      <c r="F351" t="s">
        <v>701</v>
      </c>
      <c r="G351" t="s">
        <v>1124</v>
      </c>
      <c r="H351" t="s">
        <v>702</v>
      </c>
      <c r="I351" t="s">
        <v>262</v>
      </c>
      <c r="J351" t="s">
        <v>279</v>
      </c>
      <c r="K351">
        <v>1</v>
      </c>
      <c r="L351">
        <v>1</v>
      </c>
      <c r="M351" t="s">
        <v>33</v>
      </c>
      <c r="N351">
        <v>1</v>
      </c>
      <c r="O351">
        <v>1</v>
      </c>
      <c r="P351">
        <v>1</v>
      </c>
      <c r="Q351" t="s">
        <v>52</v>
      </c>
      <c r="R351">
        <v>1</v>
      </c>
      <c r="S351">
        <v>1</v>
      </c>
      <c r="T351">
        <v>1</v>
      </c>
      <c r="U351" t="s">
        <v>1794</v>
      </c>
      <c r="V351" t="s">
        <v>1794</v>
      </c>
      <c r="W351" t="s">
        <v>1794</v>
      </c>
      <c r="X351">
        <v>1</v>
      </c>
      <c r="Y351" t="s">
        <v>1794</v>
      </c>
      <c r="Z351">
        <v>0</v>
      </c>
      <c r="AA351" t="s">
        <v>1794</v>
      </c>
      <c r="AB351" t="s">
        <v>1794</v>
      </c>
      <c r="AC351" t="s">
        <v>1794</v>
      </c>
      <c r="AD351" t="s">
        <v>1794</v>
      </c>
      <c r="AE351">
        <v>0</v>
      </c>
      <c r="AF351" t="s">
        <v>1794</v>
      </c>
      <c r="AG351" t="s">
        <v>1794</v>
      </c>
      <c r="AH351" t="s">
        <v>1794</v>
      </c>
    </row>
    <row r="352" spans="1:34" x14ac:dyDescent="0.25">
      <c r="A352" t="s">
        <v>700</v>
      </c>
      <c r="B352" t="s">
        <v>1409</v>
      </c>
      <c r="C352" t="s">
        <v>364</v>
      </c>
      <c r="D352" t="s">
        <v>358</v>
      </c>
      <c r="E352" t="s">
        <v>1794</v>
      </c>
      <c r="F352" t="s">
        <v>701</v>
      </c>
      <c r="G352" t="s">
        <v>1124</v>
      </c>
      <c r="H352" t="s">
        <v>703</v>
      </c>
      <c r="I352" t="s">
        <v>262</v>
      </c>
      <c r="J352" t="s">
        <v>432</v>
      </c>
      <c r="K352">
        <v>1</v>
      </c>
      <c r="L352">
        <v>1</v>
      </c>
      <c r="M352" t="s">
        <v>33</v>
      </c>
      <c r="N352">
        <v>1</v>
      </c>
      <c r="O352">
        <v>1</v>
      </c>
      <c r="P352">
        <v>1</v>
      </c>
      <c r="Q352" t="s">
        <v>52</v>
      </c>
      <c r="R352">
        <v>1</v>
      </c>
      <c r="S352">
        <v>1</v>
      </c>
      <c r="T352">
        <v>1</v>
      </c>
      <c r="U352" t="s">
        <v>1794</v>
      </c>
      <c r="V352" t="s">
        <v>1794</v>
      </c>
      <c r="W352" t="s">
        <v>1794</v>
      </c>
      <c r="X352">
        <v>1</v>
      </c>
      <c r="Y352" t="s">
        <v>1794</v>
      </c>
      <c r="Z352">
        <v>0</v>
      </c>
      <c r="AA352" t="s">
        <v>1794</v>
      </c>
      <c r="AB352" t="s">
        <v>1794</v>
      </c>
      <c r="AC352" t="s">
        <v>1794</v>
      </c>
      <c r="AD352" t="s">
        <v>1794</v>
      </c>
      <c r="AE352">
        <v>0</v>
      </c>
      <c r="AF352" t="s">
        <v>1794</v>
      </c>
      <c r="AG352" t="s">
        <v>1794</v>
      </c>
      <c r="AH352" t="s">
        <v>1794</v>
      </c>
    </row>
    <row r="353" spans="1:34" ht="35.25" customHeight="1" x14ac:dyDescent="0.25">
      <c r="A353" t="s">
        <v>700</v>
      </c>
      <c r="B353" t="s">
        <v>1409</v>
      </c>
      <c r="C353" t="s">
        <v>364</v>
      </c>
      <c r="D353" t="s">
        <v>358</v>
      </c>
      <c r="E353" t="s">
        <v>1794</v>
      </c>
      <c r="F353" t="s">
        <v>701</v>
      </c>
      <c r="G353" t="s">
        <v>1124</v>
      </c>
      <c r="H353" t="s">
        <v>704</v>
      </c>
      <c r="I353" t="s">
        <v>262</v>
      </c>
      <c r="J353" t="s">
        <v>279</v>
      </c>
      <c r="K353">
        <v>1</v>
      </c>
      <c r="L353">
        <v>1</v>
      </c>
      <c r="M353" t="s">
        <v>33</v>
      </c>
      <c r="N353">
        <v>1</v>
      </c>
      <c r="O353">
        <v>1</v>
      </c>
      <c r="P353">
        <v>1</v>
      </c>
      <c r="Q353" t="s">
        <v>52</v>
      </c>
      <c r="R353">
        <v>1</v>
      </c>
      <c r="S353">
        <v>1</v>
      </c>
      <c r="T353">
        <v>1</v>
      </c>
      <c r="U353" t="s">
        <v>1794</v>
      </c>
      <c r="V353" t="s">
        <v>1794</v>
      </c>
      <c r="W353" t="s">
        <v>1794</v>
      </c>
      <c r="X353">
        <v>1</v>
      </c>
      <c r="Y353" t="s">
        <v>1794</v>
      </c>
      <c r="Z353">
        <v>0</v>
      </c>
      <c r="AA353" t="s">
        <v>1794</v>
      </c>
      <c r="AB353" t="s">
        <v>1794</v>
      </c>
      <c r="AC353" t="s">
        <v>1794</v>
      </c>
      <c r="AD353" t="s">
        <v>1794</v>
      </c>
      <c r="AE353">
        <v>0</v>
      </c>
      <c r="AF353" t="s">
        <v>1794</v>
      </c>
      <c r="AG353" t="s">
        <v>1794</v>
      </c>
      <c r="AH353" t="s">
        <v>1794</v>
      </c>
    </row>
    <row r="354" spans="1:34" x14ac:dyDescent="0.25">
      <c r="A354" t="s">
        <v>700</v>
      </c>
      <c r="B354" t="s">
        <v>1409</v>
      </c>
      <c r="C354" t="s">
        <v>364</v>
      </c>
      <c r="D354" t="s">
        <v>358</v>
      </c>
      <c r="E354" t="s">
        <v>1794</v>
      </c>
      <c r="F354" t="s">
        <v>701</v>
      </c>
      <c r="G354" t="s">
        <v>1124</v>
      </c>
      <c r="H354" t="s">
        <v>705</v>
      </c>
      <c r="I354" t="s">
        <v>262</v>
      </c>
      <c r="J354" t="s">
        <v>279</v>
      </c>
      <c r="K354">
        <v>1</v>
      </c>
      <c r="L354">
        <v>1</v>
      </c>
      <c r="M354" t="s">
        <v>33</v>
      </c>
      <c r="N354">
        <v>1</v>
      </c>
      <c r="O354">
        <v>1</v>
      </c>
      <c r="P354">
        <v>1</v>
      </c>
      <c r="Q354" t="s">
        <v>52</v>
      </c>
      <c r="R354">
        <v>1</v>
      </c>
      <c r="S354">
        <v>1</v>
      </c>
      <c r="T354">
        <v>1</v>
      </c>
      <c r="U354" t="s">
        <v>1794</v>
      </c>
      <c r="V354" t="s">
        <v>1794</v>
      </c>
      <c r="W354" t="s">
        <v>1794</v>
      </c>
      <c r="X354">
        <v>1</v>
      </c>
      <c r="Y354" t="s">
        <v>1794</v>
      </c>
      <c r="Z354">
        <v>0</v>
      </c>
      <c r="AA354" t="s">
        <v>1794</v>
      </c>
      <c r="AB354" t="s">
        <v>1794</v>
      </c>
      <c r="AC354" t="s">
        <v>1794</v>
      </c>
      <c r="AD354" t="s">
        <v>1794</v>
      </c>
      <c r="AE354">
        <v>0</v>
      </c>
      <c r="AF354" t="s">
        <v>1794</v>
      </c>
      <c r="AG354" t="s">
        <v>1794</v>
      </c>
      <c r="AH354" t="s">
        <v>1794</v>
      </c>
    </row>
    <row r="355" spans="1:34" x14ac:dyDescent="0.25">
      <c r="A355" t="s">
        <v>700</v>
      </c>
      <c r="B355" t="s">
        <v>1409</v>
      </c>
      <c r="C355" t="s">
        <v>364</v>
      </c>
      <c r="D355" t="s">
        <v>358</v>
      </c>
      <c r="E355" t="s">
        <v>1794</v>
      </c>
      <c r="F355" t="s">
        <v>701</v>
      </c>
      <c r="G355" t="s">
        <v>1124</v>
      </c>
      <c r="H355" t="s">
        <v>706</v>
      </c>
      <c r="I355" t="s">
        <v>262</v>
      </c>
      <c r="J355" t="s">
        <v>279</v>
      </c>
      <c r="K355">
        <v>1</v>
      </c>
      <c r="L355">
        <v>1</v>
      </c>
      <c r="M355" t="s">
        <v>33</v>
      </c>
      <c r="N355">
        <v>1</v>
      </c>
      <c r="O355">
        <v>1</v>
      </c>
      <c r="P355">
        <v>1</v>
      </c>
      <c r="Q355" t="s">
        <v>52</v>
      </c>
      <c r="R355">
        <v>1</v>
      </c>
      <c r="S355">
        <v>1</v>
      </c>
      <c r="T355">
        <v>1</v>
      </c>
      <c r="U355" t="s">
        <v>1794</v>
      </c>
      <c r="V355" t="s">
        <v>1794</v>
      </c>
      <c r="W355" t="s">
        <v>1794</v>
      </c>
      <c r="X355">
        <v>1</v>
      </c>
      <c r="Y355" t="s">
        <v>1794</v>
      </c>
      <c r="Z355">
        <v>0</v>
      </c>
      <c r="AA355" t="s">
        <v>1794</v>
      </c>
      <c r="AB355" t="s">
        <v>1794</v>
      </c>
      <c r="AC355" t="s">
        <v>1794</v>
      </c>
      <c r="AD355" t="s">
        <v>1794</v>
      </c>
      <c r="AE355">
        <v>0</v>
      </c>
      <c r="AF355" t="s">
        <v>1794</v>
      </c>
      <c r="AG355" t="s">
        <v>1794</v>
      </c>
      <c r="AH355" t="s">
        <v>1794</v>
      </c>
    </row>
    <row r="356" spans="1:34" x14ac:dyDescent="0.25">
      <c r="A356" t="s">
        <v>700</v>
      </c>
      <c r="B356" t="s">
        <v>1409</v>
      </c>
      <c r="C356" t="s">
        <v>364</v>
      </c>
      <c r="D356" t="s">
        <v>358</v>
      </c>
      <c r="E356" t="s">
        <v>1794</v>
      </c>
      <c r="F356" t="s">
        <v>701</v>
      </c>
      <c r="G356" t="s">
        <v>1124</v>
      </c>
      <c r="H356" t="s">
        <v>707</v>
      </c>
      <c r="I356" t="s">
        <v>262</v>
      </c>
      <c r="J356" t="s">
        <v>279</v>
      </c>
      <c r="K356">
        <v>1</v>
      </c>
      <c r="L356">
        <v>1</v>
      </c>
      <c r="M356" t="s">
        <v>33</v>
      </c>
      <c r="N356">
        <v>1</v>
      </c>
      <c r="O356">
        <v>1</v>
      </c>
      <c r="P356">
        <v>1</v>
      </c>
      <c r="Q356" t="s">
        <v>52</v>
      </c>
      <c r="R356">
        <v>1</v>
      </c>
      <c r="S356">
        <v>1</v>
      </c>
      <c r="T356">
        <v>1</v>
      </c>
      <c r="U356" t="s">
        <v>1794</v>
      </c>
      <c r="V356" t="s">
        <v>1794</v>
      </c>
      <c r="W356" t="s">
        <v>1794</v>
      </c>
      <c r="X356">
        <v>1</v>
      </c>
      <c r="Y356" t="s">
        <v>1794</v>
      </c>
      <c r="Z356">
        <v>0</v>
      </c>
      <c r="AA356" t="s">
        <v>1794</v>
      </c>
      <c r="AB356" t="s">
        <v>1794</v>
      </c>
      <c r="AC356" t="s">
        <v>1794</v>
      </c>
      <c r="AD356" t="s">
        <v>1794</v>
      </c>
      <c r="AE356">
        <v>0</v>
      </c>
      <c r="AF356" t="s">
        <v>1794</v>
      </c>
      <c r="AG356" t="s">
        <v>1794</v>
      </c>
      <c r="AH356" t="s">
        <v>1794</v>
      </c>
    </row>
    <row r="357" spans="1:34" x14ac:dyDescent="0.25">
      <c r="A357" t="s">
        <v>700</v>
      </c>
      <c r="B357" t="s">
        <v>1409</v>
      </c>
      <c r="C357" t="s">
        <v>364</v>
      </c>
      <c r="D357" t="s">
        <v>358</v>
      </c>
      <c r="E357" t="s">
        <v>1794</v>
      </c>
      <c r="F357" t="s">
        <v>701</v>
      </c>
      <c r="G357" t="s">
        <v>1124</v>
      </c>
      <c r="H357" t="s">
        <v>708</v>
      </c>
      <c r="I357" t="s">
        <v>262</v>
      </c>
      <c r="J357" t="s">
        <v>279</v>
      </c>
      <c r="K357">
        <v>1</v>
      </c>
      <c r="L357">
        <v>1</v>
      </c>
      <c r="M357" t="s">
        <v>33</v>
      </c>
      <c r="N357">
        <v>1</v>
      </c>
      <c r="O357">
        <v>1</v>
      </c>
      <c r="P357">
        <v>1</v>
      </c>
      <c r="Q357" t="s">
        <v>52</v>
      </c>
      <c r="R357">
        <v>1</v>
      </c>
      <c r="S357">
        <v>1</v>
      </c>
      <c r="T357">
        <v>1</v>
      </c>
      <c r="U357" t="s">
        <v>1794</v>
      </c>
      <c r="V357" t="s">
        <v>1794</v>
      </c>
      <c r="W357" t="s">
        <v>1794</v>
      </c>
      <c r="X357">
        <v>1</v>
      </c>
      <c r="Y357" t="s">
        <v>1794</v>
      </c>
      <c r="Z357">
        <v>0</v>
      </c>
      <c r="AA357" t="s">
        <v>1794</v>
      </c>
      <c r="AB357" t="s">
        <v>1794</v>
      </c>
      <c r="AC357" t="s">
        <v>1794</v>
      </c>
      <c r="AD357" t="s">
        <v>1794</v>
      </c>
      <c r="AE357">
        <v>0</v>
      </c>
      <c r="AF357" t="s">
        <v>1794</v>
      </c>
      <c r="AG357" t="s">
        <v>1794</v>
      </c>
      <c r="AH357" t="s">
        <v>1794</v>
      </c>
    </row>
    <row r="358" spans="1:34" x14ac:dyDescent="0.25">
      <c r="A358" t="s">
        <v>700</v>
      </c>
      <c r="B358" t="s">
        <v>1409</v>
      </c>
      <c r="C358" t="s">
        <v>364</v>
      </c>
      <c r="D358" t="s">
        <v>358</v>
      </c>
      <c r="E358" t="s">
        <v>1794</v>
      </c>
      <c r="F358" t="s">
        <v>709</v>
      </c>
      <c r="G358" t="s">
        <v>1124</v>
      </c>
      <c r="H358" t="s">
        <v>710</v>
      </c>
      <c r="I358" t="s">
        <v>262</v>
      </c>
      <c r="J358" t="s">
        <v>279</v>
      </c>
      <c r="K358">
        <v>1</v>
      </c>
      <c r="L358">
        <v>2</v>
      </c>
      <c r="M358" t="s">
        <v>33</v>
      </c>
      <c r="N358">
        <v>1</v>
      </c>
      <c r="O358">
        <v>2</v>
      </c>
      <c r="P358">
        <v>1</v>
      </c>
      <c r="Q358" t="s">
        <v>52</v>
      </c>
      <c r="R358">
        <v>2</v>
      </c>
      <c r="S358">
        <v>2</v>
      </c>
      <c r="T358">
        <v>2</v>
      </c>
      <c r="U358" t="s">
        <v>1794</v>
      </c>
      <c r="V358" t="s">
        <v>1794</v>
      </c>
      <c r="W358" t="s">
        <v>1794</v>
      </c>
      <c r="X358">
        <v>1</v>
      </c>
      <c r="Y358" t="s">
        <v>1794</v>
      </c>
      <c r="Z358">
        <v>0</v>
      </c>
      <c r="AA358" t="s">
        <v>1794</v>
      </c>
      <c r="AB358" t="s">
        <v>1794</v>
      </c>
      <c r="AC358" t="s">
        <v>1794</v>
      </c>
      <c r="AD358" t="s">
        <v>1794</v>
      </c>
      <c r="AE358">
        <v>0</v>
      </c>
      <c r="AF358" t="s">
        <v>1794</v>
      </c>
      <c r="AG358" t="s">
        <v>1794</v>
      </c>
      <c r="AH358" t="s">
        <v>1794</v>
      </c>
    </row>
    <row r="359" spans="1:34" x14ac:dyDescent="0.25">
      <c r="A359" t="s">
        <v>711</v>
      </c>
      <c r="B359" t="s">
        <v>1477</v>
      </c>
      <c r="C359" t="s">
        <v>364</v>
      </c>
      <c r="D359" t="s">
        <v>358</v>
      </c>
      <c r="E359" t="s">
        <v>1794</v>
      </c>
      <c r="F359" t="s">
        <v>712</v>
      </c>
      <c r="G359" t="s">
        <v>1124</v>
      </c>
      <c r="H359" t="s">
        <v>713</v>
      </c>
      <c r="I359" t="s">
        <v>262</v>
      </c>
      <c r="J359" t="s">
        <v>714</v>
      </c>
      <c r="K359">
        <v>1</v>
      </c>
      <c r="L359">
        <v>2</v>
      </c>
      <c r="M359" t="s">
        <v>33</v>
      </c>
      <c r="N359">
        <v>1</v>
      </c>
      <c r="O359">
        <v>2</v>
      </c>
      <c r="P359">
        <v>1</v>
      </c>
      <c r="Q359" t="s">
        <v>52</v>
      </c>
      <c r="R359">
        <v>2</v>
      </c>
      <c r="S359">
        <v>2</v>
      </c>
      <c r="T359">
        <v>2</v>
      </c>
      <c r="U359" t="s">
        <v>1794</v>
      </c>
      <c r="V359" t="s">
        <v>1794</v>
      </c>
      <c r="W359" t="s">
        <v>1794</v>
      </c>
      <c r="X359">
        <v>1</v>
      </c>
      <c r="Y359" t="s">
        <v>1794</v>
      </c>
      <c r="Z359">
        <v>0</v>
      </c>
      <c r="AA359" t="s">
        <v>1794</v>
      </c>
      <c r="AB359" t="s">
        <v>1794</v>
      </c>
      <c r="AC359" t="s">
        <v>1794</v>
      </c>
      <c r="AD359" t="s">
        <v>1794</v>
      </c>
      <c r="AE359">
        <v>0</v>
      </c>
      <c r="AF359" t="s">
        <v>1794</v>
      </c>
      <c r="AG359" t="s">
        <v>1794</v>
      </c>
      <c r="AH359" t="s">
        <v>1794</v>
      </c>
    </row>
    <row r="360" spans="1:34" x14ac:dyDescent="0.25">
      <c r="A360" t="s">
        <v>700</v>
      </c>
      <c r="B360" t="s">
        <v>1409</v>
      </c>
      <c r="C360" t="s">
        <v>364</v>
      </c>
      <c r="D360" t="s">
        <v>358</v>
      </c>
      <c r="E360" t="s">
        <v>1794</v>
      </c>
      <c r="F360" t="s">
        <v>715</v>
      </c>
      <c r="G360" t="s">
        <v>1124</v>
      </c>
      <c r="H360" t="s">
        <v>716</v>
      </c>
      <c r="I360" t="s">
        <v>262</v>
      </c>
      <c r="J360" t="s">
        <v>717</v>
      </c>
      <c r="K360">
        <v>1</v>
      </c>
      <c r="L360">
        <v>1</v>
      </c>
      <c r="M360" t="s">
        <v>33</v>
      </c>
      <c r="N360">
        <v>1</v>
      </c>
      <c r="O360">
        <v>1</v>
      </c>
      <c r="P360">
        <v>1</v>
      </c>
      <c r="Q360" t="s">
        <v>52</v>
      </c>
      <c r="R360">
        <v>1</v>
      </c>
      <c r="S360">
        <v>1</v>
      </c>
      <c r="T360">
        <v>1</v>
      </c>
      <c r="U360" t="s">
        <v>1794</v>
      </c>
      <c r="V360" t="s">
        <v>1794</v>
      </c>
      <c r="W360" t="s">
        <v>1794</v>
      </c>
      <c r="X360">
        <v>1</v>
      </c>
      <c r="Y360" t="s">
        <v>1794</v>
      </c>
      <c r="Z360">
        <v>0</v>
      </c>
      <c r="AA360" t="s">
        <v>1794</v>
      </c>
      <c r="AB360" t="s">
        <v>1794</v>
      </c>
      <c r="AC360" t="s">
        <v>1794</v>
      </c>
      <c r="AD360" t="s">
        <v>1794</v>
      </c>
      <c r="AE360">
        <v>0</v>
      </c>
      <c r="AF360" t="s">
        <v>1794</v>
      </c>
      <c r="AG360" t="s">
        <v>1794</v>
      </c>
      <c r="AH360" t="s">
        <v>1794</v>
      </c>
    </row>
    <row r="361" spans="1:34" ht="27.75" customHeight="1" x14ac:dyDescent="0.25">
      <c r="A361" t="s">
        <v>733</v>
      </c>
      <c r="B361" t="s">
        <v>1434</v>
      </c>
      <c r="C361" t="s">
        <v>364</v>
      </c>
      <c r="D361" t="s">
        <v>358</v>
      </c>
      <c r="E361" t="s">
        <v>1794</v>
      </c>
      <c r="F361" t="s">
        <v>715</v>
      </c>
      <c r="G361" t="s">
        <v>1124</v>
      </c>
      <c r="H361" t="s">
        <v>716</v>
      </c>
      <c r="I361" t="s">
        <v>262</v>
      </c>
      <c r="J361" t="s">
        <v>717</v>
      </c>
      <c r="K361">
        <v>1</v>
      </c>
      <c r="L361">
        <v>1</v>
      </c>
      <c r="M361" t="s">
        <v>33</v>
      </c>
      <c r="N361">
        <v>1</v>
      </c>
      <c r="O361">
        <v>1</v>
      </c>
      <c r="P361">
        <v>1</v>
      </c>
      <c r="Q361" t="s">
        <v>52</v>
      </c>
      <c r="R361">
        <v>1</v>
      </c>
      <c r="S361">
        <v>1</v>
      </c>
      <c r="T361">
        <v>1</v>
      </c>
      <c r="U361" t="s">
        <v>1794</v>
      </c>
      <c r="V361" t="s">
        <v>1794</v>
      </c>
      <c r="W361" t="s">
        <v>1794</v>
      </c>
      <c r="X361">
        <v>1</v>
      </c>
      <c r="Y361" t="s">
        <v>1794</v>
      </c>
      <c r="Z361">
        <v>0</v>
      </c>
      <c r="AA361" t="s">
        <v>1794</v>
      </c>
      <c r="AB361" t="s">
        <v>1794</v>
      </c>
      <c r="AC361" t="s">
        <v>1794</v>
      </c>
      <c r="AD361" t="s">
        <v>1794</v>
      </c>
      <c r="AE361">
        <v>0</v>
      </c>
      <c r="AF361" t="s">
        <v>1794</v>
      </c>
      <c r="AG361" t="s">
        <v>1794</v>
      </c>
      <c r="AH361" t="s">
        <v>1794</v>
      </c>
    </row>
    <row r="362" spans="1:34" x14ac:dyDescent="0.25">
      <c r="A362" t="s">
        <v>700</v>
      </c>
      <c r="B362" t="s">
        <v>1409</v>
      </c>
      <c r="C362" t="s">
        <v>364</v>
      </c>
      <c r="D362" t="s">
        <v>358</v>
      </c>
      <c r="E362" t="s">
        <v>1794</v>
      </c>
      <c r="F362" t="s">
        <v>715</v>
      </c>
      <c r="G362" t="s">
        <v>1124</v>
      </c>
      <c r="H362" t="s">
        <v>718</v>
      </c>
      <c r="I362" t="s">
        <v>262</v>
      </c>
      <c r="J362" t="s">
        <v>719</v>
      </c>
      <c r="K362">
        <v>1</v>
      </c>
      <c r="L362">
        <v>1</v>
      </c>
      <c r="M362" t="s">
        <v>33</v>
      </c>
      <c r="N362">
        <v>1</v>
      </c>
      <c r="O362">
        <v>1</v>
      </c>
      <c r="P362">
        <v>1</v>
      </c>
      <c r="Q362" t="s">
        <v>52</v>
      </c>
      <c r="R362">
        <v>1</v>
      </c>
      <c r="S362">
        <v>1</v>
      </c>
      <c r="T362">
        <v>1</v>
      </c>
      <c r="U362" t="s">
        <v>1794</v>
      </c>
      <c r="V362" t="s">
        <v>1794</v>
      </c>
      <c r="W362" t="s">
        <v>1794</v>
      </c>
      <c r="X362">
        <v>1</v>
      </c>
      <c r="Y362" t="s">
        <v>1794</v>
      </c>
      <c r="Z362">
        <v>0</v>
      </c>
      <c r="AA362" t="s">
        <v>1794</v>
      </c>
      <c r="AB362" t="s">
        <v>1794</v>
      </c>
      <c r="AC362" t="s">
        <v>1794</v>
      </c>
      <c r="AD362" t="s">
        <v>1794</v>
      </c>
      <c r="AE362">
        <v>0</v>
      </c>
      <c r="AF362" t="s">
        <v>1794</v>
      </c>
      <c r="AG362" t="s">
        <v>1794</v>
      </c>
      <c r="AH362" t="s">
        <v>1794</v>
      </c>
    </row>
    <row r="363" spans="1:34" x14ac:dyDescent="0.25">
      <c r="A363" t="s">
        <v>903</v>
      </c>
      <c r="B363" t="s">
        <v>1128</v>
      </c>
      <c r="C363" t="s">
        <v>364</v>
      </c>
      <c r="D363" t="s">
        <v>358</v>
      </c>
      <c r="E363" t="s">
        <v>1794</v>
      </c>
      <c r="F363" t="s">
        <v>715</v>
      </c>
      <c r="G363" t="s">
        <v>1124</v>
      </c>
      <c r="H363" t="s">
        <v>718</v>
      </c>
      <c r="I363" t="s">
        <v>262</v>
      </c>
      <c r="J363" t="s">
        <v>719</v>
      </c>
      <c r="K363">
        <v>1</v>
      </c>
      <c r="L363">
        <v>1</v>
      </c>
      <c r="M363" t="s">
        <v>33</v>
      </c>
      <c r="N363">
        <v>1</v>
      </c>
      <c r="O363">
        <v>1</v>
      </c>
      <c r="P363">
        <v>1</v>
      </c>
      <c r="Q363" t="s">
        <v>52</v>
      </c>
      <c r="R363">
        <v>1</v>
      </c>
      <c r="S363">
        <v>1</v>
      </c>
      <c r="T363">
        <v>1</v>
      </c>
      <c r="U363" t="s">
        <v>1794</v>
      </c>
      <c r="V363" t="s">
        <v>1794</v>
      </c>
      <c r="W363" t="s">
        <v>1794</v>
      </c>
      <c r="X363">
        <v>1</v>
      </c>
      <c r="Y363" t="s">
        <v>1794</v>
      </c>
      <c r="Z363">
        <v>0</v>
      </c>
      <c r="AA363" t="s">
        <v>1794</v>
      </c>
      <c r="AB363" t="s">
        <v>1794</v>
      </c>
      <c r="AC363" t="s">
        <v>1794</v>
      </c>
      <c r="AD363" t="s">
        <v>1794</v>
      </c>
      <c r="AE363">
        <v>0</v>
      </c>
      <c r="AF363" t="s">
        <v>1794</v>
      </c>
      <c r="AG363" t="s">
        <v>1794</v>
      </c>
      <c r="AH363" t="s">
        <v>1794</v>
      </c>
    </row>
    <row r="364" spans="1:34" x14ac:dyDescent="0.25">
      <c r="A364" t="s">
        <v>700</v>
      </c>
      <c r="B364" t="s">
        <v>1409</v>
      </c>
      <c r="C364" t="s">
        <v>364</v>
      </c>
      <c r="D364" t="s">
        <v>358</v>
      </c>
      <c r="E364" t="s">
        <v>1794</v>
      </c>
      <c r="F364" t="s">
        <v>715</v>
      </c>
      <c r="G364" t="s">
        <v>1124</v>
      </c>
      <c r="H364" t="s">
        <v>720</v>
      </c>
      <c r="I364" t="s">
        <v>262</v>
      </c>
      <c r="J364" t="s">
        <v>721</v>
      </c>
      <c r="K364">
        <v>1</v>
      </c>
      <c r="L364">
        <v>1</v>
      </c>
      <c r="M364" t="s">
        <v>33</v>
      </c>
      <c r="N364">
        <v>1</v>
      </c>
      <c r="O364">
        <v>1</v>
      </c>
      <c r="P364">
        <v>1</v>
      </c>
      <c r="Q364" t="s">
        <v>52</v>
      </c>
      <c r="R364">
        <v>1</v>
      </c>
      <c r="S364">
        <v>1</v>
      </c>
      <c r="T364">
        <v>1</v>
      </c>
      <c r="U364" t="s">
        <v>1794</v>
      </c>
      <c r="V364" t="s">
        <v>1794</v>
      </c>
      <c r="W364" t="s">
        <v>1794</v>
      </c>
      <c r="X364">
        <v>1</v>
      </c>
      <c r="Y364" t="s">
        <v>1794</v>
      </c>
      <c r="Z364">
        <v>0</v>
      </c>
      <c r="AA364" t="s">
        <v>1794</v>
      </c>
      <c r="AB364" t="s">
        <v>1794</v>
      </c>
      <c r="AC364" t="s">
        <v>1794</v>
      </c>
      <c r="AD364" t="s">
        <v>1794</v>
      </c>
      <c r="AE364">
        <v>0</v>
      </c>
      <c r="AF364" t="s">
        <v>1794</v>
      </c>
      <c r="AG364" t="s">
        <v>1794</v>
      </c>
      <c r="AH364" t="s">
        <v>1794</v>
      </c>
    </row>
    <row r="365" spans="1:34" ht="25.5" customHeight="1" x14ac:dyDescent="0.25">
      <c r="A365" t="s">
        <v>801</v>
      </c>
      <c r="B365" t="s">
        <v>1437</v>
      </c>
      <c r="C365" t="s">
        <v>364</v>
      </c>
      <c r="D365" t="s">
        <v>358</v>
      </c>
      <c r="E365" t="s">
        <v>1794</v>
      </c>
      <c r="F365" t="s">
        <v>715</v>
      </c>
      <c r="G365" t="s">
        <v>1124</v>
      </c>
      <c r="H365" t="s">
        <v>720</v>
      </c>
      <c r="I365" t="s">
        <v>262</v>
      </c>
      <c r="J365" t="s">
        <v>721</v>
      </c>
      <c r="K365">
        <v>1</v>
      </c>
      <c r="L365">
        <v>1</v>
      </c>
      <c r="M365" t="s">
        <v>33</v>
      </c>
      <c r="N365">
        <v>1</v>
      </c>
      <c r="O365">
        <v>1</v>
      </c>
      <c r="P365">
        <v>1</v>
      </c>
      <c r="Q365" t="s">
        <v>52</v>
      </c>
      <c r="R365">
        <v>1</v>
      </c>
      <c r="S365">
        <v>1</v>
      </c>
      <c r="T365">
        <v>1</v>
      </c>
      <c r="U365" t="s">
        <v>1794</v>
      </c>
      <c r="V365" t="s">
        <v>1794</v>
      </c>
      <c r="W365" t="s">
        <v>1794</v>
      </c>
      <c r="X365">
        <v>1</v>
      </c>
      <c r="Y365" t="s">
        <v>1794</v>
      </c>
      <c r="Z365">
        <v>0</v>
      </c>
      <c r="AA365" t="s">
        <v>1794</v>
      </c>
      <c r="AB365" t="s">
        <v>1794</v>
      </c>
      <c r="AC365" t="s">
        <v>1794</v>
      </c>
      <c r="AD365" t="s">
        <v>1794</v>
      </c>
      <c r="AE365">
        <v>0</v>
      </c>
      <c r="AF365" t="s">
        <v>1794</v>
      </c>
      <c r="AG365" t="s">
        <v>1794</v>
      </c>
      <c r="AH365" t="s">
        <v>1794</v>
      </c>
    </row>
    <row r="366" spans="1:34" x14ac:dyDescent="0.25">
      <c r="A366" t="s">
        <v>700</v>
      </c>
      <c r="B366" t="s">
        <v>1409</v>
      </c>
      <c r="C366" t="s">
        <v>364</v>
      </c>
      <c r="D366" t="s">
        <v>358</v>
      </c>
      <c r="E366" t="s">
        <v>1794</v>
      </c>
      <c r="F366" t="s">
        <v>715</v>
      </c>
      <c r="G366" t="s">
        <v>1124</v>
      </c>
      <c r="H366" t="s">
        <v>722</v>
      </c>
      <c r="I366" t="s">
        <v>262</v>
      </c>
      <c r="J366" t="s">
        <v>721</v>
      </c>
      <c r="K366">
        <v>1</v>
      </c>
      <c r="L366">
        <v>1</v>
      </c>
      <c r="M366" t="s">
        <v>33</v>
      </c>
      <c r="N366">
        <v>1</v>
      </c>
      <c r="O366">
        <v>1</v>
      </c>
      <c r="P366">
        <v>1</v>
      </c>
      <c r="Q366" t="s">
        <v>52</v>
      </c>
      <c r="R366">
        <v>1</v>
      </c>
      <c r="S366">
        <v>1</v>
      </c>
      <c r="T366">
        <v>1</v>
      </c>
      <c r="U366" t="s">
        <v>1794</v>
      </c>
      <c r="V366" t="s">
        <v>1794</v>
      </c>
      <c r="W366" t="s">
        <v>1794</v>
      </c>
      <c r="X366">
        <v>1</v>
      </c>
      <c r="Y366" t="s">
        <v>1794</v>
      </c>
      <c r="Z366">
        <v>0</v>
      </c>
      <c r="AA366" t="s">
        <v>1794</v>
      </c>
      <c r="AB366" t="s">
        <v>1794</v>
      </c>
      <c r="AC366" t="s">
        <v>1794</v>
      </c>
      <c r="AD366" t="s">
        <v>1794</v>
      </c>
      <c r="AE366">
        <v>0</v>
      </c>
      <c r="AF366" t="s">
        <v>1794</v>
      </c>
      <c r="AG366" t="s">
        <v>1794</v>
      </c>
      <c r="AH366" t="s">
        <v>1794</v>
      </c>
    </row>
    <row r="367" spans="1:34" x14ac:dyDescent="0.25">
      <c r="A367" t="s">
        <v>1438</v>
      </c>
      <c r="B367" t="s">
        <v>1439</v>
      </c>
      <c r="C367" t="s">
        <v>364</v>
      </c>
      <c r="D367" t="s">
        <v>358</v>
      </c>
      <c r="E367" t="s">
        <v>1794</v>
      </c>
      <c r="F367" t="s">
        <v>715</v>
      </c>
      <c r="G367" t="s">
        <v>1124</v>
      </c>
      <c r="H367" t="s">
        <v>722</v>
      </c>
      <c r="I367" t="s">
        <v>262</v>
      </c>
      <c r="J367" t="s">
        <v>721</v>
      </c>
      <c r="K367">
        <v>1</v>
      </c>
      <c r="L367">
        <v>1</v>
      </c>
      <c r="M367" t="s">
        <v>33</v>
      </c>
      <c r="N367">
        <v>1</v>
      </c>
      <c r="O367">
        <v>1</v>
      </c>
      <c r="P367">
        <v>1</v>
      </c>
      <c r="Q367" t="s">
        <v>52</v>
      </c>
      <c r="R367">
        <v>1</v>
      </c>
      <c r="S367">
        <v>1</v>
      </c>
      <c r="T367">
        <v>1</v>
      </c>
      <c r="U367" t="s">
        <v>1794</v>
      </c>
      <c r="V367" t="s">
        <v>1794</v>
      </c>
      <c r="W367" t="s">
        <v>1794</v>
      </c>
      <c r="X367">
        <v>1</v>
      </c>
      <c r="Y367" t="s">
        <v>1794</v>
      </c>
      <c r="Z367">
        <v>0</v>
      </c>
      <c r="AA367" t="s">
        <v>1794</v>
      </c>
      <c r="AB367" t="s">
        <v>1794</v>
      </c>
      <c r="AC367" t="s">
        <v>1794</v>
      </c>
      <c r="AD367" t="s">
        <v>1794</v>
      </c>
      <c r="AE367">
        <v>0</v>
      </c>
      <c r="AF367" t="s">
        <v>1794</v>
      </c>
      <c r="AG367" t="s">
        <v>1794</v>
      </c>
      <c r="AH367" t="s">
        <v>1794</v>
      </c>
    </row>
    <row r="368" spans="1:34" x14ac:dyDescent="0.25">
      <c r="A368" t="s">
        <v>700</v>
      </c>
      <c r="B368" t="s">
        <v>1409</v>
      </c>
      <c r="C368" t="s">
        <v>364</v>
      </c>
      <c r="D368" t="s">
        <v>358</v>
      </c>
      <c r="E368" t="s">
        <v>1794</v>
      </c>
      <c r="F368" t="s">
        <v>723</v>
      </c>
      <c r="G368" t="s">
        <v>1124</v>
      </c>
      <c r="H368" t="s">
        <v>724</v>
      </c>
      <c r="I368" t="s">
        <v>262</v>
      </c>
      <c r="J368" t="s">
        <v>725</v>
      </c>
      <c r="K368">
        <v>1</v>
      </c>
      <c r="L368">
        <v>1</v>
      </c>
      <c r="M368" t="s">
        <v>33</v>
      </c>
      <c r="N368">
        <v>1</v>
      </c>
      <c r="O368">
        <v>1</v>
      </c>
      <c r="P368">
        <v>1</v>
      </c>
      <c r="Q368" t="s">
        <v>52</v>
      </c>
      <c r="R368">
        <v>1</v>
      </c>
      <c r="S368">
        <v>1</v>
      </c>
      <c r="T368">
        <v>1</v>
      </c>
      <c r="U368" t="s">
        <v>1794</v>
      </c>
      <c r="V368" t="s">
        <v>1794</v>
      </c>
      <c r="W368" t="s">
        <v>1794</v>
      </c>
      <c r="X368">
        <v>1</v>
      </c>
      <c r="Y368" t="s">
        <v>1794</v>
      </c>
      <c r="Z368">
        <v>0</v>
      </c>
      <c r="AA368" t="s">
        <v>1794</v>
      </c>
      <c r="AB368" t="s">
        <v>1794</v>
      </c>
      <c r="AC368" t="s">
        <v>1794</v>
      </c>
      <c r="AD368" t="s">
        <v>1794</v>
      </c>
      <c r="AE368">
        <v>0</v>
      </c>
      <c r="AF368" t="s">
        <v>1794</v>
      </c>
      <c r="AG368" t="s">
        <v>1794</v>
      </c>
      <c r="AH368" t="s">
        <v>1794</v>
      </c>
    </row>
    <row r="369" spans="1:34" x14ac:dyDescent="0.25">
      <c r="A369" t="s">
        <v>700</v>
      </c>
      <c r="B369" t="s">
        <v>1409</v>
      </c>
      <c r="C369" t="s">
        <v>364</v>
      </c>
      <c r="D369" t="s">
        <v>358</v>
      </c>
      <c r="E369" t="s">
        <v>1794</v>
      </c>
      <c r="F369" t="s">
        <v>726</v>
      </c>
      <c r="G369" t="s">
        <v>1124</v>
      </c>
      <c r="H369" t="s">
        <v>727</v>
      </c>
      <c r="I369" t="s">
        <v>262</v>
      </c>
      <c r="J369" t="s">
        <v>728</v>
      </c>
      <c r="K369">
        <v>1</v>
      </c>
      <c r="L369">
        <v>1</v>
      </c>
      <c r="M369" t="s">
        <v>33</v>
      </c>
      <c r="N369">
        <v>1</v>
      </c>
      <c r="O369">
        <v>1</v>
      </c>
      <c r="P369">
        <v>1</v>
      </c>
      <c r="Q369" t="s">
        <v>52</v>
      </c>
      <c r="R369">
        <v>1</v>
      </c>
      <c r="S369">
        <v>1</v>
      </c>
      <c r="T369">
        <v>1</v>
      </c>
      <c r="U369" t="s">
        <v>1794</v>
      </c>
      <c r="V369" t="s">
        <v>1794</v>
      </c>
      <c r="W369" t="s">
        <v>1794</v>
      </c>
      <c r="X369">
        <v>1</v>
      </c>
      <c r="Y369" t="s">
        <v>1794</v>
      </c>
      <c r="Z369">
        <v>0</v>
      </c>
      <c r="AA369" t="s">
        <v>1794</v>
      </c>
      <c r="AB369" t="s">
        <v>1794</v>
      </c>
      <c r="AC369" t="s">
        <v>1794</v>
      </c>
      <c r="AD369" t="s">
        <v>1794</v>
      </c>
      <c r="AE369">
        <v>0</v>
      </c>
      <c r="AF369" t="s">
        <v>1794</v>
      </c>
      <c r="AG369" t="s">
        <v>1794</v>
      </c>
      <c r="AH369" t="s">
        <v>1794</v>
      </c>
    </row>
    <row r="370" spans="1:34" x14ac:dyDescent="0.25">
      <c r="A370" t="s">
        <v>669</v>
      </c>
      <c r="B370" t="s">
        <v>1440</v>
      </c>
      <c r="C370" t="s">
        <v>364</v>
      </c>
      <c r="D370" t="s">
        <v>358</v>
      </c>
      <c r="E370" t="s">
        <v>1794</v>
      </c>
      <c r="F370" t="s">
        <v>726</v>
      </c>
      <c r="G370" t="s">
        <v>1124</v>
      </c>
      <c r="H370" t="s">
        <v>727</v>
      </c>
      <c r="I370" t="s">
        <v>262</v>
      </c>
      <c r="J370" t="s">
        <v>728</v>
      </c>
      <c r="K370">
        <v>1</v>
      </c>
      <c r="L370">
        <v>1</v>
      </c>
      <c r="M370" t="s">
        <v>33</v>
      </c>
      <c r="N370">
        <v>1</v>
      </c>
      <c r="O370">
        <v>1</v>
      </c>
      <c r="P370">
        <v>1</v>
      </c>
      <c r="Q370" t="s">
        <v>52</v>
      </c>
      <c r="R370">
        <v>1</v>
      </c>
      <c r="S370">
        <v>1</v>
      </c>
      <c r="T370">
        <v>1</v>
      </c>
      <c r="U370" t="s">
        <v>1794</v>
      </c>
      <c r="V370" t="s">
        <v>1794</v>
      </c>
      <c r="W370" t="s">
        <v>1794</v>
      </c>
      <c r="X370">
        <v>1</v>
      </c>
      <c r="Y370" t="s">
        <v>1794</v>
      </c>
      <c r="Z370">
        <v>0</v>
      </c>
      <c r="AA370" t="s">
        <v>1794</v>
      </c>
      <c r="AB370" t="s">
        <v>1794</v>
      </c>
      <c r="AC370" t="s">
        <v>1794</v>
      </c>
      <c r="AD370" t="s">
        <v>1794</v>
      </c>
      <c r="AE370">
        <v>0</v>
      </c>
      <c r="AF370" t="s">
        <v>1794</v>
      </c>
      <c r="AG370" t="s">
        <v>1794</v>
      </c>
      <c r="AH370" t="s">
        <v>1794</v>
      </c>
    </row>
    <row r="371" spans="1:34" x14ac:dyDescent="0.25">
      <c r="A371" t="s">
        <v>672</v>
      </c>
      <c r="B371" t="s">
        <v>766</v>
      </c>
      <c r="C371" t="s">
        <v>364</v>
      </c>
      <c r="D371" t="s">
        <v>358</v>
      </c>
      <c r="E371" t="s">
        <v>1794</v>
      </c>
      <c r="F371" t="s">
        <v>726</v>
      </c>
      <c r="G371" t="s">
        <v>1124</v>
      </c>
      <c r="H371" t="s">
        <v>727</v>
      </c>
      <c r="I371" t="s">
        <v>262</v>
      </c>
      <c r="J371" t="s">
        <v>728</v>
      </c>
      <c r="K371">
        <v>1</v>
      </c>
      <c r="L371">
        <v>1</v>
      </c>
      <c r="M371" t="s">
        <v>33</v>
      </c>
      <c r="N371">
        <v>1</v>
      </c>
      <c r="O371">
        <v>1</v>
      </c>
      <c r="P371">
        <v>1</v>
      </c>
      <c r="Q371" t="s">
        <v>52</v>
      </c>
      <c r="R371">
        <v>1</v>
      </c>
      <c r="S371">
        <v>1</v>
      </c>
      <c r="T371">
        <v>1</v>
      </c>
      <c r="U371" t="s">
        <v>1794</v>
      </c>
      <c r="V371" t="s">
        <v>1794</v>
      </c>
      <c r="W371" t="s">
        <v>1794</v>
      </c>
      <c r="X371">
        <v>1</v>
      </c>
      <c r="Y371" t="s">
        <v>1794</v>
      </c>
      <c r="Z371">
        <v>0</v>
      </c>
      <c r="AA371" t="s">
        <v>1794</v>
      </c>
      <c r="AB371" t="s">
        <v>1794</v>
      </c>
      <c r="AC371" t="s">
        <v>1794</v>
      </c>
      <c r="AD371" t="s">
        <v>1794</v>
      </c>
      <c r="AE371">
        <v>0</v>
      </c>
      <c r="AF371" t="s">
        <v>1794</v>
      </c>
      <c r="AG371" t="s">
        <v>1794</v>
      </c>
      <c r="AH371" t="s">
        <v>1794</v>
      </c>
    </row>
    <row r="372" spans="1:34" x14ac:dyDescent="0.25">
      <c r="A372" t="s">
        <v>700</v>
      </c>
      <c r="B372" t="s">
        <v>1409</v>
      </c>
      <c r="C372" t="s">
        <v>364</v>
      </c>
      <c r="D372" t="s">
        <v>358</v>
      </c>
      <c r="E372" t="s">
        <v>1794</v>
      </c>
      <c r="F372" t="s">
        <v>715</v>
      </c>
      <c r="G372" t="s">
        <v>1124</v>
      </c>
      <c r="H372" t="s">
        <v>729</v>
      </c>
      <c r="I372" t="s">
        <v>262</v>
      </c>
      <c r="J372" t="s">
        <v>730</v>
      </c>
      <c r="K372">
        <v>1</v>
      </c>
      <c r="L372">
        <v>1</v>
      </c>
      <c r="M372" t="s">
        <v>33</v>
      </c>
      <c r="N372">
        <v>1</v>
      </c>
      <c r="O372">
        <v>1</v>
      </c>
      <c r="P372">
        <v>1</v>
      </c>
      <c r="Q372" t="s">
        <v>52</v>
      </c>
      <c r="R372">
        <v>1</v>
      </c>
      <c r="S372">
        <v>1</v>
      </c>
      <c r="T372">
        <v>1</v>
      </c>
      <c r="U372" t="s">
        <v>1794</v>
      </c>
      <c r="V372" t="s">
        <v>1794</v>
      </c>
      <c r="W372" t="s">
        <v>1794</v>
      </c>
      <c r="X372">
        <v>1</v>
      </c>
      <c r="Y372" t="s">
        <v>1794</v>
      </c>
      <c r="Z372">
        <v>0</v>
      </c>
      <c r="AA372" t="s">
        <v>1794</v>
      </c>
      <c r="AB372" t="s">
        <v>1794</v>
      </c>
      <c r="AC372" t="s">
        <v>1794</v>
      </c>
      <c r="AD372" t="s">
        <v>1794</v>
      </c>
      <c r="AE372">
        <v>0</v>
      </c>
      <c r="AF372" t="s">
        <v>1794</v>
      </c>
      <c r="AG372" t="s">
        <v>1794</v>
      </c>
      <c r="AH372" t="s">
        <v>1794</v>
      </c>
    </row>
    <row r="373" spans="1:34" x14ac:dyDescent="0.25">
      <c r="A373" t="s">
        <v>693</v>
      </c>
      <c r="B373" t="s">
        <v>1447</v>
      </c>
      <c r="C373" t="s">
        <v>364</v>
      </c>
      <c r="D373" t="s">
        <v>358</v>
      </c>
      <c r="E373" t="s">
        <v>1794</v>
      </c>
      <c r="F373" t="s">
        <v>715</v>
      </c>
      <c r="G373" t="s">
        <v>1124</v>
      </c>
      <c r="H373" t="s">
        <v>729</v>
      </c>
      <c r="I373" t="s">
        <v>262</v>
      </c>
      <c r="J373" t="s">
        <v>730</v>
      </c>
      <c r="K373">
        <v>1</v>
      </c>
      <c r="L373">
        <v>1</v>
      </c>
      <c r="M373" t="s">
        <v>33</v>
      </c>
      <c r="N373">
        <v>1</v>
      </c>
      <c r="O373">
        <v>1</v>
      </c>
      <c r="P373">
        <v>1</v>
      </c>
      <c r="Q373" t="s">
        <v>52</v>
      </c>
      <c r="R373">
        <v>1</v>
      </c>
      <c r="S373">
        <v>1</v>
      </c>
      <c r="T373">
        <v>1</v>
      </c>
      <c r="U373" t="s">
        <v>1794</v>
      </c>
      <c r="V373" t="s">
        <v>1794</v>
      </c>
      <c r="W373" t="s">
        <v>1794</v>
      </c>
      <c r="X373">
        <v>1</v>
      </c>
      <c r="Y373" t="s">
        <v>1794</v>
      </c>
      <c r="Z373">
        <v>0</v>
      </c>
      <c r="AA373" t="s">
        <v>1794</v>
      </c>
      <c r="AB373" t="s">
        <v>1794</v>
      </c>
      <c r="AC373" t="s">
        <v>1794</v>
      </c>
      <c r="AD373" t="s">
        <v>1794</v>
      </c>
      <c r="AE373">
        <v>0</v>
      </c>
      <c r="AF373" t="s">
        <v>1794</v>
      </c>
      <c r="AG373" t="s">
        <v>1794</v>
      </c>
      <c r="AH373" t="s">
        <v>1794</v>
      </c>
    </row>
    <row r="374" spans="1:34" x14ac:dyDescent="0.25">
      <c r="A374" t="s">
        <v>700</v>
      </c>
      <c r="B374" t="s">
        <v>1409</v>
      </c>
      <c r="C374" t="s">
        <v>364</v>
      </c>
      <c r="D374" t="s">
        <v>358</v>
      </c>
      <c r="E374" t="s">
        <v>1794</v>
      </c>
      <c r="F374" t="s">
        <v>715</v>
      </c>
      <c r="G374" t="s">
        <v>1124</v>
      </c>
      <c r="H374" t="s">
        <v>731</v>
      </c>
      <c r="I374" t="s">
        <v>262</v>
      </c>
      <c r="J374" t="s">
        <v>732</v>
      </c>
      <c r="K374">
        <v>1</v>
      </c>
      <c r="L374">
        <v>1</v>
      </c>
      <c r="M374" t="s">
        <v>33</v>
      </c>
      <c r="N374">
        <v>1</v>
      </c>
      <c r="O374">
        <v>1</v>
      </c>
      <c r="P374">
        <v>1</v>
      </c>
      <c r="Q374" t="s">
        <v>52</v>
      </c>
      <c r="R374">
        <v>1</v>
      </c>
      <c r="S374">
        <v>1</v>
      </c>
      <c r="T374">
        <v>1</v>
      </c>
      <c r="U374" t="s">
        <v>1794</v>
      </c>
      <c r="V374" t="s">
        <v>1794</v>
      </c>
      <c r="W374" t="s">
        <v>1794</v>
      </c>
      <c r="X374">
        <v>1</v>
      </c>
      <c r="Y374" t="s">
        <v>1794</v>
      </c>
      <c r="Z374">
        <v>0</v>
      </c>
      <c r="AA374" t="s">
        <v>1794</v>
      </c>
      <c r="AB374" t="s">
        <v>1794</v>
      </c>
      <c r="AC374" t="s">
        <v>1794</v>
      </c>
      <c r="AD374" t="s">
        <v>1794</v>
      </c>
      <c r="AE374">
        <v>0</v>
      </c>
      <c r="AF374" t="s">
        <v>1794</v>
      </c>
      <c r="AG374" t="s">
        <v>1794</v>
      </c>
      <c r="AH374" t="s">
        <v>1794</v>
      </c>
    </row>
    <row r="375" spans="1:34" x14ac:dyDescent="0.25">
      <c r="A375" t="s">
        <v>683</v>
      </c>
      <c r="B375" t="s">
        <v>1448</v>
      </c>
      <c r="C375" t="s">
        <v>364</v>
      </c>
      <c r="D375" t="s">
        <v>358</v>
      </c>
      <c r="E375" t="s">
        <v>1794</v>
      </c>
      <c r="F375" t="s">
        <v>715</v>
      </c>
      <c r="G375" t="s">
        <v>1124</v>
      </c>
      <c r="H375" t="s">
        <v>731</v>
      </c>
      <c r="I375" t="s">
        <v>262</v>
      </c>
      <c r="J375" t="s">
        <v>732</v>
      </c>
      <c r="K375">
        <v>1</v>
      </c>
      <c r="L375">
        <v>1</v>
      </c>
      <c r="M375" t="s">
        <v>33</v>
      </c>
      <c r="N375">
        <v>1</v>
      </c>
      <c r="O375">
        <v>1</v>
      </c>
      <c r="P375">
        <v>1</v>
      </c>
      <c r="Q375" t="s">
        <v>52</v>
      </c>
      <c r="R375">
        <v>1</v>
      </c>
      <c r="S375">
        <v>1</v>
      </c>
      <c r="T375">
        <v>1</v>
      </c>
      <c r="U375" t="s">
        <v>1794</v>
      </c>
      <c r="V375" t="s">
        <v>1794</v>
      </c>
      <c r="W375" t="s">
        <v>1794</v>
      </c>
      <c r="X375">
        <v>1</v>
      </c>
      <c r="Y375" t="s">
        <v>1794</v>
      </c>
      <c r="Z375">
        <v>0</v>
      </c>
      <c r="AA375" t="s">
        <v>1794</v>
      </c>
      <c r="AB375" t="s">
        <v>1794</v>
      </c>
      <c r="AC375" t="s">
        <v>1794</v>
      </c>
      <c r="AD375" t="s">
        <v>1794</v>
      </c>
      <c r="AE375">
        <v>0</v>
      </c>
      <c r="AF375" t="s">
        <v>1794</v>
      </c>
      <c r="AG375" t="s">
        <v>1794</v>
      </c>
      <c r="AH375" t="s">
        <v>1794</v>
      </c>
    </row>
    <row r="376" spans="1:34" x14ac:dyDescent="0.25">
      <c r="A376" t="s">
        <v>733</v>
      </c>
      <c r="B376" t="s">
        <v>1434</v>
      </c>
      <c r="C376" t="s">
        <v>364</v>
      </c>
      <c r="D376" t="s">
        <v>358</v>
      </c>
      <c r="E376" t="s">
        <v>1794</v>
      </c>
      <c r="F376" t="s">
        <v>734</v>
      </c>
      <c r="G376" t="s">
        <v>1124</v>
      </c>
      <c r="H376" t="s">
        <v>735</v>
      </c>
      <c r="I376" t="s">
        <v>262</v>
      </c>
      <c r="J376" t="s">
        <v>736</v>
      </c>
      <c r="K376">
        <v>1</v>
      </c>
      <c r="L376">
        <v>1</v>
      </c>
      <c r="M376" t="s">
        <v>33</v>
      </c>
      <c r="N376">
        <v>1</v>
      </c>
      <c r="O376">
        <v>1</v>
      </c>
      <c r="P376">
        <v>1</v>
      </c>
      <c r="Q376" t="s">
        <v>52</v>
      </c>
      <c r="R376">
        <v>1</v>
      </c>
      <c r="S376">
        <v>1</v>
      </c>
      <c r="T376">
        <v>1</v>
      </c>
      <c r="U376" t="s">
        <v>1794</v>
      </c>
      <c r="V376" t="s">
        <v>1794</v>
      </c>
      <c r="W376" t="s">
        <v>1794</v>
      </c>
      <c r="X376">
        <v>1</v>
      </c>
      <c r="Y376" t="s">
        <v>1794</v>
      </c>
      <c r="Z376">
        <v>0</v>
      </c>
      <c r="AA376" t="s">
        <v>1794</v>
      </c>
      <c r="AB376" t="s">
        <v>1794</v>
      </c>
      <c r="AC376" t="s">
        <v>1794</v>
      </c>
      <c r="AD376" t="s">
        <v>1794</v>
      </c>
      <c r="AE376">
        <v>0</v>
      </c>
      <c r="AF376" t="s">
        <v>1794</v>
      </c>
      <c r="AG376" t="s">
        <v>1794</v>
      </c>
      <c r="AH376" t="s">
        <v>1794</v>
      </c>
    </row>
    <row r="377" spans="1:34" x14ac:dyDescent="0.25">
      <c r="A377" t="s">
        <v>733</v>
      </c>
      <c r="B377" t="s">
        <v>1434</v>
      </c>
      <c r="C377" t="s">
        <v>364</v>
      </c>
      <c r="D377" t="s">
        <v>358</v>
      </c>
      <c r="E377" t="s">
        <v>1794</v>
      </c>
      <c r="F377" t="s">
        <v>737</v>
      </c>
      <c r="G377" t="s">
        <v>1124</v>
      </c>
      <c r="H377" t="s">
        <v>738</v>
      </c>
      <c r="I377" t="s">
        <v>262</v>
      </c>
      <c r="J377" t="s">
        <v>739</v>
      </c>
      <c r="K377">
        <v>1</v>
      </c>
      <c r="L377">
        <v>1</v>
      </c>
      <c r="M377" t="s">
        <v>33</v>
      </c>
      <c r="N377">
        <v>1</v>
      </c>
      <c r="O377">
        <v>1</v>
      </c>
      <c r="P377">
        <v>1</v>
      </c>
      <c r="Q377" t="s">
        <v>52</v>
      </c>
      <c r="R377">
        <v>1</v>
      </c>
      <c r="S377">
        <v>1</v>
      </c>
      <c r="T377">
        <v>1</v>
      </c>
      <c r="U377" t="s">
        <v>1794</v>
      </c>
      <c r="V377" t="s">
        <v>1794</v>
      </c>
      <c r="W377" t="s">
        <v>1794</v>
      </c>
      <c r="X377">
        <v>1</v>
      </c>
      <c r="Y377" t="s">
        <v>1794</v>
      </c>
      <c r="Z377">
        <v>0</v>
      </c>
      <c r="AA377" t="s">
        <v>1794</v>
      </c>
      <c r="AB377" t="s">
        <v>1794</v>
      </c>
      <c r="AC377" t="s">
        <v>1794</v>
      </c>
      <c r="AD377" t="s">
        <v>1794</v>
      </c>
      <c r="AE377">
        <v>0</v>
      </c>
      <c r="AF377" t="s">
        <v>1794</v>
      </c>
      <c r="AG377" t="s">
        <v>1794</v>
      </c>
      <c r="AH377" t="s">
        <v>1794</v>
      </c>
    </row>
    <row r="378" spans="1:34" x14ac:dyDescent="0.25">
      <c r="A378" t="s">
        <v>733</v>
      </c>
      <c r="B378" t="s">
        <v>1434</v>
      </c>
      <c r="C378" t="s">
        <v>364</v>
      </c>
      <c r="D378" t="s">
        <v>358</v>
      </c>
      <c r="E378" t="s">
        <v>1794</v>
      </c>
      <c r="F378" t="s">
        <v>740</v>
      </c>
      <c r="G378" t="s">
        <v>1124</v>
      </c>
      <c r="H378" t="s">
        <v>741</v>
      </c>
      <c r="I378" t="s">
        <v>262</v>
      </c>
      <c r="J378" t="s">
        <v>739</v>
      </c>
      <c r="K378">
        <v>1</v>
      </c>
      <c r="L378">
        <v>1</v>
      </c>
      <c r="M378" t="s">
        <v>33</v>
      </c>
      <c r="N378">
        <v>1</v>
      </c>
      <c r="O378">
        <v>1</v>
      </c>
      <c r="P378">
        <v>1</v>
      </c>
      <c r="Q378" t="s">
        <v>52</v>
      </c>
      <c r="R378">
        <v>1</v>
      </c>
      <c r="S378">
        <v>1</v>
      </c>
      <c r="T378">
        <v>1</v>
      </c>
      <c r="U378" t="s">
        <v>1794</v>
      </c>
      <c r="V378" t="s">
        <v>1794</v>
      </c>
      <c r="W378" t="s">
        <v>1794</v>
      </c>
      <c r="X378">
        <v>1</v>
      </c>
      <c r="Y378" t="s">
        <v>1794</v>
      </c>
      <c r="Z378">
        <v>0</v>
      </c>
      <c r="AA378" t="s">
        <v>1794</v>
      </c>
      <c r="AB378" t="s">
        <v>1794</v>
      </c>
      <c r="AC378" t="s">
        <v>1794</v>
      </c>
      <c r="AD378" t="s">
        <v>1794</v>
      </c>
      <c r="AE378">
        <v>0</v>
      </c>
      <c r="AF378" t="s">
        <v>1794</v>
      </c>
      <c r="AG378" t="s">
        <v>1794</v>
      </c>
      <c r="AH378" t="s">
        <v>1794</v>
      </c>
    </row>
    <row r="379" spans="1:34" x14ac:dyDescent="0.25">
      <c r="A379" t="s">
        <v>700</v>
      </c>
      <c r="B379" t="s">
        <v>1409</v>
      </c>
      <c r="C379" t="s">
        <v>364</v>
      </c>
      <c r="D379" t="s">
        <v>358</v>
      </c>
      <c r="E379" t="s">
        <v>1794</v>
      </c>
      <c r="F379" t="s">
        <v>742</v>
      </c>
      <c r="G379" t="s">
        <v>1124</v>
      </c>
      <c r="H379" t="s">
        <v>743</v>
      </c>
      <c r="I379" t="s">
        <v>262</v>
      </c>
      <c r="J379" t="s">
        <v>744</v>
      </c>
      <c r="K379">
        <v>1</v>
      </c>
      <c r="L379">
        <v>1</v>
      </c>
      <c r="M379" t="s">
        <v>33</v>
      </c>
      <c r="N379">
        <v>1</v>
      </c>
      <c r="O379">
        <v>1</v>
      </c>
      <c r="P379">
        <v>1</v>
      </c>
      <c r="Q379" t="s">
        <v>52</v>
      </c>
      <c r="R379">
        <v>1</v>
      </c>
      <c r="S379">
        <v>1</v>
      </c>
      <c r="T379">
        <v>1</v>
      </c>
      <c r="U379" t="s">
        <v>1794</v>
      </c>
      <c r="V379" t="s">
        <v>1794</v>
      </c>
      <c r="W379" t="s">
        <v>1794</v>
      </c>
      <c r="X379">
        <v>1</v>
      </c>
      <c r="Y379" t="s">
        <v>1794</v>
      </c>
      <c r="Z379">
        <v>0</v>
      </c>
      <c r="AA379" t="s">
        <v>1794</v>
      </c>
      <c r="AB379" t="s">
        <v>1794</v>
      </c>
      <c r="AC379" t="s">
        <v>1794</v>
      </c>
      <c r="AD379" t="s">
        <v>1794</v>
      </c>
      <c r="AE379">
        <v>0</v>
      </c>
      <c r="AF379" t="s">
        <v>1794</v>
      </c>
      <c r="AG379" t="s">
        <v>1794</v>
      </c>
      <c r="AH379" t="s">
        <v>1794</v>
      </c>
    </row>
    <row r="380" spans="1:34" x14ac:dyDescent="0.25">
      <c r="A380" t="s">
        <v>700</v>
      </c>
      <c r="B380" t="s">
        <v>1409</v>
      </c>
      <c r="C380" t="s">
        <v>364</v>
      </c>
      <c r="D380" t="s">
        <v>358</v>
      </c>
      <c r="E380" t="s">
        <v>1794</v>
      </c>
      <c r="F380" t="s">
        <v>745</v>
      </c>
      <c r="G380" t="s">
        <v>1124</v>
      </c>
      <c r="H380" t="s">
        <v>746</v>
      </c>
      <c r="I380" t="s">
        <v>262</v>
      </c>
      <c r="J380" t="s">
        <v>747</v>
      </c>
      <c r="K380">
        <v>1</v>
      </c>
      <c r="L380">
        <v>1</v>
      </c>
      <c r="M380" t="s">
        <v>33</v>
      </c>
      <c r="N380">
        <v>1</v>
      </c>
      <c r="O380">
        <v>1</v>
      </c>
      <c r="P380">
        <v>1</v>
      </c>
      <c r="Q380" t="s">
        <v>52</v>
      </c>
      <c r="R380">
        <v>1</v>
      </c>
      <c r="S380">
        <v>1</v>
      </c>
      <c r="T380">
        <v>1</v>
      </c>
      <c r="U380" t="s">
        <v>1794</v>
      </c>
      <c r="V380" t="s">
        <v>1794</v>
      </c>
      <c r="W380" t="s">
        <v>1794</v>
      </c>
      <c r="X380">
        <v>1</v>
      </c>
      <c r="Y380" t="s">
        <v>1794</v>
      </c>
      <c r="Z380">
        <v>0</v>
      </c>
      <c r="AA380" t="s">
        <v>1794</v>
      </c>
      <c r="AB380" t="s">
        <v>1794</v>
      </c>
      <c r="AC380" t="s">
        <v>1794</v>
      </c>
      <c r="AD380" t="s">
        <v>1794</v>
      </c>
      <c r="AE380">
        <v>0</v>
      </c>
      <c r="AF380" t="s">
        <v>1794</v>
      </c>
      <c r="AG380" t="s">
        <v>1794</v>
      </c>
      <c r="AH380" t="s">
        <v>1794</v>
      </c>
    </row>
    <row r="381" spans="1:34" x14ac:dyDescent="0.25">
      <c r="A381" t="s">
        <v>700</v>
      </c>
      <c r="B381" t="s">
        <v>1409</v>
      </c>
      <c r="C381" t="s">
        <v>364</v>
      </c>
      <c r="D381" t="s">
        <v>358</v>
      </c>
      <c r="E381" t="s">
        <v>1794</v>
      </c>
      <c r="F381" t="s">
        <v>748</v>
      </c>
      <c r="G381" t="s">
        <v>1124</v>
      </c>
      <c r="H381" t="s">
        <v>749</v>
      </c>
      <c r="I381" t="s">
        <v>262</v>
      </c>
      <c r="J381" t="s">
        <v>750</v>
      </c>
      <c r="K381">
        <v>1</v>
      </c>
      <c r="L381">
        <v>1</v>
      </c>
      <c r="M381" t="s">
        <v>33</v>
      </c>
      <c r="N381">
        <v>1</v>
      </c>
      <c r="O381">
        <v>1</v>
      </c>
      <c r="P381">
        <v>1</v>
      </c>
      <c r="Q381" t="s">
        <v>52</v>
      </c>
      <c r="R381">
        <v>1</v>
      </c>
      <c r="S381">
        <v>1</v>
      </c>
      <c r="T381" t="s">
        <v>1794</v>
      </c>
      <c r="U381">
        <v>1</v>
      </c>
      <c r="V381" t="s">
        <v>1794</v>
      </c>
      <c r="W381" t="s">
        <v>1794</v>
      </c>
      <c r="X381">
        <v>1</v>
      </c>
      <c r="Y381" t="s">
        <v>1794</v>
      </c>
      <c r="Z381">
        <v>0</v>
      </c>
      <c r="AA381" t="s">
        <v>1794</v>
      </c>
      <c r="AB381" t="s">
        <v>1794</v>
      </c>
      <c r="AC381" t="s">
        <v>1794</v>
      </c>
      <c r="AD381" t="s">
        <v>1794</v>
      </c>
      <c r="AE381">
        <v>0</v>
      </c>
      <c r="AF381" t="s">
        <v>1794</v>
      </c>
      <c r="AG381" t="s">
        <v>1794</v>
      </c>
      <c r="AH381" t="s">
        <v>1794</v>
      </c>
    </row>
    <row r="382" spans="1:34" x14ac:dyDescent="0.25">
      <c r="A382" t="s">
        <v>711</v>
      </c>
      <c r="B382" t="s">
        <v>1477</v>
      </c>
      <c r="C382" t="s">
        <v>364</v>
      </c>
      <c r="D382" t="s">
        <v>358</v>
      </c>
      <c r="E382" t="s">
        <v>1794</v>
      </c>
      <c r="F382" t="s">
        <v>751</v>
      </c>
      <c r="G382" t="s">
        <v>1124</v>
      </c>
      <c r="H382" t="s">
        <v>1818</v>
      </c>
      <c r="I382" t="s">
        <v>262</v>
      </c>
      <c r="J382" t="s">
        <v>752</v>
      </c>
      <c r="K382">
        <v>1</v>
      </c>
      <c r="L382">
        <v>2</v>
      </c>
      <c r="M382" t="s">
        <v>33</v>
      </c>
      <c r="N382">
        <v>1</v>
      </c>
      <c r="O382">
        <v>2</v>
      </c>
      <c r="P382">
        <v>1</v>
      </c>
      <c r="Q382" t="s">
        <v>52</v>
      </c>
      <c r="R382">
        <v>2</v>
      </c>
      <c r="S382">
        <v>2</v>
      </c>
      <c r="T382">
        <v>1</v>
      </c>
      <c r="U382">
        <v>1</v>
      </c>
      <c r="V382" t="s">
        <v>1794</v>
      </c>
      <c r="W382" t="s">
        <v>1794</v>
      </c>
      <c r="X382">
        <v>1</v>
      </c>
      <c r="Y382" t="s">
        <v>1794</v>
      </c>
      <c r="Z382">
        <v>0</v>
      </c>
      <c r="AA382" t="s">
        <v>1794</v>
      </c>
      <c r="AB382" t="s">
        <v>1794</v>
      </c>
      <c r="AC382" t="s">
        <v>1794</v>
      </c>
      <c r="AD382" t="s">
        <v>1794</v>
      </c>
      <c r="AE382">
        <v>0</v>
      </c>
      <c r="AF382" t="s">
        <v>1794</v>
      </c>
      <c r="AG382" t="s">
        <v>1794</v>
      </c>
      <c r="AH382" t="s">
        <v>1794</v>
      </c>
    </row>
    <row r="383" spans="1:34" x14ac:dyDescent="0.25">
      <c r="A383" t="s">
        <v>753</v>
      </c>
      <c r="B383" t="s">
        <v>1460</v>
      </c>
      <c r="C383" t="s">
        <v>315</v>
      </c>
      <c r="D383" t="s">
        <v>358</v>
      </c>
      <c r="E383" t="s">
        <v>1794</v>
      </c>
      <c r="F383" t="s">
        <v>754</v>
      </c>
      <c r="G383" t="s">
        <v>1124</v>
      </c>
      <c r="H383" t="s">
        <v>755</v>
      </c>
      <c r="I383" t="s">
        <v>262</v>
      </c>
      <c r="J383" t="s">
        <v>756</v>
      </c>
      <c r="K383">
        <v>1</v>
      </c>
      <c r="L383">
        <v>1</v>
      </c>
      <c r="M383" t="s">
        <v>33</v>
      </c>
      <c r="N383">
        <v>1</v>
      </c>
      <c r="O383">
        <v>1</v>
      </c>
      <c r="P383">
        <v>1</v>
      </c>
      <c r="Q383" t="s">
        <v>52</v>
      </c>
      <c r="R383">
        <v>1</v>
      </c>
      <c r="S383">
        <v>1</v>
      </c>
      <c r="T383">
        <v>1</v>
      </c>
      <c r="U383" t="s">
        <v>1794</v>
      </c>
      <c r="V383" t="s">
        <v>1794</v>
      </c>
      <c r="W383" t="s">
        <v>1794</v>
      </c>
      <c r="X383">
        <v>1</v>
      </c>
      <c r="Y383" t="s">
        <v>1794</v>
      </c>
      <c r="Z383">
        <v>0</v>
      </c>
      <c r="AA383" t="s">
        <v>1794</v>
      </c>
      <c r="AB383" t="s">
        <v>1794</v>
      </c>
      <c r="AC383" t="s">
        <v>1794</v>
      </c>
      <c r="AD383" t="s">
        <v>1794</v>
      </c>
      <c r="AE383">
        <v>0</v>
      </c>
      <c r="AF383" t="s">
        <v>1794</v>
      </c>
      <c r="AG383" t="s">
        <v>1794</v>
      </c>
      <c r="AH383" t="s">
        <v>1794</v>
      </c>
    </row>
    <row r="384" spans="1:34" x14ac:dyDescent="0.25">
      <c r="A384" t="s">
        <v>753</v>
      </c>
      <c r="B384" t="s">
        <v>1460</v>
      </c>
      <c r="C384" t="s">
        <v>315</v>
      </c>
      <c r="D384" t="s">
        <v>358</v>
      </c>
      <c r="E384" t="s">
        <v>1794</v>
      </c>
      <c r="F384" t="s">
        <v>757</v>
      </c>
      <c r="G384" t="s">
        <v>1124</v>
      </c>
      <c r="H384" t="s">
        <v>758</v>
      </c>
      <c r="I384" t="s">
        <v>262</v>
      </c>
      <c r="J384" t="s">
        <v>759</v>
      </c>
      <c r="K384">
        <v>1</v>
      </c>
      <c r="L384">
        <v>1</v>
      </c>
      <c r="M384" t="s">
        <v>33</v>
      </c>
      <c r="N384">
        <v>1</v>
      </c>
      <c r="O384">
        <v>1</v>
      </c>
      <c r="P384">
        <v>1</v>
      </c>
      <c r="Q384" t="s">
        <v>52</v>
      </c>
      <c r="R384">
        <v>1</v>
      </c>
      <c r="S384">
        <v>1</v>
      </c>
      <c r="T384">
        <v>1</v>
      </c>
      <c r="U384" t="s">
        <v>1794</v>
      </c>
      <c r="V384" t="s">
        <v>1794</v>
      </c>
      <c r="W384" t="s">
        <v>1794</v>
      </c>
      <c r="X384">
        <v>1</v>
      </c>
      <c r="Y384" t="s">
        <v>1794</v>
      </c>
      <c r="Z384">
        <v>0</v>
      </c>
      <c r="AA384" t="s">
        <v>1794</v>
      </c>
      <c r="AB384" t="s">
        <v>1794</v>
      </c>
      <c r="AC384" t="s">
        <v>1794</v>
      </c>
      <c r="AD384" t="s">
        <v>1794</v>
      </c>
      <c r="AE384">
        <v>0</v>
      </c>
      <c r="AF384" t="s">
        <v>1794</v>
      </c>
      <c r="AG384" t="s">
        <v>1794</v>
      </c>
      <c r="AH384" t="s">
        <v>1794</v>
      </c>
    </row>
    <row r="385" spans="1:34" x14ac:dyDescent="0.25">
      <c r="A385" t="s">
        <v>733</v>
      </c>
      <c r="B385" t="s">
        <v>1434</v>
      </c>
      <c r="C385" t="s">
        <v>315</v>
      </c>
      <c r="D385" t="s">
        <v>358</v>
      </c>
      <c r="E385" t="s">
        <v>1794</v>
      </c>
      <c r="F385" t="s">
        <v>757</v>
      </c>
      <c r="G385" t="s">
        <v>1124</v>
      </c>
      <c r="H385" t="s">
        <v>758</v>
      </c>
      <c r="I385" t="s">
        <v>262</v>
      </c>
      <c r="J385" t="s">
        <v>759</v>
      </c>
      <c r="K385">
        <v>1</v>
      </c>
      <c r="L385">
        <v>1</v>
      </c>
      <c r="M385" t="s">
        <v>33</v>
      </c>
      <c r="N385">
        <v>1</v>
      </c>
      <c r="O385">
        <v>1</v>
      </c>
      <c r="P385">
        <v>1</v>
      </c>
      <c r="Q385" t="s">
        <v>52</v>
      </c>
      <c r="R385">
        <v>1</v>
      </c>
      <c r="S385">
        <v>1</v>
      </c>
      <c r="T385">
        <v>1</v>
      </c>
      <c r="U385" t="s">
        <v>1794</v>
      </c>
      <c r="V385" t="s">
        <v>1794</v>
      </c>
      <c r="W385" t="s">
        <v>1794</v>
      </c>
      <c r="X385">
        <v>1</v>
      </c>
      <c r="Y385" t="s">
        <v>1794</v>
      </c>
      <c r="Z385">
        <v>0</v>
      </c>
      <c r="AA385" t="s">
        <v>1794</v>
      </c>
      <c r="AB385" t="s">
        <v>1794</v>
      </c>
      <c r="AC385" t="s">
        <v>1794</v>
      </c>
      <c r="AD385" t="s">
        <v>1794</v>
      </c>
      <c r="AE385">
        <v>0</v>
      </c>
      <c r="AF385" t="s">
        <v>1794</v>
      </c>
      <c r="AG385" t="s">
        <v>1794</v>
      </c>
      <c r="AH385" t="s">
        <v>1794</v>
      </c>
    </row>
    <row r="386" spans="1:34" x14ac:dyDescent="0.25">
      <c r="A386" t="s">
        <v>753</v>
      </c>
      <c r="B386" t="s">
        <v>1460</v>
      </c>
      <c r="C386" t="s">
        <v>315</v>
      </c>
      <c r="D386" t="s">
        <v>358</v>
      </c>
      <c r="E386" t="s">
        <v>1794</v>
      </c>
      <c r="F386" t="s">
        <v>760</v>
      </c>
      <c r="G386" t="s">
        <v>1124</v>
      </c>
      <c r="H386" t="s">
        <v>761</v>
      </c>
      <c r="I386" t="s">
        <v>262</v>
      </c>
      <c r="J386" t="s">
        <v>762</v>
      </c>
      <c r="K386">
        <v>1</v>
      </c>
      <c r="L386">
        <v>1</v>
      </c>
      <c r="M386" t="s">
        <v>33</v>
      </c>
      <c r="N386">
        <v>1</v>
      </c>
      <c r="O386">
        <v>1</v>
      </c>
      <c r="P386">
        <v>1</v>
      </c>
      <c r="Q386" t="s">
        <v>52</v>
      </c>
      <c r="R386">
        <v>1</v>
      </c>
      <c r="S386">
        <v>1</v>
      </c>
      <c r="T386">
        <v>1</v>
      </c>
      <c r="U386" t="s">
        <v>1794</v>
      </c>
      <c r="V386" t="s">
        <v>1794</v>
      </c>
      <c r="W386" t="s">
        <v>1794</v>
      </c>
      <c r="X386">
        <v>1</v>
      </c>
      <c r="Y386" t="s">
        <v>1794</v>
      </c>
      <c r="Z386">
        <v>0</v>
      </c>
      <c r="AA386" t="s">
        <v>1794</v>
      </c>
      <c r="AB386" t="s">
        <v>1794</v>
      </c>
      <c r="AC386" t="s">
        <v>1794</v>
      </c>
      <c r="AD386" t="s">
        <v>1794</v>
      </c>
      <c r="AE386">
        <v>0</v>
      </c>
      <c r="AF386" t="s">
        <v>1794</v>
      </c>
      <c r="AG386" t="s">
        <v>1794</v>
      </c>
      <c r="AH386" t="s">
        <v>1794</v>
      </c>
    </row>
    <row r="387" spans="1:34" x14ac:dyDescent="0.25">
      <c r="A387" t="s">
        <v>733</v>
      </c>
      <c r="B387" t="s">
        <v>1434</v>
      </c>
      <c r="C387" t="s">
        <v>315</v>
      </c>
      <c r="D387" t="s">
        <v>358</v>
      </c>
      <c r="E387" t="s">
        <v>1794</v>
      </c>
      <c r="F387" t="s">
        <v>760</v>
      </c>
      <c r="G387" t="s">
        <v>1124</v>
      </c>
      <c r="H387" t="s">
        <v>761</v>
      </c>
      <c r="I387" t="s">
        <v>262</v>
      </c>
      <c r="J387" t="s">
        <v>762</v>
      </c>
      <c r="K387">
        <v>1</v>
      </c>
      <c r="L387">
        <v>1</v>
      </c>
      <c r="M387" t="s">
        <v>33</v>
      </c>
      <c r="N387">
        <v>1</v>
      </c>
      <c r="O387">
        <v>1</v>
      </c>
      <c r="P387">
        <v>1</v>
      </c>
      <c r="Q387" t="s">
        <v>52</v>
      </c>
      <c r="R387">
        <v>1</v>
      </c>
      <c r="S387">
        <v>1</v>
      </c>
      <c r="T387">
        <v>1</v>
      </c>
      <c r="U387" t="s">
        <v>1794</v>
      </c>
      <c r="V387" t="s">
        <v>1794</v>
      </c>
      <c r="W387" t="s">
        <v>1794</v>
      </c>
      <c r="X387">
        <v>1</v>
      </c>
      <c r="Y387" t="s">
        <v>1794</v>
      </c>
      <c r="Z387">
        <v>0</v>
      </c>
      <c r="AA387" t="s">
        <v>1794</v>
      </c>
      <c r="AB387" t="s">
        <v>1794</v>
      </c>
      <c r="AC387" t="s">
        <v>1794</v>
      </c>
      <c r="AD387" t="s">
        <v>1794</v>
      </c>
      <c r="AE387">
        <v>0</v>
      </c>
      <c r="AF387" t="s">
        <v>1794</v>
      </c>
      <c r="AG387" t="s">
        <v>1794</v>
      </c>
      <c r="AH387" t="s">
        <v>1794</v>
      </c>
    </row>
    <row r="388" spans="1:34" x14ac:dyDescent="0.25">
      <c r="A388" t="s">
        <v>753</v>
      </c>
      <c r="B388" t="s">
        <v>1460</v>
      </c>
      <c r="C388" t="s">
        <v>315</v>
      </c>
      <c r="D388" t="s">
        <v>358</v>
      </c>
      <c r="E388" t="s">
        <v>1794</v>
      </c>
      <c r="F388" t="s">
        <v>763</v>
      </c>
      <c r="G388" t="s">
        <v>1124</v>
      </c>
      <c r="H388" t="s">
        <v>764</v>
      </c>
      <c r="I388" t="s">
        <v>262</v>
      </c>
      <c r="J388" t="s">
        <v>765</v>
      </c>
      <c r="K388">
        <v>1</v>
      </c>
      <c r="L388">
        <v>1</v>
      </c>
      <c r="M388" t="s">
        <v>33</v>
      </c>
      <c r="N388">
        <v>1</v>
      </c>
      <c r="O388">
        <v>1</v>
      </c>
      <c r="P388">
        <v>1</v>
      </c>
      <c r="Q388" t="s">
        <v>52</v>
      </c>
      <c r="R388">
        <v>1</v>
      </c>
      <c r="S388">
        <v>1</v>
      </c>
      <c r="T388">
        <v>1</v>
      </c>
      <c r="U388" t="s">
        <v>1794</v>
      </c>
      <c r="V388" t="s">
        <v>1794</v>
      </c>
      <c r="W388" t="s">
        <v>1794</v>
      </c>
      <c r="X388">
        <v>1</v>
      </c>
      <c r="Y388" t="s">
        <v>1794</v>
      </c>
      <c r="Z388">
        <v>0</v>
      </c>
      <c r="AA388" t="s">
        <v>1794</v>
      </c>
      <c r="AB388" t="s">
        <v>1794</v>
      </c>
      <c r="AC388" t="s">
        <v>1794</v>
      </c>
      <c r="AD388" t="s">
        <v>1794</v>
      </c>
      <c r="AE388">
        <v>0</v>
      </c>
      <c r="AF388" t="s">
        <v>1794</v>
      </c>
      <c r="AG388" t="s">
        <v>1794</v>
      </c>
      <c r="AH388" t="s">
        <v>1794</v>
      </c>
    </row>
    <row r="389" spans="1:34" x14ac:dyDescent="0.25">
      <c r="A389" t="s">
        <v>733</v>
      </c>
      <c r="B389" t="s">
        <v>1434</v>
      </c>
      <c r="C389" t="s">
        <v>315</v>
      </c>
      <c r="D389" t="s">
        <v>358</v>
      </c>
      <c r="E389" t="s">
        <v>1794</v>
      </c>
      <c r="F389" t="s">
        <v>763</v>
      </c>
      <c r="G389" t="s">
        <v>1124</v>
      </c>
      <c r="H389" t="s">
        <v>764</v>
      </c>
      <c r="I389" t="s">
        <v>262</v>
      </c>
      <c r="J389" t="s">
        <v>765</v>
      </c>
      <c r="K389">
        <v>1</v>
      </c>
      <c r="L389">
        <v>1</v>
      </c>
      <c r="M389" t="s">
        <v>33</v>
      </c>
      <c r="N389">
        <v>1</v>
      </c>
      <c r="O389">
        <v>1</v>
      </c>
      <c r="P389">
        <v>1</v>
      </c>
      <c r="Q389" t="s">
        <v>52</v>
      </c>
      <c r="R389">
        <v>1</v>
      </c>
      <c r="S389">
        <v>1</v>
      </c>
      <c r="T389">
        <v>1</v>
      </c>
      <c r="U389" t="s">
        <v>1794</v>
      </c>
      <c r="V389" t="s">
        <v>1794</v>
      </c>
      <c r="W389" t="s">
        <v>1794</v>
      </c>
      <c r="X389">
        <v>1</v>
      </c>
      <c r="Y389" t="s">
        <v>1794</v>
      </c>
      <c r="Z389">
        <v>0</v>
      </c>
      <c r="AA389" t="s">
        <v>1794</v>
      </c>
      <c r="AB389" t="s">
        <v>1794</v>
      </c>
      <c r="AC389" t="s">
        <v>1794</v>
      </c>
      <c r="AD389" t="s">
        <v>1794</v>
      </c>
      <c r="AE389">
        <v>0</v>
      </c>
      <c r="AF389" t="s">
        <v>1794</v>
      </c>
      <c r="AG389" t="s">
        <v>1794</v>
      </c>
      <c r="AH389" t="s">
        <v>1794</v>
      </c>
    </row>
    <row r="390" spans="1:34" x14ac:dyDescent="0.25">
      <c r="A390" t="s">
        <v>1317</v>
      </c>
      <c r="B390" t="s">
        <v>1318</v>
      </c>
      <c r="C390" t="s">
        <v>364</v>
      </c>
      <c r="D390" t="s">
        <v>358</v>
      </c>
      <c r="E390" t="s">
        <v>1794</v>
      </c>
      <c r="F390" t="s">
        <v>767</v>
      </c>
      <c r="G390" t="s">
        <v>1124</v>
      </c>
      <c r="H390" t="s">
        <v>768</v>
      </c>
      <c r="I390" t="s">
        <v>262</v>
      </c>
      <c r="J390" t="s">
        <v>769</v>
      </c>
      <c r="K390">
        <v>1</v>
      </c>
      <c r="L390">
        <v>1</v>
      </c>
      <c r="M390" t="s">
        <v>33</v>
      </c>
      <c r="N390">
        <v>1</v>
      </c>
      <c r="O390">
        <v>1</v>
      </c>
      <c r="P390">
        <v>1</v>
      </c>
      <c r="Q390" t="s">
        <v>52</v>
      </c>
      <c r="R390">
        <v>1</v>
      </c>
      <c r="S390">
        <v>1</v>
      </c>
      <c r="T390">
        <v>1</v>
      </c>
      <c r="U390" t="s">
        <v>1794</v>
      </c>
      <c r="V390" t="s">
        <v>1794</v>
      </c>
      <c r="W390" t="s">
        <v>1794</v>
      </c>
      <c r="X390">
        <v>1</v>
      </c>
      <c r="Y390" t="s">
        <v>1794</v>
      </c>
      <c r="Z390">
        <v>0</v>
      </c>
      <c r="AA390" t="s">
        <v>1794</v>
      </c>
      <c r="AB390" t="s">
        <v>1794</v>
      </c>
      <c r="AC390" t="s">
        <v>1794</v>
      </c>
      <c r="AD390" t="s">
        <v>1794</v>
      </c>
      <c r="AE390">
        <v>0</v>
      </c>
      <c r="AF390" t="s">
        <v>1794</v>
      </c>
      <c r="AG390" t="s">
        <v>1794</v>
      </c>
      <c r="AH390" t="s">
        <v>1794</v>
      </c>
    </row>
    <row r="391" spans="1:34" x14ac:dyDescent="0.25">
      <c r="A391" t="s">
        <v>1481</v>
      </c>
      <c r="B391" t="s">
        <v>1482</v>
      </c>
      <c r="C391" t="s">
        <v>364</v>
      </c>
      <c r="D391" t="s">
        <v>358</v>
      </c>
      <c r="E391" t="s">
        <v>1794</v>
      </c>
      <c r="F391" t="s">
        <v>767</v>
      </c>
      <c r="G391" t="s">
        <v>1124</v>
      </c>
      <c r="H391" t="s">
        <v>768</v>
      </c>
      <c r="I391" t="s">
        <v>262</v>
      </c>
      <c r="J391" t="s">
        <v>769</v>
      </c>
      <c r="K391">
        <v>1</v>
      </c>
      <c r="L391">
        <v>1</v>
      </c>
      <c r="M391" t="s">
        <v>33</v>
      </c>
      <c r="N391">
        <v>1</v>
      </c>
      <c r="O391">
        <v>1</v>
      </c>
      <c r="P391">
        <v>1</v>
      </c>
      <c r="Q391" t="s">
        <v>52</v>
      </c>
      <c r="R391">
        <v>1</v>
      </c>
      <c r="S391">
        <v>1</v>
      </c>
      <c r="T391">
        <v>1</v>
      </c>
      <c r="U391" t="s">
        <v>1794</v>
      </c>
      <c r="V391" t="s">
        <v>1794</v>
      </c>
      <c r="W391" t="s">
        <v>1794</v>
      </c>
      <c r="X391">
        <v>1</v>
      </c>
      <c r="Y391" t="s">
        <v>1794</v>
      </c>
      <c r="Z391">
        <v>0</v>
      </c>
      <c r="AA391" t="s">
        <v>1794</v>
      </c>
      <c r="AB391" t="s">
        <v>1794</v>
      </c>
      <c r="AC391" t="s">
        <v>1794</v>
      </c>
      <c r="AD391" t="s">
        <v>1794</v>
      </c>
      <c r="AE391">
        <v>0</v>
      </c>
      <c r="AF391" t="s">
        <v>1794</v>
      </c>
      <c r="AG391" t="s">
        <v>1794</v>
      </c>
      <c r="AH391" t="s">
        <v>1794</v>
      </c>
    </row>
    <row r="392" spans="1:34" x14ac:dyDescent="0.25">
      <c r="A392" t="s">
        <v>1498</v>
      </c>
      <c r="B392" t="s">
        <v>1499</v>
      </c>
      <c r="C392" t="s">
        <v>364</v>
      </c>
      <c r="D392" t="s">
        <v>358</v>
      </c>
      <c r="E392" t="s">
        <v>1794</v>
      </c>
      <c r="F392" t="s">
        <v>767</v>
      </c>
      <c r="G392" t="s">
        <v>1124</v>
      </c>
      <c r="H392" t="s">
        <v>768</v>
      </c>
      <c r="I392" t="s">
        <v>262</v>
      </c>
      <c r="J392" t="s">
        <v>769</v>
      </c>
      <c r="K392">
        <v>1</v>
      </c>
      <c r="L392">
        <v>1</v>
      </c>
      <c r="M392" t="s">
        <v>33</v>
      </c>
      <c r="N392">
        <v>1</v>
      </c>
      <c r="O392">
        <v>1</v>
      </c>
      <c r="P392">
        <v>1</v>
      </c>
      <c r="Q392" t="s">
        <v>52</v>
      </c>
      <c r="R392">
        <v>1</v>
      </c>
      <c r="S392">
        <v>1</v>
      </c>
      <c r="T392">
        <v>1</v>
      </c>
      <c r="U392" t="s">
        <v>1794</v>
      </c>
      <c r="V392" t="s">
        <v>1794</v>
      </c>
      <c r="W392" t="s">
        <v>1794</v>
      </c>
      <c r="X392">
        <v>1</v>
      </c>
      <c r="Y392" t="s">
        <v>1794</v>
      </c>
      <c r="Z392">
        <v>0</v>
      </c>
      <c r="AA392" t="s">
        <v>1794</v>
      </c>
      <c r="AB392" t="s">
        <v>1794</v>
      </c>
      <c r="AC392" t="s">
        <v>1794</v>
      </c>
      <c r="AD392" t="s">
        <v>1794</v>
      </c>
      <c r="AE392">
        <v>0</v>
      </c>
      <c r="AF392" t="s">
        <v>1794</v>
      </c>
      <c r="AG392" t="s">
        <v>1794</v>
      </c>
      <c r="AH392" t="s">
        <v>1794</v>
      </c>
    </row>
    <row r="393" spans="1:34" x14ac:dyDescent="0.25">
      <c r="A393" t="s">
        <v>1324</v>
      </c>
      <c r="B393" t="s">
        <v>1325</v>
      </c>
      <c r="C393" t="s">
        <v>364</v>
      </c>
      <c r="D393" t="s">
        <v>358</v>
      </c>
      <c r="E393" t="s">
        <v>1794</v>
      </c>
      <c r="F393" t="s">
        <v>767</v>
      </c>
      <c r="G393" t="s">
        <v>1124</v>
      </c>
      <c r="H393" t="s">
        <v>768</v>
      </c>
      <c r="I393" t="s">
        <v>262</v>
      </c>
      <c r="J393" t="s">
        <v>769</v>
      </c>
      <c r="K393">
        <v>1</v>
      </c>
      <c r="L393">
        <v>1</v>
      </c>
      <c r="M393" t="s">
        <v>33</v>
      </c>
      <c r="N393">
        <v>1</v>
      </c>
      <c r="O393">
        <v>1</v>
      </c>
      <c r="P393">
        <v>1</v>
      </c>
      <c r="Q393" t="s">
        <v>52</v>
      </c>
      <c r="R393">
        <v>1</v>
      </c>
      <c r="S393">
        <v>1</v>
      </c>
      <c r="T393">
        <v>1</v>
      </c>
      <c r="U393" t="s">
        <v>1794</v>
      </c>
      <c r="V393" t="s">
        <v>1794</v>
      </c>
      <c r="W393" t="s">
        <v>1794</v>
      </c>
      <c r="X393">
        <v>1</v>
      </c>
      <c r="Y393" t="s">
        <v>1794</v>
      </c>
      <c r="Z393">
        <v>0</v>
      </c>
      <c r="AA393" t="s">
        <v>1794</v>
      </c>
      <c r="AB393" t="s">
        <v>1794</v>
      </c>
      <c r="AC393" t="s">
        <v>1794</v>
      </c>
      <c r="AD393" t="s">
        <v>1794</v>
      </c>
      <c r="AE393">
        <v>0</v>
      </c>
      <c r="AF393" t="s">
        <v>1794</v>
      </c>
      <c r="AG393" t="s">
        <v>1794</v>
      </c>
      <c r="AH393" t="s">
        <v>1794</v>
      </c>
    </row>
    <row r="394" spans="1:34" x14ac:dyDescent="0.25">
      <c r="A394" t="s">
        <v>1317</v>
      </c>
      <c r="B394" t="s">
        <v>1318</v>
      </c>
      <c r="C394" t="s">
        <v>364</v>
      </c>
      <c r="D394" t="s">
        <v>358</v>
      </c>
      <c r="E394" t="s">
        <v>1794</v>
      </c>
      <c r="F394" t="s">
        <v>770</v>
      </c>
      <c r="G394" t="s">
        <v>1124</v>
      </c>
      <c r="H394" t="s">
        <v>771</v>
      </c>
      <c r="I394" t="s">
        <v>262</v>
      </c>
      <c r="J394" t="s">
        <v>772</v>
      </c>
      <c r="K394">
        <v>1</v>
      </c>
      <c r="L394">
        <v>1</v>
      </c>
      <c r="M394" t="s">
        <v>33</v>
      </c>
      <c r="N394">
        <v>1</v>
      </c>
      <c r="O394">
        <v>1</v>
      </c>
      <c r="P394">
        <v>1</v>
      </c>
      <c r="Q394" t="s">
        <v>52</v>
      </c>
      <c r="R394">
        <v>1</v>
      </c>
      <c r="S394">
        <v>1</v>
      </c>
      <c r="T394">
        <v>1</v>
      </c>
      <c r="U394" t="s">
        <v>1794</v>
      </c>
      <c r="V394" t="s">
        <v>1794</v>
      </c>
      <c r="W394" t="s">
        <v>1794</v>
      </c>
      <c r="X394">
        <v>1</v>
      </c>
      <c r="Y394" t="s">
        <v>1794</v>
      </c>
      <c r="Z394">
        <v>0</v>
      </c>
      <c r="AA394" t="s">
        <v>1794</v>
      </c>
      <c r="AB394" t="s">
        <v>1794</v>
      </c>
      <c r="AC394" t="s">
        <v>1794</v>
      </c>
      <c r="AD394" t="s">
        <v>1794</v>
      </c>
      <c r="AE394">
        <v>0</v>
      </c>
      <c r="AF394" t="s">
        <v>1794</v>
      </c>
      <c r="AG394" t="s">
        <v>1794</v>
      </c>
      <c r="AH394" t="s">
        <v>1794</v>
      </c>
    </row>
    <row r="395" spans="1:34" x14ac:dyDescent="0.25">
      <c r="A395" t="s">
        <v>1481</v>
      </c>
      <c r="B395" t="s">
        <v>1482</v>
      </c>
      <c r="C395" t="s">
        <v>364</v>
      </c>
      <c r="D395" t="s">
        <v>358</v>
      </c>
      <c r="E395" t="s">
        <v>1794</v>
      </c>
      <c r="F395" t="s">
        <v>770</v>
      </c>
      <c r="G395" t="s">
        <v>1124</v>
      </c>
      <c r="H395" t="s">
        <v>771</v>
      </c>
      <c r="I395" t="s">
        <v>262</v>
      </c>
      <c r="J395" t="s">
        <v>772</v>
      </c>
      <c r="K395">
        <v>1</v>
      </c>
      <c r="L395">
        <v>1</v>
      </c>
      <c r="M395" t="s">
        <v>33</v>
      </c>
      <c r="N395">
        <v>1</v>
      </c>
      <c r="O395">
        <v>1</v>
      </c>
      <c r="P395">
        <v>1</v>
      </c>
      <c r="Q395" t="s">
        <v>52</v>
      </c>
      <c r="R395">
        <v>1</v>
      </c>
      <c r="S395">
        <v>1</v>
      </c>
      <c r="T395">
        <v>1</v>
      </c>
      <c r="U395" t="s">
        <v>1794</v>
      </c>
      <c r="V395" t="s">
        <v>1794</v>
      </c>
      <c r="W395" t="s">
        <v>1794</v>
      </c>
      <c r="X395">
        <v>1</v>
      </c>
      <c r="Y395" t="s">
        <v>1794</v>
      </c>
      <c r="Z395">
        <v>0</v>
      </c>
      <c r="AA395" t="s">
        <v>1794</v>
      </c>
      <c r="AB395" t="s">
        <v>1794</v>
      </c>
      <c r="AC395" t="s">
        <v>1794</v>
      </c>
      <c r="AD395" t="s">
        <v>1794</v>
      </c>
      <c r="AE395">
        <v>0</v>
      </c>
      <c r="AF395" t="s">
        <v>1794</v>
      </c>
      <c r="AG395" t="s">
        <v>1794</v>
      </c>
      <c r="AH395" t="s">
        <v>1794</v>
      </c>
    </row>
    <row r="396" spans="1:34" x14ac:dyDescent="0.25">
      <c r="A396" t="s">
        <v>1498</v>
      </c>
      <c r="B396" t="s">
        <v>1499</v>
      </c>
      <c r="C396" t="s">
        <v>364</v>
      </c>
      <c r="D396" t="s">
        <v>358</v>
      </c>
      <c r="E396" t="s">
        <v>1794</v>
      </c>
      <c r="F396" t="s">
        <v>770</v>
      </c>
      <c r="G396" t="s">
        <v>1124</v>
      </c>
      <c r="H396" t="s">
        <v>771</v>
      </c>
      <c r="I396" t="s">
        <v>262</v>
      </c>
      <c r="J396" t="s">
        <v>772</v>
      </c>
      <c r="K396">
        <v>1</v>
      </c>
      <c r="L396">
        <v>1</v>
      </c>
      <c r="M396" t="s">
        <v>33</v>
      </c>
      <c r="N396">
        <v>1</v>
      </c>
      <c r="O396">
        <v>1</v>
      </c>
      <c r="P396">
        <v>1</v>
      </c>
      <c r="Q396" t="s">
        <v>52</v>
      </c>
      <c r="R396">
        <v>1</v>
      </c>
      <c r="S396">
        <v>1</v>
      </c>
      <c r="T396">
        <v>1</v>
      </c>
      <c r="U396" t="s">
        <v>1794</v>
      </c>
      <c r="V396" t="s">
        <v>1794</v>
      </c>
      <c r="W396" t="s">
        <v>1794</v>
      </c>
      <c r="X396">
        <v>1</v>
      </c>
      <c r="Y396" t="s">
        <v>1794</v>
      </c>
      <c r="Z396">
        <v>0</v>
      </c>
      <c r="AA396" t="s">
        <v>1794</v>
      </c>
      <c r="AB396" t="s">
        <v>1794</v>
      </c>
      <c r="AC396" t="s">
        <v>1794</v>
      </c>
      <c r="AD396" t="s">
        <v>1794</v>
      </c>
      <c r="AE396">
        <v>0</v>
      </c>
      <c r="AF396" t="s">
        <v>1794</v>
      </c>
      <c r="AG396" t="s">
        <v>1794</v>
      </c>
      <c r="AH396" t="s">
        <v>1794</v>
      </c>
    </row>
    <row r="397" spans="1:34" x14ac:dyDescent="0.25">
      <c r="A397" t="s">
        <v>1317</v>
      </c>
      <c r="B397" t="s">
        <v>1318</v>
      </c>
      <c r="C397" t="s">
        <v>364</v>
      </c>
      <c r="D397" t="s">
        <v>358</v>
      </c>
      <c r="E397" t="s">
        <v>1794</v>
      </c>
      <c r="F397" t="s">
        <v>773</v>
      </c>
      <c r="G397" t="s">
        <v>1124</v>
      </c>
      <c r="H397" t="s">
        <v>774</v>
      </c>
      <c r="I397" t="s">
        <v>262</v>
      </c>
      <c r="J397" t="s">
        <v>769</v>
      </c>
      <c r="K397">
        <v>1</v>
      </c>
      <c r="L397">
        <v>1</v>
      </c>
      <c r="M397" t="s">
        <v>33</v>
      </c>
      <c r="N397">
        <v>1</v>
      </c>
      <c r="O397">
        <v>1</v>
      </c>
      <c r="P397">
        <v>1</v>
      </c>
      <c r="Q397" t="s">
        <v>52</v>
      </c>
      <c r="R397">
        <v>1</v>
      </c>
      <c r="S397">
        <v>1</v>
      </c>
      <c r="T397">
        <v>1</v>
      </c>
      <c r="U397" t="s">
        <v>1794</v>
      </c>
      <c r="V397" t="s">
        <v>1794</v>
      </c>
      <c r="W397" t="s">
        <v>1794</v>
      </c>
      <c r="X397">
        <v>1</v>
      </c>
      <c r="Y397" t="s">
        <v>1794</v>
      </c>
      <c r="Z397">
        <v>0</v>
      </c>
      <c r="AA397" t="s">
        <v>1794</v>
      </c>
      <c r="AB397" t="s">
        <v>1794</v>
      </c>
      <c r="AC397" t="s">
        <v>1794</v>
      </c>
      <c r="AD397" t="s">
        <v>1794</v>
      </c>
      <c r="AE397">
        <v>0</v>
      </c>
      <c r="AF397" t="s">
        <v>1794</v>
      </c>
      <c r="AG397" t="s">
        <v>1794</v>
      </c>
      <c r="AH397" t="s">
        <v>1794</v>
      </c>
    </row>
    <row r="398" spans="1:34" x14ac:dyDescent="0.25">
      <c r="A398" t="s">
        <v>1481</v>
      </c>
      <c r="B398" t="s">
        <v>1482</v>
      </c>
      <c r="C398" t="s">
        <v>364</v>
      </c>
      <c r="D398" t="s">
        <v>358</v>
      </c>
      <c r="E398" t="s">
        <v>1794</v>
      </c>
      <c r="F398" t="s">
        <v>773</v>
      </c>
      <c r="G398" t="s">
        <v>1124</v>
      </c>
      <c r="H398" t="s">
        <v>774</v>
      </c>
      <c r="I398" t="s">
        <v>262</v>
      </c>
      <c r="J398" t="s">
        <v>769</v>
      </c>
      <c r="K398">
        <v>1</v>
      </c>
      <c r="L398">
        <v>1</v>
      </c>
      <c r="M398" t="s">
        <v>33</v>
      </c>
      <c r="N398">
        <v>1</v>
      </c>
      <c r="O398">
        <v>1</v>
      </c>
      <c r="P398">
        <v>1</v>
      </c>
      <c r="Q398" t="s">
        <v>52</v>
      </c>
      <c r="R398">
        <v>1</v>
      </c>
      <c r="S398">
        <v>1</v>
      </c>
      <c r="T398">
        <v>1</v>
      </c>
      <c r="U398" t="s">
        <v>1794</v>
      </c>
      <c r="V398" t="s">
        <v>1794</v>
      </c>
      <c r="W398" t="s">
        <v>1794</v>
      </c>
      <c r="X398">
        <v>1</v>
      </c>
      <c r="Y398" t="s">
        <v>1794</v>
      </c>
      <c r="Z398">
        <v>0</v>
      </c>
      <c r="AA398" t="s">
        <v>1794</v>
      </c>
      <c r="AB398" t="s">
        <v>1794</v>
      </c>
      <c r="AC398" t="s">
        <v>1794</v>
      </c>
      <c r="AD398" t="s">
        <v>1794</v>
      </c>
      <c r="AE398">
        <v>0</v>
      </c>
      <c r="AF398" t="s">
        <v>1794</v>
      </c>
      <c r="AG398" t="s">
        <v>1794</v>
      </c>
      <c r="AH398" t="s">
        <v>1794</v>
      </c>
    </row>
    <row r="399" spans="1:34" x14ac:dyDescent="0.25">
      <c r="A399" t="s">
        <v>1498</v>
      </c>
      <c r="B399" t="s">
        <v>1499</v>
      </c>
      <c r="C399" t="s">
        <v>364</v>
      </c>
      <c r="D399" t="s">
        <v>358</v>
      </c>
      <c r="E399" t="s">
        <v>1794</v>
      </c>
      <c r="F399" t="s">
        <v>773</v>
      </c>
      <c r="G399" t="s">
        <v>1124</v>
      </c>
      <c r="H399" t="s">
        <v>774</v>
      </c>
      <c r="I399" t="s">
        <v>262</v>
      </c>
      <c r="J399" t="s">
        <v>769</v>
      </c>
      <c r="K399">
        <v>1</v>
      </c>
      <c r="L399">
        <v>1</v>
      </c>
      <c r="M399" t="s">
        <v>33</v>
      </c>
      <c r="N399">
        <v>1</v>
      </c>
      <c r="O399">
        <v>1</v>
      </c>
      <c r="P399">
        <v>1</v>
      </c>
      <c r="Q399" t="s">
        <v>52</v>
      </c>
      <c r="R399">
        <v>1</v>
      </c>
      <c r="S399">
        <v>1</v>
      </c>
      <c r="T399">
        <v>1</v>
      </c>
      <c r="U399" t="s">
        <v>1794</v>
      </c>
      <c r="V399" t="s">
        <v>1794</v>
      </c>
      <c r="W399" t="s">
        <v>1794</v>
      </c>
      <c r="X399">
        <v>1</v>
      </c>
      <c r="Y399" t="s">
        <v>1794</v>
      </c>
      <c r="Z399">
        <v>0</v>
      </c>
      <c r="AA399" t="s">
        <v>1794</v>
      </c>
      <c r="AB399" t="s">
        <v>1794</v>
      </c>
      <c r="AC399" t="s">
        <v>1794</v>
      </c>
      <c r="AD399" t="s">
        <v>1794</v>
      </c>
      <c r="AE399">
        <v>0</v>
      </c>
      <c r="AF399" t="s">
        <v>1794</v>
      </c>
      <c r="AG399" t="s">
        <v>1794</v>
      </c>
      <c r="AH399" t="s">
        <v>1794</v>
      </c>
    </row>
    <row r="400" spans="1:34" x14ac:dyDescent="0.25">
      <c r="A400" t="s">
        <v>1317</v>
      </c>
      <c r="B400" t="s">
        <v>1318</v>
      </c>
      <c r="C400" t="s">
        <v>364</v>
      </c>
      <c r="D400" t="s">
        <v>358</v>
      </c>
      <c r="E400" t="s">
        <v>1794</v>
      </c>
      <c r="F400" t="s">
        <v>775</v>
      </c>
      <c r="G400" t="s">
        <v>1124</v>
      </c>
      <c r="H400" t="s">
        <v>776</v>
      </c>
      <c r="I400" t="s">
        <v>262</v>
      </c>
      <c r="J400" t="s">
        <v>777</v>
      </c>
      <c r="K400">
        <v>1</v>
      </c>
      <c r="L400">
        <v>1</v>
      </c>
      <c r="M400" t="s">
        <v>33</v>
      </c>
      <c r="N400">
        <v>1</v>
      </c>
      <c r="O400">
        <v>1</v>
      </c>
      <c r="P400">
        <v>1</v>
      </c>
      <c r="Q400" t="s">
        <v>52</v>
      </c>
      <c r="R400">
        <v>1</v>
      </c>
      <c r="S400">
        <v>1</v>
      </c>
      <c r="T400">
        <v>1</v>
      </c>
      <c r="U400" t="s">
        <v>1794</v>
      </c>
      <c r="V400" t="s">
        <v>1794</v>
      </c>
      <c r="W400" t="s">
        <v>1794</v>
      </c>
      <c r="X400">
        <v>1</v>
      </c>
      <c r="Y400" t="s">
        <v>1794</v>
      </c>
      <c r="Z400">
        <v>0</v>
      </c>
      <c r="AA400" t="s">
        <v>1794</v>
      </c>
      <c r="AB400" t="s">
        <v>1794</v>
      </c>
      <c r="AC400" t="s">
        <v>1794</v>
      </c>
      <c r="AD400" t="s">
        <v>1794</v>
      </c>
      <c r="AE400">
        <v>0</v>
      </c>
      <c r="AF400" t="s">
        <v>1794</v>
      </c>
      <c r="AG400" t="s">
        <v>1794</v>
      </c>
      <c r="AH400" t="s">
        <v>1794</v>
      </c>
    </row>
    <row r="401" spans="1:34" x14ac:dyDescent="0.25">
      <c r="A401" t="s">
        <v>1481</v>
      </c>
      <c r="B401" t="s">
        <v>1482</v>
      </c>
      <c r="C401" t="s">
        <v>364</v>
      </c>
      <c r="D401" t="s">
        <v>358</v>
      </c>
      <c r="E401" t="s">
        <v>1794</v>
      </c>
      <c r="F401" t="s">
        <v>775</v>
      </c>
      <c r="G401" t="s">
        <v>1124</v>
      </c>
      <c r="H401" t="s">
        <v>776</v>
      </c>
      <c r="I401" t="s">
        <v>262</v>
      </c>
      <c r="J401" t="s">
        <v>777</v>
      </c>
      <c r="K401">
        <v>1</v>
      </c>
      <c r="L401">
        <v>1</v>
      </c>
      <c r="M401" t="s">
        <v>33</v>
      </c>
      <c r="N401">
        <v>1</v>
      </c>
      <c r="O401">
        <v>1</v>
      </c>
      <c r="P401">
        <v>1</v>
      </c>
      <c r="Q401" t="s">
        <v>52</v>
      </c>
      <c r="R401">
        <v>1</v>
      </c>
      <c r="S401">
        <v>1</v>
      </c>
      <c r="T401">
        <v>1</v>
      </c>
      <c r="U401" t="s">
        <v>1794</v>
      </c>
      <c r="V401" t="s">
        <v>1794</v>
      </c>
      <c r="W401" t="s">
        <v>1794</v>
      </c>
      <c r="X401">
        <v>1</v>
      </c>
      <c r="Y401" t="s">
        <v>1794</v>
      </c>
      <c r="Z401">
        <v>0</v>
      </c>
      <c r="AA401" t="s">
        <v>1794</v>
      </c>
      <c r="AB401" t="s">
        <v>1794</v>
      </c>
      <c r="AC401" t="s">
        <v>1794</v>
      </c>
      <c r="AD401" t="s">
        <v>1794</v>
      </c>
      <c r="AE401">
        <v>0</v>
      </c>
      <c r="AF401" t="s">
        <v>1794</v>
      </c>
      <c r="AG401" t="s">
        <v>1794</v>
      </c>
      <c r="AH401" t="s">
        <v>1794</v>
      </c>
    </row>
    <row r="402" spans="1:34" x14ac:dyDescent="0.25">
      <c r="A402" t="s">
        <v>1498</v>
      </c>
      <c r="B402" t="s">
        <v>1499</v>
      </c>
      <c r="C402" t="s">
        <v>364</v>
      </c>
      <c r="D402" t="s">
        <v>358</v>
      </c>
      <c r="E402" t="s">
        <v>1794</v>
      </c>
      <c r="F402" t="s">
        <v>775</v>
      </c>
      <c r="G402" t="s">
        <v>1124</v>
      </c>
      <c r="H402" t="s">
        <v>776</v>
      </c>
      <c r="I402" t="s">
        <v>262</v>
      </c>
      <c r="J402" t="s">
        <v>777</v>
      </c>
      <c r="K402">
        <v>1</v>
      </c>
      <c r="L402">
        <v>1</v>
      </c>
      <c r="M402" t="s">
        <v>33</v>
      </c>
      <c r="N402">
        <v>1</v>
      </c>
      <c r="O402">
        <v>1</v>
      </c>
      <c r="P402">
        <v>1</v>
      </c>
      <c r="Q402" t="s">
        <v>52</v>
      </c>
      <c r="R402">
        <v>1</v>
      </c>
      <c r="S402">
        <v>1</v>
      </c>
      <c r="T402">
        <v>1</v>
      </c>
      <c r="U402" t="s">
        <v>1794</v>
      </c>
      <c r="V402" t="s">
        <v>1794</v>
      </c>
      <c r="W402" t="s">
        <v>1794</v>
      </c>
      <c r="X402">
        <v>1</v>
      </c>
      <c r="Y402" t="s">
        <v>1794</v>
      </c>
      <c r="Z402">
        <v>0</v>
      </c>
      <c r="AA402" t="s">
        <v>1794</v>
      </c>
      <c r="AB402" t="s">
        <v>1794</v>
      </c>
      <c r="AC402" t="s">
        <v>1794</v>
      </c>
      <c r="AD402" t="s">
        <v>1794</v>
      </c>
      <c r="AE402">
        <v>0</v>
      </c>
      <c r="AF402" t="s">
        <v>1794</v>
      </c>
      <c r="AG402" t="s">
        <v>1794</v>
      </c>
      <c r="AH402" t="s">
        <v>1794</v>
      </c>
    </row>
    <row r="403" spans="1:34" x14ac:dyDescent="0.25">
      <c r="A403" t="s">
        <v>1317</v>
      </c>
      <c r="B403" t="s">
        <v>1318</v>
      </c>
      <c r="C403" t="s">
        <v>364</v>
      </c>
      <c r="D403" t="s">
        <v>358</v>
      </c>
      <c r="E403" t="s">
        <v>1794</v>
      </c>
      <c r="F403" t="s">
        <v>778</v>
      </c>
      <c r="G403" t="s">
        <v>1124</v>
      </c>
      <c r="H403" t="s">
        <v>779</v>
      </c>
      <c r="I403" t="s">
        <v>262</v>
      </c>
      <c r="J403" t="s">
        <v>769</v>
      </c>
      <c r="K403">
        <v>1</v>
      </c>
      <c r="L403">
        <v>1</v>
      </c>
      <c r="M403" t="s">
        <v>33</v>
      </c>
      <c r="N403">
        <v>1</v>
      </c>
      <c r="O403">
        <v>1</v>
      </c>
      <c r="P403">
        <v>1</v>
      </c>
      <c r="Q403" t="s">
        <v>52</v>
      </c>
      <c r="R403">
        <v>1</v>
      </c>
      <c r="S403">
        <v>1</v>
      </c>
      <c r="T403">
        <v>1</v>
      </c>
      <c r="U403" t="s">
        <v>1794</v>
      </c>
      <c r="V403" t="s">
        <v>1794</v>
      </c>
      <c r="W403" t="s">
        <v>1794</v>
      </c>
      <c r="X403">
        <v>1</v>
      </c>
      <c r="Y403" t="s">
        <v>1794</v>
      </c>
      <c r="Z403">
        <v>0</v>
      </c>
      <c r="AA403" t="s">
        <v>1794</v>
      </c>
      <c r="AB403" t="s">
        <v>1794</v>
      </c>
      <c r="AC403" t="s">
        <v>1794</v>
      </c>
      <c r="AD403" t="s">
        <v>1794</v>
      </c>
      <c r="AE403">
        <v>0</v>
      </c>
      <c r="AF403" t="s">
        <v>1794</v>
      </c>
      <c r="AG403" t="s">
        <v>1794</v>
      </c>
      <c r="AH403" t="s">
        <v>1794</v>
      </c>
    </row>
    <row r="404" spans="1:34" x14ac:dyDescent="0.25">
      <c r="A404" t="s">
        <v>1481</v>
      </c>
      <c r="B404" t="s">
        <v>1482</v>
      </c>
      <c r="C404" t="s">
        <v>364</v>
      </c>
      <c r="D404" t="s">
        <v>358</v>
      </c>
      <c r="E404" t="s">
        <v>1794</v>
      </c>
      <c r="F404" t="s">
        <v>778</v>
      </c>
      <c r="G404" t="s">
        <v>1124</v>
      </c>
      <c r="H404" t="s">
        <v>779</v>
      </c>
      <c r="I404" t="s">
        <v>262</v>
      </c>
      <c r="J404" t="s">
        <v>769</v>
      </c>
      <c r="K404">
        <v>1</v>
      </c>
      <c r="L404">
        <v>1</v>
      </c>
      <c r="M404" t="s">
        <v>33</v>
      </c>
      <c r="N404">
        <v>1</v>
      </c>
      <c r="O404">
        <v>1</v>
      </c>
      <c r="P404">
        <v>1</v>
      </c>
      <c r="Q404" t="s">
        <v>52</v>
      </c>
      <c r="R404">
        <v>1</v>
      </c>
      <c r="S404">
        <v>1</v>
      </c>
      <c r="T404">
        <v>1</v>
      </c>
      <c r="U404" t="s">
        <v>1794</v>
      </c>
      <c r="V404" t="s">
        <v>1794</v>
      </c>
      <c r="W404" t="s">
        <v>1794</v>
      </c>
      <c r="X404">
        <v>1</v>
      </c>
      <c r="Y404" t="s">
        <v>1794</v>
      </c>
      <c r="Z404">
        <v>0</v>
      </c>
      <c r="AA404" t="s">
        <v>1794</v>
      </c>
      <c r="AB404" t="s">
        <v>1794</v>
      </c>
      <c r="AC404" t="s">
        <v>1794</v>
      </c>
      <c r="AD404" t="s">
        <v>1794</v>
      </c>
      <c r="AE404">
        <v>0</v>
      </c>
      <c r="AF404" t="s">
        <v>1794</v>
      </c>
      <c r="AG404" t="s">
        <v>1794</v>
      </c>
      <c r="AH404" t="s">
        <v>1794</v>
      </c>
    </row>
    <row r="405" spans="1:34" x14ac:dyDescent="0.25">
      <c r="A405" t="s">
        <v>1498</v>
      </c>
      <c r="B405" t="s">
        <v>1499</v>
      </c>
      <c r="C405" t="s">
        <v>364</v>
      </c>
      <c r="D405" t="s">
        <v>358</v>
      </c>
      <c r="E405" t="s">
        <v>1794</v>
      </c>
      <c r="F405" t="s">
        <v>778</v>
      </c>
      <c r="G405" t="s">
        <v>1124</v>
      </c>
      <c r="H405" t="s">
        <v>779</v>
      </c>
      <c r="I405" t="s">
        <v>262</v>
      </c>
      <c r="J405" t="s">
        <v>769</v>
      </c>
      <c r="K405">
        <v>1</v>
      </c>
      <c r="L405">
        <v>1</v>
      </c>
      <c r="M405" t="s">
        <v>33</v>
      </c>
      <c r="N405">
        <v>1</v>
      </c>
      <c r="O405">
        <v>1</v>
      </c>
      <c r="P405">
        <v>1</v>
      </c>
      <c r="Q405" t="s">
        <v>52</v>
      </c>
      <c r="R405">
        <v>1</v>
      </c>
      <c r="S405">
        <v>1</v>
      </c>
      <c r="T405">
        <v>1</v>
      </c>
      <c r="U405" t="s">
        <v>1794</v>
      </c>
      <c r="V405" t="s">
        <v>1794</v>
      </c>
      <c r="W405" t="s">
        <v>1794</v>
      </c>
      <c r="X405">
        <v>1</v>
      </c>
      <c r="Y405" t="s">
        <v>1794</v>
      </c>
      <c r="Z405">
        <v>0</v>
      </c>
      <c r="AA405" t="s">
        <v>1794</v>
      </c>
      <c r="AB405" t="s">
        <v>1794</v>
      </c>
      <c r="AC405" t="s">
        <v>1794</v>
      </c>
      <c r="AD405" t="s">
        <v>1794</v>
      </c>
      <c r="AE405">
        <v>0</v>
      </c>
      <c r="AF405" t="s">
        <v>1794</v>
      </c>
      <c r="AG405" t="s">
        <v>1794</v>
      </c>
      <c r="AH405" t="s">
        <v>1794</v>
      </c>
    </row>
    <row r="406" spans="1:34" x14ac:dyDescent="0.25">
      <c r="A406" t="s">
        <v>1317</v>
      </c>
      <c r="B406" t="s">
        <v>1318</v>
      </c>
      <c r="C406" t="s">
        <v>364</v>
      </c>
      <c r="D406" t="s">
        <v>358</v>
      </c>
      <c r="E406" t="s">
        <v>1794</v>
      </c>
      <c r="F406" t="s">
        <v>780</v>
      </c>
      <c r="G406" t="s">
        <v>1124</v>
      </c>
      <c r="H406" t="s">
        <v>781</v>
      </c>
      <c r="I406" t="s">
        <v>262</v>
      </c>
      <c r="J406" t="s">
        <v>782</v>
      </c>
      <c r="K406">
        <v>1</v>
      </c>
      <c r="L406">
        <v>1</v>
      </c>
      <c r="M406" t="s">
        <v>33</v>
      </c>
      <c r="N406">
        <v>1</v>
      </c>
      <c r="O406">
        <v>1</v>
      </c>
      <c r="P406">
        <v>1</v>
      </c>
      <c r="Q406" t="s">
        <v>52</v>
      </c>
      <c r="R406">
        <v>1</v>
      </c>
      <c r="S406">
        <v>1</v>
      </c>
      <c r="T406">
        <v>1</v>
      </c>
      <c r="U406" t="s">
        <v>1794</v>
      </c>
      <c r="V406" t="s">
        <v>1794</v>
      </c>
      <c r="W406" t="s">
        <v>1794</v>
      </c>
      <c r="X406">
        <v>1</v>
      </c>
      <c r="Y406" t="s">
        <v>1794</v>
      </c>
      <c r="Z406">
        <v>0</v>
      </c>
      <c r="AA406" t="s">
        <v>1794</v>
      </c>
      <c r="AB406" t="s">
        <v>1794</v>
      </c>
      <c r="AC406" t="s">
        <v>1794</v>
      </c>
      <c r="AD406" t="s">
        <v>1794</v>
      </c>
      <c r="AE406">
        <v>0</v>
      </c>
      <c r="AF406" t="s">
        <v>1794</v>
      </c>
      <c r="AG406" t="s">
        <v>1794</v>
      </c>
      <c r="AH406" t="s">
        <v>1794</v>
      </c>
    </row>
    <row r="407" spans="1:34" x14ac:dyDescent="0.25">
      <c r="A407" t="s">
        <v>1498</v>
      </c>
      <c r="B407" t="s">
        <v>1499</v>
      </c>
      <c r="C407" t="s">
        <v>364</v>
      </c>
      <c r="D407" t="s">
        <v>358</v>
      </c>
      <c r="E407" t="s">
        <v>1794</v>
      </c>
      <c r="F407" t="s">
        <v>780</v>
      </c>
      <c r="G407" t="s">
        <v>1124</v>
      </c>
      <c r="H407" t="s">
        <v>781</v>
      </c>
      <c r="I407" t="s">
        <v>262</v>
      </c>
      <c r="J407" t="s">
        <v>782</v>
      </c>
      <c r="K407">
        <v>1</v>
      </c>
      <c r="L407">
        <v>1</v>
      </c>
      <c r="M407" t="s">
        <v>33</v>
      </c>
      <c r="N407">
        <v>1</v>
      </c>
      <c r="O407">
        <v>1</v>
      </c>
      <c r="P407">
        <v>1</v>
      </c>
      <c r="Q407" t="s">
        <v>52</v>
      </c>
      <c r="R407">
        <v>1</v>
      </c>
      <c r="S407">
        <v>1</v>
      </c>
      <c r="T407">
        <v>1</v>
      </c>
      <c r="U407" t="s">
        <v>1794</v>
      </c>
      <c r="V407" t="s">
        <v>1794</v>
      </c>
      <c r="W407" t="s">
        <v>1794</v>
      </c>
      <c r="X407">
        <v>1</v>
      </c>
      <c r="Y407" t="s">
        <v>1794</v>
      </c>
      <c r="Z407">
        <v>0</v>
      </c>
      <c r="AA407" t="s">
        <v>1794</v>
      </c>
      <c r="AB407" t="s">
        <v>1794</v>
      </c>
      <c r="AC407" t="s">
        <v>1794</v>
      </c>
      <c r="AD407" t="s">
        <v>1794</v>
      </c>
      <c r="AE407">
        <v>0</v>
      </c>
      <c r="AF407" t="s">
        <v>1794</v>
      </c>
      <c r="AG407" t="s">
        <v>1794</v>
      </c>
      <c r="AH407" t="s">
        <v>1794</v>
      </c>
    </row>
    <row r="408" spans="1:34" x14ac:dyDescent="0.25">
      <c r="A408" t="s">
        <v>783</v>
      </c>
      <c r="B408" t="s">
        <v>1416</v>
      </c>
      <c r="C408" t="s">
        <v>460</v>
      </c>
      <c r="D408" t="s">
        <v>358</v>
      </c>
      <c r="E408" t="s">
        <v>1794</v>
      </c>
      <c r="F408" t="s">
        <v>784</v>
      </c>
      <c r="G408" t="s">
        <v>1124</v>
      </c>
      <c r="H408" t="s">
        <v>785</v>
      </c>
      <c r="I408" t="s">
        <v>262</v>
      </c>
      <c r="J408" t="s">
        <v>279</v>
      </c>
      <c r="K408">
        <v>1</v>
      </c>
      <c r="L408">
        <v>8</v>
      </c>
      <c r="M408" t="s">
        <v>33</v>
      </c>
      <c r="N408">
        <v>1</v>
      </c>
      <c r="O408">
        <v>0</v>
      </c>
      <c r="P408">
        <v>0</v>
      </c>
      <c r="Q408" t="s">
        <v>52</v>
      </c>
      <c r="R408">
        <v>8</v>
      </c>
      <c r="S408">
        <v>8</v>
      </c>
      <c r="T408" t="s">
        <v>1794</v>
      </c>
      <c r="U408">
        <v>8</v>
      </c>
      <c r="V408" t="s">
        <v>1794</v>
      </c>
      <c r="W408" t="s">
        <v>1794</v>
      </c>
      <c r="X408">
        <v>1</v>
      </c>
      <c r="Y408" t="s">
        <v>1794</v>
      </c>
      <c r="Z408">
        <v>0</v>
      </c>
      <c r="AA408" t="s">
        <v>1794</v>
      </c>
      <c r="AB408" t="s">
        <v>1794</v>
      </c>
      <c r="AC408" t="s">
        <v>1794</v>
      </c>
      <c r="AD408" t="s">
        <v>1794</v>
      </c>
      <c r="AE408">
        <v>0</v>
      </c>
      <c r="AF408" t="s">
        <v>1794</v>
      </c>
      <c r="AG408" t="s">
        <v>1794</v>
      </c>
      <c r="AH408" t="s">
        <v>1794</v>
      </c>
    </row>
    <row r="409" spans="1:34" x14ac:dyDescent="0.25">
      <c r="A409" t="s">
        <v>786</v>
      </c>
      <c r="B409" t="s">
        <v>1417</v>
      </c>
      <c r="C409" t="s">
        <v>306</v>
      </c>
      <c r="D409" t="s">
        <v>358</v>
      </c>
      <c r="E409" t="s">
        <v>1794</v>
      </c>
      <c r="F409" t="s">
        <v>787</v>
      </c>
      <c r="G409" t="s">
        <v>1124</v>
      </c>
      <c r="H409" t="s">
        <v>788</v>
      </c>
      <c r="I409" t="s">
        <v>262</v>
      </c>
      <c r="J409" t="s">
        <v>789</v>
      </c>
      <c r="K409">
        <v>1</v>
      </c>
      <c r="L409">
        <v>1</v>
      </c>
      <c r="M409" t="s">
        <v>33</v>
      </c>
      <c r="N409">
        <v>1</v>
      </c>
      <c r="O409">
        <v>1</v>
      </c>
      <c r="P409">
        <v>1</v>
      </c>
      <c r="Q409" t="s">
        <v>52</v>
      </c>
      <c r="R409">
        <v>1</v>
      </c>
      <c r="S409">
        <v>1</v>
      </c>
      <c r="T409">
        <v>1</v>
      </c>
      <c r="U409" t="s">
        <v>1794</v>
      </c>
      <c r="V409" t="s">
        <v>1794</v>
      </c>
      <c r="W409" t="s">
        <v>1794</v>
      </c>
      <c r="X409">
        <v>1</v>
      </c>
      <c r="Y409" t="s">
        <v>1794</v>
      </c>
      <c r="Z409">
        <v>0</v>
      </c>
      <c r="AA409" t="s">
        <v>1794</v>
      </c>
      <c r="AB409" t="s">
        <v>1794</v>
      </c>
      <c r="AC409" t="s">
        <v>1794</v>
      </c>
      <c r="AD409" t="s">
        <v>1794</v>
      </c>
      <c r="AE409">
        <v>0</v>
      </c>
      <c r="AF409" t="s">
        <v>1794</v>
      </c>
      <c r="AG409" t="s">
        <v>1794</v>
      </c>
      <c r="AH409" t="s">
        <v>1794</v>
      </c>
    </row>
    <row r="410" spans="1:34" x14ac:dyDescent="0.25">
      <c r="A410" t="s">
        <v>786</v>
      </c>
      <c r="B410" t="s">
        <v>1417</v>
      </c>
      <c r="C410" t="s">
        <v>306</v>
      </c>
      <c r="D410" t="s">
        <v>358</v>
      </c>
      <c r="E410" t="s">
        <v>1794</v>
      </c>
      <c r="F410" t="s">
        <v>790</v>
      </c>
      <c r="G410" t="s">
        <v>1124</v>
      </c>
      <c r="H410" t="s">
        <v>791</v>
      </c>
      <c r="I410" t="s">
        <v>262</v>
      </c>
      <c r="J410" t="s">
        <v>789</v>
      </c>
      <c r="K410">
        <v>1</v>
      </c>
      <c r="L410">
        <v>1</v>
      </c>
      <c r="M410" t="s">
        <v>33</v>
      </c>
      <c r="N410">
        <v>1</v>
      </c>
      <c r="O410">
        <v>1</v>
      </c>
      <c r="P410">
        <v>1</v>
      </c>
      <c r="Q410" t="s">
        <v>52</v>
      </c>
      <c r="R410">
        <v>1</v>
      </c>
      <c r="S410">
        <v>1</v>
      </c>
      <c r="T410">
        <v>1</v>
      </c>
      <c r="U410" t="s">
        <v>1794</v>
      </c>
      <c r="V410" t="s">
        <v>1794</v>
      </c>
      <c r="W410" t="s">
        <v>1794</v>
      </c>
      <c r="X410">
        <v>1</v>
      </c>
      <c r="Y410" t="s">
        <v>1794</v>
      </c>
      <c r="Z410">
        <v>0</v>
      </c>
      <c r="AA410" t="s">
        <v>1794</v>
      </c>
      <c r="AB410" t="s">
        <v>1794</v>
      </c>
      <c r="AC410" t="s">
        <v>1794</v>
      </c>
      <c r="AD410" t="s">
        <v>1794</v>
      </c>
      <c r="AE410">
        <v>0</v>
      </c>
      <c r="AF410" t="s">
        <v>1794</v>
      </c>
      <c r="AG410" t="s">
        <v>1794</v>
      </c>
      <c r="AH410" t="s">
        <v>1794</v>
      </c>
    </row>
    <row r="411" spans="1:34" x14ac:dyDescent="0.25">
      <c r="A411" t="s">
        <v>786</v>
      </c>
      <c r="B411" t="s">
        <v>1417</v>
      </c>
      <c r="C411" t="s">
        <v>306</v>
      </c>
      <c r="D411" t="s">
        <v>358</v>
      </c>
      <c r="E411" t="s">
        <v>1794</v>
      </c>
      <c r="F411" t="s">
        <v>792</v>
      </c>
      <c r="G411" t="s">
        <v>1124</v>
      </c>
      <c r="H411" t="s">
        <v>793</v>
      </c>
      <c r="I411" t="s">
        <v>262</v>
      </c>
      <c r="J411" t="s">
        <v>794</v>
      </c>
      <c r="K411">
        <v>1</v>
      </c>
      <c r="L411">
        <v>1</v>
      </c>
      <c r="M411" t="s">
        <v>33</v>
      </c>
      <c r="N411">
        <v>1</v>
      </c>
      <c r="O411">
        <v>1</v>
      </c>
      <c r="P411">
        <v>1</v>
      </c>
      <c r="Q411" t="s">
        <v>52</v>
      </c>
      <c r="R411">
        <v>1</v>
      </c>
      <c r="S411">
        <v>1</v>
      </c>
      <c r="T411">
        <v>1</v>
      </c>
      <c r="U411" t="s">
        <v>1794</v>
      </c>
      <c r="V411" t="s">
        <v>1794</v>
      </c>
      <c r="W411" t="s">
        <v>1794</v>
      </c>
      <c r="X411">
        <v>1</v>
      </c>
      <c r="Y411" t="s">
        <v>1794</v>
      </c>
      <c r="Z411">
        <v>0</v>
      </c>
      <c r="AA411" t="s">
        <v>1794</v>
      </c>
      <c r="AB411" t="s">
        <v>1794</v>
      </c>
      <c r="AC411" t="s">
        <v>1794</v>
      </c>
      <c r="AD411" t="s">
        <v>1794</v>
      </c>
      <c r="AE411">
        <v>0</v>
      </c>
      <c r="AF411" t="s">
        <v>1794</v>
      </c>
      <c r="AG411" t="s">
        <v>1794</v>
      </c>
      <c r="AH411" t="s">
        <v>1794</v>
      </c>
    </row>
    <row r="412" spans="1:34" x14ac:dyDescent="0.25">
      <c r="A412" t="s">
        <v>795</v>
      </c>
      <c r="B412" t="s">
        <v>796</v>
      </c>
      <c r="C412" t="s">
        <v>315</v>
      </c>
      <c r="D412" t="s">
        <v>358</v>
      </c>
      <c r="E412" t="s">
        <v>1794</v>
      </c>
      <c r="F412" t="s">
        <v>797</v>
      </c>
      <c r="G412" t="s">
        <v>1124</v>
      </c>
      <c r="H412" t="s">
        <v>798</v>
      </c>
      <c r="I412" t="s">
        <v>262</v>
      </c>
      <c r="J412" t="s">
        <v>377</v>
      </c>
      <c r="K412">
        <v>1</v>
      </c>
      <c r="L412">
        <v>1</v>
      </c>
      <c r="M412" t="s">
        <v>33</v>
      </c>
      <c r="N412">
        <v>1</v>
      </c>
      <c r="O412">
        <v>1</v>
      </c>
      <c r="P412">
        <v>1</v>
      </c>
      <c r="Q412" t="s">
        <v>52</v>
      </c>
      <c r="R412">
        <v>1</v>
      </c>
      <c r="S412">
        <v>1</v>
      </c>
      <c r="T412">
        <v>1</v>
      </c>
      <c r="U412" t="s">
        <v>1794</v>
      </c>
      <c r="V412" t="s">
        <v>1794</v>
      </c>
      <c r="W412" t="s">
        <v>1794</v>
      </c>
      <c r="X412">
        <v>1</v>
      </c>
      <c r="Y412" t="s">
        <v>1794</v>
      </c>
      <c r="Z412">
        <v>0</v>
      </c>
      <c r="AA412" t="s">
        <v>1794</v>
      </c>
      <c r="AB412" t="s">
        <v>1794</v>
      </c>
      <c r="AC412" t="s">
        <v>1794</v>
      </c>
      <c r="AD412" t="s">
        <v>1794</v>
      </c>
      <c r="AE412">
        <v>0</v>
      </c>
      <c r="AF412" t="s">
        <v>1794</v>
      </c>
      <c r="AG412" t="s">
        <v>1794</v>
      </c>
      <c r="AH412" t="s">
        <v>1794</v>
      </c>
    </row>
    <row r="413" spans="1:34" x14ac:dyDescent="0.25">
      <c r="A413" t="s">
        <v>801</v>
      </c>
      <c r="B413" t="s">
        <v>1437</v>
      </c>
      <c r="C413" t="s">
        <v>306</v>
      </c>
      <c r="D413" t="s">
        <v>358</v>
      </c>
      <c r="E413" t="s">
        <v>1794</v>
      </c>
      <c r="F413" t="s">
        <v>799</v>
      </c>
      <c r="G413" t="s">
        <v>1124</v>
      </c>
      <c r="H413" t="s">
        <v>800</v>
      </c>
      <c r="I413" t="s">
        <v>262</v>
      </c>
      <c r="J413" t="s">
        <v>279</v>
      </c>
      <c r="K413">
        <v>1</v>
      </c>
      <c r="L413">
        <v>1</v>
      </c>
      <c r="M413" t="s">
        <v>33</v>
      </c>
      <c r="N413">
        <v>1</v>
      </c>
      <c r="O413">
        <v>1</v>
      </c>
      <c r="P413">
        <v>1</v>
      </c>
      <c r="Q413" t="s">
        <v>52</v>
      </c>
      <c r="R413">
        <v>1</v>
      </c>
      <c r="S413">
        <v>1</v>
      </c>
      <c r="T413">
        <v>1</v>
      </c>
      <c r="U413" t="s">
        <v>1794</v>
      </c>
      <c r="V413" t="s">
        <v>1794</v>
      </c>
      <c r="W413" t="s">
        <v>1794</v>
      </c>
      <c r="X413">
        <v>1</v>
      </c>
      <c r="Y413" t="s">
        <v>1794</v>
      </c>
      <c r="Z413">
        <v>0</v>
      </c>
      <c r="AA413" t="s">
        <v>1794</v>
      </c>
      <c r="AB413" t="s">
        <v>1794</v>
      </c>
      <c r="AC413" t="s">
        <v>1794</v>
      </c>
      <c r="AD413" t="s">
        <v>1794</v>
      </c>
      <c r="AE413">
        <v>0</v>
      </c>
      <c r="AF413" t="s">
        <v>1794</v>
      </c>
      <c r="AG413" t="s">
        <v>1794</v>
      </c>
      <c r="AH413" t="s">
        <v>1794</v>
      </c>
    </row>
    <row r="414" spans="1:34" x14ac:dyDescent="0.25">
      <c r="A414" t="s">
        <v>1438</v>
      </c>
      <c r="B414" t="s">
        <v>1439</v>
      </c>
      <c r="C414" t="s">
        <v>306</v>
      </c>
      <c r="D414" t="s">
        <v>358</v>
      </c>
      <c r="E414" t="s">
        <v>1794</v>
      </c>
      <c r="F414" t="s">
        <v>799</v>
      </c>
      <c r="G414" t="s">
        <v>1124</v>
      </c>
      <c r="H414" t="s">
        <v>800</v>
      </c>
      <c r="I414" t="s">
        <v>262</v>
      </c>
      <c r="J414" t="s">
        <v>279</v>
      </c>
      <c r="K414">
        <v>1</v>
      </c>
      <c r="L414">
        <v>1</v>
      </c>
      <c r="M414" t="s">
        <v>33</v>
      </c>
      <c r="N414">
        <v>1</v>
      </c>
      <c r="O414">
        <v>1</v>
      </c>
      <c r="P414">
        <v>1</v>
      </c>
      <c r="Q414" t="s">
        <v>52</v>
      </c>
      <c r="R414">
        <v>1</v>
      </c>
      <c r="S414">
        <v>1</v>
      </c>
      <c r="T414">
        <v>1</v>
      </c>
      <c r="U414" t="s">
        <v>1794</v>
      </c>
      <c r="V414" t="s">
        <v>1794</v>
      </c>
      <c r="W414" t="s">
        <v>1794</v>
      </c>
      <c r="X414">
        <v>1</v>
      </c>
      <c r="Y414" t="s">
        <v>1794</v>
      </c>
      <c r="Z414">
        <v>0</v>
      </c>
      <c r="AA414" t="s">
        <v>1794</v>
      </c>
      <c r="AB414" t="s">
        <v>1794</v>
      </c>
      <c r="AC414" t="s">
        <v>1794</v>
      </c>
      <c r="AD414" t="s">
        <v>1794</v>
      </c>
      <c r="AE414">
        <v>0</v>
      </c>
      <c r="AF414" t="s">
        <v>1794</v>
      </c>
      <c r="AG414" t="s">
        <v>1794</v>
      </c>
      <c r="AH414" t="s">
        <v>1794</v>
      </c>
    </row>
    <row r="415" spans="1:34" x14ac:dyDescent="0.25">
      <c r="A415" t="s">
        <v>801</v>
      </c>
      <c r="B415" t="s">
        <v>1437</v>
      </c>
      <c r="C415" t="s">
        <v>306</v>
      </c>
      <c r="D415" t="s">
        <v>358</v>
      </c>
      <c r="E415" t="s">
        <v>1794</v>
      </c>
      <c r="F415" t="s">
        <v>802</v>
      </c>
      <c r="G415" t="s">
        <v>1124</v>
      </c>
      <c r="H415" t="s">
        <v>803</v>
      </c>
      <c r="I415" t="s">
        <v>262</v>
      </c>
      <c r="J415" t="s">
        <v>279</v>
      </c>
      <c r="K415">
        <v>1</v>
      </c>
      <c r="L415">
        <v>1</v>
      </c>
      <c r="M415" t="s">
        <v>33</v>
      </c>
      <c r="N415">
        <v>1</v>
      </c>
      <c r="O415">
        <v>1</v>
      </c>
      <c r="P415">
        <v>1</v>
      </c>
      <c r="Q415" t="s">
        <v>52</v>
      </c>
      <c r="R415">
        <v>1</v>
      </c>
      <c r="S415">
        <v>1</v>
      </c>
      <c r="T415">
        <v>1</v>
      </c>
      <c r="U415" t="s">
        <v>1794</v>
      </c>
      <c r="V415" t="s">
        <v>1794</v>
      </c>
      <c r="W415" t="s">
        <v>1794</v>
      </c>
      <c r="X415">
        <v>1</v>
      </c>
      <c r="Y415" t="s">
        <v>1794</v>
      </c>
      <c r="Z415">
        <v>0</v>
      </c>
      <c r="AA415" t="s">
        <v>1794</v>
      </c>
      <c r="AB415" t="s">
        <v>1794</v>
      </c>
      <c r="AC415" t="s">
        <v>1794</v>
      </c>
      <c r="AD415" t="s">
        <v>1794</v>
      </c>
      <c r="AE415">
        <v>0</v>
      </c>
      <c r="AF415" t="s">
        <v>1794</v>
      </c>
      <c r="AG415" t="s">
        <v>1794</v>
      </c>
      <c r="AH415" t="s">
        <v>1794</v>
      </c>
    </row>
    <row r="416" spans="1:34" ht="21" customHeight="1" x14ac:dyDescent="0.25">
      <c r="A416" t="s">
        <v>1421</v>
      </c>
      <c r="B416" t="s">
        <v>1422</v>
      </c>
      <c r="C416" t="s">
        <v>258</v>
      </c>
      <c r="D416" t="s">
        <v>358</v>
      </c>
      <c r="E416" t="s">
        <v>1794</v>
      </c>
      <c r="F416" t="s">
        <v>804</v>
      </c>
      <c r="G416" t="s">
        <v>1124</v>
      </c>
      <c r="H416" t="s">
        <v>1819</v>
      </c>
      <c r="I416" t="s">
        <v>262</v>
      </c>
      <c r="J416" t="s">
        <v>279</v>
      </c>
      <c r="K416">
        <v>1</v>
      </c>
      <c r="L416">
        <v>6</v>
      </c>
      <c r="M416" t="s">
        <v>33</v>
      </c>
      <c r="N416">
        <v>1</v>
      </c>
      <c r="O416">
        <v>6</v>
      </c>
      <c r="P416">
        <v>1</v>
      </c>
      <c r="Q416" t="s">
        <v>52</v>
      </c>
      <c r="R416">
        <v>6</v>
      </c>
      <c r="S416">
        <v>6</v>
      </c>
      <c r="T416">
        <v>6</v>
      </c>
      <c r="U416" t="s">
        <v>1794</v>
      </c>
      <c r="V416" t="s">
        <v>1794</v>
      </c>
      <c r="W416" t="s">
        <v>1794</v>
      </c>
      <c r="X416">
        <v>1</v>
      </c>
      <c r="Y416" t="s">
        <v>1794</v>
      </c>
      <c r="Z416">
        <v>0</v>
      </c>
      <c r="AA416" t="s">
        <v>1794</v>
      </c>
      <c r="AB416" t="s">
        <v>1794</v>
      </c>
      <c r="AC416" t="s">
        <v>1794</v>
      </c>
      <c r="AD416" t="s">
        <v>1794</v>
      </c>
      <c r="AE416">
        <v>0</v>
      </c>
      <c r="AF416" t="s">
        <v>1794</v>
      </c>
      <c r="AG416" t="s">
        <v>1794</v>
      </c>
      <c r="AH416" t="s">
        <v>1794</v>
      </c>
    </row>
    <row r="417" spans="1:34" ht="21.75" customHeight="1" x14ac:dyDescent="0.25">
      <c r="A417" t="s">
        <v>801</v>
      </c>
      <c r="B417" t="s">
        <v>1437</v>
      </c>
      <c r="C417" t="s">
        <v>258</v>
      </c>
      <c r="D417" t="s">
        <v>358</v>
      </c>
      <c r="E417" t="s">
        <v>1794</v>
      </c>
      <c r="F417" t="s">
        <v>804</v>
      </c>
      <c r="G417" t="s">
        <v>1124</v>
      </c>
      <c r="H417" t="s">
        <v>1819</v>
      </c>
      <c r="I417" t="s">
        <v>262</v>
      </c>
      <c r="J417" t="s">
        <v>279</v>
      </c>
      <c r="K417">
        <v>1</v>
      </c>
      <c r="L417">
        <v>6</v>
      </c>
      <c r="M417" t="s">
        <v>33</v>
      </c>
      <c r="N417">
        <v>1</v>
      </c>
      <c r="O417">
        <v>6</v>
      </c>
      <c r="P417">
        <v>1</v>
      </c>
      <c r="Q417" t="s">
        <v>52</v>
      </c>
      <c r="R417">
        <v>6</v>
      </c>
      <c r="S417">
        <v>6</v>
      </c>
      <c r="T417">
        <v>6</v>
      </c>
      <c r="U417" t="s">
        <v>1794</v>
      </c>
      <c r="V417" t="s">
        <v>1794</v>
      </c>
      <c r="W417" t="s">
        <v>1794</v>
      </c>
      <c r="X417">
        <v>1</v>
      </c>
      <c r="Y417" t="s">
        <v>1794</v>
      </c>
      <c r="Z417">
        <v>0</v>
      </c>
      <c r="AA417" t="s">
        <v>1794</v>
      </c>
      <c r="AB417" t="s">
        <v>1794</v>
      </c>
      <c r="AC417" t="s">
        <v>1794</v>
      </c>
      <c r="AD417" t="s">
        <v>1794</v>
      </c>
      <c r="AE417">
        <v>0</v>
      </c>
      <c r="AF417" t="s">
        <v>1794</v>
      </c>
      <c r="AG417" t="s">
        <v>1794</v>
      </c>
      <c r="AH417" t="s">
        <v>1794</v>
      </c>
    </row>
    <row r="418" spans="1:34" ht="22.5" customHeight="1" x14ac:dyDescent="0.25">
      <c r="A418" t="s">
        <v>1421</v>
      </c>
      <c r="B418" t="s">
        <v>1422</v>
      </c>
      <c r="C418" t="s">
        <v>258</v>
      </c>
      <c r="D418" t="s">
        <v>358</v>
      </c>
      <c r="E418" t="s">
        <v>1794</v>
      </c>
      <c r="F418" t="s">
        <v>805</v>
      </c>
      <c r="G418" t="s">
        <v>1124</v>
      </c>
      <c r="H418" t="s">
        <v>1820</v>
      </c>
      <c r="I418" t="s">
        <v>262</v>
      </c>
      <c r="J418" t="s">
        <v>279</v>
      </c>
      <c r="K418">
        <v>1</v>
      </c>
      <c r="L418">
        <v>2</v>
      </c>
      <c r="M418" t="s">
        <v>33</v>
      </c>
      <c r="N418">
        <v>1</v>
      </c>
      <c r="O418">
        <v>2</v>
      </c>
      <c r="P418">
        <v>1</v>
      </c>
      <c r="Q418" t="s">
        <v>52</v>
      </c>
      <c r="R418">
        <v>2</v>
      </c>
      <c r="S418">
        <v>2</v>
      </c>
      <c r="T418">
        <v>2</v>
      </c>
      <c r="U418" t="s">
        <v>1794</v>
      </c>
      <c r="V418" t="s">
        <v>1794</v>
      </c>
      <c r="W418" t="s">
        <v>1794</v>
      </c>
      <c r="X418">
        <v>1</v>
      </c>
      <c r="Y418" t="s">
        <v>1794</v>
      </c>
      <c r="Z418">
        <v>0</v>
      </c>
      <c r="AA418" t="s">
        <v>1794</v>
      </c>
      <c r="AB418" t="s">
        <v>1794</v>
      </c>
      <c r="AC418" t="s">
        <v>1794</v>
      </c>
      <c r="AD418" t="s">
        <v>1794</v>
      </c>
      <c r="AE418">
        <v>0</v>
      </c>
      <c r="AF418" t="s">
        <v>1794</v>
      </c>
      <c r="AG418" t="s">
        <v>1794</v>
      </c>
      <c r="AH418" t="s">
        <v>1794</v>
      </c>
    </row>
    <row r="419" spans="1:34" ht="21.75" customHeight="1" x14ac:dyDescent="0.25">
      <c r="A419" t="s">
        <v>801</v>
      </c>
      <c r="B419" t="s">
        <v>1437</v>
      </c>
      <c r="C419" t="s">
        <v>258</v>
      </c>
      <c r="D419" t="s">
        <v>358</v>
      </c>
      <c r="E419" t="s">
        <v>1794</v>
      </c>
      <c r="F419" t="s">
        <v>805</v>
      </c>
      <c r="G419" t="s">
        <v>1124</v>
      </c>
      <c r="H419" t="s">
        <v>1820</v>
      </c>
      <c r="I419" t="s">
        <v>262</v>
      </c>
      <c r="J419" t="s">
        <v>279</v>
      </c>
      <c r="K419">
        <v>1</v>
      </c>
      <c r="L419">
        <v>2</v>
      </c>
      <c r="M419" t="s">
        <v>33</v>
      </c>
      <c r="N419">
        <v>1</v>
      </c>
      <c r="O419">
        <v>2</v>
      </c>
      <c r="P419">
        <v>1</v>
      </c>
      <c r="Q419" t="s">
        <v>52</v>
      </c>
      <c r="R419">
        <v>2</v>
      </c>
      <c r="S419">
        <v>2</v>
      </c>
      <c r="T419">
        <v>2</v>
      </c>
      <c r="U419" t="s">
        <v>1794</v>
      </c>
      <c r="V419" t="s">
        <v>1794</v>
      </c>
      <c r="W419" t="s">
        <v>1794</v>
      </c>
      <c r="X419">
        <v>1</v>
      </c>
      <c r="Y419" t="s">
        <v>1794</v>
      </c>
      <c r="Z419">
        <v>0</v>
      </c>
      <c r="AA419" t="s">
        <v>1794</v>
      </c>
      <c r="AB419" t="s">
        <v>1794</v>
      </c>
      <c r="AC419" t="s">
        <v>1794</v>
      </c>
      <c r="AD419" t="s">
        <v>1794</v>
      </c>
      <c r="AE419">
        <v>0</v>
      </c>
      <c r="AF419" t="s">
        <v>1794</v>
      </c>
      <c r="AG419" t="s">
        <v>1794</v>
      </c>
      <c r="AH419" t="s">
        <v>1794</v>
      </c>
    </row>
    <row r="420" spans="1:34" x14ac:dyDescent="0.25">
      <c r="A420" t="s">
        <v>801</v>
      </c>
      <c r="B420" t="s">
        <v>1437</v>
      </c>
      <c r="C420" t="s">
        <v>306</v>
      </c>
      <c r="D420" t="s">
        <v>358</v>
      </c>
      <c r="E420" t="s">
        <v>1794</v>
      </c>
      <c r="F420" t="s">
        <v>806</v>
      </c>
      <c r="G420" t="s">
        <v>1124</v>
      </c>
      <c r="H420" t="s">
        <v>807</v>
      </c>
      <c r="I420" t="s">
        <v>262</v>
      </c>
      <c r="J420" t="s">
        <v>808</v>
      </c>
      <c r="K420">
        <v>1</v>
      </c>
      <c r="L420">
        <v>1</v>
      </c>
      <c r="M420" t="s">
        <v>33</v>
      </c>
      <c r="N420">
        <v>1</v>
      </c>
      <c r="O420">
        <v>1</v>
      </c>
      <c r="P420">
        <v>1</v>
      </c>
      <c r="Q420" t="s">
        <v>52</v>
      </c>
      <c r="R420">
        <v>1</v>
      </c>
      <c r="S420">
        <v>1</v>
      </c>
      <c r="T420">
        <v>1</v>
      </c>
      <c r="U420" t="s">
        <v>1794</v>
      </c>
      <c r="V420" t="s">
        <v>1794</v>
      </c>
      <c r="W420" t="s">
        <v>1794</v>
      </c>
      <c r="X420">
        <v>1</v>
      </c>
      <c r="Y420" t="s">
        <v>1794</v>
      </c>
      <c r="Z420">
        <v>0</v>
      </c>
      <c r="AA420" t="s">
        <v>1794</v>
      </c>
      <c r="AB420" t="s">
        <v>1794</v>
      </c>
      <c r="AC420" t="s">
        <v>1794</v>
      </c>
      <c r="AD420" t="s">
        <v>1794</v>
      </c>
      <c r="AE420">
        <v>0</v>
      </c>
      <c r="AF420" t="s">
        <v>1794</v>
      </c>
      <c r="AG420" t="s">
        <v>1794</v>
      </c>
      <c r="AH420" t="s">
        <v>1794</v>
      </c>
    </row>
    <row r="421" spans="1:34" x14ac:dyDescent="0.25">
      <c r="A421" t="s">
        <v>809</v>
      </c>
      <c r="B421" t="s">
        <v>1415</v>
      </c>
      <c r="C421" t="s">
        <v>315</v>
      </c>
      <c r="D421" t="s">
        <v>358</v>
      </c>
      <c r="E421" t="s">
        <v>1794</v>
      </c>
      <c r="F421" t="s">
        <v>810</v>
      </c>
      <c r="G421" t="s">
        <v>1124</v>
      </c>
      <c r="H421" t="s">
        <v>811</v>
      </c>
      <c r="I421" t="s">
        <v>262</v>
      </c>
      <c r="J421" t="s">
        <v>812</v>
      </c>
      <c r="K421">
        <v>1</v>
      </c>
      <c r="L421">
        <v>1</v>
      </c>
      <c r="M421" t="s">
        <v>33</v>
      </c>
      <c r="N421">
        <v>1</v>
      </c>
      <c r="O421">
        <v>1</v>
      </c>
      <c r="P421">
        <v>1</v>
      </c>
      <c r="Q421" t="s">
        <v>52</v>
      </c>
      <c r="R421">
        <v>1</v>
      </c>
      <c r="S421">
        <v>1</v>
      </c>
      <c r="T421">
        <v>1</v>
      </c>
      <c r="U421" t="s">
        <v>1794</v>
      </c>
      <c r="V421" t="s">
        <v>1794</v>
      </c>
      <c r="W421" t="s">
        <v>1794</v>
      </c>
      <c r="X421">
        <v>1</v>
      </c>
      <c r="Y421" t="s">
        <v>1794</v>
      </c>
      <c r="Z421">
        <v>0</v>
      </c>
      <c r="AA421" t="s">
        <v>1794</v>
      </c>
      <c r="AB421" t="s">
        <v>1794</v>
      </c>
      <c r="AC421" t="s">
        <v>1794</v>
      </c>
      <c r="AD421" t="s">
        <v>1794</v>
      </c>
      <c r="AE421">
        <v>0</v>
      </c>
      <c r="AF421" t="s">
        <v>1794</v>
      </c>
      <c r="AG421" t="s">
        <v>1794</v>
      </c>
      <c r="AH421" t="s">
        <v>1794</v>
      </c>
    </row>
    <row r="422" spans="1:34" x14ac:dyDescent="0.25">
      <c r="A422" t="s">
        <v>809</v>
      </c>
      <c r="B422" t="s">
        <v>1415</v>
      </c>
      <c r="C422" t="s">
        <v>315</v>
      </c>
      <c r="D422" t="s">
        <v>358</v>
      </c>
      <c r="E422" t="s">
        <v>1794</v>
      </c>
      <c r="F422" t="s">
        <v>813</v>
      </c>
      <c r="G422" t="s">
        <v>1124</v>
      </c>
      <c r="H422" t="s">
        <v>814</v>
      </c>
      <c r="I422" t="s">
        <v>262</v>
      </c>
      <c r="J422" t="s">
        <v>815</v>
      </c>
      <c r="K422">
        <v>1</v>
      </c>
      <c r="L422">
        <v>1</v>
      </c>
      <c r="M422" t="s">
        <v>33</v>
      </c>
      <c r="N422">
        <v>1</v>
      </c>
      <c r="O422">
        <v>1</v>
      </c>
      <c r="P422">
        <v>1</v>
      </c>
      <c r="Q422" t="s">
        <v>52</v>
      </c>
      <c r="R422">
        <v>1</v>
      </c>
      <c r="S422">
        <v>1</v>
      </c>
      <c r="T422">
        <v>1</v>
      </c>
      <c r="U422" t="s">
        <v>1794</v>
      </c>
      <c r="V422" t="s">
        <v>1794</v>
      </c>
      <c r="W422" t="s">
        <v>1794</v>
      </c>
      <c r="X422">
        <v>1</v>
      </c>
      <c r="Y422" t="s">
        <v>1794</v>
      </c>
      <c r="Z422">
        <v>0</v>
      </c>
      <c r="AA422" t="s">
        <v>1794</v>
      </c>
      <c r="AB422" t="s">
        <v>1794</v>
      </c>
      <c r="AC422" t="s">
        <v>1794</v>
      </c>
      <c r="AD422" t="s">
        <v>1794</v>
      </c>
      <c r="AE422">
        <v>0</v>
      </c>
      <c r="AF422" t="s">
        <v>1794</v>
      </c>
      <c r="AG422" t="s">
        <v>1794</v>
      </c>
      <c r="AH422" t="s">
        <v>1794</v>
      </c>
    </row>
    <row r="423" spans="1:34" x14ac:dyDescent="0.25">
      <c r="A423" t="s">
        <v>809</v>
      </c>
      <c r="B423" t="s">
        <v>1415</v>
      </c>
      <c r="C423" t="s">
        <v>315</v>
      </c>
      <c r="D423" t="s">
        <v>358</v>
      </c>
      <c r="E423" t="s">
        <v>1794</v>
      </c>
      <c r="F423" t="s">
        <v>816</v>
      </c>
      <c r="G423" t="s">
        <v>1124</v>
      </c>
      <c r="H423" t="s">
        <v>817</v>
      </c>
      <c r="I423" t="s">
        <v>262</v>
      </c>
      <c r="J423" t="s">
        <v>818</v>
      </c>
      <c r="K423">
        <v>1</v>
      </c>
      <c r="L423">
        <v>1</v>
      </c>
      <c r="M423" t="s">
        <v>33</v>
      </c>
      <c r="N423">
        <v>1</v>
      </c>
      <c r="O423">
        <v>1</v>
      </c>
      <c r="P423">
        <v>1</v>
      </c>
      <c r="Q423" t="s">
        <v>52</v>
      </c>
      <c r="R423">
        <v>1</v>
      </c>
      <c r="S423">
        <v>1</v>
      </c>
      <c r="T423">
        <v>1</v>
      </c>
      <c r="U423" t="s">
        <v>1794</v>
      </c>
      <c r="V423" t="s">
        <v>1794</v>
      </c>
      <c r="W423" t="s">
        <v>1794</v>
      </c>
      <c r="X423">
        <v>1</v>
      </c>
      <c r="Y423" t="s">
        <v>1794</v>
      </c>
      <c r="Z423">
        <v>0</v>
      </c>
      <c r="AA423" t="s">
        <v>1794</v>
      </c>
      <c r="AB423" t="s">
        <v>1794</v>
      </c>
      <c r="AC423" t="s">
        <v>1794</v>
      </c>
      <c r="AD423" t="s">
        <v>1794</v>
      </c>
      <c r="AE423">
        <v>0</v>
      </c>
      <c r="AF423" t="s">
        <v>1794</v>
      </c>
      <c r="AG423" t="s">
        <v>1794</v>
      </c>
      <c r="AH423" t="s">
        <v>1794</v>
      </c>
    </row>
    <row r="424" spans="1:34" x14ac:dyDescent="0.25">
      <c r="A424" t="s">
        <v>809</v>
      </c>
      <c r="B424" t="s">
        <v>1415</v>
      </c>
      <c r="C424" t="s">
        <v>315</v>
      </c>
      <c r="D424" t="s">
        <v>358</v>
      </c>
      <c r="E424" t="s">
        <v>1794</v>
      </c>
      <c r="F424" t="s">
        <v>819</v>
      </c>
      <c r="G424" t="s">
        <v>1124</v>
      </c>
      <c r="H424" t="s">
        <v>820</v>
      </c>
      <c r="I424" t="s">
        <v>262</v>
      </c>
      <c r="J424" t="s">
        <v>815</v>
      </c>
      <c r="K424">
        <v>1</v>
      </c>
      <c r="L424">
        <v>1</v>
      </c>
      <c r="M424" t="s">
        <v>33</v>
      </c>
      <c r="N424">
        <v>1</v>
      </c>
      <c r="O424">
        <v>1</v>
      </c>
      <c r="P424">
        <v>1</v>
      </c>
      <c r="Q424" t="s">
        <v>52</v>
      </c>
      <c r="R424">
        <v>1</v>
      </c>
      <c r="S424">
        <v>1</v>
      </c>
      <c r="T424">
        <v>1</v>
      </c>
      <c r="U424" t="s">
        <v>1794</v>
      </c>
      <c r="V424" t="s">
        <v>1794</v>
      </c>
      <c r="W424" t="s">
        <v>1794</v>
      </c>
      <c r="X424">
        <v>1</v>
      </c>
      <c r="Y424" t="s">
        <v>1794</v>
      </c>
      <c r="Z424">
        <v>0</v>
      </c>
      <c r="AA424" t="s">
        <v>1794</v>
      </c>
      <c r="AB424" t="s">
        <v>1794</v>
      </c>
      <c r="AC424" t="s">
        <v>1794</v>
      </c>
      <c r="AD424" t="s">
        <v>1794</v>
      </c>
      <c r="AE424">
        <v>0</v>
      </c>
      <c r="AF424" t="s">
        <v>1794</v>
      </c>
      <c r="AG424" t="s">
        <v>1794</v>
      </c>
      <c r="AH424" t="s">
        <v>1794</v>
      </c>
    </row>
    <row r="425" spans="1:34" x14ac:dyDescent="0.25">
      <c r="A425" t="s">
        <v>809</v>
      </c>
      <c r="B425" t="s">
        <v>1415</v>
      </c>
      <c r="C425" t="s">
        <v>315</v>
      </c>
      <c r="D425" t="s">
        <v>358</v>
      </c>
      <c r="E425" t="s">
        <v>1794</v>
      </c>
      <c r="F425" t="s">
        <v>821</v>
      </c>
      <c r="G425" t="s">
        <v>1124</v>
      </c>
      <c r="H425" t="s">
        <v>822</v>
      </c>
      <c r="I425" t="s">
        <v>262</v>
      </c>
      <c r="J425" t="s">
        <v>818</v>
      </c>
      <c r="K425">
        <v>1</v>
      </c>
      <c r="L425">
        <v>1</v>
      </c>
      <c r="M425" t="s">
        <v>33</v>
      </c>
      <c r="N425">
        <v>1</v>
      </c>
      <c r="O425">
        <v>1</v>
      </c>
      <c r="P425">
        <v>1</v>
      </c>
      <c r="Q425" t="s">
        <v>52</v>
      </c>
      <c r="R425">
        <v>1</v>
      </c>
      <c r="S425">
        <v>1</v>
      </c>
      <c r="T425">
        <v>1</v>
      </c>
      <c r="U425" t="s">
        <v>1794</v>
      </c>
      <c r="V425" t="s">
        <v>1794</v>
      </c>
      <c r="W425" t="s">
        <v>1794</v>
      </c>
      <c r="X425">
        <v>1</v>
      </c>
      <c r="Y425" t="s">
        <v>1794</v>
      </c>
      <c r="Z425">
        <v>0</v>
      </c>
      <c r="AA425" t="s">
        <v>1794</v>
      </c>
      <c r="AB425" t="s">
        <v>1794</v>
      </c>
      <c r="AC425" t="s">
        <v>1794</v>
      </c>
      <c r="AD425" t="s">
        <v>1794</v>
      </c>
      <c r="AE425">
        <v>0</v>
      </c>
      <c r="AF425" t="s">
        <v>1794</v>
      </c>
      <c r="AG425" t="s">
        <v>1794</v>
      </c>
      <c r="AH425" t="s">
        <v>1794</v>
      </c>
    </row>
    <row r="426" spans="1:34" x14ac:dyDescent="0.25">
      <c r="A426" t="s">
        <v>809</v>
      </c>
      <c r="B426" t="s">
        <v>1415</v>
      </c>
      <c r="C426" t="s">
        <v>315</v>
      </c>
      <c r="D426" t="s">
        <v>358</v>
      </c>
      <c r="E426" t="s">
        <v>1794</v>
      </c>
      <c r="F426" t="s">
        <v>823</v>
      </c>
      <c r="G426" t="s">
        <v>1124</v>
      </c>
      <c r="H426" t="s">
        <v>824</v>
      </c>
      <c r="I426" t="s">
        <v>262</v>
      </c>
      <c r="J426" t="s">
        <v>825</v>
      </c>
      <c r="K426">
        <v>1</v>
      </c>
      <c r="L426">
        <v>1</v>
      </c>
      <c r="M426" t="s">
        <v>33</v>
      </c>
      <c r="N426">
        <v>1</v>
      </c>
      <c r="O426">
        <v>1</v>
      </c>
      <c r="P426">
        <v>1</v>
      </c>
      <c r="Q426" t="s">
        <v>52</v>
      </c>
      <c r="R426">
        <v>1</v>
      </c>
      <c r="S426">
        <v>1</v>
      </c>
      <c r="T426">
        <v>1</v>
      </c>
      <c r="U426" t="s">
        <v>1794</v>
      </c>
      <c r="V426" t="s">
        <v>1794</v>
      </c>
      <c r="W426" t="s">
        <v>1794</v>
      </c>
      <c r="X426">
        <v>1</v>
      </c>
      <c r="Y426" t="s">
        <v>1794</v>
      </c>
      <c r="Z426">
        <v>0</v>
      </c>
      <c r="AA426" t="s">
        <v>1794</v>
      </c>
      <c r="AB426" t="s">
        <v>1794</v>
      </c>
      <c r="AC426" t="s">
        <v>1794</v>
      </c>
      <c r="AD426" t="s">
        <v>1794</v>
      </c>
      <c r="AE426">
        <v>0</v>
      </c>
      <c r="AF426" t="s">
        <v>1794</v>
      </c>
      <c r="AG426" t="s">
        <v>1794</v>
      </c>
      <c r="AH426" t="s">
        <v>1794</v>
      </c>
    </row>
    <row r="427" spans="1:34" x14ac:dyDescent="0.25">
      <c r="A427" t="s">
        <v>783</v>
      </c>
      <c r="B427" t="s">
        <v>1416</v>
      </c>
      <c r="C427" t="s">
        <v>258</v>
      </c>
      <c r="D427" t="s">
        <v>358</v>
      </c>
      <c r="E427" t="s">
        <v>1794</v>
      </c>
      <c r="F427" t="s">
        <v>826</v>
      </c>
      <c r="G427" t="s">
        <v>1124</v>
      </c>
      <c r="H427" t="s">
        <v>827</v>
      </c>
      <c r="I427" t="s">
        <v>262</v>
      </c>
      <c r="J427" t="s">
        <v>828</v>
      </c>
      <c r="K427">
        <v>1</v>
      </c>
      <c r="L427">
        <v>32</v>
      </c>
      <c r="M427" t="s">
        <v>33</v>
      </c>
      <c r="N427">
        <v>1</v>
      </c>
      <c r="O427">
        <v>0</v>
      </c>
      <c r="P427">
        <v>0</v>
      </c>
      <c r="Q427" t="s">
        <v>52</v>
      </c>
      <c r="R427">
        <v>32</v>
      </c>
      <c r="S427">
        <v>32</v>
      </c>
      <c r="T427">
        <v>32</v>
      </c>
      <c r="U427" t="s">
        <v>1794</v>
      </c>
      <c r="V427" t="s">
        <v>1794</v>
      </c>
      <c r="W427" t="s">
        <v>1794</v>
      </c>
      <c r="X427">
        <v>1</v>
      </c>
      <c r="Y427" t="s">
        <v>1794</v>
      </c>
      <c r="Z427">
        <v>0</v>
      </c>
      <c r="AA427" t="s">
        <v>1794</v>
      </c>
      <c r="AB427" t="s">
        <v>1794</v>
      </c>
      <c r="AC427" t="s">
        <v>1794</v>
      </c>
      <c r="AD427" t="s">
        <v>1794</v>
      </c>
      <c r="AE427">
        <v>0</v>
      </c>
      <c r="AF427" t="s">
        <v>1794</v>
      </c>
      <c r="AG427" t="s">
        <v>1794</v>
      </c>
      <c r="AH427" t="s">
        <v>1794</v>
      </c>
    </row>
    <row r="428" spans="1:34" ht="21.75" customHeight="1" x14ac:dyDescent="0.25">
      <c r="A428" t="s">
        <v>1475</v>
      </c>
      <c r="B428" t="s">
        <v>1476</v>
      </c>
      <c r="C428" t="s">
        <v>258</v>
      </c>
      <c r="D428" t="s">
        <v>358</v>
      </c>
      <c r="E428" t="s">
        <v>1794</v>
      </c>
      <c r="F428" t="s">
        <v>826</v>
      </c>
      <c r="G428" t="s">
        <v>1124</v>
      </c>
      <c r="H428" t="s">
        <v>827</v>
      </c>
      <c r="I428" t="s">
        <v>262</v>
      </c>
      <c r="J428" t="s">
        <v>828</v>
      </c>
      <c r="K428">
        <v>1</v>
      </c>
      <c r="L428">
        <v>32</v>
      </c>
      <c r="M428" t="s">
        <v>33</v>
      </c>
      <c r="N428">
        <v>1</v>
      </c>
      <c r="O428">
        <v>0</v>
      </c>
      <c r="P428">
        <v>0</v>
      </c>
      <c r="Q428" t="s">
        <v>52</v>
      </c>
      <c r="R428">
        <v>32</v>
      </c>
      <c r="S428">
        <v>32</v>
      </c>
      <c r="T428">
        <v>32</v>
      </c>
      <c r="U428" t="s">
        <v>1794</v>
      </c>
      <c r="V428" t="s">
        <v>1794</v>
      </c>
      <c r="W428" t="s">
        <v>1794</v>
      </c>
      <c r="X428">
        <v>1</v>
      </c>
      <c r="Y428" t="s">
        <v>1794</v>
      </c>
      <c r="Z428">
        <v>0</v>
      </c>
      <c r="AA428" t="s">
        <v>1794</v>
      </c>
      <c r="AB428" t="s">
        <v>1794</v>
      </c>
      <c r="AC428" t="s">
        <v>1794</v>
      </c>
      <c r="AD428" t="s">
        <v>1794</v>
      </c>
      <c r="AE428">
        <v>0</v>
      </c>
      <c r="AF428" t="s">
        <v>1794</v>
      </c>
      <c r="AG428" t="s">
        <v>1794</v>
      </c>
      <c r="AH428" t="s">
        <v>1794</v>
      </c>
    </row>
    <row r="429" spans="1:34" x14ac:dyDescent="0.25">
      <c r="A429" t="s">
        <v>1094</v>
      </c>
      <c r="B429" t="s">
        <v>1388</v>
      </c>
      <c r="C429" t="s">
        <v>460</v>
      </c>
      <c r="D429" t="s">
        <v>358</v>
      </c>
      <c r="E429" t="s">
        <v>1794</v>
      </c>
      <c r="F429" t="s">
        <v>829</v>
      </c>
      <c r="G429" t="s">
        <v>1124</v>
      </c>
      <c r="H429" t="s">
        <v>830</v>
      </c>
      <c r="I429" t="s">
        <v>262</v>
      </c>
      <c r="J429" t="s">
        <v>279</v>
      </c>
      <c r="K429">
        <v>1</v>
      </c>
      <c r="L429">
        <v>16</v>
      </c>
      <c r="M429" t="s">
        <v>33</v>
      </c>
      <c r="N429">
        <v>1</v>
      </c>
      <c r="O429">
        <v>0</v>
      </c>
      <c r="P429">
        <v>0</v>
      </c>
      <c r="Q429" t="s">
        <v>52</v>
      </c>
      <c r="R429">
        <v>16</v>
      </c>
      <c r="S429">
        <v>16</v>
      </c>
      <c r="T429">
        <v>16</v>
      </c>
      <c r="U429" t="s">
        <v>1794</v>
      </c>
      <c r="V429" t="s">
        <v>1794</v>
      </c>
      <c r="W429" t="s">
        <v>1794</v>
      </c>
      <c r="X429">
        <v>1</v>
      </c>
      <c r="Y429" t="s">
        <v>1794</v>
      </c>
      <c r="Z429">
        <v>0</v>
      </c>
      <c r="AA429" t="s">
        <v>1794</v>
      </c>
      <c r="AB429" t="s">
        <v>1794</v>
      </c>
      <c r="AC429" t="s">
        <v>1794</v>
      </c>
      <c r="AD429" t="s">
        <v>1794</v>
      </c>
      <c r="AE429">
        <v>0</v>
      </c>
      <c r="AF429" t="s">
        <v>1794</v>
      </c>
      <c r="AG429" t="s">
        <v>1794</v>
      </c>
      <c r="AH429" t="s">
        <v>1794</v>
      </c>
    </row>
    <row r="430" spans="1:34" x14ac:dyDescent="0.25">
      <c r="A430" t="s">
        <v>1413</v>
      </c>
      <c r="B430" t="s">
        <v>1414</v>
      </c>
      <c r="C430" t="s">
        <v>460</v>
      </c>
      <c r="D430" t="s">
        <v>358</v>
      </c>
      <c r="E430" t="s">
        <v>1794</v>
      </c>
      <c r="F430" t="s">
        <v>829</v>
      </c>
      <c r="G430" t="s">
        <v>1310</v>
      </c>
      <c r="H430" t="s">
        <v>830</v>
      </c>
      <c r="I430" t="s">
        <v>262</v>
      </c>
      <c r="J430" t="s">
        <v>279</v>
      </c>
      <c r="K430">
        <v>1</v>
      </c>
      <c r="L430">
        <v>16</v>
      </c>
      <c r="M430" t="s">
        <v>33</v>
      </c>
      <c r="N430">
        <v>1</v>
      </c>
      <c r="O430">
        <v>0</v>
      </c>
      <c r="P430">
        <v>0</v>
      </c>
      <c r="Q430" t="s">
        <v>52</v>
      </c>
      <c r="R430">
        <v>16</v>
      </c>
      <c r="S430">
        <v>16</v>
      </c>
      <c r="T430">
        <v>16</v>
      </c>
      <c r="U430" t="s">
        <v>1794</v>
      </c>
      <c r="V430" t="s">
        <v>1794</v>
      </c>
      <c r="W430" t="s">
        <v>1794</v>
      </c>
      <c r="X430">
        <v>1</v>
      </c>
      <c r="Y430" t="s">
        <v>1794</v>
      </c>
      <c r="Z430">
        <v>0</v>
      </c>
      <c r="AA430" t="s">
        <v>1794</v>
      </c>
      <c r="AB430" t="s">
        <v>1794</v>
      </c>
      <c r="AC430" t="s">
        <v>1794</v>
      </c>
      <c r="AD430" t="s">
        <v>1794</v>
      </c>
      <c r="AE430">
        <v>0</v>
      </c>
      <c r="AF430" t="s">
        <v>1794</v>
      </c>
      <c r="AG430" t="s">
        <v>1794</v>
      </c>
      <c r="AH430" t="s">
        <v>1794</v>
      </c>
    </row>
    <row r="431" spans="1:34" x14ac:dyDescent="0.25">
      <c r="A431" t="s">
        <v>1094</v>
      </c>
      <c r="B431" t="s">
        <v>1388</v>
      </c>
      <c r="C431" t="s">
        <v>460</v>
      </c>
      <c r="D431" t="s">
        <v>358</v>
      </c>
      <c r="E431" t="s">
        <v>1794</v>
      </c>
      <c r="F431" t="s">
        <v>831</v>
      </c>
      <c r="G431" t="s">
        <v>1124</v>
      </c>
      <c r="H431" t="s">
        <v>832</v>
      </c>
      <c r="I431" t="s">
        <v>262</v>
      </c>
      <c r="J431" t="s">
        <v>279</v>
      </c>
      <c r="K431">
        <v>1</v>
      </c>
      <c r="L431">
        <v>16</v>
      </c>
      <c r="M431" t="s">
        <v>33</v>
      </c>
      <c r="N431">
        <v>1</v>
      </c>
      <c r="O431">
        <v>0</v>
      </c>
      <c r="P431">
        <v>0</v>
      </c>
      <c r="Q431" t="s">
        <v>52</v>
      </c>
      <c r="R431">
        <v>16</v>
      </c>
      <c r="S431">
        <v>16</v>
      </c>
      <c r="T431">
        <v>16</v>
      </c>
      <c r="U431" t="s">
        <v>1794</v>
      </c>
      <c r="V431" t="s">
        <v>1794</v>
      </c>
      <c r="W431" t="s">
        <v>1794</v>
      </c>
      <c r="X431">
        <v>1</v>
      </c>
      <c r="Y431" t="s">
        <v>1794</v>
      </c>
      <c r="Z431">
        <v>0</v>
      </c>
      <c r="AA431" t="s">
        <v>1794</v>
      </c>
      <c r="AB431" t="s">
        <v>1794</v>
      </c>
      <c r="AC431" t="s">
        <v>1794</v>
      </c>
      <c r="AD431" t="s">
        <v>1794</v>
      </c>
      <c r="AE431">
        <v>0</v>
      </c>
      <c r="AF431" t="s">
        <v>1794</v>
      </c>
      <c r="AG431" t="s">
        <v>1794</v>
      </c>
      <c r="AH431" t="s">
        <v>1794</v>
      </c>
    </row>
    <row r="432" spans="1:34" x14ac:dyDescent="0.25">
      <c r="A432" t="s">
        <v>1413</v>
      </c>
      <c r="B432" t="s">
        <v>1414</v>
      </c>
      <c r="C432" t="s">
        <v>460</v>
      </c>
      <c r="D432" t="s">
        <v>358</v>
      </c>
      <c r="E432" t="s">
        <v>1794</v>
      </c>
      <c r="F432" t="s">
        <v>831</v>
      </c>
      <c r="G432" t="s">
        <v>1310</v>
      </c>
      <c r="H432" t="s">
        <v>832</v>
      </c>
      <c r="I432" t="s">
        <v>262</v>
      </c>
      <c r="J432" t="s">
        <v>279</v>
      </c>
      <c r="K432">
        <v>1</v>
      </c>
      <c r="L432">
        <v>16</v>
      </c>
      <c r="M432" t="s">
        <v>33</v>
      </c>
      <c r="N432">
        <v>1</v>
      </c>
      <c r="O432">
        <v>0</v>
      </c>
      <c r="P432">
        <v>0</v>
      </c>
      <c r="Q432" t="s">
        <v>52</v>
      </c>
      <c r="R432">
        <v>16</v>
      </c>
      <c r="S432">
        <v>16</v>
      </c>
      <c r="T432">
        <v>16</v>
      </c>
      <c r="U432" t="s">
        <v>1794</v>
      </c>
      <c r="V432" t="s">
        <v>1794</v>
      </c>
      <c r="W432" t="s">
        <v>1794</v>
      </c>
      <c r="X432">
        <v>1</v>
      </c>
      <c r="Y432" t="s">
        <v>1794</v>
      </c>
      <c r="Z432">
        <v>0</v>
      </c>
      <c r="AA432" t="s">
        <v>1794</v>
      </c>
      <c r="AB432" t="s">
        <v>1794</v>
      </c>
      <c r="AC432" t="s">
        <v>1794</v>
      </c>
      <c r="AD432" t="s">
        <v>1794</v>
      </c>
      <c r="AE432">
        <v>0</v>
      </c>
      <c r="AF432" t="s">
        <v>1794</v>
      </c>
      <c r="AG432" t="s">
        <v>1794</v>
      </c>
      <c r="AH432" t="s">
        <v>1794</v>
      </c>
    </row>
    <row r="433" spans="1:34" x14ac:dyDescent="0.25">
      <c r="A433" t="s">
        <v>1094</v>
      </c>
      <c r="B433" t="s">
        <v>1388</v>
      </c>
      <c r="C433" t="s">
        <v>460</v>
      </c>
      <c r="D433" t="s">
        <v>358</v>
      </c>
      <c r="E433" t="s">
        <v>1794</v>
      </c>
      <c r="F433" t="s">
        <v>833</v>
      </c>
      <c r="G433" t="s">
        <v>1124</v>
      </c>
      <c r="H433" t="s">
        <v>834</v>
      </c>
      <c r="I433" t="s">
        <v>262</v>
      </c>
      <c r="J433" t="s">
        <v>301</v>
      </c>
      <c r="K433">
        <v>1</v>
      </c>
      <c r="L433">
        <v>14</v>
      </c>
      <c r="M433" t="s">
        <v>33</v>
      </c>
      <c r="N433">
        <v>1</v>
      </c>
      <c r="O433">
        <v>0</v>
      </c>
      <c r="P433">
        <v>0</v>
      </c>
      <c r="Q433" t="s">
        <v>52</v>
      </c>
      <c r="R433">
        <v>14</v>
      </c>
      <c r="S433">
        <v>14</v>
      </c>
      <c r="T433">
        <v>14</v>
      </c>
      <c r="U433" t="s">
        <v>1794</v>
      </c>
      <c r="V433" t="s">
        <v>1794</v>
      </c>
      <c r="W433" t="s">
        <v>1794</v>
      </c>
      <c r="X433">
        <v>1</v>
      </c>
      <c r="Y433" t="s">
        <v>1794</v>
      </c>
      <c r="Z433">
        <v>0</v>
      </c>
      <c r="AA433" t="s">
        <v>1794</v>
      </c>
      <c r="AB433" t="s">
        <v>1794</v>
      </c>
      <c r="AC433" t="s">
        <v>1794</v>
      </c>
      <c r="AD433" t="s">
        <v>1794</v>
      </c>
      <c r="AE433">
        <v>0</v>
      </c>
      <c r="AF433" t="s">
        <v>1794</v>
      </c>
      <c r="AG433" t="s">
        <v>1794</v>
      </c>
      <c r="AH433" t="s">
        <v>1794</v>
      </c>
    </row>
    <row r="434" spans="1:34" x14ac:dyDescent="0.25">
      <c r="A434" t="s">
        <v>1413</v>
      </c>
      <c r="B434" t="s">
        <v>1414</v>
      </c>
      <c r="C434" t="s">
        <v>460</v>
      </c>
      <c r="D434" t="s">
        <v>358</v>
      </c>
      <c r="E434" t="s">
        <v>1794</v>
      </c>
      <c r="F434" t="s">
        <v>833</v>
      </c>
      <c r="G434" t="s">
        <v>1310</v>
      </c>
      <c r="H434" t="s">
        <v>834</v>
      </c>
      <c r="I434" t="s">
        <v>262</v>
      </c>
      <c r="J434" t="s">
        <v>301</v>
      </c>
      <c r="K434">
        <v>1</v>
      </c>
      <c r="L434">
        <v>14</v>
      </c>
      <c r="M434" t="s">
        <v>33</v>
      </c>
      <c r="N434">
        <v>1</v>
      </c>
      <c r="O434">
        <v>0</v>
      </c>
      <c r="P434">
        <v>0</v>
      </c>
      <c r="Q434" t="s">
        <v>52</v>
      </c>
      <c r="R434">
        <v>14</v>
      </c>
      <c r="S434">
        <v>14</v>
      </c>
      <c r="T434">
        <v>14</v>
      </c>
      <c r="U434" t="s">
        <v>1794</v>
      </c>
      <c r="V434" t="s">
        <v>1794</v>
      </c>
      <c r="W434" t="s">
        <v>1794</v>
      </c>
      <c r="X434">
        <v>1</v>
      </c>
      <c r="Y434" t="s">
        <v>1794</v>
      </c>
      <c r="Z434">
        <v>0</v>
      </c>
      <c r="AA434" t="s">
        <v>1794</v>
      </c>
      <c r="AB434" t="s">
        <v>1794</v>
      </c>
      <c r="AC434" t="s">
        <v>1794</v>
      </c>
      <c r="AD434" t="s">
        <v>1794</v>
      </c>
      <c r="AE434">
        <v>0</v>
      </c>
      <c r="AF434" t="s">
        <v>1794</v>
      </c>
      <c r="AG434" t="s">
        <v>1794</v>
      </c>
      <c r="AH434" t="s">
        <v>1794</v>
      </c>
    </row>
    <row r="435" spans="1:34" x14ac:dyDescent="0.25">
      <c r="A435" t="s">
        <v>1094</v>
      </c>
      <c r="B435" t="s">
        <v>1388</v>
      </c>
      <c r="C435" t="s">
        <v>460</v>
      </c>
      <c r="D435" t="s">
        <v>358</v>
      </c>
      <c r="E435" t="s">
        <v>1794</v>
      </c>
      <c r="F435" t="s">
        <v>835</v>
      </c>
      <c r="G435" t="s">
        <v>1124</v>
      </c>
      <c r="H435" t="s">
        <v>836</v>
      </c>
      <c r="I435" t="s">
        <v>262</v>
      </c>
      <c r="J435" t="s">
        <v>301</v>
      </c>
      <c r="K435">
        <v>1</v>
      </c>
      <c r="L435">
        <v>14</v>
      </c>
      <c r="M435" t="s">
        <v>33</v>
      </c>
      <c r="N435">
        <v>1</v>
      </c>
      <c r="O435">
        <v>0</v>
      </c>
      <c r="P435">
        <v>0</v>
      </c>
      <c r="Q435" t="s">
        <v>52</v>
      </c>
      <c r="R435">
        <v>14</v>
      </c>
      <c r="S435">
        <v>14</v>
      </c>
      <c r="T435">
        <v>14</v>
      </c>
      <c r="U435" t="s">
        <v>1794</v>
      </c>
      <c r="V435" t="s">
        <v>1794</v>
      </c>
      <c r="W435" t="s">
        <v>1794</v>
      </c>
      <c r="X435">
        <v>1</v>
      </c>
      <c r="Y435" t="s">
        <v>1794</v>
      </c>
      <c r="Z435">
        <v>0</v>
      </c>
      <c r="AA435" t="s">
        <v>1794</v>
      </c>
      <c r="AB435" t="s">
        <v>1794</v>
      </c>
      <c r="AC435" t="s">
        <v>1794</v>
      </c>
      <c r="AD435" t="s">
        <v>1794</v>
      </c>
      <c r="AE435">
        <v>0</v>
      </c>
      <c r="AF435" t="s">
        <v>1794</v>
      </c>
      <c r="AG435" t="s">
        <v>1794</v>
      </c>
      <c r="AH435" t="s">
        <v>1794</v>
      </c>
    </row>
    <row r="436" spans="1:34" x14ac:dyDescent="0.25">
      <c r="A436" t="s">
        <v>1413</v>
      </c>
      <c r="B436" t="s">
        <v>1414</v>
      </c>
      <c r="C436" t="s">
        <v>460</v>
      </c>
      <c r="D436" t="s">
        <v>358</v>
      </c>
      <c r="E436" t="s">
        <v>1794</v>
      </c>
      <c r="F436" t="s">
        <v>835</v>
      </c>
      <c r="G436" t="s">
        <v>1310</v>
      </c>
      <c r="H436" t="s">
        <v>836</v>
      </c>
      <c r="I436" t="s">
        <v>262</v>
      </c>
      <c r="J436" t="s">
        <v>301</v>
      </c>
      <c r="K436">
        <v>1</v>
      </c>
      <c r="L436">
        <v>14</v>
      </c>
      <c r="M436" t="s">
        <v>33</v>
      </c>
      <c r="N436">
        <v>1</v>
      </c>
      <c r="O436">
        <v>0</v>
      </c>
      <c r="P436">
        <v>0</v>
      </c>
      <c r="Q436" t="s">
        <v>52</v>
      </c>
      <c r="R436">
        <v>14</v>
      </c>
      <c r="S436">
        <v>14</v>
      </c>
      <c r="T436">
        <v>14</v>
      </c>
      <c r="U436" t="s">
        <v>1794</v>
      </c>
      <c r="V436" t="s">
        <v>1794</v>
      </c>
      <c r="W436" t="s">
        <v>1794</v>
      </c>
      <c r="X436">
        <v>1</v>
      </c>
      <c r="Y436" t="s">
        <v>1794</v>
      </c>
      <c r="Z436">
        <v>0</v>
      </c>
      <c r="AA436" t="s">
        <v>1794</v>
      </c>
      <c r="AB436" t="s">
        <v>1794</v>
      </c>
      <c r="AC436" t="s">
        <v>1794</v>
      </c>
      <c r="AD436" t="s">
        <v>1794</v>
      </c>
      <c r="AE436">
        <v>0</v>
      </c>
      <c r="AF436" t="s">
        <v>1794</v>
      </c>
      <c r="AG436" t="s">
        <v>1794</v>
      </c>
      <c r="AH436" t="s">
        <v>1794</v>
      </c>
    </row>
    <row r="437" spans="1:34" x14ac:dyDescent="0.25">
      <c r="A437" t="s">
        <v>783</v>
      </c>
      <c r="B437" t="s">
        <v>1416</v>
      </c>
      <c r="C437" t="s">
        <v>460</v>
      </c>
      <c r="D437" t="s">
        <v>358</v>
      </c>
      <c r="E437" t="s">
        <v>1794</v>
      </c>
      <c r="F437" t="s">
        <v>835</v>
      </c>
      <c r="G437" t="s">
        <v>1124</v>
      </c>
      <c r="H437" t="s">
        <v>836</v>
      </c>
      <c r="I437" t="s">
        <v>262</v>
      </c>
      <c r="J437" t="s">
        <v>301</v>
      </c>
      <c r="K437">
        <v>1</v>
      </c>
      <c r="L437">
        <v>14</v>
      </c>
      <c r="M437" t="s">
        <v>33</v>
      </c>
      <c r="N437">
        <v>1</v>
      </c>
      <c r="O437">
        <v>0</v>
      </c>
      <c r="P437">
        <v>0</v>
      </c>
      <c r="Q437" t="s">
        <v>52</v>
      </c>
      <c r="R437">
        <v>14</v>
      </c>
      <c r="S437">
        <v>14</v>
      </c>
      <c r="T437">
        <v>14</v>
      </c>
      <c r="U437" t="s">
        <v>1794</v>
      </c>
      <c r="V437" t="s">
        <v>1794</v>
      </c>
      <c r="W437" t="s">
        <v>1794</v>
      </c>
      <c r="X437">
        <v>1</v>
      </c>
      <c r="Y437" t="s">
        <v>1794</v>
      </c>
      <c r="Z437">
        <v>0</v>
      </c>
      <c r="AA437" t="s">
        <v>1794</v>
      </c>
      <c r="AB437" t="s">
        <v>1794</v>
      </c>
      <c r="AC437" t="s">
        <v>1794</v>
      </c>
      <c r="AD437" t="s">
        <v>1794</v>
      </c>
      <c r="AE437">
        <v>0</v>
      </c>
      <c r="AF437" t="s">
        <v>1794</v>
      </c>
      <c r="AG437" t="s">
        <v>1794</v>
      </c>
      <c r="AH437" t="s">
        <v>1794</v>
      </c>
    </row>
    <row r="438" spans="1:34" x14ac:dyDescent="0.25">
      <c r="A438" t="s">
        <v>1094</v>
      </c>
      <c r="B438" t="s">
        <v>1388</v>
      </c>
      <c r="C438" t="s">
        <v>460</v>
      </c>
      <c r="D438" t="s">
        <v>358</v>
      </c>
      <c r="E438" t="s">
        <v>1794</v>
      </c>
      <c r="F438" t="s">
        <v>837</v>
      </c>
      <c r="G438" t="s">
        <v>1124</v>
      </c>
      <c r="H438" t="s">
        <v>838</v>
      </c>
      <c r="I438" t="s">
        <v>262</v>
      </c>
      <c r="J438" t="s">
        <v>562</v>
      </c>
      <c r="K438">
        <v>1</v>
      </c>
      <c r="L438">
        <v>1</v>
      </c>
      <c r="M438" t="s">
        <v>33</v>
      </c>
      <c r="N438">
        <v>1</v>
      </c>
      <c r="O438">
        <v>1</v>
      </c>
      <c r="P438">
        <v>1</v>
      </c>
      <c r="Q438" t="s">
        <v>52</v>
      </c>
      <c r="R438">
        <v>1</v>
      </c>
      <c r="S438">
        <v>1</v>
      </c>
      <c r="T438">
        <v>1</v>
      </c>
      <c r="U438" t="s">
        <v>1794</v>
      </c>
      <c r="V438" t="s">
        <v>1794</v>
      </c>
      <c r="W438" t="s">
        <v>1794</v>
      </c>
      <c r="X438">
        <v>1</v>
      </c>
      <c r="Y438" t="s">
        <v>1794</v>
      </c>
      <c r="Z438">
        <v>0</v>
      </c>
      <c r="AA438" t="s">
        <v>1794</v>
      </c>
      <c r="AB438" t="s">
        <v>1794</v>
      </c>
      <c r="AC438" t="s">
        <v>1794</v>
      </c>
      <c r="AD438" t="s">
        <v>1794</v>
      </c>
      <c r="AE438">
        <v>0</v>
      </c>
      <c r="AF438" t="s">
        <v>1794</v>
      </c>
      <c r="AG438" t="s">
        <v>1794</v>
      </c>
      <c r="AH438" t="s">
        <v>1794</v>
      </c>
    </row>
    <row r="439" spans="1:34" x14ac:dyDescent="0.25">
      <c r="A439" t="s">
        <v>1413</v>
      </c>
      <c r="B439" t="s">
        <v>1414</v>
      </c>
      <c r="C439" t="s">
        <v>460</v>
      </c>
      <c r="D439" t="s">
        <v>358</v>
      </c>
      <c r="E439" t="s">
        <v>1794</v>
      </c>
      <c r="F439" t="s">
        <v>837</v>
      </c>
      <c r="G439" t="s">
        <v>1310</v>
      </c>
      <c r="H439" t="s">
        <v>838</v>
      </c>
      <c r="I439" t="s">
        <v>262</v>
      </c>
      <c r="J439" t="s">
        <v>562</v>
      </c>
      <c r="K439">
        <v>1</v>
      </c>
      <c r="L439">
        <v>1</v>
      </c>
      <c r="M439" t="s">
        <v>33</v>
      </c>
      <c r="N439">
        <v>1</v>
      </c>
      <c r="O439">
        <v>1</v>
      </c>
      <c r="P439">
        <v>1</v>
      </c>
      <c r="Q439" t="s">
        <v>52</v>
      </c>
      <c r="R439">
        <v>1</v>
      </c>
      <c r="S439">
        <v>1</v>
      </c>
      <c r="T439">
        <v>1</v>
      </c>
      <c r="U439" t="s">
        <v>1794</v>
      </c>
      <c r="V439" t="s">
        <v>1794</v>
      </c>
      <c r="W439" t="s">
        <v>1794</v>
      </c>
      <c r="X439">
        <v>1</v>
      </c>
      <c r="Y439" t="s">
        <v>1794</v>
      </c>
      <c r="Z439">
        <v>0</v>
      </c>
      <c r="AA439" t="s">
        <v>1794</v>
      </c>
      <c r="AB439" t="s">
        <v>1794</v>
      </c>
      <c r="AC439" t="s">
        <v>1794</v>
      </c>
      <c r="AD439" t="s">
        <v>1794</v>
      </c>
      <c r="AE439">
        <v>0</v>
      </c>
      <c r="AF439" t="s">
        <v>1794</v>
      </c>
      <c r="AG439" t="s">
        <v>1794</v>
      </c>
      <c r="AH439" t="s">
        <v>1794</v>
      </c>
    </row>
    <row r="440" spans="1:34" x14ac:dyDescent="0.25">
      <c r="A440" t="s">
        <v>1094</v>
      </c>
      <c r="B440" t="s">
        <v>1388</v>
      </c>
      <c r="C440" t="s">
        <v>460</v>
      </c>
      <c r="D440" t="s">
        <v>358</v>
      </c>
      <c r="E440" t="s">
        <v>1794</v>
      </c>
      <c r="F440" t="s">
        <v>839</v>
      </c>
      <c r="G440" t="s">
        <v>1124</v>
      </c>
      <c r="H440" t="s">
        <v>840</v>
      </c>
      <c r="I440" t="s">
        <v>262</v>
      </c>
      <c r="J440" t="s">
        <v>562</v>
      </c>
      <c r="K440">
        <v>1</v>
      </c>
      <c r="L440">
        <v>1</v>
      </c>
      <c r="M440" t="s">
        <v>33</v>
      </c>
      <c r="N440">
        <v>1</v>
      </c>
      <c r="O440">
        <v>1</v>
      </c>
      <c r="P440">
        <v>1</v>
      </c>
      <c r="Q440" t="s">
        <v>52</v>
      </c>
      <c r="R440">
        <v>1</v>
      </c>
      <c r="S440">
        <v>1</v>
      </c>
      <c r="T440">
        <v>1</v>
      </c>
      <c r="U440" t="s">
        <v>1794</v>
      </c>
      <c r="V440" t="s">
        <v>1794</v>
      </c>
      <c r="W440" t="s">
        <v>1794</v>
      </c>
      <c r="X440">
        <v>1</v>
      </c>
      <c r="Y440" t="s">
        <v>1794</v>
      </c>
      <c r="Z440">
        <v>0</v>
      </c>
      <c r="AA440" t="s">
        <v>1794</v>
      </c>
      <c r="AB440" t="s">
        <v>1794</v>
      </c>
      <c r="AC440" t="s">
        <v>1794</v>
      </c>
      <c r="AD440" t="s">
        <v>1794</v>
      </c>
      <c r="AE440">
        <v>0</v>
      </c>
      <c r="AF440" t="s">
        <v>1794</v>
      </c>
      <c r="AG440" t="s">
        <v>1794</v>
      </c>
      <c r="AH440" t="s">
        <v>1794</v>
      </c>
    </row>
    <row r="441" spans="1:34" s="496" customFormat="1" x14ac:dyDescent="0.25">
      <c r="A441" t="s">
        <v>1413</v>
      </c>
      <c r="B441" t="s">
        <v>1414</v>
      </c>
      <c r="C441" t="s">
        <v>460</v>
      </c>
      <c r="D441" t="s">
        <v>358</v>
      </c>
      <c r="E441" t="s">
        <v>1794</v>
      </c>
      <c r="F441" t="s">
        <v>839</v>
      </c>
      <c r="G441" t="s">
        <v>1310</v>
      </c>
      <c r="H441" t="s">
        <v>840</v>
      </c>
      <c r="I441" t="s">
        <v>262</v>
      </c>
      <c r="J441" t="s">
        <v>562</v>
      </c>
      <c r="K441">
        <v>1</v>
      </c>
      <c r="L441">
        <v>1</v>
      </c>
      <c r="M441" t="s">
        <v>33</v>
      </c>
      <c r="N441">
        <v>1</v>
      </c>
      <c r="O441">
        <v>1</v>
      </c>
      <c r="P441">
        <v>1</v>
      </c>
      <c r="Q441" t="s">
        <v>52</v>
      </c>
      <c r="R441">
        <v>1</v>
      </c>
      <c r="S441">
        <v>1</v>
      </c>
      <c r="T441">
        <v>1</v>
      </c>
      <c r="U441" t="s">
        <v>1794</v>
      </c>
      <c r="V441" t="s">
        <v>1794</v>
      </c>
      <c r="W441" t="s">
        <v>1794</v>
      </c>
      <c r="X441">
        <v>1</v>
      </c>
      <c r="Y441" t="s">
        <v>1794</v>
      </c>
      <c r="Z441">
        <v>0</v>
      </c>
      <c r="AA441" t="s">
        <v>1794</v>
      </c>
      <c r="AB441" t="s">
        <v>1794</v>
      </c>
      <c r="AC441" t="s">
        <v>1794</v>
      </c>
      <c r="AD441" t="s">
        <v>1794</v>
      </c>
      <c r="AE441">
        <v>0</v>
      </c>
      <c r="AF441" t="s">
        <v>1794</v>
      </c>
      <c r="AG441" t="s">
        <v>1794</v>
      </c>
      <c r="AH441" t="s">
        <v>1794</v>
      </c>
    </row>
    <row r="442" spans="1:34" s="496" customFormat="1" x14ac:dyDescent="0.25">
      <c r="A442" t="s">
        <v>1094</v>
      </c>
      <c r="B442" t="s">
        <v>1388</v>
      </c>
      <c r="C442" t="s">
        <v>460</v>
      </c>
      <c r="D442" t="s">
        <v>358</v>
      </c>
      <c r="E442" t="s">
        <v>1794</v>
      </c>
      <c r="F442" t="s">
        <v>841</v>
      </c>
      <c r="G442" t="s">
        <v>1124</v>
      </c>
      <c r="H442" t="s">
        <v>842</v>
      </c>
      <c r="I442" t="s">
        <v>262</v>
      </c>
      <c r="J442" t="s">
        <v>567</v>
      </c>
      <c r="K442">
        <v>1</v>
      </c>
      <c r="L442">
        <v>1</v>
      </c>
      <c r="M442" t="s">
        <v>33</v>
      </c>
      <c r="N442">
        <v>1</v>
      </c>
      <c r="O442">
        <v>1</v>
      </c>
      <c r="P442">
        <v>1</v>
      </c>
      <c r="Q442" t="s">
        <v>52</v>
      </c>
      <c r="R442">
        <v>1</v>
      </c>
      <c r="S442">
        <v>1</v>
      </c>
      <c r="T442">
        <v>1</v>
      </c>
      <c r="U442" t="s">
        <v>1794</v>
      </c>
      <c r="V442" t="s">
        <v>1794</v>
      </c>
      <c r="W442" t="s">
        <v>1794</v>
      </c>
      <c r="X442">
        <v>1</v>
      </c>
      <c r="Y442" t="s">
        <v>1794</v>
      </c>
      <c r="Z442">
        <v>0</v>
      </c>
      <c r="AA442" t="s">
        <v>1794</v>
      </c>
      <c r="AB442" t="s">
        <v>1794</v>
      </c>
      <c r="AC442" t="s">
        <v>1794</v>
      </c>
      <c r="AD442" t="s">
        <v>1794</v>
      </c>
      <c r="AE442">
        <v>0</v>
      </c>
      <c r="AF442" t="s">
        <v>1794</v>
      </c>
      <c r="AG442" t="s">
        <v>1794</v>
      </c>
      <c r="AH442" t="s">
        <v>1794</v>
      </c>
    </row>
    <row r="443" spans="1:34" x14ac:dyDescent="0.25">
      <c r="A443" t="s">
        <v>1413</v>
      </c>
      <c r="B443" t="s">
        <v>1414</v>
      </c>
      <c r="C443" t="s">
        <v>460</v>
      </c>
      <c r="D443" t="s">
        <v>358</v>
      </c>
      <c r="E443" t="s">
        <v>1794</v>
      </c>
      <c r="F443" t="s">
        <v>841</v>
      </c>
      <c r="G443" t="s">
        <v>1310</v>
      </c>
      <c r="H443" t="s">
        <v>842</v>
      </c>
      <c r="I443" t="s">
        <v>262</v>
      </c>
      <c r="J443" t="s">
        <v>567</v>
      </c>
      <c r="K443">
        <v>1</v>
      </c>
      <c r="L443">
        <v>1</v>
      </c>
      <c r="M443" t="s">
        <v>33</v>
      </c>
      <c r="N443">
        <v>1</v>
      </c>
      <c r="O443">
        <v>1</v>
      </c>
      <c r="P443">
        <v>1</v>
      </c>
      <c r="Q443" t="s">
        <v>52</v>
      </c>
      <c r="R443">
        <v>1</v>
      </c>
      <c r="S443">
        <v>1</v>
      </c>
      <c r="T443">
        <v>1</v>
      </c>
      <c r="U443" t="s">
        <v>1794</v>
      </c>
      <c r="V443" t="s">
        <v>1794</v>
      </c>
      <c r="W443" t="s">
        <v>1794</v>
      </c>
      <c r="X443">
        <v>1</v>
      </c>
      <c r="Y443" t="s">
        <v>1794</v>
      </c>
      <c r="Z443">
        <v>0</v>
      </c>
      <c r="AA443" t="s">
        <v>1794</v>
      </c>
      <c r="AB443" t="s">
        <v>1794</v>
      </c>
      <c r="AC443" t="s">
        <v>1794</v>
      </c>
      <c r="AD443" t="s">
        <v>1794</v>
      </c>
      <c r="AE443">
        <v>0</v>
      </c>
      <c r="AF443" t="s">
        <v>1794</v>
      </c>
      <c r="AG443" t="s">
        <v>1794</v>
      </c>
      <c r="AH443" t="s">
        <v>1794</v>
      </c>
    </row>
    <row r="444" spans="1:34" x14ac:dyDescent="0.25">
      <c r="A444" t="s">
        <v>1094</v>
      </c>
      <c r="B444" t="s">
        <v>1388</v>
      </c>
      <c r="C444" t="s">
        <v>460</v>
      </c>
      <c r="D444" t="s">
        <v>358</v>
      </c>
      <c r="E444" t="s">
        <v>1794</v>
      </c>
      <c r="F444" t="s">
        <v>843</v>
      </c>
      <c r="G444" t="s">
        <v>1124</v>
      </c>
      <c r="H444" t="s">
        <v>844</v>
      </c>
      <c r="I444" t="s">
        <v>262</v>
      </c>
      <c r="J444" t="s">
        <v>845</v>
      </c>
      <c r="K444">
        <v>1</v>
      </c>
      <c r="L444">
        <v>1</v>
      </c>
      <c r="M444" t="s">
        <v>33</v>
      </c>
      <c r="N444">
        <v>1</v>
      </c>
      <c r="O444">
        <v>1</v>
      </c>
      <c r="P444">
        <v>1</v>
      </c>
      <c r="Q444" t="s">
        <v>52</v>
      </c>
      <c r="R444">
        <v>1</v>
      </c>
      <c r="S444">
        <v>1</v>
      </c>
      <c r="T444">
        <v>1</v>
      </c>
      <c r="U444" t="s">
        <v>1794</v>
      </c>
      <c r="V444" t="s">
        <v>1794</v>
      </c>
      <c r="W444" t="s">
        <v>1794</v>
      </c>
      <c r="X444">
        <v>1</v>
      </c>
      <c r="Y444" t="s">
        <v>1794</v>
      </c>
      <c r="Z444">
        <v>0</v>
      </c>
      <c r="AA444" t="s">
        <v>1794</v>
      </c>
      <c r="AB444" t="s">
        <v>1794</v>
      </c>
      <c r="AC444" t="s">
        <v>1794</v>
      </c>
      <c r="AD444" t="s">
        <v>1794</v>
      </c>
      <c r="AE444">
        <v>0</v>
      </c>
      <c r="AF444" t="s">
        <v>1794</v>
      </c>
      <c r="AG444" t="s">
        <v>1794</v>
      </c>
      <c r="AH444" t="s">
        <v>1794</v>
      </c>
    </row>
    <row r="445" spans="1:34" x14ac:dyDescent="0.25">
      <c r="A445" t="s">
        <v>1413</v>
      </c>
      <c r="B445" t="s">
        <v>1414</v>
      </c>
      <c r="C445" t="s">
        <v>460</v>
      </c>
      <c r="D445" t="s">
        <v>358</v>
      </c>
      <c r="E445" t="s">
        <v>1794</v>
      </c>
      <c r="F445" t="s">
        <v>843</v>
      </c>
      <c r="G445" t="s">
        <v>1310</v>
      </c>
      <c r="H445" t="s">
        <v>844</v>
      </c>
      <c r="I445" t="s">
        <v>262</v>
      </c>
      <c r="J445" t="s">
        <v>845</v>
      </c>
      <c r="K445">
        <v>1</v>
      </c>
      <c r="L445">
        <v>1</v>
      </c>
      <c r="M445" t="s">
        <v>33</v>
      </c>
      <c r="N445">
        <v>1</v>
      </c>
      <c r="O445">
        <v>1</v>
      </c>
      <c r="P445">
        <v>1</v>
      </c>
      <c r="Q445" t="s">
        <v>52</v>
      </c>
      <c r="R445">
        <v>1</v>
      </c>
      <c r="S445">
        <v>1</v>
      </c>
      <c r="T445">
        <v>1</v>
      </c>
      <c r="U445" t="s">
        <v>1794</v>
      </c>
      <c r="V445" t="s">
        <v>1794</v>
      </c>
      <c r="W445" t="s">
        <v>1794</v>
      </c>
      <c r="X445">
        <v>1</v>
      </c>
      <c r="Y445" t="s">
        <v>1794</v>
      </c>
      <c r="Z445">
        <v>0</v>
      </c>
      <c r="AA445" t="s">
        <v>1794</v>
      </c>
      <c r="AB445" t="s">
        <v>1794</v>
      </c>
      <c r="AC445" t="s">
        <v>1794</v>
      </c>
      <c r="AD445" t="s">
        <v>1794</v>
      </c>
      <c r="AE445">
        <v>0</v>
      </c>
      <c r="AF445" t="s">
        <v>1794</v>
      </c>
      <c r="AG445" t="s">
        <v>1794</v>
      </c>
      <c r="AH445" t="s">
        <v>1794</v>
      </c>
    </row>
    <row r="446" spans="1:34" x14ac:dyDescent="0.25">
      <c r="A446" t="s">
        <v>1094</v>
      </c>
      <c r="B446" t="s">
        <v>1388</v>
      </c>
      <c r="C446" t="s">
        <v>460</v>
      </c>
      <c r="D446" t="s">
        <v>358</v>
      </c>
      <c r="E446" t="s">
        <v>1794</v>
      </c>
      <c r="F446" t="s">
        <v>846</v>
      </c>
      <c r="G446" t="s">
        <v>1124</v>
      </c>
      <c r="H446" t="s">
        <v>847</v>
      </c>
      <c r="I446" t="s">
        <v>262</v>
      </c>
      <c r="J446" t="s">
        <v>279</v>
      </c>
      <c r="K446">
        <v>1</v>
      </c>
      <c r="L446">
        <v>1</v>
      </c>
      <c r="M446" t="s">
        <v>33</v>
      </c>
      <c r="N446">
        <v>1</v>
      </c>
      <c r="O446">
        <v>1</v>
      </c>
      <c r="P446">
        <v>1</v>
      </c>
      <c r="Q446" t="s">
        <v>52</v>
      </c>
      <c r="R446">
        <v>1</v>
      </c>
      <c r="S446">
        <v>1</v>
      </c>
      <c r="T446">
        <v>1</v>
      </c>
      <c r="U446" t="s">
        <v>1794</v>
      </c>
      <c r="V446" t="s">
        <v>1794</v>
      </c>
      <c r="W446" t="s">
        <v>1794</v>
      </c>
      <c r="X446">
        <v>1</v>
      </c>
      <c r="Y446" t="s">
        <v>1794</v>
      </c>
      <c r="Z446">
        <v>0</v>
      </c>
      <c r="AA446" t="s">
        <v>1794</v>
      </c>
      <c r="AB446" t="s">
        <v>1794</v>
      </c>
      <c r="AC446" t="s">
        <v>1794</v>
      </c>
      <c r="AD446" t="s">
        <v>1794</v>
      </c>
      <c r="AE446">
        <v>0</v>
      </c>
      <c r="AF446" t="s">
        <v>1794</v>
      </c>
      <c r="AG446" t="s">
        <v>1794</v>
      </c>
      <c r="AH446" t="s">
        <v>1794</v>
      </c>
    </row>
    <row r="447" spans="1:34" x14ac:dyDescent="0.25">
      <c r="A447" t="s">
        <v>1413</v>
      </c>
      <c r="B447" t="s">
        <v>1414</v>
      </c>
      <c r="C447" t="s">
        <v>460</v>
      </c>
      <c r="D447" t="s">
        <v>358</v>
      </c>
      <c r="E447" t="s">
        <v>1794</v>
      </c>
      <c r="F447" t="s">
        <v>846</v>
      </c>
      <c r="G447" t="s">
        <v>1310</v>
      </c>
      <c r="H447" t="s">
        <v>847</v>
      </c>
      <c r="I447" t="s">
        <v>262</v>
      </c>
      <c r="J447" t="s">
        <v>279</v>
      </c>
      <c r="K447">
        <v>1</v>
      </c>
      <c r="L447">
        <v>1</v>
      </c>
      <c r="M447" t="s">
        <v>33</v>
      </c>
      <c r="N447">
        <v>1</v>
      </c>
      <c r="O447">
        <v>1</v>
      </c>
      <c r="P447">
        <v>1</v>
      </c>
      <c r="Q447" t="s">
        <v>52</v>
      </c>
      <c r="R447">
        <v>1</v>
      </c>
      <c r="S447">
        <v>1</v>
      </c>
      <c r="T447">
        <v>1</v>
      </c>
      <c r="U447" t="s">
        <v>1794</v>
      </c>
      <c r="V447" t="s">
        <v>1794</v>
      </c>
      <c r="W447" t="s">
        <v>1794</v>
      </c>
      <c r="X447">
        <v>1</v>
      </c>
      <c r="Y447" t="s">
        <v>1794</v>
      </c>
      <c r="Z447">
        <v>0</v>
      </c>
      <c r="AA447" t="s">
        <v>1794</v>
      </c>
      <c r="AB447" t="s">
        <v>1794</v>
      </c>
      <c r="AC447" t="s">
        <v>1794</v>
      </c>
      <c r="AD447" t="s">
        <v>1794</v>
      </c>
      <c r="AE447">
        <v>0</v>
      </c>
      <c r="AF447" t="s">
        <v>1794</v>
      </c>
      <c r="AG447" t="s">
        <v>1794</v>
      </c>
      <c r="AH447" t="s">
        <v>1794</v>
      </c>
    </row>
    <row r="448" spans="1:34" x14ac:dyDescent="0.25">
      <c r="A448" t="s">
        <v>1094</v>
      </c>
      <c r="B448" t="s">
        <v>1388</v>
      </c>
      <c r="C448" t="s">
        <v>460</v>
      </c>
      <c r="D448" t="s">
        <v>358</v>
      </c>
      <c r="E448" t="s">
        <v>1794</v>
      </c>
      <c r="F448" t="s">
        <v>848</v>
      </c>
      <c r="G448" t="s">
        <v>1124</v>
      </c>
      <c r="H448" t="s">
        <v>849</v>
      </c>
      <c r="I448" t="s">
        <v>262</v>
      </c>
      <c r="J448" t="s">
        <v>279</v>
      </c>
      <c r="K448">
        <v>1</v>
      </c>
      <c r="L448">
        <v>1</v>
      </c>
      <c r="M448" t="s">
        <v>33</v>
      </c>
      <c r="N448">
        <v>1</v>
      </c>
      <c r="O448">
        <v>1</v>
      </c>
      <c r="P448">
        <v>1</v>
      </c>
      <c r="Q448" t="s">
        <v>52</v>
      </c>
      <c r="R448">
        <v>1</v>
      </c>
      <c r="S448">
        <v>1</v>
      </c>
      <c r="T448">
        <v>1</v>
      </c>
      <c r="U448" t="s">
        <v>1794</v>
      </c>
      <c r="V448" t="s">
        <v>1794</v>
      </c>
      <c r="W448" t="s">
        <v>1794</v>
      </c>
      <c r="X448">
        <v>1</v>
      </c>
      <c r="Y448" t="s">
        <v>1794</v>
      </c>
      <c r="Z448">
        <v>0</v>
      </c>
      <c r="AA448" t="s">
        <v>1794</v>
      </c>
      <c r="AB448" t="s">
        <v>1794</v>
      </c>
      <c r="AC448" t="s">
        <v>1794</v>
      </c>
      <c r="AD448" t="s">
        <v>1794</v>
      </c>
      <c r="AE448">
        <v>0</v>
      </c>
      <c r="AF448" t="s">
        <v>1794</v>
      </c>
      <c r="AG448" t="s">
        <v>1794</v>
      </c>
      <c r="AH448" t="s">
        <v>1794</v>
      </c>
    </row>
    <row r="449" spans="1:34" x14ac:dyDescent="0.25">
      <c r="A449" t="s">
        <v>1413</v>
      </c>
      <c r="B449" t="s">
        <v>1414</v>
      </c>
      <c r="C449" t="s">
        <v>460</v>
      </c>
      <c r="D449" t="s">
        <v>358</v>
      </c>
      <c r="E449" t="s">
        <v>1794</v>
      </c>
      <c r="F449" t="s">
        <v>848</v>
      </c>
      <c r="G449" t="s">
        <v>1310</v>
      </c>
      <c r="H449" t="s">
        <v>849</v>
      </c>
      <c r="I449" t="s">
        <v>262</v>
      </c>
      <c r="J449" t="s">
        <v>279</v>
      </c>
      <c r="K449">
        <v>1</v>
      </c>
      <c r="L449">
        <v>1</v>
      </c>
      <c r="M449" t="s">
        <v>33</v>
      </c>
      <c r="N449">
        <v>1</v>
      </c>
      <c r="O449">
        <v>1</v>
      </c>
      <c r="P449">
        <v>1</v>
      </c>
      <c r="Q449" t="s">
        <v>52</v>
      </c>
      <c r="R449">
        <v>1</v>
      </c>
      <c r="S449">
        <v>1</v>
      </c>
      <c r="T449">
        <v>1</v>
      </c>
      <c r="U449" t="s">
        <v>1794</v>
      </c>
      <c r="V449" t="s">
        <v>1794</v>
      </c>
      <c r="W449" t="s">
        <v>1794</v>
      </c>
      <c r="X449">
        <v>1</v>
      </c>
      <c r="Y449" t="s">
        <v>1794</v>
      </c>
      <c r="Z449">
        <v>0</v>
      </c>
      <c r="AA449" t="s">
        <v>1794</v>
      </c>
      <c r="AB449" t="s">
        <v>1794</v>
      </c>
      <c r="AC449" t="s">
        <v>1794</v>
      </c>
      <c r="AD449" t="s">
        <v>1794</v>
      </c>
      <c r="AE449">
        <v>0</v>
      </c>
      <c r="AF449" t="s">
        <v>1794</v>
      </c>
      <c r="AG449" t="s">
        <v>1794</v>
      </c>
      <c r="AH449" t="s">
        <v>1794</v>
      </c>
    </row>
    <row r="450" spans="1:34" x14ac:dyDescent="0.25">
      <c r="A450" t="s">
        <v>1094</v>
      </c>
      <c r="B450" t="s">
        <v>1388</v>
      </c>
      <c r="C450" t="s">
        <v>460</v>
      </c>
      <c r="D450" t="s">
        <v>358</v>
      </c>
      <c r="E450" t="s">
        <v>1794</v>
      </c>
      <c r="F450" t="s">
        <v>850</v>
      </c>
      <c r="G450" t="s">
        <v>1124</v>
      </c>
      <c r="H450" t="s">
        <v>851</v>
      </c>
      <c r="I450" t="s">
        <v>262</v>
      </c>
      <c r="J450" t="s">
        <v>279</v>
      </c>
      <c r="K450">
        <v>1</v>
      </c>
      <c r="L450">
        <v>1</v>
      </c>
      <c r="M450" t="s">
        <v>33</v>
      </c>
      <c r="N450">
        <v>1</v>
      </c>
      <c r="O450">
        <v>1</v>
      </c>
      <c r="P450">
        <v>1</v>
      </c>
      <c r="Q450" t="s">
        <v>52</v>
      </c>
      <c r="R450">
        <v>1</v>
      </c>
      <c r="S450">
        <v>1</v>
      </c>
      <c r="T450">
        <v>1</v>
      </c>
      <c r="U450" t="s">
        <v>1794</v>
      </c>
      <c r="V450" t="s">
        <v>1794</v>
      </c>
      <c r="W450" t="s">
        <v>1794</v>
      </c>
      <c r="X450">
        <v>1</v>
      </c>
      <c r="Y450" t="s">
        <v>1794</v>
      </c>
      <c r="Z450">
        <v>0</v>
      </c>
      <c r="AA450" t="s">
        <v>1794</v>
      </c>
      <c r="AB450" t="s">
        <v>1794</v>
      </c>
      <c r="AC450" t="s">
        <v>1794</v>
      </c>
      <c r="AD450" t="s">
        <v>1794</v>
      </c>
      <c r="AE450">
        <v>0</v>
      </c>
      <c r="AF450" t="s">
        <v>1794</v>
      </c>
      <c r="AG450" t="s">
        <v>1794</v>
      </c>
      <c r="AH450" t="s">
        <v>1794</v>
      </c>
    </row>
    <row r="451" spans="1:34" x14ac:dyDescent="0.25">
      <c r="A451" t="s">
        <v>1413</v>
      </c>
      <c r="B451" t="s">
        <v>1414</v>
      </c>
      <c r="C451" t="s">
        <v>460</v>
      </c>
      <c r="D451" t="s">
        <v>358</v>
      </c>
      <c r="E451" t="s">
        <v>1794</v>
      </c>
      <c r="F451" t="s">
        <v>850</v>
      </c>
      <c r="G451" t="s">
        <v>1310</v>
      </c>
      <c r="H451" t="s">
        <v>851</v>
      </c>
      <c r="I451" t="s">
        <v>262</v>
      </c>
      <c r="J451" t="s">
        <v>279</v>
      </c>
      <c r="K451">
        <v>1</v>
      </c>
      <c r="L451">
        <v>1</v>
      </c>
      <c r="M451" t="s">
        <v>33</v>
      </c>
      <c r="N451">
        <v>1</v>
      </c>
      <c r="O451">
        <v>1</v>
      </c>
      <c r="P451">
        <v>1</v>
      </c>
      <c r="Q451" t="s">
        <v>52</v>
      </c>
      <c r="R451">
        <v>1</v>
      </c>
      <c r="S451">
        <v>1</v>
      </c>
      <c r="T451">
        <v>1</v>
      </c>
      <c r="U451" t="s">
        <v>1794</v>
      </c>
      <c r="V451" t="s">
        <v>1794</v>
      </c>
      <c r="W451" t="s">
        <v>1794</v>
      </c>
      <c r="X451">
        <v>1</v>
      </c>
      <c r="Y451" t="s">
        <v>1794</v>
      </c>
      <c r="Z451">
        <v>0</v>
      </c>
      <c r="AA451" t="s">
        <v>1794</v>
      </c>
      <c r="AB451" t="s">
        <v>1794</v>
      </c>
      <c r="AC451" t="s">
        <v>1794</v>
      </c>
      <c r="AD451" t="s">
        <v>1794</v>
      </c>
      <c r="AE451">
        <v>0</v>
      </c>
      <c r="AF451" t="s">
        <v>1794</v>
      </c>
      <c r="AG451" t="s">
        <v>1794</v>
      </c>
      <c r="AH451" t="s">
        <v>1794</v>
      </c>
    </row>
    <row r="452" spans="1:34" x14ac:dyDescent="0.25">
      <c r="A452" t="s">
        <v>1094</v>
      </c>
      <c r="B452" t="s">
        <v>1388</v>
      </c>
      <c r="C452" t="s">
        <v>460</v>
      </c>
      <c r="D452" t="s">
        <v>358</v>
      </c>
      <c r="E452" t="s">
        <v>1794</v>
      </c>
      <c r="F452" t="s">
        <v>852</v>
      </c>
      <c r="G452" t="s">
        <v>1124</v>
      </c>
      <c r="H452" t="s">
        <v>853</v>
      </c>
      <c r="I452" t="s">
        <v>262</v>
      </c>
      <c r="J452" t="s">
        <v>279</v>
      </c>
      <c r="K452">
        <v>1</v>
      </c>
      <c r="L452">
        <v>1</v>
      </c>
      <c r="M452" t="s">
        <v>33</v>
      </c>
      <c r="N452">
        <v>1</v>
      </c>
      <c r="O452">
        <v>1</v>
      </c>
      <c r="P452">
        <v>1</v>
      </c>
      <c r="Q452" t="s">
        <v>52</v>
      </c>
      <c r="R452">
        <v>1</v>
      </c>
      <c r="S452">
        <v>1</v>
      </c>
      <c r="T452">
        <v>1</v>
      </c>
      <c r="U452" t="s">
        <v>1794</v>
      </c>
      <c r="V452" t="s">
        <v>1794</v>
      </c>
      <c r="W452" t="s">
        <v>1794</v>
      </c>
      <c r="X452">
        <v>1</v>
      </c>
      <c r="Y452" t="s">
        <v>1794</v>
      </c>
      <c r="Z452">
        <v>0</v>
      </c>
      <c r="AA452" t="s">
        <v>1794</v>
      </c>
      <c r="AB452" t="s">
        <v>1794</v>
      </c>
      <c r="AC452" t="s">
        <v>1794</v>
      </c>
      <c r="AD452" t="s">
        <v>1794</v>
      </c>
      <c r="AE452">
        <v>0</v>
      </c>
      <c r="AF452" t="s">
        <v>1794</v>
      </c>
      <c r="AG452" t="s">
        <v>1794</v>
      </c>
      <c r="AH452" t="s">
        <v>1794</v>
      </c>
    </row>
    <row r="453" spans="1:34" ht="59.25" customHeight="1" x14ac:dyDescent="0.25">
      <c r="A453" t="s">
        <v>1413</v>
      </c>
      <c r="B453" t="s">
        <v>1414</v>
      </c>
      <c r="C453" t="s">
        <v>460</v>
      </c>
      <c r="D453" t="s">
        <v>358</v>
      </c>
      <c r="E453" t="s">
        <v>1794</v>
      </c>
      <c r="F453" t="s">
        <v>852</v>
      </c>
      <c r="G453" t="s">
        <v>1310</v>
      </c>
      <c r="H453" t="s">
        <v>853</v>
      </c>
      <c r="I453" t="s">
        <v>262</v>
      </c>
      <c r="J453" t="s">
        <v>279</v>
      </c>
      <c r="K453">
        <v>1</v>
      </c>
      <c r="L453">
        <v>1</v>
      </c>
      <c r="M453" t="s">
        <v>33</v>
      </c>
      <c r="N453">
        <v>1</v>
      </c>
      <c r="O453">
        <v>1</v>
      </c>
      <c r="P453">
        <v>1</v>
      </c>
      <c r="Q453" t="s">
        <v>52</v>
      </c>
      <c r="R453">
        <v>1</v>
      </c>
      <c r="S453">
        <v>1</v>
      </c>
      <c r="T453">
        <v>1</v>
      </c>
      <c r="U453" t="s">
        <v>1794</v>
      </c>
      <c r="V453" t="s">
        <v>1794</v>
      </c>
      <c r="W453" t="s">
        <v>1794</v>
      </c>
      <c r="X453">
        <v>1</v>
      </c>
      <c r="Y453" t="s">
        <v>1794</v>
      </c>
      <c r="Z453">
        <v>0</v>
      </c>
      <c r="AA453" t="s">
        <v>1794</v>
      </c>
      <c r="AB453" t="s">
        <v>1794</v>
      </c>
      <c r="AC453" t="s">
        <v>1794</v>
      </c>
      <c r="AD453" t="s">
        <v>1794</v>
      </c>
      <c r="AE453">
        <v>0</v>
      </c>
      <c r="AF453" t="s">
        <v>1794</v>
      </c>
      <c r="AG453" t="s">
        <v>1794</v>
      </c>
      <c r="AH453" t="s">
        <v>1794</v>
      </c>
    </row>
    <row r="454" spans="1:34" x14ac:dyDescent="0.25">
      <c r="A454" t="s">
        <v>1094</v>
      </c>
      <c r="B454" t="s">
        <v>1388</v>
      </c>
      <c r="C454" t="s">
        <v>460</v>
      </c>
      <c r="D454" t="s">
        <v>358</v>
      </c>
      <c r="E454" t="s">
        <v>1794</v>
      </c>
      <c r="F454" t="s">
        <v>854</v>
      </c>
      <c r="G454" t="s">
        <v>1124</v>
      </c>
      <c r="H454" t="s">
        <v>855</v>
      </c>
      <c r="I454" t="s">
        <v>262</v>
      </c>
      <c r="J454" t="s">
        <v>301</v>
      </c>
      <c r="K454">
        <v>1</v>
      </c>
      <c r="L454">
        <v>1</v>
      </c>
      <c r="M454" t="s">
        <v>33</v>
      </c>
      <c r="N454">
        <v>1</v>
      </c>
      <c r="O454">
        <v>1</v>
      </c>
      <c r="P454">
        <v>1</v>
      </c>
      <c r="Q454" t="s">
        <v>52</v>
      </c>
      <c r="R454">
        <v>1</v>
      </c>
      <c r="S454">
        <v>1</v>
      </c>
      <c r="T454">
        <v>1</v>
      </c>
      <c r="U454" t="s">
        <v>1794</v>
      </c>
      <c r="V454" t="s">
        <v>1794</v>
      </c>
      <c r="W454" t="s">
        <v>1794</v>
      </c>
      <c r="X454">
        <v>1</v>
      </c>
      <c r="Y454" t="s">
        <v>1794</v>
      </c>
      <c r="Z454">
        <v>0</v>
      </c>
      <c r="AA454" t="s">
        <v>1794</v>
      </c>
      <c r="AB454" t="s">
        <v>1794</v>
      </c>
      <c r="AC454" t="s">
        <v>1794</v>
      </c>
      <c r="AD454" t="s">
        <v>1794</v>
      </c>
      <c r="AE454">
        <v>0</v>
      </c>
      <c r="AF454" t="s">
        <v>1794</v>
      </c>
      <c r="AG454" t="s">
        <v>1794</v>
      </c>
      <c r="AH454" t="s">
        <v>1794</v>
      </c>
    </row>
    <row r="455" spans="1:34" x14ac:dyDescent="0.25">
      <c r="A455" t="s">
        <v>1413</v>
      </c>
      <c r="B455" t="s">
        <v>1414</v>
      </c>
      <c r="C455" t="s">
        <v>460</v>
      </c>
      <c r="D455" t="s">
        <v>358</v>
      </c>
      <c r="E455" t="s">
        <v>1794</v>
      </c>
      <c r="F455" t="s">
        <v>854</v>
      </c>
      <c r="G455" t="s">
        <v>1310</v>
      </c>
      <c r="H455" t="s">
        <v>855</v>
      </c>
      <c r="I455" t="s">
        <v>262</v>
      </c>
      <c r="J455" t="s">
        <v>301</v>
      </c>
      <c r="K455">
        <v>1</v>
      </c>
      <c r="L455">
        <v>1</v>
      </c>
      <c r="M455" t="s">
        <v>33</v>
      </c>
      <c r="N455">
        <v>1</v>
      </c>
      <c r="O455">
        <v>1</v>
      </c>
      <c r="P455">
        <v>1</v>
      </c>
      <c r="Q455" t="s">
        <v>52</v>
      </c>
      <c r="R455">
        <v>1</v>
      </c>
      <c r="S455">
        <v>1</v>
      </c>
      <c r="T455">
        <v>1</v>
      </c>
      <c r="U455" t="s">
        <v>1794</v>
      </c>
      <c r="V455" t="s">
        <v>1794</v>
      </c>
      <c r="W455" t="s">
        <v>1794</v>
      </c>
      <c r="X455">
        <v>1</v>
      </c>
      <c r="Y455" t="s">
        <v>1794</v>
      </c>
      <c r="Z455">
        <v>0</v>
      </c>
      <c r="AA455" t="s">
        <v>1794</v>
      </c>
      <c r="AB455" t="s">
        <v>1794</v>
      </c>
      <c r="AC455" t="s">
        <v>1794</v>
      </c>
      <c r="AD455" t="s">
        <v>1794</v>
      </c>
      <c r="AE455">
        <v>0</v>
      </c>
      <c r="AF455" t="s">
        <v>1794</v>
      </c>
      <c r="AG455" t="s">
        <v>1794</v>
      </c>
      <c r="AH455" t="s">
        <v>1794</v>
      </c>
    </row>
    <row r="456" spans="1:34" x14ac:dyDescent="0.25">
      <c r="A456" t="s">
        <v>1094</v>
      </c>
      <c r="B456" t="s">
        <v>1388</v>
      </c>
      <c r="C456" t="s">
        <v>460</v>
      </c>
      <c r="D456" t="s">
        <v>358</v>
      </c>
      <c r="E456" t="s">
        <v>1794</v>
      </c>
      <c r="F456" t="s">
        <v>856</v>
      </c>
      <c r="G456" t="s">
        <v>1124</v>
      </c>
      <c r="H456" t="s">
        <v>857</v>
      </c>
      <c r="I456" t="s">
        <v>262</v>
      </c>
      <c r="J456" t="s">
        <v>301</v>
      </c>
      <c r="K456">
        <v>1</v>
      </c>
      <c r="L456">
        <v>1</v>
      </c>
      <c r="M456" t="s">
        <v>33</v>
      </c>
      <c r="N456">
        <v>1</v>
      </c>
      <c r="O456">
        <v>1</v>
      </c>
      <c r="P456">
        <v>1</v>
      </c>
      <c r="Q456" t="s">
        <v>52</v>
      </c>
      <c r="R456">
        <v>1</v>
      </c>
      <c r="S456">
        <v>1</v>
      </c>
      <c r="T456">
        <v>1</v>
      </c>
      <c r="U456" t="s">
        <v>1794</v>
      </c>
      <c r="V456" t="s">
        <v>1794</v>
      </c>
      <c r="W456" t="s">
        <v>1794</v>
      </c>
      <c r="X456">
        <v>1</v>
      </c>
      <c r="Y456" t="s">
        <v>1794</v>
      </c>
      <c r="Z456">
        <v>0</v>
      </c>
      <c r="AA456" t="s">
        <v>1794</v>
      </c>
      <c r="AB456" t="s">
        <v>1794</v>
      </c>
      <c r="AC456" t="s">
        <v>1794</v>
      </c>
      <c r="AD456" t="s">
        <v>1794</v>
      </c>
      <c r="AE456">
        <v>0</v>
      </c>
      <c r="AF456" t="s">
        <v>1794</v>
      </c>
      <c r="AG456" t="s">
        <v>1794</v>
      </c>
      <c r="AH456" t="s">
        <v>1794</v>
      </c>
    </row>
    <row r="457" spans="1:34" x14ac:dyDescent="0.25">
      <c r="A457" t="s">
        <v>1413</v>
      </c>
      <c r="B457" t="s">
        <v>1414</v>
      </c>
      <c r="C457" t="s">
        <v>460</v>
      </c>
      <c r="D457" t="s">
        <v>358</v>
      </c>
      <c r="E457" t="s">
        <v>1794</v>
      </c>
      <c r="F457" t="s">
        <v>856</v>
      </c>
      <c r="G457" t="s">
        <v>1310</v>
      </c>
      <c r="H457" t="s">
        <v>857</v>
      </c>
      <c r="I457" t="s">
        <v>262</v>
      </c>
      <c r="J457" t="s">
        <v>301</v>
      </c>
      <c r="K457">
        <v>1</v>
      </c>
      <c r="L457">
        <v>1</v>
      </c>
      <c r="M457" t="s">
        <v>33</v>
      </c>
      <c r="N457">
        <v>1</v>
      </c>
      <c r="O457">
        <v>1</v>
      </c>
      <c r="P457">
        <v>1</v>
      </c>
      <c r="Q457" t="s">
        <v>52</v>
      </c>
      <c r="R457">
        <v>1</v>
      </c>
      <c r="S457">
        <v>1</v>
      </c>
      <c r="T457">
        <v>1</v>
      </c>
      <c r="U457" t="s">
        <v>1794</v>
      </c>
      <c r="V457" t="s">
        <v>1794</v>
      </c>
      <c r="W457" t="s">
        <v>1794</v>
      </c>
      <c r="X457">
        <v>1</v>
      </c>
      <c r="Y457" t="s">
        <v>1794</v>
      </c>
      <c r="Z457">
        <v>0</v>
      </c>
      <c r="AA457" t="s">
        <v>1794</v>
      </c>
      <c r="AB457" t="s">
        <v>1794</v>
      </c>
      <c r="AC457" t="s">
        <v>1794</v>
      </c>
      <c r="AD457" t="s">
        <v>1794</v>
      </c>
      <c r="AE457">
        <v>0</v>
      </c>
      <c r="AF457" t="s">
        <v>1794</v>
      </c>
      <c r="AG457" t="s">
        <v>1794</v>
      </c>
      <c r="AH457" t="s">
        <v>1794</v>
      </c>
    </row>
    <row r="458" spans="1:34" x14ac:dyDescent="0.25">
      <c r="A458" t="s">
        <v>1094</v>
      </c>
      <c r="B458" t="s">
        <v>1388</v>
      </c>
      <c r="C458" t="s">
        <v>460</v>
      </c>
      <c r="D458" t="s">
        <v>358</v>
      </c>
      <c r="E458" t="s">
        <v>1794</v>
      </c>
      <c r="F458" t="s">
        <v>858</v>
      </c>
      <c r="G458" t="s">
        <v>1124</v>
      </c>
      <c r="H458" t="s">
        <v>859</v>
      </c>
      <c r="I458" t="s">
        <v>262</v>
      </c>
      <c r="J458" t="s">
        <v>562</v>
      </c>
      <c r="K458">
        <v>1</v>
      </c>
      <c r="L458">
        <v>1</v>
      </c>
      <c r="M458" t="s">
        <v>33</v>
      </c>
      <c r="N458">
        <v>1</v>
      </c>
      <c r="O458">
        <v>1</v>
      </c>
      <c r="P458">
        <v>1</v>
      </c>
      <c r="Q458" t="s">
        <v>52</v>
      </c>
      <c r="R458">
        <v>1</v>
      </c>
      <c r="S458">
        <v>1</v>
      </c>
      <c r="T458">
        <v>1</v>
      </c>
      <c r="U458" t="s">
        <v>1794</v>
      </c>
      <c r="V458" t="s">
        <v>1794</v>
      </c>
      <c r="W458" t="s">
        <v>1794</v>
      </c>
      <c r="X458">
        <v>1</v>
      </c>
      <c r="Y458" t="s">
        <v>1794</v>
      </c>
      <c r="Z458">
        <v>0</v>
      </c>
      <c r="AA458" t="s">
        <v>1794</v>
      </c>
      <c r="AB458" t="s">
        <v>1794</v>
      </c>
      <c r="AC458" t="s">
        <v>1794</v>
      </c>
      <c r="AD458" t="s">
        <v>1794</v>
      </c>
      <c r="AE458">
        <v>0</v>
      </c>
      <c r="AF458" t="s">
        <v>1794</v>
      </c>
      <c r="AG458" t="s">
        <v>1794</v>
      </c>
      <c r="AH458" t="s">
        <v>1794</v>
      </c>
    </row>
    <row r="459" spans="1:34" x14ac:dyDescent="0.25">
      <c r="A459" t="s">
        <v>1413</v>
      </c>
      <c r="B459" t="s">
        <v>1414</v>
      </c>
      <c r="C459" t="s">
        <v>460</v>
      </c>
      <c r="D459" t="s">
        <v>358</v>
      </c>
      <c r="E459" t="s">
        <v>1794</v>
      </c>
      <c r="F459" t="s">
        <v>858</v>
      </c>
      <c r="G459" t="s">
        <v>1310</v>
      </c>
      <c r="H459" t="s">
        <v>859</v>
      </c>
      <c r="I459" t="s">
        <v>262</v>
      </c>
      <c r="J459" t="s">
        <v>562</v>
      </c>
      <c r="K459">
        <v>1</v>
      </c>
      <c r="L459">
        <v>1</v>
      </c>
      <c r="M459" t="s">
        <v>33</v>
      </c>
      <c r="N459">
        <v>1</v>
      </c>
      <c r="O459">
        <v>1</v>
      </c>
      <c r="P459">
        <v>1</v>
      </c>
      <c r="Q459" t="s">
        <v>52</v>
      </c>
      <c r="R459">
        <v>1</v>
      </c>
      <c r="S459">
        <v>1</v>
      </c>
      <c r="T459">
        <v>1</v>
      </c>
      <c r="U459" t="s">
        <v>1794</v>
      </c>
      <c r="V459" t="s">
        <v>1794</v>
      </c>
      <c r="W459" t="s">
        <v>1794</v>
      </c>
      <c r="X459">
        <v>1</v>
      </c>
      <c r="Y459" t="s">
        <v>1794</v>
      </c>
      <c r="Z459">
        <v>0</v>
      </c>
      <c r="AA459" t="s">
        <v>1794</v>
      </c>
      <c r="AB459" t="s">
        <v>1794</v>
      </c>
      <c r="AC459" t="s">
        <v>1794</v>
      </c>
      <c r="AD459" t="s">
        <v>1794</v>
      </c>
      <c r="AE459">
        <v>0</v>
      </c>
      <c r="AF459" t="s">
        <v>1794</v>
      </c>
      <c r="AG459" t="s">
        <v>1794</v>
      </c>
      <c r="AH459" t="s">
        <v>1794</v>
      </c>
    </row>
    <row r="460" spans="1:34" x14ac:dyDescent="0.25">
      <c r="A460" t="s">
        <v>1094</v>
      </c>
      <c r="B460" t="s">
        <v>1388</v>
      </c>
      <c r="C460" t="s">
        <v>460</v>
      </c>
      <c r="D460" t="s">
        <v>358</v>
      </c>
      <c r="E460" t="s">
        <v>1794</v>
      </c>
      <c r="F460" t="s">
        <v>860</v>
      </c>
      <c r="G460" t="s">
        <v>1124</v>
      </c>
      <c r="H460" t="s">
        <v>861</v>
      </c>
      <c r="I460" t="s">
        <v>262</v>
      </c>
      <c r="J460" t="s">
        <v>562</v>
      </c>
      <c r="K460">
        <v>1</v>
      </c>
      <c r="L460">
        <v>1</v>
      </c>
      <c r="M460" t="s">
        <v>33</v>
      </c>
      <c r="N460">
        <v>1</v>
      </c>
      <c r="O460">
        <v>1</v>
      </c>
      <c r="P460">
        <v>1</v>
      </c>
      <c r="Q460" t="s">
        <v>52</v>
      </c>
      <c r="R460">
        <v>1</v>
      </c>
      <c r="S460">
        <v>1</v>
      </c>
      <c r="T460">
        <v>1</v>
      </c>
      <c r="U460" t="s">
        <v>1794</v>
      </c>
      <c r="V460" t="s">
        <v>1794</v>
      </c>
      <c r="W460" t="s">
        <v>1794</v>
      </c>
      <c r="X460">
        <v>1</v>
      </c>
      <c r="Y460" t="s">
        <v>1794</v>
      </c>
      <c r="Z460">
        <v>0</v>
      </c>
      <c r="AA460" t="s">
        <v>1794</v>
      </c>
      <c r="AB460" t="s">
        <v>1794</v>
      </c>
      <c r="AC460" t="s">
        <v>1794</v>
      </c>
      <c r="AD460" t="s">
        <v>1794</v>
      </c>
      <c r="AE460">
        <v>0</v>
      </c>
      <c r="AF460" t="s">
        <v>1794</v>
      </c>
      <c r="AG460" t="s">
        <v>1794</v>
      </c>
      <c r="AH460" t="s">
        <v>1794</v>
      </c>
    </row>
    <row r="461" spans="1:34" x14ac:dyDescent="0.25">
      <c r="A461" t="s">
        <v>1413</v>
      </c>
      <c r="B461" t="s">
        <v>1414</v>
      </c>
      <c r="C461" t="s">
        <v>460</v>
      </c>
      <c r="D461" t="s">
        <v>358</v>
      </c>
      <c r="E461" t="s">
        <v>1794</v>
      </c>
      <c r="F461" t="s">
        <v>860</v>
      </c>
      <c r="G461" t="s">
        <v>1310</v>
      </c>
      <c r="H461" t="s">
        <v>861</v>
      </c>
      <c r="I461" t="s">
        <v>262</v>
      </c>
      <c r="J461" t="s">
        <v>562</v>
      </c>
      <c r="K461">
        <v>1</v>
      </c>
      <c r="L461">
        <v>1</v>
      </c>
      <c r="M461" t="s">
        <v>33</v>
      </c>
      <c r="N461">
        <v>1</v>
      </c>
      <c r="O461">
        <v>1</v>
      </c>
      <c r="P461">
        <v>1</v>
      </c>
      <c r="Q461" t="s">
        <v>52</v>
      </c>
      <c r="R461">
        <v>1</v>
      </c>
      <c r="S461">
        <v>1</v>
      </c>
      <c r="T461">
        <v>1</v>
      </c>
      <c r="U461" t="s">
        <v>1794</v>
      </c>
      <c r="V461" t="s">
        <v>1794</v>
      </c>
      <c r="W461" t="s">
        <v>1794</v>
      </c>
      <c r="X461">
        <v>1</v>
      </c>
      <c r="Y461" t="s">
        <v>1794</v>
      </c>
      <c r="Z461">
        <v>0</v>
      </c>
      <c r="AA461" t="s">
        <v>1794</v>
      </c>
      <c r="AB461" t="s">
        <v>1794</v>
      </c>
      <c r="AC461" t="s">
        <v>1794</v>
      </c>
      <c r="AD461" t="s">
        <v>1794</v>
      </c>
      <c r="AE461">
        <v>0</v>
      </c>
      <c r="AF461" t="s">
        <v>1794</v>
      </c>
      <c r="AG461" t="s">
        <v>1794</v>
      </c>
      <c r="AH461" t="s">
        <v>1794</v>
      </c>
    </row>
    <row r="462" spans="1:34" x14ac:dyDescent="0.25">
      <c r="A462" t="s">
        <v>862</v>
      </c>
      <c r="B462" t="s">
        <v>1594</v>
      </c>
      <c r="C462" t="s">
        <v>258</v>
      </c>
      <c r="D462" t="s">
        <v>358</v>
      </c>
      <c r="E462" t="s">
        <v>1794</v>
      </c>
      <c r="F462" t="s">
        <v>863</v>
      </c>
      <c r="G462" t="s">
        <v>1124</v>
      </c>
      <c r="H462" t="s">
        <v>864</v>
      </c>
      <c r="I462" t="s">
        <v>262</v>
      </c>
      <c r="J462" t="s">
        <v>301</v>
      </c>
      <c r="K462">
        <v>1</v>
      </c>
      <c r="L462">
        <v>1</v>
      </c>
      <c r="M462" t="s">
        <v>33</v>
      </c>
      <c r="N462">
        <v>1</v>
      </c>
      <c r="O462">
        <v>1</v>
      </c>
      <c r="P462">
        <v>1</v>
      </c>
      <c r="Q462" t="s">
        <v>52</v>
      </c>
      <c r="R462">
        <v>1</v>
      </c>
      <c r="S462">
        <v>1</v>
      </c>
      <c r="T462">
        <v>1</v>
      </c>
      <c r="U462" t="s">
        <v>1794</v>
      </c>
      <c r="V462" t="s">
        <v>1794</v>
      </c>
      <c r="W462" t="s">
        <v>1794</v>
      </c>
      <c r="X462">
        <v>1</v>
      </c>
      <c r="Y462" t="s">
        <v>1794</v>
      </c>
      <c r="Z462">
        <v>0</v>
      </c>
      <c r="AA462" t="s">
        <v>1794</v>
      </c>
      <c r="AB462" t="s">
        <v>1794</v>
      </c>
      <c r="AC462" t="s">
        <v>1794</v>
      </c>
      <c r="AD462" t="s">
        <v>1794</v>
      </c>
      <c r="AE462">
        <v>0</v>
      </c>
      <c r="AF462" t="s">
        <v>1794</v>
      </c>
      <c r="AG462" t="s">
        <v>1794</v>
      </c>
      <c r="AH462" t="s">
        <v>1794</v>
      </c>
    </row>
    <row r="463" spans="1:34" x14ac:dyDescent="0.25">
      <c r="A463" t="s">
        <v>587</v>
      </c>
      <c r="B463" t="s">
        <v>1281</v>
      </c>
      <c r="C463" t="s">
        <v>315</v>
      </c>
      <c r="D463" t="s">
        <v>358</v>
      </c>
      <c r="E463" t="s">
        <v>1794</v>
      </c>
      <c r="F463" t="s">
        <v>865</v>
      </c>
      <c r="G463" t="s">
        <v>1124</v>
      </c>
      <c r="H463" t="s">
        <v>1821</v>
      </c>
      <c r="I463" t="s">
        <v>262</v>
      </c>
      <c r="J463" t="s">
        <v>866</v>
      </c>
      <c r="K463">
        <v>1</v>
      </c>
      <c r="L463">
        <v>2</v>
      </c>
      <c r="M463" t="s">
        <v>33</v>
      </c>
      <c r="N463">
        <v>1</v>
      </c>
      <c r="O463">
        <v>2</v>
      </c>
      <c r="P463">
        <v>1</v>
      </c>
      <c r="Q463" t="s">
        <v>52</v>
      </c>
      <c r="R463">
        <v>2</v>
      </c>
      <c r="S463">
        <v>2</v>
      </c>
      <c r="T463">
        <v>2</v>
      </c>
      <c r="U463" t="s">
        <v>1794</v>
      </c>
      <c r="V463" t="s">
        <v>1794</v>
      </c>
      <c r="W463" t="s">
        <v>1794</v>
      </c>
      <c r="X463">
        <v>1</v>
      </c>
      <c r="Y463" t="s">
        <v>1794</v>
      </c>
      <c r="Z463">
        <v>0</v>
      </c>
      <c r="AA463" t="s">
        <v>1794</v>
      </c>
      <c r="AB463" t="s">
        <v>1794</v>
      </c>
      <c r="AC463" t="s">
        <v>1794</v>
      </c>
      <c r="AD463" t="s">
        <v>1794</v>
      </c>
      <c r="AE463">
        <v>0</v>
      </c>
      <c r="AF463" t="s">
        <v>1794</v>
      </c>
      <c r="AG463" t="s">
        <v>1794</v>
      </c>
      <c r="AH463" t="s">
        <v>1794</v>
      </c>
    </row>
    <row r="464" spans="1:34" x14ac:dyDescent="0.25">
      <c r="A464" t="s">
        <v>1338</v>
      </c>
      <c r="B464" t="s">
        <v>1339</v>
      </c>
      <c r="C464" t="s">
        <v>315</v>
      </c>
      <c r="D464" t="s">
        <v>358</v>
      </c>
      <c r="E464" t="s">
        <v>1794</v>
      </c>
      <c r="F464" t="s">
        <v>865</v>
      </c>
      <c r="G464" t="s">
        <v>1124</v>
      </c>
      <c r="H464" t="s">
        <v>1821</v>
      </c>
      <c r="I464" t="s">
        <v>262</v>
      </c>
      <c r="J464" t="s">
        <v>866</v>
      </c>
      <c r="K464">
        <v>1</v>
      </c>
      <c r="L464">
        <v>2</v>
      </c>
      <c r="M464" t="s">
        <v>33</v>
      </c>
      <c r="N464">
        <v>1</v>
      </c>
      <c r="O464">
        <v>2</v>
      </c>
      <c r="P464">
        <v>1</v>
      </c>
      <c r="Q464" t="s">
        <v>52</v>
      </c>
      <c r="R464">
        <v>2</v>
      </c>
      <c r="S464">
        <v>2</v>
      </c>
      <c r="T464">
        <v>2</v>
      </c>
      <c r="U464" t="s">
        <v>1794</v>
      </c>
      <c r="V464" t="s">
        <v>1794</v>
      </c>
      <c r="W464" t="s">
        <v>1794</v>
      </c>
      <c r="X464">
        <v>1</v>
      </c>
      <c r="Y464" t="s">
        <v>1794</v>
      </c>
      <c r="Z464">
        <v>0</v>
      </c>
      <c r="AA464" t="s">
        <v>1794</v>
      </c>
      <c r="AB464" t="s">
        <v>1794</v>
      </c>
      <c r="AC464" t="s">
        <v>1794</v>
      </c>
      <c r="AD464" t="s">
        <v>1794</v>
      </c>
      <c r="AE464">
        <v>0</v>
      </c>
      <c r="AF464" t="s">
        <v>1794</v>
      </c>
      <c r="AG464" t="s">
        <v>1794</v>
      </c>
      <c r="AH464" t="s">
        <v>1794</v>
      </c>
    </row>
    <row r="465" spans="1:34" x14ac:dyDescent="0.25">
      <c r="A465" t="s">
        <v>1496</v>
      </c>
      <c r="B465" t="s">
        <v>1497</v>
      </c>
      <c r="C465" t="s">
        <v>315</v>
      </c>
      <c r="D465" t="s">
        <v>358</v>
      </c>
      <c r="E465" t="s">
        <v>1794</v>
      </c>
      <c r="F465" t="s">
        <v>865</v>
      </c>
      <c r="G465" t="s">
        <v>1124</v>
      </c>
      <c r="H465" t="s">
        <v>1821</v>
      </c>
      <c r="I465" t="s">
        <v>262</v>
      </c>
      <c r="J465" t="s">
        <v>866</v>
      </c>
      <c r="K465">
        <v>1</v>
      </c>
      <c r="L465">
        <v>2</v>
      </c>
      <c r="M465" t="s">
        <v>33</v>
      </c>
      <c r="N465">
        <v>1</v>
      </c>
      <c r="O465">
        <v>2</v>
      </c>
      <c r="P465">
        <v>1</v>
      </c>
      <c r="Q465" t="s">
        <v>52</v>
      </c>
      <c r="R465">
        <v>2</v>
      </c>
      <c r="S465">
        <v>2</v>
      </c>
      <c r="T465">
        <v>2</v>
      </c>
      <c r="U465" t="s">
        <v>1794</v>
      </c>
      <c r="V465" t="s">
        <v>1794</v>
      </c>
      <c r="W465" t="s">
        <v>1794</v>
      </c>
      <c r="X465">
        <v>1</v>
      </c>
      <c r="Y465" t="s">
        <v>1794</v>
      </c>
      <c r="Z465">
        <v>0</v>
      </c>
      <c r="AA465" t="s">
        <v>1794</v>
      </c>
      <c r="AB465" t="s">
        <v>1794</v>
      </c>
      <c r="AC465" t="s">
        <v>1794</v>
      </c>
      <c r="AD465" t="s">
        <v>1794</v>
      </c>
      <c r="AE465">
        <v>0</v>
      </c>
      <c r="AF465" t="s">
        <v>1794</v>
      </c>
      <c r="AG465" t="s">
        <v>1794</v>
      </c>
      <c r="AH465" t="s">
        <v>1794</v>
      </c>
    </row>
    <row r="466" spans="1:34" x14ac:dyDescent="0.25">
      <c r="A466" t="s">
        <v>1498</v>
      </c>
      <c r="B466" t="s">
        <v>1499</v>
      </c>
      <c r="C466" t="s">
        <v>315</v>
      </c>
      <c r="D466" t="s">
        <v>358</v>
      </c>
      <c r="E466" t="s">
        <v>1794</v>
      </c>
      <c r="F466" t="s">
        <v>865</v>
      </c>
      <c r="G466" t="s">
        <v>1124</v>
      </c>
      <c r="H466" t="s">
        <v>1821</v>
      </c>
      <c r="I466" t="s">
        <v>262</v>
      </c>
      <c r="J466" t="s">
        <v>866</v>
      </c>
      <c r="K466">
        <v>1</v>
      </c>
      <c r="L466">
        <v>2</v>
      </c>
      <c r="M466" t="s">
        <v>33</v>
      </c>
      <c r="N466">
        <v>1</v>
      </c>
      <c r="O466">
        <v>2</v>
      </c>
      <c r="P466">
        <v>1</v>
      </c>
      <c r="Q466" t="s">
        <v>52</v>
      </c>
      <c r="R466">
        <v>2</v>
      </c>
      <c r="S466">
        <v>2</v>
      </c>
      <c r="T466">
        <v>2</v>
      </c>
      <c r="U466" t="s">
        <v>1794</v>
      </c>
      <c r="V466" t="s">
        <v>1794</v>
      </c>
      <c r="W466" t="s">
        <v>1794</v>
      </c>
      <c r="X466">
        <v>1</v>
      </c>
      <c r="Y466" t="s">
        <v>1794</v>
      </c>
      <c r="Z466">
        <v>0</v>
      </c>
      <c r="AA466" t="s">
        <v>1794</v>
      </c>
      <c r="AB466" t="s">
        <v>1794</v>
      </c>
      <c r="AC466" t="s">
        <v>1794</v>
      </c>
      <c r="AD466" t="s">
        <v>1794</v>
      </c>
      <c r="AE466">
        <v>0</v>
      </c>
      <c r="AF466" t="s">
        <v>1794</v>
      </c>
      <c r="AG466" t="s">
        <v>1794</v>
      </c>
      <c r="AH466" t="s">
        <v>1794</v>
      </c>
    </row>
    <row r="467" spans="1:34" x14ac:dyDescent="0.25">
      <c r="A467" t="s">
        <v>587</v>
      </c>
      <c r="B467" t="s">
        <v>1281</v>
      </c>
      <c r="C467" t="s">
        <v>315</v>
      </c>
      <c r="D467" t="s">
        <v>358</v>
      </c>
      <c r="E467" t="s">
        <v>1794</v>
      </c>
      <c r="F467" t="s">
        <v>867</v>
      </c>
      <c r="G467" t="s">
        <v>1124</v>
      </c>
      <c r="H467" t="s">
        <v>1822</v>
      </c>
      <c r="I467" t="s">
        <v>262</v>
      </c>
      <c r="J467" t="s">
        <v>692</v>
      </c>
      <c r="K467">
        <v>1</v>
      </c>
      <c r="L467">
        <v>2</v>
      </c>
      <c r="M467" t="s">
        <v>33</v>
      </c>
      <c r="N467">
        <v>1</v>
      </c>
      <c r="O467">
        <v>2</v>
      </c>
      <c r="P467">
        <v>1</v>
      </c>
      <c r="Q467" t="s">
        <v>52</v>
      </c>
      <c r="R467">
        <v>2</v>
      </c>
      <c r="S467">
        <v>2</v>
      </c>
      <c r="T467">
        <v>2</v>
      </c>
      <c r="U467" t="s">
        <v>1794</v>
      </c>
      <c r="V467" t="s">
        <v>1794</v>
      </c>
      <c r="W467" t="s">
        <v>1794</v>
      </c>
      <c r="X467">
        <v>1</v>
      </c>
      <c r="Y467" t="s">
        <v>1794</v>
      </c>
      <c r="Z467">
        <v>0</v>
      </c>
      <c r="AA467" t="s">
        <v>1794</v>
      </c>
      <c r="AB467" t="s">
        <v>1794</v>
      </c>
      <c r="AC467" t="s">
        <v>1794</v>
      </c>
      <c r="AD467" t="s">
        <v>1794</v>
      </c>
      <c r="AE467">
        <v>0</v>
      </c>
      <c r="AF467" t="s">
        <v>1794</v>
      </c>
      <c r="AG467" t="s">
        <v>1794</v>
      </c>
      <c r="AH467" t="s">
        <v>1794</v>
      </c>
    </row>
    <row r="468" spans="1:34" x14ac:dyDescent="0.25">
      <c r="A468" t="s">
        <v>1338</v>
      </c>
      <c r="B468" t="s">
        <v>1339</v>
      </c>
      <c r="C468" t="s">
        <v>315</v>
      </c>
      <c r="D468" t="s">
        <v>358</v>
      </c>
      <c r="E468" t="s">
        <v>1794</v>
      </c>
      <c r="F468" t="s">
        <v>867</v>
      </c>
      <c r="G468" t="s">
        <v>1124</v>
      </c>
      <c r="H468" t="s">
        <v>1822</v>
      </c>
      <c r="I468" t="s">
        <v>262</v>
      </c>
      <c r="J468" t="s">
        <v>692</v>
      </c>
      <c r="K468">
        <v>1</v>
      </c>
      <c r="L468">
        <v>2</v>
      </c>
      <c r="M468" t="s">
        <v>33</v>
      </c>
      <c r="N468">
        <v>1</v>
      </c>
      <c r="O468">
        <v>2</v>
      </c>
      <c r="P468">
        <v>1</v>
      </c>
      <c r="Q468" t="s">
        <v>52</v>
      </c>
      <c r="R468">
        <v>2</v>
      </c>
      <c r="S468">
        <v>2</v>
      </c>
      <c r="T468">
        <v>2</v>
      </c>
      <c r="U468" t="s">
        <v>1794</v>
      </c>
      <c r="V468" t="s">
        <v>1794</v>
      </c>
      <c r="W468" t="s">
        <v>1794</v>
      </c>
      <c r="X468">
        <v>1</v>
      </c>
      <c r="Y468" t="s">
        <v>1794</v>
      </c>
      <c r="Z468">
        <v>0</v>
      </c>
      <c r="AA468" t="s">
        <v>1794</v>
      </c>
      <c r="AB468" t="s">
        <v>1794</v>
      </c>
      <c r="AC468" t="s">
        <v>1794</v>
      </c>
      <c r="AD468" t="s">
        <v>1794</v>
      </c>
      <c r="AE468">
        <v>0</v>
      </c>
      <c r="AF468" t="s">
        <v>1794</v>
      </c>
      <c r="AG468" t="s">
        <v>1794</v>
      </c>
      <c r="AH468" t="s">
        <v>1794</v>
      </c>
    </row>
    <row r="469" spans="1:34" ht="19.5" customHeight="1" x14ac:dyDescent="0.25">
      <c r="A469" t="s">
        <v>862</v>
      </c>
      <c r="B469" t="s">
        <v>1594</v>
      </c>
      <c r="C469" t="s">
        <v>315</v>
      </c>
      <c r="D469" t="s">
        <v>358</v>
      </c>
      <c r="E469" t="s">
        <v>1794</v>
      </c>
      <c r="F469" t="s">
        <v>867</v>
      </c>
      <c r="G469" t="s">
        <v>1124</v>
      </c>
      <c r="H469" t="s">
        <v>1822</v>
      </c>
      <c r="I469" t="s">
        <v>262</v>
      </c>
      <c r="J469" t="s">
        <v>692</v>
      </c>
      <c r="K469">
        <v>1</v>
      </c>
      <c r="L469">
        <v>2</v>
      </c>
      <c r="M469" t="s">
        <v>33</v>
      </c>
      <c r="N469">
        <v>1</v>
      </c>
      <c r="O469">
        <v>2</v>
      </c>
      <c r="P469">
        <v>1</v>
      </c>
      <c r="Q469" t="s">
        <v>52</v>
      </c>
      <c r="R469">
        <v>2</v>
      </c>
      <c r="S469">
        <v>2</v>
      </c>
      <c r="T469">
        <v>2</v>
      </c>
      <c r="U469" t="s">
        <v>1794</v>
      </c>
      <c r="V469" t="s">
        <v>1794</v>
      </c>
      <c r="W469" t="s">
        <v>1794</v>
      </c>
      <c r="X469">
        <v>1</v>
      </c>
      <c r="Y469" t="s">
        <v>1794</v>
      </c>
      <c r="Z469">
        <v>0</v>
      </c>
      <c r="AA469" t="s">
        <v>1794</v>
      </c>
      <c r="AB469" t="s">
        <v>1794</v>
      </c>
      <c r="AC469" t="s">
        <v>1794</v>
      </c>
      <c r="AD469" t="s">
        <v>1794</v>
      </c>
      <c r="AE469">
        <v>0</v>
      </c>
      <c r="AF469" t="s">
        <v>1794</v>
      </c>
      <c r="AG469" t="s">
        <v>1794</v>
      </c>
      <c r="AH469" t="s">
        <v>1794</v>
      </c>
    </row>
    <row r="470" spans="1:34" x14ac:dyDescent="0.25">
      <c r="A470" t="s">
        <v>1496</v>
      </c>
      <c r="B470" t="s">
        <v>1497</v>
      </c>
      <c r="C470" t="s">
        <v>315</v>
      </c>
      <c r="D470" t="s">
        <v>358</v>
      </c>
      <c r="E470" t="s">
        <v>1794</v>
      </c>
      <c r="F470" t="s">
        <v>867</v>
      </c>
      <c r="G470" t="s">
        <v>1124</v>
      </c>
      <c r="H470" t="s">
        <v>1822</v>
      </c>
      <c r="I470" t="s">
        <v>262</v>
      </c>
      <c r="J470" t="s">
        <v>692</v>
      </c>
      <c r="K470">
        <v>1</v>
      </c>
      <c r="L470">
        <v>2</v>
      </c>
      <c r="M470" t="s">
        <v>33</v>
      </c>
      <c r="N470">
        <v>1</v>
      </c>
      <c r="O470">
        <v>2</v>
      </c>
      <c r="P470">
        <v>1</v>
      </c>
      <c r="Q470" t="s">
        <v>52</v>
      </c>
      <c r="R470">
        <v>2</v>
      </c>
      <c r="S470">
        <v>2</v>
      </c>
      <c r="T470">
        <v>2</v>
      </c>
      <c r="U470" t="s">
        <v>1794</v>
      </c>
      <c r="V470" t="s">
        <v>1794</v>
      </c>
      <c r="W470" t="s">
        <v>1794</v>
      </c>
      <c r="X470">
        <v>1</v>
      </c>
      <c r="Y470" t="s">
        <v>1794</v>
      </c>
      <c r="Z470">
        <v>0</v>
      </c>
      <c r="AA470" t="s">
        <v>1794</v>
      </c>
      <c r="AB470" t="s">
        <v>1794</v>
      </c>
      <c r="AC470" t="s">
        <v>1794</v>
      </c>
      <c r="AD470" t="s">
        <v>1794</v>
      </c>
      <c r="AE470">
        <v>0</v>
      </c>
      <c r="AF470" t="s">
        <v>1794</v>
      </c>
      <c r="AG470" t="s">
        <v>1794</v>
      </c>
      <c r="AH470" t="s">
        <v>1794</v>
      </c>
    </row>
    <row r="471" spans="1:34" x14ac:dyDescent="0.25">
      <c r="A471" t="s">
        <v>862</v>
      </c>
      <c r="B471" t="s">
        <v>1594</v>
      </c>
      <c r="C471" t="s">
        <v>258</v>
      </c>
      <c r="D471" t="s">
        <v>358</v>
      </c>
      <c r="E471" t="s">
        <v>1794</v>
      </c>
      <c r="F471" t="s">
        <v>868</v>
      </c>
      <c r="G471" t="s">
        <v>1124</v>
      </c>
      <c r="H471" t="s">
        <v>1823</v>
      </c>
      <c r="I471" t="s">
        <v>262</v>
      </c>
      <c r="J471" t="s">
        <v>692</v>
      </c>
      <c r="K471">
        <v>1</v>
      </c>
      <c r="L471">
        <v>2</v>
      </c>
      <c r="M471" t="s">
        <v>33</v>
      </c>
      <c r="N471">
        <v>1</v>
      </c>
      <c r="O471">
        <v>2</v>
      </c>
      <c r="P471">
        <v>1</v>
      </c>
      <c r="Q471" t="s">
        <v>52</v>
      </c>
      <c r="R471">
        <v>2</v>
      </c>
      <c r="S471">
        <v>2</v>
      </c>
      <c r="T471">
        <v>2</v>
      </c>
      <c r="U471" t="s">
        <v>1794</v>
      </c>
      <c r="V471" t="s">
        <v>1794</v>
      </c>
      <c r="W471" t="s">
        <v>1794</v>
      </c>
      <c r="X471">
        <v>1</v>
      </c>
      <c r="Y471" t="s">
        <v>1794</v>
      </c>
      <c r="Z471">
        <v>0</v>
      </c>
      <c r="AA471" t="s">
        <v>1794</v>
      </c>
      <c r="AB471" t="s">
        <v>1794</v>
      </c>
      <c r="AC471" t="s">
        <v>1794</v>
      </c>
      <c r="AD471" t="s">
        <v>1794</v>
      </c>
      <c r="AE471">
        <v>0</v>
      </c>
      <c r="AF471" t="s">
        <v>1794</v>
      </c>
      <c r="AG471" t="s">
        <v>1794</v>
      </c>
      <c r="AH471" t="s">
        <v>1794</v>
      </c>
    </row>
    <row r="472" spans="1:34" x14ac:dyDescent="0.25">
      <c r="A472" t="s">
        <v>587</v>
      </c>
      <c r="B472" t="s">
        <v>1281</v>
      </c>
      <c r="C472" t="s">
        <v>315</v>
      </c>
      <c r="D472" t="s">
        <v>358</v>
      </c>
      <c r="E472" t="s">
        <v>1794</v>
      </c>
      <c r="F472" t="s">
        <v>869</v>
      </c>
      <c r="G472" t="s">
        <v>1124</v>
      </c>
      <c r="H472" t="s">
        <v>870</v>
      </c>
      <c r="I472" t="s">
        <v>262</v>
      </c>
      <c r="J472" t="s">
        <v>692</v>
      </c>
      <c r="K472">
        <v>1</v>
      </c>
      <c r="L472">
        <v>4</v>
      </c>
      <c r="M472" t="s">
        <v>33</v>
      </c>
      <c r="N472">
        <v>1</v>
      </c>
      <c r="O472">
        <v>4</v>
      </c>
      <c r="P472">
        <v>1</v>
      </c>
      <c r="Q472" t="s">
        <v>52</v>
      </c>
      <c r="R472">
        <v>4</v>
      </c>
      <c r="S472">
        <v>4</v>
      </c>
      <c r="T472">
        <v>4</v>
      </c>
      <c r="U472" t="s">
        <v>1794</v>
      </c>
      <c r="V472" t="s">
        <v>1794</v>
      </c>
      <c r="W472" t="s">
        <v>1794</v>
      </c>
      <c r="X472">
        <v>1</v>
      </c>
      <c r="Y472" t="s">
        <v>1794</v>
      </c>
      <c r="Z472">
        <v>0</v>
      </c>
      <c r="AA472" t="s">
        <v>1794</v>
      </c>
      <c r="AB472" t="s">
        <v>1794</v>
      </c>
      <c r="AC472" t="s">
        <v>1794</v>
      </c>
      <c r="AD472" t="s">
        <v>1794</v>
      </c>
      <c r="AE472">
        <v>0</v>
      </c>
      <c r="AF472" t="s">
        <v>1794</v>
      </c>
      <c r="AG472" t="s">
        <v>1794</v>
      </c>
      <c r="AH472" t="s">
        <v>1794</v>
      </c>
    </row>
    <row r="473" spans="1:34" x14ac:dyDescent="0.25">
      <c r="A473" t="s">
        <v>1338</v>
      </c>
      <c r="B473" t="s">
        <v>1339</v>
      </c>
      <c r="C473" t="s">
        <v>315</v>
      </c>
      <c r="D473" t="s">
        <v>358</v>
      </c>
      <c r="E473" t="s">
        <v>1794</v>
      </c>
      <c r="F473" t="s">
        <v>869</v>
      </c>
      <c r="G473" t="s">
        <v>1124</v>
      </c>
      <c r="H473" t="s">
        <v>870</v>
      </c>
      <c r="I473" t="s">
        <v>262</v>
      </c>
      <c r="J473" t="s">
        <v>692</v>
      </c>
      <c r="K473">
        <v>1</v>
      </c>
      <c r="L473">
        <v>4</v>
      </c>
      <c r="M473" t="s">
        <v>33</v>
      </c>
      <c r="N473">
        <v>1</v>
      </c>
      <c r="O473">
        <v>4</v>
      </c>
      <c r="P473">
        <v>1</v>
      </c>
      <c r="Q473" t="s">
        <v>52</v>
      </c>
      <c r="R473">
        <v>4</v>
      </c>
      <c r="S473">
        <v>4</v>
      </c>
      <c r="T473">
        <v>4</v>
      </c>
      <c r="U473" t="s">
        <v>1794</v>
      </c>
      <c r="V473" t="s">
        <v>1794</v>
      </c>
      <c r="W473" t="s">
        <v>1794</v>
      </c>
      <c r="X473">
        <v>1</v>
      </c>
      <c r="Y473" t="s">
        <v>1794</v>
      </c>
      <c r="Z473">
        <v>0</v>
      </c>
      <c r="AA473" t="s">
        <v>1794</v>
      </c>
      <c r="AB473" t="s">
        <v>1794</v>
      </c>
      <c r="AC473" t="s">
        <v>1794</v>
      </c>
      <c r="AD473" t="s">
        <v>1794</v>
      </c>
      <c r="AE473">
        <v>0</v>
      </c>
      <c r="AF473" t="s">
        <v>1794</v>
      </c>
      <c r="AG473" t="s">
        <v>1794</v>
      </c>
      <c r="AH473" t="s">
        <v>1794</v>
      </c>
    </row>
    <row r="474" spans="1:34" x14ac:dyDescent="0.25">
      <c r="A474" t="s">
        <v>1496</v>
      </c>
      <c r="B474" t="s">
        <v>1497</v>
      </c>
      <c r="C474" t="s">
        <v>315</v>
      </c>
      <c r="D474" t="s">
        <v>358</v>
      </c>
      <c r="E474" t="s">
        <v>1794</v>
      </c>
      <c r="F474" t="s">
        <v>869</v>
      </c>
      <c r="G474" t="s">
        <v>1124</v>
      </c>
      <c r="H474" t="s">
        <v>870</v>
      </c>
      <c r="I474" t="s">
        <v>262</v>
      </c>
      <c r="J474" t="s">
        <v>692</v>
      </c>
      <c r="K474">
        <v>1</v>
      </c>
      <c r="L474">
        <v>4</v>
      </c>
      <c r="M474" t="s">
        <v>33</v>
      </c>
      <c r="N474">
        <v>1</v>
      </c>
      <c r="O474">
        <v>4</v>
      </c>
      <c r="P474">
        <v>1</v>
      </c>
      <c r="Q474" t="s">
        <v>52</v>
      </c>
      <c r="R474">
        <v>4</v>
      </c>
      <c r="S474">
        <v>4</v>
      </c>
      <c r="T474">
        <v>4</v>
      </c>
      <c r="U474" t="s">
        <v>1794</v>
      </c>
      <c r="V474" t="s">
        <v>1794</v>
      </c>
      <c r="W474" t="s">
        <v>1794</v>
      </c>
      <c r="X474">
        <v>1</v>
      </c>
      <c r="Y474" t="s">
        <v>1794</v>
      </c>
      <c r="Z474">
        <v>0</v>
      </c>
      <c r="AA474" t="s">
        <v>1794</v>
      </c>
      <c r="AB474" t="s">
        <v>1794</v>
      </c>
      <c r="AC474" t="s">
        <v>1794</v>
      </c>
      <c r="AD474" t="s">
        <v>1794</v>
      </c>
      <c r="AE474">
        <v>0</v>
      </c>
      <c r="AF474" t="s">
        <v>1794</v>
      </c>
      <c r="AG474" t="s">
        <v>1794</v>
      </c>
      <c r="AH474" t="s">
        <v>1794</v>
      </c>
    </row>
    <row r="475" spans="1:34" x14ac:dyDescent="0.25">
      <c r="A475" t="s">
        <v>1336</v>
      </c>
      <c r="B475" t="s">
        <v>1337</v>
      </c>
      <c r="C475" t="s">
        <v>315</v>
      </c>
      <c r="D475" t="s">
        <v>358</v>
      </c>
      <c r="E475" t="s">
        <v>1794</v>
      </c>
      <c r="F475" t="s">
        <v>871</v>
      </c>
      <c r="G475" t="s">
        <v>1124</v>
      </c>
      <c r="H475" t="s">
        <v>872</v>
      </c>
      <c r="I475" t="s">
        <v>262</v>
      </c>
      <c r="J475" t="s">
        <v>873</v>
      </c>
      <c r="K475">
        <v>1</v>
      </c>
      <c r="L475">
        <v>5</v>
      </c>
      <c r="M475" t="s">
        <v>33</v>
      </c>
      <c r="N475">
        <v>1</v>
      </c>
      <c r="O475">
        <v>5</v>
      </c>
      <c r="P475">
        <v>1</v>
      </c>
      <c r="Q475" t="s">
        <v>52</v>
      </c>
      <c r="R475">
        <v>5</v>
      </c>
      <c r="S475">
        <v>5</v>
      </c>
      <c r="T475">
        <v>5</v>
      </c>
      <c r="U475" t="s">
        <v>1794</v>
      </c>
      <c r="V475" t="s">
        <v>1794</v>
      </c>
      <c r="W475" t="s">
        <v>1794</v>
      </c>
      <c r="X475">
        <v>1</v>
      </c>
      <c r="Y475" t="s">
        <v>1794</v>
      </c>
      <c r="Z475">
        <v>0</v>
      </c>
      <c r="AA475" t="s">
        <v>1794</v>
      </c>
      <c r="AB475" t="s">
        <v>1794</v>
      </c>
      <c r="AC475" t="s">
        <v>1794</v>
      </c>
      <c r="AD475" t="s">
        <v>1794</v>
      </c>
      <c r="AE475">
        <v>0</v>
      </c>
      <c r="AF475" t="s">
        <v>1794</v>
      </c>
      <c r="AG475" t="s">
        <v>1794</v>
      </c>
      <c r="AH475" t="s">
        <v>1794</v>
      </c>
    </row>
    <row r="476" spans="1:34" x14ac:dyDescent="0.25">
      <c r="A476" t="s">
        <v>1494</v>
      </c>
      <c r="B476" t="s">
        <v>1495</v>
      </c>
      <c r="C476" t="s">
        <v>315</v>
      </c>
      <c r="D476" t="s">
        <v>358</v>
      </c>
      <c r="E476" t="s">
        <v>1794</v>
      </c>
      <c r="F476" t="s">
        <v>871</v>
      </c>
      <c r="G476" t="s">
        <v>1124</v>
      </c>
      <c r="H476" t="s">
        <v>872</v>
      </c>
      <c r="I476" t="s">
        <v>262</v>
      </c>
      <c r="J476" t="s">
        <v>873</v>
      </c>
      <c r="K476">
        <v>1</v>
      </c>
      <c r="L476">
        <v>5</v>
      </c>
      <c r="M476" t="s">
        <v>33</v>
      </c>
      <c r="N476">
        <v>1</v>
      </c>
      <c r="O476">
        <v>5</v>
      </c>
      <c r="P476">
        <v>1</v>
      </c>
      <c r="Q476" t="s">
        <v>52</v>
      </c>
      <c r="R476">
        <v>5</v>
      </c>
      <c r="S476">
        <v>5</v>
      </c>
      <c r="T476">
        <v>5</v>
      </c>
      <c r="U476" t="s">
        <v>1794</v>
      </c>
      <c r="V476" t="s">
        <v>1794</v>
      </c>
      <c r="W476" t="s">
        <v>1794</v>
      </c>
      <c r="X476">
        <v>1</v>
      </c>
      <c r="Y476" t="s">
        <v>1794</v>
      </c>
      <c r="Z476">
        <v>0</v>
      </c>
      <c r="AA476" t="s">
        <v>1794</v>
      </c>
      <c r="AB476" t="s">
        <v>1794</v>
      </c>
      <c r="AC476" t="s">
        <v>1794</v>
      </c>
      <c r="AD476" t="s">
        <v>1794</v>
      </c>
      <c r="AE476">
        <v>0</v>
      </c>
      <c r="AF476" t="s">
        <v>1794</v>
      </c>
      <c r="AG476" t="s">
        <v>1794</v>
      </c>
      <c r="AH476" t="s">
        <v>1794</v>
      </c>
    </row>
    <row r="477" spans="1:34" x14ac:dyDescent="0.25">
      <c r="A477" t="s">
        <v>874</v>
      </c>
      <c r="B477" t="s">
        <v>1442</v>
      </c>
      <c r="C477" t="s">
        <v>460</v>
      </c>
      <c r="D477" t="s">
        <v>358</v>
      </c>
      <c r="E477" t="s">
        <v>1794</v>
      </c>
      <c r="F477" t="s">
        <v>875</v>
      </c>
      <c r="G477" t="s">
        <v>1124</v>
      </c>
      <c r="H477" t="s">
        <v>1824</v>
      </c>
      <c r="I477" t="s">
        <v>262</v>
      </c>
      <c r="J477" t="s">
        <v>279</v>
      </c>
      <c r="K477">
        <v>1</v>
      </c>
      <c r="L477">
        <v>2</v>
      </c>
      <c r="M477" t="s">
        <v>33</v>
      </c>
      <c r="N477">
        <v>1</v>
      </c>
      <c r="O477">
        <v>2</v>
      </c>
      <c r="P477">
        <v>1</v>
      </c>
      <c r="Q477" t="s">
        <v>52</v>
      </c>
      <c r="R477">
        <v>2</v>
      </c>
      <c r="S477">
        <v>2</v>
      </c>
      <c r="T477">
        <v>2</v>
      </c>
      <c r="U477" t="s">
        <v>1794</v>
      </c>
      <c r="V477" t="s">
        <v>1794</v>
      </c>
      <c r="W477" t="s">
        <v>1794</v>
      </c>
      <c r="X477">
        <v>1</v>
      </c>
      <c r="Y477" t="s">
        <v>1794</v>
      </c>
      <c r="Z477">
        <v>0</v>
      </c>
      <c r="AA477" t="s">
        <v>1794</v>
      </c>
      <c r="AB477" t="s">
        <v>1794</v>
      </c>
      <c r="AC477" t="s">
        <v>1794</v>
      </c>
      <c r="AD477" t="s">
        <v>1794</v>
      </c>
      <c r="AE477">
        <v>0</v>
      </c>
      <c r="AF477" t="s">
        <v>1794</v>
      </c>
      <c r="AG477" t="s">
        <v>1794</v>
      </c>
      <c r="AH477" t="s">
        <v>1794</v>
      </c>
    </row>
    <row r="478" spans="1:34" s="496" customFormat="1" x14ac:dyDescent="0.25">
      <c r="A478" t="s">
        <v>874</v>
      </c>
      <c r="B478" t="s">
        <v>1442</v>
      </c>
      <c r="C478" t="s">
        <v>460</v>
      </c>
      <c r="D478" t="s">
        <v>358</v>
      </c>
      <c r="E478" t="s">
        <v>1794</v>
      </c>
      <c r="F478" t="s">
        <v>876</v>
      </c>
      <c r="G478" t="s">
        <v>1124</v>
      </c>
      <c r="H478" t="s">
        <v>1825</v>
      </c>
      <c r="I478" t="s">
        <v>262</v>
      </c>
      <c r="J478" t="s">
        <v>279</v>
      </c>
      <c r="K478">
        <v>1</v>
      </c>
      <c r="L478">
        <v>2</v>
      </c>
      <c r="M478" t="s">
        <v>33</v>
      </c>
      <c r="N478">
        <v>1</v>
      </c>
      <c r="O478">
        <v>2</v>
      </c>
      <c r="P478">
        <v>1</v>
      </c>
      <c r="Q478" t="s">
        <v>52</v>
      </c>
      <c r="R478">
        <v>2</v>
      </c>
      <c r="S478">
        <v>2</v>
      </c>
      <c r="T478">
        <v>2</v>
      </c>
      <c r="U478" t="s">
        <v>1794</v>
      </c>
      <c r="V478" t="s">
        <v>1794</v>
      </c>
      <c r="W478" t="s">
        <v>1794</v>
      </c>
      <c r="X478">
        <v>1</v>
      </c>
      <c r="Y478" t="s">
        <v>1794</v>
      </c>
      <c r="Z478">
        <v>0</v>
      </c>
      <c r="AA478" t="s">
        <v>1794</v>
      </c>
      <c r="AB478" t="s">
        <v>1794</v>
      </c>
      <c r="AC478" t="s">
        <v>1794</v>
      </c>
      <c r="AD478" t="s">
        <v>1794</v>
      </c>
      <c r="AE478">
        <v>0</v>
      </c>
      <c r="AF478" t="s">
        <v>1794</v>
      </c>
      <c r="AG478" t="s">
        <v>1794</v>
      </c>
      <c r="AH478" t="s">
        <v>1794</v>
      </c>
    </row>
    <row r="479" spans="1:34" s="496" customFormat="1" x14ac:dyDescent="0.25">
      <c r="A479" t="s">
        <v>1253</v>
      </c>
      <c r="B479" t="s">
        <v>1099</v>
      </c>
      <c r="C479" t="s">
        <v>460</v>
      </c>
      <c r="D479" t="s">
        <v>358</v>
      </c>
      <c r="E479" t="s">
        <v>1794</v>
      </c>
      <c r="F479" t="s">
        <v>877</v>
      </c>
      <c r="G479" t="s">
        <v>619</v>
      </c>
      <c r="H479" t="s">
        <v>878</v>
      </c>
      <c r="I479" t="s">
        <v>262</v>
      </c>
      <c r="J479" t="s">
        <v>279</v>
      </c>
      <c r="K479">
        <v>1</v>
      </c>
      <c r="L479">
        <v>1</v>
      </c>
      <c r="M479" t="s">
        <v>33</v>
      </c>
      <c r="N479">
        <v>1</v>
      </c>
      <c r="O479">
        <v>1</v>
      </c>
      <c r="P479">
        <v>1</v>
      </c>
      <c r="Q479" t="s">
        <v>52</v>
      </c>
      <c r="R479">
        <v>1</v>
      </c>
      <c r="S479">
        <v>1</v>
      </c>
      <c r="T479">
        <v>1</v>
      </c>
      <c r="U479" t="s">
        <v>1794</v>
      </c>
      <c r="V479" t="s">
        <v>1794</v>
      </c>
      <c r="W479" t="s">
        <v>1794</v>
      </c>
      <c r="X479">
        <v>1</v>
      </c>
      <c r="Y479" t="s">
        <v>1794</v>
      </c>
      <c r="Z479">
        <v>0</v>
      </c>
      <c r="AA479" t="s">
        <v>1794</v>
      </c>
      <c r="AB479" t="s">
        <v>1794</v>
      </c>
      <c r="AC479" t="s">
        <v>1794</v>
      </c>
      <c r="AD479" t="s">
        <v>1794</v>
      </c>
      <c r="AE479">
        <v>0</v>
      </c>
      <c r="AF479" t="s">
        <v>1794</v>
      </c>
      <c r="AG479" t="s">
        <v>1794</v>
      </c>
      <c r="AH479" t="s">
        <v>1794</v>
      </c>
    </row>
    <row r="480" spans="1:34" x14ac:dyDescent="0.25">
      <c r="A480" t="s">
        <v>1410</v>
      </c>
      <c r="B480" t="s">
        <v>1411</v>
      </c>
      <c r="C480" t="s">
        <v>460</v>
      </c>
      <c r="D480" t="s">
        <v>358</v>
      </c>
      <c r="E480" t="s">
        <v>1794</v>
      </c>
      <c r="F480" t="s">
        <v>877</v>
      </c>
      <c r="G480" t="s">
        <v>619</v>
      </c>
      <c r="H480" t="s">
        <v>878</v>
      </c>
      <c r="I480" t="s">
        <v>262</v>
      </c>
      <c r="J480" t="s">
        <v>279</v>
      </c>
      <c r="K480">
        <v>1</v>
      </c>
      <c r="L480">
        <v>1</v>
      </c>
      <c r="M480" t="s">
        <v>33</v>
      </c>
      <c r="N480">
        <v>1</v>
      </c>
      <c r="O480">
        <v>1</v>
      </c>
      <c r="P480">
        <v>1</v>
      </c>
      <c r="Q480" t="s">
        <v>52</v>
      </c>
      <c r="R480">
        <v>1</v>
      </c>
      <c r="S480">
        <v>1</v>
      </c>
      <c r="T480">
        <v>1</v>
      </c>
      <c r="U480" t="s">
        <v>1794</v>
      </c>
      <c r="V480" t="s">
        <v>1794</v>
      </c>
      <c r="W480" t="s">
        <v>1794</v>
      </c>
      <c r="X480">
        <v>1</v>
      </c>
      <c r="Y480" t="s">
        <v>1794</v>
      </c>
      <c r="Z480">
        <v>0</v>
      </c>
      <c r="AA480" t="s">
        <v>1794</v>
      </c>
      <c r="AB480" t="s">
        <v>1794</v>
      </c>
      <c r="AC480" t="s">
        <v>1794</v>
      </c>
      <c r="AD480" t="s">
        <v>1794</v>
      </c>
      <c r="AE480">
        <v>0</v>
      </c>
      <c r="AF480" t="s">
        <v>1794</v>
      </c>
      <c r="AG480" t="s">
        <v>1794</v>
      </c>
      <c r="AH480" t="s">
        <v>1794</v>
      </c>
    </row>
    <row r="481" spans="1:34" x14ac:dyDescent="0.25">
      <c r="A481" t="s">
        <v>693</v>
      </c>
      <c r="B481" t="s">
        <v>1447</v>
      </c>
      <c r="C481" t="s">
        <v>460</v>
      </c>
      <c r="D481" t="s">
        <v>358</v>
      </c>
      <c r="E481" t="s">
        <v>1794</v>
      </c>
      <c r="F481" t="s">
        <v>879</v>
      </c>
      <c r="G481" t="s">
        <v>1124</v>
      </c>
      <c r="H481" t="s">
        <v>880</v>
      </c>
      <c r="I481" t="s">
        <v>262</v>
      </c>
      <c r="J481" t="s">
        <v>652</v>
      </c>
      <c r="K481">
        <v>1</v>
      </c>
      <c r="L481">
        <v>1</v>
      </c>
      <c r="M481" t="s">
        <v>33</v>
      </c>
      <c r="N481">
        <v>1</v>
      </c>
      <c r="O481">
        <v>1</v>
      </c>
      <c r="P481">
        <v>1</v>
      </c>
      <c r="Q481" t="s">
        <v>52</v>
      </c>
      <c r="R481">
        <v>1</v>
      </c>
      <c r="S481">
        <v>1</v>
      </c>
      <c r="T481">
        <v>1</v>
      </c>
      <c r="U481" t="s">
        <v>1794</v>
      </c>
      <c r="V481" t="s">
        <v>1794</v>
      </c>
      <c r="W481" t="s">
        <v>1794</v>
      </c>
      <c r="X481">
        <v>1</v>
      </c>
      <c r="Y481" t="s">
        <v>1794</v>
      </c>
      <c r="Z481">
        <v>0</v>
      </c>
      <c r="AA481" t="s">
        <v>1794</v>
      </c>
      <c r="AB481" t="s">
        <v>1794</v>
      </c>
      <c r="AC481" t="s">
        <v>1794</v>
      </c>
      <c r="AD481" t="s">
        <v>1794</v>
      </c>
      <c r="AE481">
        <v>0</v>
      </c>
      <c r="AF481" t="s">
        <v>1794</v>
      </c>
      <c r="AG481" t="s">
        <v>1794</v>
      </c>
      <c r="AH481" t="s">
        <v>1794</v>
      </c>
    </row>
    <row r="482" spans="1:34" x14ac:dyDescent="0.25">
      <c r="A482" t="s">
        <v>874</v>
      </c>
      <c r="B482" t="s">
        <v>1442</v>
      </c>
      <c r="C482" t="s">
        <v>460</v>
      </c>
      <c r="D482" t="s">
        <v>358</v>
      </c>
      <c r="E482" t="s">
        <v>1794</v>
      </c>
      <c r="F482" t="s">
        <v>881</v>
      </c>
      <c r="G482" t="s">
        <v>1124</v>
      </c>
      <c r="H482" t="s">
        <v>882</v>
      </c>
      <c r="I482" t="s">
        <v>262</v>
      </c>
      <c r="J482" t="s">
        <v>279</v>
      </c>
      <c r="K482">
        <v>1</v>
      </c>
      <c r="L482">
        <v>1</v>
      </c>
      <c r="M482" t="s">
        <v>33</v>
      </c>
      <c r="N482">
        <v>1</v>
      </c>
      <c r="O482">
        <v>1</v>
      </c>
      <c r="P482">
        <v>1</v>
      </c>
      <c r="Q482" t="s">
        <v>52</v>
      </c>
      <c r="R482">
        <v>1</v>
      </c>
      <c r="S482">
        <v>1</v>
      </c>
      <c r="T482">
        <v>1</v>
      </c>
      <c r="U482" t="s">
        <v>1794</v>
      </c>
      <c r="V482" t="s">
        <v>1794</v>
      </c>
      <c r="W482" t="s">
        <v>1794</v>
      </c>
      <c r="X482">
        <v>1</v>
      </c>
      <c r="Y482" t="s">
        <v>1794</v>
      </c>
      <c r="Z482">
        <v>0</v>
      </c>
      <c r="AA482" t="s">
        <v>1794</v>
      </c>
      <c r="AB482" t="s">
        <v>1794</v>
      </c>
      <c r="AC482" t="s">
        <v>1794</v>
      </c>
      <c r="AD482" t="s">
        <v>1794</v>
      </c>
      <c r="AE482">
        <v>0</v>
      </c>
      <c r="AF482" t="s">
        <v>1794</v>
      </c>
      <c r="AG482" t="s">
        <v>1794</v>
      </c>
      <c r="AH482" t="s">
        <v>1794</v>
      </c>
    </row>
    <row r="483" spans="1:34" x14ac:dyDescent="0.25">
      <c r="A483" t="s">
        <v>1523</v>
      </c>
      <c r="B483" t="s">
        <v>1524</v>
      </c>
      <c r="C483" t="s">
        <v>330</v>
      </c>
      <c r="D483" t="s">
        <v>358</v>
      </c>
      <c r="E483" t="s">
        <v>1794</v>
      </c>
      <c r="F483" t="s">
        <v>883</v>
      </c>
      <c r="G483" t="s">
        <v>1124</v>
      </c>
      <c r="H483" t="s">
        <v>884</v>
      </c>
      <c r="I483" t="s">
        <v>262</v>
      </c>
      <c r="J483" t="s">
        <v>301</v>
      </c>
      <c r="K483">
        <v>1</v>
      </c>
      <c r="L483">
        <v>4</v>
      </c>
      <c r="M483" t="s">
        <v>33</v>
      </c>
      <c r="N483">
        <v>1</v>
      </c>
      <c r="O483">
        <v>4</v>
      </c>
      <c r="P483">
        <v>1</v>
      </c>
      <c r="Q483" t="s">
        <v>52</v>
      </c>
      <c r="R483">
        <v>4</v>
      </c>
      <c r="S483">
        <v>4</v>
      </c>
      <c r="T483">
        <v>4</v>
      </c>
      <c r="U483" t="s">
        <v>1794</v>
      </c>
      <c r="V483" t="s">
        <v>1794</v>
      </c>
      <c r="W483">
        <v>0</v>
      </c>
      <c r="X483">
        <v>1</v>
      </c>
      <c r="Y483" t="s">
        <v>1794</v>
      </c>
      <c r="Z483">
        <v>0</v>
      </c>
      <c r="AA483" t="s">
        <v>1794</v>
      </c>
      <c r="AB483" t="s">
        <v>1794</v>
      </c>
      <c r="AC483" t="s">
        <v>1794</v>
      </c>
      <c r="AD483" t="s">
        <v>1794</v>
      </c>
      <c r="AE483">
        <v>0</v>
      </c>
      <c r="AF483" t="s">
        <v>1794</v>
      </c>
      <c r="AG483" t="s">
        <v>1794</v>
      </c>
      <c r="AH483" t="s">
        <v>1794</v>
      </c>
    </row>
    <row r="484" spans="1:34" x14ac:dyDescent="0.25">
      <c r="A484" t="s">
        <v>1521</v>
      </c>
      <c r="B484" t="s">
        <v>1522</v>
      </c>
      <c r="C484" t="s">
        <v>330</v>
      </c>
      <c r="D484" t="s">
        <v>358</v>
      </c>
      <c r="E484" t="s">
        <v>1794</v>
      </c>
      <c r="F484" t="s">
        <v>883</v>
      </c>
      <c r="G484" t="s">
        <v>1124</v>
      </c>
      <c r="H484" t="s">
        <v>884</v>
      </c>
      <c r="I484" t="s">
        <v>262</v>
      </c>
      <c r="J484" t="s">
        <v>301</v>
      </c>
      <c r="K484">
        <v>1</v>
      </c>
      <c r="L484">
        <v>4</v>
      </c>
      <c r="M484" t="s">
        <v>33</v>
      </c>
      <c r="N484">
        <v>1</v>
      </c>
      <c r="O484">
        <v>4</v>
      </c>
      <c r="P484">
        <v>1</v>
      </c>
      <c r="Q484" t="s">
        <v>52</v>
      </c>
      <c r="R484">
        <v>4</v>
      </c>
      <c r="S484">
        <v>4</v>
      </c>
      <c r="T484">
        <v>4</v>
      </c>
      <c r="U484" t="s">
        <v>1794</v>
      </c>
      <c r="V484" t="s">
        <v>1794</v>
      </c>
      <c r="W484">
        <v>0</v>
      </c>
      <c r="X484">
        <v>1</v>
      </c>
      <c r="Y484" t="s">
        <v>1794</v>
      </c>
      <c r="Z484">
        <v>0</v>
      </c>
      <c r="AA484" t="s">
        <v>1794</v>
      </c>
      <c r="AB484" t="s">
        <v>1794</v>
      </c>
      <c r="AC484" t="s">
        <v>1794</v>
      </c>
      <c r="AD484" t="s">
        <v>1794</v>
      </c>
      <c r="AE484">
        <v>0</v>
      </c>
      <c r="AF484" t="s">
        <v>1794</v>
      </c>
      <c r="AG484" t="s">
        <v>1794</v>
      </c>
      <c r="AH484" t="s">
        <v>1794</v>
      </c>
    </row>
    <row r="485" spans="1:34" x14ac:dyDescent="0.25">
      <c r="A485" t="s">
        <v>1541</v>
      </c>
      <c r="B485" t="s">
        <v>1542</v>
      </c>
      <c r="C485" t="s">
        <v>330</v>
      </c>
      <c r="D485" t="s">
        <v>358</v>
      </c>
      <c r="E485" t="s">
        <v>1794</v>
      </c>
      <c r="F485" t="s">
        <v>883</v>
      </c>
      <c r="G485" t="s">
        <v>1124</v>
      </c>
      <c r="H485" t="s">
        <v>884</v>
      </c>
      <c r="I485" t="s">
        <v>262</v>
      </c>
      <c r="J485" t="s">
        <v>301</v>
      </c>
      <c r="K485">
        <v>1</v>
      </c>
      <c r="L485">
        <v>4</v>
      </c>
      <c r="M485" t="s">
        <v>33</v>
      </c>
      <c r="N485">
        <v>1</v>
      </c>
      <c r="O485">
        <v>4</v>
      </c>
      <c r="P485">
        <v>1</v>
      </c>
      <c r="Q485" t="s">
        <v>52</v>
      </c>
      <c r="R485">
        <v>4</v>
      </c>
      <c r="S485">
        <v>4</v>
      </c>
      <c r="T485">
        <v>4</v>
      </c>
      <c r="U485" t="s">
        <v>1794</v>
      </c>
      <c r="V485" t="s">
        <v>1794</v>
      </c>
      <c r="W485">
        <v>0</v>
      </c>
      <c r="X485">
        <v>1</v>
      </c>
      <c r="Y485" t="s">
        <v>1794</v>
      </c>
      <c r="Z485">
        <v>0</v>
      </c>
      <c r="AA485" t="s">
        <v>1794</v>
      </c>
      <c r="AB485" t="s">
        <v>1794</v>
      </c>
      <c r="AC485" t="s">
        <v>1794</v>
      </c>
      <c r="AD485" t="s">
        <v>1794</v>
      </c>
      <c r="AE485">
        <v>0</v>
      </c>
      <c r="AF485" t="s">
        <v>1794</v>
      </c>
      <c r="AG485" t="s">
        <v>1794</v>
      </c>
      <c r="AH485" t="s">
        <v>1794</v>
      </c>
    </row>
    <row r="486" spans="1:34" x14ac:dyDescent="0.25">
      <c r="A486" t="s">
        <v>1418</v>
      </c>
      <c r="B486" t="s">
        <v>1419</v>
      </c>
      <c r="C486" t="s">
        <v>306</v>
      </c>
      <c r="D486" t="s">
        <v>358</v>
      </c>
      <c r="E486" t="s">
        <v>1794</v>
      </c>
      <c r="F486" t="s">
        <v>885</v>
      </c>
      <c r="G486" t="s">
        <v>1124</v>
      </c>
      <c r="H486" t="s">
        <v>886</v>
      </c>
      <c r="I486" t="s">
        <v>262</v>
      </c>
      <c r="J486" t="s">
        <v>887</v>
      </c>
      <c r="K486">
        <v>1</v>
      </c>
      <c r="L486">
        <v>1</v>
      </c>
      <c r="M486" t="s">
        <v>33</v>
      </c>
      <c r="N486">
        <v>1</v>
      </c>
      <c r="O486">
        <v>1</v>
      </c>
      <c r="P486">
        <v>1</v>
      </c>
      <c r="Q486" t="s">
        <v>52</v>
      </c>
      <c r="R486">
        <v>1</v>
      </c>
      <c r="S486">
        <v>1</v>
      </c>
      <c r="T486">
        <v>1</v>
      </c>
      <c r="U486" t="s">
        <v>1794</v>
      </c>
      <c r="V486" t="s">
        <v>1794</v>
      </c>
      <c r="W486" t="s">
        <v>1794</v>
      </c>
      <c r="X486">
        <v>1</v>
      </c>
      <c r="Y486" t="s">
        <v>1794</v>
      </c>
      <c r="Z486">
        <v>0</v>
      </c>
      <c r="AA486" t="s">
        <v>1794</v>
      </c>
      <c r="AB486" t="s">
        <v>1794</v>
      </c>
      <c r="AC486" t="s">
        <v>1794</v>
      </c>
      <c r="AD486" t="s">
        <v>1794</v>
      </c>
      <c r="AE486">
        <v>0</v>
      </c>
      <c r="AF486" t="s">
        <v>1794</v>
      </c>
      <c r="AG486" t="s">
        <v>1794</v>
      </c>
      <c r="AH486" t="s">
        <v>1794</v>
      </c>
    </row>
    <row r="487" spans="1:34" x14ac:dyDescent="0.25">
      <c r="A487" t="s">
        <v>890</v>
      </c>
      <c r="B487" t="s">
        <v>1426</v>
      </c>
      <c r="C487" t="s">
        <v>306</v>
      </c>
      <c r="D487" t="s">
        <v>358</v>
      </c>
      <c r="E487" t="s">
        <v>1794</v>
      </c>
      <c r="F487" t="s">
        <v>885</v>
      </c>
      <c r="G487" t="s">
        <v>1124</v>
      </c>
      <c r="H487" t="s">
        <v>886</v>
      </c>
      <c r="I487" t="s">
        <v>262</v>
      </c>
      <c r="J487" t="s">
        <v>887</v>
      </c>
      <c r="K487">
        <v>1</v>
      </c>
      <c r="L487">
        <v>1</v>
      </c>
      <c r="M487" t="s">
        <v>33</v>
      </c>
      <c r="N487">
        <v>1</v>
      </c>
      <c r="O487">
        <v>1</v>
      </c>
      <c r="P487">
        <v>1</v>
      </c>
      <c r="Q487" t="s">
        <v>52</v>
      </c>
      <c r="R487">
        <v>1</v>
      </c>
      <c r="S487">
        <v>1</v>
      </c>
      <c r="T487">
        <v>1</v>
      </c>
      <c r="U487" t="s">
        <v>1794</v>
      </c>
      <c r="V487" t="s">
        <v>1794</v>
      </c>
      <c r="W487" t="s">
        <v>1794</v>
      </c>
      <c r="X487">
        <v>1</v>
      </c>
      <c r="Y487" t="s">
        <v>1794</v>
      </c>
      <c r="Z487">
        <v>0</v>
      </c>
      <c r="AA487" t="s">
        <v>1794</v>
      </c>
      <c r="AB487" t="s">
        <v>1794</v>
      </c>
      <c r="AC487" t="s">
        <v>1794</v>
      </c>
      <c r="AD487" t="s">
        <v>1794</v>
      </c>
      <c r="AE487">
        <v>0</v>
      </c>
      <c r="AF487" t="s">
        <v>1794</v>
      </c>
      <c r="AG487" t="s">
        <v>1794</v>
      </c>
      <c r="AH487" t="s">
        <v>1794</v>
      </c>
    </row>
    <row r="488" spans="1:34" x14ac:dyDescent="0.25">
      <c r="A488" t="s">
        <v>1502</v>
      </c>
      <c r="B488" t="s">
        <v>1503</v>
      </c>
      <c r="C488" t="s">
        <v>306</v>
      </c>
      <c r="D488" t="s">
        <v>358</v>
      </c>
      <c r="E488" t="s">
        <v>1794</v>
      </c>
      <c r="F488" t="s">
        <v>885</v>
      </c>
      <c r="G488" t="s">
        <v>1124</v>
      </c>
      <c r="H488" t="s">
        <v>886</v>
      </c>
      <c r="I488" t="s">
        <v>262</v>
      </c>
      <c r="J488" t="s">
        <v>887</v>
      </c>
      <c r="K488">
        <v>1</v>
      </c>
      <c r="L488">
        <v>1</v>
      </c>
      <c r="M488" t="s">
        <v>33</v>
      </c>
      <c r="N488">
        <v>1</v>
      </c>
      <c r="O488">
        <v>1</v>
      </c>
      <c r="P488">
        <v>1</v>
      </c>
      <c r="Q488" t="s">
        <v>52</v>
      </c>
      <c r="R488">
        <v>1</v>
      </c>
      <c r="S488">
        <v>1</v>
      </c>
      <c r="T488">
        <v>1</v>
      </c>
      <c r="U488" t="s">
        <v>1794</v>
      </c>
      <c r="V488" t="s">
        <v>1794</v>
      </c>
      <c r="W488" t="s">
        <v>1794</v>
      </c>
      <c r="X488">
        <v>1</v>
      </c>
      <c r="Y488" t="s">
        <v>1794</v>
      </c>
      <c r="Z488">
        <v>0</v>
      </c>
      <c r="AA488" t="s">
        <v>1794</v>
      </c>
      <c r="AB488" t="s">
        <v>1794</v>
      </c>
      <c r="AC488" t="s">
        <v>1794</v>
      </c>
      <c r="AD488" t="s">
        <v>1794</v>
      </c>
      <c r="AE488">
        <v>0</v>
      </c>
      <c r="AF488" t="s">
        <v>1794</v>
      </c>
      <c r="AG488" t="s">
        <v>1794</v>
      </c>
      <c r="AH488" t="s">
        <v>1794</v>
      </c>
    </row>
    <row r="489" spans="1:34" x14ac:dyDescent="0.25">
      <c r="A489" t="s">
        <v>890</v>
      </c>
      <c r="B489" t="s">
        <v>1426</v>
      </c>
      <c r="C489" t="s">
        <v>306</v>
      </c>
      <c r="D489" t="s">
        <v>358</v>
      </c>
      <c r="E489" t="s">
        <v>1794</v>
      </c>
      <c r="F489" t="s">
        <v>888</v>
      </c>
      <c r="G489" t="s">
        <v>1124</v>
      </c>
      <c r="H489" t="s">
        <v>889</v>
      </c>
      <c r="I489" t="s">
        <v>262</v>
      </c>
      <c r="J489" t="s">
        <v>301</v>
      </c>
      <c r="K489">
        <v>1</v>
      </c>
      <c r="L489">
        <v>1</v>
      </c>
      <c r="M489" t="s">
        <v>33</v>
      </c>
      <c r="N489">
        <v>1</v>
      </c>
      <c r="O489">
        <v>1</v>
      </c>
      <c r="P489">
        <v>1</v>
      </c>
      <c r="Q489" t="s">
        <v>52</v>
      </c>
      <c r="R489">
        <v>1</v>
      </c>
      <c r="S489">
        <v>1</v>
      </c>
      <c r="T489">
        <v>1</v>
      </c>
      <c r="U489" t="s">
        <v>1794</v>
      </c>
      <c r="V489" t="s">
        <v>1794</v>
      </c>
      <c r="W489" t="s">
        <v>1794</v>
      </c>
      <c r="X489">
        <v>1</v>
      </c>
      <c r="Y489" t="s">
        <v>1794</v>
      </c>
      <c r="Z489">
        <v>0</v>
      </c>
      <c r="AA489" t="s">
        <v>1794</v>
      </c>
      <c r="AB489" t="s">
        <v>1794</v>
      </c>
      <c r="AC489" t="s">
        <v>1794</v>
      </c>
      <c r="AD489" t="s">
        <v>1794</v>
      </c>
      <c r="AE489">
        <v>0</v>
      </c>
      <c r="AF489" t="s">
        <v>1794</v>
      </c>
      <c r="AG489" t="s">
        <v>1794</v>
      </c>
      <c r="AH489" t="s">
        <v>1794</v>
      </c>
    </row>
    <row r="490" spans="1:34" x14ac:dyDescent="0.25">
      <c r="A490" t="s">
        <v>1443</v>
      </c>
      <c r="B490" t="s">
        <v>1444</v>
      </c>
      <c r="C490" t="s">
        <v>306</v>
      </c>
      <c r="D490" t="s">
        <v>358</v>
      </c>
      <c r="E490" t="s">
        <v>1794</v>
      </c>
      <c r="F490" t="s">
        <v>888</v>
      </c>
      <c r="G490" t="s">
        <v>1124</v>
      </c>
      <c r="H490" t="s">
        <v>889</v>
      </c>
      <c r="I490" t="s">
        <v>262</v>
      </c>
      <c r="J490" t="s">
        <v>301</v>
      </c>
      <c r="K490">
        <v>1</v>
      </c>
      <c r="L490">
        <v>1</v>
      </c>
      <c r="M490" t="s">
        <v>33</v>
      </c>
      <c r="N490">
        <v>1</v>
      </c>
      <c r="O490">
        <v>1</v>
      </c>
      <c r="P490">
        <v>1</v>
      </c>
      <c r="Q490" t="s">
        <v>52</v>
      </c>
      <c r="R490">
        <v>1</v>
      </c>
      <c r="S490">
        <v>1</v>
      </c>
      <c r="T490">
        <v>1</v>
      </c>
      <c r="U490" t="s">
        <v>1794</v>
      </c>
      <c r="V490" t="s">
        <v>1794</v>
      </c>
      <c r="W490" t="s">
        <v>1794</v>
      </c>
      <c r="X490">
        <v>1</v>
      </c>
      <c r="Y490" t="s">
        <v>1794</v>
      </c>
      <c r="Z490">
        <v>0</v>
      </c>
      <c r="AA490" t="s">
        <v>1794</v>
      </c>
      <c r="AB490" t="s">
        <v>1794</v>
      </c>
      <c r="AC490" t="s">
        <v>1794</v>
      </c>
      <c r="AD490" t="s">
        <v>1794</v>
      </c>
      <c r="AE490">
        <v>0</v>
      </c>
      <c r="AF490" t="s">
        <v>1794</v>
      </c>
      <c r="AG490" t="s">
        <v>1794</v>
      </c>
      <c r="AH490" t="s">
        <v>1794</v>
      </c>
    </row>
    <row r="491" spans="1:34" x14ac:dyDescent="0.25">
      <c r="A491" t="s">
        <v>1506</v>
      </c>
      <c r="B491" t="s">
        <v>1507</v>
      </c>
      <c r="C491" t="s">
        <v>306</v>
      </c>
      <c r="D491" t="s">
        <v>358</v>
      </c>
      <c r="E491" t="s">
        <v>1794</v>
      </c>
      <c r="F491" t="s">
        <v>888</v>
      </c>
      <c r="G491" t="s">
        <v>1124</v>
      </c>
      <c r="H491" t="s">
        <v>889</v>
      </c>
      <c r="I491" t="s">
        <v>262</v>
      </c>
      <c r="J491" t="s">
        <v>301</v>
      </c>
      <c r="K491">
        <v>1</v>
      </c>
      <c r="L491">
        <v>1</v>
      </c>
      <c r="M491" t="s">
        <v>33</v>
      </c>
      <c r="N491">
        <v>1</v>
      </c>
      <c r="O491">
        <v>1</v>
      </c>
      <c r="P491">
        <v>1</v>
      </c>
      <c r="Q491" t="s">
        <v>52</v>
      </c>
      <c r="R491">
        <v>1</v>
      </c>
      <c r="S491">
        <v>1</v>
      </c>
      <c r="T491">
        <v>1</v>
      </c>
      <c r="U491" t="s">
        <v>1794</v>
      </c>
      <c r="V491" t="s">
        <v>1794</v>
      </c>
      <c r="W491" t="s">
        <v>1794</v>
      </c>
      <c r="X491">
        <v>1</v>
      </c>
      <c r="Y491" t="s">
        <v>1794</v>
      </c>
      <c r="Z491">
        <v>0</v>
      </c>
      <c r="AA491" t="s">
        <v>1794</v>
      </c>
      <c r="AB491" t="s">
        <v>1794</v>
      </c>
      <c r="AC491" t="s">
        <v>1794</v>
      </c>
      <c r="AD491" t="s">
        <v>1794</v>
      </c>
      <c r="AE491">
        <v>0</v>
      </c>
      <c r="AF491" t="s">
        <v>1794</v>
      </c>
      <c r="AG491" t="s">
        <v>1794</v>
      </c>
      <c r="AH491" t="s">
        <v>1794</v>
      </c>
    </row>
    <row r="492" spans="1:34" x14ac:dyDescent="0.25">
      <c r="A492" t="s">
        <v>890</v>
      </c>
      <c r="B492" t="s">
        <v>1426</v>
      </c>
      <c r="C492" t="s">
        <v>306</v>
      </c>
      <c r="D492" t="s">
        <v>358</v>
      </c>
      <c r="E492" t="s">
        <v>1794</v>
      </c>
      <c r="F492" t="s">
        <v>891</v>
      </c>
      <c r="G492" t="s">
        <v>1124</v>
      </c>
      <c r="H492" t="s">
        <v>892</v>
      </c>
      <c r="I492" t="s">
        <v>262</v>
      </c>
      <c r="J492" t="s">
        <v>301</v>
      </c>
      <c r="K492">
        <v>1</v>
      </c>
      <c r="L492">
        <v>1</v>
      </c>
      <c r="M492" t="s">
        <v>33</v>
      </c>
      <c r="N492">
        <v>1</v>
      </c>
      <c r="O492">
        <v>1</v>
      </c>
      <c r="P492">
        <v>1</v>
      </c>
      <c r="Q492" t="s">
        <v>52</v>
      </c>
      <c r="R492">
        <v>1</v>
      </c>
      <c r="S492">
        <v>1</v>
      </c>
      <c r="T492">
        <v>1</v>
      </c>
      <c r="U492" t="s">
        <v>1794</v>
      </c>
      <c r="V492" t="s">
        <v>1794</v>
      </c>
      <c r="W492" t="s">
        <v>1794</v>
      </c>
      <c r="X492">
        <v>1</v>
      </c>
      <c r="Y492" t="s">
        <v>1794</v>
      </c>
      <c r="Z492">
        <v>0</v>
      </c>
      <c r="AA492" t="s">
        <v>1794</v>
      </c>
      <c r="AB492" t="s">
        <v>1794</v>
      </c>
      <c r="AC492" t="s">
        <v>1794</v>
      </c>
      <c r="AD492" t="s">
        <v>1794</v>
      </c>
      <c r="AE492">
        <v>0</v>
      </c>
      <c r="AF492" t="s">
        <v>1794</v>
      </c>
      <c r="AG492" t="s">
        <v>1794</v>
      </c>
      <c r="AH492" t="s">
        <v>1794</v>
      </c>
    </row>
    <row r="493" spans="1:34" x14ac:dyDescent="0.25">
      <c r="A493" t="s">
        <v>893</v>
      </c>
      <c r="B493" t="s">
        <v>1420</v>
      </c>
      <c r="C493" t="s">
        <v>460</v>
      </c>
      <c r="D493" t="s">
        <v>358</v>
      </c>
      <c r="E493" t="s">
        <v>1794</v>
      </c>
      <c r="F493" t="s">
        <v>894</v>
      </c>
      <c r="G493" t="s">
        <v>1124</v>
      </c>
      <c r="H493" t="s">
        <v>1826</v>
      </c>
      <c r="I493" t="s">
        <v>262</v>
      </c>
      <c r="J493" t="s">
        <v>301</v>
      </c>
      <c r="K493">
        <v>1</v>
      </c>
      <c r="L493">
        <v>2</v>
      </c>
      <c r="M493" t="s">
        <v>33</v>
      </c>
      <c r="N493">
        <v>1</v>
      </c>
      <c r="O493">
        <v>2</v>
      </c>
      <c r="P493">
        <v>1</v>
      </c>
      <c r="Q493" t="s">
        <v>52</v>
      </c>
      <c r="R493">
        <v>2</v>
      </c>
      <c r="S493">
        <v>2</v>
      </c>
      <c r="T493">
        <v>2</v>
      </c>
      <c r="U493" t="s">
        <v>1794</v>
      </c>
      <c r="V493" t="s">
        <v>1794</v>
      </c>
      <c r="W493" t="s">
        <v>1794</v>
      </c>
      <c r="X493">
        <v>1</v>
      </c>
      <c r="Y493" t="s">
        <v>1794</v>
      </c>
      <c r="Z493">
        <v>0</v>
      </c>
      <c r="AA493" t="s">
        <v>1794</v>
      </c>
      <c r="AB493" t="s">
        <v>1794</v>
      </c>
      <c r="AC493" t="s">
        <v>1794</v>
      </c>
      <c r="AD493" t="s">
        <v>1794</v>
      </c>
      <c r="AE493">
        <v>0</v>
      </c>
      <c r="AF493" t="s">
        <v>1794</v>
      </c>
      <c r="AG493" t="s">
        <v>1794</v>
      </c>
      <c r="AH493" t="s">
        <v>1794</v>
      </c>
    </row>
    <row r="494" spans="1:34" x14ac:dyDescent="0.25">
      <c r="A494" t="s">
        <v>893</v>
      </c>
      <c r="B494" t="s">
        <v>1420</v>
      </c>
      <c r="C494" t="s">
        <v>460</v>
      </c>
      <c r="D494" t="s">
        <v>358</v>
      </c>
      <c r="E494" t="s">
        <v>1794</v>
      </c>
      <c r="F494" t="s">
        <v>894</v>
      </c>
      <c r="G494" t="s">
        <v>1124</v>
      </c>
      <c r="H494" t="s">
        <v>895</v>
      </c>
      <c r="I494" t="s">
        <v>262</v>
      </c>
      <c r="J494" t="s">
        <v>562</v>
      </c>
      <c r="K494">
        <v>1</v>
      </c>
      <c r="L494">
        <v>1</v>
      </c>
      <c r="M494" t="s">
        <v>33</v>
      </c>
      <c r="N494">
        <v>1</v>
      </c>
      <c r="O494">
        <v>1</v>
      </c>
      <c r="P494">
        <v>1</v>
      </c>
      <c r="Q494" t="s">
        <v>52</v>
      </c>
      <c r="R494">
        <v>1</v>
      </c>
      <c r="S494">
        <v>1</v>
      </c>
      <c r="T494">
        <v>1</v>
      </c>
      <c r="U494" t="s">
        <v>1794</v>
      </c>
      <c r="V494" t="s">
        <v>1794</v>
      </c>
      <c r="W494" t="s">
        <v>1794</v>
      </c>
      <c r="X494">
        <v>1</v>
      </c>
      <c r="Y494" t="s">
        <v>1794</v>
      </c>
      <c r="Z494">
        <v>0</v>
      </c>
      <c r="AA494" t="s">
        <v>1794</v>
      </c>
      <c r="AB494" t="s">
        <v>1794</v>
      </c>
      <c r="AC494" t="s">
        <v>1794</v>
      </c>
      <c r="AD494" t="s">
        <v>1794</v>
      </c>
      <c r="AE494">
        <v>0</v>
      </c>
      <c r="AF494" t="s">
        <v>1794</v>
      </c>
      <c r="AG494" t="s">
        <v>1794</v>
      </c>
      <c r="AH494" t="s">
        <v>1794</v>
      </c>
    </row>
    <row r="495" spans="1:34" x14ac:dyDescent="0.25">
      <c r="A495" t="s">
        <v>896</v>
      </c>
      <c r="B495" t="s">
        <v>1430</v>
      </c>
      <c r="C495" t="s">
        <v>364</v>
      </c>
      <c r="D495" t="s">
        <v>358</v>
      </c>
      <c r="E495" t="s">
        <v>1794</v>
      </c>
      <c r="F495" t="s">
        <v>897</v>
      </c>
      <c r="G495" t="s">
        <v>1124</v>
      </c>
      <c r="H495" t="s">
        <v>898</v>
      </c>
      <c r="I495" t="s">
        <v>262</v>
      </c>
      <c r="J495" t="s">
        <v>301</v>
      </c>
      <c r="K495">
        <v>1</v>
      </c>
      <c r="L495">
        <v>2</v>
      </c>
      <c r="M495" t="s">
        <v>33</v>
      </c>
      <c r="N495">
        <v>1</v>
      </c>
      <c r="O495">
        <v>2</v>
      </c>
      <c r="P495">
        <v>1</v>
      </c>
      <c r="Q495" t="s">
        <v>52</v>
      </c>
      <c r="R495">
        <v>2</v>
      </c>
      <c r="S495">
        <v>2</v>
      </c>
      <c r="T495">
        <v>2</v>
      </c>
      <c r="U495" t="s">
        <v>1794</v>
      </c>
      <c r="V495" t="s">
        <v>1794</v>
      </c>
      <c r="W495" t="s">
        <v>1794</v>
      </c>
      <c r="X495">
        <v>1</v>
      </c>
      <c r="Y495" t="s">
        <v>1794</v>
      </c>
      <c r="Z495">
        <v>0</v>
      </c>
      <c r="AA495" t="s">
        <v>1794</v>
      </c>
      <c r="AB495" t="s">
        <v>1794</v>
      </c>
      <c r="AC495" t="s">
        <v>1794</v>
      </c>
      <c r="AD495" t="s">
        <v>1794</v>
      </c>
      <c r="AE495">
        <v>0</v>
      </c>
      <c r="AF495" t="s">
        <v>1794</v>
      </c>
      <c r="AG495" t="s">
        <v>1794</v>
      </c>
      <c r="AH495" t="s">
        <v>1794</v>
      </c>
    </row>
    <row r="496" spans="1:34" x14ac:dyDescent="0.25">
      <c r="A496" t="s">
        <v>899</v>
      </c>
      <c r="B496" t="s">
        <v>1431</v>
      </c>
      <c r="C496" t="s">
        <v>364</v>
      </c>
      <c r="D496" t="s">
        <v>358</v>
      </c>
      <c r="E496" t="s">
        <v>1794</v>
      </c>
      <c r="F496" t="s">
        <v>900</v>
      </c>
      <c r="G496" t="s">
        <v>1124</v>
      </c>
      <c r="H496" t="s">
        <v>901</v>
      </c>
      <c r="I496" t="s">
        <v>262</v>
      </c>
      <c r="J496" t="s">
        <v>902</v>
      </c>
      <c r="K496">
        <v>1</v>
      </c>
      <c r="L496">
        <v>2</v>
      </c>
      <c r="M496" t="s">
        <v>33</v>
      </c>
      <c r="N496">
        <v>1</v>
      </c>
      <c r="O496">
        <v>2</v>
      </c>
      <c r="P496">
        <v>1</v>
      </c>
      <c r="Q496" t="s">
        <v>52</v>
      </c>
      <c r="R496">
        <v>2</v>
      </c>
      <c r="S496">
        <v>2</v>
      </c>
      <c r="T496">
        <v>2</v>
      </c>
      <c r="U496" t="s">
        <v>1794</v>
      </c>
      <c r="V496" t="s">
        <v>1794</v>
      </c>
      <c r="W496" t="s">
        <v>1794</v>
      </c>
      <c r="X496">
        <v>1</v>
      </c>
      <c r="Y496" t="s">
        <v>1794</v>
      </c>
      <c r="Z496">
        <v>0</v>
      </c>
      <c r="AA496" t="s">
        <v>1794</v>
      </c>
      <c r="AB496" t="s">
        <v>1794</v>
      </c>
      <c r="AC496" t="s">
        <v>1794</v>
      </c>
      <c r="AD496" t="s">
        <v>1794</v>
      </c>
      <c r="AE496">
        <v>0</v>
      </c>
      <c r="AF496" t="s">
        <v>1794</v>
      </c>
      <c r="AG496" t="s">
        <v>1794</v>
      </c>
      <c r="AH496" t="s">
        <v>1794</v>
      </c>
    </row>
    <row r="497" spans="1:34" x14ac:dyDescent="0.25">
      <c r="A497" t="s">
        <v>903</v>
      </c>
      <c r="B497" t="s">
        <v>1128</v>
      </c>
      <c r="C497" t="s">
        <v>460</v>
      </c>
      <c r="D497" t="s">
        <v>358</v>
      </c>
      <c r="E497" t="s">
        <v>1794</v>
      </c>
      <c r="F497" t="s">
        <v>904</v>
      </c>
      <c r="G497" t="s">
        <v>1124</v>
      </c>
      <c r="H497" t="s">
        <v>1827</v>
      </c>
      <c r="I497" t="s">
        <v>262</v>
      </c>
      <c r="J497" t="s">
        <v>905</v>
      </c>
      <c r="K497">
        <v>1</v>
      </c>
      <c r="L497">
        <v>18</v>
      </c>
      <c r="M497" t="s">
        <v>33</v>
      </c>
      <c r="N497">
        <v>1</v>
      </c>
      <c r="O497">
        <v>0</v>
      </c>
      <c r="P497">
        <v>0</v>
      </c>
      <c r="Q497" t="s">
        <v>52</v>
      </c>
      <c r="R497">
        <v>18</v>
      </c>
      <c r="S497">
        <v>18</v>
      </c>
      <c r="T497">
        <v>18</v>
      </c>
      <c r="U497" t="s">
        <v>1794</v>
      </c>
      <c r="V497" t="s">
        <v>1794</v>
      </c>
      <c r="W497" t="s">
        <v>1794</v>
      </c>
      <c r="X497">
        <v>1</v>
      </c>
      <c r="Y497" t="s">
        <v>1794</v>
      </c>
      <c r="Z497">
        <v>0</v>
      </c>
      <c r="AA497" t="s">
        <v>1794</v>
      </c>
      <c r="AB497" t="s">
        <v>1794</v>
      </c>
      <c r="AC497" t="s">
        <v>1794</v>
      </c>
      <c r="AD497" t="s">
        <v>1794</v>
      </c>
      <c r="AE497">
        <v>0</v>
      </c>
      <c r="AF497" t="s">
        <v>1794</v>
      </c>
      <c r="AG497" t="s">
        <v>1794</v>
      </c>
      <c r="AH497" t="s">
        <v>1794</v>
      </c>
    </row>
    <row r="498" spans="1:34" x14ac:dyDescent="0.25">
      <c r="A498" t="s">
        <v>906</v>
      </c>
      <c r="B498" t="s">
        <v>907</v>
      </c>
      <c r="C498" t="s">
        <v>315</v>
      </c>
      <c r="D498" t="s">
        <v>358</v>
      </c>
      <c r="E498" t="s">
        <v>1794</v>
      </c>
      <c r="F498" t="s">
        <v>908</v>
      </c>
      <c r="G498" t="s">
        <v>1124</v>
      </c>
      <c r="H498" t="s">
        <v>1828</v>
      </c>
      <c r="I498" t="s">
        <v>262</v>
      </c>
      <c r="J498" t="s">
        <v>679</v>
      </c>
      <c r="K498">
        <v>6</v>
      </c>
      <c r="L498">
        <v>2</v>
      </c>
      <c r="M498" t="s">
        <v>33</v>
      </c>
      <c r="N498">
        <v>1</v>
      </c>
      <c r="O498">
        <v>2</v>
      </c>
      <c r="P498">
        <v>1</v>
      </c>
      <c r="Q498" t="s">
        <v>52</v>
      </c>
      <c r="R498">
        <v>2</v>
      </c>
      <c r="S498">
        <v>2</v>
      </c>
      <c r="T498">
        <v>2</v>
      </c>
      <c r="U498" t="s">
        <v>1794</v>
      </c>
      <c r="V498" t="s">
        <v>1794</v>
      </c>
      <c r="W498" t="s">
        <v>1794</v>
      </c>
      <c r="X498">
        <v>1</v>
      </c>
      <c r="Y498" t="s">
        <v>1794</v>
      </c>
      <c r="Z498">
        <v>0</v>
      </c>
      <c r="AA498" t="s">
        <v>1794</v>
      </c>
      <c r="AB498" t="s">
        <v>1794</v>
      </c>
      <c r="AC498" t="s">
        <v>1794</v>
      </c>
      <c r="AD498" t="s">
        <v>1794</v>
      </c>
      <c r="AE498">
        <v>0</v>
      </c>
      <c r="AF498" t="s">
        <v>1794</v>
      </c>
      <c r="AG498" t="s">
        <v>1794</v>
      </c>
      <c r="AH498" t="s">
        <v>1794</v>
      </c>
    </row>
    <row r="499" spans="1:34" x14ac:dyDescent="0.25">
      <c r="A499" t="s">
        <v>1143</v>
      </c>
      <c r="B499" t="s">
        <v>1144</v>
      </c>
      <c r="C499" t="s">
        <v>463</v>
      </c>
      <c r="D499" t="s">
        <v>909</v>
      </c>
      <c r="E499" t="s">
        <v>1794</v>
      </c>
      <c r="F499" t="s">
        <v>910</v>
      </c>
      <c r="G499" t="s">
        <v>1124</v>
      </c>
      <c r="H499" t="s">
        <v>1829</v>
      </c>
      <c r="I499" t="s">
        <v>262</v>
      </c>
      <c r="J499" t="s">
        <v>911</v>
      </c>
      <c r="K499">
        <v>1</v>
      </c>
      <c r="L499">
        <v>18</v>
      </c>
      <c r="M499" t="s">
        <v>33</v>
      </c>
      <c r="N499">
        <v>1</v>
      </c>
      <c r="O499">
        <v>0</v>
      </c>
      <c r="P499">
        <v>0</v>
      </c>
      <c r="Q499" t="s">
        <v>52</v>
      </c>
      <c r="R499">
        <v>18</v>
      </c>
      <c r="S499">
        <v>18</v>
      </c>
      <c r="T499">
        <v>18</v>
      </c>
      <c r="U499" t="s">
        <v>1794</v>
      </c>
      <c r="V499" t="s">
        <v>1794</v>
      </c>
      <c r="W499" t="s">
        <v>1794</v>
      </c>
      <c r="X499">
        <v>1</v>
      </c>
      <c r="Y499" t="s">
        <v>1794</v>
      </c>
      <c r="Z499">
        <v>0</v>
      </c>
      <c r="AA499" t="s">
        <v>1794</v>
      </c>
      <c r="AB499" t="s">
        <v>1794</v>
      </c>
      <c r="AC499" t="s">
        <v>1794</v>
      </c>
      <c r="AD499" t="s">
        <v>1794</v>
      </c>
      <c r="AE499">
        <v>0</v>
      </c>
      <c r="AF499" t="s">
        <v>1794</v>
      </c>
      <c r="AG499" t="s">
        <v>1794</v>
      </c>
      <c r="AH499" t="s">
        <v>1794</v>
      </c>
    </row>
    <row r="500" spans="1:34" x14ac:dyDescent="0.25">
      <c r="A500" t="s">
        <v>1340</v>
      </c>
      <c r="B500" t="s">
        <v>1341</v>
      </c>
      <c r="C500" t="s">
        <v>463</v>
      </c>
      <c r="D500" t="s">
        <v>909</v>
      </c>
      <c r="E500" t="s">
        <v>1794</v>
      </c>
      <c r="F500" t="s">
        <v>910</v>
      </c>
      <c r="G500" t="s">
        <v>1124</v>
      </c>
      <c r="H500" t="s">
        <v>1829</v>
      </c>
      <c r="I500" t="s">
        <v>262</v>
      </c>
      <c r="J500" t="s">
        <v>911</v>
      </c>
      <c r="K500">
        <v>1</v>
      </c>
      <c r="L500">
        <v>18</v>
      </c>
      <c r="M500" t="s">
        <v>33</v>
      </c>
      <c r="N500">
        <v>1</v>
      </c>
      <c r="O500">
        <v>0</v>
      </c>
      <c r="P500">
        <v>0</v>
      </c>
      <c r="Q500" t="s">
        <v>52</v>
      </c>
      <c r="R500">
        <v>18</v>
      </c>
      <c r="S500">
        <v>18</v>
      </c>
      <c r="T500">
        <v>18</v>
      </c>
      <c r="U500" t="s">
        <v>1794</v>
      </c>
      <c r="V500" t="s">
        <v>1794</v>
      </c>
      <c r="W500" t="s">
        <v>1794</v>
      </c>
      <c r="X500">
        <v>1</v>
      </c>
      <c r="Y500" t="s">
        <v>1794</v>
      </c>
      <c r="Z500">
        <v>0</v>
      </c>
      <c r="AA500" t="s">
        <v>1794</v>
      </c>
      <c r="AB500" t="s">
        <v>1794</v>
      </c>
      <c r="AC500" t="s">
        <v>1794</v>
      </c>
      <c r="AD500" t="s">
        <v>1794</v>
      </c>
      <c r="AE500">
        <v>0</v>
      </c>
      <c r="AF500" t="s">
        <v>1794</v>
      </c>
      <c r="AG500" t="s">
        <v>1794</v>
      </c>
      <c r="AH500" t="s">
        <v>1794</v>
      </c>
    </row>
    <row r="501" spans="1:34" x14ac:dyDescent="0.25">
      <c r="A501" t="s">
        <v>1573</v>
      </c>
      <c r="B501" t="s">
        <v>1574</v>
      </c>
      <c r="C501" t="s">
        <v>463</v>
      </c>
      <c r="D501" t="s">
        <v>909</v>
      </c>
      <c r="E501" t="s">
        <v>1794</v>
      </c>
      <c r="F501" t="s">
        <v>910</v>
      </c>
      <c r="G501" t="s">
        <v>1124</v>
      </c>
      <c r="H501" t="s">
        <v>1829</v>
      </c>
      <c r="I501" t="s">
        <v>262</v>
      </c>
      <c r="J501" t="s">
        <v>911</v>
      </c>
      <c r="K501">
        <v>1</v>
      </c>
      <c r="L501">
        <v>18</v>
      </c>
      <c r="M501" t="s">
        <v>33</v>
      </c>
      <c r="N501">
        <v>1</v>
      </c>
      <c r="O501">
        <v>0</v>
      </c>
      <c r="P501">
        <v>0</v>
      </c>
      <c r="Q501" t="s">
        <v>52</v>
      </c>
      <c r="R501">
        <v>18</v>
      </c>
      <c r="S501">
        <v>18</v>
      </c>
      <c r="T501">
        <v>18</v>
      </c>
      <c r="U501" t="s">
        <v>1794</v>
      </c>
      <c r="V501" t="s">
        <v>1794</v>
      </c>
      <c r="W501" t="s">
        <v>1794</v>
      </c>
      <c r="X501">
        <v>1</v>
      </c>
      <c r="Y501" t="s">
        <v>1794</v>
      </c>
      <c r="Z501">
        <v>0</v>
      </c>
      <c r="AA501" t="s">
        <v>1794</v>
      </c>
      <c r="AB501" t="s">
        <v>1794</v>
      </c>
      <c r="AC501" t="s">
        <v>1794</v>
      </c>
      <c r="AD501" t="s">
        <v>1794</v>
      </c>
      <c r="AE501">
        <v>0</v>
      </c>
      <c r="AF501" t="s">
        <v>1794</v>
      </c>
      <c r="AG501" t="s">
        <v>1794</v>
      </c>
      <c r="AH501" t="s">
        <v>1794</v>
      </c>
    </row>
    <row r="502" spans="1:34" x14ac:dyDescent="0.25">
      <c r="A502" t="s">
        <v>1569</v>
      </c>
      <c r="B502" t="s">
        <v>1570</v>
      </c>
      <c r="C502" t="s">
        <v>463</v>
      </c>
      <c r="D502" t="s">
        <v>909</v>
      </c>
      <c r="E502" t="s">
        <v>1794</v>
      </c>
      <c r="F502" t="s">
        <v>910</v>
      </c>
      <c r="G502" t="s">
        <v>1124</v>
      </c>
      <c r="H502" t="s">
        <v>1829</v>
      </c>
      <c r="I502" t="s">
        <v>262</v>
      </c>
      <c r="J502" t="s">
        <v>911</v>
      </c>
      <c r="K502">
        <v>1</v>
      </c>
      <c r="L502">
        <v>18</v>
      </c>
      <c r="M502" t="s">
        <v>33</v>
      </c>
      <c r="N502">
        <v>1</v>
      </c>
      <c r="O502">
        <v>0</v>
      </c>
      <c r="P502">
        <v>0</v>
      </c>
      <c r="Q502" t="s">
        <v>52</v>
      </c>
      <c r="R502">
        <v>18</v>
      </c>
      <c r="S502">
        <v>18</v>
      </c>
      <c r="T502">
        <v>18</v>
      </c>
      <c r="U502" t="s">
        <v>1794</v>
      </c>
      <c r="V502" t="s">
        <v>1794</v>
      </c>
      <c r="W502" t="s">
        <v>1794</v>
      </c>
      <c r="X502">
        <v>1</v>
      </c>
      <c r="Y502" t="s">
        <v>1794</v>
      </c>
      <c r="Z502">
        <v>0</v>
      </c>
      <c r="AA502" t="s">
        <v>1794</v>
      </c>
      <c r="AB502" t="s">
        <v>1794</v>
      </c>
      <c r="AC502" t="s">
        <v>1794</v>
      </c>
      <c r="AD502" t="s">
        <v>1794</v>
      </c>
      <c r="AE502">
        <v>0</v>
      </c>
      <c r="AF502" t="s">
        <v>1794</v>
      </c>
      <c r="AG502" t="s">
        <v>1794</v>
      </c>
      <c r="AH502" t="s">
        <v>1794</v>
      </c>
    </row>
    <row r="503" spans="1:34" x14ac:dyDescent="0.25">
      <c r="A503" t="s">
        <v>1585</v>
      </c>
      <c r="B503" t="s">
        <v>1586</v>
      </c>
      <c r="C503" t="s">
        <v>463</v>
      </c>
      <c r="D503" t="s">
        <v>909</v>
      </c>
      <c r="E503" t="s">
        <v>1794</v>
      </c>
      <c r="F503" t="s">
        <v>910</v>
      </c>
      <c r="G503" t="s">
        <v>1124</v>
      </c>
      <c r="H503" t="s">
        <v>1829</v>
      </c>
      <c r="I503" t="s">
        <v>262</v>
      </c>
      <c r="J503" t="s">
        <v>911</v>
      </c>
      <c r="K503">
        <v>1</v>
      </c>
      <c r="L503">
        <v>18</v>
      </c>
      <c r="M503" t="s">
        <v>33</v>
      </c>
      <c r="N503">
        <v>1</v>
      </c>
      <c r="O503">
        <v>0</v>
      </c>
      <c r="P503">
        <v>0</v>
      </c>
      <c r="Q503" t="s">
        <v>52</v>
      </c>
      <c r="R503">
        <v>18</v>
      </c>
      <c r="S503">
        <v>18</v>
      </c>
      <c r="T503">
        <v>18</v>
      </c>
      <c r="U503" t="s">
        <v>1794</v>
      </c>
      <c r="V503" t="s">
        <v>1794</v>
      </c>
      <c r="W503" t="s">
        <v>1794</v>
      </c>
      <c r="X503">
        <v>1</v>
      </c>
      <c r="Y503" t="s">
        <v>1794</v>
      </c>
      <c r="Z503">
        <v>0</v>
      </c>
      <c r="AA503" t="s">
        <v>1794</v>
      </c>
      <c r="AB503" t="s">
        <v>1794</v>
      </c>
      <c r="AC503" t="s">
        <v>1794</v>
      </c>
      <c r="AD503" t="s">
        <v>1794</v>
      </c>
      <c r="AE503">
        <v>0</v>
      </c>
      <c r="AF503" t="s">
        <v>1794</v>
      </c>
      <c r="AG503" t="s">
        <v>1794</v>
      </c>
      <c r="AH503" t="s">
        <v>1794</v>
      </c>
    </row>
    <row r="504" spans="1:34" x14ac:dyDescent="0.25">
      <c r="A504" t="s">
        <v>917</v>
      </c>
      <c r="B504" t="s">
        <v>1608</v>
      </c>
      <c r="C504" t="s">
        <v>463</v>
      </c>
      <c r="D504" t="s">
        <v>909</v>
      </c>
      <c r="E504" t="s">
        <v>1794</v>
      </c>
      <c r="F504" t="s">
        <v>910</v>
      </c>
      <c r="G504" t="s">
        <v>1124</v>
      </c>
      <c r="H504" t="s">
        <v>1829</v>
      </c>
      <c r="I504" t="s">
        <v>262</v>
      </c>
      <c r="J504" t="s">
        <v>911</v>
      </c>
      <c r="K504">
        <v>1</v>
      </c>
      <c r="L504">
        <v>18</v>
      </c>
      <c r="M504" t="s">
        <v>33</v>
      </c>
      <c r="N504">
        <v>1</v>
      </c>
      <c r="O504">
        <v>0</v>
      </c>
      <c r="P504">
        <v>0</v>
      </c>
      <c r="Q504" t="s">
        <v>52</v>
      </c>
      <c r="R504">
        <v>18</v>
      </c>
      <c r="S504">
        <v>18</v>
      </c>
      <c r="T504">
        <v>18</v>
      </c>
      <c r="U504" t="s">
        <v>1794</v>
      </c>
      <c r="V504" t="s">
        <v>1794</v>
      </c>
      <c r="W504" t="s">
        <v>1794</v>
      </c>
      <c r="X504">
        <v>1</v>
      </c>
      <c r="Y504" t="s">
        <v>1794</v>
      </c>
      <c r="Z504">
        <v>0</v>
      </c>
      <c r="AA504" t="s">
        <v>1794</v>
      </c>
      <c r="AB504" t="s">
        <v>1794</v>
      </c>
      <c r="AC504" t="s">
        <v>1794</v>
      </c>
      <c r="AD504" t="s">
        <v>1794</v>
      </c>
      <c r="AE504">
        <v>0</v>
      </c>
      <c r="AF504" t="s">
        <v>1794</v>
      </c>
      <c r="AG504" t="s">
        <v>1794</v>
      </c>
      <c r="AH504" t="s">
        <v>1794</v>
      </c>
    </row>
    <row r="505" spans="1:34" x14ac:dyDescent="0.25">
      <c r="A505" t="s">
        <v>1143</v>
      </c>
      <c r="B505" t="s">
        <v>1144</v>
      </c>
      <c r="C505" t="s">
        <v>364</v>
      </c>
      <c r="D505" t="s">
        <v>909</v>
      </c>
      <c r="E505" t="s">
        <v>1794</v>
      </c>
      <c r="F505" t="s">
        <v>912</v>
      </c>
      <c r="G505" t="s">
        <v>1124</v>
      </c>
      <c r="H505" t="s">
        <v>913</v>
      </c>
      <c r="I505" t="s">
        <v>262</v>
      </c>
      <c r="J505" t="s">
        <v>914</v>
      </c>
      <c r="K505">
        <v>1</v>
      </c>
      <c r="L505">
        <v>1</v>
      </c>
      <c r="M505" t="s">
        <v>33</v>
      </c>
      <c r="N505">
        <v>1</v>
      </c>
      <c r="O505">
        <v>1</v>
      </c>
      <c r="P505">
        <v>1</v>
      </c>
      <c r="Q505" t="s">
        <v>52</v>
      </c>
      <c r="R505">
        <v>1</v>
      </c>
      <c r="S505">
        <v>1</v>
      </c>
      <c r="T505">
        <v>1</v>
      </c>
      <c r="U505" t="s">
        <v>1794</v>
      </c>
      <c r="V505" t="s">
        <v>1794</v>
      </c>
      <c r="W505" t="s">
        <v>1794</v>
      </c>
      <c r="X505">
        <v>1</v>
      </c>
      <c r="Y505" t="s">
        <v>1794</v>
      </c>
      <c r="Z505">
        <v>0</v>
      </c>
      <c r="AA505" t="s">
        <v>1794</v>
      </c>
      <c r="AB505" t="s">
        <v>1794</v>
      </c>
      <c r="AC505" t="s">
        <v>1794</v>
      </c>
      <c r="AD505" t="s">
        <v>1794</v>
      </c>
      <c r="AE505">
        <v>0</v>
      </c>
      <c r="AF505" t="s">
        <v>1794</v>
      </c>
      <c r="AG505" t="s">
        <v>1794</v>
      </c>
      <c r="AH505" t="s">
        <v>1794</v>
      </c>
    </row>
    <row r="506" spans="1:34" x14ac:dyDescent="0.25">
      <c r="A506" t="s">
        <v>1569</v>
      </c>
      <c r="B506" t="s">
        <v>1570</v>
      </c>
      <c r="C506" t="s">
        <v>364</v>
      </c>
      <c r="D506" t="s">
        <v>909</v>
      </c>
      <c r="E506" t="s">
        <v>1794</v>
      </c>
      <c r="F506" t="s">
        <v>912</v>
      </c>
      <c r="G506" t="s">
        <v>1124</v>
      </c>
      <c r="H506" t="s">
        <v>913</v>
      </c>
      <c r="I506" t="s">
        <v>262</v>
      </c>
      <c r="J506" t="s">
        <v>914</v>
      </c>
      <c r="K506">
        <v>1</v>
      </c>
      <c r="L506">
        <v>1</v>
      </c>
      <c r="M506" t="s">
        <v>33</v>
      </c>
      <c r="N506">
        <v>1</v>
      </c>
      <c r="O506">
        <v>1</v>
      </c>
      <c r="P506">
        <v>1</v>
      </c>
      <c r="Q506" t="s">
        <v>52</v>
      </c>
      <c r="R506">
        <v>1</v>
      </c>
      <c r="S506">
        <v>1</v>
      </c>
      <c r="T506">
        <v>1</v>
      </c>
      <c r="U506" t="s">
        <v>1794</v>
      </c>
      <c r="V506" t="s">
        <v>1794</v>
      </c>
      <c r="W506" t="s">
        <v>1794</v>
      </c>
      <c r="X506">
        <v>1</v>
      </c>
      <c r="Y506" t="s">
        <v>1794</v>
      </c>
      <c r="Z506">
        <v>0</v>
      </c>
      <c r="AA506" t="s">
        <v>1794</v>
      </c>
      <c r="AB506" t="s">
        <v>1794</v>
      </c>
      <c r="AC506" t="s">
        <v>1794</v>
      </c>
      <c r="AD506" t="s">
        <v>1794</v>
      </c>
      <c r="AE506">
        <v>0</v>
      </c>
      <c r="AF506" t="s">
        <v>1794</v>
      </c>
      <c r="AG506" t="s">
        <v>1794</v>
      </c>
      <c r="AH506" t="s">
        <v>1794</v>
      </c>
    </row>
    <row r="507" spans="1:34" x14ac:dyDescent="0.25">
      <c r="A507" t="s">
        <v>1585</v>
      </c>
      <c r="B507" t="s">
        <v>1586</v>
      </c>
      <c r="C507" t="s">
        <v>364</v>
      </c>
      <c r="D507" t="s">
        <v>909</v>
      </c>
      <c r="E507" t="s">
        <v>1794</v>
      </c>
      <c r="F507" t="s">
        <v>912</v>
      </c>
      <c r="G507" t="s">
        <v>1124</v>
      </c>
      <c r="H507" t="s">
        <v>913</v>
      </c>
      <c r="I507" t="s">
        <v>262</v>
      </c>
      <c r="J507" t="s">
        <v>914</v>
      </c>
      <c r="K507">
        <v>1</v>
      </c>
      <c r="L507">
        <v>1</v>
      </c>
      <c r="M507" t="s">
        <v>33</v>
      </c>
      <c r="N507">
        <v>1</v>
      </c>
      <c r="O507">
        <v>1</v>
      </c>
      <c r="P507">
        <v>1</v>
      </c>
      <c r="Q507" t="s">
        <v>52</v>
      </c>
      <c r="R507">
        <v>1</v>
      </c>
      <c r="S507">
        <v>1</v>
      </c>
      <c r="T507">
        <v>1</v>
      </c>
      <c r="U507" t="s">
        <v>1794</v>
      </c>
      <c r="V507" t="s">
        <v>1794</v>
      </c>
      <c r="W507" t="s">
        <v>1794</v>
      </c>
      <c r="X507">
        <v>1</v>
      </c>
      <c r="Y507" t="s">
        <v>1794</v>
      </c>
      <c r="Z507">
        <v>0</v>
      </c>
      <c r="AA507" t="s">
        <v>1794</v>
      </c>
      <c r="AB507" t="s">
        <v>1794</v>
      </c>
      <c r="AC507" t="s">
        <v>1794</v>
      </c>
      <c r="AD507" t="s">
        <v>1794</v>
      </c>
      <c r="AE507">
        <v>0</v>
      </c>
      <c r="AF507" t="s">
        <v>1794</v>
      </c>
      <c r="AG507" t="s">
        <v>1794</v>
      </c>
      <c r="AH507" t="s">
        <v>1794</v>
      </c>
    </row>
    <row r="508" spans="1:34" ht="24" customHeight="1" x14ac:dyDescent="0.25">
      <c r="A508" t="s">
        <v>917</v>
      </c>
      <c r="B508" t="s">
        <v>1608</v>
      </c>
      <c r="C508" t="s">
        <v>364</v>
      </c>
      <c r="D508" t="s">
        <v>909</v>
      </c>
      <c r="E508" t="s">
        <v>1794</v>
      </c>
      <c r="F508" t="s">
        <v>912</v>
      </c>
      <c r="G508" t="s">
        <v>1124</v>
      </c>
      <c r="H508" t="s">
        <v>913</v>
      </c>
      <c r="I508" t="s">
        <v>262</v>
      </c>
      <c r="J508" t="s">
        <v>914</v>
      </c>
      <c r="K508">
        <v>1</v>
      </c>
      <c r="L508">
        <v>1</v>
      </c>
      <c r="M508" t="s">
        <v>33</v>
      </c>
      <c r="N508">
        <v>1</v>
      </c>
      <c r="O508">
        <v>1</v>
      </c>
      <c r="P508">
        <v>1</v>
      </c>
      <c r="Q508" t="s">
        <v>52</v>
      </c>
      <c r="R508">
        <v>1</v>
      </c>
      <c r="S508">
        <v>1</v>
      </c>
      <c r="T508">
        <v>1</v>
      </c>
      <c r="U508" t="s">
        <v>1794</v>
      </c>
      <c r="V508" t="s">
        <v>1794</v>
      </c>
      <c r="W508" t="s">
        <v>1794</v>
      </c>
      <c r="X508">
        <v>1</v>
      </c>
      <c r="Y508" t="s">
        <v>1794</v>
      </c>
      <c r="Z508">
        <v>0</v>
      </c>
      <c r="AA508" t="s">
        <v>1794</v>
      </c>
      <c r="AB508" t="s">
        <v>1794</v>
      </c>
      <c r="AC508" t="s">
        <v>1794</v>
      </c>
      <c r="AD508" t="s">
        <v>1794</v>
      </c>
      <c r="AE508">
        <v>0</v>
      </c>
      <c r="AF508" t="s">
        <v>1794</v>
      </c>
      <c r="AG508" t="s">
        <v>1794</v>
      </c>
      <c r="AH508" t="s">
        <v>1794</v>
      </c>
    </row>
    <row r="509" spans="1:34" x14ac:dyDescent="0.25">
      <c r="A509" t="s">
        <v>1504</v>
      </c>
      <c r="B509" t="s">
        <v>1505</v>
      </c>
      <c r="C509" t="s">
        <v>463</v>
      </c>
      <c r="D509" t="s">
        <v>909</v>
      </c>
      <c r="E509" t="s">
        <v>1794</v>
      </c>
      <c r="F509" t="s">
        <v>915</v>
      </c>
      <c r="G509" t="s">
        <v>1124</v>
      </c>
      <c r="H509" t="s">
        <v>1830</v>
      </c>
      <c r="I509" t="s">
        <v>262</v>
      </c>
      <c r="J509" t="s">
        <v>916</v>
      </c>
      <c r="K509">
        <v>1</v>
      </c>
      <c r="L509">
        <v>18</v>
      </c>
      <c r="M509" t="s">
        <v>33</v>
      </c>
      <c r="N509">
        <v>1</v>
      </c>
      <c r="O509">
        <v>0</v>
      </c>
      <c r="P509">
        <v>0</v>
      </c>
      <c r="Q509" t="s">
        <v>52</v>
      </c>
      <c r="R509">
        <v>18</v>
      </c>
      <c r="S509">
        <v>18</v>
      </c>
      <c r="T509">
        <v>18</v>
      </c>
      <c r="U509" t="s">
        <v>1794</v>
      </c>
      <c r="V509" t="s">
        <v>1794</v>
      </c>
      <c r="W509" t="s">
        <v>1794</v>
      </c>
      <c r="X509">
        <v>1</v>
      </c>
      <c r="Y509" t="s">
        <v>1794</v>
      </c>
      <c r="Z509">
        <v>0</v>
      </c>
      <c r="AA509" t="s">
        <v>1794</v>
      </c>
      <c r="AB509" t="s">
        <v>1794</v>
      </c>
      <c r="AC509" t="s">
        <v>1794</v>
      </c>
      <c r="AD509" t="s">
        <v>1794</v>
      </c>
      <c r="AE509">
        <v>0</v>
      </c>
      <c r="AF509" t="s">
        <v>1794</v>
      </c>
      <c r="AG509" t="s">
        <v>1794</v>
      </c>
      <c r="AH509" t="s">
        <v>1794</v>
      </c>
    </row>
    <row r="510" spans="1:34" x14ac:dyDescent="0.25">
      <c r="A510" t="s">
        <v>917</v>
      </c>
      <c r="B510" t="s">
        <v>1608</v>
      </c>
      <c r="C510" t="s">
        <v>463</v>
      </c>
      <c r="D510" t="s">
        <v>909</v>
      </c>
      <c r="E510" t="s">
        <v>1794</v>
      </c>
      <c r="F510" t="s">
        <v>915</v>
      </c>
      <c r="G510" t="s">
        <v>1124</v>
      </c>
      <c r="H510" t="s">
        <v>1830</v>
      </c>
      <c r="I510" t="s">
        <v>262</v>
      </c>
      <c r="J510" t="s">
        <v>916</v>
      </c>
      <c r="K510">
        <v>1</v>
      </c>
      <c r="L510">
        <v>18</v>
      </c>
      <c r="M510" t="s">
        <v>33</v>
      </c>
      <c r="N510">
        <v>1</v>
      </c>
      <c r="O510">
        <v>0</v>
      </c>
      <c r="P510">
        <v>0</v>
      </c>
      <c r="Q510" t="s">
        <v>52</v>
      </c>
      <c r="R510">
        <v>18</v>
      </c>
      <c r="S510">
        <v>18</v>
      </c>
      <c r="T510">
        <v>18</v>
      </c>
      <c r="U510" t="s">
        <v>1794</v>
      </c>
      <c r="V510" t="s">
        <v>1794</v>
      </c>
      <c r="W510" t="s">
        <v>1794</v>
      </c>
      <c r="X510">
        <v>1</v>
      </c>
      <c r="Y510" t="s">
        <v>1794</v>
      </c>
      <c r="Z510">
        <v>0</v>
      </c>
      <c r="AA510" t="s">
        <v>1794</v>
      </c>
      <c r="AB510" t="s">
        <v>1794</v>
      </c>
      <c r="AC510" t="s">
        <v>1794</v>
      </c>
      <c r="AD510" t="s">
        <v>1794</v>
      </c>
      <c r="AE510">
        <v>0</v>
      </c>
      <c r="AF510" t="s">
        <v>1794</v>
      </c>
      <c r="AG510" t="s">
        <v>1794</v>
      </c>
      <c r="AH510" t="s">
        <v>1794</v>
      </c>
    </row>
    <row r="511" spans="1:34" x14ac:dyDescent="0.25">
      <c r="A511" t="s">
        <v>917</v>
      </c>
      <c r="B511" t="s">
        <v>1608</v>
      </c>
      <c r="C511" t="s">
        <v>463</v>
      </c>
      <c r="D511" t="s">
        <v>909</v>
      </c>
      <c r="E511" t="s">
        <v>1794</v>
      </c>
      <c r="F511" t="s">
        <v>912</v>
      </c>
      <c r="G511" t="s">
        <v>1124</v>
      </c>
      <c r="H511" t="s">
        <v>918</v>
      </c>
      <c r="I511" t="s">
        <v>262</v>
      </c>
      <c r="J511" t="s">
        <v>919</v>
      </c>
      <c r="K511">
        <v>1</v>
      </c>
      <c r="L511">
        <v>1</v>
      </c>
      <c r="M511" t="s">
        <v>33</v>
      </c>
      <c r="N511">
        <v>1</v>
      </c>
      <c r="O511">
        <v>1</v>
      </c>
      <c r="P511">
        <v>1</v>
      </c>
      <c r="Q511" t="s">
        <v>52</v>
      </c>
      <c r="R511">
        <v>1</v>
      </c>
      <c r="S511">
        <v>1</v>
      </c>
      <c r="T511">
        <v>1</v>
      </c>
      <c r="U511" t="s">
        <v>1794</v>
      </c>
      <c r="V511" t="s">
        <v>1794</v>
      </c>
      <c r="W511" t="s">
        <v>1794</v>
      </c>
      <c r="X511">
        <v>1</v>
      </c>
      <c r="Y511" t="s">
        <v>1794</v>
      </c>
      <c r="Z511">
        <v>0</v>
      </c>
      <c r="AA511" t="s">
        <v>1794</v>
      </c>
      <c r="AB511" t="s">
        <v>1794</v>
      </c>
      <c r="AC511" t="s">
        <v>1794</v>
      </c>
      <c r="AD511" t="s">
        <v>1794</v>
      </c>
      <c r="AE511">
        <v>0</v>
      </c>
      <c r="AF511" t="s">
        <v>1794</v>
      </c>
      <c r="AG511" t="s">
        <v>1794</v>
      </c>
      <c r="AH511" t="s">
        <v>1794</v>
      </c>
    </row>
    <row r="512" spans="1:34" x14ac:dyDescent="0.25">
      <c r="A512" t="s">
        <v>862</v>
      </c>
      <c r="B512" t="s">
        <v>1594</v>
      </c>
      <c r="C512" t="s">
        <v>463</v>
      </c>
      <c r="D512" t="s">
        <v>909</v>
      </c>
      <c r="E512" t="s">
        <v>1794</v>
      </c>
      <c r="F512" t="s">
        <v>920</v>
      </c>
      <c r="G512" t="s">
        <v>1124</v>
      </c>
      <c r="H512" t="s">
        <v>921</v>
      </c>
      <c r="I512" t="s">
        <v>262</v>
      </c>
      <c r="J512" t="s">
        <v>916</v>
      </c>
      <c r="K512">
        <v>1</v>
      </c>
      <c r="L512">
        <v>1</v>
      </c>
      <c r="M512" t="s">
        <v>33</v>
      </c>
      <c r="N512">
        <v>1</v>
      </c>
      <c r="O512">
        <v>1</v>
      </c>
      <c r="P512">
        <v>1</v>
      </c>
      <c r="Q512" t="s">
        <v>52</v>
      </c>
      <c r="R512">
        <v>1</v>
      </c>
      <c r="S512">
        <v>1</v>
      </c>
      <c r="T512">
        <v>1</v>
      </c>
      <c r="U512" t="s">
        <v>1794</v>
      </c>
      <c r="V512" t="s">
        <v>1794</v>
      </c>
      <c r="W512" t="s">
        <v>1794</v>
      </c>
      <c r="X512">
        <v>1</v>
      </c>
      <c r="Y512" t="s">
        <v>1794</v>
      </c>
      <c r="Z512">
        <v>0</v>
      </c>
      <c r="AA512" t="s">
        <v>1794</v>
      </c>
      <c r="AB512" t="s">
        <v>1794</v>
      </c>
      <c r="AC512" t="s">
        <v>1794</v>
      </c>
      <c r="AD512" t="s">
        <v>1794</v>
      </c>
      <c r="AE512">
        <v>0</v>
      </c>
      <c r="AF512" t="s">
        <v>1794</v>
      </c>
      <c r="AG512" t="s">
        <v>1794</v>
      </c>
      <c r="AH512" t="s">
        <v>1794</v>
      </c>
    </row>
    <row r="513" spans="1:34" x14ac:dyDescent="0.25">
      <c r="A513" t="s">
        <v>862</v>
      </c>
      <c r="B513" t="s">
        <v>1594</v>
      </c>
      <c r="C513" t="s">
        <v>463</v>
      </c>
      <c r="D513" t="s">
        <v>909</v>
      </c>
      <c r="E513" t="s">
        <v>1794</v>
      </c>
      <c r="F513" t="s">
        <v>922</v>
      </c>
      <c r="G513" t="s">
        <v>1124</v>
      </c>
      <c r="H513" t="s">
        <v>923</v>
      </c>
      <c r="I513" t="s">
        <v>262</v>
      </c>
      <c r="J513" t="s">
        <v>916</v>
      </c>
      <c r="K513">
        <v>1</v>
      </c>
      <c r="L513">
        <v>1</v>
      </c>
      <c r="M513" t="s">
        <v>33</v>
      </c>
      <c r="N513">
        <v>1</v>
      </c>
      <c r="O513">
        <v>1</v>
      </c>
      <c r="P513">
        <v>1</v>
      </c>
      <c r="Q513" t="s">
        <v>52</v>
      </c>
      <c r="R513">
        <v>1</v>
      </c>
      <c r="S513">
        <v>1</v>
      </c>
      <c r="T513">
        <v>1</v>
      </c>
      <c r="U513" t="s">
        <v>1794</v>
      </c>
      <c r="V513" t="s">
        <v>1794</v>
      </c>
      <c r="W513" t="s">
        <v>1794</v>
      </c>
      <c r="X513">
        <v>1</v>
      </c>
      <c r="Y513" t="s">
        <v>1794</v>
      </c>
      <c r="Z513">
        <v>0</v>
      </c>
      <c r="AA513" t="s">
        <v>1794</v>
      </c>
      <c r="AB513" t="s">
        <v>1794</v>
      </c>
      <c r="AC513" t="s">
        <v>1794</v>
      </c>
      <c r="AD513" t="s">
        <v>1794</v>
      </c>
      <c r="AE513">
        <v>0</v>
      </c>
      <c r="AF513" t="s">
        <v>1794</v>
      </c>
      <c r="AG513" t="s">
        <v>1794</v>
      </c>
      <c r="AH513" t="s">
        <v>1794</v>
      </c>
    </row>
    <row r="514" spans="1:34" x14ac:dyDescent="0.25">
      <c r="A514" t="s">
        <v>862</v>
      </c>
      <c r="B514" t="s">
        <v>1594</v>
      </c>
      <c r="C514" t="s">
        <v>463</v>
      </c>
      <c r="D514" t="s">
        <v>909</v>
      </c>
      <c r="E514" t="s">
        <v>1794</v>
      </c>
      <c r="F514" t="s">
        <v>924</v>
      </c>
      <c r="G514" t="s">
        <v>1124</v>
      </c>
      <c r="H514" t="s">
        <v>925</v>
      </c>
      <c r="I514" t="s">
        <v>262</v>
      </c>
      <c r="J514" t="s">
        <v>916</v>
      </c>
      <c r="K514">
        <v>1</v>
      </c>
      <c r="L514">
        <v>1</v>
      </c>
      <c r="M514" t="s">
        <v>33</v>
      </c>
      <c r="N514">
        <v>1</v>
      </c>
      <c r="O514">
        <v>1</v>
      </c>
      <c r="P514">
        <v>1</v>
      </c>
      <c r="Q514" t="s">
        <v>52</v>
      </c>
      <c r="R514">
        <v>1</v>
      </c>
      <c r="S514">
        <v>1</v>
      </c>
      <c r="T514">
        <v>1</v>
      </c>
      <c r="U514" t="s">
        <v>1794</v>
      </c>
      <c r="V514" t="s">
        <v>1794</v>
      </c>
      <c r="W514" t="s">
        <v>1794</v>
      </c>
      <c r="X514">
        <v>1</v>
      </c>
      <c r="Y514" t="s">
        <v>1794</v>
      </c>
      <c r="Z514">
        <v>0</v>
      </c>
      <c r="AA514" t="s">
        <v>1794</v>
      </c>
      <c r="AB514" t="s">
        <v>1794</v>
      </c>
      <c r="AC514" t="s">
        <v>1794</v>
      </c>
      <c r="AD514" t="s">
        <v>1794</v>
      </c>
      <c r="AE514">
        <v>0</v>
      </c>
      <c r="AF514" t="s">
        <v>1794</v>
      </c>
      <c r="AG514" t="s">
        <v>1794</v>
      </c>
      <c r="AH514" t="s">
        <v>1794</v>
      </c>
    </row>
    <row r="515" spans="1:34" x14ac:dyDescent="0.25">
      <c r="A515" t="s">
        <v>862</v>
      </c>
      <c r="B515" t="s">
        <v>1594</v>
      </c>
      <c r="C515" t="s">
        <v>463</v>
      </c>
      <c r="D515" t="s">
        <v>909</v>
      </c>
      <c r="E515" t="s">
        <v>1794</v>
      </c>
      <c r="F515" t="s">
        <v>926</v>
      </c>
      <c r="G515" t="s">
        <v>1124</v>
      </c>
      <c r="H515" t="s">
        <v>927</v>
      </c>
      <c r="I515" t="s">
        <v>262</v>
      </c>
      <c r="J515" t="s">
        <v>916</v>
      </c>
      <c r="K515">
        <v>1</v>
      </c>
      <c r="L515">
        <v>1</v>
      </c>
      <c r="M515" t="s">
        <v>33</v>
      </c>
      <c r="N515">
        <v>1</v>
      </c>
      <c r="O515">
        <v>1</v>
      </c>
      <c r="P515">
        <v>1</v>
      </c>
      <c r="Q515" t="s">
        <v>52</v>
      </c>
      <c r="R515">
        <v>1</v>
      </c>
      <c r="S515">
        <v>1</v>
      </c>
      <c r="T515">
        <v>1</v>
      </c>
      <c r="U515" t="s">
        <v>1794</v>
      </c>
      <c r="V515" t="s">
        <v>1794</v>
      </c>
      <c r="W515" t="s">
        <v>1794</v>
      </c>
      <c r="X515">
        <v>1</v>
      </c>
      <c r="Y515" t="s">
        <v>1794</v>
      </c>
      <c r="Z515">
        <v>0</v>
      </c>
      <c r="AA515" t="s">
        <v>1794</v>
      </c>
      <c r="AB515" t="s">
        <v>1794</v>
      </c>
      <c r="AC515" t="s">
        <v>1794</v>
      </c>
      <c r="AD515" t="s">
        <v>1794</v>
      </c>
      <c r="AE515">
        <v>0</v>
      </c>
      <c r="AF515" t="s">
        <v>1794</v>
      </c>
      <c r="AG515" t="s">
        <v>1794</v>
      </c>
      <c r="AH515" t="s">
        <v>1794</v>
      </c>
    </row>
    <row r="516" spans="1:34" x14ac:dyDescent="0.25">
      <c r="A516" t="s">
        <v>862</v>
      </c>
      <c r="B516" t="s">
        <v>1594</v>
      </c>
      <c r="C516" t="s">
        <v>463</v>
      </c>
      <c r="D516" t="s">
        <v>909</v>
      </c>
      <c r="E516" t="s">
        <v>1794</v>
      </c>
      <c r="F516" t="s">
        <v>928</v>
      </c>
      <c r="G516" t="s">
        <v>1124</v>
      </c>
      <c r="H516" t="s">
        <v>929</v>
      </c>
      <c r="I516" t="s">
        <v>262</v>
      </c>
      <c r="J516" t="s">
        <v>916</v>
      </c>
      <c r="K516">
        <v>1</v>
      </c>
      <c r="L516">
        <v>1</v>
      </c>
      <c r="M516" t="s">
        <v>33</v>
      </c>
      <c r="N516">
        <v>1</v>
      </c>
      <c r="O516">
        <v>1</v>
      </c>
      <c r="P516">
        <v>1</v>
      </c>
      <c r="Q516" t="s">
        <v>52</v>
      </c>
      <c r="R516">
        <v>1</v>
      </c>
      <c r="S516">
        <v>1</v>
      </c>
      <c r="T516">
        <v>1</v>
      </c>
      <c r="U516" t="s">
        <v>1794</v>
      </c>
      <c r="V516" t="s">
        <v>1794</v>
      </c>
      <c r="W516" t="s">
        <v>1794</v>
      </c>
      <c r="X516">
        <v>1</v>
      </c>
      <c r="Y516" t="s">
        <v>1794</v>
      </c>
      <c r="Z516">
        <v>0</v>
      </c>
      <c r="AA516" t="s">
        <v>1794</v>
      </c>
      <c r="AB516" t="s">
        <v>1794</v>
      </c>
      <c r="AC516" t="s">
        <v>1794</v>
      </c>
      <c r="AD516" t="s">
        <v>1794</v>
      </c>
      <c r="AE516">
        <v>0</v>
      </c>
      <c r="AF516" t="s">
        <v>1794</v>
      </c>
      <c r="AG516" t="s">
        <v>1794</v>
      </c>
      <c r="AH516" t="s">
        <v>1794</v>
      </c>
    </row>
    <row r="517" spans="1:34" x14ac:dyDescent="0.25">
      <c r="A517" t="s">
        <v>862</v>
      </c>
      <c r="B517" t="s">
        <v>1594</v>
      </c>
      <c r="C517" t="s">
        <v>463</v>
      </c>
      <c r="D517" t="s">
        <v>909</v>
      </c>
      <c r="E517" t="s">
        <v>1794</v>
      </c>
      <c r="F517" t="s">
        <v>930</v>
      </c>
      <c r="G517" t="s">
        <v>1124</v>
      </c>
      <c r="H517" t="s">
        <v>931</v>
      </c>
      <c r="I517" t="s">
        <v>262</v>
      </c>
      <c r="J517" t="s">
        <v>916</v>
      </c>
      <c r="K517">
        <v>1</v>
      </c>
      <c r="L517">
        <v>1</v>
      </c>
      <c r="M517" t="s">
        <v>33</v>
      </c>
      <c r="N517">
        <v>1</v>
      </c>
      <c r="O517">
        <v>1</v>
      </c>
      <c r="P517">
        <v>1</v>
      </c>
      <c r="Q517" t="s">
        <v>52</v>
      </c>
      <c r="R517">
        <v>1</v>
      </c>
      <c r="S517">
        <v>1</v>
      </c>
      <c r="T517">
        <v>1</v>
      </c>
      <c r="U517" t="s">
        <v>1794</v>
      </c>
      <c r="V517" t="s">
        <v>1794</v>
      </c>
      <c r="W517" t="s">
        <v>1794</v>
      </c>
      <c r="X517">
        <v>1</v>
      </c>
      <c r="Y517" t="s">
        <v>1794</v>
      </c>
      <c r="Z517">
        <v>0</v>
      </c>
      <c r="AA517" t="s">
        <v>1794</v>
      </c>
      <c r="AB517" t="s">
        <v>1794</v>
      </c>
      <c r="AC517" t="s">
        <v>1794</v>
      </c>
      <c r="AD517" t="s">
        <v>1794</v>
      </c>
      <c r="AE517">
        <v>0</v>
      </c>
      <c r="AF517" t="s">
        <v>1794</v>
      </c>
      <c r="AG517" t="s">
        <v>1794</v>
      </c>
      <c r="AH517" t="s">
        <v>1794</v>
      </c>
    </row>
    <row r="518" spans="1:34" x14ac:dyDescent="0.25">
      <c r="A518" t="s">
        <v>932</v>
      </c>
      <c r="B518" t="s">
        <v>1599</v>
      </c>
      <c r="C518" t="s">
        <v>463</v>
      </c>
      <c r="D518" t="s">
        <v>909</v>
      </c>
      <c r="E518" t="s">
        <v>1794</v>
      </c>
      <c r="F518" t="s">
        <v>933</v>
      </c>
      <c r="G518" t="s">
        <v>1124</v>
      </c>
      <c r="H518" t="s">
        <v>934</v>
      </c>
      <c r="I518" t="s">
        <v>262</v>
      </c>
      <c r="J518" t="s">
        <v>916</v>
      </c>
      <c r="K518">
        <v>1</v>
      </c>
      <c r="L518">
        <v>3</v>
      </c>
      <c r="M518" t="s">
        <v>33</v>
      </c>
      <c r="N518">
        <v>1</v>
      </c>
      <c r="O518">
        <v>3</v>
      </c>
      <c r="P518">
        <v>1</v>
      </c>
      <c r="Q518" t="s">
        <v>52</v>
      </c>
      <c r="R518">
        <v>3</v>
      </c>
      <c r="S518">
        <v>3</v>
      </c>
      <c r="T518">
        <v>3</v>
      </c>
      <c r="U518" t="s">
        <v>1794</v>
      </c>
      <c r="V518" t="s">
        <v>1794</v>
      </c>
      <c r="W518" t="s">
        <v>1794</v>
      </c>
      <c r="X518">
        <v>1</v>
      </c>
      <c r="Y518" t="s">
        <v>1794</v>
      </c>
      <c r="Z518">
        <v>0</v>
      </c>
      <c r="AA518" t="s">
        <v>1794</v>
      </c>
      <c r="AB518" t="s">
        <v>1794</v>
      </c>
      <c r="AC518" t="s">
        <v>1794</v>
      </c>
      <c r="AD518" t="s">
        <v>1794</v>
      </c>
      <c r="AE518">
        <v>0</v>
      </c>
      <c r="AF518" t="s">
        <v>1794</v>
      </c>
      <c r="AG518" t="s">
        <v>1794</v>
      </c>
      <c r="AH518" t="s">
        <v>1794</v>
      </c>
    </row>
    <row r="519" spans="1:34" x14ac:dyDescent="0.25">
      <c r="A519" t="s">
        <v>932</v>
      </c>
      <c r="B519" t="s">
        <v>1599</v>
      </c>
      <c r="C519" t="s">
        <v>463</v>
      </c>
      <c r="D519" t="s">
        <v>909</v>
      </c>
      <c r="E519" t="s">
        <v>1794</v>
      </c>
      <c r="F519" t="s">
        <v>935</v>
      </c>
      <c r="G519" t="s">
        <v>1124</v>
      </c>
      <c r="H519" t="s">
        <v>936</v>
      </c>
      <c r="I519" t="s">
        <v>262</v>
      </c>
      <c r="J519" t="s">
        <v>937</v>
      </c>
      <c r="K519">
        <v>1</v>
      </c>
      <c r="L519">
        <v>1</v>
      </c>
      <c r="M519" t="s">
        <v>33</v>
      </c>
      <c r="N519">
        <v>1</v>
      </c>
      <c r="O519">
        <v>1</v>
      </c>
      <c r="P519">
        <v>1</v>
      </c>
      <c r="Q519" t="s">
        <v>52</v>
      </c>
      <c r="R519">
        <v>1</v>
      </c>
      <c r="S519">
        <v>1</v>
      </c>
      <c r="T519">
        <v>1</v>
      </c>
      <c r="U519" t="s">
        <v>1794</v>
      </c>
      <c r="V519" t="s">
        <v>1794</v>
      </c>
      <c r="W519" t="s">
        <v>1794</v>
      </c>
      <c r="X519">
        <v>1</v>
      </c>
      <c r="Y519" t="s">
        <v>1794</v>
      </c>
      <c r="Z519">
        <v>0</v>
      </c>
      <c r="AA519" t="s">
        <v>1794</v>
      </c>
      <c r="AB519" t="s">
        <v>1794</v>
      </c>
      <c r="AC519" t="s">
        <v>1794</v>
      </c>
      <c r="AD519" t="s">
        <v>1794</v>
      </c>
      <c r="AE519">
        <v>0</v>
      </c>
      <c r="AF519" t="s">
        <v>1794</v>
      </c>
      <c r="AG519" t="s">
        <v>1794</v>
      </c>
      <c r="AH519" t="s">
        <v>1794</v>
      </c>
    </row>
    <row r="520" spans="1:34" x14ac:dyDescent="0.25">
      <c r="A520" t="s">
        <v>932</v>
      </c>
      <c r="B520" t="s">
        <v>1599</v>
      </c>
      <c r="C520" t="s">
        <v>463</v>
      </c>
      <c r="D520" t="s">
        <v>909</v>
      </c>
      <c r="E520" t="s">
        <v>1794</v>
      </c>
      <c r="F520" t="s">
        <v>938</v>
      </c>
      <c r="G520" t="s">
        <v>1124</v>
      </c>
      <c r="H520" t="s">
        <v>939</v>
      </c>
      <c r="I520" t="s">
        <v>262</v>
      </c>
      <c r="J520" t="s">
        <v>916</v>
      </c>
      <c r="K520">
        <v>1</v>
      </c>
      <c r="L520">
        <v>1</v>
      </c>
      <c r="M520" t="s">
        <v>33</v>
      </c>
      <c r="N520">
        <v>1</v>
      </c>
      <c r="O520">
        <v>1</v>
      </c>
      <c r="P520">
        <v>1</v>
      </c>
      <c r="Q520" t="s">
        <v>52</v>
      </c>
      <c r="R520">
        <v>1</v>
      </c>
      <c r="S520">
        <v>1</v>
      </c>
      <c r="T520">
        <v>1</v>
      </c>
      <c r="U520" t="s">
        <v>1794</v>
      </c>
      <c r="V520" t="s">
        <v>1794</v>
      </c>
      <c r="W520" t="s">
        <v>1794</v>
      </c>
      <c r="X520">
        <v>1</v>
      </c>
      <c r="Y520" t="s">
        <v>1794</v>
      </c>
      <c r="Z520">
        <v>0</v>
      </c>
      <c r="AA520" t="s">
        <v>1794</v>
      </c>
      <c r="AB520" t="s">
        <v>1794</v>
      </c>
      <c r="AC520" t="s">
        <v>1794</v>
      </c>
      <c r="AD520" t="s">
        <v>1794</v>
      </c>
      <c r="AE520">
        <v>0</v>
      </c>
      <c r="AF520" t="s">
        <v>1794</v>
      </c>
      <c r="AG520" t="s">
        <v>1794</v>
      </c>
      <c r="AH520" t="s">
        <v>1794</v>
      </c>
    </row>
    <row r="521" spans="1:34" x14ac:dyDescent="0.25">
      <c r="A521" t="s">
        <v>932</v>
      </c>
      <c r="B521" t="s">
        <v>1599</v>
      </c>
      <c r="C521" t="s">
        <v>463</v>
      </c>
      <c r="D521" t="s">
        <v>909</v>
      </c>
      <c r="E521" t="s">
        <v>1794</v>
      </c>
      <c r="F521" t="s">
        <v>940</v>
      </c>
      <c r="G521" t="s">
        <v>1124</v>
      </c>
      <c r="H521" t="s">
        <v>941</v>
      </c>
      <c r="I521" t="s">
        <v>262</v>
      </c>
      <c r="J521" t="s">
        <v>916</v>
      </c>
      <c r="K521">
        <v>1</v>
      </c>
      <c r="L521">
        <v>1</v>
      </c>
      <c r="M521" t="s">
        <v>33</v>
      </c>
      <c r="N521">
        <v>1</v>
      </c>
      <c r="O521">
        <v>1</v>
      </c>
      <c r="P521">
        <v>1</v>
      </c>
      <c r="Q521" t="s">
        <v>52</v>
      </c>
      <c r="R521">
        <v>1</v>
      </c>
      <c r="S521">
        <v>1</v>
      </c>
      <c r="T521">
        <v>1</v>
      </c>
      <c r="U521" t="s">
        <v>1794</v>
      </c>
      <c r="V521" t="s">
        <v>1794</v>
      </c>
      <c r="W521" t="s">
        <v>1794</v>
      </c>
      <c r="X521">
        <v>1</v>
      </c>
      <c r="Y521" t="s">
        <v>1794</v>
      </c>
      <c r="Z521">
        <v>0</v>
      </c>
      <c r="AA521" t="s">
        <v>1794</v>
      </c>
      <c r="AB521" t="s">
        <v>1794</v>
      </c>
      <c r="AC521" t="s">
        <v>1794</v>
      </c>
      <c r="AD521" t="s">
        <v>1794</v>
      </c>
      <c r="AE521">
        <v>0</v>
      </c>
      <c r="AF521" t="s">
        <v>1794</v>
      </c>
      <c r="AG521" t="s">
        <v>1794</v>
      </c>
      <c r="AH521" t="s">
        <v>1794</v>
      </c>
    </row>
    <row r="522" spans="1:34" x14ac:dyDescent="0.25">
      <c r="A522" t="s">
        <v>932</v>
      </c>
      <c r="B522" t="s">
        <v>1599</v>
      </c>
      <c r="C522" t="s">
        <v>463</v>
      </c>
      <c r="D522" t="s">
        <v>909</v>
      </c>
      <c r="E522" t="s">
        <v>1794</v>
      </c>
      <c r="F522" t="s">
        <v>942</v>
      </c>
      <c r="G522" t="s">
        <v>1124</v>
      </c>
      <c r="H522" t="s">
        <v>943</v>
      </c>
      <c r="I522" t="s">
        <v>262</v>
      </c>
      <c r="J522" t="s">
        <v>944</v>
      </c>
      <c r="K522">
        <v>1</v>
      </c>
      <c r="L522">
        <v>1</v>
      </c>
      <c r="M522" t="s">
        <v>33</v>
      </c>
      <c r="N522">
        <v>1</v>
      </c>
      <c r="O522">
        <v>1</v>
      </c>
      <c r="P522">
        <v>1</v>
      </c>
      <c r="Q522" t="s">
        <v>52</v>
      </c>
      <c r="R522">
        <v>1</v>
      </c>
      <c r="S522">
        <v>1</v>
      </c>
      <c r="T522">
        <v>1</v>
      </c>
      <c r="U522" t="s">
        <v>1794</v>
      </c>
      <c r="V522" t="s">
        <v>1794</v>
      </c>
      <c r="W522" t="s">
        <v>1794</v>
      </c>
      <c r="X522">
        <v>1</v>
      </c>
      <c r="Y522" t="s">
        <v>1794</v>
      </c>
      <c r="Z522">
        <v>0</v>
      </c>
      <c r="AA522" t="s">
        <v>1794</v>
      </c>
      <c r="AB522" t="s">
        <v>1794</v>
      </c>
      <c r="AC522" t="s">
        <v>1794</v>
      </c>
      <c r="AD522" t="s">
        <v>1794</v>
      </c>
      <c r="AE522">
        <v>0</v>
      </c>
      <c r="AF522" t="s">
        <v>1794</v>
      </c>
      <c r="AG522" t="s">
        <v>1794</v>
      </c>
      <c r="AH522" t="s">
        <v>1794</v>
      </c>
    </row>
    <row r="523" spans="1:34" x14ac:dyDescent="0.25">
      <c r="A523" t="s">
        <v>932</v>
      </c>
      <c r="B523" t="s">
        <v>1599</v>
      </c>
      <c r="C523" t="s">
        <v>463</v>
      </c>
      <c r="D523" t="s">
        <v>909</v>
      </c>
      <c r="E523" t="s">
        <v>1794</v>
      </c>
      <c r="F523" t="s">
        <v>945</v>
      </c>
      <c r="G523" t="s">
        <v>1124</v>
      </c>
      <c r="H523" t="s">
        <v>946</v>
      </c>
      <c r="I523" t="s">
        <v>262</v>
      </c>
      <c r="J523" t="s">
        <v>947</v>
      </c>
      <c r="K523">
        <v>1</v>
      </c>
      <c r="L523">
        <v>1</v>
      </c>
      <c r="M523" t="s">
        <v>33</v>
      </c>
      <c r="N523">
        <v>1</v>
      </c>
      <c r="O523">
        <v>1</v>
      </c>
      <c r="P523">
        <v>1</v>
      </c>
      <c r="Q523" t="s">
        <v>52</v>
      </c>
      <c r="R523">
        <v>1</v>
      </c>
      <c r="S523">
        <v>1</v>
      </c>
      <c r="T523">
        <v>1</v>
      </c>
      <c r="U523" t="s">
        <v>1794</v>
      </c>
      <c r="V523" t="s">
        <v>1794</v>
      </c>
      <c r="W523" t="s">
        <v>1794</v>
      </c>
      <c r="X523">
        <v>1</v>
      </c>
      <c r="Y523" t="s">
        <v>1794</v>
      </c>
      <c r="Z523">
        <v>0</v>
      </c>
      <c r="AA523" t="s">
        <v>1794</v>
      </c>
      <c r="AB523" t="s">
        <v>1794</v>
      </c>
      <c r="AC523" t="s">
        <v>1794</v>
      </c>
      <c r="AD523" t="s">
        <v>1794</v>
      </c>
      <c r="AE523">
        <v>0</v>
      </c>
      <c r="AF523" t="s">
        <v>1794</v>
      </c>
      <c r="AG523" t="s">
        <v>1794</v>
      </c>
      <c r="AH523" t="s">
        <v>1794</v>
      </c>
    </row>
    <row r="524" spans="1:34" x14ac:dyDescent="0.25">
      <c r="A524" t="s">
        <v>932</v>
      </c>
      <c r="B524" t="s">
        <v>1599</v>
      </c>
      <c r="C524" t="s">
        <v>463</v>
      </c>
      <c r="D524" t="s">
        <v>909</v>
      </c>
      <c r="E524" t="s">
        <v>1794</v>
      </c>
      <c r="F524" t="s">
        <v>948</v>
      </c>
      <c r="G524" t="s">
        <v>1124</v>
      </c>
      <c r="H524" t="s">
        <v>949</v>
      </c>
      <c r="I524" t="s">
        <v>262</v>
      </c>
      <c r="J524" t="s">
        <v>916</v>
      </c>
      <c r="K524">
        <v>1</v>
      </c>
      <c r="L524">
        <v>3</v>
      </c>
      <c r="M524" t="s">
        <v>33</v>
      </c>
      <c r="N524">
        <v>1</v>
      </c>
      <c r="O524">
        <v>3</v>
      </c>
      <c r="P524">
        <v>1</v>
      </c>
      <c r="Q524" t="s">
        <v>52</v>
      </c>
      <c r="R524">
        <v>3</v>
      </c>
      <c r="S524">
        <v>3</v>
      </c>
      <c r="T524">
        <v>3</v>
      </c>
      <c r="U524" t="s">
        <v>1794</v>
      </c>
      <c r="V524" t="s">
        <v>1794</v>
      </c>
      <c r="W524" t="s">
        <v>1794</v>
      </c>
      <c r="X524">
        <v>1</v>
      </c>
      <c r="Y524" t="s">
        <v>1794</v>
      </c>
      <c r="Z524">
        <v>0</v>
      </c>
      <c r="AA524" t="s">
        <v>1794</v>
      </c>
      <c r="AB524" t="s">
        <v>1794</v>
      </c>
      <c r="AC524" t="s">
        <v>1794</v>
      </c>
      <c r="AD524" t="s">
        <v>1794</v>
      </c>
      <c r="AE524">
        <v>0</v>
      </c>
      <c r="AF524" t="s">
        <v>1794</v>
      </c>
      <c r="AG524" t="s">
        <v>1794</v>
      </c>
      <c r="AH524" t="s">
        <v>1794</v>
      </c>
    </row>
    <row r="525" spans="1:34" x14ac:dyDescent="0.25">
      <c r="A525" t="s">
        <v>932</v>
      </c>
      <c r="B525" t="s">
        <v>1599</v>
      </c>
      <c r="C525" t="s">
        <v>463</v>
      </c>
      <c r="D525" t="s">
        <v>909</v>
      </c>
      <c r="E525" t="s">
        <v>1794</v>
      </c>
      <c r="F525" t="s">
        <v>950</v>
      </c>
      <c r="G525" t="s">
        <v>1124</v>
      </c>
      <c r="H525" t="s">
        <v>951</v>
      </c>
      <c r="I525" t="s">
        <v>262</v>
      </c>
      <c r="J525" t="s">
        <v>937</v>
      </c>
      <c r="K525">
        <v>1</v>
      </c>
      <c r="L525">
        <v>1</v>
      </c>
      <c r="M525" t="s">
        <v>33</v>
      </c>
      <c r="N525">
        <v>1</v>
      </c>
      <c r="O525">
        <v>1</v>
      </c>
      <c r="P525">
        <v>1</v>
      </c>
      <c r="Q525" t="s">
        <v>52</v>
      </c>
      <c r="R525">
        <v>1</v>
      </c>
      <c r="S525">
        <v>1</v>
      </c>
      <c r="T525">
        <v>1</v>
      </c>
      <c r="U525" t="s">
        <v>1794</v>
      </c>
      <c r="V525" t="s">
        <v>1794</v>
      </c>
      <c r="W525" t="s">
        <v>1794</v>
      </c>
      <c r="X525">
        <v>1</v>
      </c>
      <c r="Y525" t="s">
        <v>1794</v>
      </c>
      <c r="Z525">
        <v>0</v>
      </c>
      <c r="AA525" t="s">
        <v>1794</v>
      </c>
      <c r="AB525" t="s">
        <v>1794</v>
      </c>
      <c r="AC525" t="s">
        <v>1794</v>
      </c>
      <c r="AD525" t="s">
        <v>1794</v>
      </c>
      <c r="AE525">
        <v>0</v>
      </c>
      <c r="AF525" t="s">
        <v>1794</v>
      </c>
      <c r="AG525" t="s">
        <v>1794</v>
      </c>
      <c r="AH525" t="s">
        <v>1794</v>
      </c>
    </row>
    <row r="526" spans="1:34" x14ac:dyDescent="0.25">
      <c r="A526" t="s">
        <v>932</v>
      </c>
      <c r="B526" t="s">
        <v>1599</v>
      </c>
      <c r="C526" t="s">
        <v>463</v>
      </c>
      <c r="D526" t="s">
        <v>909</v>
      </c>
      <c r="E526" t="s">
        <v>1794</v>
      </c>
      <c r="F526" t="s">
        <v>952</v>
      </c>
      <c r="G526" t="s">
        <v>1124</v>
      </c>
      <c r="H526" t="s">
        <v>953</v>
      </c>
      <c r="I526" t="s">
        <v>262</v>
      </c>
      <c r="J526" t="s">
        <v>916</v>
      </c>
      <c r="K526">
        <v>1</v>
      </c>
      <c r="L526">
        <v>1</v>
      </c>
      <c r="M526" t="s">
        <v>33</v>
      </c>
      <c r="N526">
        <v>1</v>
      </c>
      <c r="O526">
        <v>1</v>
      </c>
      <c r="P526">
        <v>1</v>
      </c>
      <c r="Q526" t="s">
        <v>52</v>
      </c>
      <c r="R526">
        <v>1</v>
      </c>
      <c r="S526">
        <v>1</v>
      </c>
      <c r="T526">
        <v>1</v>
      </c>
      <c r="U526" t="s">
        <v>1794</v>
      </c>
      <c r="V526" t="s">
        <v>1794</v>
      </c>
      <c r="W526" t="s">
        <v>1794</v>
      </c>
      <c r="X526">
        <v>1</v>
      </c>
      <c r="Y526" t="s">
        <v>1794</v>
      </c>
      <c r="Z526">
        <v>0</v>
      </c>
      <c r="AA526" t="s">
        <v>1794</v>
      </c>
      <c r="AB526" t="s">
        <v>1794</v>
      </c>
      <c r="AC526" t="s">
        <v>1794</v>
      </c>
      <c r="AD526" t="s">
        <v>1794</v>
      </c>
      <c r="AE526">
        <v>0</v>
      </c>
      <c r="AF526" t="s">
        <v>1794</v>
      </c>
      <c r="AG526" t="s">
        <v>1794</v>
      </c>
      <c r="AH526" t="s">
        <v>1794</v>
      </c>
    </row>
    <row r="527" spans="1:34" x14ac:dyDescent="0.25">
      <c r="A527" t="s">
        <v>932</v>
      </c>
      <c r="B527" t="s">
        <v>1599</v>
      </c>
      <c r="C527" t="s">
        <v>463</v>
      </c>
      <c r="D527" t="s">
        <v>909</v>
      </c>
      <c r="E527" t="s">
        <v>1794</v>
      </c>
      <c r="F527" t="s">
        <v>954</v>
      </c>
      <c r="G527" t="s">
        <v>1124</v>
      </c>
      <c r="H527" t="s">
        <v>955</v>
      </c>
      <c r="I527" t="s">
        <v>262</v>
      </c>
      <c r="J527" t="s">
        <v>916</v>
      </c>
      <c r="K527">
        <v>1</v>
      </c>
      <c r="L527">
        <v>1</v>
      </c>
      <c r="M527" t="s">
        <v>33</v>
      </c>
      <c r="N527">
        <v>1</v>
      </c>
      <c r="O527">
        <v>1</v>
      </c>
      <c r="P527">
        <v>1</v>
      </c>
      <c r="Q527" t="s">
        <v>52</v>
      </c>
      <c r="R527">
        <v>1</v>
      </c>
      <c r="S527">
        <v>1</v>
      </c>
      <c r="T527">
        <v>1</v>
      </c>
      <c r="U527" t="s">
        <v>1794</v>
      </c>
      <c r="V527" t="s">
        <v>1794</v>
      </c>
      <c r="W527" t="s">
        <v>1794</v>
      </c>
      <c r="X527">
        <v>1</v>
      </c>
      <c r="Y527" t="s">
        <v>1794</v>
      </c>
      <c r="Z527">
        <v>0</v>
      </c>
      <c r="AA527" t="s">
        <v>1794</v>
      </c>
      <c r="AB527" t="s">
        <v>1794</v>
      </c>
      <c r="AC527" t="s">
        <v>1794</v>
      </c>
      <c r="AD527" t="s">
        <v>1794</v>
      </c>
      <c r="AE527">
        <v>0</v>
      </c>
      <c r="AF527" t="s">
        <v>1794</v>
      </c>
      <c r="AG527" t="s">
        <v>1794</v>
      </c>
      <c r="AH527" t="s">
        <v>1794</v>
      </c>
    </row>
    <row r="528" spans="1:34" x14ac:dyDescent="0.25">
      <c r="A528" t="s">
        <v>932</v>
      </c>
      <c r="B528" t="s">
        <v>1599</v>
      </c>
      <c r="C528" t="s">
        <v>463</v>
      </c>
      <c r="D528" t="s">
        <v>909</v>
      </c>
      <c r="E528" t="s">
        <v>1794</v>
      </c>
      <c r="F528" t="s">
        <v>956</v>
      </c>
      <c r="G528" t="s">
        <v>1124</v>
      </c>
      <c r="H528" t="s">
        <v>957</v>
      </c>
      <c r="I528" t="s">
        <v>262</v>
      </c>
      <c r="J528" t="s">
        <v>944</v>
      </c>
      <c r="K528">
        <v>1</v>
      </c>
      <c r="L528">
        <v>1</v>
      </c>
      <c r="M528" t="s">
        <v>33</v>
      </c>
      <c r="N528">
        <v>1</v>
      </c>
      <c r="O528">
        <v>1</v>
      </c>
      <c r="P528">
        <v>1</v>
      </c>
      <c r="Q528" t="s">
        <v>52</v>
      </c>
      <c r="R528">
        <v>1</v>
      </c>
      <c r="S528">
        <v>1</v>
      </c>
      <c r="T528">
        <v>1</v>
      </c>
      <c r="U528" t="s">
        <v>1794</v>
      </c>
      <c r="V528" t="s">
        <v>1794</v>
      </c>
      <c r="W528" t="s">
        <v>1794</v>
      </c>
      <c r="X528">
        <v>1</v>
      </c>
      <c r="Y528" t="s">
        <v>1794</v>
      </c>
      <c r="Z528">
        <v>0</v>
      </c>
      <c r="AA528" t="s">
        <v>1794</v>
      </c>
      <c r="AB528" t="s">
        <v>1794</v>
      </c>
      <c r="AC528" t="s">
        <v>1794</v>
      </c>
      <c r="AD528" t="s">
        <v>1794</v>
      </c>
      <c r="AE528">
        <v>0</v>
      </c>
      <c r="AF528" t="s">
        <v>1794</v>
      </c>
      <c r="AG528" t="s">
        <v>1794</v>
      </c>
      <c r="AH528" t="s">
        <v>1794</v>
      </c>
    </row>
    <row r="529" spans="1:34" x14ac:dyDescent="0.25">
      <c r="A529" t="s">
        <v>932</v>
      </c>
      <c r="B529" t="s">
        <v>1599</v>
      </c>
      <c r="C529" t="s">
        <v>463</v>
      </c>
      <c r="D529" t="s">
        <v>909</v>
      </c>
      <c r="E529" t="s">
        <v>1794</v>
      </c>
      <c r="F529" t="s">
        <v>958</v>
      </c>
      <c r="G529" t="s">
        <v>1124</v>
      </c>
      <c r="H529" t="s">
        <v>959</v>
      </c>
      <c r="I529" t="s">
        <v>262</v>
      </c>
      <c r="J529" t="s">
        <v>947</v>
      </c>
      <c r="K529">
        <v>1</v>
      </c>
      <c r="L529">
        <v>1</v>
      </c>
      <c r="M529" t="s">
        <v>33</v>
      </c>
      <c r="N529">
        <v>1</v>
      </c>
      <c r="O529">
        <v>1</v>
      </c>
      <c r="P529">
        <v>1</v>
      </c>
      <c r="Q529" t="s">
        <v>52</v>
      </c>
      <c r="R529">
        <v>1</v>
      </c>
      <c r="S529">
        <v>1</v>
      </c>
      <c r="T529">
        <v>1</v>
      </c>
      <c r="U529" t="s">
        <v>1794</v>
      </c>
      <c r="V529" t="s">
        <v>1794</v>
      </c>
      <c r="W529" t="s">
        <v>1794</v>
      </c>
      <c r="X529">
        <v>1</v>
      </c>
      <c r="Y529" t="s">
        <v>1794</v>
      </c>
      <c r="Z529">
        <v>0</v>
      </c>
      <c r="AA529" t="s">
        <v>1794</v>
      </c>
      <c r="AB529" t="s">
        <v>1794</v>
      </c>
      <c r="AC529" t="s">
        <v>1794</v>
      </c>
      <c r="AD529" t="s">
        <v>1794</v>
      </c>
      <c r="AE529">
        <v>0</v>
      </c>
      <c r="AF529" t="s">
        <v>1794</v>
      </c>
      <c r="AG529" t="s">
        <v>1794</v>
      </c>
      <c r="AH529" t="s">
        <v>1794</v>
      </c>
    </row>
    <row r="530" spans="1:34" x14ac:dyDescent="0.25">
      <c r="A530" t="s">
        <v>932</v>
      </c>
      <c r="B530" t="s">
        <v>1599</v>
      </c>
      <c r="C530" t="s">
        <v>463</v>
      </c>
      <c r="D530" t="s">
        <v>909</v>
      </c>
      <c r="E530" t="s">
        <v>1794</v>
      </c>
      <c r="F530" t="s">
        <v>960</v>
      </c>
      <c r="G530" t="s">
        <v>1124</v>
      </c>
      <c r="H530" t="s">
        <v>961</v>
      </c>
      <c r="I530" t="s">
        <v>262</v>
      </c>
      <c r="J530" t="s">
        <v>962</v>
      </c>
      <c r="K530">
        <v>1</v>
      </c>
      <c r="L530">
        <v>3</v>
      </c>
      <c r="M530" t="s">
        <v>33</v>
      </c>
      <c r="N530">
        <v>1</v>
      </c>
      <c r="O530">
        <v>3</v>
      </c>
      <c r="P530">
        <v>1</v>
      </c>
      <c r="Q530" t="s">
        <v>52</v>
      </c>
      <c r="R530">
        <v>3</v>
      </c>
      <c r="S530">
        <v>3</v>
      </c>
      <c r="T530">
        <v>3</v>
      </c>
      <c r="U530" t="s">
        <v>1794</v>
      </c>
      <c r="V530" t="s">
        <v>1794</v>
      </c>
      <c r="W530" t="s">
        <v>1794</v>
      </c>
      <c r="X530">
        <v>1</v>
      </c>
      <c r="Y530" t="s">
        <v>1794</v>
      </c>
      <c r="Z530">
        <v>0</v>
      </c>
      <c r="AA530" t="s">
        <v>1794</v>
      </c>
      <c r="AB530" t="s">
        <v>1794</v>
      </c>
      <c r="AC530" t="s">
        <v>1794</v>
      </c>
      <c r="AD530" t="s">
        <v>1794</v>
      </c>
      <c r="AE530">
        <v>0</v>
      </c>
      <c r="AF530" t="s">
        <v>1794</v>
      </c>
      <c r="AG530" t="s">
        <v>1794</v>
      </c>
      <c r="AH530" t="s">
        <v>1794</v>
      </c>
    </row>
    <row r="531" spans="1:34" x14ac:dyDescent="0.25">
      <c r="A531" t="s">
        <v>932</v>
      </c>
      <c r="B531" t="s">
        <v>1599</v>
      </c>
      <c r="C531" t="s">
        <v>463</v>
      </c>
      <c r="D531" t="s">
        <v>909</v>
      </c>
      <c r="E531" t="s">
        <v>1794</v>
      </c>
      <c r="F531" t="s">
        <v>963</v>
      </c>
      <c r="G531" t="s">
        <v>1124</v>
      </c>
      <c r="H531" t="s">
        <v>964</v>
      </c>
      <c r="I531" t="s">
        <v>262</v>
      </c>
      <c r="J531" t="s">
        <v>965</v>
      </c>
      <c r="K531">
        <v>1</v>
      </c>
      <c r="L531">
        <v>1</v>
      </c>
      <c r="M531" t="s">
        <v>33</v>
      </c>
      <c r="N531">
        <v>1</v>
      </c>
      <c r="O531">
        <v>1</v>
      </c>
      <c r="P531">
        <v>1</v>
      </c>
      <c r="Q531" t="s">
        <v>52</v>
      </c>
      <c r="R531">
        <v>1</v>
      </c>
      <c r="S531">
        <v>1</v>
      </c>
      <c r="T531">
        <v>1</v>
      </c>
      <c r="U531" t="s">
        <v>1794</v>
      </c>
      <c r="V531" t="s">
        <v>1794</v>
      </c>
      <c r="W531" t="s">
        <v>1794</v>
      </c>
      <c r="X531">
        <v>1</v>
      </c>
      <c r="Y531" t="s">
        <v>1794</v>
      </c>
      <c r="Z531">
        <v>0</v>
      </c>
      <c r="AA531" t="s">
        <v>1794</v>
      </c>
      <c r="AB531" t="s">
        <v>1794</v>
      </c>
      <c r="AC531" t="s">
        <v>1794</v>
      </c>
      <c r="AD531" t="s">
        <v>1794</v>
      </c>
      <c r="AE531">
        <v>0</v>
      </c>
      <c r="AF531" t="s">
        <v>1794</v>
      </c>
      <c r="AG531" t="s">
        <v>1794</v>
      </c>
      <c r="AH531" t="s">
        <v>1794</v>
      </c>
    </row>
    <row r="532" spans="1:34" x14ac:dyDescent="0.25">
      <c r="A532" t="s">
        <v>932</v>
      </c>
      <c r="B532" t="s">
        <v>1599</v>
      </c>
      <c r="C532" t="s">
        <v>463</v>
      </c>
      <c r="D532" t="s">
        <v>909</v>
      </c>
      <c r="E532" t="s">
        <v>1794</v>
      </c>
      <c r="F532" t="s">
        <v>966</v>
      </c>
      <c r="G532" t="s">
        <v>1124</v>
      </c>
      <c r="H532" t="s">
        <v>967</v>
      </c>
      <c r="I532" t="s">
        <v>262</v>
      </c>
      <c r="J532" t="s">
        <v>965</v>
      </c>
      <c r="K532">
        <v>1</v>
      </c>
      <c r="L532">
        <v>1</v>
      </c>
      <c r="M532" t="s">
        <v>33</v>
      </c>
      <c r="N532">
        <v>1</v>
      </c>
      <c r="O532">
        <v>1</v>
      </c>
      <c r="P532">
        <v>1</v>
      </c>
      <c r="Q532" t="s">
        <v>52</v>
      </c>
      <c r="R532">
        <v>1</v>
      </c>
      <c r="S532">
        <v>1</v>
      </c>
      <c r="T532">
        <v>1</v>
      </c>
      <c r="U532" t="s">
        <v>1794</v>
      </c>
      <c r="V532" t="s">
        <v>1794</v>
      </c>
      <c r="W532" t="s">
        <v>1794</v>
      </c>
      <c r="X532">
        <v>1</v>
      </c>
      <c r="Y532" t="s">
        <v>1794</v>
      </c>
      <c r="Z532">
        <v>0</v>
      </c>
      <c r="AA532" t="s">
        <v>1794</v>
      </c>
      <c r="AB532" t="s">
        <v>1794</v>
      </c>
      <c r="AC532" t="s">
        <v>1794</v>
      </c>
      <c r="AD532" t="s">
        <v>1794</v>
      </c>
      <c r="AE532">
        <v>0</v>
      </c>
      <c r="AF532" t="s">
        <v>1794</v>
      </c>
      <c r="AG532" t="s">
        <v>1794</v>
      </c>
      <c r="AH532" t="s">
        <v>1794</v>
      </c>
    </row>
    <row r="533" spans="1:34" x14ac:dyDescent="0.25">
      <c r="A533" t="s">
        <v>932</v>
      </c>
      <c r="B533" t="s">
        <v>1599</v>
      </c>
      <c r="C533" t="s">
        <v>463</v>
      </c>
      <c r="D533" t="s">
        <v>909</v>
      </c>
      <c r="E533" t="s">
        <v>1794</v>
      </c>
      <c r="F533" t="s">
        <v>968</v>
      </c>
      <c r="G533" t="s">
        <v>1124</v>
      </c>
      <c r="H533" t="s">
        <v>969</v>
      </c>
      <c r="I533" t="s">
        <v>262</v>
      </c>
      <c r="J533" t="s">
        <v>962</v>
      </c>
      <c r="K533">
        <v>1</v>
      </c>
      <c r="L533">
        <v>1</v>
      </c>
      <c r="M533" t="s">
        <v>33</v>
      </c>
      <c r="N533">
        <v>1</v>
      </c>
      <c r="O533">
        <v>1</v>
      </c>
      <c r="P533">
        <v>1</v>
      </c>
      <c r="Q533" t="s">
        <v>52</v>
      </c>
      <c r="R533">
        <v>1</v>
      </c>
      <c r="S533">
        <v>1</v>
      </c>
      <c r="T533">
        <v>1</v>
      </c>
      <c r="U533" t="s">
        <v>1794</v>
      </c>
      <c r="V533" t="s">
        <v>1794</v>
      </c>
      <c r="W533" t="s">
        <v>1794</v>
      </c>
      <c r="X533">
        <v>1</v>
      </c>
      <c r="Y533" t="s">
        <v>1794</v>
      </c>
      <c r="Z533">
        <v>0</v>
      </c>
      <c r="AA533" t="s">
        <v>1794</v>
      </c>
      <c r="AB533" t="s">
        <v>1794</v>
      </c>
      <c r="AC533" t="s">
        <v>1794</v>
      </c>
      <c r="AD533" t="s">
        <v>1794</v>
      </c>
      <c r="AE533">
        <v>0</v>
      </c>
      <c r="AF533" t="s">
        <v>1794</v>
      </c>
      <c r="AG533" t="s">
        <v>1794</v>
      </c>
      <c r="AH533" t="s">
        <v>1794</v>
      </c>
    </row>
    <row r="534" spans="1:34" x14ac:dyDescent="0.25">
      <c r="A534" t="s">
        <v>932</v>
      </c>
      <c r="B534" t="s">
        <v>1599</v>
      </c>
      <c r="C534" t="s">
        <v>463</v>
      </c>
      <c r="D534" t="s">
        <v>909</v>
      </c>
      <c r="E534" t="s">
        <v>1794</v>
      </c>
      <c r="F534" t="s">
        <v>970</v>
      </c>
      <c r="G534" t="s">
        <v>1124</v>
      </c>
      <c r="H534" t="s">
        <v>971</v>
      </c>
      <c r="I534" t="s">
        <v>262</v>
      </c>
      <c r="J534" t="s">
        <v>972</v>
      </c>
      <c r="K534">
        <v>1</v>
      </c>
      <c r="L534">
        <v>1</v>
      </c>
      <c r="M534" t="s">
        <v>33</v>
      </c>
      <c r="N534">
        <v>1</v>
      </c>
      <c r="O534">
        <v>1</v>
      </c>
      <c r="P534">
        <v>1</v>
      </c>
      <c r="Q534" t="s">
        <v>52</v>
      </c>
      <c r="R534">
        <v>1</v>
      </c>
      <c r="S534">
        <v>1</v>
      </c>
      <c r="T534">
        <v>1</v>
      </c>
      <c r="U534" t="s">
        <v>1794</v>
      </c>
      <c r="V534" t="s">
        <v>1794</v>
      </c>
      <c r="W534" t="s">
        <v>1794</v>
      </c>
      <c r="X534">
        <v>1</v>
      </c>
      <c r="Y534" t="s">
        <v>1794</v>
      </c>
      <c r="Z534">
        <v>0</v>
      </c>
      <c r="AA534" t="s">
        <v>1794</v>
      </c>
      <c r="AB534" t="s">
        <v>1794</v>
      </c>
      <c r="AC534" t="s">
        <v>1794</v>
      </c>
      <c r="AD534" t="s">
        <v>1794</v>
      </c>
      <c r="AE534">
        <v>0</v>
      </c>
      <c r="AF534" t="s">
        <v>1794</v>
      </c>
      <c r="AG534" t="s">
        <v>1794</v>
      </c>
      <c r="AH534" t="s">
        <v>1794</v>
      </c>
    </row>
    <row r="535" spans="1:34" x14ac:dyDescent="0.25">
      <c r="A535" t="s">
        <v>932</v>
      </c>
      <c r="B535" t="s">
        <v>1599</v>
      </c>
      <c r="C535" t="s">
        <v>463</v>
      </c>
      <c r="D535" t="s">
        <v>909</v>
      </c>
      <c r="E535" t="s">
        <v>1794</v>
      </c>
      <c r="F535" t="s">
        <v>973</v>
      </c>
      <c r="G535" t="s">
        <v>1124</v>
      </c>
      <c r="H535" t="s">
        <v>974</v>
      </c>
      <c r="I535" t="s">
        <v>262</v>
      </c>
      <c r="J535" t="s">
        <v>965</v>
      </c>
      <c r="K535">
        <v>1</v>
      </c>
      <c r="L535">
        <v>1</v>
      </c>
      <c r="M535" t="s">
        <v>33</v>
      </c>
      <c r="N535">
        <v>1</v>
      </c>
      <c r="O535">
        <v>1</v>
      </c>
      <c r="P535">
        <v>1</v>
      </c>
      <c r="Q535" t="s">
        <v>52</v>
      </c>
      <c r="R535">
        <v>1</v>
      </c>
      <c r="S535">
        <v>1</v>
      </c>
      <c r="T535">
        <v>1</v>
      </c>
      <c r="U535" t="s">
        <v>1794</v>
      </c>
      <c r="V535" t="s">
        <v>1794</v>
      </c>
      <c r="W535" t="s">
        <v>1794</v>
      </c>
      <c r="X535">
        <v>1</v>
      </c>
      <c r="Y535" t="s">
        <v>1794</v>
      </c>
      <c r="Z535">
        <v>0</v>
      </c>
      <c r="AA535" t="s">
        <v>1794</v>
      </c>
      <c r="AB535" t="s">
        <v>1794</v>
      </c>
      <c r="AC535" t="s">
        <v>1794</v>
      </c>
      <c r="AD535" t="s">
        <v>1794</v>
      </c>
      <c r="AE535">
        <v>0</v>
      </c>
      <c r="AF535" t="s">
        <v>1794</v>
      </c>
      <c r="AG535" t="s">
        <v>1794</v>
      </c>
      <c r="AH535" t="s">
        <v>1794</v>
      </c>
    </row>
    <row r="536" spans="1:34" x14ac:dyDescent="0.25">
      <c r="A536" t="s">
        <v>932</v>
      </c>
      <c r="B536" t="s">
        <v>1599</v>
      </c>
      <c r="C536" t="s">
        <v>463</v>
      </c>
      <c r="D536" t="s">
        <v>909</v>
      </c>
      <c r="E536" t="s">
        <v>1794</v>
      </c>
      <c r="F536" t="s">
        <v>975</v>
      </c>
      <c r="G536" t="s">
        <v>1124</v>
      </c>
      <c r="H536" t="s">
        <v>976</v>
      </c>
      <c r="I536" t="s">
        <v>262</v>
      </c>
      <c r="J536" t="s">
        <v>977</v>
      </c>
      <c r="K536">
        <v>1</v>
      </c>
      <c r="L536">
        <v>1</v>
      </c>
      <c r="M536" t="s">
        <v>33</v>
      </c>
      <c r="N536">
        <v>1</v>
      </c>
      <c r="O536">
        <v>1</v>
      </c>
      <c r="P536">
        <v>1</v>
      </c>
      <c r="Q536" t="s">
        <v>52</v>
      </c>
      <c r="R536">
        <v>1</v>
      </c>
      <c r="S536">
        <v>1</v>
      </c>
      <c r="T536">
        <v>1</v>
      </c>
      <c r="U536" t="s">
        <v>1794</v>
      </c>
      <c r="V536" t="s">
        <v>1794</v>
      </c>
      <c r="W536" t="s">
        <v>1794</v>
      </c>
      <c r="X536">
        <v>1</v>
      </c>
      <c r="Y536" t="s">
        <v>1794</v>
      </c>
      <c r="Z536">
        <v>0</v>
      </c>
      <c r="AA536" t="s">
        <v>1794</v>
      </c>
      <c r="AB536" t="s">
        <v>1794</v>
      </c>
      <c r="AC536" t="s">
        <v>1794</v>
      </c>
      <c r="AD536" t="s">
        <v>1794</v>
      </c>
      <c r="AE536">
        <v>0</v>
      </c>
      <c r="AF536" t="s">
        <v>1794</v>
      </c>
      <c r="AG536" t="s">
        <v>1794</v>
      </c>
      <c r="AH536" t="s">
        <v>1794</v>
      </c>
    </row>
    <row r="537" spans="1:34" x14ac:dyDescent="0.25">
      <c r="A537" t="s">
        <v>932</v>
      </c>
      <c r="B537" t="s">
        <v>1599</v>
      </c>
      <c r="C537" t="s">
        <v>463</v>
      </c>
      <c r="D537" t="s">
        <v>909</v>
      </c>
      <c r="E537" t="s">
        <v>1794</v>
      </c>
      <c r="F537" t="s">
        <v>975</v>
      </c>
      <c r="G537" t="s">
        <v>1124</v>
      </c>
      <c r="H537" t="s">
        <v>978</v>
      </c>
      <c r="I537" t="s">
        <v>262</v>
      </c>
      <c r="J537" t="s">
        <v>977</v>
      </c>
      <c r="K537">
        <v>1</v>
      </c>
      <c r="L537">
        <v>1</v>
      </c>
      <c r="M537" t="s">
        <v>33</v>
      </c>
      <c r="N537">
        <v>1</v>
      </c>
      <c r="O537">
        <v>1</v>
      </c>
      <c r="P537">
        <v>1</v>
      </c>
      <c r="Q537" t="s">
        <v>52</v>
      </c>
      <c r="R537">
        <v>1</v>
      </c>
      <c r="S537">
        <v>1</v>
      </c>
      <c r="T537">
        <v>1</v>
      </c>
      <c r="U537" t="s">
        <v>1794</v>
      </c>
      <c r="V537" t="s">
        <v>1794</v>
      </c>
      <c r="W537" t="s">
        <v>1794</v>
      </c>
      <c r="X537">
        <v>1</v>
      </c>
      <c r="Y537" t="s">
        <v>1794</v>
      </c>
      <c r="Z537">
        <v>0</v>
      </c>
      <c r="AA537" t="s">
        <v>1794</v>
      </c>
      <c r="AB537" t="s">
        <v>1794</v>
      </c>
      <c r="AC537" t="s">
        <v>1794</v>
      </c>
      <c r="AD537" t="s">
        <v>1794</v>
      </c>
      <c r="AE537">
        <v>0</v>
      </c>
      <c r="AF537" t="s">
        <v>1794</v>
      </c>
      <c r="AG537" t="s">
        <v>1794</v>
      </c>
      <c r="AH537" t="s">
        <v>1794</v>
      </c>
    </row>
    <row r="538" spans="1:34" x14ac:dyDescent="0.25">
      <c r="A538" t="s">
        <v>932</v>
      </c>
      <c r="B538" t="s">
        <v>1599</v>
      </c>
      <c r="C538" t="s">
        <v>463</v>
      </c>
      <c r="D538" t="s">
        <v>909</v>
      </c>
      <c r="E538" t="s">
        <v>1794</v>
      </c>
      <c r="F538" t="s">
        <v>979</v>
      </c>
      <c r="G538" t="s">
        <v>1124</v>
      </c>
      <c r="H538" t="s">
        <v>980</v>
      </c>
      <c r="I538" t="s">
        <v>262</v>
      </c>
      <c r="J538" t="s">
        <v>916</v>
      </c>
      <c r="K538">
        <v>1</v>
      </c>
      <c r="L538">
        <v>1</v>
      </c>
      <c r="M538" t="s">
        <v>33</v>
      </c>
      <c r="N538">
        <v>1</v>
      </c>
      <c r="O538">
        <v>1</v>
      </c>
      <c r="P538">
        <v>1</v>
      </c>
      <c r="Q538" t="s">
        <v>52</v>
      </c>
      <c r="R538">
        <v>1</v>
      </c>
      <c r="S538">
        <v>1</v>
      </c>
      <c r="T538">
        <v>1</v>
      </c>
      <c r="U538" t="s">
        <v>1794</v>
      </c>
      <c r="V538" t="s">
        <v>1794</v>
      </c>
      <c r="W538" t="s">
        <v>1794</v>
      </c>
      <c r="X538">
        <v>1</v>
      </c>
      <c r="Y538" t="s">
        <v>1794</v>
      </c>
      <c r="Z538">
        <v>0</v>
      </c>
      <c r="AA538" t="s">
        <v>1794</v>
      </c>
      <c r="AB538" t="s">
        <v>1794</v>
      </c>
      <c r="AC538" t="s">
        <v>1794</v>
      </c>
      <c r="AD538" t="s">
        <v>1794</v>
      </c>
      <c r="AE538">
        <v>0</v>
      </c>
      <c r="AF538" t="s">
        <v>1794</v>
      </c>
      <c r="AG538" t="s">
        <v>1794</v>
      </c>
      <c r="AH538" t="s">
        <v>1794</v>
      </c>
    </row>
    <row r="539" spans="1:34" x14ac:dyDescent="0.25">
      <c r="A539" t="s">
        <v>1143</v>
      </c>
      <c r="B539" t="s">
        <v>1144</v>
      </c>
      <c r="C539" t="s">
        <v>463</v>
      </c>
      <c r="D539" t="s">
        <v>909</v>
      </c>
      <c r="E539" t="s">
        <v>1794</v>
      </c>
      <c r="F539" t="s">
        <v>981</v>
      </c>
      <c r="G539" t="s">
        <v>1124</v>
      </c>
      <c r="H539" t="s">
        <v>982</v>
      </c>
      <c r="I539" t="s">
        <v>262</v>
      </c>
      <c r="J539" t="s">
        <v>692</v>
      </c>
      <c r="K539">
        <v>1</v>
      </c>
      <c r="L539">
        <v>1</v>
      </c>
      <c r="M539" t="s">
        <v>33</v>
      </c>
      <c r="N539">
        <v>1</v>
      </c>
      <c r="O539">
        <v>1</v>
      </c>
      <c r="P539">
        <v>1</v>
      </c>
      <c r="Q539" t="s">
        <v>52</v>
      </c>
      <c r="R539">
        <v>1</v>
      </c>
      <c r="S539">
        <v>1</v>
      </c>
      <c r="T539">
        <v>1</v>
      </c>
      <c r="U539" t="s">
        <v>1794</v>
      </c>
      <c r="V539" t="s">
        <v>1794</v>
      </c>
      <c r="W539" t="s">
        <v>1794</v>
      </c>
      <c r="X539">
        <v>1</v>
      </c>
      <c r="Y539" t="s">
        <v>1794</v>
      </c>
      <c r="Z539">
        <v>0</v>
      </c>
      <c r="AA539" t="s">
        <v>1794</v>
      </c>
      <c r="AB539" t="s">
        <v>1794</v>
      </c>
      <c r="AC539" t="s">
        <v>1794</v>
      </c>
      <c r="AD539" t="s">
        <v>1794</v>
      </c>
      <c r="AE539">
        <v>0</v>
      </c>
      <c r="AF539" t="s">
        <v>1794</v>
      </c>
      <c r="AG539" t="s">
        <v>1794</v>
      </c>
      <c r="AH539" t="s">
        <v>1794</v>
      </c>
    </row>
    <row r="540" spans="1:34" x14ac:dyDescent="0.25">
      <c r="A540" t="s">
        <v>1573</v>
      </c>
      <c r="B540" t="s">
        <v>1574</v>
      </c>
      <c r="C540" t="s">
        <v>463</v>
      </c>
      <c r="D540" t="s">
        <v>909</v>
      </c>
      <c r="E540" t="s">
        <v>1794</v>
      </c>
      <c r="F540" t="s">
        <v>981</v>
      </c>
      <c r="G540" t="s">
        <v>1124</v>
      </c>
      <c r="H540" t="s">
        <v>982</v>
      </c>
      <c r="I540" t="s">
        <v>262</v>
      </c>
      <c r="J540" t="s">
        <v>692</v>
      </c>
      <c r="K540">
        <v>1</v>
      </c>
      <c r="L540">
        <v>1</v>
      </c>
      <c r="M540" t="s">
        <v>33</v>
      </c>
      <c r="N540">
        <v>1</v>
      </c>
      <c r="O540">
        <v>1</v>
      </c>
      <c r="P540">
        <v>1</v>
      </c>
      <c r="Q540" t="s">
        <v>52</v>
      </c>
      <c r="R540">
        <v>1</v>
      </c>
      <c r="S540">
        <v>1</v>
      </c>
      <c r="T540">
        <v>1</v>
      </c>
      <c r="U540" t="s">
        <v>1794</v>
      </c>
      <c r="V540" t="s">
        <v>1794</v>
      </c>
      <c r="W540" t="s">
        <v>1794</v>
      </c>
      <c r="X540">
        <v>1</v>
      </c>
      <c r="Y540" t="s">
        <v>1794</v>
      </c>
      <c r="Z540">
        <v>0</v>
      </c>
      <c r="AA540" t="s">
        <v>1794</v>
      </c>
      <c r="AB540" t="s">
        <v>1794</v>
      </c>
      <c r="AC540" t="s">
        <v>1794</v>
      </c>
      <c r="AD540" t="s">
        <v>1794</v>
      </c>
      <c r="AE540">
        <v>0</v>
      </c>
      <c r="AF540" t="s">
        <v>1794</v>
      </c>
      <c r="AG540" t="s">
        <v>1794</v>
      </c>
      <c r="AH540" t="s">
        <v>1794</v>
      </c>
    </row>
    <row r="541" spans="1:34" x14ac:dyDescent="0.25">
      <c r="A541" t="s">
        <v>1569</v>
      </c>
      <c r="B541" t="s">
        <v>1570</v>
      </c>
      <c r="C541" t="s">
        <v>463</v>
      </c>
      <c r="D541" t="s">
        <v>909</v>
      </c>
      <c r="E541" t="s">
        <v>1794</v>
      </c>
      <c r="F541" t="s">
        <v>981</v>
      </c>
      <c r="G541" t="s">
        <v>1124</v>
      </c>
      <c r="H541" t="s">
        <v>982</v>
      </c>
      <c r="I541" t="s">
        <v>262</v>
      </c>
      <c r="J541" t="s">
        <v>692</v>
      </c>
      <c r="K541">
        <v>1</v>
      </c>
      <c r="L541">
        <v>1</v>
      </c>
      <c r="M541" t="s">
        <v>33</v>
      </c>
      <c r="N541">
        <v>1</v>
      </c>
      <c r="O541">
        <v>1</v>
      </c>
      <c r="P541">
        <v>1</v>
      </c>
      <c r="Q541" t="s">
        <v>52</v>
      </c>
      <c r="R541">
        <v>1</v>
      </c>
      <c r="S541">
        <v>1</v>
      </c>
      <c r="T541">
        <v>1</v>
      </c>
      <c r="U541" t="s">
        <v>1794</v>
      </c>
      <c r="V541" t="s">
        <v>1794</v>
      </c>
      <c r="W541" t="s">
        <v>1794</v>
      </c>
      <c r="X541">
        <v>1</v>
      </c>
      <c r="Y541" t="s">
        <v>1794</v>
      </c>
      <c r="Z541">
        <v>0</v>
      </c>
      <c r="AA541" t="s">
        <v>1794</v>
      </c>
      <c r="AB541" t="s">
        <v>1794</v>
      </c>
      <c r="AC541" t="s">
        <v>1794</v>
      </c>
      <c r="AD541" t="s">
        <v>1794</v>
      </c>
      <c r="AE541">
        <v>0</v>
      </c>
      <c r="AF541" t="s">
        <v>1794</v>
      </c>
      <c r="AG541" t="s">
        <v>1794</v>
      </c>
      <c r="AH541" t="s">
        <v>1794</v>
      </c>
    </row>
    <row r="542" spans="1:34" x14ac:dyDescent="0.25">
      <c r="A542" t="s">
        <v>1585</v>
      </c>
      <c r="B542" t="s">
        <v>1586</v>
      </c>
      <c r="C542" t="s">
        <v>463</v>
      </c>
      <c r="D542" t="s">
        <v>909</v>
      </c>
      <c r="E542" t="s">
        <v>1794</v>
      </c>
      <c r="F542" t="s">
        <v>981</v>
      </c>
      <c r="G542" t="s">
        <v>1124</v>
      </c>
      <c r="H542" t="s">
        <v>982</v>
      </c>
      <c r="I542" t="s">
        <v>262</v>
      </c>
      <c r="J542" t="s">
        <v>692</v>
      </c>
      <c r="K542">
        <v>1</v>
      </c>
      <c r="L542">
        <v>1</v>
      </c>
      <c r="M542" t="s">
        <v>33</v>
      </c>
      <c r="N542">
        <v>1</v>
      </c>
      <c r="O542">
        <v>1</v>
      </c>
      <c r="P542">
        <v>1</v>
      </c>
      <c r="Q542" t="s">
        <v>52</v>
      </c>
      <c r="R542">
        <v>1</v>
      </c>
      <c r="S542">
        <v>1</v>
      </c>
      <c r="T542">
        <v>1</v>
      </c>
      <c r="U542" t="s">
        <v>1794</v>
      </c>
      <c r="V542" t="s">
        <v>1794</v>
      </c>
      <c r="W542" t="s">
        <v>1794</v>
      </c>
      <c r="X542">
        <v>1</v>
      </c>
      <c r="Y542" t="s">
        <v>1794</v>
      </c>
      <c r="Z542">
        <v>0</v>
      </c>
      <c r="AA542" t="s">
        <v>1794</v>
      </c>
      <c r="AB542" t="s">
        <v>1794</v>
      </c>
      <c r="AC542" t="s">
        <v>1794</v>
      </c>
      <c r="AD542" t="s">
        <v>1794</v>
      </c>
      <c r="AE542">
        <v>0</v>
      </c>
      <c r="AF542" t="s">
        <v>1794</v>
      </c>
      <c r="AG542" t="s">
        <v>1794</v>
      </c>
      <c r="AH542" t="s">
        <v>1794</v>
      </c>
    </row>
    <row r="543" spans="1:34" x14ac:dyDescent="0.25">
      <c r="A543" t="s">
        <v>1569</v>
      </c>
      <c r="B543" t="s">
        <v>1570</v>
      </c>
      <c r="C543" t="s">
        <v>463</v>
      </c>
      <c r="D543" t="s">
        <v>909</v>
      </c>
      <c r="E543" t="s">
        <v>1794</v>
      </c>
      <c r="F543" t="s">
        <v>983</v>
      </c>
      <c r="G543" t="s">
        <v>1124</v>
      </c>
      <c r="H543" t="s">
        <v>984</v>
      </c>
      <c r="I543" t="s">
        <v>262</v>
      </c>
      <c r="J543" t="s">
        <v>692</v>
      </c>
      <c r="K543">
        <v>1</v>
      </c>
      <c r="L543">
        <v>1</v>
      </c>
      <c r="M543" t="s">
        <v>33</v>
      </c>
      <c r="N543">
        <v>1</v>
      </c>
      <c r="O543">
        <v>1</v>
      </c>
      <c r="P543">
        <v>1</v>
      </c>
      <c r="Q543" t="s">
        <v>52</v>
      </c>
      <c r="R543">
        <v>1</v>
      </c>
      <c r="S543">
        <v>1</v>
      </c>
      <c r="T543">
        <v>1</v>
      </c>
      <c r="U543" t="s">
        <v>1794</v>
      </c>
      <c r="V543" t="s">
        <v>1794</v>
      </c>
      <c r="W543" t="s">
        <v>1794</v>
      </c>
      <c r="X543">
        <v>1</v>
      </c>
      <c r="Y543" t="s">
        <v>1794</v>
      </c>
      <c r="Z543">
        <v>0</v>
      </c>
      <c r="AA543" t="s">
        <v>1794</v>
      </c>
      <c r="AB543" t="s">
        <v>1794</v>
      </c>
      <c r="AC543" t="s">
        <v>1794</v>
      </c>
      <c r="AD543" t="s">
        <v>1794</v>
      </c>
      <c r="AE543">
        <v>0</v>
      </c>
      <c r="AF543" t="s">
        <v>1794</v>
      </c>
      <c r="AG543" t="s">
        <v>1794</v>
      </c>
      <c r="AH543" t="s">
        <v>1794</v>
      </c>
    </row>
    <row r="544" spans="1:34" x14ac:dyDescent="0.25">
      <c r="A544" t="s">
        <v>1587</v>
      </c>
      <c r="B544" t="s">
        <v>1588</v>
      </c>
      <c r="C544" t="s">
        <v>463</v>
      </c>
      <c r="D544" t="s">
        <v>909</v>
      </c>
      <c r="E544" t="s">
        <v>1794</v>
      </c>
      <c r="F544" t="s">
        <v>983</v>
      </c>
      <c r="G544" t="s">
        <v>1124</v>
      </c>
      <c r="H544" t="s">
        <v>984</v>
      </c>
      <c r="I544" t="s">
        <v>262</v>
      </c>
      <c r="J544" t="s">
        <v>692</v>
      </c>
      <c r="K544">
        <v>1</v>
      </c>
      <c r="L544">
        <v>1</v>
      </c>
      <c r="M544" t="s">
        <v>33</v>
      </c>
      <c r="N544">
        <v>1</v>
      </c>
      <c r="O544">
        <v>1</v>
      </c>
      <c r="P544">
        <v>1</v>
      </c>
      <c r="Q544" t="s">
        <v>52</v>
      </c>
      <c r="R544">
        <v>1</v>
      </c>
      <c r="S544">
        <v>1</v>
      </c>
      <c r="T544">
        <v>1</v>
      </c>
      <c r="U544" t="s">
        <v>1794</v>
      </c>
      <c r="V544" t="s">
        <v>1794</v>
      </c>
      <c r="W544" t="s">
        <v>1794</v>
      </c>
      <c r="X544">
        <v>1</v>
      </c>
      <c r="Y544" t="s">
        <v>1794</v>
      </c>
      <c r="Z544">
        <v>0</v>
      </c>
      <c r="AA544" t="s">
        <v>1794</v>
      </c>
      <c r="AB544" t="s">
        <v>1794</v>
      </c>
      <c r="AC544" t="s">
        <v>1794</v>
      </c>
      <c r="AD544" t="s">
        <v>1794</v>
      </c>
      <c r="AE544">
        <v>0</v>
      </c>
      <c r="AF544" t="s">
        <v>1794</v>
      </c>
      <c r="AG544" t="s">
        <v>1794</v>
      </c>
      <c r="AH544" t="s">
        <v>1794</v>
      </c>
    </row>
    <row r="545" spans="1:34" x14ac:dyDescent="0.25">
      <c r="A545" t="s">
        <v>1569</v>
      </c>
      <c r="B545" t="s">
        <v>1570</v>
      </c>
      <c r="C545" t="s">
        <v>463</v>
      </c>
      <c r="D545" t="s">
        <v>909</v>
      </c>
      <c r="E545" t="s">
        <v>1794</v>
      </c>
      <c r="F545" t="s">
        <v>985</v>
      </c>
      <c r="G545" t="s">
        <v>1124</v>
      </c>
      <c r="H545" t="s">
        <v>986</v>
      </c>
      <c r="I545" t="s">
        <v>262</v>
      </c>
      <c r="J545" t="s">
        <v>692</v>
      </c>
      <c r="K545">
        <v>1</v>
      </c>
      <c r="L545">
        <v>1</v>
      </c>
      <c r="M545" t="s">
        <v>33</v>
      </c>
      <c r="N545">
        <v>1</v>
      </c>
      <c r="O545">
        <v>1</v>
      </c>
      <c r="P545">
        <v>1</v>
      </c>
      <c r="Q545" t="s">
        <v>52</v>
      </c>
      <c r="R545">
        <v>1</v>
      </c>
      <c r="S545">
        <v>1</v>
      </c>
      <c r="T545">
        <v>1</v>
      </c>
      <c r="U545" t="s">
        <v>1794</v>
      </c>
      <c r="V545" t="s">
        <v>1794</v>
      </c>
      <c r="W545" t="s">
        <v>1794</v>
      </c>
      <c r="X545">
        <v>1</v>
      </c>
      <c r="Y545" t="s">
        <v>1794</v>
      </c>
      <c r="Z545">
        <v>0</v>
      </c>
      <c r="AA545" t="s">
        <v>1794</v>
      </c>
      <c r="AB545" t="s">
        <v>1794</v>
      </c>
      <c r="AC545" t="s">
        <v>1794</v>
      </c>
      <c r="AD545" t="s">
        <v>1794</v>
      </c>
      <c r="AE545">
        <v>0</v>
      </c>
      <c r="AF545" t="s">
        <v>1794</v>
      </c>
      <c r="AG545" t="s">
        <v>1794</v>
      </c>
      <c r="AH545" t="s">
        <v>1794</v>
      </c>
    </row>
    <row r="546" spans="1:34" x14ac:dyDescent="0.25">
      <c r="A546" t="s">
        <v>1587</v>
      </c>
      <c r="B546" t="s">
        <v>1588</v>
      </c>
      <c r="C546" t="s">
        <v>463</v>
      </c>
      <c r="D546" t="s">
        <v>909</v>
      </c>
      <c r="E546" t="s">
        <v>1794</v>
      </c>
      <c r="F546" t="s">
        <v>985</v>
      </c>
      <c r="G546" t="s">
        <v>1124</v>
      </c>
      <c r="H546" t="s">
        <v>986</v>
      </c>
      <c r="I546" t="s">
        <v>262</v>
      </c>
      <c r="J546" t="s">
        <v>692</v>
      </c>
      <c r="K546">
        <v>1</v>
      </c>
      <c r="L546">
        <v>1</v>
      </c>
      <c r="M546" t="s">
        <v>33</v>
      </c>
      <c r="N546">
        <v>1</v>
      </c>
      <c r="O546">
        <v>1</v>
      </c>
      <c r="P546">
        <v>1</v>
      </c>
      <c r="Q546" t="s">
        <v>52</v>
      </c>
      <c r="R546">
        <v>1</v>
      </c>
      <c r="S546">
        <v>1</v>
      </c>
      <c r="T546">
        <v>1</v>
      </c>
      <c r="U546" t="s">
        <v>1794</v>
      </c>
      <c r="V546" t="s">
        <v>1794</v>
      </c>
      <c r="W546" t="s">
        <v>1794</v>
      </c>
      <c r="X546">
        <v>1</v>
      </c>
      <c r="Y546" t="s">
        <v>1794</v>
      </c>
      <c r="Z546">
        <v>0</v>
      </c>
      <c r="AA546" t="s">
        <v>1794</v>
      </c>
      <c r="AB546" t="s">
        <v>1794</v>
      </c>
      <c r="AC546" t="s">
        <v>1794</v>
      </c>
      <c r="AD546" t="s">
        <v>1794</v>
      </c>
      <c r="AE546">
        <v>0</v>
      </c>
      <c r="AF546" t="s">
        <v>1794</v>
      </c>
      <c r="AG546" t="s">
        <v>1794</v>
      </c>
      <c r="AH546" t="s">
        <v>1794</v>
      </c>
    </row>
    <row r="547" spans="1:34" x14ac:dyDescent="0.25">
      <c r="A547" t="s">
        <v>1589</v>
      </c>
      <c r="B547" t="s">
        <v>1590</v>
      </c>
      <c r="C547" t="s">
        <v>463</v>
      </c>
      <c r="D547" t="s">
        <v>909</v>
      </c>
      <c r="E547" t="s">
        <v>1794</v>
      </c>
      <c r="F547" t="s">
        <v>985</v>
      </c>
      <c r="G547" t="s">
        <v>1124</v>
      </c>
      <c r="H547" t="s">
        <v>986</v>
      </c>
      <c r="I547" t="s">
        <v>262</v>
      </c>
      <c r="J547" t="s">
        <v>692</v>
      </c>
      <c r="K547">
        <v>1</v>
      </c>
      <c r="L547">
        <v>1</v>
      </c>
      <c r="M547" t="s">
        <v>33</v>
      </c>
      <c r="N547">
        <v>1</v>
      </c>
      <c r="O547">
        <v>1</v>
      </c>
      <c r="P547">
        <v>1</v>
      </c>
      <c r="Q547" t="s">
        <v>52</v>
      </c>
      <c r="R547">
        <v>1</v>
      </c>
      <c r="S547">
        <v>1</v>
      </c>
      <c r="T547">
        <v>1</v>
      </c>
      <c r="U547" t="s">
        <v>1794</v>
      </c>
      <c r="V547" t="s">
        <v>1794</v>
      </c>
      <c r="W547" t="s">
        <v>1794</v>
      </c>
      <c r="X547">
        <v>1</v>
      </c>
      <c r="Y547" t="s">
        <v>1794</v>
      </c>
      <c r="Z547">
        <v>0</v>
      </c>
      <c r="AA547" t="s">
        <v>1794</v>
      </c>
      <c r="AB547" t="s">
        <v>1794</v>
      </c>
      <c r="AC547" t="s">
        <v>1794</v>
      </c>
      <c r="AD547" t="s">
        <v>1794</v>
      </c>
      <c r="AE547">
        <v>0</v>
      </c>
      <c r="AF547" t="s">
        <v>1794</v>
      </c>
      <c r="AG547" t="s">
        <v>1794</v>
      </c>
      <c r="AH547" t="s">
        <v>1794</v>
      </c>
    </row>
    <row r="548" spans="1:34" x14ac:dyDescent="0.25">
      <c r="A548" t="s">
        <v>1569</v>
      </c>
      <c r="B548" t="s">
        <v>1570</v>
      </c>
      <c r="C548" t="s">
        <v>463</v>
      </c>
      <c r="D548" t="s">
        <v>909</v>
      </c>
      <c r="E548" t="s">
        <v>1794</v>
      </c>
      <c r="F548" t="s">
        <v>987</v>
      </c>
      <c r="G548" t="s">
        <v>1124</v>
      </c>
      <c r="H548" t="s">
        <v>988</v>
      </c>
      <c r="I548" t="s">
        <v>262</v>
      </c>
      <c r="J548" t="s">
        <v>692</v>
      </c>
      <c r="K548">
        <v>1</v>
      </c>
      <c r="L548">
        <v>2</v>
      </c>
      <c r="M548" t="s">
        <v>33</v>
      </c>
      <c r="N548">
        <v>1</v>
      </c>
      <c r="O548">
        <v>2</v>
      </c>
      <c r="P548">
        <v>1</v>
      </c>
      <c r="Q548" t="s">
        <v>52</v>
      </c>
      <c r="R548">
        <v>2</v>
      </c>
      <c r="S548">
        <v>2</v>
      </c>
      <c r="T548">
        <v>2</v>
      </c>
      <c r="U548" t="s">
        <v>1794</v>
      </c>
      <c r="V548" t="s">
        <v>1794</v>
      </c>
      <c r="W548" t="s">
        <v>1794</v>
      </c>
      <c r="X548">
        <v>1</v>
      </c>
      <c r="Y548" t="s">
        <v>1794</v>
      </c>
      <c r="Z548">
        <v>0</v>
      </c>
      <c r="AA548" t="s">
        <v>1794</v>
      </c>
      <c r="AB548" t="s">
        <v>1794</v>
      </c>
      <c r="AC548" t="s">
        <v>1794</v>
      </c>
      <c r="AD548" t="s">
        <v>1794</v>
      </c>
      <c r="AE548">
        <v>0</v>
      </c>
      <c r="AF548" t="s">
        <v>1794</v>
      </c>
      <c r="AG548" t="s">
        <v>1794</v>
      </c>
      <c r="AH548" t="s">
        <v>1794</v>
      </c>
    </row>
    <row r="549" spans="1:34" ht="42" customHeight="1" x14ac:dyDescent="0.25">
      <c r="A549" t="s">
        <v>1587</v>
      </c>
      <c r="B549" t="s">
        <v>1588</v>
      </c>
      <c r="C549" t="s">
        <v>463</v>
      </c>
      <c r="D549" t="s">
        <v>909</v>
      </c>
      <c r="E549" t="s">
        <v>1794</v>
      </c>
      <c r="F549" t="s">
        <v>987</v>
      </c>
      <c r="G549" t="s">
        <v>1124</v>
      </c>
      <c r="H549" t="s">
        <v>988</v>
      </c>
      <c r="I549" t="s">
        <v>262</v>
      </c>
      <c r="J549" t="s">
        <v>692</v>
      </c>
      <c r="K549">
        <v>1</v>
      </c>
      <c r="L549">
        <v>2</v>
      </c>
      <c r="M549" t="s">
        <v>33</v>
      </c>
      <c r="N549">
        <v>1</v>
      </c>
      <c r="O549">
        <v>2</v>
      </c>
      <c r="P549">
        <v>1</v>
      </c>
      <c r="Q549" t="s">
        <v>52</v>
      </c>
      <c r="R549">
        <v>2</v>
      </c>
      <c r="S549">
        <v>2</v>
      </c>
      <c r="T549">
        <v>2</v>
      </c>
      <c r="U549" t="s">
        <v>1794</v>
      </c>
      <c r="V549" t="s">
        <v>1794</v>
      </c>
      <c r="W549" t="s">
        <v>1794</v>
      </c>
      <c r="X549">
        <v>1</v>
      </c>
      <c r="Y549" t="s">
        <v>1794</v>
      </c>
      <c r="Z549">
        <v>0</v>
      </c>
      <c r="AA549" t="s">
        <v>1794</v>
      </c>
      <c r="AB549" t="s">
        <v>1794</v>
      </c>
      <c r="AC549" t="s">
        <v>1794</v>
      </c>
      <c r="AD549" t="s">
        <v>1794</v>
      </c>
      <c r="AE549">
        <v>0</v>
      </c>
      <c r="AF549" t="s">
        <v>1794</v>
      </c>
      <c r="AG549" t="s">
        <v>1794</v>
      </c>
      <c r="AH549" t="s">
        <v>1794</v>
      </c>
    </row>
    <row r="550" spans="1:34" x14ac:dyDescent="0.25">
      <c r="A550" t="s">
        <v>1027</v>
      </c>
      <c r="B550" t="s">
        <v>1591</v>
      </c>
      <c r="C550" t="s">
        <v>463</v>
      </c>
      <c r="D550" t="s">
        <v>909</v>
      </c>
      <c r="E550" t="s">
        <v>1794</v>
      </c>
      <c r="F550" t="s">
        <v>987</v>
      </c>
      <c r="G550" t="s">
        <v>1124</v>
      </c>
      <c r="H550" t="s">
        <v>988</v>
      </c>
      <c r="I550" t="s">
        <v>262</v>
      </c>
      <c r="J550" t="s">
        <v>692</v>
      </c>
      <c r="K550">
        <v>1</v>
      </c>
      <c r="L550">
        <v>2</v>
      </c>
      <c r="M550" t="s">
        <v>33</v>
      </c>
      <c r="N550">
        <v>1</v>
      </c>
      <c r="O550">
        <v>2</v>
      </c>
      <c r="P550">
        <v>1</v>
      </c>
      <c r="Q550" t="s">
        <v>52</v>
      </c>
      <c r="R550">
        <v>2</v>
      </c>
      <c r="S550">
        <v>2</v>
      </c>
      <c r="T550">
        <v>2</v>
      </c>
      <c r="U550" t="s">
        <v>1794</v>
      </c>
      <c r="V550" t="s">
        <v>1794</v>
      </c>
      <c r="W550" t="s">
        <v>1794</v>
      </c>
      <c r="X550">
        <v>1</v>
      </c>
      <c r="Y550" t="s">
        <v>1794</v>
      </c>
      <c r="Z550">
        <v>0</v>
      </c>
      <c r="AA550" t="s">
        <v>1794</v>
      </c>
      <c r="AB550" t="s">
        <v>1794</v>
      </c>
      <c r="AC550" t="s">
        <v>1794</v>
      </c>
      <c r="AD550" t="s">
        <v>1794</v>
      </c>
      <c r="AE550">
        <v>0</v>
      </c>
      <c r="AF550" t="s">
        <v>1794</v>
      </c>
      <c r="AG550" t="s">
        <v>1794</v>
      </c>
      <c r="AH550" t="s">
        <v>1794</v>
      </c>
    </row>
    <row r="551" spans="1:34" x14ac:dyDescent="0.25">
      <c r="A551" t="s">
        <v>1569</v>
      </c>
      <c r="B551" t="s">
        <v>1570</v>
      </c>
      <c r="C551" t="s">
        <v>463</v>
      </c>
      <c r="D551" t="s">
        <v>909</v>
      </c>
      <c r="E551" t="s">
        <v>1794</v>
      </c>
      <c r="F551" t="s">
        <v>989</v>
      </c>
      <c r="G551" t="s">
        <v>1124</v>
      </c>
      <c r="H551" t="s">
        <v>990</v>
      </c>
      <c r="I551" t="s">
        <v>262</v>
      </c>
      <c r="J551" t="s">
        <v>692</v>
      </c>
      <c r="K551">
        <v>1</v>
      </c>
      <c r="L551">
        <v>1</v>
      </c>
      <c r="M551" t="s">
        <v>33</v>
      </c>
      <c r="N551">
        <v>1</v>
      </c>
      <c r="O551">
        <v>1</v>
      </c>
      <c r="P551">
        <v>1</v>
      </c>
      <c r="Q551" t="s">
        <v>52</v>
      </c>
      <c r="R551">
        <v>1</v>
      </c>
      <c r="S551">
        <v>1</v>
      </c>
      <c r="T551">
        <v>1</v>
      </c>
      <c r="U551" t="s">
        <v>1794</v>
      </c>
      <c r="V551" t="s">
        <v>1794</v>
      </c>
      <c r="W551" t="s">
        <v>1794</v>
      </c>
      <c r="X551">
        <v>1</v>
      </c>
      <c r="Y551" t="s">
        <v>1794</v>
      </c>
      <c r="Z551">
        <v>0</v>
      </c>
      <c r="AA551" t="s">
        <v>1794</v>
      </c>
      <c r="AB551" t="s">
        <v>1794</v>
      </c>
      <c r="AC551" t="s">
        <v>1794</v>
      </c>
      <c r="AD551" t="s">
        <v>1794</v>
      </c>
      <c r="AE551">
        <v>0</v>
      </c>
      <c r="AF551" t="s">
        <v>1794</v>
      </c>
      <c r="AG551" t="s">
        <v>1794</v>
      </c>
      <c r="AH551" t="s">
        <v>1794</v>
      </c>
    </row>
    <row r="552" spans="1:34" x14ac:dyDescent="0.25">
      <c r="A552" t="s">
        <v>1587</v>
      </c>
      <c r="B552" t="s">
        <v>1588</v>
      </c>
      <c r="C552" t="s">
        <v>463</v>
      </c>
      <c r="D552" t="s">
        <v>909</v>
      </c>
      <c r="E552" t="s">
        <v>1794</v>
      </c>
      <c r="F552" t="s">
        <v>989</v>
      </c>
      <c r="G552" t="s">
        <v>1124</v>
      </c>
      <c r="H552" t="s">
        <v>990</v>
      </c>
      <c r="I552" t="s">
        <v>262</v>
      </c>
      <c r="J552" t="s">
        <v>692</v>
      </c>
      <c r="K552">
        <v>1</v>
      </c>
      <c r="L552">
        <v>1</v>
      </c>
      <c r="M552" t="s">
        <v>33</v>
      </c>
      <c r="N552">
        <v>1</v>
      </c>
      <c r="O552">
        <v>1</v>
      </c>
      <c r="P552">
        <v>1</v>
      </c>
      <c r="Q552" t="s">
        <v>52</v>
      </c>
      <c r="R552">
        <v>1</v>
      </c>
      <c r="S552">
        <v>1</v>
      </c>
      <c r="T552">
        <v>1</v>
      </c>
      <c r="U552" t="s">
        <v>1794</v>
      </c>
      <c r="V552" t="s">
        <v>1794</v>
      </c>
      <c r="W552" t="s">
        <v>1794</v>
      </c>
      <c r="X552">
        <v>1</v>
      </c>
      <c r="Y552" t="s">
        <v>1794</v>
      </c>
      <c r="Z552">
        <v>0</v>
      </c>
      <c r="AA552" t="s">
        <v>1794</v>
      </c>
      <c r="AB552" t="s">
        <v>1794</v>
      </c>
      <c r="AC552" t="s">
        <v>1794</v>
      </c>
      <c r="AD552" t="s">
        <v>1794</v>
      </c>
      <c r="AE552">
        <v>0</v>
      </c>
      <c r="AF552" t="s">
        <v>1794</v>
      </c>
      <c r="AG552" t="s">
        <v>1794</v>
      </c>
      <c r="AH552" t="s">
        <v>1794</v>
      </c>
    </row>
    <row r="553" spans="1:34" x14ac:dyDescent="0.25">
      <c r="A553" t="s">
        <v>1592</v>
      </c>
      <c r="B553" t="s">
        <v>1593</v>
      </c>
      <c r="C553" t="s">
        <v>463</v>
      </c>
      <c r="D553" t="s">
        <v>909</v>
      </c>
      <c r="E553" t="s">
        <v>1794</v>
      </c>
      <c r="F553" t="s">
        <v>989</v>
      </c>
      <c r="G553" t="s">
        <v>1124</v>
      </c>
      <c r="H553" t="s">
        <v>990</v>
      </c>
      <c r="I553" t="s">
        <v>262</v>
      </c>
      <c r="J553" t="s">
        <v>692</v>
      </c>
      <c r="K553">
        <v>1</v>
      </c>
      <c r="L553">
        <v>1</v>
      </c>
      <c r="M553" t="s">
        <v>33</v>
      </c>
      <c r="N553">
        <v>1</v>
      </c>
      <c r="O553">
        <v>1</v>
      </c>
      <c r="P553">
        <v>1</v>
      </c>
      <c r="Q553" t="s">
        <v>52</v>
      </c>
      <c r="R553">
        <v>1</v>
      </c>
      <c r="S553">
        <v>1</v>
      </c>
      <c r="T553">
        <v>1</v>
      </c>
      <c r="U553" t="s">
        <v>1794</v>
      </c>
      <c r="V553" t="s">
        <v>1794</v>
      </c>
      <c r="W553" t="s">
        <v>1794</v>
      </c>
      <c r="X553">
        <v>1</v>
      </c>
      <c r="Y553" t="s">
        <v>1794</v>
      </c>
      <c r="Z553">
        <v>0</v>
      </c>
      <c r="AA553" t="s">
        <v>1794</v>
      </c>
      <c r="AB553" t="s">
        <v>1794</v>
      </c>
      <c r="AC553" t="s">
        <v>1794</v>
      </c>
      <c r="AD553" t="s">
        <v>1794</v>
      </c>
      <c r="AE553">
        <v>0</v>
      </c>
      <c r="AF553" t="s">
        <v>1794</v>
      </c>
      <c r="AG553" t="s">
        <v>1794</v>
      </c>
      <c r="AH553" t="s">
        <v>1794</v>
      </c>
    </row>
    <row r="554" spans="1:34" x14ac:dyDescent="0.25">
      <c r="A554" t="s">
        <v>1569</v>
      </c>
      <c r="B554" t="s">
        <v>1570</v>
      </c>
      <c r="C554" t="s">
        <v>463</v>
      </c>
      <c r="D554" t="s">
        <v>909</v>
      </c>
      <c r="E554" t="s">
        <v>1794</v>
      </c>
      <c r="F554" t="s">
        <v>991</v>
      </c>
      <c r="G554" t="s">
        <v>1124</v>
      </c>
      <c r="H554" t="s">
        <v>992</v>
      </c>
      <c r="I554" t="s">
        <v>262</v>
      </c>
      <c r="J554" t="s">
        <v>692</v>
      </c>
      <c r="K554">
        <v>1</v>
      </c>
      <c r="L554">
        <v>1</v>
      </c>
      <c r="M554" t="s">
        <v>33</v>
      </c>
      <c r="N554">
        <v>1</v>
      </c>
      <c r="O554">
        <v>1</v>
      </c>
      <c r="P554">
        <v>1</v>
      </c>
      <c r="Q554" t="s">
        <v>52</v>
      </c>
      <c r="R554">
        <v>1</v>
      </c>
      <c r="S554">
        <v>1</v>
      </c>
      <c r="T554">
        <v>1</v>
      </c>
      <c r="U554" t="s">
        <v>1794</v>
      </c>
      <c r="V554" t="s">
        <v>1794</v>
      </c>
      <c r="W554" t="s">
        <v>1794</v>
      </c>
      <c r="X554">
        <v>1</v>
      </c>
      <c r="Y554" t="s">
        <v>1794</v>
      </c>
      <c r="Z554">
        <v>0</v>
      </c>
      <c r="AA554" t="s">
        <v>1794</v>
      </c>
      <c r="AB554" t="s">
        <v>1794</v>
      </c>
      <c r="AC554" t="s">
        <v>1794</v>
      </c>
      <c r="AD554" t="s">
        <v>1794</v>
      </c>
      <c r="AE554">
        <v>0</v>
      </c>
      <c r="AF554" t="s">
        <v>1794</v>
      </c>
      <c r="AG554" t="s">
        <v>1794</v>
      </c>
      <c r="AH554" t="s">
        <v>1794</v>
      </c>
    </row>
    <row r="555" spans="1:34" x14ac:dyDescent="0.25">
      <c r="A555" t="s">
        <v>1595</v>
      </c>
      <c r="B555" t="s">
        <v>1596</v>
      </c>
      <c r="C555" t="s">
        <v>463</v>
      </c>
      <c r="D555" t="s">
        <v>909</v>
      </c>
      <c r="E555" t="s">
        <v>1794</v>
      </c>
      <c r="F555" t="s">
        <v>991</v>
      </c>
      <c r="G555" t="s">
        <v>1124</v>
      </c>
      <c r="H555" t="s">
        <v>992</v>
      </c>
      <c r="I555" t="s">
        <v>262</v>
      </c>
      <c r="J555" t="s">
        <v>692</v>
      </c>
      <c r="K555">
        <v>1</v>
      </c>
      <c r="L555">
        <v>1</v>
      </c>
      <c r="M555" t="s">
        <v>33</v>
      </c>
      <c r="N555">
        <v>1</v>
      </c>
      <c r="O555">
        <v>1</v>
      </c>
      <c r="P555">
        <v>1</v>
      </c>
      <c r="Q555" t="s">
        <v>52</v>
      </c>
      <c r="R555">
        <v>1</v>
      </c>
      <c r="S555">
        <v>1</v>
      </c>
      <c r="T555">
        <v>1</v>
      </c>
      <c r="U555" t="s">
        <v>1794</v>
      </c>
      <c r="V555" t="s">
        <v>1794</v>
      </c>
      <c r="W555" t="s">
        <v>1794</v>
      </c>
      <c r="X555">
        <v>1</v>
      </c>
      <c r="Y555" t="s">
        <v>1794</v>
      </c>
      <c r="Z555">
        <v>0</v>
      </c>
      <c r="AA555" t="s">
        <v>1794</v>
      </c>
      <c r="AB555" t="s">
        <v>1794</v>
      </c>
      <c r="AC555" t="s">
        <v>1794</v>
      </c>
      <c r="AD555" t="s">
        <v>1794</v>
      </c>
      <c r="AE555">
        <v>0</v>
      </c>
      <c r="AF555" t="s">
        <v>1794</v>
      </c>
      <c r="AG555" t="s">
        <v>1794</v>
      </c>
      <c r="AH555" t="s">
        <v>1794</v>
      </c>
    </row>
    <row r="556" spans="1:34" x14ac:dyDescent="0.25">
      <c r="A556" t="s">
        <v>1569</v>
      </c>
      <c r="B556" t="s">
        <v>1570</v>
      </c>
      <c r="C556" t="s">
        <v>463</v>
      </c>
      <c r="D556" t="s">
        <v>909</v>
      </c>
      <c r="E556" t="s">
        <v>1794</v>
      </c>
      <c r="F556" t="s">
        <v>993</v>
      </c>
      <c r="G556" t="s">
        <v>1124</v>
      </c>
      <c r="H556" t="s">
        <v>994</v>
      </c>
      <c r="I556" t="s">
        <v>262</v>
      </c>
      <c r="J556" t="s">
        <v>692</v>
      </c>
      <c r="K556">
        <v>1</v>
      </c>
      <c r="L556">
        <v>1</v>
      </c>
      <c r="M556" t="s">
        <v>33</v>
      </c>
      <c r="N556">
        <v>1</v>
      </c>
      <c r="O556">
        <v>1</v>
      </c>
      <c r="P556">
        <v>1</v>
      </c>
      <c r="Q556" t="s">
        <v>52</v>
      </c>
      <c r="R556">
        <v>1</v>
      </c>
      <c r="S556">
        <v>1</v>
      </c>
      <c r="T556">
        <v>1</v>
      </c>
      <c r="U556" t="s">
        <v>1794</v>
      </c>
      <c r="V556" t="s">
        <v>1794</v>
      </c>
      <c r="W556" t="s">
        <v>1794</v>
      </c>
      <c r="X556">
        <v>1</v>
      </c>
      <c r="Y556" t="s">
        <v>1794</v>
      </c>
      <c r="Z556">
        <v>0</v>
      </c>
      <c r="AA556" t="s">
        <v>1794</v>
      </c>
      <c r="AB556" t="s">
        <v>1794</v>
      </c>
      <c r="AC556" t="s">
        <v>1794</v>
      </c>
      <c r="AD556" t="s">
        <v>1794</v>
      </c>
      <c r="AE556">
        <v>0</v>
      </c>
      <c r="AF556" t="s">
        <v>1794</v>
      </c>
      <c r="AG556" t="s">
        <v>1794</v>
      </c>
      <c r="AH556" t="s">
        <v>1794</v>
      </c>
    </row>
    <row r="557" spans="1:34" x14ac:dyDescent="0.25">
      <c r="A557" t="s">
        <v>1600</v>
      </c>
      <c r="B557" t="s">
        <v>1601</v>
      </c>
      <c r="C557" t="s">
        <v>463</v>
      </c>
      <c r="D557" t="s">
        <v>909</v>
      </c>
      <c r="E557" t="s">
        <v>1794</v>
      </c>
      <c r="F557" t="s">
        <v>993</v>
      </c>
      <c r="G557" t="s">
        <v>1124</v>
      </c>
      <c r="H557" t="s">
        <v>994</v>
      </c>
      <c r="I557" t="s">
        <v>262</v>
      </c>
      <c r="J557" t="s">
        <v>692</v>
      </c>
      <c r="K557">
        <v>1</v>
      </c>
      <c r="L557">
        <v>1</v>
      </c>
      <c r="M557" t="s">
        <v>33</v>
      </c>
      <c r="N557">
        <v>1</v>
      </c>
      <c r="O557">
        <v>1</v>
      </c>
      <c r="P557">
        <v>1</v>
      </c>
      <c r="Q557" t="s">
        <v>52</v>
      </c>
      <c r="R557">
        <v>1</v>
      </c>
      <c r="S557">
        <v>1</v>
      </c>
      <c r="T557">
        <v>1</v>
      </c>
      <c r="U557" t="s">
        <v>1794</v>
      </c>
      <c r="V557" t="s">
        <v>1794</v>
      </c>
      <c r="W557" t="s">
        <v>1794</v>
      </c>
      <c r="X557">
        <v>1</v>
      </c>
      <c r="Y557" t="s">
        <v>1794</v>
      </c>
      <c r="Z557">
        <v>0</v>
      </c>
      <c r="AA557" t="s">
        <v>1794</v>
      </c>
      <c r="AB557" t="s">
        <v>1794</v>
      </c>
      <c r="AC557" t="s">
        <v>1794</v>
      </c>
      <c r="AD557" t="s">
        <v>1794</v>
      </c>
      <c r="AE557">
        <v>0</v>
      </c>
      <c r="AF557" t="s">
        <v>1794</v>
      </c>
      <c r="AG557" t="s">
        <v>1794</v>
      </c>
      <c r="AH557" t="s">
        <v>1794</v>
      </c>
    </row>
    <row r="558" spans="1:34" x14ac:dyDescent="0.25">
      <c r="A558" t="s">
        <v>1569</v>
      </c>
      <c r="B558" t="s">
        <v>1570</v>
      </c>
      <c r="C558" t="s">
        <v>463</v>
      </c>
      <c r="D558" t="s">
        <v>909</v>
      </c>
      <c r="E558" t="s">
        <v>1794</v>
      </c>
      <c r="F558" t="s">
        <v>995</v>
      </c>
      <c r="G558" t="s">
        <v>1124</v>
      </c>
      <c r="H558" t="s">
        <v>996</v>
      </c>
      <c r="I558" t="s">
        <v>262</v>
      </c>
      <c r="J558" t="s">
        <v>692</v>
      </c>
      <c r="K558">
        <v>1</v>
      </c>
      <c r="L558">
        <v>1</v>
      </c>
      <c r="M558" t="s">
        <v>33</v>
      </c>
      <c r="N558">
        <v>1</v>
      </c>
      <c r="O558">
        <v>1</v>
      </c>
      <c r="P558">
        <v>1</v>
      </c>
      <c r="Q558" t="s">
        <v>52</v>
      </c>
      <c r="R558">
        <v>1</v>
      </c>
      <c r="S558">
        <v>1</v>
      </c>
      <c r="T558">
        <v>1</v>
      </c>
      <c r="U558" t="s">
        <v>1794</v>
      </c>
      <c r="V558" t="s">
        <v>1794</v>
      </c>
      <c r="W558" t="s">
        <v>1794</v>
      </c>
      <c r="X558">
        <v>1</v>
      </c>
      <c r="Y558" t="s">
        <v>1794</v>
      </c>
      <c r="Z558">
        <v>0</v>
      </c>
      <c r="AA558" t="s">
        <v>1794</v>
      </c>
      <c r="AB558" t="s">
        <v>1794</v>
      </c>
      <c r="AC558" t="s">
        <v>1794</v>
      </c>
      <c r="AD558" t="s">
        <v>1794</v>
      </c>
      <c r="AE558">
        <v>0</v>
      </c>
      <c r="AF558" t="s">
        <v>1794</v>
      </c>
      <c r="AG558" t="s">
        <v>1794</v>
      </c>
      <c r="AH558" t="s">
        <v>1794</v>
      </c>
    </row>
    <row r="559" spans="1:34" x14ac:dyDescent="0.25">
      <c r="A559" t="s">
        <v>1602</v>
      </c>
      <c r="B559" t="s">
        <v>1603</v>
      </c>
      <c r="C559" t="s">
        <v>463</v>
      </c>
      <c r="D559" t="s">
        <v>909</v>
      </c>
      <c r="E559" t="s">
        <v>1794</v>
      </c>
      <c r="F559" t="s">
        <v>995</v>
      </c>
      <c r="G559" t="s">
        <v>1124</v>
      </c>
      <c r="H559" t="s">
        <v>996</v>
      </c>
      <c r="I559" t="s">
        <v>262</v>
      </c>
      <c r="J559" t="s">
        <v>692</v>
      </c>
      <c r="K559">
        <v>1</v>
      </c>
      <c r="L559">
        <v>1</v>
      </c>
      <c r="M559" t="s">
        <v>33</v>
      </c>
      <c r="N559">
        <v>1</v>
      </c>
      <c r="O559">
        <v>1</v>
      </c>
      <c r="P559">
        <v>1</v>
      </c>
      <c r="Q559" t="s">
        <v>52</v>
      </c>
      <c r="R559">
        <v>1</v>
      </c>
      <c r="S559">
        <v>1</v>
      </c>
      <c r="T559">
        <v>1</v>
      </c>
      <c r="U559" t="s">
        <v>1794</v>
      </c>
      <c r="V559" t="s">
        <v>1794</v>
      </c>
      <c r="W559" t="s">
        <v>1794</v>
      </c>
      <c r="X559">
        <v>1</v>
      </c>
      <c r="Y559" t="s">
        <v>1794</v>
      </c>
      <c r="Z559">
        <v>0</v>
      </c>
      <c r="AA559" t="s">
        <v>1794</v>
      </c>
      <c r="AB559" t="s">
        <v>1794</v>
      </c>
      <c r="AC559" t="s">
        <v>1794</v>
      </c>
      <c r="AD559" t="s">
        <v>1794</v>
      </c>
      <c r="AE559">
        <v>0</v>
      </c>
      <c r="AF559" t="s">
        <v>1794</v>
      </c>
      <c r="AG559" t="s">
        <v>1794</v>
      </c>
      <c r="AH559" t="s">
        <v>1794</v>
      </c>
    </row>
    <row r="560" spans="1:34" x14ac:dyDescent="0.25">
      <c r="A560" t="s">
        <v>1587</v>
      </c>
      <c r="B560" t="s">
        <v>1588</v>
      </c>
      <c r="C560" t="s">
        <v>460</v>
      </c>
      <c r="D560" t="s">
        <v>909</v>
      </c>
      <c r="E560" t="s">
        <v>1794</v>
      </c>
      <c r="F560" t="s">
        <v>997</v>
      </c>
      <c r="G560" t="s">
        <v>1124</v>
      </c>
      <c r="H560" t="s">
        <v>998</v>
      </c>
      <c r="I560" t="s">
        <v>262</v>
      </c>
      <c r="J560" t="s">
        <v>916</v>
      </c>
      <c r="K560">
        <v>1</v>
      </c>
      <c r="L560">
        <v>1</v>
      </c>
      <c r="M560" t="s">
        <v>33</v>
      </c>
      <c r="N560">
        <v>1</v>
      </c>
      <c r="O560">
        <v>1</v>
      </c>
      <c r="P560">
        <v>1</v>
      </c>
      <c r="Q560" t="s">
        <v>52</v>
      </c>
      <c r="R560">
        <v>1</v>
      </c>
      <c r="S560">
        <v>1</v>
      </c>
      <c r="T560">
        <v>1</v>
      </c>
      <c r="U560" t="s">
        <v>1794</v>
      </c>
      <c r="V560" t="s">
        <v>1794</v>
      </c>
      <c r="W560" t="s">
        <v>1794</v>
      </c>
      <c r="X560">
        <v>1</v>
      </c>
      <c r="Y560" t="s">
        <v>1794</v>
      </c>
      <c r="Z560">
        <v>0</v>
      </c>
      <c r="AA560" t="s">
        <v>1794</v>
      </c>
      <c r="AB560" t="s">
        <v>1794</v>
      </c>
      <c r="AC560" t="s">
        <v>1794</v>
      </c>
      <c r="AD560" t="s">
        <v>1794</v>
      </c>
      <c r="AE560">
        <v>0</v>
      </c>
      <c r="AF560" t="s">
        <v>1794</v>
      </c>
      <c r="AG560" t="s">
        <v>1794</v>
      </c>
      <c r="AH560" t="s">
        <v>1794</v>
      </c>
    </row>
    <row r="561" spans="1:34" x14ac:dyDescent="0.25">
      <c r="A561" t="s">
        <v>1027</v>
      </c>
      <c r="B561" t="s">
        <v>1591</v>
      </c>
      <c r="C561" t="s">
        <v>460</v>
      </c>
      <c r="D561" t="s">
        <v>909</v>
      </c>
      <c r="E561" t="s">
        <v>1794</v>
      </c>
      <c r="F561" t="s">
        <v>997</v>
      </c>
      <c r="G561" t="s">
        <v>1124</v>
      </c>
      <c r="H561" t="s">
        <v>998</v>
      </c>
      <c r="I561" t="s">
        <v>262</v>
      </c>
      <c r="J561" t="s">
        <v>916</v>
      </c>
      <c r="K561">
        <v>1</v>
      </c>
      <c r="L561">
        <v>1</v>
      </c>
      <c r="M561" t="s">
        <v>33</v>
      </c>
      <c r="N561">
        <v>1</v>
      </c>
      <c r="O561">
        <v>1</v>
      </c>
      <c r="P561">
        <v>1</v>
      </c>
      <c r="Q561" t="s">
        <v>52</v>
      </c>
      <c r="R561">
        <v>1</v>
      </c>
      <c r="S561">
        <v>1</v>
      </c>
      <c r="T561">
        <v>1</v>
      </c>
      <c r="U561" t="s">
        <v>1794</v>
      </c>
      <c r="V561" t="s">
        <v>1794</v>
      </c>
      <c r="W561" t="s">
        <v>1794</v>
      </c>
      <c r="X561">
        <v>1</v>
      </c>
      <c r="Y561" t="s">
        <v>1794</v>
      </c>
      <c r="Z561">
        <v>0</v>
      </c>
      <c r="AA561" t="s">
        <v>1794</v>
      </c>
      <c r="AB561" t="s">
        <v>1794</v>
      </c>
      <c r="AC561" t="s">
        <v>1794</v>
      </c>
      <c r="AD561" t="s">
        <v>1794</v>
      </c>
      <c r="AE561">
        <v>0</v>
      </c>
      <c r="AF561" t="s">
        <v>1794</v>
      </c>
      <c r="AG561" t="s">
        <v>1794</v>
      </c>
      <c r="AH561" t="s">
        <v>1794</v>
      </c>
    </row>
    <row r="562" spans="1:34" x14ac:dyDescent="0.25">
      <c r="A562" t="s">
        <v>1587</v>
      </c>
      <c r="B562" t="s">
        <v>1588</v>
      </c>
      <c r="C562" t="s">
        <v>460</v>
      </c>
      <c r="D562" t="s">
        <v>909</v>
      </c>
      <c r="E562" t="s">
        <v>1794</v>
      </c>
      <c r="F562" t="s">
        <v>999</v>
      </c>
      <c r="G562" t="s">
        <v>1124</v>
      </c>
      <c r="H562" t="s">
        <v>1000</v>
      </c>
      <c r="I562" t="s">
        <v>262</v>
      </c>
      <c r="J562" t="s">
        <v>916</v>
      </c>
      <c r="K562">
        <v>1</v>
      </c>
      <c r="L562">
        <v>1</v>
      </c>
      <c r="M562" t="s">
        <v>33</v>
      </c>
      <c r="N562">
        <v>1</v>
      </c>
      <c r="O562">
        <v>1</v>
      </c>
      <c r="P562">
        <v>1</v>
      </c>
      <c r="Q562" t="s">
        <v>52</v>
      </c>
      <c r="R562">
        <v>1</v>
      </c>
      <c r="S562">
        <v>1</v>
      </c>
      <c r="T562">
        <v>1</v>
      </c>
      <c r="U562" t="s">
        <v>1794</v>
      </c>
      <c r="V562" t="s">
        <v>1794</v>
      </c>
      <c r="W562" t="s">
        <v>1794</v>
      </c>
      <c r="X562">
        <v>1</v>
      </c>
      <c r="Y562" t="s">
        <v>1794</v>
      </c>
      <c r="Z562">
        <v>0</v>
      </c>
      <c r="AA562" t="s">
        <v>1794</v>
      </c>
      <c r="AB562" t="s">
        <v>1794</v>
      </c>
      <c r="AC562" t="s">
        <v>1794</v>
      </c>
      <c r="AD562" t="s">
        <v>1794</v>
      </c>
      <c r="AE562">
        <v>0</v>
      </c>
      <c r="AF562" t="s">
        <v>1794</v>
      </c>
      <c r="AG562" t="s">
        <v>1794</v>
      </c>
      <c r="AH562" t="s">
        <v>1794</v>
      </c>
    </row>
    <row r="563" spans="1:34" x14ac:dyDescent="0.25">
      <c r="A563" t="s">
        <v>1027</v>
      </c>
      <c r="B563" t="s">
        <v>1591</v>
      </c>
      <c r="C563" t="s">
        <v>460</v>
      </c>
      <c r="D563" t="s">
        <v>909</v>
      </c>
      <c r="E563" t="s">
        <v>1794</v>
      </c>
      <c r="F563" t="s">
        <v>999</v>
      </c>
      <c r="G563" t="s">
        <v>1124</v>
      </c>
      <c r="H563" t="s">
        <v>1000</v>
      </c>
      <c r="I563" t="s">
        <v>262</v>
      </c>
      <c r="J563" t="s">
        <v>916</v>
      </c>
      <c r="K563">
        <v>1</v>
      </c>
      <c r="L563">
        <v>1</v>
      </c>
      <c r="M563" t="s">
        <v>33</v>
      </c>
      <c r="N563">
        <v>1</v>
      </c>
      <c r="O563">
        <v>1</v>
      </c>
      <c r="P563">
        <v>1</v>
      </c>
      <c r="Q563" t="s">
        <v>52</v>
      </c>
      <c r="R563">
        <v>1</v>
      </c>
      <c r="S563">
        <v>1</v>
      </c>
      <c r="T563">
        <v>1</v>
      </c>
      <c r="U563" t="s">
        <v>1794</v>
      </c>
      <c r="V563" t="s">
        <v>1794</v>
      </c>
      <c r="W563" t="s">
        <v>1794</v>
      </c>
      <c r="X563">
        <v>1</v>
      </c>
      <c r="Y563" t="s">
        <v>1794</v>
      </c>
      <c r="Z563">
        <v>0</v>
      </c>
      <c r="AA563" t="s">
        <v>1794</v>
      </c>
      <c r="AB563" t="s">
        <v>1794</v>
      </c>
      <c r="AC563" t="s">
        <v>1794</v>
      </c>
      <c r="AD563" t="s">
        <v>1794</v>
      </c>
      <c r="AE563">
        <v>0</v>
      </c>
      <c r="AF563" t="s">
        <v>1794</v>
      </c>
      <c r="AG563" t="s">
        <v>1794</v>
      </c>
      <c r="AH563" t="s">
        <v>1794</v>
      </c>
    </row>
    <row r="564" spans="1:34" ht="25.5" customHeight="1" x14ac:dyDescent="0.25">
      <c r="A564" t="s">
        <v>1587</v>
      </c>
      <c r="B564" t="s">
        <v>1588</v>
      </c>
      <c r="C564" t="s">
        <v>460</v>
      </c>
      <c r="D564" t="s">
        <v>909</v>
      </c>
      <c r="E564" t="s">
        <v>1794</v>
      </c>
      <c r="F564" t="s">
        <v>1001</v>
      </c>
      <c r="G564" t="s">
        <v>1124</v>
      </c>
      <c r="H564" t="s">
        <v>1002</v>
      </c>
      <c r="I564" t="s">
        <v>262</v>
      </c>
      <c r="J564" t="s">
        <v>916</v>
      </c>
      <c r="K564">
        <v>1</v>
      </c>
      <c r="L564">
        <v>1</v>
      </c>
      <c r="M564" t="s">
        <v>33</v>
      </c>
      <c r="N564">
        <v>1</v>
      </c>
      <c r="O564">
        <v>1</v>
      </c>
      <c r="P564">
        <v>1</v>
      </c>
      <c r="Q564" t="s">
        <v>52</v>
      </c>
      <c r="R564">
        <v>1</v>
      </c>
      <c r="S564">
        <v>1</v>
      </c>
      <c r="T564">
        <v>1</v>
      </c>
      <c r="U564" t="s">
        <v>1794</v>
      </c>
      <c r="V564" t="s">
        <v>1794</v>
      </c>
      <c r="W564" t="s">
        <v>1794</v>
      </c>
      <c r="X564">
        <v>1</v>
      </c>
      <c r="Y564" t="s">
        <v>1794</v>
      </c>
      <c r="Z564">
        <v>0</v>
      </c>
      <c r="AA564" t="s">
        <v>1794</v>
      </c>
      <c r="AB564" t="s">
        <v>1794</v>
      </c>
      <c r="AC564" t="s">
        <v>1794</v>
      </c>
      <c r="AD564" t="s">
        <v>1794</v>
      </c>
      <c r="AE564">
        <v>0</v>
      </c>
      <c r="AF564" t="s">
        <v>1794</v>
      </c>
      <c r="AG564" t="s">
        <v>1794</v>
      </c>
      <c r="AH564" t="s">
        <v>1794</v>
      </c>
    </row>
    <row r="565" spans="1:34" ht="39" customHeight="1" x14ac:dyDescent="0.25">
      <c r="A565" t="s">
        <v>1027</v>
      </c>
      <c r="B565" t="s">
        <v>1591</v>
      </c>
      <c r="C565" t="s">
        <v>460</v>
      </c>
      <c r="D565" t="s">
        <v>909</v>
      </c>
      <c r="E565" t="s">
        <v>1794</v>
      </c>
      <c r="F565" t="s">
        <v>1001</v>
      </c>
      <c r="G565" t="s">
        <v>1124</v>
      </c>
      <c r="H565" t="s">
        <v>1002</v>
      </c>
      <c r="I565" t="s">
        <v>262</v>
      </c>
      <c r="J565" t="s">
        <v>916</v>
      </c>
      <c r="K565">
        <v>1</v>
      </c>
      <c r="L565">
        <v>1</v>
      </c>
      <c r="M565" t="s">
        <v>33</v>
      </c>
      <c r="N565">
        <v>1</v>
      </c>
      <c r="O565">
        <v>1</v>
      </c>
      <c r="P565">
        <v>1</v>
      </c>
      <c r="Q565" t="s">
        <v>52</v>
      </c>
      <c r="R565">
        <v>1</v>
      </c>
      <c r="S565">
        <v>1</v>
      </c>
      <c r="T565">
        <v>1</v>
      </c>
      <c r="U565" t="s">
        <v>1794</v>
      </c>
      <c r="V565" t="s">
        <v>1794</v>
      </c>
      <c r="W565" t="s">
        <v>1794</v>
      </c>
      <c r="X565">
        <v>1</v>
      </c>
      <c r="Y565" t="s">
        <v>1794</v>
      </c>
      <c r="Z565">
        <v>0</v>
      </c>
      <c r="AA565" t="s">
        <v>1794</v>
      </c>
      <c r="AB565" t="s">
        <v>1794</v>
      </c>
      <c r="AC565" t="s">
        <v>1794</v>
      </c>
      <c r="AD565" t="s">
        <v>1794</v>
      </c>
      <c r="AE565">
        <v>0</v>
      </c>
      <c r="AF565" t="s">
        <v>1794</v>
      </c>
      <c r="AG565" t="s">
        <v>1794</v>
      </c>
      <c r="AH565" t="s">
        <v>1794</v>
      </c>
    </row>
    <row r="566" spans="1:34" ht="31.5" customHeight="1" x14ac:dyDescent="0.25">
      <c r="A566" t="s">
        <v>1587</v>
      </c>
      <c r="B566" t="s">
        <v>1588</v>
      </c>
      <c r="C566" t="s">
        <v>460</v>
      </c>
      <c r="D566" t="s">
        <v>909</v>
      </c>
      <c r="E566" t="s">
        <v>1794</v>
      </c>
      <c r="F566" t="s">
        <v>1003</v>
      </c>
      <c r="G566" t="s">
        <v>1124</v>
      </c>
      <c r="H566" t="s">
        <v>1004</v>
      </c>
      <c r="I566" t="s">
        <v>262</v>
      </c>
      <c r="J566" t="s">
        <v>916</v>
      </c>
      <c r="K566">
        <v>1</v>
      </c>
      <c r="L566">
        <v>1</v>
      </c>
      <c r="M566" t="s">
        <v>33</v>
      </c>
      <c r="N566">
        <v>1</v>
      </c>
      <c r="O566">
        <v>1</v>
      </c>
      <c r="P566">
        <v>1</v>
      </c>
      <c r="Q566" t="s">
        <v>52</v>
      </c>
      <c r="R566">
        <v>1</v>
      </c>
      <c r="S566">
        <v>1</v>
      </c>
      <c r="T566">
        <v>1</v>
      </c>
      <c r="U566" t="s">
        <v>1794</v>
      </c>
      <c r="V566" t="s">
        <v>1794</v>
      </c>
      <c r="W566" t="s">
        <v>1794</v>
      </c>
      <c r="X566">
        <v>1</v>
      </c>
      <c r="Y566" t="s">
        <v>1794</v>
      </c>
      <c r="Z566">
        <v>0</v>
      </c>
      <c r="AA566" t="s">
        <v>1794</v>
      </c>
      <c r="AB566" t="s">
        <v>1794</v>
      </c>
      <c r="AC566" t="s">
        <v>1794</v>
      </c>
      <c r="AD566" t="s">
        <v>1794</v>
      </c>
      <c r="AE566">
        <v>0</v>
      </c>
      <c r="AF566" t="s">
        <v>1794</v>
      </c>
      <c r="AG566" t="s">
        <v>1794</v>
      </c>
      <c r="AH566" t="s">
        <v>1794</v>
      </c>
    </row>
    <row r="567" spans="1:34" ht="39.75" customHeight="1" x14ac:dyDescent="0.25">
      <c r="A567" t="s">
        <v>1027</v>
      </c>
      <c r="B567" t="s">
        <v>1591</v>
      </c>
      <c r="C567" t="s">
        <v>460</v>
      </c>
      <c r="D567" t="s">
        <v>909</v>
      </c>
      <c r="E567" t="s">
        <v>1794</v>
      </c>
      <c r="F567" t="s">
        <v>1003</v>
      </c>
      <c r="G567" t="s">
        <v>1124</v>
      </c>
      <c r="H567" t="s">
        <v>1004</v>
      </c>
      <c r="I567" t="s">
        <v>262</v>
      </c>
      <c r="J567" t="s">
        <v>916</v>
      </c>
      <c r="K567">
        <v>1</v>
      </c>
      <c r="L567">
        <v>1</v>
      </c>
      <c r="M567" t="s">
        <v>33</v>
      </c>
      <c r="N567">
        <v>1</v>
      </c>
      <c r="O567">
        <v>1</v>
      </c>
      <c r="P567">
        <v>1</v>
      </c>
      <c r="Q567" t="s">
        <v>52</v>
      </c>
      <c r="R567">
        <v>1</v>
      </c>
      <c r="S567">
        <v>1</v>
      </c>
      <c r="T567">
        <v>1</v>
      </c>
      <c r="U567" t="s">
        <v>1794</v>
      </c>
      <c r="V567" t="s">
        <v>1794</v>
      </c>
      <c r="W567" t="s">
        <v>1794</v>
      </c>
      <c r="X567">
        <v>1</v>
      </c>
      <c r="Y567" t="s">
        <v>1794</v>
      </c>
      <c r="Z567">
        <v>0</v>
      </c>
      <c r="AA567" t="s">
        <v>1794</v>
      </c>
      <c r="AB567" t="s">
        <v>1794</v>
      </c>
      <c r="AC567" t="s">
        <v>1794</v>
      </c>
      <c r="AD567" t="s">
        <v>1794</v>
      </c>
      <c r="AE567">
        <v>0</v>
      </c>
      <c r="AF567" t="s">
        <v>1794</v>
      </c>
      <c r="AG567" t="s">
        <v>1794</v>
      </c>
      <c r="AH567" t="s">
        <v>1794</v>
      </c>
    </row>
    <row r="568" spans="1:34" x14ac:dyDescent="0.25">
      <c r="A568" t="s">
        <v>1219</v>
      </c>
      <c r="B568" t="s">
        <v>1220</v>
      </c>
      <c r="C568" t="s">
        <v>463</v>
      </c>
      <c r="D568" t="s">
        <v>358</v>
      </c>
      <c r="E568" t="s">
        <v>1794</v>
      </c>
      <c r="F568" t="s">
        <v>1005</v>
      </c>
      <c r="G568" t="s">
        <v>1794</v>
      </c>
      <c r="H568" t="s">
        <v>1006</v>
      </c>
      <c r="I568" t="s">
        <v>262</v>
      </c>
      <c r="J568" t="s">
        <v>916</v>
      </c>
      <c r="K568">
        <v>1</v>
      </c>
      <c r="L568">
        <v>2</v>
      </c>
      <c r="M568" t="s">
        <v>33</v>
      </c>
      <c r="N568">
        <v>1</v>
      </c>
      <c r="O568">
        <v>2</v>
      </c>
      <c r="P568">
        <v>1</v>
      </c>
      <c r="Q568" t="s">
        <v>52</v>
      </c>
      <c r="R568">
        <v>2</v>
      </c>
      <c r="S568">
        <v>2</v>
      </c>
      <c r="T568">
        <v>2</v>
      </c>
      <c r="U568" t="s">
        <v>1794</v>
      </c>
      <c r="V568" t="s">
        <v>1794</v>
      </c>
      <c r="W568" t="s">
        <v>1794</v>
      </c>
      <c r="X568">
        <v>1</v>
      </c>
      <c r="Y568" t="s">
        <v>1794</v>
      </c>
      <c r="Z568">
        <v>0</v>
      </c>
      <c r="AA568" t="s">
        <v>1794</v>
      </c>
      <c r="AB568" t="s">
        <v>1794</v>
      </c>
      <c r="AC568" t="s">
        <v>1794</v>
      </c>
      <c r="AD568" t="s">
        <v>1794</v>
      </c>
      <c r="AE568">
        <v>0</v>
      </c>
      <c r="AF568" t="s">
        <v>1794</v>
      </c>
      <c r="AG568" t="s">
        <v>1794</v>
      </c>
      <c r="AH568" t="s">
        <v>1794</v>
      </c>
    </row>
    <row r="569" spans="1:34" x14ac:dyDescent="0.25">
      <c r="A569" t="s">
        <v>587</v>
      </c>
      <c r="B569" t="s">
        <v>1281</v>
      </c>
      <c r="C569" t="s">
        <v>463</v>
      </c>
      <c r="D569" t="s">
        <v>358</v>
      </c>
      <c r="E569" t="s">
        <v>1794</v>
      </c>
      <c r="F569" t="s">
        <v>1005</v>
      </c>
      <c r="G569" t="s">
        <v>1124</v>
      </c>
      <c r="H569" t="s">
        <v>1006</v>
      </c>
      <c r="I569" t="s">
        <v>262</v>
      </c>
      <c r="J569" t="s">
        <v>916</v>
      </c>
      <c r="K569">
        <v>1</v>
      </c>
      <c r="L569">
        <v>2</v>
      </c>
      <c r="M569" t="s">
        <v>33</v>
      </c>
      <c r="N569">
        <v>1</v>
      </c>
      <c r="O569">
        <v>2</v>
      </c>
      <c r="P569">
        <v>1</v>
      </c>
      <c r="Q569" t="s">
        <v>52</v>
      </c>
      <c r="R569">
        <v>2</v>
      </c>
      <c r="S569">
        <v>2</v>
      </c>
      <c r="T569">
        <v>2</v>
      </c>
      <c r="U569" t="s">
        <v>1794</v>
      </c>
      <c r="V569" t="s">
        <v>1794</v>
      </c>
      <c r="W569" t="s">
        <v>1794</v>
      </c>
      <c r="X569">
        <v>1</v>
      </c>
      <c r="Y569" t="s">
        <v>1794</v>
      </c>
      <c r="Z569">
        <v>0</v>
      </c>
      <c r="AA569" t="s">
        <v>1794</v>
      </c>
      <c r="AB569" t="s">
        <v>1794</v>
      </c>
      <c r="AC569" t="s">
        <v>1794</v>
      </c>
      <c r="AD569" t="s">
        <v>1794</v>
      </c>
      <c r="AE569">
        <v>0</v>
      </c>
      <c r="AF569" t="s">
        <v>1794</v>
      </c>
      <c r="AG569" t="s">
        <v>1794</v>
      </c>
      <c r="AH569" t="s">
        <v>1794</v>
      </c>
    </row>
    <row r="570" spans="1:34" x14ac:dyDescent="0.25">
      <c r="A570" t="s">
        <v>1229</v>
      </c>
      <c r="B570" t="s">
        <v>1230</v>
      </c>
      <c r="C570" t="s">
        <v>463</v>
      </c>
      <c r="D570" t="s">
        <v>358</v>
      </c>
      <c r="E570" t="s">
        <v>1794</v>
      </c>
      <c r="F570" t="s">
        <v>1005</v>
      </c>
      <c r="G570" t="s">
        <v>1124</v>
      </c>
      <c r="H570" t="s">
        <v>1006</v>
      </c>
      <c r="I570" t="s">
        <v>262</v>
      </c>
      <c r="J570" t="s">
        <v>916</v>
      </c>
      <c r="K570">
        <v>1</v>
      </c>
      <c r="L570">
        <v>2</v>
      </c>
      <c r="M570" t="s">
        <v>33</v>
      </c>
      <c r="N570">
        <v>1</v>
      </c>
      <c r="O570">
        <v>2</v>
      </c>
      <c r="P570">
        <v>1</v>
      </c>
      <c r="Q570" t="s">
        <v>52</v>
      </c>
      <c r="R570">
        <v>2</v>
      </c>
      <c r="S570">
        <v>2</v>
      </c>
      <c r="T570">
        <v>2</v>
      </c>
      <c r="U570" t="s">
        <v>1794</v>
      </c>
      <c r="V570" t="s">
        <v>1794</v>
      </c>
      <c r="W570" t="s">
        <v>1794</v>
      </c>
      <c r="X570">
        <v>1</v>
      </c>
      <c r="Y570" t="s">
        <v>1794</v>
      </c>
      <c r="Z570">
        <v>0</v>
      </c>
      <c r="AA570" t="s">
        <v>1794</v>
      </c>
      <c r="AB570" t="s">
        <v>1794</v>
      </c>
      <c r="AC570" t="s">
        <v>1794</v>
      </c>
      <c r="AD570" t="s">
        <v>1794</v>
      </c>
      <c r="AE570">
        <v>0</v>
      </c>
      <c r="AF570" t="s">
        <v>1794</v>
      </c>
      <c r="AG570" t="s">
        <v>1794</v>
      </c>
      <c r="AH570" t="s">
        <v>1794</v>
      </c>
    </row>
    <row r="571" spans="1:34" x14ac:dyDescent="0.25">
      <c r="A571" t="s">
        <v>1445</v>
      </c>
      <c r="B571" t="s">
        <v>1446</v>
      </c>
      <c r="C571" t="s">
        <v>463</v>
      </c>
      <c r="D571" t="s">
        <v>358</v>
      </c>
      <c r="E571" t="s">
        <v>1794</v>
      </c>
      <c r="F571" t="s">
        <v>1005</v>
      </c>
      <c r="G571" t="s">
        <v>1124</v>
      </c>
      <c r="H571" t="s">
        <v>1006</v>
      </c>
      <c r="I571" t="s">
        <v>262</v>
      </c>
      <c r="J571" t="s">
        <v>916</v>
      </c>
      <c r="K571">
        <v>1</v>
      </c>
      <c r="L571">
        <v>2</v>
      </c>
      <c r="M571" t="s">
        <v>33</v>
      </c>
      <c r="N571">
        <v>1</v>
      </c>
      <c r="O571">
        <v>2</v>
      </c>
      <c r="P571">
        <v>1</v>
      </c>
      <c r="Q571" t="s">
        <v>52</v>
      </c>
      <c r="R571">
        <v>2</v>
      </c>
      <c r="S571">
        <v>2</v>
      </c>
      <c r="T571">
        <v>2</v>
      </c>
      <c r="U571" t="s">
        <v>1794</v>
      </c>
      <c r="V571" t="s">
        <v>1794</v>
      </c>
      <c r="W571" t="s">
        <v>1794</v>
      </c>
      <c r="X571">
        <v>1</v>
      </c>
      <c r="Y571" t="s">
        <v>1794</v>
      </c>
      <c r="Z571">
        <v>0</v>
      </c>
      <c r="AA571" t="s">
        <v>1794</v>
      </c>
      <c r="AB571" t="s">
        <v>1794</v>
      </c>
      <c r="AC571" t="s">
        <v>1794</v>
      </c>
      <c r="AD571" t="s">
        <v>1794</v>
      </c>
      <c r="AE571">
        <v>0</v>
      </c>
      <c r="AF571" t="s">
        <v>1794</v>
      </c>
      <c r="AG571" t="s">
        <v>1794</v>
      </c>
      <c r="AH571" t="s">
        <v>1794</v>
      </c>
    </row>
    <row r="572" spans="1:34" x14ac:dyDescent="0.25">
      <c r="A572" t="s">
        <v>1219</v>
      </c>
      <c r="B572" t="s">
        <v>1220</v>
      </c>
      <c r="C572" t="s">
        <v>463</v>
      </c>
      <c r="D572" t="s">
        <v>358</v>
      </c>
      <c r="E572" t="s">
        <v>1794</v>
      </c>
      <c r="F572" t="s">
        <v>1007</v>
      </c>
      <c r="G572" t="s">
        <v>1794</v>
      </c>
      <c r="H572" t="s">
        <v>1831</v>
      </c>
      <c r="I572" t="s">
        <v>262</v>
      </c>
      <c r="J572" t="s">
        <v>916</v>
      </c>
      <c r="K572">
        <v>1</v>
      </c>
      <c r="L572">
        <v>2</v>
      </c>
      <c r="M572" t="s">
        <v>33</v>
      </c>
      <c r="N572">
        <v>1</v>
      </c>
      <c r="O572">
        <v>2</v>
      </c>
      <c r="P572">
        <v>1</v>
      </c>
      <c r="Q572" t="s">
        <v>52</v>
      </c>
      <c r="R572">
        <v>2</v>
      </c>
      <c r="S572">
        <v>2</v>
      </c>
      <c r="T572">
        <v>2</v>
      </c>
      <c r="U572" t="s">
        <v>1794</v>
      </c>
      <c r="V572" t="s">
        <v>1794</v>
      </c>
      <c r="W572" t="s">
        <v>1794</v>
      </c>
      <c r="X572">
        <v>1</v>
      </c>
      <c r="Y572" t="s">
        <v>1794</v>
      </c>
      <c r="Z572">
        <v>0</v>
      </c>
      <c r="AA572" t="s">
        <v>1794</v>
      </c>
      <c r="AB572" t="s">
        <v>1794</v>
      </c>
      <c r="AC572" t="s">
        <v>1794</v>
      </c>
      <c r="AD572" t="s">
        <v>1794</v>
      </c>
      <c r="AE572">
        <v>0</v>
      </c>
      <c r="AF572" t="s">
        <v>1794</v>
      </c>
      <c r="AG572" t="s">
        <v>1794</v>
      </c>
      <c r="AH572" t="s">
        <v>1794</v>
      </c>
    </row>
    <row r="573" spans="1:34" x14ac:dyDescent="0.25">
      <c r="A573" t="s">
        <v>587</v>
      </c>
      <c r="B573" t="s">
        <v>1281</v>
      </c>
      <c r="C573" t="s">
        <v>463</v>
      </c>
      <c r="D573" t="s">
        <v>358</v>
      </c>
      <c r="E573" t="s">
        <v>1794</v>
      </c>
      <c r="F573" t="s">
        <v>1007</v>
      </c>
      <c r="G573" t="s">
        <v>1124</v>
      </c>
      <c r="H573" t="s">
        <v>1831</v>
      </c>
      <c r="I573" t="s">
        <v>262</v>
      </c>
      <c r="J573" t="s">
        <v>916</v>
      </c>
      <c r="K573">
        <v>1</v>
      </c>
      <c r="L573">
        <v>2</v>
      </c>
      <c r="M573" t="s">
        <v>33</v>
      </c>
      <c r="N573">
        <v>1</v>
      </c>
      <c r="O573">
        <v>2</v>
      </c>
      <c r="P573">
        <v>1</v>
      </c>
      <c r="Q573" t="s">
        <v>52</v>
      </c>
      <c r="R573">
        <v>2</v>
      </c>
      <c r="S573">
        <v>2</v>
      </c>
      <c r="T573">
        <v>2</v>
      </c>
      <c r="U573" t="s">
        <v>1794</v>
      </c>
      <c r="V573" t="s">
        <v>1794</v>
      </c>
      <c r="W573" t="s">
        <v>1794</v>
      </c>
      <c r="X573">
        <v>1</v>
      </c>
      <c r="Y573" t="s">
        <v>1794</v>
      </c>
      <c r="Z573">
        <v>0</v>
      </c>
      <c r="AA573" t="s">
        <v>1794</v>
      </c>
      <c r="AB573" t="s">
        <v>1794</v>
      </c>
      <c r="AC573" t="s">
        <v>1794</v>
      </c>
      <c r="AD573" t="s">
        <v>1794</v>
      </c>
      <c r="AE573">
        <v>0</v>
      </c>
      <c r="AF573" t="s">
        <v>1794</v>
      </c>
      <c r="AG573" t="s">
        <v>1794</v>
      </c>
      <c r="AH573" t="s">
        <v>1794</v>
      </c>
    </row>
    <row r="574" spans="1:34" ht="26.25" customHeight="1" x14ac:dyDescent="0.25">
      <c r="A574" t="s">
        <v>1229</v>
      </c>
      <c r="B574" t="s">
        <v>1230</v>
      </c>
      <c r="C574" t="s">
        <v>463</v>
      </c>
      <c r="D574" t="s">
        <v>358</v>
      </c>
      <c r="E574" t="s">
        <v>1794</v>
      </c>
      <c r="F574" t="s">
        <v>1007</v>
      </c>
      <c r="G574" t="s">
        <v>1124</v>
      </c>
      <c r="H574" t="s">
        <v>1831</v>
      </c>
      <c r="I574" t="s">
        <v>262</v>
      </c>
      <c r="J574" t="s">
        <v>916</v>
      </c>
      <c r="K574">
        <v>1</v>
      </c>
      <c r="L574">
        <v>2</v>
      </c>
      <c r="M574" t="s">
        <v>33</v>
      </c>
      <c r="N574">
        <v>1</v>
      </c>
      <c r="O574">
        <v>2</v>
      </c>
      <c r="P574">
        <v>1</v>
      </c>
      <c r="Q574" t="s">
        <v>52</v>
      </c>
      <c r="R574">
        <v>2</v>
      </c>
      <c r="S574">
        <v>2</v>
      </c>
      <c r="T574">
        <v>2</v>
      </c>
      <c r="U574" t="s">
        <v>1794</v>
      </c>
      <c r="V574" t="s">
        <v>1794</v>
      </c>
      <c r="W574" t="s">
        <v>1794</v>
      </c>
      <c r="X574">
        <v>1</v>
      </c>
      <c r="Y574" t="s">
        <v>1794</v>
      </c>
      <c r="Z574">
        <v>0</v>
      </c>
      <c r="AA574" t="s">
        <v>1794</v>
      </c>
      <c r="AB574" t="s">
        <v>1794</v>
      </c>
      <c r="AC574" t="s">
        <v>1794</v>
      </c>
      <c r="AD574" t="s">
        <v>1794</v>
      </c>
      <c r="AE574">
        <v>0</v>
      </c>
      <c r="AF574" t="s">
        <v>1794</v>
      </c>
      <c r="AG574" t="s">
        <v>1794</v>
      </c>
      <c r="AH574" t="s">
        <v>1794</v>
      </c>
    </row>
    <row r="575" spans="1:34" x14ac:dyDescent="0.25">
      <c r="A575" t="s">
        <v>1445</v>
      </c>
      <c r="B575" t="s">
        <v>1446</v>
      </c>
      <c r="C575" t="s">
        <v>463</v>
      </c>
      <c r="D575" t="s">
        <v>358</v>
      </c>
      <c r="E575" t="s">
        <v>1794</v>
      </c>
      <c r="F575" t="s">
        <v>1007</v>
      </c>
      <c r="G575" t="s">
        <v>1124</v>
      </c>
      <c r="H575" t="s">
        <v>1831</v>
      </c>
      <c r="I575" t="s">
        <v>262</v>
      </c>
      <c r="J575" t="s">
        <v>916</v>
      </c>
      <c r="K575">
        <v>1</v>
      </c>
      <c r="L575">
        <v>2</v>
      </c>
      <c r="M575" t="s">
        <v>33</v>
      </c>
      <c r="N575">
        <v>1</v>
      </c>
      <c r="O575">
        <v>2</v>
      </c>
      <c r="P575">
        <v>1</v>
      </c>
      <c r="Q575" t="s">
        <v>52</v>
      </c>
      <c r="R575">
        <v>2</v>
      </c>
      <c r="S575">
        <v>2</v>
      </c>
      <c r="T575">
        <v>2</v>
      </c>
      <c r="U575" t="s">
        <v>1794</v>
      </c>
      <c r="V575" t="s">
        <v>1794</v>
      </c>
      <c r="W575" t="s">
        <v>1794</v>
      </c>
      <c r="X575">
        <v>1</v>
      </c>
      <c r="Y575" t="s">
        <v>1794</v>
      </c>
      <c r="Z575">
        <v>0</v>
      </c>
      <c r="AA575" t="s">
        <v>1794</v>
      </c>
      <c r="AB575" t="s">
        <v>1794</v>
      </c>
      <c r="AC575" t="s">
        <v>1794</v>
      </c>
      <c r="AD575" t="s">
        <v>1794</v>
      </c>
      <c r="AE575">
        <v>0</v>
      </c>
      <c r="AF575" t="s">
        <v>1794</v>
      </c>
      <c r="AG575" t="s">
        <v>1794</v>
      </c>
      <c r="AH575" t="s">
        <v>1794</v>
      </c>
    </row>
    <row r="576" spans="1:34" x14ac:dyDescent="0.25">
      <c r="A576" t="s">
        <v>1295</v>
      </c>
      <c r="B576" t="s">
        <v>1296</v>
      </c>
      <c r="C576" t="s">
        <v>463</v>
      </c>
      <c r="D576" t="s">
        <v>358</v>
      </c>
      <c r="E576" t="s">
        <v>1794</v>
      </c>
      <c r="F576" t="s">
        <v>1008</v>
      </c>
      <c r="G576" t="s">
        <v>1124</v>
      </c>
      <c r="H576" t="s">
        <v>1009</v>
      </c>
      <c r="I576" t="s">
        <v>262</v>
      </c>
      <c r="J576" t="s">
        <v>916</v>
      </c>
      <c r="K576">
        <v>1</v>
      </c>
      <c r="L576">
        <v>1</v>
      </c>
      <c r="M576" t="s">
        <v>33</v>
      </c>
      <c r="N576">
        <v>1</v>
      </c>
      <c r="O576">
        <v>1</v>
      </c>
      <c r="P576">
        <v>1</v>
      </c>
      <c r="Q576" t="s">
        <v>52</v>
      </c>
      <c r="R576">
        <v>1</v>
      </c>
      <c r="S576">
        <v>1</v>
      </c>
      <c r="T576">
        <v>1</v>
      </c>
      <c r="U576" t="s">
        <v>1794</v>
      </c>
      <c r="V576" t="s">
        <v>1794</v>
      </c>
      <c r="W576" t="s">
        <v>1794</v>
      </c>
      <c r="X576">
        <v>1</v>
      </c>
      <c r="Y576" t="s">
        <v>1794</v>
      </c>
      <c r="Z576">
        <v>0</v>
      </c>
      <c r="AA576" t="s">
        <v>1794</v>
      </c>
      <c r="AB576" t="s">
        <v>1794</v>
      </c>
      <c r="AC576" t="s">
        <v>1794</v>
      </c>
      <c r="AD576" t="s">
        <v>1794</v>
      </c>
      <c r="AE576">
        <v>0</v>
      </c>
      <c r="AF576" t="s">
        <v>1794</v>
      </c>
      <c r="AG576" t="s">
        <v>1794</v>
      </c>
      <c r="AH576" t="s">
        <v>1794</v>
      </c>
    </row>
    <row r="577" spans="1:34" x14ac:dyDescent="0.25">
      <c r="A577" t="s">
        <v>1219</v>
      </c>
      <c r="B577" t="s">
        <v>1220</v>
      </c>
      <c r="C577" t="s">
        <v>463</v>
      </c>
      <c r="D577" t="s">
        <v>358</v>
      </c>
      <c r="E577" t="s">
        <v>1794</v>
      </c>
      <c r="F577" t="s">
        <v>1008</v>
      </c>
      <c r="G577" t="s">
        <v>1794</v>
      </c>
      <c r="H577" t="s">
        <v>1009</v>
      </c>
      <c r="I577" t="s">
        <v>262</v>
      </c>
      <c r="J577" t="s">
        <v>916</v>
      </c>
      <c r="K577">
        <v>1</v>
      </c>
      <c r="L577">
        <v>1</v>
      </c>
      <c r="M577" t="s">
        <v>33</v>
      </c>
      <c r="N577">
        <v>1</v>
      </c>
      <c r="O577">
        <v>1</v>
      </c>
      <c r="P577">
        <v>1</v>
      </c>
      <c r="Q577" t="s">
        <v>52</v>
      </c>
      <c r="R577">
        <v>1</v>
      </c>
      <c r="S577">
        <v>1</v>
      </c>
      <c r="T577">
        <v>1</v>
      </c>
      <c r="U577" t="s">
        <v>1794</v>
      </c>
      <c r="V577" t="s">
        <v>1794</v>
      </c>
      <c r="W577" t="s">
        <v>1794</v>
      </c>
      <c r="X577">
        <v>1</v>
      </c>
      <c r="Y577" t="s">
        <v>1794</v>
      </c>
      <c r="Z577">
        <v>0</v>
      </c>
      <c r="AA577" t="s">
        <v>1794</v>
      </c>
      <c r="AB577" t="s">
        <v>1794</v>
      </c>
      <c r="AC577" t="s">
        <v>1794</v>
      </c>
      <c r="AD577" t="s">
        <v>1794</v>
      </c>
      <c r="AE577">
        <v>0</v>
      </c>
      <c r="AF577" t="s">
        <v>1794</v>
      </c>
      <c r="AG577" t="s">
        <v>1794</v>
      </c>
      <c r="AH577" t="s">
        <v>1794</v>
      </c>
    </row>
    <row r="578" spans="1:34" x14ac:dyDescent="0.25">
      <c r="A578" t="s">
        <v>587</v>
      </c>
      <c r="B578" t="s">
        <v>1281</v>
      </c>
      <c r="C578" t="s">
        <v>463</v>
      </c>
      <c r="D578" t="s">
        <v>358</v>
      </c>
      <c r="E578" t="s">
        <v>1794</v>
      </c>
      <c r="F578" t="s">
        <v>1008</v>
      </c>
      <c r="G578" t="s">
        <v>1124</v>
      </c>
      <c r="H578" t="s">
        <v>1009</v>
      </c>
      <c r="I578" t="s">
        <v>262</v>
      </c>
      <c r="J578" t="s">
        <v>916</v>
      </c>
      <c r="K578">
        <v>1</v>
      </c>
      <c r="L578">
        <v>1</v>
      </c>
      <c r="M578" t="s">
        <v>33</v>
      </c>
      <c r="N578">
        <v>1</v>
      </c>
      <c r="O578">
        <v>1</v>
      </c>
      <c r="P578">
        <v>1</v>
      </c>
      <c r="Q578" t="s">
        <v>52</v>
      </c>
      <c r="R578">
        <v>1</v>
      </c>
      <c r="S578">
        <v>1</v>
      </c>
      <c r="T578">
        <v>1</v>
      </c>
      <c r="U578" t="s">
        <v>1794</v>
      </c>
      <c r="V578" t="s">
        <v>1794</v>
      </c>
      <c r="W578" t="s">
        <v>1794</v>
      </c>
      <c r="X578">
        <v>1</v>
      </c>
      <c r="Y578" t="s">
        <v>1794</v>
      </c>
      <c r="Z578">
        <v>0</v>
      </c>
      <c r="AA578" t="s">
        <v>1794</v>
      </c>
      <c r="AB578" t="s">
        <v>1794</v>
      </c>
      <c r="AC578" t="s">
        <v>1794</v>
      </c>
      <c r="AD578" t="s">
        <v>1794</v>
      </c>
      <c r="AE578">
        <v>0</v>
      </c>
      <c r="AF578" t="s">
        <v>1794</v>
      </c>
      <c r="AG578" t="s">
        <v>1794</v>
      </c>
      <c r="AH578" t="s">
        <v>1794</v>
      </c>
    </row>
    <row r="579" spans="1:34" x14ac:dyDescent="0.25">
      <c r="A579" t="s">
        <v>1229</v>
      </c>
      <c r="B579" t="s">
        <v>1230</v>
      </c>
      <c r="C579" t="s">
        <v>463</v>
      </c>
      <c r="D579" t="s">
        <v>358</v>
      </c>
      <c r="E579" t="s">
        <v>1794</v>
      </c>
      <c r="F579" t="s">
        <v>1008</v>
      </c>
      <c r="G579" t="s">
        <v>1124</v>
      </c>
      <c r="H579" t="s">
        <v>1009</v>
      </c>
      <c r="I579" t="s">
        <v>262</v>
      </c>
      <c r="J579" t="s">
        <v>916</v>
      </c>
      <c r="K579">
        <v>1</v>
      </c>
      <c r="L579">
        <v>1</v>
      </c>
      <c r="M579" t="s">
        <v>33</v>
      </c>
      <c r="N579">
        <v>1</v>
      </c>
      <c r="O579">
        <v>1</v>
      </c>
      <c r="P579">
        <v>1</v>
      </c>
      <c r="Q579" t="s">
        <v>52</v>
      </c>
      <c r="R579">
        <v>1</v>
      </c>
      <c r="S579">
        <v>1</v>
      </c>
      <c r="T579">
        <v>1</v>
      </c>
      <c r="U579" t="s">
        <v>1794</v>
      </c>
      <c r="V579" t="s">
        <v>1794</v>
      </c>
      <c r="W579" t="s">
        <v>1794</v>
      </c>
      <c r="X579">
        <v>1</v>
      </c>
      <c r="Y579" t="s">
        <v>1794</v>
      </c>
      <c r="Z579">
        <v>0</v>
      </c>
      <c r="AA579" t="s">
        <v>1794</v>
      </c>
      <c r="AB579" t="s">
        <v>1794</v>
      </c>
      <c r="AC579" t="s">
        <v>1794</v>
      </c>
      <c r="AD579" t="s">
        <v>1794</v>
      </c>
      <c r="AE579">
        <v>0</v>
      </c>
      <c r="AF579" t="s">
        <v>1794</v>
      </c>
      <c r="AG579" t="s">
        <v>1794</v>
      </c>
      <c r="AH579" t="s">
        <v>1794</v>
      </c>
    </row>
    <row r="580" spans="1:34" x14ac:dyDescent="0.25">
      <c r="A580" t="s">
        <v>1445</v>
      </c>
      <c r="B580" t="s">
        <v>1446</v>
      </c>
      <c r="C580" t="s">
        <v>463</v>
      </c>
      <c r="D580" t="s">
        <v>358</v>
      </c>
      <c r="E580" t="s">
        <v>1794</v>
      </c>
      <c r="F580" t="s">
        <v>1008</v>
      </c>
      <c r="G580" t="s">
        <v>1124</v>
      </c>
      <c r="H580" t="s">
        <v>1009</v>
      </c>
      <c r="I580" t="s">
        <v>262</v>
      </c>
      <c r="J580" t="s">
        <v>916</v>
      </c>
      <c r="K580">
        <v>1</v>
      </c>
      <c r="L580">
        <v>1</v>
      </c>
      <c r="M580" t="s">
        <v>33</v>
      </c>
      <c r="N580">
        <v>1</v>
      </c>
      <c r="O580">
        <v>1</v>
      </c>
      <c r="P580">
        <v>1</v>
      </c>
      <c r="Q580" t="s">
        <v>52</v>
      </c>
      <c r="R580">
        <v>1</v>
      </c>
      <c r="S580">
        <v>1</v>
      </c>
      <c r="T580">
        <v>1</v>
      </c>
      <c r="U580" t="s">
        <v>1794</v>
      </c>
      <c r="V580" t="s">
        <v>1794</v>
      </c>
      <c r="W580" t="s">
        <v>1794</v>
      </c>
      <c r="X580">
        <v>1</v>
      </c>
      <c r="Y580" t="s">
        <v>1794</v>
      </c>
      <c r="Z580">
        <v>0</v>
      </c>
      <c r="AA580" t="s">
        <v>1794</v>
      </c>
      <c r="AB580" t="s">
        <v>1794</v>
      </c>
      <c r="AC580" t="s">
        <v>1794</v>
      </c>
      <c r="AD580" t="s">
        <v>1794</v>
      </c>
      <c r="AE580">
        <v>0</v>
      </c>
      <c r="AF580" t="s">
        <v>1794</v>
      </c>
      <c r="AG580" t="s">
        <v>1794</v>
      </c>
      <c r="AH580" t="s">
        <v>1794</v>
      </c>
    </row>
    <row r="581" spans="1:34" x14ac:dyDescent="0.25">
      <c r="A581" t="s">
        <v>1464</v>
      </c>
      <c r="B581" t="s">
        <v>1465</v>
      </c>
      <c r="C581" t="s">
        <v>463</v>
      </c>
      <c r="D581" t="s">
        <v>358</v>
      </c>
      <c r="E581" t="s">
        <v>1794</v>
      </c>
      <c r="F581" t="s">
        <v>1008</v>
      </c>
      <c r="G581" t="s">
        <v>1124</v>
      </c>
      <c r="H581" t="s">
        <v>1009</v>
      </c>
      <c r="I581" t="s">
        <v>262</v>
      </c>
      <c r="J581" t="s">
        <v>916</v>
      </c>
      <c r="K581">
        <v>1</v>
      </c>
      <c r="L581">
        <v>1</v>
      </c>
      <c r="M581" t="s">
        <v>33</v>
      </c>
      <c r="N581">
        <v>1</v>
      </c>
      <c r="O581">
        <v>1</v>
      </c>
      <c r="P581">
        <v>1</v>
      </c>
      <c r="Q581" t="s">
        <v>52</v>
      </c>
      <c r="R581">
        <v>1</v>
      </c>
      <c r="S581">
        <v>1</v>
      </c>
      <c r="T581">
        <v>1</v>
      </c>
      <c r="U581" t="s">
        <v>1794</v>
      </c>
      <c r="V581" t="s">
        <v>1794</v>
      </c>
      <c r="W581" t="s">
        <v>1794</v>
      </c>
      <c r="X581">
        <v>1</v>
      </c>
      <c r="Y581" t="s">
        <v>1794</v>
      </c>
      <c r="Z581">
        <v>0</v>
      </c>
      <c r="AA581" t="s">
        <v>1794</v>
      </c>
      <c r="AB581" t="s">
        <v>1794</v>
      </c>
      <c r="AC581" t="s">
        <v>1794</v>
      </c>
      <c r="AD581" t="s">
        <v>1794</v>
      </c>
      <c r="AE581">
        <v>0</v>
      </c>
      <c r="AF581" t="s">
        <v>1794</v>
      </c>
      <c r="AG581" t="s">
        <v>1794</v>
      </c>
      <c r="AH581" t="s">
        <v>1794</v>
      </c>
    </row>
    <row r="582" spans="1:34" x14ac:dyDescent="0.25">
      <c r="A582" t="s">
        <v>1295</v>
      </c>
      <c r="B582" t="s">
        <v>1296</v>
      </c>
      <c r="C582" t="s">
        <v>463</v>
      </c>
      <c r="D582" t="s">
        <v>358</v>
      </c>
      <c r="E582" t="s">
        <v>1794</v>
      </c>
      <c r="F582" t="s">
        <v>1010</v>
      </c>
      <c r="G582" t="s">
        <v>1124</v>
      </c>
      <c r="H582" t="s">
        <v>1011</v>
      </c>
      <c r="I582" t="s">
        <v>262</v>
      </c>
      <c r="J582" t="s">
        <v>916</v>
      </c>
      <c r="K582">
        <v>1</v>
      </c>
      <c r="L582">
        <v>1</v>
      </c>
      <c r="M582" t="s">
        <v>33</v>
      </c>
      <c r="N582">
        <v>1</v>
      </c>
      <c r="O582">
        <v>1</v>
      </c>
      <c r="P582">
        <v>1</v>
      </c>
      <c r="Q582" t="s">
        <v>52</v>
      </c>
      <c r="R582">
        <v>1</v>
      </c>
      <c r="S582">
        <v>1</v>
      </c>
      <c r="T582">
        <v>1</v>
      </c>
      <c r="U582" t="s">
        <v>1794</v>
      </c>
      <c r="V582" t="s">
        <v>1794</v>
      </c>
      <c r="W582" t="s">
        <v>1794</v>
      </c>
      <c r="X582">
        <v>1</v>
      </c>
      <c r="Y582" t="s">
        <v>1794</v>
      </c>
      <c r="Z582">
        <v>0</v>
      </c>
      <c r="AA582" t="s">
        <v>1794</v>
      </c>
      <c r="AB582" t="s">
        <v>1794</v>
      </c>
      <c r="AC582" t="s">
        <v>1794</v>
      </c>
      <c r="AD582" t="s">
        <v>1794</v>
      </c>
      <c r="AE582">
        <v>0</v>
      </c>
      <c r="AF582" t="s">
        <v>1794</v>
      </c>
      <c r="AG582" t="s">
        <v>1794</v>
      </c>
      <c r="AH582" t="s">
        <v>1794</v>
      </c>
    </row>
    <row r="583" spans="1:34" x14ac:dyDescent="0.25">
      <c r="A583" t="s">
        <v>1219</v>
      </c>
      <c r="B583" t="s">
        <v>1220</v>
      </c>
      <c r="C583" t="s">
        <v>463</v>
      </c>
      <c r="D583" t="s">
        <v>358</v>
      </c>
      <c r="E583" t="s">
        <v>1794</v>
      </c>
      <c r="F583" t="s">
        <v>1010</v>
      </c>
      <c r="G583" t="s">
        <v>1794</v>
      </c>
      <c r="H583" t="s">
        <v>1011</v>
      </c>
      <c r="I583" t="s">
        <v>262</v>
      </c>
      <c r="J583" t="s">
        <v>916</v>
      </c>
      <c r="K583">
        <v>1</v>
      </c>
      <c r="L583">
        <v>1</v>
      </c>
      <c r="M583" t="s">
        <v>33</v>
      </c>
      <c r="N583">
        <v>1</v>
      </c>
      <c r="O583">
        <v>1</v>
      </c>
      <c r="P583">
        <v>1</v>
      </c>
      <c r="Q583" t="s">
        <v>52</v>
      </c>
      <c r="R583">
        <v>1</v>
      </c>
      <c r="S583">
        <v>1</v>
      </c>
      <c r="T583">
        <v>1</v>
      </c>
      <c r="U583" t="s">
        <v>1794</v>
      </c>
      <c r="V583" t="s">
        <v>1794</v>
      </c>
      <c r="W583" t="s">
        <v>1794</v>
      </c>
      <c r="X583">
        <v>1</v>
      </c>
      <c r="Y583" t="s">
        <v>1794</v>
      </c>
      <c r="Z583">
        <v>0</v>
      </c>
      <c r="AA583" t="s">
        <v>1794</v>
      </c>
      <c r="AB583" t="s">
        <v>1794</v>
      </c>
      <c r="AC583" t="s">
        <v>1794</v>
      </c>
      <c r="AD583" t="s">
        <v>1794</v>
      </c>
      <c r="AE583">
        <v>0</v>
      </c>
      <c r="AF583" t="s">
        <v>1794</v>
      </c>
      <c r="AG583" t="s">
        <v>1794</v>
      </c>
      <c r="AH583" t="s">
        <v>1794</v>
      </c>
    </row>
    <row r="584" spans="1:34" x14ac:dyDescent="0.25">
      <c r="A584" t="s">
        <v>587</v>
      </c>
      <c r="B584" t="s">
        <v>1281</v>
      </c>
      <c r="C584" t="s">
        <v>463</v>
      </c>
      <c r="D584" t="s">
        <v>358</v>
      </c>
      <c r="E584" t="s">
        <v>1794</v>
      </c>
      <c r="F584" t="s">
        <v>1010</v>
      </c>
      <c r="G584" t="s">
        <v>1124</v>
      </c>
      <c r="H584" t="s">
        <v>1011</v>
      </c>
      <c r="I584" t="s">
        <v>262</v>
      </c>
      <c r="J584" t="s">
        <v>916</v>
      </c>
      <c r="K584">
        <v>1</v>
      </c>
      <c r="L584">
        <v>1</v>
      </c>
      <c r="M584" t="s">
        <v>33</v>
      </c>
      <c r="N584">
        <v>1</v>
      </c>
      <c r="O584">
        <v>1</v>
      </c>
      <c r="P584">
        <v>1</v>
      </c>
      <c r="Q584" t="s">
        <v>52</v>
      </c>
      <c r="R584">
        <v>1</v>
      </c>
      <c r="S584">
        <v>1</v>
      </c>
      <c r="T584">
        <v>1</v>
      </c>
      <c r="U584" t="s">
        <v>1794</v>
      </c>
      <c r="V584" t="s">
        <v>1794</v>
      </c>
      <c r="W584" t="s">
        <v>1794</v>
      </c>
      <c r="X584">
        <v>1</v>
      </c>
      <c r="Y584" t="s">
        <v>1794</v>
      </c>
      <c r="Z584">
        <v>0</v>
      </c>
      <c r="AA584" t="s">
        <v>1794</v>
      </c>
      <c r="AB584" t="s">
        <v>1794</v>
      </c>
      <c r="AC584" t="s">
        <v>1794</v>
      </c>
      <c r="AD584" t="s">
        <v>1794</v>
      </c>
      <c r="AE584">
        <v>0</v>
      </c>
      <c r="AF584" t="s">
        <v>1794</v>
      </c>
      <c r="AG584" t="s">
        <v>1794</v>
      </c>
      <c r="AH584" t="s">
        <v>1794</v>
      </c>
    </row>
    <row r="585" spans="1:34" x14ac:dyDescent="0.25">
      <c r="A585" t="s">
        <v>1229</v>
      </c>
      <c r="B585" t="s">
        <v>1230</v>
      </c>
      <c r="C585" t="s">
        <v>463</v>
      </c>
      <c r="D585" t="s">
        <v>358</v>
      </c>
      <c r="E585" t="s">
        <v>1794</v>
      </c>
      <c r="F585" t="s">
        <v>1010</v>
      </c>
      <c r="G585" t="s">
        <v>1124</v>
      </c>
      <c r="H585" t="s">
        <v>1011</v>
      </c>
      <c r="I585" t="s">
        <v>262</v>
      </c>
      <c r="J585" t="s">
        <v>916</v>
      </c>
      <c r="K585">
        <v>1</v>
      </c>
      <c r="L585">
        <v>1</v>
      </c>
      <c r="M585" t="s">
        <v>33</v>
      </c>
      <c r="N585">
        <v>1</v>
      </c>
      <c r="O585">
        <v>1</v>
      </c>
      <c r="P585">
        <v>1</v>
      </c>
      <c r="Q585" t="s">
        <v>52</v>
      </c>
      <c r="R585">
        <v>1</v>
      </c>
      <c r="S585">
        <v>1</v>
      </c>
      <c r="T585">
        <v>1</v>
      </c>
      <c r="U585" t="s">
        <v>1794</v>
      </c>
      <c r="V585" t="s">
        <v>1794</v>
      </c>
      <c r="W585" t="s">
        <v>1794</v>
      </c>
      <c r="X585">
        <v>1</v>
      </c>
      <c r="Y585" t="s">
        <v>1794</v>
      </c>
      <c r="Z585">
        <v>0</v>
      </c>
      <c r="AA585" t="s">
        <v>1794</v>
      </c>
      <c r="AB585" t="s">
        <v>1794</v>
      </c>
      <c r="AC585" t="s">
        <v>1794</v>
      </c>
      <c r="AD585" t="s">
        <v>1794</v>
      </c>
      <c r="AE585">
        <v>0</v>
      </c>
      <c r="AF585" t="s">
        <v>1794</v>
      </c>
      <c r="AG585" t="s">
        <v>1794</v>
      </c>
      <c r="AH585" t="s">
        <v>1794</v>
      </c>
    </row>
    <row r="586" spans="1:34" x14ac:dyDescent="0.25">
      <c r="A586" t="s">
        <v>1445</v>
      </c>
      <c r="B586" t="s">
        <v>1446</v>
      </c>
      <c r="C586" t="s">
        <v>463</v>
      </c>
      <c r="D586" t="s">
        <v>358</v>
      </c>
      <c r="E586" t="s">
        <v>1794</v>
      </c>
      <c r="F586" t="s">
        <v>1010</v>
      </c>
      <c r="G586" t="s">
        <v>1124</v>
      </c>
      <c r="H586" t="s">
        <v>1011</v>
      </c>
      <c r="I586" t="s">
        <v>262</v>
      </c>
      <c r="J586" t="s">
        <v>916</v>
      </c>
      <c r="K586">
        <v>1</v>
      </c>
      <c r="L586">
        <v>1</v>
      </c>
      <c r="M586" t="s">
        <v>33</v>
      </c>
      <c r="N586">
        <v>1</v>
      </c>
      <c r="O586">
        <v>1</v>
      </c>
      <c r="P586">
        <v>1</v>
      </c>
      <c r="Q586" t="s">
        <v>52</v>
      </c>
      <c r="R586">
        <v>1</v>
      </c>
      <c r="S586">
        <v>1</v>
      </c>
      <c r="T586">
        <v>1</v>
      </c>
      <c r="U586" t="s">
        <v>1794</v>
      </c>
      <c r="V586" t="s">
        <v>1794</v>
      </c>
      <c r="W586" t="s">
        <v>1794</v>
      </c>
      <c r="X586">
        <v>1</v>
      </c>
      <c r="Y586" t="s">
        <v>1794</v>
      </c>
      <c r="Z586">
        <v>0</v>
      </c>
      <c r="AA586" t="s">
        <v>1794</v>
      </c>
      <c r="AB586" t="s">
        <v>1794</v>
      </c>
      <c r="AC586" t="s">
        <v>1794</v>
      </c>
      <c r="AD586" t="s">
        <v>1794</v>
      </c>
      <c r="AE586">
        <v>0</v>
      </c>
      <c r="AF586" t="s">
        <v>1794</v>
      </c>
      <c r="AG586" t="s">
        <v>1794</v>
      </c>
      <c r="AH586" t="s">
        <v>1794</v>
      </c>
    </row>
    <row r="587" spans="1:34" x14ac:dyDescent="0.25">
      <c r="A587" t="s">
        <v>1464</v>
      </c>
      <c r="B587" t="s">
        <v>1465</v>
      </c>
      <c r="C587" t="s">
        <v>463</v>
      </c>
      <c r="D587" t="s">
        <v>358</v>
      </c>
      <c r="E587" t="s">
        <v>1794</v>
      </c>
      <c r="F587" t="s">
        <v>1010</v>
      </c>
      <c r="G587" t="s">
        <v>1124</v>
      </c>
      <c r="H587" t="s">
        <v>1011</v>
      </c>
      <c r="I587" t="s">
        <v>262</v>
      </c>
      <c r="J587" t="s">
        <v>916</v>
      </c>
      <c r="K587">
        <v>1</v>
      </c>
      <c r="L587">
        <v>1</v>
      </c>
      <c r="M587" t="s">
        <v>33</v>
      </c>
      <c r="N587">
        <v>1</v>
      </c>
      <c r="O587">
        <v>1</v>
      </c>
      <c r="P587">
        <v>1</v>
      </c>
      <c r="Q587" t="s">
        <v>52</v>
      </c>
      <c r="R587">
        <v>1</v>
      </c>
      <c r="S587">
        <v>1</v>
      </c>
      <c r="T587">
        <v>1</v>
      </c>
      <c r="U587" t="s">
        <v>1794</v>
      </c>
      <c r="V587" t="s">
        <v>1794</v>
      </c>
      <c r="W587" t="s">
        <v>1794</v>
      </c>
      <c r="X587">
        <v>1</v>
      </c>
      <c r="Y587" t="s">
        <v>1794</v>
      </c>
      <c r="Z587">
        <v>0</v>
      </c>
      <c r="AA587" t="s">
        <v>1794</v>
      </c>
      <c r="AB587" t="s">
        <v>1794</v>
      </c>
      <c r="AC587" t="s">
        <v>1794</v>
      </c>
      <c r="AD587" t="s">
        <v>1794</v>
      </c>
      <c r="AE587">
        <v>0</v>
      </c>
      <c r="AF587" t="s">
        <v>1794</v>
      </c>
      <c r="AG587" t="s">
        <v>1794</v>
      </c>
      <c r="AH587" t="s">
        <v>1794</v>
      </c>
    </row>
    <row r="588" spans="1:34" x14ac:dyDescent="0.25">
      <c r="A588" t="s">
        <v>1219</v>
      </c>
      <c r="B588" t="s">
        <v>1220</v>
      </c>
      <c r="C588" t="s">
        <v>463</v>
      </c>
      <c r="D588" t="s">
        <v>358</v>
      </c>
      <c r="E588" t="s">
        <v>1794</v>
      </c>
      <c r="F588" t="s">
        <v>1012</v>
      </c>
      <c r="G588" t="s">
        <v>1794</v>
      </c>
      <c r="H588" t="s">
        <v>1013</v>
      </c>
      <c r="I588" t="s">
        <v>262</v>
      </c>
      <c r="J588" t="s">
        <v>916</v>
      </c>
      <c r="K588">
        <v>1</v>
      </c>
      <c r="L588">
        <v>1</v>
      </c>
      <c r="M588" t="s">
        <v>33</v>
      </c>
      <c r="N588">
        <v>1</v>
      </c>
      <c r="O588">
        <v>1</v>
      </c>
      <c r="P588">
        <v>1</v>
      </c>
      <c r="Q588" t="s">
        <v>52</v>
      </c>
      <c r="R588">
        <v>1</v>
      </c>
      <c r="S588">
        <v>1</v>
      </c>
      <c r="T588">
        <v>1</v>
      </c>
      <c r="U588" t="s">
        <v>1794</v>
      </c>
      <c r="V588" t="s">
        <v>1794</v>
      </c>
      <c r="W588" t="s">
        <v>1794</v>
      </c>
      <c r="X588">
        <v>1</v>
      </c>
      <c r="Y588" t="s">
        <v>1794</v>
      </c>
      <c r="Z588">
        <v>0</v>
      </c>
      <c r="AA588" t="s">
        <v>1794</v>
      </c>
      <c r="AB588" t="s">
        <v>1794</v>
      </c>
      <c r="AC588" t="s">
        <v>1794</v>
      </c>
      <c r="AD588" t="s">
        <v>1794</v>
      </c>
      <c r="AE588">
        <v>0</v>
      </c>
      <c r="AF588" t="s">
        <v>1794</v>
      </c>
      <c r="AG588" t="s">
        <v>1794</v>
      </c>
      <c r="AH588" t="s">
        <v>1794</v>
      </c>
    </row>
    <row r="589" spans="1:34" ht="33.75" customHeight="1" x14ac:dyDescent="0.25">
      <c r="A589" t="s">
        <v>587</v>
      </c>
      <c r="B589" t="s">
        <v>1281</v>
      </c>
      <c r="C589" t="s">
        <v>463</v>
      </c>
      <c r="D589" t="s">
        <v>358</v>
      </c>
      <c r="E589" t="s">
        <v>1794</v>
      </c>
      <c r="F589" t="s">
        <v>1012</v>
      </c>
      <c r="G589" t="s">
        <v>1124</v>
      </c>
      <c r="H589" t="s">
        <v>1013</v>
      </c>
      <c r="I589" t="s">
        <v>262</v>
      </c>
      <c r="J589" t="s">
        <v>916</v>
      </c>
      <c r="K589">
        <v>1</v>
      </c>
      <c r="L589">
        <v>1</v>
      </c>
      <c r="M589" t="s">
        <v>33</v>
      </c>
      <c r="N589">
        <v>1</v>
      </c>
      <c r="O589">
        <v>1</v>
      </c>
      <c r="P589">
        <v>1</v>
      </c>
      <c r="Q589" t="s">
        <v>52</v>
      </c>
      <c r="R589">
        <v>1</v>
      </c>
      <c r="S589">
        <v>1</v>
      </c>
      <c r="T589">
        <v>1</v>
      </c>
      <c r="U589" t="s">
        <v>1794</v>
      </c>
      <c r="V589" t="s">
        <v>1794</v>
      </c>
      <c r="W589" t="s">
        <v>1794</v>
      </c>
      <c r="X589">
        <v>1</v>
      </c>
      <c r="Y589" t="s">
        <v>1794</v>
      </c>
      <c r="Z589">
        <v>0</v>
      </c>
      <c r="AA589" t="s">
        <v>1794</v>
      </c>
      <c r="AB589" t="s">
        <v>1794</v>
      </c>
      <c r="AC589" t="s">
        <v>1794</v>
      </c>
      <c r="AD589" t="s">
        <v>1794</v>
      </c>
      <c r="AE589">
        <v>0</v>
      </c>
      <c r="AF589" t="s">
        <v>1794</v>
      </c>
      <c r="AG589" t="s">
        <v>1794</v>
      </c>
      <c r="AH589" t="s">
        <v>1794</v>
      </c>
    </row>
    <row r="590" spans="1:34" x14ac:dyDescent="0.25">
      <c r="A590" t="s">
        <v>1229</v>
      </c>
      <c r="B590" t="s">
        <v>1230</v>
      </c>
      <c r="C590" t="s">
        <v>463</v>
      </c>
      <c r="D590" t="s">
        <v>358</v>
      </c>
      <c r="E590" t="s">
        <v>1794</v>
      </c>
      <c r="F590" t="s">
        <v>1012</v>
      </c>
      <c r="G590" t="s">
        <v>1124</v>
      </c>
      <c r="H590" t="s">
        <v>1013</v>
      </c>
      <c r="I590" t="s">
        <v>262</v>
      </c>
      <c r="J590" t="s">
        <v>916</v>
      </c>
      <c r="K590">
        <v>1</v>
      </c>
      <c r="L590">
        <v>1</v>
      </c>
      <c r="M590" t="s">
        <v>33</v>
      </c>
      <c r="N590">
        <v>1</v>
      </c>
      <c r="O590">
        <v>1</v>
      </c>
      <c r="P590">
        <v>1</v>
      </c>
      <c r="Q590" t="s">
        <v>52</v>
      </c>
      <c r="R590">
        <v>1</v>
      </c>
      <c r="S590">
        <v>1</v>
      </c>
      <c r="T590">
        <v>1</v>
      </c>
      <c r="U590" t="s">
        <v>1794</v>
      </c>
      <c r="V590" t="s">
        <v>1794</v>
      </c>
      <c r="W590" t="s">
        <v>1794</v>
      </c>
      <c r="X590">
        <v>1</v>
      </c>
      <c r="Y590" t="s">
        <v>1794</v>
      </c>
      <c r="Z590">
        <v>0</v>
      </c>
      <c r="AA590" t="s">
        <v>1794</v>
      </c>
      <c r="AB590" t="s">
        <v>1794</v>
      </c>
      <c r="AC590" t="s">
        <v>1794</v>
      </c>
      <c r="AD590" t="s">
        <v>1794</v>
      </c>
      <c r="AE590">
        <v>0</v>
      </c>
      <c r="AF590" t="s">
        <v>1794</v>
      </c>
      <c r="AG590" t="s">
        <v>1794</v>
      </c>
      <c r="AH590" t="s">
        <v>1794</v>
      </c>
    </row>
    <row r="591" spans="1:34" x14ac:dyDescent="0.25">
      <c r="A591" t="s">
        <v>1445</v>
      </c>
      <c r="B591" t="s">
        <v>1446</v>
      </c>
      <c r="C591" t="s">
        <v>463</v>
      </c>
      <c r="D591" t="s">
        <v>358</v>
      </c>
      <c r="E591" t="s">
        <v>1794</v>
      </c>
      <c r="F591" t="s">
        <v>1012</v>
      </c>
      <c r="G591" t="s">
        <v>1124</v>
      </c>
      <c r="H591" t="s">
        <v>1013</v>
      </c>
      <c r="I591" t="s">
        <v>262</v>
      </c>
      <c r="J591" t="s">
        <v>916</v>
      </c>
      <c r="K591">
        <v>1</v>
      </c>
      <c r="L591">
        <v>1</v>
      </c>
      <c r="M591" t="s">
        <v>33</v>
      </c>
      <c r="N591">
        <v>1</v>
      </c>
      <c r="O591">
        <v>1</v>
      </c>
      <c r="P591">
        <v>1</v>
      </c>
      <c r="Q591" t="s">
        <v>52</v>
      </c>
      <c r="R591">
        <v>1</v>
      </c>
      <c r="S591">
        <v>1</v>
      </c>
      <c r="T591">
        <v>1</v>
      </c>
      <c r="U591" t="s">
        <v>1794</v>
      </c>
      <c r="V591" t="s">
        <v>1794</v>
      </c>
      <c r="W591" t="s">
        <v>1794</v>
      </c>
      <c r="X591">
        <v>1</v>
      </c>
      <c r="Y591" t="s">
        <v>1794</v>
      </c>
      <c r="Z591">
        <v>0</v>
      </c>
      <c r="AA591" t="s">
        <v>1794</v>
      </c>
      <c r="AB591" t="s">
        <v>1794</v>
      </c>
      <c r="AC591" t="s">
        <v>1794</v>
      </c>
      <c r="AD591" t="s">
        <v>1794</v>
      </c>
      <c r="AE591">
        <v>0</v>
      </c>
      <c r="AF591" t="s">
        <v>1794</v>
      </c>
      <c r="AG591" t="s">
        <v>1794</v>
      </c>
      <c r="AH591" t="s">
        <v>1794</v>
      </c>
    </row>
    <row r="592" spans="1:34" x14ac:dyDescent="0.25">
      <c r="A592" t="s">
        <v>1219</v>
      </c>
      <c r="B592" t="s">
        <v>1220</v>
      </c>
      <c r="C592" t="s">
        <v>463</v>
      </c>
      <c r="D592" t="s">
        <v>358</v>
      </c>
      <c r="E592" t="s">
        <v>1794</v>
      </c>
      <c r="F592" t="s">
        <v>1014</v>
      </c>
      <c r="G592" t="s">
        <v>1794</v>
      </c>
      <c r="H592" t="s">
        <v>1015</v>
      </c>
      <c r="I592" t="s">
        <v>262</v>
      </c>
      <c r="J592" t="s">
        <v>916</v>
      </c>
      <c r="K592">
        <v>1</v>
      </c>
      <c r="L592">
        <v>1</v>
      </c>
      <c r="M592" t="s">
        <v>33</v>
      </c>
      <c r="N592">
        <v>1</v>
      </c>
      <c r="O592">
        <v>1</v>
      </c>
      <c r="P592">
        <v>1</v>
      </c>
      <c r="Q592" t="s">
        <v>52</v>
      </c>
      <c r="R592">
        <v>1</v>
      </c>
      <c r="S592">
        <v>1</v>
      </c>
      <c r="T592">
        <v>1</v>
      </c>
      <c r="U592" t="s">
        <v>1794</v>
      </c>
      <c r="V592" t="s">
        <v>1794</v>
      </c>
      <c r="W592" t="s">
        <v>1794</v>
      </c>
      <c r="X592">
        <v>1</v>
      </c>
      <c r="Y592" t="s">
        <v>1794</v>
      </c>
      <c r="Z592">
        <v>0</v>
      </c>
      <c r="AA592" t="s">
        <v>1794</v>
      </c>
      <c r="AB592" t="s">
        <v>1794</v>
      </c>
      <c r="AC592" t="s">
        <v>1794</v>
      </c>
      <c r="AD592" t="s">
        <v>1794</v>
      </c>
      <c r="AE592">
        <v>0</v>
      </c>
      <c r="AF592" t="s">
        <v>1794</v>
      </c>
      <c r="AG592" t="s">
        <v>1794</v>
      </c>
      <c r="AH592" t="s">
        <v>1794</v>
      </c>
    </row>
    <row r="593" spans="1:34" ht="60" customHeight="1" x14ac:dyDescent="0.25">
      <c r="A593" t="s">
        <v>587</v>
      </c>
      <c r="B593" t="s">
        <v>1281</v>
      </c>
      <c r="C593" t="s">
        <v>463</v>
      </c>
      <c r="D593" t="s">
        <v>358</v>
      </c>
      <c r="E593" t="s">
        <v>1794</v>
      </c>
      <c r="F593" t="s">
        <v>1014</v>
      </c>
      <c r="G593" t="s">
        <v>1124</v>
      </c>
      <c r="H593" t="s">
        <v>1015</v>
      </c>
      <c r="I593" t="s">
        <v>262</v>
      </c>
      <c r="J593" t="s">
        <v>916</v>
      </c>
      <c r="K593">
        <v>1</v>
      </c>
      <c r="L593">
        <v>1</v>
      </c>
      <c r="M593" t="s">
        <v>33</v>
      </c>
      <c r="N593">
        <v>1</v>
      </c>
      <c r="O593">
        <v>1</v>
      </c>
      <c r="P593">
        <v>1</v>
      </c>
      <c r="Q593" t="s">
        <v>52</v>
      </c>
      <c r="R593">
        <v>1</v>
      </c>
      <c r="S593">
        <v>1</v>
      </c>
      <c r="T593">
        <v>1</v>
      </c>
      <c r="U593" t="s">
        <v>1794</v>
      </c>
      <c r="V593" t="s">
        <v>1794</v>
      </c>
      <c r="W593" t="s">
        <v>1794</v>
      </c>
      <c r="X593">
        <v>1</v>
      </c>
      <c r="Y593" t="s">
        <v>1794</v>
      </c>
      <c r="Z593">
        <v>0</v>
      </c>
      <c r="AA593" t="s">
        <v>1794</v>
      </c>
      <c r="AB593" t="s">
        <v>1794</v>
      </c>
      <c r="AC593" t="s">
        <v>1794</v>
      </c>
      <c r="AD593" t="s">
        <v>1794</v>
      </c>
      <c r="AE593">
        <v>0</v>
      </c>
      <c r="AF593" t="s">
        <v>1794</v>
      </c>
      <c r="AG593" t="s">
        <v>1794</v>
      </c>
      <c r="AH593" t="s">
        <v>1794</v>
      </c>
    </row>
    <row r="594" spans="1:34" x14ac:dyDescent="0.25">
      <c r="A594" t="s">
        <v>1229</v>
      </c>
      <c r="B594" t="s">
        <v>1230</v>
      </c>
      <c r="C594" t="s">
        <v>463</v>
      </c>
      <c r="D594" t="s">
        <v>358</v>
      </c>
      <c r="E594" t="s">
        <v>1794</v>
      </c>
      <c r="F594" t="s">
        <v>1014</v>
      </c>
      <c r="G594" t="s">
        <v>1124</v>
      </c>
      <c r="H594" t="s">
        <v>1015</v>
      </c>
      <c r="I594" t="s">
        <v>262</v>
      </c>
      <c r="J594" t="s">
        <v>916</v>
      </c>
      <c r="K594">
        <v>1</v>
      </c>
      <c r="L594">
        <v>1</v>
      </c>
      <c r="M594" t="s">
        <v>33</v>
      </c>
      <c r="N594">
        <v>1</v>
      </c>
      <c r="O594">
        <v>1</v>
      </c>
      <c r="P594">
        <v>1</v>
      </c>
      <c r="Q594" t="s">
        <v>52</v>
      </c>
      <c r="R594">
        <v>1</v>
      </c>
      <c r="S594">
        <v>1</v>
      </c>
      <c r="T594">
        <v>1</v>
      </c>
      <c r="U594" t="s">
        <v>1794</v>
      </c>
      <c r="V594" t="s">
        <v>1794</v>
      </c>
      <c r="W594" t="s">
        <v>1794</v>
      </c>
      <c r="X594">
        <v>1</v>
      </c>
      <c r="Y594" t="s">
        <v>1794</v>
      </c>
      <c r="Z594">
        <v>0</v>
      </c>
      <c r="AA594" t="s">
        <v>1794</v>
      </c>
      <c r="AB594" t="s">
        <v>1794</v>
      </c>
      <c r="AC594" t="s">
        <v>1794</v>
      </c>
      <c r="AD594" t="s">
        <v>1794</v>
      </c>
      <c r="AE594">
        <v>0</v>
      </c>
      <c r="AF594" t="s">
        <v>1794</v>
      </c>
      <c r="AG594" t="s">
        <v>1794</v>
      </c>
      <c r="AH594" t="s">
        <v>1794</v>
      </c>
    </row>
    <row r="595" spans="1:34" x14ac:dyDescent="0.25">
      <c r="A595" t="s">
        <v>1445</v>
      </c>
      <c r="B595" t="s">
        <v>1446</v>
      </c>
      <c r="C595" t="s">
        <v>463</v>
      </c>
      <c r="D595" t="s">
        <v>358</v>
      </c>
      <c r="E595" t="s">
        <v>1794</v>
      </c>
      <c r="F595" t="s">
        <v>1014</v>
      </c>
      <c r="G595" t="s">
        <v>1124</v>
      </c>
      <c r="H595" t="s">
        <v>1015</v>
      </c>
      <c r="I595" t="s">
        <v>262</v>
      </c>
      <c r="J595" t="s">
        <v>916</v>
      </c>
      <c r="K595">
        <v>1</v>
      </c>
      <c r="L595">
        <v>1</v>
      </c>
      <c r="M595" t="s">
        <v>33</v>
      </c>
      <c r="N595">
        <v>1</v>
      </c>
      <c r="O595">
        <v>1</v>
      </c>
      <c r="P595">
        <v>1</v>
      </c>
      <c r="Q595" t="s">
        <v>52</v>
      </c>
      <c r="R595">
        <v>1</v>
      </c>
      <c r="S595">
        <v>1</v>
      </c>
      <c r="T595">
        <v>1</v>
      </c>
      <c r="U595" t="s">
        <v>1794</v>
      </c>
      <c r="V595" t="s">
        <v>1794</v>
      </c>
      <c r="W595" t="s">
        <v>1794</v>
      </c>
      <c r="X595">
        <v>1</v>
      </c>
      <c r="Y595" t="s">
        <v>1794</v>
      </c>
      <c r="Z595">
        <v>0</v>
      </c>
      <c r="AA595" t="s">
        <v>1794</v>
      </c>
      <c r="AB595" t="s">
        <v>1794</v>
      </c>
      <c r="AC595" t="s">
        <v>1794</v>
      </c>
      <c r="AD595" t="s">
        <v>1794</v>
      </c>
      <c r="AE595">
        <v>0</v>
      </c>
      <c r="AF595" t="s">
        <v>1794</v>
      </c>
      <c r="AG595" t="s">
        <v>1794</v>
      </c>
      <c r="AH595" t="s">
        <v>1794</v>
      </c>
    </row>
    <row r="596" spans="1:34" x14ac:dyDescent="0.25">
      <c r="A596" t="s">
        <v>1219</v>
      </c>
      <c r="B596" t="s">
        <v>1220</v>
      </c>
      <c r="C596" t="s">
        <v>463</v>
      </c>
      <c r="D596" t="s">
        <v>358</v>
      </c>
      <c r="E596" t="s">
        <v>1794</v>
      </c>
      <c r="F596" t="s">
        <v>1016</v>
      </c>
      <c r="G596" t="s">
        <v>1794</v>
      </c>
      <c r="H596" t="s">
        <v>1017</v>
      </c>
      <c r="I596" t="s">
        <v>262</v>
      </c>
      <c r="J596" t="s">
        <v>916</v>
      </c>
      <c r="K596">
        <v>1</v>
      </c>
      <c r="L596">
        <v>1</v>
      </c>
      <c r="M596" t="s">
        <v>33</v>
      </c>
      <c r="N596">
        <v>1</v>
      </c>
      <c r="O596">
        <v>1</v>
      </c>
      <c r="P596">
        <v>1</v>
      </c>
      <c r="Q596" t="s">
        <v>52</v>
      </c>
      <c r="R596">
        <v>1</v>
      </c>
      <c r="S596">
        <v>1</v>
      </c>
      <c r="T596">
        <v>1</v>
      </c>
      <c r="U596" t="s">
        <v>1794</v>
      </c>
      <c r="V596" t="s">
        <v>1794</v>
      </c>
      <c r="W596" t="s">
        <v>1794</v>
      </c>
      <c r="X596">
        <v>1</v>
      </c>
      <c r="Y596" t="s">
        <v>1794</v>
      </c>
      <c r="Z596">
        <v>0</v>
      </c>
      <c r="AA596" t="s">
        <v>1794</v>
      </c>
      <c r="AB596" t="s">
        <v>1794</v>
      </c>
      <c r="AC596" t="s">
        <v>1794</v>
      </c>
      <c r="AD596" t="s">
        <v>1794</v>
      </c>
      <c r="AE596">
        <v>0</v>
      </c>
      <c r="AF596" t="s">
        <v>1794</v>
      </c>
      <c r="AG596" t="s">
        <v>1794</v>
      </c>
      <c r="AH596" t="s">
        <v>1794</v>
      </c>
    </row>
    <row r="597" spans="1:34" x14ac:dyDescent="0.25">
      <c r="A597" t="s">
        <v>587</v>
      </c>
      <c r="B597" t="s">
        <v>1281</v>
      </c>
      <c r="C597" t="s">
        <v>463</v>
      </c>
      <c r="D597" t="s">
        <v>358</v>
      </c>
      <c r="E597" t="s">
        <v>1794</v>
      </c>
      <c r="F597" t="s">
        <v>1016</v>
      </c>
      <c r="G597" t="s">
        <v>1124</v>
      </c>
      <c r="H597" t="s">
        <v>1017</v>
      </c>
      <c r="I597" t="s">
        <v>262</v>
      </c>
      <c r="J597" t="s">
        <v>916</v>
      </c>
      <c r="K597">
        <v>1</v>
      </c>
      <c r="L597">
        <v>1</v>
      </c>
      <c r="M597" t="s">
        <v>33</v>
      </c>
      <c r="N597">
        <v>1</v>
      </c>
      <c r="O597">
        <v>1</v>
      </c>
      <c r="P597">
        <v>1</v>
      </c>
      <c r="Q597" t="s">
        <v>52</v>
      </c>
      <c r="R597">
        <v>1</v>
      </c>
      <c r="S597">
        <v>1</v>
      </c>
      <c r="T597">
        <v>1</v>
      </c>
      <c r="U597" t="s">
        <v>1794</v>
      </c>
      <c r="V597" t="s">
        <v>1794</v>
      </c>
      <c r="W597" t="s">
        <v>1794</v>
      </c>
      <c r="X597">
        <v>1</v>
      </c>
      <c r="Y597" t="s">
        <v>1794</v>
      </c>
      <c r="Z597">
        <v>0</v>
      </c>
      <c r="AA597" t="s">
        <v>1794</v>
      </c>
      <c r="AB597" t="s">
        <v>1794</v>
      </c>
      <c r="AC597" t="s">
        <v>1794</v>
      </c>
      <c r="AD597" t="s">
        <v>1794</v>
      </c>
      <c r="AE597">
        <v>0</v>
      </c>
      <c r="AF597" t="s">
        <v>1794</v>
      </c>
      <c r="AG597" t="s">
        <v>1794</v>
      </c>
      <c r="AH597" t="s">
        <v>1794</v>
      </c>
    </row>
    <row r="598" spans="1:34" ht="75" customHeight="1" x14ac:dyDescent="0.25">
      <c r="A598" t="s">
        <v>1229</v>
      </c>
      <c r="B598" t="s">
        <v>1230</v>
      </c>
      <c r="C598" t="s">
        <v>463</v>
      </c>
      <c r="D598" t="s">
        <v>358</v>
      </c>
      <c r="E598" t="s">
        <v>1794</v>
      </c>
      <c r="F598" t="s">
        <v>1016</v>
      </c>
      <c r="G598" t="s">
        <v>1124</v>
      </c>
      <c r="H598" t="s">
        <v>1017</v>
      </c>
      <c r="I598" t="s">
        <v>262</v>
      </c>
      <c r="J598" t="s">
        <v>916</v>
      </c>
      <c r="K598">
        <v>1</v>
      </c>
      <c r="L598">
        <v>1</v>
      </c>
      <c r="M598" t="s">
        <v>33</v>
      </c>
      <c r="N598">
        <v>1</v>
      </c>
      <c r="O598">
        <v>1</v>
      </c>
      <c r="P598">
        <v>1</v>
      </c>
      <c r="Q598" t="s">
        <v>52</v>
      </c>
      <c r="R598">
        <v>1</v>
      </c>
      <c r="S598">
        <v>1</v>
      </c>
      <c r="T598">
        <v>1</v>
      </c>
      <c r="U598" t="s">
        <v>1794</v>
      </c>
      <c r="V598" t="s">
        <v>1794</v>
      </c>
      <c r="W598" t="s">
        <v>1794</v>
      </c>
      <c r="X598">
        <v>1</v>
      </c>
      <c r="Y598" t="s">
        <v>1794</v>
      </c>
      <c r="Z598">
        <v>0</v>
      </c>
      <c r="AA598" t="s">
        <v>1794</v>
      </c>
      <c r="AB598" t="s">
        <v>1794</v>
      </c>
      <c r="AC598" t="s">
        <v>1794</v>
      </c>
      <c r="AD598" t="s">
        <v>1794</v>
      </c>
      <c r="AE598">
        <v>0</v>
      </c>
      <c r="AF598" t="s">
        <v>1794</v>
      </c>
      <c r="AG598" t="s">
        <v>1794</v>
      </c>
      <c r="AH598" t="s">
        <v>1794</v>
      </c>
    </row>
    <row r="599" spans="1:34" x14ac:dyDescent="0.25">
      <c r="A599" t="s">
        <v>1445</v>
      </c>
      <c r="B599" t="s">
        <v>1446</v>
      </c>
      <c r="C599" t="s">
        <v>463</v>
      </c>
      <c r="D599" t="s">
        <v>358</v>
      </c>
      <c r="E599" t="s">
        <v>1794</v>
      </c>
      <c r="F599" t="s">
        <v>1016</v>
      </c>
      <c r="G599" t="s">
        <v>1124</v>
      </c>
      <c r="H599" t="s">
        <v>1017</v>
      </c>
      <c r="I599" t="s">
        <v>262</v>
      </c>
      <c r="J599" t="s">
        <v>916</v>
      </c>
      <c r="K599">
        <v>1</v>
      </c>
      <c r="L599">
        <v>1</v>
      </c>
      <c r="M599" t="s">
        <v>33</v>
      </c>
      <c r="N599">
        <v>1</v>
      </c>
      <c r="O599">
        <v>1</v>
      </c>
      <c r="P599">
        <v>1</v>
      </c>
      <c r="Q599" t="s">
        <v>52</v>
      </c>
      <c r="R599">
        <v>1</v>
      </c>
      <c r="S599">
        <v>1</v>
      </c>
      <c r="T599">
        <v>1</v>
      </c>
      <c r="U599" t="s">
        <v>1794</v>
      </c>
      <c r="V599" t="s">
        <v>1794</v>
      </c>
      <c r="W599" t="s">
        <v>1794</v>
      </c>
      <c r="X599">
        <v>1</v>
      </c>
      <c r="Y599" t="s">
        <v>1794</v>
      </c>
      <c r="Z599">
        <v>0</v>
      </c>
      <c r="AA599" t="s">
        <v>1794</v>
      </c>
      <c r="AB599" t="s">
        <v>1794</v>
      </c>
      <c r="AC599" t="s">
        <v>1794</v>
      </c>
      <c r="AD599" t="s">
        <v>1794</v>
      </c>
      <c r="AE599">
        <v>0</v>
      </c>
      <c r="AF599" t="s">
        <v>1794</v>
      </c>
      <c r="AG599" t="s">
        <v>1794</v>
      </c>
      <c r="AH599" t="s">
        <v>1794</v>
      </c>
    </row>
    <row r="600" spans="1:34" x14ac:dyDescent="0.25">
      <c r="A600" t="s">
        <v>1219</v>
      </c>
      <c r="B600" t="s">
        <v>1220</v>
      </c>
      <c r="C600" t="s">
        <v>463</v>
      </c>
      <c r="D600" t="s">
        <v>358</v>
      </c>
      <c r="E600" t="s">
        <v>1794</v>
      </c>
      <c r="F600" t="s">
        <v>1018</v>
      </c>
      <c r="G600" t="s">
        <v>1794</v>
      </c>
      <c r="H600" t="s">
        <v>1019</v>
      </c>
      <c r="I600" t="s">
        <v>262</v>
      </c>
      <c r="J600" t="s">
        <v>916</v>
      </c>
      <c r="K600">
        <v>1</v>
      </c>
      <c r="L600">
        <v>1</v>
      </c>
      <c r="M600" t="s">
        <v>33</v>
      </c>
      <c r="N600">
        <v>1</v>
      </c>
      <c r="O600">
        <v>1</v>
      </c>
      <c r="P600">
        <v>1</v>
      </c>
      <c r="Q600" t="s">
        <v>52</v>
      </c>
      <c r="R600">
        <v>1</v>
      </c>
      <c r="S600">
        <v>1</v>
      </c>
      <c r="T600">
        <v>1</v>
      </c>
      <c r="U600" t="s">
        <v>1794</v>
      </c>
      <c r="V600" t="s">
        <v>1794</v>
      </c>
      <c r="W600" t="s">
        <v>1794</v>
      </c>
      <c r="X600">
        <v>1</v>
      </c>
      <c r="Y600" t="s">
        <v>1794</v>
      </c>
      <c r="Z600">
        <v>0</v>
      </c>
      <c r="AA600" t="s">
        <v>1794</v>
      </c>
      <c r="AB600" t="s">
        <v>1794</v>
      </c>
      <c r="AC600" t="s">
        <v>1794</v>
      </c>
      <c r="AD600" t="s">
        <v>1794</v>
      </c>
      <c r="AE600">
        <v>0</v>
      </c>
      <c r="AF600" t="s">
        <v>1794</v>
      </c>
      <c r="AG600" t="s">
        <v>1794</v>
      </c>
      <c r="AH600" t="s">
        <v>1794</v>
      </c>
    </row>
    <row r="601" spans="1:34" x14ac:dyDescent="0.25">
      <c r="A601" t="s">
        <v>587</v>
      </c>
      <c r="B601" t="s">
        <v>1281</v>
      </c>
      <c r="C601" t="s">
        <v>463</v>
      </c>
      <c r="D601" t="s">
        <v>358</v>
      </c>
      <c r="E601" t="s">
        <v>1794</v>
      </c>
      <c r="F601" t="s">
        <v>1018</v>
      </c>
      <c r="G601" t="s">
        <v>1124</v>
      </c>
      <c r="H601" t="s">
        <v>1019</v>
      </c>
      <c r="I601" t="s">
        <v>262</v>
      </c>
      <c r="J601" t="s">
        <v>916</v>
      </c>
      <c r="K601">
        <v>1</v>
      </c>
      <c r="L601">
        <v>1</v>
      </c>
      <c r="M601" t="s">
        <v>33</v>
      </c>
      <c r="N601">
        <v>1</v>
      </c>
      <c r="O601">
        <v>1</v>
      </c>
      <c r="P601">
        <v>1</v>
      </c>
      <c r="Q601" t="s">
        <v>52</v>
      </c>
      <c r="R601">
        <v>1</v>
      </c>
      <c r="S601">
        <v>1</v>
      </c>
      <c r="T601">
        <v>1</v>
      </c>
      <c r="U601" t="s">
        <v>1794</v>
      </c>
      <c r="V601" t="s">
        <v>1794</v>
      </c>
      <c r="W601" t="s">
        <v>1794</v>
      </c>
      <c r="X601">
        <v>1</v>
      </c>
      <c r="Y601" t="s">
        <v>1794</v>
      </c>
      <c r="Z601">
        <v>0</v>
      </c>
      <c r="AA601" t="s">
        <v>1794</v>
      </c>
      <c r="AB601" t="s">
        <v>1794</v>
      </c>
      <c r="AC601" t="s">
        <v>1794</v>
      </c>
      <c r="AD601" t="s">
        <v>1794</v>
      </c>
      <c r="AE601">
        <v>0</v>
      </c>
      <c r="AF601" t="s">
        <v>1794</v>
      </c>
      <c r="AG601" t="s">
        <v>1794</v>
      </c>
      <c r="AH601" t="s">
        <v>1794</v>
      </c>
    </row>
    <row r="602" spans="1:34" x14ac:dyDescent="0.25">
      <c r="A602" t="s">
        <v>1229</v>
      </c>
      <c r="B602" t="s">
        <v>1230</v>
      </c>
      <c r="C602" t="s">
        <v>463</v>
      </c>
      <c r="D602" t="s">
        <v>358</v>
      </c>
      <c r="E602" t="s">
        <v>1794</v>
      </c>
      <c r="F602" t="s">
        <v>1018</v>
      </c>
      <c r="G602" t="s">
        <v>1124</v>
      </c>
      <c r="H602" t="s">
        <v>1019</v>
      </c>
      <c r="I602" t="s">
        <v>262</v>
      </c>
      <c r="J602" t="s">
        <v>916</v>
      </c>
      <c r="K602">
        <v>1</v>
      </c>
      <c r="L602">
        <v>1</v>
      </c>
      <c r="M602" t="s">
        <v>33</v>
      </c>
      <c r="N602">
        <v>1</v>
      </c>
      <c r="O602">
        <v>1</v>
      </c>
      <c r="P602">
        <v>1</v>
      </c>
      <c r="Q602" t="s">
        <v>52</v>
      </c>
      <c r="R602">
        <v>1</v>
      </c>
      <c r="S602">
        <v>1</v>
      </c>
      <c r="T602">
        <v>1</v>
      </c>
      <c r="U602" t="s">
        <v>1794</v>
      </c>
      <c r="V602" t="s">
        <v>1794</v>
      </c>
      <c r="W602" t="s">
        <v>1794</v>
      </c>
      <c r="X602">
        <v>1</v>
      </c>
      <c r="Y602" t="s">
        <v>1794</v>
      </c>
      <c r="Z602">
        <v>0</v>
      </c>
      <c r="AA602" t="s">
        <v>1794</v>
      </c>
      <c r="AB602" t="s">
        <v>1794</v>
      </c>
      <c r="AC602" t="s">
        <v>1794</v>
      </c>
      <c r="AD602" t="s">
        <v>1794</v>
      </c>
      <c r="AE602">
        <v>0</v>
      </c>
      <c r="AF602" t="s">
        <v>1794</v>
      </c>
      <c r="AG602" t="s">
        <v>1794</v>
      </c>
      <c r="AH602" t="s">
        <v>1794</v>
      </c>
    </row>
    <row r="603" spans="1:34" x14ac:dyDescent="0.25">
      <c r="A603" t="s">
        <v>1445</v>
      </c>
      <c r="B603" t="s">
        <v>1446</v>
      </c>
      <c r="C603" t="s">
        <v>463</v>
      </c>
      <c r="D603" t="s">
        <v>358</v>
      </c>
      <c r="E603" t="s">
        <v>1794</v>
      </c>
      <c r="F603" t="s">
        <v>1018</v>
      </c>
      <c r="G603" t="s">
        <v>1124</v>
      </c>
      <c r="H603" t="s">
        <v>1019</v>
      </c>
      <c r="I603" t="s">
        <v>262</v>
      </c>
      <c r="J603" t="s">
        <v>916</v>
      </c>
      <c r="K603">
        <v>1</v>
      </c>
      <c r="L603">
        <v>1</v>
      </c>
      <c r="M603" t="s">
        <v>33</v>
      </c>
      <c r="N603">
        <v>1</v>
      </c>
      <c r="O603">
        <v>1</v>
      </c>
      <c r="P603">
        <v>1</v>
      </c>
      <c r="Q603" t="s">
        <v>52</v>
      </c>
      <c r="R603">
        <v>1</v>
      </c>
      <c r="S603">
        <v>1</v>
      </c>
      <c r="T603">
        <v>1</v>
      </c>
      <c r="U603" t="s">
        <v>1794</v>
      </c>
      <c r="V603" t="s">
        <v>1794</v>
      </c>
      <c r="W603" t="s">
        <v>1794</v>
      </c>
      <c r="X603">
        <v>1</v>
      </c>
      <c r="Y603" t="s">
        <v>1794</v>
      </c>
      <c r="Z603">
        <v>0</v>
      </c>
      <c r="AA603" t="s">
        <v>1794</v>
      </c>
      <c r="AB603" t="s">
        <v>1794</v>
      </c>
      <c r="AC603" t="s">
        <v>1794</v>
      </c>
      <c r="AD603" t="s">
        <v>1794</v>
      </c>
      <c r="AE603">
        <v>0</v>
      </c>
      <c r="AF603" t="s">
        <v>1794</v>
      </c>
      <c r="AG603" t="s">
        <v>1794</v>
      </c>
      <c r="AH603" t="s">
        <v>1794</v>
      </c>
    </row>
    <row r="604" spans="1:34" x14ac:dyDescent="0.25">
      <c r="A604" t="s">
        <v>1295</v>
      </c>
      <c r="B604" t="s">
        <v>1296</v>
      </c>
      <c r="C604" t="s">
        <v>463</v>
      </c>
      <c r="D604" t="s">
        <v>358</v>
      </c>
      <c r="E604" t="s">
        <v>1794</v>
      </c>
      <c r="F604" t="s">
        <v>1020</v>
      </c>
      <c r="G604" t="s">
        <v>1124</v>
      </c>
      <c r="H604" t="s">
        <v>1021</v>
      </c>
      <c r="I604" t="s">
        <v>262</v>
      </c>
      <c r="J604" t="s">
        <v>916</v>
      </c>
      <c r="K604">
        <v>1</v>
      </c>
      <c r="L604">
        <v>1</v>
      </c>
      <c r="M604" t="s">
        <v>33</v>
      </c>
      <c r="N604">
        <v>1</v>
      </c>
      <c r="O604">
        <v>1</v>
      </c>
      <c r="P604">
        <v>1</v>
      </c>
      <c r="Q604" t="s">
        <v>52</v>
      </c>
      <c r="R604">
        <v>1</v>
      </c>
      <c r="S604">
        <v>1</v>
      </c>
      <c r="T604">
        <v>1</v>
      </c>
      <c r="U604" t="s">
        <v>1794</v>
      </c>
      <c r="V604" t="s">
        <v>1794</v>
      </c>
      <c r="W604" t="s">
        <v>1794</v>
      </c>
      <c r="X604">
        <v>1</v>
      </c>
      <c r="Y604" t="s">
        <v>1794</v>
      </c>
      <c r="Z604">
        <v>0</v>
      </c>
      <c r="AA604" t="s">
        <v>1794</v>
      </c>
      <c r="AB604" t="s">
        <v>1794</v>
      </c>
      <c r="AC604" t="s">
        <v>1794</v>
      </c>
      <c r="AD604" t="s">
        <v>1794</v>
      </c>
      <c r="AE604">
        <v>0</v>
      </c>
      <c r="AF604" t="s">
        <v>1794</v>
      </c>
      <c r="AG604" t="s">
        <v>1794</v>
      </c>
      <c r="AH604" t="s">
        <v>1794</v>
      </c>
    </row>
    <row r="605" spans="1:34" x14ac:dyDescent="0.25">
      <c r="A605" t="s">
        <v>1219</v>
      </c>
      <c r="B605" t="s">
        <v>1220</v>
      </c>
      <c r="C605" t="s">
        <v>463</v>
      </c>
      <c r="D605" t="s">
        <v>358</v>
      </c>
      <c r="E605" t="s">
        <v>1794</v>
      </c>
      <c r="F605" t="s">
        <v>1020</v>
      </c>
      <c r="G605" t="s">
        <v>1794</v>
      </c>
      <c r="H605" t="s">
        <v>1021</v>
      </c>
      <c r="I605" t="s">
        <v>262</v>
      </c>
      <c r="J605" t="s">
        <v>916</v>
      </c>
      <c r="K605">
        <v>1</v>
      </c>
      <c r="L605">
        <v>1</v>
      </c>
      <c r="M605" t="s">
        <v>33</v>
      </c>
      <c r="N605">
        <v>1</v>
      </c>
      <c r="O605">
        <v>1</v>
      </c>
      <c r="P605">
        <v>1</v>
      </c>
      <c r="Q605" t="s">
        <v>52</v>
      </c>
      <c r="R605">
        <v>1</v>
      </c>
      <c r="S605">
        <v>1</v>
      </c>
      <c r="T605">
        <v>1</v>
      </c>
      <c r="U605" t="s">
        <v>1794</v>
      </c>
      <c r="V605" t="s">
        <v>1794</v>
      </c>
      <c r="W605" t="s">
        <v>1794</v>
      </c>
      <c r="X605">
        <v>1</v>
      </c>
      <c r="Y605" t="s">
        <v>1794</v>
      </c>
      <c r="Z605">
        <v>0</v>
      </c>
      <c r="AA605" t="s">
        <v>1794</v>
      </c>
      <c r="AB605" t="s">
        <v>1794</v>
      </c>
      <c r="AC605" t="s">
        <v>1794</v>
      </c>
      <c r="AD605" t="s">
        <v>1794</v>
      </c>
      <c r="AE605">
        <v>0</v>
      </c>
      <c r="AF605" t="s">
        <v>1794</v>
      </c>
      <c r="AG605" t="s">
        <v>1794</v>
      </c>
      <c r="AH605" t="s">
        <v>1794</v>
      </c>
    </row>
    <row r="606" spans="1:34" x14ac:dyDescent="0.25">
      <c r="A606" t="s">
        <v>587</v>
      </c>
      <c r="B606" t="s">
        <v>1281</v>
      </c>
      <c r="C606" t="s">
        <v>463</v>
      </c>
      <c r="D606" t="s">
        <v>358</v>
      </c>
      <c r="E606" t="s">
        <v>1794</v>
      </c>
      <c r="F606" t="s">
        <v>1020</v>
      </c>
      <c r="G606" t="s">
        <v>1124</v>
      </c>
      <c r="H606" t="s">
        <v>1021</v>
      </c>
      <c r="I606" t="s">
        <v>262</v>
      </c>
      <c r="J606" t="s">
        <v>916</v>
      </c>
      <c r="K606">
        <v>1</v>
      </c>
      <c r="L606">
        <v>1</v>
      </c>
      <c r="M606" t="s">
        <v>33</v>
      </c>
      <c r="N606">
        <v>1</v>
      </c>
      <c r="O606">
        <v>1</v>
      </c>
      <c r="P606">
        <v>1</v>
      </c>
      <c r="Q606" t="s">
        <v>52</v>
      </c>
      <c r="R606">
        <v>1</v>
      </c>
      <c r="S606">
        <v>1</v>
      </c>
      <c r="T606">
        <v>1</v>
      </c>
      <c r="U606" t="s">
        <v>1794</v>
      </c>
      <c r="V606" t="s">
        <v>1794</v>
      </c>
      <c r="W606" t="s">
        <v>1794</v>
      </c>
      <c r="X606">
        <v>1</v>
      </c>
      <c r="Y606" t="s">
        <v>1794</v>
      </c>
      <c r="Z606">
        <v>0</v>
      </c>
      <c r="AA606" t="s">
        <v>1794</v>
      </c>
      <c r="AB606" t="s">
        <v>1794</v>
      </c>
      <c r="AC606" t="s">
        <v>1794</v>
      </c>
      <c r="AD606" t="s">
        <v>1794</v>
      </c>
      <c r="AE606">
        <v>0</v>
      </c>
      <c r="AF606" t="s">
        <v>1794</v>
      </c>
      <c r="AG606" t="s">
        <v>1794</v>
      </c>
      <c r="AH606" t="s">
        <v>1794</v>
      </c>
    </row>
    <row r="607" spans="1:34" x14ac:dyDescent="0.25">
      <c r="A607" t="s">
        <v>1229</v>
      </c>
      <c r="B607" t="s">
        <v>1230</v>
      </c>
      <c r="C607" t="s">
        <v>463</v>
      </c>
      <c r="D607" t="s">
        <v>358</v>
      </c>
      <c r="E607" t="s">
        <v>1794</v>
      </c>
      <c r="F607" t="s">
        <v>1020</v>
      </c>
      <c r="G607" t="s">
        <v>1124</v>
      </c>
      <c r="H607" t="s">
        <v>1021</v>
      </c>
      <c r="I607" t="s">
        <v>262</v>
      </c>
      <c r="J607" t="s">
        <v>916</v>
      </c>
      <c r="K607">
        <v>1</v>
      </c>
      <c r="L607">
        <v>1</v>
      </c>
      <c r="M607" t="s">
        <v>33</v>
      </c>
      <c r="N607">
        <v>1</v>
      </c>
      <c r="O607">
        <v>1</v>
      </c>
      <c r="P607">
        <v>1</v>
      </c>
      <c r="Q607" t="s">
        <v>52</v>
      </c>
      <c r="R607">
        <v>1</v>
      </c>
      <c r="S607">
        <v>1</v>
      </c>
      <c r="T607">
        <v>1</v>
      </c>
      <c r="U607" t="s">
        <v>1794</v>
      </c>
      <c r="V607" t="s">
        <v>1794</v>
      </c>
      <c r="W607" t="s">
        <v>1794</v>
      </c>
      <c r="X607">
        <v>1</v>
      </c>
      <c r="Y607" t="s">
        <v>1794</v>
      </c>
      <c r="Z607">
        <v>0</v>
      </c>
      <c r="AA607" t="s">
        <v>1794</v>
      </c>
      <c r="AB607" t="s">
        <v>1794</v>
      </c>
      <c r="AC607" t="s">
        <v>1794</v>
      </c>
      <c r="AD607" t="s">
        <v>1794</v>
      </c>
      <c r="AE607">
        <v>0</v>
      </c>
      <c r="AF607" t="s">
        <v>1794</v>
      </c>
      <c r="AG607" t="s">
        <v>1794</v>
      </c>
      <c r="AH607" t="s">
        <v>1794</v>
      </c>
    </row>
    <row r="608" spans="1:34" x14ac:dyDescent="0.25">
      <c r="A608" t="s">
        <v>1445</v>
      </c>
      <c r="B608" t="s">
        <v>1446</v>
      </c>
      <c r="C608" t="s">
        <v>463</v>
      </c>
      <c r="D608" t="s">
        <v>358</v>
      </c>
      <c r="E608" t="s">
        <v>1794</v>
      </c>
      <c r="F608" t="s">
        <v>1020</v>
      </c>
      <c r="G608" t="s">
        <v>1124</v>
      </c>
      <c r="H608" t="s">
        <v>1021</v>
      </c>
      <c r="I608" t="s">
        <v>262</v>
      </c>
      <c r="J608" t="s">
        <v>916</v>
      </c>
      <c r="K608">
        <v>1</v>
      </c>
      <c r="L608">
        <v>1</v>
      </c>
      <c r="M608" t="s">
        <v>33</v>
      </c>
      <c r="N608">
        <v>1</v>
      </c>
      <c r="O608">
        <v>1</v>
      </c>
      <c r="P608">
        <v>1</v>
      </c>
      <c r="Q608" t="s">
        <v>52</v>
      </c>
      <c r="R608">
        <v>1</v>
      </c>
      <c r="S608">
        <v>1</v>
      </c>
      <c r="T608">
        <v>1</v>
      </c>
      <c r="U608" t="s">
        <v>1794</v>
      </c>
      <c r="V608" t="s">
        <v>1794</v>
      </c>
      <c r="W608" t="s">
        <v>1794</v>
      </c>
      <c r="X608">
        <v>1</v>
      </c>
      <c r="Y608" t="s">
        <v>1794</v>
      </c>
      <c r="Z608">
        <v>0</v>
      </c>
      <c r="AA608" t="s">
        <v>1794</v>
      </c>
      <c r="AB608" t="s">
        <v>1794</v>
      </c>
      <c r="AC608" t="s">
        <v>1794</v>
      </c>
      <c r="AD608" t="s">
        <v>1794</v>
      </c>
      <c r="AE608">
        <v>0</v>
      </c>
      <c r="AF608" t="s">
        <v>1794</v>
      </c>
      <c r="AG608" t="s">
        <v>1794</v>
      </c>
      <c r="AH608" t="s">
        <v>1794</v>
      </c>
    </row>
    <row r="609" spans="1:34" x14ac:dyDescent="0.25">
      <c r="A609" t="s">
        <v>1464</v>
      </c>
      <c r="B609" t="s">
        <v>1465</v>
      </c>
      <c r="C609" t="s">
        <v>463</v>
      </c>
      <c r="D609" t="s">
        <v>358</v>
      </c>
      <c r="E609" t="s">
        <v>1794</v>
      </c>
      <c r="F609" t="s">
        <v>1020</v>
      </c>
      <c r="G609" t="s">
        <v>1124</v>
      </c>
      <c r="H609" t="s">
        <v>1021</v>
      </c>
      <c r="I609" t="s">
        <v>262</v>
      </c>
      <c r="J609" t="s">
        <v>916</v>
      </c>
      <c r="K609">
        <v>1</v>
      </c>
      <c r="L609">
        <v>1</v>
      </c>
      <c r="M609" t="s">
        <v>33</v>
      </c>
      <c r="N609">
        <v>1</v>
      </c>
      <c r="O609">
        <v>1</v>
      </c>
      <c r="P609">
        <v>1</v>
      </c>
      <c r="Q609" t="s">
        <v>52</v>
      </c>
      <c r="R609">
        <v>1</v>
      </c>
      <c r="S609">
        <v>1</v>
      </c>
      <c r="T609">
        <v>1</v>
      </c>
      <c r="U609" t="s">
        <v>1794</v>
      </c>
      <c r="V609" t="s">
        <v>1794</v>
      </c>
      <c r="W609" t="s">
        <v>1794</v>
      </c>
      <c r="X609">
        <v>1</v>
      </c>
      <c r="Y609" t="s">
        <v>1794</v>
      </c>
      <c r="Z609">
        <v>0</v>
      </c>
      <c r="AA609" t="s">
        <v>1794</v>
      </c>
      <c r="AB609" t="s">
        <v>1794</v>
      </c>
      <c r="AC609" t="s">
        <v>1794</v>
      </c>
      <c r="AD609" t="s">
        <v>1794</v>
      </c>
      <c r="AE609">
        <v>0</v>
      </c>
      <c r="AF609" t="s">
        <v>1794</v>
      </c>
      <c r="AG609" t="s">
        <v>1794</v>
      </c>
      <c r="AH609" t="s">
        <v>1794</v>
      </c>
    </row>
    <row r="610" spans="1:34" x14ac:dyDescent="0.25">
      <c r="A610" t="s">
        <v>1295</v>
      </c>
      <c r="B610" t="s">
        <v>1296</v>
      </c>
      <c r="C610" t="s">
        <v>463</v>
      </c>
      <c r="D610" t="s">
        <v>358</v>
      </c>
      <c r="E610" t="s">
        <v>1794</v>
      </c>
      <c r="F610" t="s">
        <v>1022</v>
      </c>
      <c r="G610" t="s">
        <v>1124</v>
      </c>
      <c r="H610" t="s">
        <v>1023</v>
      </c>
      <c r="I610" t="s">
        <v>262</v>
      </c>
      <c r="J610" t="s">
        <v>916</v>
      </c>
      <c r="K610">
        <v>1</v>
      </c>
      <c r="L610">
        <v>1</v>
      </c>
      <c r="M610" t="s">
        <v>33</v>
      </c>
      <c r="N610">
        <v>1</v>
      </c>
      <c r="O610">
        <v>1</v>
      </c>
      <c r="P610">
        <v>1</v>
      </c>
      <c r="Q610" t="s">
        <v>52</v>
      </c>
      <c r="R610">
        <v>1</v>
      </c>
      <c r="S610">
        <v>1</v>
      </c>
      <c r="T610">
        <v>1</v>
      </c>
      <c r="U610" t="s">
        <v>1794</v>
      </c>
      <c r="V610" t="s">
        <v>1794</v>
      </c>
      <c r="W610" t="s">
        <v>1794</v>
      </c>
      <c r="X610">
        <v>1</v>
      </c>
      <c r="Y610" t="s">
        <v>1794</v>
      </c>
      <c r="Z610">
        <v>0</v>
      </c>
      <c r="AA610" t="s">
        <v>1794</v>
      </c>
      <c r="AB610" t="s">
        <v>1794</v>
      </c>
      <c r="AC610" t="s">
        <v>1794</v>
      </c>
      <c r="AD610" t="s">
        <v>1794</v>
      </c>
      <c r="AE610">
        <v>0</v>
      </c>
      <c r="AF610" t="s">
        <v>1794</v>
      </c>
      <c r="AG610" t="s">
        <v>1794</v>
      </c>
      <c r="AH610" t="s">
        <v>1794</v>
      </c>
    </row>
    <row r="611" spans="1:34" x14ac:dyDescent="0.25">
      <c r="A611" t="s">
        <v>1219</v>
      </c>
      <c r="B611" t="s">
        <v>1220</v>
      </c>
      <c r="C611" t="s">
        <v>463</v>
      </c>
      <c r="D611" t="s">
        <v>358</v>
      </c>
      <c r="E611" t="s">
        <v>1794</v>
      </c>
      <c r="F611" t="s">
        <v>1022</v>
      </c>
      <c r="G611" t="s">
        <v>1794</v>
      </c>
      <c r="H611" t="s">
        <v>1023</v>
      </c>
      <c r="I611" t="s">
        <v>262</v>
      </c>
      <c r="J611" t="s">
        <v>916</v>
      </c>
      <c r="K611">
        <v>1</v>
      </c>
      <c r="L611">
        <v>1</v>
      </c>
      <c r="M611" t="s">
        <v>33</v>
      </c>
      <c r="N611">
        <v>1</v>
      </c>
      <c r="O611">
        <v>1</v>
      </c>
      <c r="P611">
        <v>1</v>
      </c>
      <c r="Q611" t="s">
        <v>52</v>
      </c>
      <c r="R611">
        <v>1</v>
      </c>
      <c r="S611">
        <v>1</v>
      </c>
      <c r="T611">
        <v>1</v>
      </c>
      <c r="U611" t="s">
        <v>1794</v>
      </c>
      <c r="V611" t="s">
        <v>1794</v>
      </c>
      <c r="W611" t="s">
        <v>1794</v>
      </c>
      <c r="X611">
        <v>1</v>
      </c>
      <c r="Y611" t="s">
        <v>1794</v>
      </c>
      <c r="Z611">
        <v>0</v>
      </c>
      <c r="AA611" t="s">
        <v>1794</v>
      </c>
      <c r="AB611" t="s">
        <v>1794</v>
      </c>
      <c r="AC611" t="s">
        <v>1794</v>
      </c>
      <c r="AD611" t="s">
        <v>1794</v>
      </c>
      <c r="AE611">
        <v>0</v>
      </c>
      <c r="AF611" t="s">
        <v>1794</v>
      </c>
      <c r="AG611" t="s">
        <v>1794</v>
      </c>
      <c r="AH611" t="s">
        <v>1794</v>
      </c>
    </row>
    <row r="612" spans="1:34" x14ac:dyDescent="0.25">
      <c r="A612" t="s">
        <v>587</v>
      </c>
      <c r="B612" t="s">
        <v>1281</v>
      </c>
      <c r="C612" t="s">
        <v>463</v>
      </c>
      <c r="D612" t="s">
        <v>358</v>
      </c>
      <c r="E612" t="s">
        <v>1794</v>
      </c>
      <c r="F612" t="s">
        <v>1022</v>
      </c>
      <c r="G612" t="s">
        <v>1124</v>
      </c>
      <c r="H612" t="s">
        <v>1023</v>
      </c>
      <c r="I612" t="s">
        <v>262</v>
      </c>
      <c r="J612" t="s">
        <v>916</v>
      </c>
      <c r="K612">
        <v>1</v>
      </c>
      <c r="L612">
        <v>1</v>
      </c>
      <c r="M612" t="s">
        <v>33</v>
      </c>
      <c r="N612">
        <v>1</v>
      </c>
      <c r="O612">
        <v>1</v>
      </c>
      <c r="P612">
        <v>1</v>
      </c>
      <c r="Q612" t="s">
        <v>52</v>
      </c>
      <c r="R612">
        <v>1</v>
      </c>
      <c r="S612">
        <v>1</v>
      </c>
      <c r="T612">
        <v>1</v>
      </c>
      <c r="U612" t="s">
        <v>1794</v>
      </c>
      <c r="V612" t="s">
        <v>1794</v>
      </c>
      <c r="W612" t="s">
        <v>1794</v>
      </c>
      <c r="X612">
        <v>1</v>
      </c>
      <c r="Y612" t="s">
        <v>1794</v>
      </c>
      <c r="Z612">
        <v>0</v>
      </c>
      <c r="AA612" t="s">
        <v>1794</v>
      </c>
      <c r="AB612" t="s">
        <v>1794</v>
      </c>
      <c r="AC612" t="s">
        <v>1794</v>
      </c>
      <c r="AD612" t="s">
        <v>1794</v>
      </c>
      <c r="AE612">
        <v>0</v>
      </c>
      <c r="AF612" t="s">
        <v>1794</v>
      </c>
      <c r="AG612" t="s">
        <v>1794</v>
      </c>
      <c r="AH612" t="s">
        <v>1794</v>
      </c>
    </row>
    <row r="613" spans="1:34" x14ac:dyDescent="0.25">
      <c r="A613" t="s">
        <v>1229</v>
      </c>
      <c r="B613" t="s">
        <v>1230</v>
      </c>
      <c r="C613" t="s">
        <v>463</v>
      </c>
      <c r="D613" t="s">
        <v>358</v>
      </c>
      <c r="E613" t="s">
        <v>1794</v>
      </c>
      <c r="F613" t="s">
        <v>1022</v>
      </c>
      <c r="G613" t="s">
        <v>1124</v>
      </c>
      <c r="H613" t="s">
        <v>1023</v>
      </c>
      <c r="I613" t="s">
        <v>262</v>
      </c>
      <c r="J613" t="s">
        <v>916</v>
      </c>
      <c r="K613">
        <v>1</v>
      </c>
      <c r="L613">
        <v>1</v>
      </c>
      <c r="M613" t="s">
        <v>33</v>
      </c>
      <c r="N613">
        <v>1</v>
      </c>
      <c r="O613">
        <v>1</v>
      </c>
      <c r="P613">
        <v>1</v>
      </c>
      <c r="Q613" t="s">
        <v>52</v>
      </c>
      <c r="R613">
        <v>1</v>
      </c>
      <c r="S613">
        <v>1</v>
      </c>
      <c r="T613">
        <v>1</v>
      </c>
      <c r="U613" t="s">
        <v>1794</v>
      </c>
      <c r="V613" t="s">
        <v>1794</v>
      </c>
      <c r="W613" t="s">
        <v>1794</v>
      </c>
      <c r="X613">
        <v>1</v>
      </c>
      <c r="Y613" t="s">
        <v>1794</v>
      </c>
      <c r="Z613">
        <v>0</v>
      </c>
      <c r="AA613" t="s">
        <v>1794</v>
      </c>
      <c r="AB613" t="s">
        <v>1794</v>
      </c>
      <c r="AC613" t="s">
        <v>1794</v>
      </c>
      <c r="AD613" t="s">
        <v>1794</v>
      </c>
      <c r="AE613">
        <v>0</v>
      </c>
      <c r="AF613" t="s">
        <v>1794</v>
      </c>
      <c r="AG613" t="s">
        <v>1794</v>
      </c>
      <c r="AH613" t="s">
        <v>1794</v>
      </c>
    </row>
    <row r="614" spans="1:34" x14ac:dyDescent="0.25">
      <c r="A614" t="s">
        <v>1445</v>
      </c>
      <c r="B614" t="s">
        <v>1446</v>
      </c>
      <c r="C614" t="s">
        <v>463</v>
      </c>
      <c r="D614" t="s">
        <v>358</v>
      </c>
      <c r="E614" t="s">
        <v>1794</v>
      </c>
      <c r="F614" t="s">
        <v>1022</v>
      </c>
      <c r="G614" t="s">
        <v>1124</v>
      </c>
      <c r="H614" t="s">
        <v>1023</v>
      </c>
      <c r="I614" t="s">
        <v>262</v>
      </c>
      <c r="J614" t="s">
        <v>916</v>
      </c>
      <c r="K614">
        <v>1</v>
      </c>
      <c r="L614">
        <v>1</v>
      </c>
      <c r="M614" t="s">
        <v>33</v>
      </c>
      <c r="N614">
        <v>1</v>
      </c>
      <c r="O614">
        <v>1</v>
      </c>
      <c r="P614">
        <v>1</v>
      </c>
      <c r="Q614" t="s">
        <v>52</v>
      </c>
      <c r="R614">
        <v>1</v>
      </c>
      <c r="S614">
        <v>1</v>
      </c>
      <c r="T614">
        <v>1</v>
      </c>
      <c r="U614" t="s">
        <v>1794</v>
      </c>
      <c r="V614" t="s">
        <v>1794</v>
      </c>
      <c r="W614" t="s">
        <v>1794</v>
      </c>
      <c r="X614">
        <v>1</v>
      </c>
      <c r="Y614" t="s">
        <v>1794</v>
      </c>
      <c r="Z614">
        <v>0</v>
      </c>
      <c r="AA614" t="s">
        <v>1794</v>
      </c>
      <c r="AB614" t="s">
        <v>1794</v>
      </c>
      <c r="AC614" t="s">
        <v>1794</v>
      </c>
      <c r="AD614" t="s">
        <v>1794</v>
      </c>
      <c r="AE614">
        <v>0</v>
      </c>
      <c r="AF614" t="s">
        <v>1794</v>
      </c>
      <c r="AG614" t="s">
        <v>1794</v>
      </c>
      <c r="AH614" t="s">
        <v>1794</v>
      </c>
    </row>
    <row r="615" spans="1:34" x14ac:dyDescent="0.25">
      <c r="A615" t="s">
        <v>1464</v>
      </c>
      <c r="B615" t="s">
        <v>1465</v>
      </c>
      <c r="C615" t="s">
        <v>463</v>
      </c>
      <c r="D615" t="s">
        <v>358</v>
      </c>
      <c r="E615" t="s">
        <v>1794</v>
      </c>
      <c r="F615" t="s">
        <v>1022</v>
      </c>
      <c r="G615" t="s">
        <v>1124</v>
      </c>
      <c r="H615" t="s">
        <v>1023</v>
      </c>
      <c r="I615" t="s">
        <v>262</v>
      </c>
      <c r="J615" t="s">
        <v>916</v>
      </c>
      <c r="K615">
        <v>1</v>
      </c>
      <c r="L615">
        <v>1</v>
      </c>
      <c r="M615" t="s">
        <v>33</v>
      </c>
      <c r="N615">
        <v>1</v>
      </c>
      <c r="O615">
        <v>1</v>
      </c>
      <c r="P615">
        <v>1</v>
      </c>
      <c r="Q615" t="s">
        <v>52</v>
      </c>
      <c r="R615">
        <v>1</v>
      </c>
      <c r="S615">
        <v>1</v>
      </c>
      <c r="T615">
        <v>1</v>
      </c>
      <c r="U615" t="s">
        <v>1794</v>
      </c>
      <c r="V615" t="s">
        <v>1794</v>
      </c>
      <c r="W615" t="s">
        <v>1794</v>
      </c>
      <c r="X615">
        <v>1</v>
      </c>
      <c r="Y615" t="s">
        <v>1794</v>
      </c>
      <c r="Z615">
        <v>0</v>
      </c>
      <c r="AA615" t="s">
        <v>1794</v>
      </c>
      <c r="AB615" t="s">
        <v>1794</v>
      </c>
      <c r="AC615" t="s">
        <v>1794</v>
      </c>
      <c r="AD615" t="s">
        <v>1794</v>
      </c>
      <c r="AE615">
        <v>0</v>
      </c>
      <c r="AF615" t="s">
        <v>1794</v>
      </c>
      <c r="AG615" t="s">
        <v>1794</v>
      </c>
      <c r="AH615" t="s">
        <v>1794</v>
      </c>
    </row>
    <row r="616" spans="1:34" x14ac:dyDescent="0.25">
      <c r="A616" t="s">
        <v>1219</v>
      </c>
      <c r="B616" t="s">
        <v>1220</v>
      </c>
      <c r="C616" t="s">
        <v>463</v>
      </c>
      <c r="D616" t="s">
        <v>358</v>
      </c>
      <c r="E616" t="s">
        <v>1794</v>
      </c>
      <c r="F616" t="s">
        <v>1024</v>
      </c>
      <c r="G616" t="s">
        <v>1794</v>
      </c>
      <c r="H616" t="s">
        <v>1025</v>
      </c>
      <c r="I616" t="s">
        <v>262</v>
      </c>
      <c r="J616" t="s">
        <v>916</v>
      </c>
      <c r="K616">
        <v>1</v>
      </c>
      <c r="L616">
        <v>2</v>
      </c>
      <c r="M616" t="s">
        <v>33</v>
      </c>
      <c r="N616">
        <v>1</v>
      </c>
      <c r="O616">
        <v>2</v>
      </c>
      <c r="P616">
        <v>1</v>
      </c>
      <c r="Q616" t="s">
        <v>52</v>
      </c>
      <c r="R616">
        <v>2</v>
      </c>
      <c r="S616">
        <v>2</v>
      </c>
      <c r="T616">
        <v>2</v>
      </c>
      <c r="U616" t="s">
        <v>1794</v>
      </c>
      <c r="V616" t="s">
        <v>1794</v>
      </c>
      <c r="W616" t="s">
        <v>1794</v>
      </c>
      <c r="X616">
        <v>1</v>
      </c>
      <c r="Y616" t="s">
        <v>1794</v>
      </c>
      <c r="Z616">
        <v>0</v>
      </c>
      <c r="AA616" t="s">
        <v>1794</v>
      </c>
      <c r="AB616" t="s">
        <v>1794</v>
      </c>
      <c r="AC616" t="s">
        <v>1794</v>
      </c>
      <c r="AD616" t="s">
        <v>1794</v>
      </c>
      <c r="AE616">
        <v>0</v>
      </c>
      <c r="AF616" t="s">
        <v>1794</v>
      </c>
      <c r="AG616" t="s">
        <v>1794</v>
      </c>
      <c r="AH616" t="s">
        <v>1794</v>
      </c>
    </row>
    <row r="617" spans="1:34" x14ac:dyDescent="0.25">
      <c r="A617" t="s">
        <v>587</v>
      </c>
      <c r="B617" t="s">
        <v>1281</v>
      </c>
      <c r="C617" t="s">
        <v>463</v>
      </c>
      <c r="D617" t="s">
        <v>358</v>
      </c>
      <c r="E617" t="s">
        <v>1794</v>
      </c>
      <c r="F617" t="s">
        <v>1024</v>
      </c>
      <c r="G617" t="s">
        <v>1124</v>
      </c>
      <c r="H617" t="s">
        <v>1025</v>
      </c>
      <c r="I617" t="s">
        <v>262</v>
      </c>
      <c r="J617" t="s">
        <v>916</v>
      </c>
      <c r="K617">
        <v>1</v>
      </c>
      <c r="L617">
        <v>2</v>
      </c>
      <c r="M617" t="s">
        <v>33</v>
      </c>
      <c r="N617">
        <v>1</v>
      </c>
      <c r="O617">
        <v>2</v>
      </c>
      <c r="P617">
        <v>1</v>
      </c>
      <c r="Q617" t="s">
        <v>52</v>
      </c>
      <c r="R617">
        <v>2</v>
      </c>
      <c r="S617">
        <v>2</v>
      </c>
      <c r="T617">
        <v>2</v>
      </c>
      <c r="U617" t="s">
        <v>1794</v>
      </c>
      <c r="V617" t="s">
        <v>1794</v>
      </c>
      <c r="W617" t="s">
        <v>1794</v>
      </c>
      <c r="X617">
        <v>1</v>
      </c>
      <c r="Y617" t="s">
        <v>1794</v>
      </c>
      <c r="Z617">
        <v>0</v>
      </c>
      <c r="AA617" t="s">
        <v>1794</v>
      </c>
      <c r="AB617" t="s">
        <v>1794</v>
      </c>
      <c r="AC617" t="s">
        <v>1794</v>
      </c>
      <c r="AD617" t="s">
        <v>1794</v>
      </c>
      <c r="AE617">
        <v>0</v>
      </c>
      <c r="AF617" t="s">
        <v>1794</v>
      </c>
      <c r="AG617" t="s">
        <v>1794</v>
      </c>
      <c r="AH617" t="s">
        <v>1794</v>
      </c>
    </row>
    <row r="618" spans="1:34" x14ac:dyDescent="0.25">
      <c r="A618" t="s">
        <v>1229</v>
      </c>
      <c r="B618" t="s">
        <v>1230</v>
      </c>
      <c r="C618" t="s">
        <v>463</v>
      </c>
      <c r="D618" t="s">
        <v>358</v>
      </c>
      <c r="E618" t="s">
        <v>1794</v>
      </c>
      <c r="F618" t="s">
        <v>1024</v>
      </c>
      <c r="G618" t="s">
        <v>1124</v>
      </c>
      <c r="H618" t="s">
        <v>1025</v>
      </c>
      <c r="I618" t="s">
        <v>262</v>
      </c>
      <c r="J618" t="s">
        <v>916</v>
      </c>
      <c r="K618">
        <v>1</v>
      </c>
      <c r="L618">
        <v>2</v>
      </c>
      <c r="M618" t="s">
        <v>33</v>
      </c>
      <c r="N618">
        <v>1</v>
      </c>
      <c r="O618">
        <v>2</v>
      </c>
      <c r="P618">
        <v>1</v>
      </c>
      <c r="Q618" t="s">
        <v>52</v>
      </c>
      <c r="R618">
        <v>2</v>
      </c>
      <c r="S618">
        <v>2</v>
      </c>
      <c r="T618">
        <v>2</v>
      </c>
      <c r="U618" t="s">
        <v>1794</v>
      </c>
      <c r="V618" t="s">
        <v>1794</v>
      </c>
      <c r="W618" t="s">
        <v>1794</v>
      </c>
      <c r="X618">
        <v>1</v>
      </c>
      <c r="Y618" t="s">
        <v>1794</v>
      </c>
      <c r="Z618">
        <v>0</v>
      </c>
      <c r="AA618" t="s">
        <v>1794</v>
      </c>
      <c r="AB618" t="s">
        <v>1794</v>
      </c>
      <c r="AC618" t="s">
        <v>1794</v>
      </c>
      <c r="AD618" t="s">
        <v>1794</v>
      </c>
      <c r="AE618">
        <v>0</v>
      </c>
      <c r="AF618" t="s">
        <v>1794</v>
      </c>
      <c r="AG618" t="s">
        <v>1794</v>
      </c>
      <c r="AH618" t="s">
        <v>1794</v>
      </c>
    </row>
    <row r="619" spans="1:34" x14ac:dyDescent="0.25">
      <c r="A619" t="s">
        <v>1445</v>
      </c>
      <c r="B619" t="s">
        <v>1446</v>
      </c>
      <c r="C619" t="s">
        <v>463</v>
      </c>
      <c r="D619" t="s">
        <v>358</v>
      </c>
      <c r="E619" t="s">
        <v>1794</v>
      </c>
      <c r="F619" t="s">
        <v>1024</v>
      </c>
      <c r="G619" t="s">
        <v>1124</v>
      </c>
      <c r="H619" t="s">
        <v>1025</v>
      </c>
      <c r="I619" t="s">
        <v>262</v>
      </c>
      <c r="J619" t="s">
        <v>916</v>
      </c>
      <c r="K619">
        <v>1</v>
      </c>
      <c r="L619">
        <v>2</v>
      </c>
      <c r="M619" t="s">
        <v>33</v>
      </c>
      <c r="N619">
        <v>1</v>
      </c>
      <c r="O619">
        <v>2</v>
      </c>
      <c r="P619">
        <v>1</v>
      </c>
      <c r="Q619" t="s">
        <v>52</v>
      </c>
      <c r="R619">
        <v>2</v>
      </c>
      <c r="S619">
        <v>2</v>
      </c>
      <c r="T619">
        <v>2</v>
      </c>
      <c r="U619" t="s">
        <v>1794</v>
      </c>
      <c r="V619" t="s">
        <v>1794</v>
      </c>
      <c r="W619" t="s">
        <v>1794</v>
      </c>
      <c r="X619">
        <v>1</v>
      </c>
      <c r="Y619" t="s">
        <v>1794</v>
      </c>
      <c r="Z619">
        <v>0</v>
      </c>
      <c r="AA619" t="s">
        <v>1794</v>
      </c>
      <c r="AB619" t="s">
        <v>1794</v>
      </c>
      <c r="AC619" t="s">
        <v>1794</v>
      </c>
      <c r="AD619" t="s">
        <v>1794</v>
      </c>
      <c r="AE619">
        <v>0</v>
      </c>
      <c r="AF619" t="s">
        <v>1794</v>
      </c>
      <c r="AG619" t="s">
        <v>1794</v>
      </c>
      <c r="AH619" t="s">
        <v>1794</v>
      </c>
    </row>
    <row r="620" spans="1:34" x14ac:dyDescent="0.25">
      <c r="A620" t="s">
        <v>1219</v>
      </c>
      <c r="B620" t="s">
        <v>1220</v>
      </c>
      <c r="C620" t="s">
        <v>463</v>
      </c>
      <c r="D620" t="s">
        <v>358</v>
      </c>
      <c r="E620" t="s">
        <v>1794</v>
      </c>
      <c r="F620" t="s">
        <v>1026</v>
      </c>
      <c r="G620" t="s">
        <v>1794</v>
      </c>
      <c r="H620" t="s">
        <v>1832</v>
      </c>
      <c r="I620" t="s">
        <v>262</v>
      </c>
      <c r="J620" t="s">
        <v>916</v>
      </c>
      <c r="K620">
        <v>1</v>
      </c>
      <c r="L620">
        <v>2</v>
      </c>
      <c r="M620" t="s">
        <v>33</v>
      </c>
      <c r="N620">
        <v>1</v>
      </c>
      <c r="O620">
        <v>2</v>
      </c>
      <c r="P620">
        <v>1</v>
      </c>
      <c r="Q620" t="s">
        <v>52</v>
      </c>
      <c r="R620">
        <v>2</v>
      </c>
      <c r="S620">
        <v>2</v>
      </c>
      <c r="T620">
        <v>2</v>
      </c>
      <c r="U620" t="s">
        <v>1794</v>
      </c>
      <c r="V620" t="s">
        <v>1794</v>
      </c>
      <c r="W620" t="s">
        <v>1794</v>
      </c>
      <c r="X620">
        <v>1</v>
      </c>
      <c r="Y620" t="s">
        <v>1794</v>
      </c>
      <c r="Z620">
        <v>0</v>
      </c>
      <c r="AA620" t="s">
        <v>1794</v>
      </c>
      <c r="AB620" t="s">
        <v>1794</v>
      </c>
      <c r="AC620" t="s">
        <v>1794</v>
      </c>
      <c r="AD620" t="s">
        <v>1794</v>
      </c>
      <c r="AE620">
        <v>0</v>
      </c>
      <c r="AF620" t="s">
        <v>1794</v>
      </c>
      <c r="AG620" t="s">
        <v>1794</v>
      </c>
      <c r="AH620" t="s">
        <v>1794</v>
      </c>
    </row>
    <row r="621" spans="1:34" x14ac:dyDescent="0.25">
      <c r="A621" t="s">
        <v>587</v>
      </c>
      <c r="B621" t="s">
        <v>1281</v>
      </c>
      <c r="C621" t="s">
        <v>463</v>
      </c>
      <c r="D621" t="s">
        <v>358</v>
      </c>
      <c r="E621" t="s">
        <v>1794</v>
      </c>
      <c r="F621" t="s">
        <v>1026</v>
      </c>
      <c r="G621" t="s">
        <v>1124</v>
      </c>
      <c r="H621" t="s">
        <v>1832</v>
      </c>
      <c r="I621" t="s">
        <v>262</v>
      </c>
      <c r="J621" t="s">
        <v>916</v>
      </c>
      <c r="K621">
        <v>1</v>
      </c>
      <c r="L621">
        <v>2</v>
      </c>
      <c r="M621" t="s">
        <v>33</v>
      </c>
      <c r="N621">
        <v>1</v>
      </c>
      <c r="O621">
        <v>2</v>
      </c>
      <c r="P621">
        <v>1</v>
      </c>
      <c r="Q621" t="s">
        <v>52</v>
      </c>
      <c r="R621">
        <v>2</v>
      </c>
      <c r="S621">
        <v>2</v>
      </c>
      <c r="T621">
        <v>2</v>
      </c>
      <c r="U621" t="s">
        <v>1794</v>
      </c>
      <c r="V621" t="s">
        <v>1794</v>
      </c>
      <c r="W621" t="s">
        <v>1794</v>
      </c>
      <c r="X621">
        <v>1</v>
      </c>
      <c r="Y621" t="s">
        <v>1794</v>
      </c>
      <c r="Z621">
        <v>0</v>
      </c>
      <c r="AA621" t="s">
        <v>1794</v>
      </c>
      <c r="AB621" t="s">
        <v>1794</v>
      </c>
      <c r="AC621" t="s">
        <v>1794</v>
      </c>
      <c r="AD621" t="s">
        <v>1794</v>
      </c>
      <c r="AE621">
        <v>0</v>
      </c>
      <c r="AF621" t="s">
        <v>1794</v>
      </c>
      <c r="AG621" t="s">
        <v>1794</v>
      </c>
      <c r="AH621" t="s">
        <v>1794</v>
      </c>
    </row>
    <row r="622" spans="1:34" x14ac:dyDescent="0.25">
      <c r="A622" t="s">
        <v>1229</v>
      </c>
      <c r="B622" t="s">
        <v>1230</v>
      </c>
      <c r="C622" t="s">
        <v>463</v>
      </c>
      <c r="D622" t="s">
        <v>358</v>
      </c>
      <c r="E622" t="s">
        <v>1794</v>
      </c>
      <c r="F622" t="s">
        <v>1026</v>
      </c>
      <c r="G622" t="s">
        <v>1124</v>
      </c>
      <c r="H622" t="s">
        <v>1832</v>
      </c>
      <c r="I622" t="s">
        <v>262</v>
      </c>
      <c r="J622" t="s">
        <v>916</v>
      </c>
      <c r="K622">
        <v>1</v>
      </c>
      <c r="L622">
        <v>2</v>
      </c>
      <c r="M622" t="s">
        <v>33</v>
      </c>
      <c r="N622">
        <v>1</v>
      </c>
      <c r="O622">
        <v>2</v>
      </c>
      <c r="P622">
        <v>1</v>
      </c>
      <c r="Q622" t="s">
        <v>52</v>
      </c>
      <c r="R622">
        <v>2</v>
      </c>
      <c r="S622">
        <v>2</v>
      </c>
      <c r="T622">
        <v>2</v>
      </c>
      <c r="U622" t="s">
        <v>1794</v>
      </c>
      <c r="V622" t="s">
        <v>1794</v>
      </c>
      <c r="W622" t="s">
        <v>1794</v>
      </c>
      <c r="X622">
        <v>1</v>
      </c>
      <c r="Y622" t="s">
        <v>1794</v>
      </c>
      <c r="Z622">
        <v>0</v>
      </c>
      <c r="AA622" t="s">
        <v>1794</v>
      </c>
      <c r="AB622" t="s">
        <v>1794</v>
      </c>
      <c r="AC622" t="s">
        <v>1794</v>
      </c>
      <c r="AD622" t="s">
        <v>1794</v>
      </c>
      <c r="AE622">
        <v>0</v>
      </c>
      <c r="AF622" t="s">
        <v>1794</v>
      </c>
      <c r="AG622" t="s">
        <v>1794</v>
      </c>
      <c r="AH622" t="s">
        <v>1794</v>
      </c>
    </row>
    <row r="623" spans="1:34" x14ac:dyDescent="0.25">
      <c r="A623" t="s">
        <v>1445</v>
      </c>
      <c r="B623" t="s">
        <v>1446</v>
      </c>
      <c r="C623" t="s">
        <v>463</v>
      </c>
      <c r="D623" t="s">
        <v>358</v>
      </c>
      <c r="E623" t="s">
        <v>1794</v>
      </c>
      <c r="F623" t="s">
        <v>1026</v>
      </c>
      <c r="G623" t="s">
        <v>1124</v>
      </c>
      <c r="H623" t="s">
        <v>1832</v>
      </c>
      <c r="I623" t="s">
        <v>262</v>
      </c>
      <c r="J623" t="s">
        <v>916</v>
      </c>
      <c r="K623">
        <v>1</v>
      </c>
      <c r="L623">
        <v>2</v>
      </c>
      <c r="M623" t="s">
        <v>33</v>
      </c>
      <c r="N623">
        <v>1</v>
      </c>
      <c r="O623">
        <v>2</v>
      </c>
      <c r="P623">
        <v>1</v>
      </c>
      <c r="Q623" t="s">
        <v>52</v>
      </c>
      <c r="R623">
        <v>2</v>
      </c>
      <c r="S623">
        <v>2</v>
      </c>
      <c r="T623">
        <v>2</v>
      </c>
      <c r="U623" t="s">
        <v>1794</v>
      </c>
      <c r="V623" t="s">
        <v>1794</v>
      </c>
      <c r="W623" t="s">
        <v>1794</v>
      </c>
      <c r="X623">
        <v>1</v>
      </c>
      <c r="Y623" t="s">
        <v>1794</v>
      </c>
      <c r="Z623">
        <v>0</v>
      </c>
      <c r="AA623" t="s">
        <v>1794</v>
      </c>
      <c r="AB623" t="s">
        <v>1794</v>
      </c>
      <c r="AC623" t="s">
        <v>1794</v>
      </c>
      <c r="AD623" t="s">
        <v>1794</v>
      </c>
      <c r="AE623">
        <v>0</v>
      </c>
      <c r="AF623" t="s">
        <v>1794</v>
      </c>
      <c r="AG623" t="s">
        <v>1794</v>
      </c>
      <c r="AH623" t="s">
        <v>1794</v>
      </c>
    </row>
    <row r="624" spans="1:34" x14ac:dyDescent="0.25">
      <c r="A624" t="s">
        <v>1027</v>
      </c>
      <c r="B624" t="s">
        <v>1591</v>
      </c>
      <c r="C624" t="s">
        <v>460</v>
      </c>
      <c r="D624" t="s">
        <v>909</v>
      </c>
      <c r="E624" t="s">
        <v>1794</v>
      </c>
      <c r="F624" t="s">
        <v>1028</v>
      </c>
      <c r="G624" t="s">
        <v>1124</v>
      </c>
      <c r="H624" t="s">
        <v>1029</v>
      </c>
      <c r="I624" t="s">
        <v>262</v>
      </c>
      <c r="J624" t="s">
        <v>1030</v>
      </c>
      <c r="K624">
        <v>1</v>
      </c>
      <c r="L624">
        <v>1</v>
      </c>
      <c r="M624" t="s">
        <v>33</v>
      </c>
      <c r="N624">
        <v>1</v>
      </c>
      <c r="O624">
        <v>1</v>
      </c>
      <c r="P624">
        <v>1</v>
      </c>
      <c r="Q624" t="s">
        <v>52</v>
      </c>
      <c r="R624">
        <v>1</v>
      </c>
      <c r="S624">
        <v>1</v>
      </c>
      <c r="T624">
        <v>1</v>
      </c>
      <c r="U624" t="s">
        <v>1794</v>
      </c>
      <c r="V624" t="s">
        <v>1794</v>
      </c>
      <c r="W624" t="s">
        <v>1794</v>
      </c>
      <c r="X624">
        <v>1</v>
      </c>
      <c r="Y624" t="s">
        <v>1794</v>
      </c>
      <c r="Z624">
        <v>0</v>
      </c>
      <c r="AA624" t="s">
        <v>1794</v>
      </c>
      <c r="AB624" t="s">
        <v>1794</v>
      </c>
      <c r="AC624" t="s">
        <v>1794</v>
      </c>
      <c r="AD624" t="s">
        <v>1794</v>
      </c>
      <c r="AE624">
        <v>0</v>
      </c>
      <c r="AF624" t="s">
        <v>1794</v>
      </c>
      <c r="AG624" t="s">
        <v>1794</v>
      </c>
      <c r="AH624" t="s">
        <v>1794</v>
      </c>
    </row>
    <row r="625" spans="1:34" x14ac:dyDescent="0.25">
      <c r="A625" t="s">
        <v>1027</v>
      </c>
      <c r="B625" t="s">
        <v>1591</v>
      </c>
      <c r="C625" t="s">
        <v>460</v>
      </c>
      <c r="D625" t="s">
        <v>909</v>
      </c>
      <c r="E625" t="s">
        <v>1794</v>
      </c>
      <c r="F625" t="s">
        <v>1031</v>
      </c>
      <c r="G625" t="s">
        <v>1124</v>
      </c>
      <c r="H625" t="s">
        <v>1032</v>
      </c>
      <c r="I625" t="s">
        <v>262</v>
      </c>
      <c r="J625" t="s">
        <v>1030</v>
      </c>
      <c r="K625">
        <v>1</v>
      </c>
      <c r="L625">
        <v>1</v>
      </c>
      <c r="M625" t="s">
        <v>33</v>
      </c>
      <c r="N625">
        <v>1</v>
      </c>
      <c r="O625">
        <v>1</v>
      </c>
      <c r="P625">
        <v>1</v>
      </c>
      <c r="Q625" t="s">
        <v>52</v>
      </c>
      <c r="R625">
        <v>1</v>
      </c>
      <c r="S625">
        <v>1</v>
      </c>
      <c r="T625">
        <v>1</v>
      </c>
      <c r="U625" t="s">
        <v>1794</v>
      </c>
      <c r="V625" t="s">
        <v>1794</v>
      </c>
      <c r="W625" t="s">
        <v>1794</v>
      </c>
      <c r="X625">
        <v>1</v>
      </c>
      <c r="Y625" t="s">
        <v>1794</v>
      </c>
      <c r="Z625">
        <v>0</v>
      </c>
      <c r="AA625" t="s">
        <v>1794</v>
      </c>
      <c r="AB625" t="s">
        <v>1794</v>
      </c>
      <c r="AC625" t="s">
        <v>1794</v>
      </c>
      <c r="AD625" t="s">
        <v>1794</v>
      </c>
      <c r="AE625">
        <v>0</v>
      </c>
      <c r="AF625" t="s">
        <v>1794</v>
      </c>
      <c r="AG625" t="s">
        <v>1794</v>
      </c>
      <c r="AH625" t="s">
        <v>1794</v>
      </c>
    </row>
    <row r="626" spans="1:34" x14ac:dyDescent="0.25">
      <c r="A626" t="s">
        <v>1027</v>
      </c>
      <c r="B626" t="s">
        <v>1591</v>
      </c>
      <c r="C626" t="s">
        <v>460</v>
      </c>
      <c r="D626" t="s">
        <v>909</v>
      </c>
      <c r="E626" t="s">
        <v>1794</v>
      </c>
      <c r="F626" t="s">
        <v>1033</v>
      </c>
      <c r="G626" t="s">
        <v>1124</v>
      </c>
      <c r="H626" t="s">
        <v>1034</v>
      </c>
      <c r="I626" t="s">
        <v>262</v>
      </c>
      <c r="J626" t="s">
        <v>1030</v>
      </c>
      <c r="K626">
        <v>1</v>
      </c>
      <c r="L626">
        <v>1</v>
      </c>
      <c r="M626" t="s">
        <v>33</v>
      </c>
      <c r="N626">
        <v>1</v>
      </c>
      <c r="O626">
        <v>1</v>
      </c>
      <c r="P626">
        <v>1</v>
      </c>
      <c r="Q626" t="s">
        <v>52</v>
      </c>
      <c r="R626">
        <v>1</v>
      </c>
      <c r="S626">
        <v>1</v>
      </c>
      <c r="T626">
        <v>1</v>
      </c>
      <c r="U626" t="s">
        <v>1794</v>
      </c>
      <c r="V626" t="s">
        <v>1794</v>
      </c>
      <c r="W626" t="s">
        <v>1794</v>
      </c>
      <c r="X626">
        <v>1</v>
      </c>
      <c r="Y626" t="s">
        <v>1794</v>
      </c>
      <c r="Z626">
        <v>0</v>
      </c>
      <c r="AA626" t="s">
        <v>1794</v>
      </c>
      <c r="AB626" t="s">
        <v>1794</v>
      </c>
      <c r="AC626" t="s">
        <v>1794</v>
      </c>
      <c r="AD626" t="s">
        <v>1794</v>
      </c>
      <c r="AE626">
        <v>0</v>
      </c>
      <c r="AF626" t="s">
        <v>1794</v>
      </c>
      <c r="AG626" t="s">
        <v>1794</v>
      </c>
      <c r="AH626" t="s">
        <v>1794</v>
      </c>
    </row>
    <row r="627" spans="1:34" x14ac:dyDescent="0.25">
      <c r="A627" t="s">
        <v>1592</v>
      </c>
      <c r="B627" t="s">
        <v>1593</v>
      </c>
      <c r="C627" t="s">
        <v>460</v>
      </c>
      <c r="D627" t="s">
        <v>909</v>
      </c>
      <c r="E627" t="s">
        <v>1794</v>
      </c>
      <c r="F627" t="s">
        <v>1035</v>
      </c>
      <c r="G627" t="s">
        <v>1124</v>
      </c>
      <c r="H627" t="s">
        <v>1036</v>
      </c>
      <c r="I627" t="s">
        <v>262</v>
      </c>
      <c r="J627" t="s">
        <v>916</v>
      </c>
      <c r="K627">
        <v>1</v>
      </c>
      <c r="L627">
        <v>3</v>
      </c>
      <c r="M627" t="s">
        <v>33</v>
      </c>
      <c r="N627">
        <v>1</v>
      </c>
      <c r="O627">
        <v>3</v>
      </c>
      <c r="P627">
        <v>1</v>
      </c>
      <c r="Q627" t="s">
        <v>52</v>
      </c>
      <c r="R627">
        <v>3</v>
      </c>
      <c r="S627">
        <v>3</v>
      </c>
      <c r="T627">
        <v>3</v>
      </c>
      <c r="U627" t="s">
        <v>1794</v>
      </c>
      <c r="V627" t="s">
        <v>1794</v>
      </c>
      <c r="W627" t="s">
        <v>1794</v>
      </c>
      <c r="X627">
        <v>1</v>
      </c>
      <c r="Y627" t="s">
        <v>1794</v>
      </c>
      <c r="Z627">
        <v>0</v>
      </c>
      <c r="AA627" t="s">
        <v>1794</v>
      </c>
      <c r="AB627" t="s">
        <v>1794</v>
      </c>
      <c r="AC627" t="s">
        <v>1794</v>
      </c>
      <c r="AD627" t="s">
        <v>1794</v>
      </c>
      <c r="AE627">
        <v>0</v>
      </c>
      <c r="AF627" t="s">
        <v>1794</v>
      </c>
      <c r="AG627" t="s">
        <v>1794</v>
      </c>
      <c r="AH627" t="s">
        <v>1794</v>
      </c>
    </row>
    <row r="628" spans="1:34" x14ac:dyDescent="0.25">
      <c r="A628" t="s">
        <v>1595</v>
      </c>
      <c r="B628" t="s">
        <v>1596</v>
      </c>
      <c r="C628" t="s">
        <v>460</v>
      </c>
      <c r="D628" t="s">
        <v>909</v>
      </c>
      <c r="E628" t="s">
        <v>1794</v>
      </c>
      <c r="F628" t="s">
        <v>1035</v>
      </c>
      <c r="G628" t="s">
        <v>1124</v>
      </c>
      <c r="H628" t="s">
        <v>1036</v>
      </c>
      <c r="I628" t="s">
        <v>262</v>
      </c>
      <c r="J628" t="s">
        <v>916</v>
      </c>
      <c r="K628">
        <v>1</v>
      </c>
      <c r="L628">
        <v>3</v>
      </c>
      <c r="M628" t="s">
        <v>33</v>
      </c>
      <c r="N628">
        <v>1</v>
      </c>
      <c r="O628">
        <v>3</v>
      </c>
      <c r="P628">
        <v>1</v>
      </c>
      <c r="Q628" t="s">
        <v>52</v>
      </c>
      <c r="R628">
        <v>3</v>
      </c>
      <c r="S628">
        <v>3</v>
      </c>
      <c r="T628">
        <v>3</v>
      </c>
      <c r="U628" t="s">
        <v>1794</v>
      </c>
      <c r="V628" t="s">
        <v>1794</v>
      </c>
      <c r="W628" t="s">
        <v>1794</v>
      </c>
      <c r="X628">
        <v>1</v>
      </c>
      <c r="Y628" t="s">
        <v>1794</v>
      </c>
      <c r="Z628">
        <v>0</v>
      </c>
      <c r="AA628" t="s">
        <v>1794</v>
      </c>
      <c r="AB628" t="s">
        <v>1794</v>
      </c>
      <c r="AC628" t="s">
        <v>1794</v>
      </c>
      <c r="AD628" t="s">
        <v>1794</v>
      </c>
      <c r="AE628">
        <v>0</v>
      </c>
      <c r="AF628" t="s">
        <v>1794</v>
      </c>
      <c r="AG628" t="s">
        <v>1794</v>
      </c>
      <c r="AH628" t="s">
        <v>1794</v>
      </c>
    </row>
    <row r="629" spans="1:34" x14ac:dyDescent="0.25">
      <c r="A629" t="s">
        <v>1276</v>
      </c>
      <c r="B629" t="s">
        <v>1277</v>
      </c>
      <c r="C629" t="s">
        <v>463</v>
      </c>
      <c r="D629" t="s">
        <v>909</v>
      </c>
      <c r="E629" t="s">
        <v>1794</v>
      </c>
      <c r="F629" t="s">
        <v>1037</v>
      </c>
      <c r="G629" t="s">
        <v>1124</v>
      </c>
      <c r="H629" t="s">
        <v>1038</v>
      </c>
      <c r="I629" t="s">
        <v>262</v>
      </c>
      <c r="J629" t="s">
        <v>1039</v>
      </c>
      <c r="K629">
        <v>1</v>
      </c>
      <c r="L629">
        <v>1</v>
      </c>
      <c r="M629" t="s">
        <v>33</v>
      </c>
      <c r="N629">
        <v>1</v>
      </c>
      <c r="O629">
        <v>1</v>
      </c>
      <c r="P629">
        <v>1</v>
      </c>
      <c r="Q629" t="s">
        <v>52</v>
      </c>
      <c r="R629">
        <v>1</v>
      </c>
      <c r="S629">
        <v>1</v>
      </c>
      <c r="T629">
        <v>1</v>
      </c>
      <c r="U629" t="s">
        <v>1794</v>
      </c>
      <c r="V629" t="s">
        <v>1794</v>
      </c>
      <c r="W629" t="s">
        <v>1794</v>
      </c>
      <c r="X629">
        <v>1</v>
      </c>
      <c r="Y629" t="s">
        <v>1794</v>
      </c>
      <c r="Z629">
        <v>0</v>
      </c>
      <c r="AA629" t="s">
        <v>1794</v>
      </c>
      <c r="AB629" t="s">
        <v>1794</v>
      </c>
      <c r="AC629" t="s">
        <v>1794</v>
      </c>
      <c r="AD629" t="s">
        <v>1794</v>
      </c>
      <c r="AE629">
        <v>0</v>
      </c>
      <c r="AF629" t="s">
        <v>1794</v>
      </c>
      <c r="AG629" t="s">
        <v>1794</v>
      </c>
      <c r="AH629" t="s">
        <v>1794</v>
      </c>
    </row>
    <row r="630" spans="1:34" ht="35.25" customHeight="1" x14ac:dyDescent="0.25">
      <c r="A630" t="s">
        <v>1600</v>
      </c>
      <c r="B630" t="s">
        <v>1601</v>
      </c>
      <c r="C630" t="s">
        <v>463</v>
      </c>
      <c r="D630" t="s">
        <v>909</v>
      </c>
      <c r="E630" t="s">
        <v>1794</v>
      </c>
      <c r="F630" t="s">
        <v>1037</v>
      </c>
      <c r="G630" t="s">
        <v>1124</v>
      </c>
      <c r="H630" t="s">
        <v>1038</v>
      </c>
      <c r="I630" t="s">
        <v>262</v>
      </c>
      <c r="J630" t="s">
        <v>1039</v>
      </c>
      <c r="K630">
        <v>1</v>
      </c>
      <c r="L630">
        <v>1</v>
      </c>
      <c r="M630" t="s">
        <v>33</v>
      </c>
      <c r="N630">
        <v>1</v>
      </c>
      <c r="O630">
        <v>1</v>
      </c>
      <c r="P630">
        <v>1</v>
      </c>
      <c r="Q630" t="s">
        <v>52</v>
      </c>
      <c r="R630">
        <v>1</v>
      </c>
      <c r="S630">
        <v>1</v>
      </c>
      <c r="T630">
        <v>1</v>
      </c>
      <c r="U630" t="s">
        <v>1794</v>
      </c>
      <c r="V630" t="s">
        <v>1794</v>
      </c>
      <c r="W630" t="s">
        <v>1794</v>
      </c>
      <c r="X630">
        <v>1</v>
      </c>
      <c r="Y630" t="s">
        <v>1794</v>
      </c>
      <c r="Z630">
        <v>0</v>
      </c>
      <c r="AA630" t="s">
        <v>1794</v>
      </c>
      <c r="AB630" t="s">
        <v>1794</v>
      </c>
      <c r="AC630" t="s">
        <v>1794</v>
      </c>
      <c r="AD630" t="s">
        <v>1794</v>
      </c>
      <c r="AE630">
        <v>0</v>
      </c>
      <c r="AF630" t="s">
        <v>1794</v>
      </c>
      <c r="AG630" t="s">
        <v>1794</v>
      </c>
      <c r="AH630" t="s">
        <v>1794</v>
      </c>
    </row>
    <row r="631" spans="1:34" x14ac:dyDescent="0.25">
      <c r="A631" t="s">
        <v>1330</v>
      </c>
      <c r="B631" t="s">
        <v>1331</v>
      </c>
      <c r="C631" t="s">
        <v>463</v>
      </c>
      <c r="D631" t="s">
        <v>909</v>
      </c>
      <c r="E631" t="s">
        <v>1794</v>
      </c>
      <c r="F631" t="s">
        <v>1037</v>
      </c>
      <c r="G631" t="s">
        <v>1124</v>
      </c>
      <c r="H631" t="s">
        <v>1038</v>
      </c>
      <c r="I631" t="s">
        <v>262</v>
      </c>
      <c r="J631" t="s">
        <v>1039</v>
      </c>
      <c r="K631">
        <v>1</v>
      </c>
      <c r="L631">
        <v>1</v>
      </c>
      <c r="M631" t="s">
        <v>33</v>
      </c>
      <c r="N631">
        <v>1</v>
      </c>
      <c r="O631">
        <v>1</v>
      </c>
      <c r="P631">
        <v>1</v>
      </c>
      <c r="Q631" t="s">
        <v>52</v>
      </c>
      <c r="R631">
        <v>1</v>
      </c>
      <c r="S631">
        <v>1</v>
      </c>
      <c r="T631">
        <v>1</v>
      </c>
      <c r="U631" t="s">
        <v>1794</v>
      </c>
      <c r="V631" t="s">
        <v>1794</v>
      </c>
      <c r="W631" t="s">
        <v>1794</v>
      </c>
      <c r="X631">
        <v>1</v>
      </c>
      <c r="Y631" t="s">
        <v>1794</v>
      </c>
      <c r="Z631">
        <v>0</v>
      </c>
      <c r="AA631" t="s">
        <v>1794</v>
      </c>
      <c r="AB631" t="s">
        <v>1794</v>
      </c>
      <c r="AC631" t="s">
        <v>1794</v>
      </c>
      <c r="AD631" t="s">
        <v>1794</v>
      </c>
      <c r="AE631">
        <v>0</v>
      </c>
      <c r="AF631" t="s">
        <v>1794</v>
      </c>
      <c r="AG631" t="s">
        <v>1794</v>
      </c>
      <c r="AH631" t="s">
        <v>1794</v>
      </c>
    </row>
    <row r="632" spans="1:34" x14ac:dyDescent="0.25">
      <c r="A632" t="s">
        <v>1276</v>
      </c>
      <c r="B632" t="s">
        <v>1277</v>
      </c>
      <c r="C632" t="s">
        <v>463</v>
      </c>
      <c r="D632" t="s">
        <v>909</v>
      </c>
      <c r="E632" t="s">
        <v>1794</v>
      </c>
      <c r="F632" t="s">
        <v>1040</v>
      </c>
      <c r="G632" t="s">
        <v>1124</v>
      </c>
      <c r="H632" t="s">
        <v>1041</v>
      </c>
      <c r="I632" t="s">
        <v>262</v>
      </c>
      <c r="J632" t="s">
        <v>1039</v>
      </c>
      <c r="K632">
        <v>1</v>
      </c>
      <c r="L632">
        <v>1</v>
      </c>
      <c r="M632" t="s">
        <v>33</v>
      </c>
      <c r="N632">
        <v>1</v>
      </c>
      <c r="O632">
        <v>1</v>
      </c>
      <c r="P632">
        <v>1</v>
      </c>
      <c r="Q632" t="s">
        <v>52</v>
      </c>
      <c r="R632">
        <v>1</v>
      </c>
      <c r="S632">
        <v>1</v>
      </c>
      <c r="T632">
        <v>1</v>
      </c>
      <c r="U632" t="s">
        <v>1794</v>
      </c>
      <c r="V632" t="s">
        <v>1794</v>
      </c>
      <c r="W632" t="s">
        <v>1794</v>
      </c>
      <c r="X632">
        <v>1</v>
      </c>
      <c r="Y632" t="s">
        <v>1794</v>
      </c>
      <c r="Z632">
        <v>0</v>
      </c>
      <c r="AA632" t="s">
        <v>1794</v>
      </c>
      <c r="AB632" t="s">
        <v>1794</v>
      </c>
      <c r="AC632" t="s">
        <v>1794</v>
      </c>
      <c r="AD632" t="s">
        <v>1794</v>
      </c>
      <c r="AE632">
        <v>0</v>
      </c>
      <c r="AF632" t="s">
        <v>1794</v>
      </c>
      <c r="AG632" t="s">
        <v>1794</v>
      </c>
      <c r="AH632" t="s">
        <v>1794</v>
      </c>
    </row>
    <row r="633" spans="1:34" x14ac:dyDescent="0.25">
      <c r="A633" t="s">
        <v>1600</v>
      </c>
      <c r="B633" t="s">
        <v>1601</v>
      </c>
      <c r="C633" t="s">
        <v>463</v>
      </c>
      <c r="D633" t="s">
        <v>909</v>
      </c>
      <c r="E633" t="s">
        <v>1794</v>
      </c>
      <c r="F633" t="s">
        <v>1040</v>
      </c>
      <c r="G633" t="s">
        <v>1124</v>
      </c>
      <c r="H633" t="s">
        <v>1041</v>
      </c>
      <c r="I633" t="s">
        <v>262</v>
      </c>
      <c r="J633" t="s">
        <v>1039</v>
      </c>
      <c r="K633">
        <v>1</v>
      </c>
      <c r="L633">
        <v>1</v>
      </c>
      <c r="M633" t="s">
        <v>33</v>
      </c>
      <c r="N633">
        <v>1</v>
      </c>
      <c r="O633">
        <v>1</v>
      </c>
      <c r="P633">
        <v>1</v>
      </c>
      <c r="Q633" t="s">
        <v>52</v>
      </c>
      <c r="R633">
        <v>1</v>
      </c>
      <c r="S633">
        <v>1</v>
      </c>
      <c r="T633">
        <v>1</v>
      </c>
      <c r="U633" t="s">
        <v>1794</v>
      </c>
      <c r="V633" t="s">
        <v>1794</v>
      </c>
      <c r="W633" t="s">
        <v>1794</v>
      </c>
      <c r="X633">
        <v>1</v>
      </c>
      <c r="Y633" t="s">
        <v>1794</v>
      </c>
      <c r="Z633">
        <v>0</v>
      </c>
      <c r="AA633" t="s">
        <v>1794</v>
      </c>
      <c r="AB633" t="s">
        <v>1794</v>
      </c>
      <c r="AC633" t="s">
        <v>1794</v>
      </c>
      <c r="AD633" t="s">
        <v>1794</v>
      </c>
      <c r="AE633">
        <v>0</v>
      </c>
      <c r="AF633" t="s">
        <v>1794</v>
      </c>
      <c r="AG633" t="s">
        <v>1794</v>
      </c>
      <c r="AH633" t="s">
        <v>1794</v>
      </c>
    </row>
    <row r="634" spans="1:34" x14ac:dyDescent="0.25">
      <c r="A634" t="s">
        <v>1330</v>
      </c>
      <c r="B634" t="s">
        <v>1331</v>
      </c>
      <c r="C634" t="s">
        <v>463</v>
      </c>
      <c r="D634" t="s">
        <v>909</v>
      </c>
      <c r="E634" t="s">
        <v>1794</v>
      </c>
      <c r="F634" t="s">
        <v>1040</v>
      </c>
      <c r="G634" t="s">
        <v>1124</v>
      </c>
      <c r="H634" t="s">
        <v>1041</v>
      </c>
      <c r="I634" t="s">
        <v>262</v>
      </c>
      <c r="J634" t="s">
        <v>1039</v>
      </c>
      <c r="K634">
        <v>1</v>
      </c>
      <c r="L634">
        <v>1</v>
      </c>
      <c r="M634" t="s">
        <v>33</v>
      </c>
      <c r="N634">
        <v>1</v>
      </c>
      <c r="O634">
        <v>1</v>
      </c>
      <c r="P634">
        <v>1</v>
      </c>
      <c r="Q634" t="s">
        <v>52</v>
      </c>
      <c r="R634">
        <v>1</v>
      </c>
      <c r="S634">
        <v>1</v>
      </c>
      <c r="T634">
        <v>1</v>
      </c>
      <c r="U634" t="s">
        <v>1794</v>
      </c>
      <c r="V634" t="s">
        <v>1794</v>
      </c>
      <c r="W634" t="s">
        <v>1794</v>
      </c>
      <c r="X634">
        <v>1</v>
      </c>
      <c r="Y634" t="s">
        <v>1794</v>
      </c>
      <c r="Z634">
        <v>0</v>
      </c>
      <c r="AA634" t="s">
        <v>1794</v>
      </c>
      <c r="AB634" t="s">
        <v>1794</v>
      </c>
      <c r="AC634" t="s">
        <v>1794</v>
      </c>
      <c r="AD634" t="s">
        <v>1794</v>
      </c>
      <c r="AE634">
        <v>0</v>
      </c>
      <c r="AF634" t="s">
        <v>1794</v>
      </c>
      <c r="AG634" t="s">
        <v>1794</v>
      </c>
      <c r="AH634" t="s">
        <v>1794</v>
      </c>
    </row>
    <row r="635" spans="1:34" x14ac:dyDescent="0.25">
      <c r="A635" t="s">
        <v>1276</v>
      </c>
      <c r="B635" t="s">
        <v>1277</v>
      </c>
      <c r="C635" t="s">
        <v>463</v>
      </c>
      <c r="D635" t="s">
        <v>909</v>
      </c>
      <c r="E635" t="s">
        <v>1794</v>
      </c>
      <c r="F635" t="s">
        <v>1042</v>
      </c>
      <c r="G635" t="s">
        <v>1124</v>
      </c>
      <c r="H635" t="s">
        <v>1043</v>
      </c>
      <c r="I635" t="s">
        <v>262</v>
      </c>
      <c r="J635" t="s">
        <v>1039</v>
      </c>
      <c r="K635">
        <v>1</v>
      </c>
      <c r="L635">
        <v>1</v>
      </c>
      <c r="M635" t="s">
        <v>33</v>
      </c>
      <c r="N635">
        <v>1</v>
      </c>
      <c r="O635">
        <v>1</v>
      </c>
      <c r="P635">
        <v>1</v>
      </c>
      <c r="Q635" t="s">
        <v>52</v>
      </c>
      <c r="R635">
        <v>1</v>
      </c>
      <c r="S635">
        <v>1</v>
      </c>
      <c r="T635">
        <v>1</v>
      </c>
      <c r="U635" t="s">
        <v>1794</v>
      </c>
      <c r="V635" t="s">
        <v>1794</v>
      </c>
      <c r="W635" t="s">
        <v>1794</v>
      </c>
      <c r="X635">
        <v>1</v>
      </c>
      <c r="Y635" t="s">
        <v>1794</v>
      </c>
      <c r="Z635">
        <v>0</v>
      </c>
      <c r="AA635" t="s">
        <v>1794</v>
      </c>
      <c r="AB635" t="s">
        <v>1794</v>
      </c>
      <c r="AC635" t="s">
        <v>1794</v>
      </c>
      <c r="AD635" t="s">
        <v>1794</v>
      </c>
      <c r="AE635">
        <v>0</v>
      </c>
      <c r="AF635" t="s">
        <v>1794</v>
      </c>
      <c r="AG635" t="s">
        <v>1794</v>
      </c>
      <c r="AH635" t="s">
        <v>1794</v>
      </c>
    </row>
    <row r="636" spans="1:34" x14ac:dyDescent="0.25">
      <c r="A636" t="s">
        <v>1600</v>
      </c>
      <c r="B636" t="s">
        <v>1601</v>
      </c>
      <c r="C636" t="s">
        <v>463</v>
      </c>
      <c r="D636" t="s">
        <v>909</v>
      </c>
      <c r="E636" t="s">
        <v>1794</v>
      </c>
      <c r="F636" t="s">
        <v>1042</v>
      </c>
      <c r="G636" t="s">
        <v>1124</v>
      </c>
      <c r="H636" t="s">
        <v>1043</v>
      </c>
      <c r="I636" t="s">
        <v>262</v>
      </c>
      <c r="J636" t="s">
        <v>1039</v>
      </c>
      <c r="K636">
        <v>1</v>
      </c>
      <c r="L636">
        <v>1</v>
      </c>
      <c r="M636" t="s">
        <v>33</v>
      </c>
      <c r="N636">
        <v>1</v>
      </c>
      <c r="O636">
        <v>1</v>
      </c>
      <c r="P636">
        <v>1</v>
      </c>
      <c r="Q636" t="s">
        <v>52</v>
      </c>
      <c r="R636">
        <v>1</v>
      </c>
      <c r="S636">
        <v>1</v>
      </c>
      <c r="T636">
        <v>1</v>
      </c>
      <c r="U636" t="s">
        <v>1794</v>
      </c>
      <c r="V636" t="s">
        <v>1794</v>
      </c>
      <c r="W636" t="s">
        <v>1794</v>
      </c>
      <c r="X636">
        <v>1</v>
      </c>
      <c r="Y636" t="s">
        <v>1794</v>
      </c>
      <c r="Z636">
        <v>0</v>
      </c>
      <c r="AA636" t="s">
        <v>1794</v>
      </c>
      <c r="AB636" t="s">
        <v>1794</v>
      </c>
      <c r="AC636" t="s">
        <v>1794</v>
      </c>
      <c r="AD636" t="s">
        <v>1794</v>
      </c>
      <c r="AE636">
        <v>0</v>
      </c>
      <c r="AF636" t="s">
        <v>1794</v>
      </c>
      <c r="AG636" t="s">
        <v>1794</v>
      </c>
      <c r="AH636" t="s">
        <v>1794</v>
      </c>
    </row>
    <row r="637" spans="1:34" x14ac:dyDescent="0.25">
      <c r="A637" t="s">
        <v>1602</v>
      </c>
      <c r="B637" t="s">
        <v>1603</v>
      </c>
      <c r="C637" t="s">
        <v>463</v>
      </c>
      <c r="D637" t="s">
        <v>909</v>
      </c>
      <c r="E637" t="s">
        <v>1794</v>
      </c>
      <c r="F637" t="s">
        <v>1042</v>
      </c>
      <c r="G637" t="s">
        <v>1124</v>
      </c>
      <c r="H637" t="s">
        <v>1043</v>
      </c>
      <c r="I637" t="s">
        <v>262</v>
      </c>
      <c r="J637" t="s">
        <v>1039</v>
      </c>
      <c r="K637">
        <v>1</v>
      </c>
      <c r="L637">
        <v>1</v>
      </c>
      <c r="M637" t="s">
        <v>33</v>
      </c>
      <c r="N637">
        <v>1</v>
      </c>
      <c r="O637">
        <v>1</v>
      </c>
      <c r="P637">
        <v>1</v>
      </c>
      <c r="Q637" t="s">
        <v>52</v>
      </c>
      <c r="R637">
        <v>1</v>
      </c>
      <c r="S637">
        <v>1</v>
      </c>
      <c r="T637">
        <v>1</v>
      </c>
      <c r="U637" t="s">
        <v>1794</v>
      </c>
      <c r="V637" t="s">
        <v>1794</v>
      </c>
      <c r="W637" t="s">
        <v>1794</v>
      </c>
      <c r="X637">
        <v>1</v>
      </c>
      <c r="Y637" t="s">
        <v>1794</v>
      </c>
      <c r="Z637">
        <v>0</v>
      </c>
      <c r="AA637" t="s">
        <v>1794</v>
      </c>
      <c r="AB637" t="s">
        <v>1794</v>
      </c>
      <c r="AC637" t="s">
        <v>1794</v>
      </c>
      <c r="AD637" t="s">
        <v>1794</v>
      </c>
      <c r="AE637">
        <v>0</v>
      </c>
      <c r="AF637" t="s">
        <v>1794</v>
      </c>
      <c r="AG637" t="s">
        <v>1794</v>
      </c>
      <c r="AH637" t="s">
        <v>1794</v>
      </c>
    </row>
    <row r="638" spans="1:34" ht="48.75" customHeight="1" x14ac:dyDescent="0.25">
      <c r="A638" t="s">
        <v>1330</v>
      </c>
      <c r="B638" t="s">
        <v>1331</v>
      </c>
      <c r="C638" t="s">
        <v>463</v>
      </c>
      <c r="D638" t="s">
        <v>909</v>
      </c>
      <c r="E638" t="s">
        <v>1794</v>
      </c>
      <c r="F638" t="s">
        <v>1042</v>
      </c>
      <c r="G638" t="s">
        <v>1124</v>
      </c>
      <c r="H638" t="s">
        <v>1043</v>
      </c>
      <c r="I638" t="s">
        <v>262</v>
      </c>
      <c r="J638" t="s">
        <v>1039</v>
      </c>
      <c r="K638">
        <v>1</v>
      </c>
      <c r="L638">
        <v>1</v>
      </c>
      <c r="M638" t="s">
        <v>33</v>
      </c>
      <c r="N638">
        <v>1</v>
      </c>
      <c r="O638">
        <v>1</v>
      </c>
      <c r="P638">
        <v>1</v>
      </c>
      <c r="Q638" t="s">
        <v>52</v>
      </c>
      <c r="R638">
        <v>1</v>
      </c>
      <c r="S638">
        <v>1</v>
      </c>
      <c r="T638">
        <v>1</v>
      </c>
      <c r="U638" t="s">
        <v>1794</v>
      </c>
      <c r="V638" t="s">
        <v>1794</v>
      </c>
      <c r="W638" t="s">
        <v>1794</v>
      </c>
      <c r="X638">
        <v>1</v>
      </c>
      <c r="Y638" t="s">
        <v>1794</v>
      </c>
      <c r="Z638">
        <v>0</v>
      </c>
      <c r="AA638" t="s">
        <v>1794</v>
      </c>
      <c r="AB638" t="s">
        <v>1794</v>
      </c>
      <c r="AC638" t="s">
        <v>1794</v>
      </c>
      <c r="AD638" t="s">
        <v>1794</v>
      </c>
      <c r="AE638">
        <v>0</v>
      </c>
      <c r="AF638" t="s">
        <v>1794</v>
      </c>
      <c r="AG638" t="s">
        <v>1794</v>
      </c>
      <c r="AH638" t="s">
        <v>1794</v>
      </c>
    </row>
    <row r="639" spans="1:34" ht="36.75" customHeight="1" x14ac:dyDescent="0.25">
      <c r="A639" t="s">
        <v>1276</v>
      </c>
      <c r="B639" t="s">
        <v>1277</v>
      </c>
      <c r="C639" t="s">
        <v>463</v>
      </c>
      <c r="D639" t="s">
        <v>909</v>
      </c>
      <c r="E639" t="s">
        <v>1794</v>
      </c>
      <c r="F639" t="s">
        <v>1044</v>
      </c>
      <c r="G639" t="s">
        <v>1124</v>
      </c>
      <c r="H639" t="s">
        <v>1045</v>
      </c>
      <c r="I639" t="s">
        <v>262</v>
      </c>
      <c r="J639" t="s">
        <v>1039</v>
      </c>
      <c r="K639">
        <v>1</v>
      </c>
      <c r="L639">
        <v>1</v>
      </c>
      <c r="M639" t="s">
        <v>33</v>
      </c>
      <c r="N639">
        <v>1</v>
      </c>
      <c r="O639">
        <v>1</v>
      </c>
      <c r="P639">
        <v>1</v>
      </c>
      <c r="Q639" t="s">
        <v>52</v>
      </c>
      <c r="R639">
        <v>1</v>
      </c>
      <c r="S639">
        <v>1</v>
      </c>
      <c r="T639">
        <v>1</v>
      </c>
      <c r="U639" t="s">
        <v>1794</v>
      </c>
      <c r="V639" t="s">
        <v>1794</v>
      </c>
      <c r="W639" t="s">
        <v>1794</v>
      </c>
      <c r="X639">
        <v>1</v>
      </c>
      <c r="Y639" t="s">
        <v>1794</v>
      </c>
      <c r="Z639">
        <v>0</v>
      </c>
      <c r="AA639" t="s">
        <v>1794</v>
      </c>
      <c r="AB639" t="s">
        <v>1794</v>
      </c>
      <c r="AC639" t="s">
        <v>1794</v>
      </c>
      <c r="AD639" t="s">
        <v>1794</v>
      </c>
      <c r="AE639">
        <v>0</v>
      </c>
      <c r="AF639" t="s">
        <v>1794</v>
      </c>
      <c r="AG639" t="s">
        <v>1794</v>
      </c>
      <c r="AH639" t="s">
        <v>1794</v>
      </c>
    </row>
    <row r="640" spans="1:34" ht="40.5" customHeight="1" x14ac:dyDescent="0.25">
      <c r="A640" t="s">
        <v>1487</v>
      </c>
      <c r="B640" t="s">
        <v>1488</v>
      </c>
      <c r="C640" t="s">
        <v>463</v>
      </c>
      <c r="D640" t="s">
        <v>909</v>
      </c>
      <c r="E640" t="s">
        <v>1794</v>
      </c>
      <c r="F640" t="s">
        <v>1044</v>
      </c>
      <c r="G640" t="s">
        <v>1124</v>
      </c>
      <c r="H640" t="s">
        <v>1045</v>
      </c>
      <c r="I640" t="s">
        <v>262</v>
      </c>
      <c r="J640" t="s">
        <v>1039</v>
      </c>
      <c r="K640">
        <v>1</v>
      </c>
      <c r="L640">
        <v>1</v>
      </c>
      <c r="M640" t="s">
        <v>33</v>
      </c>
      <c r="N640">
        <v>1</v>
      </c>
      <c r="O640">
        <v>1</v>
      </c>
      <c r="P640">
        <v>1</v>
      </c>
      <c r="Q640" t="s">
        <v>52</v>
      </c>
      <c r="R640">
        <v>1</v>
      </c>
      <c r="S640">
        <v>1</v>
      </c>
      <c r="T640">
        <v>1</v>
      </c>
      <c r="U640" t="s">
        <v>1794</v>
      </c>
      <c r="V640" t="s">
        <v>1794</v>
      </c>
      <c r="W640" t="s">
        <v>1794</v>
      </c>
      <c r="X640">
        <v>1</v>
      </c>
      <c r="Y640" t="s">
        <v>1794</v>
      </c>
      <c r="Z640">
        <v>0</v>
      </c>
      <c r="AA640" t="s">
        <v>1794</v>
      </c>
      <c r="AB640" t="s">
        <v>1794</v>
      </c>
      <c r="AC640" t="s">
        <v>1794</v>
      </c>
      <c r="AD640" t="s">
        <v>1794</v>
      </c>
      <c r="AE640">
        <v>0</v>
      </c>
      <c r="AF640" t="s">
        <v>1794</v>
      </c>
      <c r="AG640" t="s">
        <v>1794</v>
      </c>
      <c r="AH640" t="s">
        <v>1794</v>
      </c>
    </row>
    <row r="641" spans="1:34" ht="29.25" customHeight="1" x14ac:dyDescent="0.25">
      <c r="A641" t="s">
        <v>1600</v>
      </c>
      <c r="B641" t="s">
        <v>1601</v>
      </c>
      <c r="C641" t="s">
        <v>463</v>
      </c>
      <c r="D641" t="s">
        <v>909</v>
      </c>
      <c r="E641" t="s">
        <v>1794</v>
      </c>
      <c r="F641" t="s">
        <v>1044</v>
      </c>
      <c r="G641" t="s">
        <v>1124</v>
      </c>
      <c r="H641" t="s">
        <v>1045</v>
      </c>
      <c r="I641" t="s">
        <v>262</v>
      </c>
      <c r="J641" t="s">
        <v>1039</v>
      </c>
      <c r="K641">
        <v>1</v>
      </c>
      <c r="L641">
        <v>1</v>
      </c>
      <c r="M641" t="s">
        <v>33</v>
      </c>
      <c r="N641">
        <v>1</v>
      </c>
      <c r="O641">
        <v>1</v>
      </c>
      <c r="P641">
        <v>1</v>
      </c>
      <c r="Q641" t="s">
        <v>52</v>
      </c>
      <c r="R641">
        <v>1</v>
      </c>
      <c r="S641">
        <v>1</v>
      </c>
      <c r="T641">
        <v>1</v>
      </c>
      <c r="U641" t="s">
        <v>1794</v>
      </c>
      <c r="V641" t="s">
        <v>1794</v>
      </c>
      <c r="W641" t="s">
        <v>1794</v>
      </c>
      <c r="X641">
        <v>1</v>
      </c>
      <c r="Y641" t="s">
        <v>1794</v>
      </c>
      <c r="Z641">
        <v>0</v>
      </c>
      <c r="AA641" t="s">
        <v>1794</v>
      </c>
      <c r="AB641" t="s">
        <v>1794</v>
      </c>
      <c r="AC641" t="s">
        <v>1794</v>
      </c>
      <c r="AD641" t="s">
        <v>1794</v>
      </c>
      <c r="AE641">
        <v>0</v>
      </c>
      <c r="AF641" t="s">
        <v>1794</v>
      </c>
      <c r="AG641" t="s">
        <v>1794</v>
      </c>
      <c r="AH641" t="s">
        <v>1794</v>
      </c>
    </row>
    <row r="642" spans="1:34" ht="27" customHeight="1" x14ac:dyDescent="0.25">
      <c r="A642" t="s">
        <v>1602</v>
      </c>
      <c r="B642" t="s">
        <v>1603</v>
      </c>
      <c r="C642" t="s">
        <v>463</v>
      </c>
      <c r="D642" t="s">
        <v>909</v>
      </c>
      <c r="E642" t="s">
        <v>1794</v>
      </c>
      <c r="F642" t="s">
        <v>1044</v>
      </c>
      <c r="G642" t="s">
        <v>1124</v>
      </c>
      <c r="H642" t="s">
        <v>1045</v>
      </c>
      <c r="I642" t="s">
        <v>262</v>
      </c>
      <c r="J642" t="s">
        <v>1039</v>
      </c>
      <c r="K642">
        <v>1</v>
      </c>
      <c r="L642">
        <v>1</v>
      </c>
      <c r="M642" t="s">
        <v>33</v>
      </c>
      <c r="N642">
        <v>1</v>
      </c>
      <c r="O642">
        <v>1</v>
      </c>
      <c r="P642">
        <v>1</v>
      </c>
      <c r="Q642" t="s">
        <v>52</v>
      </c>
      <c r="R642">
        <v>1</v>
      </c>
      <c r="S642">
        <v>1</v>
      </c>
      <c r="T642">
        <v>1</v>
      </c>
      <c r="U642" t="s">
        <v>1794</v>
      </c>
      <c r="V642" t="s">
        <v>1794</v>
      </c>
      <c r="W642" t="s">
        <v>1794</v>
      </c>
      <c r="X642">
        <v>1</v>
      </c>
      <c r="Y642" t="s">
        <v>1794</v>
      </c>
      <c r="Z642">
        <v>0</v>
      </c>
      <c r="AA642" t="s">
        <v>1794</v>
      </c>
      <c r="AB642" t="s">
        <v>1794</v>
      </c>
      <c r="AC642" t="s">
        <v>1794</v>
      </c>
      <c r="AD642" t="s">
        <v>1794</v>
      </c>
      <c r="AE642">
        <v>0</v>
      </c>
      <c r="AF642" t="s">
        <v>1794</v>
      </c>
      <c r="AG642" t="s">
        <v>1794</v>
      </c>
      <c r="AH642" t="s">
        <v>1794</v>
      </c>
    </row>
    <row r="643" spans="1:34" x14ac:dyDescent="0.25">
      <c r="A643" t="s">
        <v>1604</v>
      </c>
      <c r="B643" t="s">
        <v>1605</v>
      </c>
      <c r="C643" t="s">
        <v>463</v>
      </c>
      <c r="D643" t="s">
        <v>909</v>
      </c>
      <c r="E643" t="s">
        <v>1794</v>
      </c>
      <c r="F643" t="s">
        <v>1044</v>
      </c>
      <c r="G643" t="s">
        <v>1124</v>
      </c>
      <c r="H643" t="s">
        <v>1045</v>
      </c>
      <c r="I643" t="s">
        <v>262</v>
      </c>
      <c r="J643" t="s">
        <v>1039</v>
      </c>
      <c r="K643">
        <v>1</v>
      </c>
      <c r="L643">
        <v>1</v>
      </c>
      <c r="M643" t="s">
        <v>33</v>
      </c>
      <c r="N643">
        <v>1</v>
      </c>
      <c r="O643">
        <v>1</v>
      </c>
      <c r="P643">
        <v>1</v>
      </c>
      <c r="Q643" t="s">
        <v>52</v>
      </c>
      <c r="R643">
        <v>1</v>
      </c>
      <c r="S643">
        <v>1</v>
      </c>
      <c r="T643">
        <v>1</v>
      </c>
      <c r="U643" t="s">
        <v>1794</v>
      </c>
      <c r="V643" t="s">
        <v>1794</v>
      </c>
      <c r="W643" t="s">
        <v>1794</v>
      </c>
      <c r="X643">
        <v>1</v>
      </c>
      <c r="Y643" t="s">
        <v>1794</v>
      </c>
      <c r="Z643">
        <v>0</v>
      </c>
      <c r="AA643" t="s">
        <v>1794</v>
      </c>
      <c r="AB643" t="s">
        <v>1794</v>
      </c>
      <c r="AC643" t="s">
        <v>1794</v>
      </c>
      <c r="AD643" t="s">
        <v>1794</v>
      </c>
      <c r="AE643">
        <v>0</v>
      </c>
      <c r="AF643" t="s">
        <v>1794</v>
      </c>
      <c r="AG643" t="s">
        <v>1794</v>
      </c>
      <c r="AH643" t="s">
        <v>1794</v>
      </c>
    </row>
    <row r="644" spans="1:34" x14ac:dyDescent="0.25">
      <c r="A644" t="s">
        <v>1330</v>
      </c>
      <c r="B644" t="s">
        <v>1331</v>
      </c>
      <c r="C644" t="s">
        <v>463</v>
      </c>
      <c r="D644" t="s">
        <v>909</v>
      </c>
      <c r="E644" t="s">
        <v>1794</v>
      </c>
      <c r="F644" t="s">
        <v>1044</v>
      </c>
      <c r="G644" t="s">
        <v>1124</v>
      </c>
      <c r="H644" t="s">
        <v>1045</v>
      </c>
      <c r="I644" t="s">
        <v>262</v>
      </c>
      <c r="J644" t="s">
        <v>1039</v>
      </c>
      <c r="K644">
        <v>1</v>
      </c>
      <c r="L644">
        <v>1</v>
      </c>
      <c r="M644" t="s">
        <v>33</v>
      </c>
      <c r="N644">
        <v>1</v>
      </c>
      <c r="O644">
        <v>1</v>
      </c>
      <c r="P644">
        <v>1</v>
      </c>
      <c r="Q644" t="s">
        <v>52</v>
      </c>
      <c r="R644">
        <v>1</v>
      </c>
      <c r="S644">
        <v>1</v>
      </c>
      <c r="T644">
        <v>1</v>
      </c>
      <c r="U644" t="s">
        <v>1794</v>
      </c>
      <c r="V644" t="s">
        <v>1794</v>
      </c>
      <c r="W644" t="s">
        <v>1794</v>
      </c>
      <c r="X644">
        <v>1</v>
      </c>
      <c r="Y644" t="s">
        <v>1794</v>
      </c>
      <c r="Z644">
        <v>0</v>
      </c>
      <c r="AA644" t="s">
        <v>1794</v>
      </c>
      <c r="AB644" t="s">
        <v>1794</v>
      </c>
      <c r="AC644" t="s">
        <v>1794</v>
      </c>
      <c r="AD644" t="s">
        <v>1794</v>
      </c>
      <c r="AE644">
        <v>0</v>
      </c>
      <c r="AF644" t="s">
        <v>1794</v>
      </c>
      <c r="AG644" t="s">
        <v>1794</v>
      </c>
      <c r="AH644" t="s">
        <v>1794</v>
      </c>
    </row>
    <row r="645" spans="1:34" x14ac:dyDescent="0.25">
      <c r="A645" t="s">
        <v>1276</v>
      </c>
      <c r="B645" t="s">
        <v>1277</v>
      </c>
      <c r="C645" t="s">
        <v>463</v>
      </c>
      <c r="D645" t="s">
        <v>909</v>
      </c>
      <c r="E645" t="s">
        <v>1794</v>
      </c>
      <c r="F645" t="s">
        <v>1046</v>
      </c>
      <c r="G645" t="s">
        <v>1124</v>
      </c>
      <c r="H645" t="s">
        <v>1047</v>
      </c>
      <c r="I645" t="s">
        <v>262</v>
      </c>
      <c r="J645" t="s">
        <v>1048</v>
      </c>
      <c r="K645">
        <v>1</v>
      </c>
      <c r="L645">
        <v>1</v>
      </c>
      <c r="M645" t="s">
        <v>33</v>
      </c>
      <c r="N645">
        <v>1</v>
      </c>
      <c r="O645">
        <v>1</v>
      </c>
      <c r="P645">
        <v>1</v>
      </c>
      <c r="Q645" t="s">
        <v>52</v>
      </c>
      <c r="R645">
        <v>1</v>
      </c>
      <c r="S645">
        <v>1</v>
      </c>
      <c r="T645">
        <v>1</v>
      </c>
      <c r="U645" t="s">
        <v>1794</v>
      </c>
      <c r="V645" t="s">
        <v>1794</v>
      </c>
      <c r="W645" t="s">
        <v>1794</v>
      </c>
      <c r="X645">
        <v>1</v>
      </c>
      <c r="Y645" t="s">
        <v>1794</v>
      </c>
      <c r="Z645">
        <v>0</v>
      </c>
      <c r="AA645" t="s">
        <v>1794</v>
      </c>
      <c r="AB645" t="s">
        <v>1794</v>
      </c>
      <c r="AC645" t="s">
        <v>1794</v>
      </c>
      <c r="AD645" t="s">
        <v>1794</v>
      </c>
      <c r="AE645">
        <v>0</v>
      </c>
      <c r="AF645" t="s">
        <v>1794</v>
      </c>
      <c r="AG645" t="s">
        <v>1794</v>
      </c>
      <c r="AH645" t="s">
        <v>1794</v>
      </c>
    </row>
    <row r="646" spans="1:34" ht="38.25" customHeight="1" x14ac:dyDescent="0.25">
      <c r="A646" t="s">
        <v>1600</v>
      </c>
      <c r="B646" t="s">
        <v>1601</v>
      </c>
      <c r="C646" t="s">
        <v>463</v>
      </c>
      <c r="D646" t="s">
        <v>909</v>
      </c>
      <c r="E646" t="s">
        <v>1794</v>
      </c>
      <c r="F646" t="s">
        <v>1046</v>
      </c>
      <c r="G646" t="s">
        <v>1124</v>
      </c>
      <c r="H646" t="s">
        <v>1047</v>
      </c>
      <c r="I646" t="s">
        <v>262</v>
      </c>
      <c r="J646" t="s">
        <v>1048</v>
      </c>
      <c r="K646">
        <v>1</v>
      </c>
      <c r="L646">
        <v>1</v>
      </c>
      <c r="M646" t="s">
        <v>33</v>
      </c>
      <c r="N646">
        <v>1</v>
      </c>
      <c r="O646">
        <v>1</v>
      </c>
      <c r="P646">
        <v>1</v>
      </c>
      <c r="Q646" t="s">
        <v>52</v>
      </c>
      <c r="R646">
        <v>1</v>
      </c>
      <c r="S646">
        <v>1</v>
      </c>
      <c r="T646">
        <v>1</v>
      </c>
      <c r="U646" t="s">
        <v>1794</v>
      </c>
      <c r="V646" t="s">
        <v>1794</v>
      </c>
      <c r="W646" t="s">
        <v>1794</v>
      </c>
      <c r="X646">
        <v>1</v>
      </c>
      <c r="Y646" t="s">
        <v>1794</v>
      </c>
      <c r="Z646">
        <v>0</v>
      </c>
      <c r="AA646" t="s">
        <v>1794</v>
      </c>
      <c r="AB646" t="s">
        <v>1794</v>
      </c>
      <c r="AC646" t="s">
        <v>1794</v>
      </c>
      <c r="AD646" t="s">
        <v>1794</v>
      </c>
      <c r="AE646">
        <v>0</v>
      </c>
      <c r="AF646" t="s">
        <v>1794</v>
      </c>
      <c r="AG646" t="s">
        <v>1794</v>
      </c>
      <c r="AH646" t="s">
        <v>1794</v>
      </c>
    </row>
    <row r="647" spans="1:34" x14ac:dyDescent="0.25">
      <c r="A647" t="s">
        <v>1602</v>
      </c>
      <c r="B647" t="s">
        <v>1603</v>
      </c>
      <c r="C647" t="s">
        <v>463</v>
      </c>
      <c r="D647" t="s">
        <v>909</v>
      </c>
      <c r="E647" t="s">
        <v>1794</v>
      </c>
      <c r="F647" t="s">
        <v>1046</v>
      </c>
      <c r="G647" t="s">
        <v>1124</v>
      </c>
      <c r="H647" t="s">
        <v>1047</v>
      </c>
      <c r="I647" t="s">
        <v>262</v>
      </c>
      <c r="J647" t="s">
        <v>1048</v>
      </c>
      <c r="K647">
        <v>1</v>
      </c>
      <c r="L647">
        <v>1</v>
      </c>
      <c r="M647" t="s">
        <v>33</v>
      </c>
      <c r="N647">
        <v>1</v>
      </c>
      <c r="O647">
        <v>1</v>
      </c>
      <c r="P647">
        <v>1</v>
      </c>
      <c r="Q647" t="s">
        <v>52</v>
      </c>
      <c r="R647">
        <v>1</v>
      </c>
      <c r="S647">
        <v>1</v>
      </c>
      <c r="T647">
        <v>1</v>
      </c>
      <c r="U647" t="s">
        <v>1794</v>
      </c>
      <c r="V647" t="s">
        <v>1794</v>
      </c>
      <c r="W647" t="s">
        <v>1794</v>
      </c>
      <c r="X647">
        <v>1</v>
      </c>
      <c r="Y647" t="s">
        <v>1794</v>
      </c>
      <c r="Z647">
        <v>0</v>
      </c>
      <c r="AA647" t="s">
        <v>1794</v>
      </c>
      <c r="AB647" t="s">
        <v>1794</v>
      </c>
      <c r="AC647" t="s">
        <v>1794</v>
      </c>
      <c r="AD647" t="s">
        <v>1794</v>
      </c>
      <c r="AE647">
        <v>0</v>
      </c>
      <c r="AF647" t="s">
        <v>1794</v>
      </c>
      <c r="AG647" t="s">
        <v>1794</v>
      </c>
      <c r="AH647" t="s">
        <v>1794</v>
      </c>
    </row>
    <row r="648" spans="1:34" x14ac:dyDescent="0.25">
      <c r="A648" t="s">
        <v>1330</v>
      </c>
      <c r="B648" t="s">
        <v>1331</v>
      </c>
      <c r="C648" t="s">
        <v>463</v>
      </c>
      <c r="D648" t="s">
        <v>909</v>
      </c>
      <c r="E648" t="s">
        <v>1794</v>
      </c>
      <c r="F648" t="s">
        <v>1046</v>
      </c>
      <c r="G648" t="s">
        <v>1124</v>
      </c>
      <c r="H648" t="s">
        <v>1047</v>
      </c>
      <c r="I648" t="s">
        <v>262</v>
      </c>
      <c r="J648" t="s">
        <v>1048</v>
      </c>
      <c r="K648">
        <v>1</v>
      </c>
      <c r="L648">
        <v>1</v>
      </c>
      <c r="M648" t="s">
        <v>33</v>
      </c>
      <c r="N648">
        <v>1</v>
      </c>
      <c r="O648">
        <v>1</v>
      </c>
      <c r="P648">
        <v>1</v>
      </c>
      <c r="Q648" t="s">
        <v>52</v>
      </c>
      <c r="R648">
        <v>1</v>
      </c>
      <c r="S648">
        <v>1</v>
      </c>
      <c r="T648">
        <v>1</v>
      </c>
      <c r="U648" t="s">
        <v>1794</v>
      </c>
      <c r="V648" t="s">
        <v>1794</v>
      </c>
      <c r="W648" t="s">
        <v>1794</v>
      </c>
      <c r="X648">
        <v>1</v>
      </c>
      <c r="Y648" t="s">
        <v>1794</v>
      </c>
      <c r="Z648">
        <v>0</v>
      </c>
      <c r="AA648" t="s">
        <v>1794</v>
      </c>
      <c r="AB648" t="s">
        <v>1794</v>
      </c>
      <c r="AC648" t="s">
        <v>1794</v>
      </c>
      <c r="AD648" t="s">
        <v>1794</v>
      </c>
      <c r="AE648">
        <v>0</v>
      </c>
      <c r="AF648" t="s">
        <v>1794</v>
      </c>
      <c r="AG648" t="s">
        <v>1794</v>
      </c>
      <c r="AH648" t="s">
        <v>1794</v>
      </c>
    </row>
    <row r="649" spans="1:34" x14ac:dyDescent="0.25">
      <c r="A649" t="s">
        <v>1276</v>
      </c>
      <c r="B649" t="s">
        <v>1277</v>
      </c>
      <c r="C649" t="s">
        <v>463</v>
      </c>
      <c r="D649" t="s">
        <v>909</v>
      </c>
      <c r="E649" t="s">
        <v>1794</v>
      </c>
      <c r="F649" t="s">
        <v>1049</v>
      </c>
      <c r="G649" t="s">
        <v>1124</v>
      </c>
      <c r="H649" t="s">
        <v>1050</v>
      </c>
      <c r="I649" t="s">
        <v>262</v>
      </c>
      <c r="J649" t="s">
        <v>1048</v>
      </c>
      <c r="K649">
        <v>1</v>
      </c>
      <c r="L649">
        <v>1</v>
      </c>
      <c r="M649" t="s">
        <v>33</v>
      </c>
      <c r="N649">
        <v>1</v>
      </c>
      <c r="O649">
        <v>1</v>
      </c>
      <c r="P649">
        <v>1</v>
      </c>
      <c r="Q649" t="s">
        <v>52</v>
      </c>
      <c r="R649">
        <v>1</v>
      </c>
      <c r="S649">
        <v>1</v>
      </c>
      <c r="T649">
        <v>1</v>
      </c>
      <c r="U649" t="s">
        <v>1794</v>
      </c>
      <c r="V649" t="s">
        <v>1794</v>
      </c>
      <c r="W649" t="s">
        <v>1794</v>
      </c>
      <c r="X649">
        <v>1</v>
      </c>
      <c r="Y649" t="s">
        <v>1794</v>
      </c>
      <c r="Z649">
        <v>0</v>
      </c>
      <c r="AA649" t="s">
        <v>1794</v>
      </c>
      <c r="AB649" t="s">
        <v>1794</v>
      </c>
      <c r="AC649" t="s">
        <v>1794</v>
      </c>
      <c r="AD649" t="s">
        <v>1794</v>
      </c>
      <c r="AE649">
        <v>0</v>
      </c>
      <c r="AF649" t="s">
        <v>1794</v>
      </c>
      <c r="AG649" t="s">
        <v>1794</v>
      </c>
      <c r="AH649" t="s">
        <v>1794</v>
      </c>
    </row>
    <row r="650" spans="1:34" x14ac:dyDescent="0.25">
      <c r="A650" t="s">
        <v>1600</v>
      </c>
      <c r="B650" t="s">
        <v>1601</v>
      </c>
      <c r="C650" t="s">
        <v>463</v>
      </c>
      <c r="D650" t="s">
        <v>909</v>
      </c>
      <c r="E650" t="s">
        <v>1794</v>
      </c>
      <c r="F650" t="s">
        <v>1049</v>
      </c>
      <c r="G650" t="s">
        <v>1124</v>
      </c>
      <c r="H650" t="s">
        <v>1050</v>
      </c>
      <c r="I650" t="s">
        <v>262</v>
      </c>
      <c r="J650" t="s">
        <v>1048</v>
      </c>
      <c r="K650">
        <v>1</v>
      </c>
      <c r="L650">
        <v>1</v>
      </c>
      <c r="M650" t="s">
        <v>33</v>
      </c>
      <c r="N650">
        <v>1</v>
      </c>
      <c r="O650">
        <v>1</v>
      </c>
      <c r="P650">
        <v>1</v>
      </c>
      <c r="Q650" t="s">
        <v>52</v>
      </c>
      <c r="R650">
        <v>1</v>
      </c>
      <c r="S650">
        <v>1</v>
      </c>
      <c r="T650">
        <v>1</v>
      </c>
      <c r="U650" t="s">
        <v>1794</v>
      </c>
      <c r="V650" t="s">
        <v>1794</v>
      </c>
      <c r="W650" t="s">
        <v>1794</v>
      </c>
      <c r="X650">
        <v>1</v>
      </c>
      <c r="Y650" t="s">
        <v>1794</v>
      </c>
      <c r="Z650">
        <v>0</v>
      </c>
      <c r="AA650" t="s">
        <v>1794</v>
      </c>
      <c r="AB650" t="s">
        <v>1794</v>
      </c>
      <c r="AC650" t="s">
        <v>1794</v>
      </c>
      <c r="AD650" t="s">
        <v>1794</v>
      </c>
      <c r="AE650">
        <v>0</v>
      </c>
      <c r="AF650" t="s">
        <v>1794</v>
      </c>
      <c r="AG650" t="s">
        <v>1794</v>
      </c>
      <c r="AH650" t="s">
        <v>1794</v>
      </c>
    </row>
    <row r="651" spans="1:34" x14ac:dyDescent="0.25">
      <c r="A651" t="s">
        <v>1602</v>
      </c>
      <c r="B651" t="s">
        <v>1603</v>
      </c>
      <c r="C651" t="s">
        <v>463</v>
      </c>
      <c r="D651" t="s">
        <v>909</v>
      </c>
      <c r="E651" t="s">
        <v>1794</v>
      </c>
      <c r="F651" t="s">
        <v>1049</v>
      </c>
      <c r="G651" t="s">
        <v>1124</v>
      </c>
      <c r="H651" t="s">
        <v>1050</v>
      </c>
      <c r="I651" t="s">
        <v>262</v>
      </c>
      <c r="J651" t="s">
        <v>1048</v>
      </c>
      <c r="K651">
        <v>1</v>
      </c>
      <c r="L651">
        <v>1</v>
      </c>
      <c r="M651" t="s">
        <v>33</v>
      </c>
      <c r="N651">
        <v>1</v>
      </c>
      <c r="O651">
        <v>1</v>
      </c>
      <c r="P651">
        <v>1</v>
      </c>
      <c r="Q651" t="s">
        <v>52</v>
      </c>
      <c r="R651">
        <v>1</v>
      </c>
      <c r="S651">
        <v>1</v>
      </c>
      <c r="T651">
        <v>1</v>
      </c>
      <c r="U651" t="s">
        <v>1794</v>
      </c>
      <c r="V651" t="s">
        <v>1794</v>
      </c>
      <c r="W651" t="s">
        <v>1794</v>
      </c>
      <c r="X651">
        <v>1</v>
      </c>
      <c r="Y651" t="s">
        <v>1794</v>
      </c>
      <c r="Z651">
        <v>0</v>
      </c>
      <c r="AA651" t="s">
        <v>1794</v>
      </c>
      <c r="AB651" t="s">
        <v>1794</v>
      </c>
      <c r="AC651" t="s">
        <v>1794</v>
      </c>
      <c r="AD651" t="s">
        <v>1794</v>
      </c>
      <c r="AE651">
        <v>0</v>
      </c>
      <c r="AF651" t="s">
        <v>1794</v>
      </c>
      <c r="AG651" t="s">
        <v>1794</v>
      </c>
      <c r="AH651" t="s">
        <v>1794</v>
      </c>
    </row>
    <row r="652" spans="1:34" x14ac:dyDescent="0.25">
      <c r="A652" t="s">
        <v>1330</v>
      </c>
      <c r="B652" t="s">
        <v>1331</v>
      </c>
      <c r="C652" t="s">
        <v>463</v>
      </c>
      <c r="D652" t="s">
        <v>909</v>
      </c>
      <c r="E652" t="s">
        <v>1794</v>
      </c>
      <c r="F652" t="s">
        <v>1049</v>
      </c>
      <c r="G652" t="s">
        <v>1124</v>
      </c>
      <c r="H652" t="s">
        <v>1050</v>
      </c>
      <c r="I652" t="s">
        <v>262</v>
      </c>
      <c r="J652" t="s">
        <v>1048</v>
      </c>
      <c r="K652">
        <v>1</v>
      </c>
      <c r="L652">
        <v>1</v>
      </c>
      <c r="M652" t="s">
        <v>33</v>
      </c>
      <c r="N652">
        <v>1</v>
      </c>
      <c r="O652">
        <v>1</v>
      </c>
      <c r="P652">
        <v>1</v>
      </c>
      <c r="Q652" t="s">
        <v>52</v>
      </c>
      <c r="R652">
        <v>1</v>
      </c>
      <c r="S652">
        <v>1</v>
      </c>
      <c r="T652">
        <v>1</v>
      </c>
      <c r="U652" t="s">
        <v>1794</v>
      </c>
      <c r="V652" t="s">
        <v>1794</v>
      </c>
      <c r="W652" t="s">
        <v>1794</v>
      </c>
      <c r="X652">
        <v>1</v>
      </c>
      <c r="Y652" t="s">
        <v>1794</v>
      </c>
      <c r="Z652">
        <v>0</v>
      </c>
      <c r="AA652" t="s">
        <v>1794</v>
      </c>
      <c r="AB652" t="s">
        <v>1794</v>
      </c>
      <c r="AC652" t="s">
        <v>1794</v>
      </c>
      <c r="AD652" t="s">
        <v>1794</v>
      </c>
      <c r="AE652">
        <v>0</v>
      </c>
      <c r="AF652" t="s">
        <v>1794</v>
      </c>
      <c r="AG652" t="s">
        <v>1794</v>
      </c>
      <c r="AH652" t="s">
        <v>1794</v>
      </c>
    </row>
    <row r="653" spans="1:34" x14ac:dyDescent="0.25">
      <c r="A653" t="s">
        <v>1276</v>
      </c>
      <c r="B653" t="s">
        <v>1277</v>
      </c>
      <c r="C653" t="s">
        <v>463</v>
      </c>
      <c r="D653" t="s">
        <v>909</v>
      </c>
      <c r="E653" t="s">
        <v>1794</v>
      </c>
      <c r="F653" t="s">
        <v>1051</v>
      </c>
      <c r="G653" t="s">
        <v>1124</v>
      </c>
      <c r="H653" t="s">
        <v>1052</v>
      </c>
      <c r="I653" t="s">
        <v>262</v>
      </c>
      <c r="J653" t="s">
        <v>1048</v>
      </c>
      <c r="K653">
        <v>1</v>
      </c>
      <c r="L653">
        <v>1</v>
      </c>
      <c r="M653" t="s">
        <v>33</v>
      </c>
      <c r="N653">
        <v>1</v>
      </c>
      <c r="O653">
        <v>1</v>
      </c>
      <c r="P653">
        <v>1</v>
      </c>
      <c r="Q653" t="s">
        <v>52</v>
      </c>
      <c r="R653">
        <v>1</v>
      </c>
      <c r="S653">
        <v>1</v>
      </c>
      <c r="T653">
        <v>1</v>
      </c>
      <c r="U653" t="s">
        <v>1794</v>
      </c>
      <c r="V653" t="s">
        <v>1794</v>
      </c>
      <c r="W653" t="s">
        <v>1794</v>
      </c>
      <c r="X653">
        <v>1</v>
      </c>
      <c r="Y653" t="s">
        <v>1794</v>
      </c>
      <c r="Z653">
        <v>0</v>
      </c>
      <c r="AA653" t="s">
        <v>1794</v>
      </c>
      <c r="AB653" t="s">
        <v>1794</v>
      </c>
      <c r="AC653" t="s">
        <v>1794</v>
      </c>
      <c r="AD653" t="s">
        <v>1794</v>
      </c>
      <c r="AE653">
        <v>0</v>
      </c>
      <c r="AF653" t="s">
        <v>1794</v>
      </c>
      <c r="AG653" t="s">
        <v>1794</v>
      </c>
      <c r="AH653" t="s">
        <v>1794</v>
      </c>
    </row>
    <row r="654" spans="1:34" x14ac:dyDescent="0.25">
      <c r="A654" t="s">
        <v>1600</v>
      </c>
      <c r="B654" t="s">
        <v>1601</v>
      </c>
      <c r="C654" t="s">
        <v>463</v>
      </c>
      <c r="D654" t="s">
        <v>909</v>
      </c>
      <c r="E654" t="s">
        <v>1794</v>
      </c>
      <c r="F654" t="s">
        <v>1051</v>
      </c>
      <c r="G654" t="s">
        <v>1124</v>
      </c>
      <c r="H654" t="s">
        <v>1052</v>
      </c>
      <c r="I654" t="s">
        <v>262</v>
      </c>
      <c r="J654" t="s">
        <v>1048</v>
      </c>
      <c r="K654">
        <v>1</v>
      </c>
      <c r="L654">
        <v>1</v>
      </c>
      <c r="M654" t="s">
        <v>33</v>
      </c>
      <c r="N654">
        <v>1</v>
      </c>
      <c r="O654">
        <v>1</v>
      </c>
      <c r="P654">
        <v>1</v>
      </c>
      <c r="Q654" t="s">
        <v>52</v>
      </c>
      <c r="R654">
        <v>1</v>
      </c>
      <c r="S654">
        <v>1</v>
      </c>
      <c r="T654">
        <v>1</v>
      </c>
      <c r="U654" t="s">
        <v>1794</v>
      </c>
      <c r="V654" t="s">
        <v>1794</v>
      </c>
      <c r="W654" t="s">
        <v>1794</v>
      </c>
      <c r="X654">
        <v>1</v>
      </c>
      <c r="Y654" t="s">
        <v>1794</v>
      </c>
      <c r="Z654">
        <v>0</v>
      </c>
      <c r="AA654" t="s">
        <v>1794</v>
      </c>
      <c r="AB654" t="s">
        <v>1794</v>
      </c>
      <c r="AC654" t="s">
        <v>1794</v>
      </c>
      <c r="AD654" t="s">
        <v>1794</v>
      </c>
      <c r="AE654">
        <v>0</v>
      </c>
      <c r="AF654" t="s">
        <v>1794</v>
      </c>
      <c r="AG654" t="s">
        <v>1794</v>
      </c>
      <c r="AH654" t="s">
        <v>1794</v>
      </c>
    </row>
    <row r="655" spans="1:34" x14ac:dyDescent="0.25">
      <c r="A655" t="s">
        <v>1602</v>
      </c>
      <c r="B655" t="s">
        <v>1603</v>
      </c>
      <c r="C655" t="s">
        <v>463</v>
      </c>
      <c r="D655" t="s">
        <v>909</v>
      </c>
      <c r="E655" t="s">
        <v>1794</v>
      </c>
      <c r="F655" t="s">
        <v>1051</v>
      </c>
      <c r="G655" t="s">
        <v>1124</v>
      </c>
      <c r="H655" t="s">
        <v>1052</v>
      </c>
      <c r="I655" t="s">
        <v>262</v>
      </c>
      <c r="J655" t="s">
        <v>1048</v>
      </c>
      <c r="K655">
        <v>1</v>
      </c>
      <c r="L655">
        <v>1</v>
      </c>
      <c r="M655" t="s">
        <v>33</v>
      </c>
      <c r="N655">
        <v>1</v>
      </c>
      <c r="O655">
        <v>1</v>
      </c>
      <c r="P655">
        <v>1</v>
      </c>
      <c r="Q655" t="s">
        <v>52</v>
      </c>
      <c r="R655">
        <v>1</v>
      </c>
      <c r="S655">
        <v>1</v>
      </c>
      <c r="T655">
        <v>1</v>
      </c>
      <c r="U655" t="s">
        <v>1794</v>
      </c>
      <c r="V655" t="s">
        <v>1794</v>
      </c>
      <c r="W655" t="s">
        <v>1794</v>
      </c>
      <c r="X655">
        <v>1</v>
      </c>
      <c r="Y655" t="s">
        <v>1794</v>
      </c>
      <c r="Z655">
        <v>0</v>
      </c>
      <c r="AA655" t="s">
        <v>1794</v>
      </c>
      <c r="AB655" t="s">
        <v>1794</v>
      </c>
      <c r="AC655" t="s">
        <v>1794</v>
      </c>
      <c r="AD655" t="s">
        <v>1794</v>
      </c>
      <c r="AE655">
        <v>0</v>
      </c>
      <c r="AF655" t="s">
        <v>1794</v>
      </c>
      <c r="AG655" t="s">
        <v>1794</v>
      </c>
      <c r="AH655" t="s">
        <v>1794</v>
      </c>
    </row>
    <row r="656" spans="1:34" x14ac:dyDescent="0.25">
      <c r="A656" t="s">
        <v>1330</v>
      </c>
      <c r="B656" t="s">
        <v>1331</v>
      </c>
      <c r="C656" t="s">
        <v>463</v>
      </c>
      <c r="D656" t="s">
        <v>909</v>
      </c>
      <c r="E656" t="s">
        <v>1794</v>
      </c>
      <c r="F656" t="s">
        <v>1051</v>
      </c>
      <c r="G656" t="s">
        <v>1124</v>
      </c>
      <c r="H656" t="s">
        <v>1052</v>
      </c>
      <c r="I656" t="s">
        <v>262</v>
      </c>
      <c r="J656" t="s">
        <v>1048</v>
      </c>
      <c r="K656">
        <v>1</v>
      </c>
      <c r="L656">
        <v>1</v>
      </c>
      <c r="M656" t="s">
        <v>33</v>
      </c>
      <c r="N656">
        <v>1</v>
      </c>
      <c r="O656">
        <v>1</v>
      </c>
      <c r="P656">
        <v>1</v>
      </c>
      <c r="Q656" t="s">
        <v>52</v>
      </c>
      <c r="R656">
        <v>1</v>
      </c>
      <c r="S656">
        <v>1</v>
      </c>
      <c r="T656">
        <v>1</v>
      </c>
      <c r="U656" t="s">
        <v>1794</v>
      </c>
      <c r="V656" t="s">
        <v>1794</v>
      </c>
      <c r="W656" t="s">
        <v>1794</v>
      </c>
      <c r="X656">
        <v>1</v>
      </c>
      <c r="Y656" t="s">
        <v>1794</v>
      </c>
      <c r="Z656">
        <v>0</v>
      </c>
      <c r="AA656" t="s">
        <v>1794</v>
      </c>
      <c r="AB656" t="s">
        <v>1794</v>
      </c>
      <c r="AC656" t="s">
        <v>1794</v>
      </c>
      <c r="AD656" t="s">
        <v>1794</v>
      </c>
      <c r="AE656">
        <v>0</v>
      </c>
      <c r="AF656" t="s">
        <v>1794</v>
      </c>
      <c r="AG656" t="s">
        <v>1794</v>
      </c>
      <c r="AH656" t="s">
        <v>1794</v>
      </c>
    </row>
    <row r="657" spans="1:34" ht="29.1" customHeight="1" x14ac:dyDescent="0.25">
      <c r="A657" t="s">
        <v>1276</v>
      </c>
      <c r="B657" t="s">
        <v>1277</v>
      </c>
      <c r="C657" t="s">
        <v>463</v>
      </c>
      <c r="D657" t="s">
        <v>909</v>
      </c>
      <c r="E657" t="s">
        <v>1794</v>
      </c>
      <c r="F657" t="s">
        <v>1053</v>
      </c>
      <c r="G657" t="s">
        <v>1124</v>
      </c>
      <c r="H657" t="s">
        <v>1054</v>
      </c>
      <c r="I657" t="s">
        <v>262</v>
      </c>
      <c r="J657" t="s">
        <v>1048</v>
      </c>
      <c r="K657">
        <v>1</v>
      </c>
      <c r="L657">
        <v>1</v>
      </c>
      <c r="M657" t="s">
        <v>33</v>
      </c>
      <c r="N657">
        <v>1</v>
      </c>
      <c r="O657">
        <v>1</v>
      </c>
      <c r="P657">
        <v>1</v>
      </c>
      <c r="Q657" t="s">
        <v>52</v>
      </c>
      <c r="R657">
        <v>1</v>
      </c>
      <c r="S657">
        <v>1</v>
      </c>
      <c r="T657">
        <v>1</v>
      </c>
      <c r="U657" t="s">
        <v>1794</v>
      </c>
      <c r="V657" t="s">
        <v>1794</v>
      </c>
      <c r="W657" t="s">
        <v>1794</v>
      </c>
      <c r="X657">
        <v>1</v>
      </c>
      <c r="Y657" t="s">
        <v>1794</v>
      </c>
      <c r="Z657">
        <v>0</v>
      </c>
      <c r="AA657" t="s">
        <v>1794</v>
      </c>
      <c r="AB657" t="s">
        <v>1794</v>
      </c>
      <c r="AC657" t="s">
        <v>1794</v>
      </c>
      <c r="AD657" t="s">
        <v>1794</v>
      </c>
      <c r="AE657">
        <v>0</v>
      </c>
      <c r="AF657" t="s">
        <v>1794</v>
      </c>
      <c r="AG657" t="s">
        <v>1794</v>
      </c>
      <c r="AH657" t="s">
        <v>1794</v>
      </c>
    </row>
    <row r="658" spans="1:34" ht="29.1" customHeight="1" x14ac:dyDescent="0.25">
      <c r="A658" t="s">
        <v>1487</v>
      </c>
      <c r="B658" t="s">
        <v>1488</v>
      </c>
      <c r="C658" t="s">
        <v>463</v>
      </c>
      <c r="D658" t="s">
        <v>909</v>
      </c>
      <c r="E658" t="s">
        <v>1794</v>
      </c>
      <c r="F658" t="s">
        <v>1053</v>
      </c>
      <c r="G658" t="s">
        <v>1124</v>
      </c>
      <c r="H658" t="s">
        <v>1054</v>
      </c>
      <c r="I658" t="s">
        <v>262</v>
      </c>
      <c r="J658" t="s">
        <v>1048</v>
      </c>
      <c r="K658">
        <v>1</v>
      </c>
      <c r="L658">
        <v>1</v>
      </c>
      <c r="M658" t="s">
        <v>33</v>
      </c>
      <c r="N658">
        <v>1</v>
      </c>
      <c r="O658">
        <v>1</v>
      </c>
      <c r="P658">
        <v>1</v>
      </c>
      <c r="Q658" t="s">
        <v>52</v>
      </c>
      <c r="R658">
        <v>1</v>
      </c>
      <c r="S658">
        <v>1</v>
      </c>
      <c r="T658">
        <v>1</v>
      </c>
      <c r="U658" t="s">
        <v>1794</v>
      </c>
      <c r="V658" t="s">
        <v>1794</v>
      </c>
      <c r="W658" t="s">
        <v>1794</v>
      </c>
      <c r="X658">
        <v>1</v>
      </c>
      <c r="Y658" t="s">
        <v>1794</v>
      </c>
      <c r="Z658">
        <v>0</v>
      </c>
      <c r="AA658" t="s">
        <v>1794</v>
      </c>
      <c r="AB658" t="s">
        <v>1794</v>
      </c>
      <c r="AC658" t="s">
        <v>1794</v>
      </c>
      <c r="AD658" t="s">
        <v>1794</v>
      </c>
      <c r="AE658">
        <v>0</v>
      </c>
      <c r="AF658" t="s">
        <v>1794</v>
      </c>
      <c r="AG658" t="s">
        <v>1794</v>
      </c>
      <c r="AH658" t="s">
        <v>1794</v>
      </c>
    </row>
    <row r="659" spans="1:34" x14ac:dyDescent="0.25">
      <c r="A659" t="s">
        <v>1600</v>
      </c>
      <c r="B659" t="s">
        <v>1601</v>
      </c>
      <c r="C659" t="s">
        <v>463</v>
      </c>
      <c r="D659" t="s">
        <v>909</v>
      </c>
      <c r="E659" t="s">
        <v>1794</v>
      </c>
      <c r="F659" t="s">
        <v>1053</v>
      </c>
      <c r="G659" t="s">
        <v>1124</v>
      </c>
      <c r="H659" t="s">
        <v>1054</v>
      </c>
      <c r="I659" t="s">
        <v>262</v>
      </c>
      <c r="J659" t="s">
        <v>1048</v>
      </c>
      <c r="K659">
        <v>1</v>
      </c>
      <c r="L659">
        <v>1</v>
      </c>
      <c r="M659" t="s">
        <v>33</v>
      </c>
      <c r="N659">
        <v>1</v>
      </c>
      <c r="O659">
        <v>1</v>
      </c>
      <c r="P659">
        <v>1</v>
      </c>
      <c r="Q659" t="s">
        <v>52</v>
      </c>
      <c r="R659">
        <v>1</v>
      </c>
      <c r="S659">
        <v>1</v>
      </c>
      <c r="T659">
        <v>1</v>
      </c>
      <c r="U659" t="s">
        <v>1794</v>
      </c>
      <c r="V659" t="s">
        <v>1794</v>
      </c>
      <c r="W659" t="s">
        <v>1794</v>
      </c>
      <c r="X659">
        <v>1</v>
      </c>
      <c r="Y659" t="s">
        <v>1794</v>
      </c>
      <c r="Z659">
        <v>0</v>
      </c>
      <c r="AA659" t="s">
        <v>1794</v>
      </c>
      <c r="AB659" t="s">
        <v>1794</v>
      </c>
      <c r="AC659" t="s">
        <v>1794</v>
      </c>
      <c r="AD659" t="s">
        <v>1794</v>
      </c>
      <c r="AE659">
        <v>0</v>
      </c>
      <c r="AF659" t="s">
        <v>1794</v>
      </c>
      <c r="AG659" t="s">
        <v>1794</v>
      </c>
      <c r="AH659" t="s">
        <v>1794</v>
      </c>
    </row>
    <row r="660" spans="1:34" x14ac:dyDescent="0.25">
      <c r="A660" t="s">
        <v>1602</v>
      </c>
      <c r="B660" t="s">
        <v>1603</v>
      </c>
      <c r="C660" t="s">
        <v>463</v>
      </c>
      <c r="D660" t="s">
        <v>909</v>
      </c>
      <c r="E660" t="s">
        <v>1794</v>
      </c>
      <c r="F660" t="s">
        <v>1053</v>
      </c>
      <c r="G660" t="s">
        <v>1124</v>
      </c>
      <c r="H660" t="s">
        <v>1054</v>
      </c>
      <c r="I660" t="s">
        <v>262</v>
      </c>
      <c r="J660" t="s">
        <v>1048</v>
      </c>
      <c r="K660">
        <v>1</v>
      </c>
      <c r="L660">
        <v>1</v>
      </c>
      <c r="M660" t="s">
        <v>33</v>
      </c>
      <c r="N660">
        <v>1</v>
      </c>
      <c r="O660">
        <v>1</v>
      </c>
      <c r="P660">
        <v>1</v>
      </c>
      <c r="Q660" t="s">
        <v>52</v>
      </c>
      <c r="R660">
        <v>1</v>
      </c>
      <c r="S660">
        <v>1</v>
      </c>
      <c r="T660">
        <v>1</v>
      </c>
      <c r="U660" t="s">
        <v>1794</v>
      </c>
      <c r="V660" t="s">
        <v>1794</v>
      </c>
      <c r="W660" t="s">
        <v>1794</v>
      </c>
      <c r="X660">
        <v>1</v>
      </c>
      <c r="Y660" t="s">
        <v>1794</v>
      </c>
      <c r="Z660">
        <v>0</v>
      </c>
      <c r="AA660" t="s">
        <v>1794</v>
      </c>
      <c r="AB660" t="s">
        <v>1794</v>
      </c>
      <c r="AC660" t="s">
        <v>1794</v>
      </c>
      <c r="AD660" t="s">
        <v>1794</v>
      </c>
      <c r="AE660">
        <v>0</v>
      </c>
      <c r="AF660" t="s">
        <v>1794</v>
      </c>
      <c r="AG660" t="s">
        <v>1794</v>
      </c>
      <c r="AH660" t="s">
        <v>1794</v>
      </c>
    </row>
    <row r="661" spans="1:34" x14ac:dyDescent="0.25">
      <c r="A661" t="s">
        <v>1604</v>
      </c>
      <c r="B661" t="s">
        <v>1605</v>
      </c>
      <c r="C661" t="s">
        <v>463</v>
      </c>
      <c r="D661" t="s">
        <v>909</v>
      </c>
      <c r="E661" t="s">
        <v>1794</v>
      </c>
      <c r="F661" t="s">
        <v>1053</v>
      </c>
      <c r="G661" t="s">
        <v>1124</v>
      </c>
      <c r="H661" t="s">
        <v>1054</v>
      </c>
      <c r="I661" t="s">
        <v>262</v>
      </c>
      <c r="J661" t="s">
        <v>1048</v>
      </c>
      <c r="K661">
        <v>1</v>
      </c>
      <c r="L661">
        <v>1</v>
      </c>
      <c r="M661" t="s">
        <v>33</v>
      </c>
      <c r="N661">
        <v>1</v>
      </c>
      <c r="O661">
        <v>1</v>
      </c>
      <c r="P661">
        <v>1</v>
      </c>
      <c r="Q661" t="s">
        <v>52</v>
      </c>
      <c r="R661">
        <v>1</v>
      </c>
      <c r="S661">
        <v>1</v>
      </c>
      <c r="T661">
        <v>1</v>
      </c>
      <c r="U661" t="s">
        <v>1794</v>
      </c>
      <c r="V661" t="s">
        <v>1794</v>
      </c>
      <c r="W661" t="s">
        <v>1794</v>
      </c>
      <c r="X661">
        <v>1</v>
      </c>
      <c r="Y661" t="s">
        <v>1794</v>
      </c>
      <c r="Z661">
        <v>0</v>
      </c>
      <c r="AA661" t="s">
        <v>1794</v>
      </c>
      <c r="AB661" t="s">
        <v>1794</v>
      </c>
      <c r="AC661" t="s">
        <v>1794</v>
      </c>
      <c r="AD661" t="s">
        <v>1794</v>
      </c>
      <c r="AE661">
        <v>0</v>
      </c>
      <c r="AF661" t="s">
        <v>1794</v>
      </c>
      <c r="AG661" t="s">
        <v>1794</v>
      </c>
      <c r="AH661" t="s">
        <v>1794</v>
      </c>
    </row>
    <row r="662" spans="1:34" x14ac:dyDescent="0.25">
      <c r="A662" t="s">
        <v>1330</v>
      </c>
      <c r="B662" t="s">
        <v>1331</v>
      </c>
      <c r="C662" t="s">
        <v>463</v>
      </c>
      <c r="D662" t="s">
        <v>909</v>
      </c>
      <c r="E662" t="s">
        <v>1794</v>
      </c>
      <c r="F662" t="s">
        <v>1053</v>
      </c>
      <c r="G662" t="s">
        <v>1124</v>
      </c>
      <c r="H662" t="s">
        <v>1054</v>
      </c>
      <c r="I662" t="s">
        <v>262</v>
      </c>
      <c r="J662" t="s">
        <v>1048</v>
      </c>
      <c r="K662">
        <v>1</v>
      </c>
      <c r="L662">
        <v>1</v>
      </c>
      <c r="M662" t="s">
        <v>33</v>
      </c>
      <c r="N662">
        <v>1</v>
      </c>
      <c r="O662">
        <v>1</v>
      </c>
      <c r="P662">
        <v>1</v>
      </c>
      <c r="Q662" t="s">
        <v>52</v>
      </c>
      <c r="R662">
        <v>1</v>
      </c>
      <c r="S662">
        <v>1</v>
      </c>
      <c r="T662">
        <v>1</v>
      </c>
      <c r="U662" t="s">
        <v>1794</v>
      </c>
      <c r="V662" t="s">
        <v>1794</v>
      </c>
      <c r="W662" t="s">
        <v>1794</v>
      </c>
      <c r="X662">
        <v>1</v>
      </c>
      <c r="Y662" t="s">
        <v>1794</v>
      </c>
      <c r="Z662">
        <v>0</v>
      </c>
      <c r="AA662" t="s">
        <v>1794</v>
      </c>
      <c r="AB662" t="s">
        <v>1794</v>
      </c>
      <c r="AC662" t="s">
        <v>1794</v>
      </c>
      <c r="AD662" t="s">
        <v>1794</v>
      </c>
      <c r="AE662">
        <v>0</v>
      </c>
      <c r="AF662" t="s">
        <v>1794</v>
      </c>
      <c r="AG662" t="s">
        <v>1794</v>
      </c>
      <c r="AH662" t="s">
        <v>1794</v>
      </c>
    </row>
    <row r="663" spans="1:34" x14ac:dyDescent="0.25">
      <c r="A663" t="s">
        <v>1276</v>
      </c>
      <c r="B663" t="s">
        <v>1277</v>
      </c>
      <c r="C663" t="s">
        <v>463</v>
      </c>
      <c r="D663" t="s">
        <v>909</v>
      </c>
      <c r="E663" t="s">
        <v>1794</v>
      </c>
      <c r="F663" t="s">
        <v>1055</v>
      </c>
      <c r="G663" t="s">
        <v>1124</v>
      </c>
      <c r="H663" t="s">
        <v>1056</v>
      </c>
      <c r="I663" t="s">
        <v>262</v>
      </c>
      <c r="J663" t="s">
        <v>1039</v>
      </c>
      <c r="K663">
        <v>1</v>
      </c>
      <c r="L663">
        <v>1</v>
      </c>
      <c r="M663" t="s">
        <v>33</v>
      </c>
      <c r="N663">
        <v>1</v>
      </c>
      <c r="O663">
        <v>1</v>
      </c>
      <c r="P663">
        <v>1</v>
      </c>
      <c r="Q663" t="s">
        <v>52</v>
      </c>
      <c r="R663">
        <v>1</v>
      </c>
      <c r="S663">
        <v>1</v>
      </c>
      <c r="T663">
        <v>1</v>
      </c>
      <c r="U663" t="s">
        <v>1794</v>
      </c>
      <c r="V663" t="s">
        <v>1794</v>
      </c>
      <c r="W663" t="s">
        <v>1794</v>
      </c>
      <c r="X663">
        <v>1</v>
      </c>
      <c r="Y663" t="s">
        <v>1794</v>
      </c>
      <c r="Z663">
        <v>0</v>
      </c>
      <c r="AA663" t="s">
        <v>1794</v>
      </c>
      <c r="AB663" t="s">
        <v>1794</v>
      </c>
      <c r="AC663" t="s">
        <v>1794</v>
      </c>
      <c r="AD663" t="s">
        <v>1794</v>
      </c>
      <c r="AE663">
        <v>0</v>
      </c>
      <c r="AF663" t="s">
        <v>1794</v>
      </c>
      <c r="AG663" t="s">
        <v>1794</v>
      </c>
      <c r="AH663" t="s">
        <v>1794</v>
      </c>
    </row>
    <row r="664" spans="1:34" x14ac:dyDescent="0.25">
      <c r="A664" t="s">
        <v>1487</v>
      </c>
      <c r="B664" t="s">
        <v>1488</v>
      </c>
      <c r="C664" t="s">
        <v>463</v>
      </c>
      <c r="D664" t="s">
        <v>909</v>
      </c>
      <c r="E664" t="s">
        <v>1794</v>
      </c>
      <c r="F664" t="s">
        <v>1055</v>
      </c>
      <c r="G664" t="s">
        <v>1124</v>
      </c>
      <c r="H664" t="s">
        <v>1056</v>
      </c>
      <c r="I664" t="s">
        <v>262</v>
      </c>
      <c r="J664" t="s">
        <v>1039</v>
      </c>
      <c r="K664">
        <v>1</v>
      </c>
      <c r="L664">
        <v>1</v>
      </c>
      <c r="M664" t="s">
        <v>33</v>
      </c>
      <c r="N664">
        <v>1</v>
      </c>
      <c r="O664">
        <v>1</v>
      </c>
      <c r="P664">
        <v>1</v>
      </c>
      <c r="Q664" t="s">
        <v>52</v>
      </c>
      <c r="R664">
        <v>1</v>
      </c>
      <c r="S664">
        <v>1</v>
      </c>
      <c r="T664">
        <v>1</v>
      </c>
      <c r="U664" t="s">
        <v>1794</v>
      </c>
      <c r="V664" t="s">
        <v>1794</v>
      </c>
      <c r="W664" t="s">
        <v>1794</v>
      </c>
      <c r="X664">
        <v>1</v>
      </c>
      <c r="Y664" t="s">
        <v>1794</v>
      </c>
      <c r="Z664">
        <v>0</v>
      </c>
      <c r="AA664" t="s">
        <v>1794</v>
      </c>
      <c r="AB664" t="s">
        <v>1794</v>
      </c>
      <c r="AC664" t="s">
        <v>1794</v>
      </c>
      <c r="AD664" t="s">
        <v>1794</v>
      </c>
      <c r="AE664">
        <v>0</v>
      </c>
      <c r="AF664" t="s">
        <v>1794</v>
      </c>
      <c r="AG664" t="s">
        <v>1794</v>
      </c>
      <c r="AH664" t="s">
        <v>1794</v>
      </c>
    </row>
    <row r="665" spans="1:34" x14ac:dyDescent="0.25">
      <c r="A665" t="s">
        <v>1330</v>
      </c>
      <c r="B665" t="s">
        <v>1331</v>
      </c>
      <c r="C665" t="s">
        <v>463</v>
      </c>
      <c r="D665" t="s">
        <v>909</v>
      </c>
      <c r="E665" t="s">
        <v>1794</v>
      </c>
      <c r="F665" t="s">
        <v>1055</v>
      </c>
      <c r="G665" t="s">
        <v>1124</v>
      </c>
      <c r="H665" t="s">
        <v>1056</v>
      </c>
      <c r="I665" t="s">
        <v>262</v>
      </c>
      <c r="J665" t="s">
        <v>1039</v>
      </c>
      <c r="K665">
        <v>1</v>
      </c>
      <c r="L665">
        <v>1</v>
      </c>
      <c r="M665" t="s">
        <v>33</v>
      </c>
      <c r="N665">
        <v>1</v>
      </c>
      <c r="O665">
        <v>1</v>
      </c>
      <c r="P665">
        <v>1</v>
      </c>
      <c r="Q665" t="s">
        <v>52</v>
      </c>
      <c r="R665">
        <v>1</v>
      </c>
      <c r="S665">
        <v>1</v>
      </c>
      <c r="T665">
        <v>1</v>
      </c>
      <c r="U665" t="s">
        <v>1794</v>
      </c>
      <c r="V665" t="s">
        <v>1794</v>
      </c>
      <c r="W665" t="s">
        <v>1794</v>
      </c>
      <c r="X665">
        <v>1</v>
      </c>
      <c r="Y665" t="s">
        <v>1794</v>
      </c>
      <c r="Z665">
        <v>0</v>
      </c>
      <c r="AA665" t="s">
        <v>1794</v>
      </c>
      <c r="AB665" t="s">
        <v>1794</v>
      </c>
      <c r="AC665" t="s">
        <v>1794</v>
      </c>
      <c r="AD665" t="s">
        <v>1794</v>
      </c>
      <c r="AE665">
        <v>0</v>
      </c>
      <c r="AF665" t="s">
        <v>1794</v>
      </c>
      <c r="AG665" t="s">
        <v>1794</v>
      </c>
      <c r="AH665" t="s">
        <v>1794</v>
      </c>
    </row>
    <row r="666" spans="1:34" x14ac:dyDescent="0.25">
      <c r="A666" t="s">
        <v>1276</v>
      </c>
      <c r="B666" t="s">
        <v>1277</v>
      </c>
      <c r="C666" t="s">
        <v>463</v>
      </c>
      <c r="D666" t="s">
        <v>909</v>
      </c>
      <c r="E666" t="s">
        <v>1794</v>
      </c>
      <c r="F666" t="s">
        <v>1040</v>
      </c>
      <c r="G666" t="s">
        <v>1124</v>
      </c>
      <c r="H666" t="s">
        <v>1057</v>
      </c>
      <c r="I666" t="s">
        <v>262</v>
      </c>
      <c r="J666" t="s">
        <v>1039</v>
      </c>
      <c r="K666">
        <v>1</v>
      </c>
      <c r="L666">
        <v>1</v>
      </c>
      <c r="M666" t="s">
        <v>33</v>
      </c>
      <c r="N666">
        <v>1</v>
      </c>
      <c r="O666">
        <v>1</v>
      </c>
      <c r="P666">
        <v>1</v>
      </c>
      <c r="Q666" t="s">
        <v>52</v>
      </c>
      <c r="R666">
        <v>1</v>
      </c>
      <c r="S666">
        <v>1</v>
      </c>
      <c r="T666">
        <v>1</v>
      </c>
      <c r="U666" t="s">
        <v>1794</v>
      </c>
      <c r="V666" t="s">
        <v>1794</v>
      </c>
      <c r="W666" t="s">
        <v>1794</v>
      </c>
      <c r="X666">
        <v>1</v>
      </c>
      <c r="Y666" t="s">
        <v>1794</v>
      </c>
      <c r="Z666">
        <v>0</v>
      </c>
      <c r="AA666" t="s">
        <v>1794</v>
      </c>
      <c r="AB666" t="s">
        <v>1794</v>
      </c>
      <c r="AC666" t="s">
        <v>1794</v>
      </c>
      <c r="AD666" t="s">
        <v>1794</v>
      </c>
      <c r="AE666">
        <v>0</v>
      </c>
      <c r="AF666" t="s">
        <v>1794</v>
      </c>
      <c r="AG666" t="s">
        <v>1794</v>
      </c>
      <c r="AH666" t="s">
        <v>1794</v>
      </c>
    </row>
    <row r="667" spans="1:34" x14ac:dyDescent="0.25">
      <c r="A667" t="s">
        <v>1487</v>
      </c>
      <c r="B667" t="s">
        <v>1488</v>
      </c>
      <c r="C667" t="s">
        <v>463</v>
      </c>
      <c r="D667" t="s">
        <v>909</v>
      </c>
      <c r="E667" t="s">
        <v>1794</v>
      </c>
      <c r="F667" t="s">
        <v>1040</v>
      </c>
      <c r="G667" t="s">
        <v>1124</v>
      </c>
      <c r="H667" t="s">
        <v>1057</v>
      </c>
      <c r="I667" t="s">
        <v>262</v>
      </c>
      <c r="J667" t="s">
        <v>1039</v>
      </c>
      <c r="K667">
        <v>1</v>
      </c>
      <c r="L667">
        <v>1</v>
      </c>
      <c r="M667" t="s">
        <v>33</v>
      </c>
      <c r="N667">
        <v>1</v>
      </c>
      <c r="O667">
        <v>1</v>
      </c>
      <c r="P667">
        <v>1</v>
      </c>
      <c r="Q667" t="s">
        <v>52</v>
      </c>
      <c r="R667">
        <v>1</v>
      </c>
      <c r="S667">
        <v>1</v>
      </c>
      <c r="T667">
        <v>1</v>
      </c>
      <c r="U667" t="s">
        <v>1794</v>
      </c>
      <c r="V667" t="s">
        <v>1794</v>
      </c>
      <c r="W667" t="s">
        <v>1794</v>
      </c>
      <c r="X667">
        <v>1</v>
      </c>
      <c r="Y667" t="s">
        <v>1794</v>
      </c>
      <c r="Z667">
        <v>0</v>
      </c>
      <c r="AA667" t="s">
        <v>1794</v>
      </c>
      <c r="AB667" t="s">
        <v>1794</v>
      </c>
      <c r="AC667" t="s">
        <v>1794</v>
      </c>
      <c r="AD667" t="s">
        <v>1794</v>
      </c>
      <c r="AE667">
        <v>0</v>
      </c>
      <c r="AF667" t="s">
        <v>1794</v>
      </c>
      <c r="AG667" t="s">
        <v>1794</v>
      </c>
      <c r="AH667" t="s">
        <v>1794</v>
      </c>
    </row>
    <row r="668" spans="1:34" ht="33.75" customHeight="1" x14ac:dyDescent="0.25">
      <c r="A668" t="s">
        <v>1330</v>
      </c>
      <c r="B668" t="s">
        <v>1331</v>
      </c>
      <c r="C668" t="s">
        <v>463</v>
      </c>
      <c r="D668" t="s">
        <v>909</v>
      </c>
      <c r="E668" t="s">
        <v>1794</v>
      </c>
      <c r="F668" t="s">
        <v>1040</v>
      </c>
      <c r="G668" t="s">
        <v>1124</v>
      </c>
      <c r="H668" t="s">
        <v>1057</v>
      </c>
      <c r="I668" t="s">
        <v>262</v>
      </c>
      <c r="J668" t="s">
        <v>1039</v>
      </c>
      <c r="K668">
        <v>1</v>
      </c>
      <c r="L668">
        <v>1</v>
      </c>
      <c r="M668" t="s">
        <v>33</v>
      </c>
      <c r="N668">
        <v>1</v>
      </c>
      <c r="O668">
        <v>1</v>
      </c>
      <c r="P668">
        <v>1</v>
      </c>
      <c r="Q668" t="s">
        <v>52</v>
      </c>
      <c r="R668">
        <v>1</v>
      </c>
      <c r="S668">
        <v>1</v>
      </c>
      <c r="T668">
        <v>1</v>
      </c>
      <c r="U668" t="s">
        <v>1794</v>
      </c>
      <c r="V668" t="s">
        <v>1794</v>
      </c>
      <c r="W668" t="s">
        <v>1794</v>
      </c>
      <c r="X668">
        <v>1</v>
      </c>
      <c r="Y668" t="s">
        <v>1794</v>
      </c>
      <c r="Z668">
        <v>0</v>
      </c>
      <c r="AA668" t="s">
        <v>1794</v>
      </c>
      <c r="AB668" t="s">
        <v>1794</v>
      </c>
      <c r="AC668" t="s">
        <v>1794</v>
      </c>
      <c r="AD668" t="s">
        <v>1794</v>
      </c>
      <c r="AE668">
        <v>0</v>
      </c>
      <c r="AF668" t="s">
        <v>1794</v>
      </c>
      <c r="AG668" t="s">
        <v>1794</v>
      </c>
      <c r="AH668" t="s">
        <v>1794</v>
      </c>
    </row>
    <row r="669" spans="1:34" ht="27.75" customHeight="1" x14ac:dyDescent="0.25">
      <c r="A669" t="s">
        <v>1276</v>
      </c>
      <c r="B669" t="s">
        <v>1277</v>
      </c>
      <c r="C669" t="s">
        <v>463</v>
      </c>
      <c r="D669" t="s">
        <v>909</v>
      </c>
      <c r="E669" t="s">
        <v>1794</v>
      </c>
      <c r="F669" t="s">
        <v>1042</v>
      </c>
      <c r="G669" t="s">
        <v>1124</v>
      </c>
      <c r="H669" t="s">
        <v>1058</v>
      </c>
      <c r="I669" t="s">
        <v>262</v>
      </c>
      <c r="J669" t="s">
        <v>1039</v>
      </c>
      <c r="K669">
        <v>1</v>
      </c>
      <c r="L669">
        <v>1</v>
      </c>
      <c r="M669" t="s">
        <v>33</v>
      </c>
      <c r="N669">
        <v>1</v>
      </c>
      <c r="O669">
        <v>1</v>
      </c>
      <c r="P669">
        <v>1</v>
      </c>
      <c r="Q669" t="s">
        <v>52</v>
      </c>
      <c r="R669">
        <v>1</v>
      </c>
      <c r="S669">
        <v>1</v>
      </c>
      <c r="T669">
        <v>1</v>
      </c>
      <c r="U669" t="s">
        <v>1794</v>
      </c>
      <c r="V669" t="s">
        <v>1794</v>
      </c>
      <c r="W669" t="s">
        <v>1794</v>
      </c>
      <c r="X669">
        <v>1</v>
      </c>
      <c r="Y669" t="s">
        <v>1794</v>
      </c>
      <c r="Z669">
        <v>0</v>
      </c>
      <c r="AA669" t="s">
        <v>1794</v>
      </c>
      <c r="AB669" t="s">
        <v>1794</v>
      </c>
      <c r="AC669" t="s">
        <v>1794</v>
      </c>
      <c r="AD669" t="s">
        <v>1794</v>
      </c>
      <c r="AE669">
        <v>0</v>
      </c>
      <c r="AF669" t="s">
        <v>1794</v>
      </c>
      <c r="AG669" t="s">
        <v>1794</v>
      </c>
      <c r="AH669" t="s">
        <v>1794</v>
      </c>
    </row>
    <row r="670" spans="1:34" ht="33" customHeight="1" x14ac:dyDescent="0.25">
      <c r="A670" t="s">
        <v>1487</v>
      </c>
      <c r="B670" t="s">
        <v>1488</v>
      </c>
      <c r="C670" t="s">
        <v>463</v>
      </c>
      <c r="D670" t="s">
        <v>909</v>
      </c>
      <c r="E670" t="s">
        <v>1794</v>
      </c>
      <c r="F670" t="s">
        <v>1042</v>
      </c>
      <c r="G670" t="s">
        <v>1124</v>
      </c>
      <c r="H670" t="s">
        <v>1058</v>
      </c>
      <c r="I670" t="s">
        <v>262</v>
      </c>
      <c r="J670" t="s">
        <v>1039</v>
      </c>
      <c r="K670">
        <v>1</v>
      </c>
      <c r="L670">
        <v>1</v>
      </c>
      <c r="M670" t="s">
        <v>33</v>
      </c>
      <c r="N670">
        <v>1</v>
      </c>
      <c r="O670">
        <v>1</v>
      </c>
      <c r="P670">
        <v>1</v>
      </c>
      <c r="Q670" t="s">
        <v>52</v>
      </c>
      <c r="R670">
        <v>1</v>
      </c>
      <c r="S670">
        <v>1</v>
      </c>
      <c r="T670">
        <v>1</v>
      </c>
      <c r="U670" t="s">
        <v>1794</v>
      </c>
      <c r="V670" t="s">
        <v>1794</v>
      </c>
      <c r="W670" t="s">
        <v>1794</v>
      </c>
      <c r="X670">
        <v>1</v>
      </c>
      <c r="Y670" t="s">
        <v>1794</v>
      </c>
      <c r="Z670">
        <v>0</v>
      </c>
      <c r="AA670" t="s">
        <v>1794</v>
      </c>
      <c r="AB670" t="s">
        <v>1794</v>
      </c>
      <c r="AC670" t="s">
        <v>1794</v>
      </c>
      <c r="AD670" t="s">
        <v>1794</v>
      </c>
      <c r="AE670">
        <v>0</v>
      </c>
      <c r="AF670" t="s">
        <v>1794</v>
      </c>
      <c r="AG670" t="s">
        <v>1794</v>
      </c>
      <c r="AH670" t="s">
        <v>1794</v>
      </c>
    </row>
    <row r="671" spans="1:34" ht="33" customHeight="1" x14ac:dyDescent="0.25">
      <c r="A671" t="s">
        <v>1330</v>
      </c>
      <c r="B671" t="s">
        <v>1331</v>
      </c>
      <c r="C671" t="s">
        <v>463</v>
      </c>
      <c r="D671" t="s">
        <v>909</v>
      </c>
      <c r="E671" t="s">
        <v>1794</v>
      </c>
      <c r="F671" t="s">
        <v>1042</v>
      </c>
      <c r="G671" t="s">
        <v>1124</v>
      </c>
      <c r="H671" t="s">
        <v>1058</v>
      </c>
      <c r="I671" t="s">
        <v>262</v>
      </c>
      <c r="J671" t="s">
        <v>1039</v>
      </c>
      <c r="K671">
        <v>1</v>
      </c>
      <c r="L671">
        <v>1</v>
      </c>
      <c r="M671" t="s">
        <v>33</v>
      </c>
      <c r="N671">
        <v>1</v>
      </c>
      <c r="O671">
        <v>1</v>
      </c>
      <c r="P671">
        <v>1</v>
      </c>
      <c r="Q671" t="s">
        <v>52</v>
      </c>
      <c r="R671">
        <v>1</v>
      </c>
      <c r="S671">
        <v>1</v>
      </c>
      <c r="T671">
        <v>1</v>
      </c>
      <c r="U671" t="s">
        <v>1794</v>
      </c>
      <c r="V671" t="s">
        <v>1794</v>
      </c>
      <c r="W671" t="s">
        <v>1794</v>
      </c>
      <c r="X671">
        <v>1</v>
      </c>
      <c r="Y671" t="s">
        <v>1794</v>
      </c>
      <c r="Z671">
        <v>0</v>
      </c>
      <c r="AA671" t="s">
        <v>1794</v>
      </c>
      <c r="AB671" t="s">
        <v>1794</v>
      </c>
      <c r="AC671" t="s">
        <v>1794</v>
      </c>
      <c r="AD671" t="s">
        <v>1794</v>
      </c>
      <c r="AE671">
        <v>0</v>
      </c>
      <c r="AF671" t="s">
        <v>1794</v>
      </c>
      <c r="AG671" t="s">
        <v>1794</v>
      </c>
      <c r="AH671" t="s">
        <v>1794</v>
      </c>
    </row>
    <row r="672" spans="1:34" ht="37.5" customHeight="1" x14ac:dyDescent="0.25">
      <c r="A672" t="s">
        <v>1276</v>
      </c>
      <c r="B672" t="s">
        <v>1277</v>
      </c>
      <c r="C672" t="s">
        <v>463</v>
      </c>
      <c r="D672" t="s">
        <v>909</v>
      </c>
      <c r="E672" t="s">
        <v>1794</v>
      </c>
      <c r="F672" t="s">
        <v>1059</v>
      </c>
      <c r="G672" t="s">
        <v>1124</v>
      </c>
      <c r="H672" t="s">
        <v>1060</v>
      </c>
      <c r="I672" t="s">
        <v>262</v>
      </c>
      <c r="J672" t="s">
        <v>1039</v>
      </c>
      <c r="K672">
        <v>1</v>
      </c>
      <c r="L672">
        <v>1</v>
      </c>
      <c r="M672" t="s">
        <v>33</v>
      </c>
      <c r="N672">
        <v>1</v>
      </c>
      <c r="O672">
        <v>1</v>
      </c>
      <c r="P672">
        <v>1</v>
      </c>
      <c r="Q672" t="s">
        <v>52</v>
      </c>
      <c r="R672">
        <v>1</v>
      </c>
      <c r="S672">
        <v>1</v>
      </c>
      <c r="T672">
        <v>1</v>
      </c>
      <c r="U672" t="s">
        <v>1794</v>
      </c>
      <c r="V672" t="s">
        <v>1794</v>
      </c>
      <c r="W672" t="s">
        <v>1794</v>
      </c>
      <c r="X672">
        <v>1</v>
      </c>
      <c r="Y672" t="s">
        <v>1794</v>
      </c>
      <c r="Z672">
        <v>0</v>
      </c>
      <c r="AA672" t="s">
        <v>1794</v>
      </c>
      <c r="AB672" t="s">
        <v>1794</v>
      </c>
      <c r="AC672" t="s">
        <v>1794</v>
      </c>
      <c r="AD672" t="s">
        <v>1794</v>
      </c>
      <c r="AE672">
        <v>0</v>
      </c>
      <c r="AF672" t="s">
        <v>1794</v>
      </c>
      <c r="AG672" t="s">
        <v>1794</v>
      </c>
      <c r="AH672" t="s">
        <v>1794</v>
      </c>
    </row>
    <row r="673" spans="1:34" ht="37.5" customHeight="1" x14ac:dyDescent="0.25">
      <c r="A673" t="s">
        <v>1487</v>
      </c>
      <c r="B673" t="s">
        <v>1488</v>
      </c>
      <c r="C673" t="s">
        <v>463</v>
      </c>
      <c r="D673" t="s">
        <v>909</v>
      </c>
      <c r="E673" t="s">
        <v>1794</v>
      </c>
      <c r="F673" t="s">
        <v>1059</v>
      </c>
      <c r="G673" t="s">
        <v>1124</v>
      </c>
      <c r="H673" t="s">
        <v>1060</v>
      </c>
      <c r="I673" t="s">
        <v>262</v>
      </c>
      <c r="J673" t="s">
        <v>1039</v>
      </c>
      <c r="K673">
        <v>1</v>
      </c>
      <c r="L673">
        <v>1</v>
      </c>
      <c r="M673" t="s">
        <v>33</v>
      </c>
      <c r="N673">
        <v>1</v>
      </c>
      <c r="O673">
        <v>1</v>
      </c>
      <c r="P673">
        <v>1</v>
      </c>
      <c r="Q673" t="s">
        <v>52</v>
      </c>
      <c r="R673">
        <v>1</v>
      </c>
      <c r="S673">
        <v>1</v>
      </c>
      <c r="T673">
        <v>1</v>
      </c>
      <c r="U673" t="s">
        <v>1794</v>
      </c>
      <c r="V673" t="s">
        <v>1794</v>
      </c>
      <c r="W673" t="s">
        <v>1794</v>
      </c>
      <c r="X673">
        <v>1</v>
      </c>
      <c r="Y673" t="s">
        <v>1794</v>
      </c>
      <c r="Z673">
        <v>0</v>
      </c>
      <c r="AA673" t="s">
        <v>1794</v>
      </c>
      <c r="AB673" t="s">
        <v>1794</v>
      </c>
      <c r="AC673" t="s">
        <v>1794</v>
      </c>
      <c r="AD673" t="s">
        <v>1794</v>
      </c>
      <c r="AE673">
        <v>0</v>
      </c>
      <c r="AF673" t="s">
        <v>1794</v>
      </c>
      <c r="AG673" t="s">
        <v>1794</v>
      </c>
      <c r="AH673" t="s">
        <v>1794</v>
      </c>
    </row>
    <row r="674" spans="1:34" x14ac:dyDescent="0.25">
      <c r="A674" t="s">
        <v>1604</v>
      </c>
      <c r="B674" t="s">
        <v>1605</v>
      </c>
      <c r="C674" t="s">
        <v>463</v>
      </c>
      <c r="D674" t="s">
        <v>909</v>
      </c>
      <c r="E674" t="s">
        <v>1794</v>
      </c>
      <c r="F674" t="s">
        <v>1059</v>
      </c>
      <c r="G674" t="s">
        <v>1124</v>
      </c>
      <c r="H674" t="s">
        <v>1060</v>
      </c>
      <c r="I674" t="s">
        <v>262</v>
      </c>
      <c r="J674" t="s">
        <v>1039</v>
      </c>
      <c r="K674">
        <v>1</v>
      </c>
      <c r="L674">
        <v>1</v>
      </c>
      <c r="M674" t="s">
        <v>33</v>
      </c>
      <c r="N674">
        <v>1</v>
      </c>
      <c r="O674">
        <v>1</v>
      </c>
      <c r="P674">
        <v>1</v>
      </c>
      <c r="Q674" t="s">
        <v>52</v>
      </c>
      <c r="R674">
        <v>1</v>
      </c>
      <c r="S674">
        <v>1</v>
      </c>
      <c r="T674">
        <v>1</v>
      </c>
      <c r="U674" t="s">
        <v>1794</v>
      </c>
      <c r="V674" t="s">
        <v>1794</v>
      </c>
      <c r="W674" t="s">
        <v>1794</v>
      </c>
      <c r="X674">
        <v>1</v>
      </c>
      <c r="Y674" t="s">
        <v>1794</v>
      </c>
      <c r="Z674">
        <v>0</v>
      </c>
      <c r="AA674" t="s">
        <v>1794</v>
      </c>
      <c r="AB674" t="s">
        <v>1794</v>
      </c>
      <c r="AC674" t="s">
        <v>1794</v>
      </c>
      <c r="AD674" t="s">
        <v>1794</v>
      </c>
      <c r="AE674">
        <v>0</v>
      </c>
      <c r="AF674" t="s">
        <v>1794</v>
      </c>
      <c r="AG674" t="s">
        <v>1794</v>
      </c>
      <c r="AH674" t="s">
        <v>1794</v>
      </c>
    </row>
    <row r="675" spans="1:34" ht="36" customHeight="1" x14ac:dyDescent="0.25">
      <c r="A675" t="s">
        <v>1330</v>
      </c>
      <c r="B675" t="s">
        <v>1331</v>
      </c>
      <c r="C675" t="s">
        <v>463</v>
      </c>
      <c r="D675" t="s">
        <v>909</v>
      </c>
      <c r="E675" t="s">
        <v>1794</v>
      </c>
      <c r="F675" t="s">
        <v>1059</v>
      </c>
      <c r="G675" t="s">
        <v>1124</v>
      </c>
      <c r="H675" t="s">
        <v>1060</v>
      </c>
      <c r="I675" t="s">
        <v>262</v>
      </c>
      <c r="J675" t="s">
        <v>1039</v>
      </c>
      <c r="K675">
        <v>1</v>
      </c>
      <c r="L675">
        <v>1</v>
      </c>
      <c r="M675" t="s">
        <v>33</v>
      </c>
      <c r="N675">
        <v>1</v>
      </c>
      <c r="O675">
        <v>1</v>
      </c>
      <c r="P675">
        <v>1</v>
      </c>
      <c r="Q675" t="s">
        <v>52</v>
      </c>
      <c r="R675">
        <v>1</v>
      </c>
      <c r="S675">
        <v>1</v>
      </c>
      <c r="T675">
        <v>1</v>
      </c>
      <c r="U675" t="s">
        <v>1794</v>
      </c>
      <c r="V675" t="s">
        <v>1794</v>
      </c>
      <c r="W675" t="s">
        <v>1794</v>
      </c>
      <c r="X675">
        <v>1</v>
      </c>
      <c r="Y675" t="s">
        <v>1794</v>
      </c>
      <c r="Z675">
        <v>0</v>
      </c>
      <c r="AA675" t="s">
        <v>1794</v>
      </c>
      <c r="AB675" t="s">
        <v>1794</v>
      </c>
      <c r="AC675" t="s">
        <v>1794</v>
      </c>
      <c r="AD675" t="s">
        <v>1794</v>
      </c>
      <c r="AE675">
        <v>0</v>
      </c>
      <c r="AF675" t="s">
        <v>1794</v>
      </c>
      <c r="AG675" t="s">
        <v>1794</v>
      </c>
      <c r="AH675" t="s">
        <v>1794</v>
      </c>
    </row>
    <row r="676" spans="1:34" ht="28.5" customHeight="1" x14ac:dyDescent="0.25">
      <c r="A676" t="s">
        <v>1276</v>
      </c>
      <c r="B676" t="s">
        <v>1277</v>
      </c>
      <c r="C676" t="s">
        <v>463</v>
      </c>
      <c r="D676" t="s">
        <v>909</v>
      </c>
      <c r="E676" t="s">
        <v>1794</v>
      </c>
      <c r="F676" t="s">
        <v>1061</v>
      </c>
      <c r="G676" t="s">
        <v>1124</v>
      </c>
      <c r="H676" t="s">
        <v>1062</v>
      </c>
      <c r="I676" t="s">
        <v>262</v>
      </c>
      <c r="J676" t="s">
        <v>1048</v>
      </c>
      <c r="K676">
        <v>1</v>
      </c>
      <c r="L676">
        <v>1</v>
      </c>
      <c r="M676" t="s">
        <v>33</v>
      </c>
      <c r="N676">
        <v>1</v>
      </c>
      <c r="O676">
        <v>1</v>
      </c>
      <c r="P676">
        <v>1</v>
      </c>
      <c r="Q676" t="s">
        <v>52</v>
      </c>
      <c r="R676">
        <v>1</v>
      </c>
      <c r="S676">
        <v>1</v>
      </c>
      <c r="T676">
        <v>1</v>
      </c>
      <c r="U676" t="s">
        <v>1794</v>
      </c>
      <c r="V676" t="s">
        <v>1794</v>
      </c>
      <c r="W676" t="s">
        <v>1794</v>
      </c>
      <c r="X676">
        <v>1</v>
      </c>
      <c r="Y676" t="s">
        <v>1794</v>
      </c>
      <c r="Z676">
        <v>0</v>
      </c>
      <c r="AA676" t="s">
        <v>1794</v>
      </c>
      <c r="AB676" t="s">
        <v>1794</v>
      </c>
      <c r="AC676" t="s">
        <v>1794</v>
      </c>
      <c r="AD676" t="s">
        <v>1794</v>
      </c>
      <c r="AE676">
        <v>0</v>
      </c>
      <c r="AF676" t="s">
        <v>1794</v>
      </c>
      <c r="AG676" t="s">
        <v>1794</v>
      </c>
      <c r="AH676" t="s">
        <v>1794</v>
      </c>
    </row>
    <row r="677" spans="1:34" ht="29.25" customHeight="1" x14ac:dyDescent="0.25">
      <c r="A677" t="s">
        <v>1487</v>
      </c>
      <c r="B677" t="s">
        <v>1488</v>
      </c>
      <c r="C677" t="s">
        <v>463</v>
      </c>
      <c r="D677" t="s">
        <v>909</v>
      </c>
      <c r="E677" t="s">
        <v>1794</v>
      </c>
      <c r="F677" t="s">
        <v>1061</v>
      </c>
      <c r="G677" t="s">
        <v>1124</v>
      </c>
      <c r="H677" t="s">
        <v>1062</v>
      </c>
      <c r="I677" t="s">
        <v>262</v>
      </c>
      <c r="J677" t="s">
        <v>1048</v>
      </c>
      <c r="K677">
        <v>1</v>
      </c>
      <c r="L677">
        <v>1</v>
      </c>
      <c r="M677" t="s">
        <v>33</v>
      </c>
      <c r="N677">
        <v>1</v>
      </c>
      <c r="O677">
        <v>1</v>
      </c>
      <c r="P677">
        <v>1</v>
      </c>
      <c r="Q677" t="s">
        <v>52</v>
      </c>
      <c r="R677">
        <v>1</v>
      </c>
      <c r="S677">
        <v>1</v>
      </c>
      <c r="T677">
        <v>1</v>
      </c>
      <c r="U677" t="s">
        <v>1794</v>
      </c>
      <c r="V677" t="s">
        <v>1794</v>
      </c>
      <c r="W677" t="s">
        <v>1794</v>
      </c>
      <c r="X677">
        <v>1</v>
      </c>
      <c r="Y677" t="s">
        <v>1794</v>
      </c>
      <c r="Z677">
        <v>0</v>
      </c>
      <c r="AA677" t="s">
        <v>1794</v>
      </c>
      <c r="AB677" t="s">
        <v>1794</v>
      </c>
      <c r="AC677" t="s">
        <v>1794</v>
      </c>
      <c r="AD677" t="s">
        <v>1794</v>
      </c>
      <c r="AE677">
        <v>0</v>
      </c>
      <c r="AF677" t="s">
        <v>1794</v>
      </c>
      <c r="AG677" t="s">
        <v>1794</v>
      </c>
      <c r="AH677" t="s">
        <v>1794</v>
      </c>
    </row>
    <row r="678" spans="1:34" ht="28.5" customHeight="1" x14ac:dyDescent="0.25">
      <c r="A678" t="s">
        <v>1330</v>
      </c>
      <c r="B678" t="s">
        <v>1331</v>
      </c>
      <c r="C678" t="s">
        <v>463</v>
      </c>
      <c r="D678" t="s">
        <v>909</v>
      </c>
      <c r="E678" t="s">
        <v>1794</v>
      </c>
      <c r="F678" t="s">
        <v>1061</v>
      </c>
      <c r="G678" t="s">
        <v>1124</v>
      </c>
      <c r="H678" t="s">
        <v>1062</v>
      </c>
      <c r="I678" t="s">
        <v>262</v>
      </c>
      <c r="J678" t="s">
        <v>1048</v>
      </c>
      <c r="K678">
        <v>1</v>
      </c>
      <c r="L678">
        <v>1</v>
      </c>
      <c r="M678" t="s">
        <v>33</v>
      </c>
      <c r="N678">
        <v>1</v>
      </c>
      <c r="O678">
        <v>1</v>
      </c>
      <c r="P678">
        <v>1</v>
      </c>
      <c r="Q678" t="s">
        <v>52</v>
      </c>
      <c r="R678">
        <v>1</v>
      </c>
      <c r="S678">
        <v>1</v>
      </c>
      <c r="T678">
        <v>1</v>
      </c>
      <c r="U678" t="s">
        <v>1794</v>
      </c>
      <c r="V678" t="s">
        <v>1794</v>
      </c>
      <c r="W678" t="s">
        <v>1794</v>
      </c>
      <c r="X678">
        <v>1</v>
      </c>
      <c r="Y678" t="s">
        <v>1794</v>
      </c>
      <c r="Z678">
        <v>0</v>
      </c>
      <c r="AA678" t="s">
        <v>1794</v>
      </c>
      <c r="AB678" t="s">
        <v>1794</v>
      </c>
      <c r="AC678" t="s">
        <v>1794</v>
      </c>
      <c r="AD678" t="s">
        <v>1794</v>
      </c>
      <c r="AE678">
        <v>0</v>
      </c>
      <c r="AF678" t="s">
        <v>1794</v>
      </c>
      <c r="AG678" t="s">
        <v>1794</v>
      </c>
      <c r="AH678" t="s">
        <v>1794</v>
      </c>
    </row>
    <row r="679" spans="1:34" ht="31.5" customHeight="1" x14ac:dyDescent="0.25">
      <c r="A679" t="s">
        <v>1276</v>
      </c>
      <c r="B679" t="s">
        <v>1277</v>
      </c>
      <c r="C679" t="s">
        <v>463</v>
      </c>
      <c r="D679" t="s">
        <v>909</v>
      </c>
      <c r="E679" t="s">
        <v>1794</v>
      </c>
      <c r="F679" t="s">
        <v>1049</v>
      </c>
      <c r="G679" t="s">
        <v>1124</v>
      </c>
      <c r="H679" t="s">
        <v>1063</v>
      </c>
      <c r="I679" t="s">
        <v>262</v>
      </c>
      <c r="J679" t="s">
        <v>1048</v>
      </c>
      <c r="K679">
        <v>1</v>
      </c>
      <c r="L679">
        <v>1</v>
      </c>
      <c r="M679" t="s">
        <v>33</v>
      </c>
      <c r="N679">
        <v>1</v>
      </c>
      <c r="O679">
        <v>1</v>
      </c>
      <c r="P679">
        <v>1</v>
      </c>
      <c r="Q679" t="s">
        <v>52</v>
      </c>
      <c r="R679">
        <v>1</v>
      </c>
      <c r="S679">
        <v>1</v>
      </c>
      <c r="T679">
        <v>1</v>
      </c>
      <c r="U679" t="s">
        <v>1794</v>
      </c>
      <c r="V679" t="s">
        <v>1794</v>
      </c>
      <c r="W679" t="s">
        <v>1794</v>
      </c>
      <c r="X679">
        <v>1</v>
      </c>
      <c r="Y679" t="s">
        <v>1794</v>
      </c>
      <c r="Z679">
        <v>0</v>
      </c>
      <c r="AA679" t="s">
        <v>1794</v>
      </c>
      <c r="AB679" t="s">
        <v>1794</v>
      </c>
      <c r="AC679" t="s">
        <v>1794</v>
      </c>
      <c r="AD679" t="s">
        <v>1794</v>
      </c>
      <c r="AE679">
        <v>0</v>
      </c>
      <c r="AF679" t="s">
        <v>1794</v>
      </c>
      <c r="AG679" t="s">
        <v>1794</v>
      </c>
      <c r="AH679" t="s">
        <v>1794</v>
      </c>
    </row>
    <row r="680" spans="1:34" ht="34.5" customHeight="1" x14ac:dyDescent="0.25">
      <c r="A680" t="s">
        <v>1487</v>
      </c>
      <c r="B680" t="s">
        <v>1488</v>
      </c>
      <c r="C680" t="s">
        <v>463</v>
      </c>
      <c r="D680" t="s">
        <v>909</v>
      </c>
      <c r="E680" t="s">
        <v>1794</v>
      </c>
      <c r="F680" t="s">
        <v>1049</v>
      </c>
      <c r="G680" t="s">
        <v>1124</v>
      </c>
      <c r="H680" t="s">
        <v>1063</v>
      </c>
      <c r="I680" t="s">
        <v>262</v>
      </c>
      <c r="J680" t="s">
        <v>1048</v>
      </c>
      <c r="K680">
        <v>1</v>
      </c>
      <c r="L680">
        <v>1</v>
      </c>
      <c r="M680" t="s">
        <v>33</v>
      </c>
      <c r="N680">
        <v>1</v>
      </c>
      <c r="O680">
        <v>1</v>
      </c>
      <c r="P680">
        <v>1</v>
      </c>
      <c r="Q680" t="s">
        <v>52</v>
      </c>
      <c r="R680">
        <v>1</v>
      </c>
      <c r="S680">
        <v>1</v>
      </c>
      <c r="T680">
        <v>1</v>
      </c>
      <c r="U680" t="s">
        <v>1794</v>
      </c>
      <c r="V680" t="s">
        <v>1794</v>
      </c>
      <c r="W680" t="s">
        <v>1794</v>
      </c>
      <c r="X680">
        <v>1</v>
      </c>
      <c r="Y680" t="s">
        <v>1794</v>
      </c>
      <c r="Z680">
        <v>0</v>
      </c>
      <c r="AA680" t="s">
        <v>1794</v>
      </c>
      <c r="AB680" t="s">
        <v>1794</v>
      </c>
      <c r="AC680" t="s">
        <v>1794</v>
      </c>
      <c r="AD680" t="s">
        <v>1794</v>
      </c>
      <c r="AE680">
        <v>0</v>
      </c>
      <c r="AF680" t="s">
        <v>1794</v>
      </c>
      <c r="AG680" t="s">
        <v>1794</v>
      </c>
      <c r="AH680" t="s">
        <v>1794</v>
      </c>
    </row>
    <row r="681" spans="1:34" x14ac:dyDescent="0.25">
      <c r="A681" t="s">
        <v>1330</v>
      </c>
      <c r="B681" t="s">
        <v>1331</v>
      </c>
      <c r="C681" t="s">
        <v>463</v>
      </c>
      <c r="D681" t="s">
        <v>909</v>
      </c>
      <c r="E681" t="s">
        <v>1794</v>
      </c>
      <c r="F681" t="s">
        <v>1049</v>
      </c>
      <c r="G681" t="s">
        <v>1124</v>
      </c>
      <c r="H681" t="s">
        <v>1063</v>
      </c>
      <c r="I681" t="s">
        <v>262</v>
      </c>
      <c r="J681" t="s">
        <v>1048</v>
      </c>
      <c r="K681">
        <v>1</v>
      </c>
      <c r="L681">
        <v>1</v>
      </c>
      <c r="M681" t="s">
        <v>33</v>
      </c>
      <c r="N681">
        <v>1</v>
      </c>
      <c r="O681">
        <v>1</v>
      </c>
      <c r="P681">
        <v>1</v>
      </c>
      <c r="Q681" t="s">
        <v>52</v>
      </c>
      <c r="R681">
        <v>1</v>
      </c>
      <c r="S681">
        <v>1</v>
      </c>
      <c r="T681">
        <v>1</v>
      </c>
      <c r="U681" t="s">
        <v>1794</v>
      </c>
      <c r="V681" t="s">
        <v>1794</v>
      </c>
      <c r="W681" t="s">
        <v>1794</v>
      </c>
      <c r="X681">
        <v>1</v>
      </c>
      <c r="Y681" t="s">
        <v>1794</v>
      </c>
      <c r="Z681">
        <v>0</v>
      </c>
      <c r="AA681" t="s">
        <v>1794</v>
      </c>
      <c r="AB681" t="s">
        <v>1794</v>
      </c>
      <c r="AC681" t="s">
        <v>1794</v>
      </c>
      <c r="AD681" t="s">
        <v>1794</v>
      </c>
      <c r="AE681">
        <v>0</v>
      </c>
      <c r="AF681" t="s">
        <v>1794</v>
      </c>
      <c r="AG681" t="s">
        <v>1794</v>
      </c>
      <c r="AH681" t="s">
        <v>1794</v>
      </c>
    </row>
    <row r="682" spans="1:34" ht="30.75" customHeight="1" x14ac:dyDescent="0.25">
      <c r="A682" t="s">
        <v>1276</v>
      </c>
      <c r="B682" t="s">
        <v>1277</v>
      </c>
      <c r="C682" t="s">
        <v>463</v>
      </c>
      <c r="D682" t="s">
        <v>909</v>
      </c>
      <c r="E682" t="s">
        <v>1794</v>
      </c>
      <c r="F682" t="s">
        <v>1051</v>
      </c>
      <c r="G682" t="s">
        <v>1124</v>
      </c>
      <c r="H682" t="s">
        <v>1064</v>
      </c>
      <c r="I682" t="s">
        <v>262</v>
      </c>
      <c r="J682" t="s">
        <v>1048</v>
      </c>
      <c r="K682">
        <v>1</v>
      </c>
      <c r="L682">
        <v>1</v>
      </c>
      <c r="M682" t="s">
        <v>33</v>
      </c>
      <c r="N682">
        <v>1</v>
      </c>
      <c r="O682">
        <v>1</v>
      </c>
      <c r="P682">
        <v>1</v>
      </c>
      <c r="Q682" t="s">
        <v>52</v>
      </c>
      <c r="R682">
        <v>1</v>
      </c>
      <c r="S682">
        <v>1</v>
      </c>
      <c r="T682">
        <v>1</v>
      </c>
      <c r="U682" t="s">
        <v>1794</v>
      </c>
      <c r="V682" t="s">
        <v>1794</v>
      </c>
      <c r="W682" t="s">
        <v>1794</v>
      </c>
      <c r="X682">
        <v>1</v>
      </c>
      <c r="Y682" t="s">
        <v>1794</v>
      </c>
      <c r="Z682">
        <v>0</v>
      </c>
      <c r="AA682" t="s">
        <v>1794</v>
      </c>
      <c r="AB682" t="s">
        <v>1794</v>
      </c>
      <c r="AC682" t="s">
        <v>1794</v>
      </c>
      <c r="AD682" t="s">
        <v>1794</v>
      </c>
      <c r="AE682">
        <v>0</v>
      </c>
      <c r="AF682" t="s">
        <v>1794</v>
      </c>
      <c r="AG682" t="s">
        <v>1794</v>
      </c>
      <c r="AH682" t="s">
        <v>1794</v>
      </c>
    </row>
    <row r="683" spans="1:34" ht="37.5" customHeight="1" x14ac:dyDescent="0.25">
      <c r="A683" t="s">
        <v>1487</v>
      </c>
      <c r="B683" t="s">
        <v>1488</v>
      </c>
      <c r="C683" t="s">
        <v>463</v>
      </c>
      <c r="D683" t="s">
        <v>909</v>
      </c>
      <c r="E683" t="s">
        <v>1794</v>
      </c>
      <c r="F683" t="s">
        <v>1051</v>
      </c>
      <c r="G683" t="s">
        <v>1124</v>
      </c>
      <c r="H683" t="s">
        <v>1064</v>
      </c>
      <c r="I683" t="s">
        <v>262</v>
      </c>
      <c r="J683" t="s">
        <v>1048</v>
      </c>
      <c r="K683">
        <v>1</v>
      </c>
      <c r="L683">
        <v>1</v>
      </c>
      <c r="M683" t="s">
        <v>33</v>
      </c>
      <c r="N683">
        <v>1</v>
      </c>
      <c r="O683">
        <v>1</v>
      </c>
      <c r="P683">
        <v>1</v>
      </c>
      <c r="Q683" t="s">
        <v>52</v>
      </c>
      <c r="R683">
        <v>1</v>
      </c>
      <c r="S683">
        <v>1</v>
      </c>
      <c r="T683">
        <v>1</v>
      </c>
      <c r="U683" t="s">
        <v>1794</v>
      </c>
      <c r="V683" t="s">
        <v>1794</v>
      </c>
      <c r="W683" t="s">
        <v>1794</v>
      </c>
      <c r="X683">
        <v>1</v>
      </c>
      <c r="Y683" t="s">
        <v>1794</v>
      </c>
      <c r="Z683">
        <v>0</v>
      </c>
      <c r="AA683" t="s">
        <v>1794</v>
      </c>
      <c r="AB683" t="s">
        <v>1794</v>
      </c>
      <c r="AC683" t="s">
        <v>1794</v>
      </c>
      <c r="AD683" t="s">
        <v>1794</v>
      </c>
      <c r="AE683">
        <v>0</v>
      </c>
      <c r="AF683" t="s">
        <v>1794</v>
      </c>
      <c r="AG683" t="s">
        <v>1794</v>
      </c>
      <c r="AH683" t="s">
        <v>1794</v>
      </c>
    </row>
    <row r="684" spans="1:34" ht="36.75" customHeight="1" x14ac:dyDescent="0.25">
      <c r="A684" t="s">
        <v>1330</v>
      </c>
      <c r="B684" t="s">
        <v>1331</v>
      </c>
      <c r="C684" t="s">
        <v>463</v>
      </c>
      <c r="D684" t="s">
        <v>909</v>
      </c>
      <c r="E684" t="s">
        <v>1794</v>
      </c>
      <c r="F684" t="s">
        <v>1051</v>
      </c>
      <c r="G684" t="s">
        <v>1124</v>
      </c>
      <c r="H684" t="s">
        <v>1064</v>
      </c>
      <c r="I684" t="s">
        <v>262</v>
      </c>
      <c r="J684" t="s">
        <v>1048</v>
      </c>
      <c r="K684">
        <v>1</v>
      </c>
      <c r="L684">
        <v>1</v>
      </c>
      <c r="M684" t="s">
        <v>33</v>
      </c>
      <c r="N684">
        <v>1</v>
      </c>
      <c r="O684">
        <v>1</v>
      </c>
      <c r="P684">
        <v>1</v>
      </c>
      <c r="Q684" t="s">
        <v>52</v>
      </c>
      <c r="R684">
        <v>1</v>
      </c>
      <c r="S684">
        <v>1</v>
      </c>
      <c r="T684">
        <v>1</v>
      </c>
      <c r="U684" t="s">
        <v>1794</v>
      </c>
      <c r="V684" t="s">
        <v>1794</v>
      </c>
      <c r="W684" t="s">
        <v>1794</v>
      </c>
      <c r="X684">
        <v>1</v>
      </c>
      <c r="Y684" t="s">
        <v>1794</v>
      </c>
      <c r="Z684">
        <v>0</v>
      </c>
      <c r="AA684" t="s">
        <v>1794</v>
      </c>
      <c r="AB684" t="s">
        <v>1794</v>
      </c>
      <c r="AC684" t="s">
        <v>1794</v>
      </c>
      <c r="AD684" t="s">
        <v>1794</v>
      </c>
      <c r="AE684">
        <v>0</v>
      </c>
      <c r="AF684" t="s">
        <v>1794</v>
      </c>
      <c r="AG684" t="s">
        <v>1794</v>
      </c>
      <c r="AH684" t="s">
        <v>1794</v>
      </c>
    </row>
    <row r="685" spans="1:34" ht="35.25" customHeight="1" x14ac:dyDescent="0.25">
      <c r="A685" t="s">
        <v>1276</v>
      </c>
      <c r="B685" t="s">
        <v>1277</v>
      </c>
      <c r="C685" t="s">
        <v>463</v>
      </c>
      <c r="D685" t="s">
        <v>909</v>
      </c>
      <c r="E685" t="s">
        <v>1794</v>
      </c>
      <c r="F685" t="s">
        <v>1065</v>
      </c>
      <c r="G685" t="s">
        <v>1124</v>
      </c>
      <c r="H685" t="s">
        <v>1066</v>
      </c>
      <c r="I685" t="s">
        <v>262</v>
      </c>
      <c r="J685" t="s">
        <v>1048</v>
      </c>
      <c r="K685">
        <v>1</v>
      </c>
      <c r="L685">
        <v>1</v>
      </c>
      <c r="M685" t="s">
        <v>33</v>
      </c>
      <c r="N685">
        <v>1</v>
      </c>
      <c r="O685">
        <v>1</v>
      </c>
      <c r="P685">
        <v>1</v>
      </c>
      <c r="Q685" t="s">
        <v>52</v>
      </c>
      <c r="R685">
        <v>1</v>
      </c>
      <c r="S685">
        <v>1</v>
      </c>
      <c r="T685">
        <v>1</v>
      </c>
      <c r="U685" t="s">
        <v>1794</v>
      </c>
      <c r="V685" t="s">
        <v>1794</v>
      </c>
      <c r="W685" t="s">
        <v>1794</v>
      </c>
      <c r="X685">
        <v>1</v>
      </c>
      <c r="Y685" t="s">
        <v>1794</v>
      </c>
      <c r="Z685">
        <v>0</v>
      </c>
      <c r="AA685" t="s">
        <v>1794</v>
      </c>
      <c r="AB685" t="s">
        <v>1794</v>
      </c>
      <c r="AC685" t="s">
        <v>1794</v>
      </c>
      <c r="AD685" t="s">
        <v>1794</v>
      </c>
      <c r="AE685">
        <v>0</v>
      </c>
      <c r="AF685" t="s">
        <v>1794</v>
      </c>
      <c r="AG685" t="s">
        <v>1794</v>
      </c>
      <c r="AH685" t="s">
        <v>1794</v>
      </c>
    </row>
    <row r="686" spans="1:34" ht="36" customHeight="1" x14ac:dyDescent="0.25">
      <c r="A686" t="s">
        <v>1487</v>
      </c>
      <c r="B686" t="s">
        <v>1488</v>
      </c>
      <c r="C686" t="s">
        <v>463</v>
      </c>
      <c r="D686" t="s">
        <v>909</v>
      </c>
      <c r="E686" t="s">
        <v>1794</v>
      </c>
      <c r="F686" t="s">
        <v>1065</v>
      </c>
      <c r="G686" t="s">
        <v>1124</v>
      </c>
      <c r="H686" t="s">
        <v>1066</v>
      </c>
      <c r="I686" t="s">
        <v>262</v>
      </c>
      <c r="J686" t="s">
        <v>1048</v>
      </c>
      <c r="K686">
        <v>1</v>
      </c>
      <c r="L686">
        <v>1</v>
      </c>
      <c r="M686" t="s">
        <v>33</v>
      </c>
      <c r="N686">
        <v>1</v>
      </c>
      <c r="O686">
        <v>1</v>
      </c>
      <c r="P686">
        <v>1</v>
      </c>
      <c r="Q686" t="s">
        <v>52</v>
      </c>
      <c r="R686">
        <v>1</v>
      </c>
      <c r="S686">
        <v>1</v>
      </c>
      <c r="T686">
        <v>1</v>
      </c>
      <c r="U686" t="s">
        <v>1794</v>
      </c>
      <c r="V686" t="s">
        <v>1794</v>
      </c>
      <c r="W686" t="s">
        <v>1794</v>
      </c>
      <c r="X686">
        <v>1</v>
      </c>
      <c r="Y686" t="s">
        <v>1794</v>
      </c>
      <c r="Z686">
        <v>0</v>
      </c>
      <c r="AA686" t="s">
        <v>1794</v>
      </c>
      <c r="AB686" t="s">
        <v>1794</v>
      </c>
      <c r="AC686" t="s">
        <v>1794</v>
      </c>
      <c r="AD686" t="s">
        <v>1794</v>
      </c>
      <c r="AE686">
        <v>0</v>
      </c>
      <c r="AF686" t="s">
        <v>1794</v>
      </c>
      <c r="AG686" t="s">
        <v>1794</v>
      </c>
      <c r="AH686" t="s">
        <v>1794</v>
      </c>
    </row>
    <row r="687" spans="1:34" ht="37.5" customHeight="1" x14ac:dyDescent="0.25">
      <c r="A687" t="s">
        <v>1604</v>
      </c>
      <c r="B687" t="s">
        <v>1605</v>
      </c>
      <c r="C687" t="s">
        <v>463</v>
      </c>
      <c r="D687" t="s">
        <v>909</v>
      </c>
      <c r="E687" t="s">
        <v>1794</v>
      </c>
      <c r="F687" t="s">
        <v>1065</v>
      </c>
      <c r="G687" t="s">
        <v>1124</v>
      </c>
      <c r="H687" t="s">
        <v>1066</v>
      </c>
      <c r="I687" t="s">
        <v>262</v>
      </c>
      <c r="J687" t="s">
        <v>1048</v>
      </c>
      <c r="K687">
        <v>1</v>
      </c>
      <c r="L687">
        <v>1</v>
      </c>
      <c r="M687" t="s">
        <v>33</v>
      </c>
      <c r="N687">
        <v>1</v>
      </c>
      <c r="O687">
        <v>1</v>
      </c>
      <c r="P687">
        <v>1</v>
      </c>
      <c r="Q687" t="s">
        <v>52</v>
      </c>
      <c r="R687">
        <v>1</v>
      </c>
      <c r="S687">
        <v>1</v>
      </c>
      <c r="T687">
        <v>1</v>
      </c>
      <c r="U687" t="s">
        <v>1794</v>
      </c>
      <c r="V687" t="s">
        <v>1794</v>
      </c>
      <c r="W687" t="s">
        <v>1794</v>
      </c>
      <c r="X687">
        <v>1</v>
      </c>
      <c r="Y687" t="s">
        <v>1794</v>
      </c>
      <c r="Z687">
        <v>0</v>
      </c>
      <c r="AA687" t="s">
        <v>1794</v>
      </c>
      <c r="AB687" t="s">
        <v>1794</v>
      </c>
      <c r="AC687" t="s">
        <v>1794</v>
      </c>
      <c r="AD687" t="s">
        <v>1794</v>
      </c>
      <c r="AE687">
        <v>0</v>
      </c>
      <c r="AF687" t="s">
        <v>1794</v>
      </c>
      <c r="AG687" t="s">
        <v>1794</v>
      </c>
      <c r="AH687" t="s">
        <v>1794</v>
      </c>
    </row>
    <row r="688" spans="1:34" x14ac:dyDescent="0.25">
      <c r="A688" t="s">
        <v>1330</v>
      </c>
      <c r="B688" t="s">
        <v>1331</v>
      </c>
      <c r="C688" t="s">
        <v>463</v>
      </c>
      <c r="D688" t="s">
        <v>909</v>
      </c>
      <c r="E688" t="s">
        <v>1794</v>
      </c>
      <c r="F688" t="s">
        <v>1065</v>
      </c>
      <c r="G688" t="s">
        <v>1124</v>
      </c>
      <c r="H688" t="s">
        <v>1066</v>
      </c>
      <c r="I688" t="s">
        <v>262</v>
      </c>
      <c r="J688" t="s">
        <v>1048</v>
      </c>
      <c r="K688">
        <v>1</v>
      </c>
      <c r="L688">
        <v>1</v>
      </c>
      <c r="M688" t="s">
        <v>33</v>
      </c>
      <c r="N688">
        <v>1</v>
      </c>
      <c r="O688">
        <v>1</v>
      </c>
      <c r="P688">
        <v>1</v>
      </c>
      <c r="Q688" t="s">
        <v>52</v>
      </c>
      <c r="R688">
        <v>1</v>
      </c>
      <c r="S688">
        <v>1</v>
      </c>
      <c r="T688">
        <v>1</v>
      </c>
      <c r="U688" t="s">
        <v>1794</v>
      </c>
      <c r="V688" t="s">
        <v>1794</v>
      </c>
      <c r="W688" t="s">
        <v>1794</v>
      </c>
      <c r="X688">
        <v>1</v>
      </c>
      <c r="Y688" t="s">
        <v>1794</v>
      </c>
      <c r="Z688">
        <v>0</v>
      </c>
      <c r="AA688" t="s">
        <v>1794</v>
      </c>
      <c r="AB688" t="s">
        <v>1794</v>
      </c>
      <c r="AC688" t="s">
        <v>1794</v>
      </c>
      <c r="AD688" t="s">
        <v>1794</v>
      </c>
      <c r="AE688">
        <v>0</v>
      </c>
      <c r="AF688" t="s">
        <v>1794</v>
      </c>
      <c r="AG688" t="s">
        <v>1794</v>
      </c>
      <c r="AH688" t="s">
        <v>1794</v>
      </c>
    </row>
    <row r="689" spans="1:34" x14ac:dyDescent="0.25">
      <c r="A689" t="s">
        <v>1276</v>
      </c>
      <c r="B689" t="s">
        <v>1277</v>
      </c>
      <c r="C689" t="s">
        <v>364</v>
      </c>
      <c r="D689" t="s">
        <v>358</v>
      </c>
      <c r="E689" t="s">
        <v>1794</v>
      </c>
      <c r="F689" t="s">
        <v>1067</v>
      </c>
      <c r="G689" t="s">
        <v>1124</v>
      </c>
      <c r="H689" t="s">
        <v>1068</v>
      </c>
      <c r="I689" t="s">
        <v>262</v>
      </c>
      <c r="J689" t="s">
        <v>301</v>
      </c>
      <c r="K689">
        <v>1</v>
      </c>
      <c r="L689">
        <v>4</v>
      </c>
      <c r="M689" t="s">
        <v>33</v>
      </c>
      <c r="N689">
        <v>1</v>
      </c>
      <c r="O689">
        <v>4</v>
      </c>
      <c r="P689">
        <v>1</v>
      </c>
      <c r="Q689" t="s">
        <v>52</v>
      </c>
      <c r="R689">
        <v>4</v>
      </c>
      <c r="S689">
        <v>4</v>
      </c>
      <c r="T689">
        <v>4</v>
      </c>
      <c r="U689" t="s">
        <v>1794</v>
      </c>
      <c r="V689" t="s">
        <v>1794</v>
      </c>
      <c r="W689" t="s">
        <v>1794</v>
      </c>
      <c r="X689">
        <v>1</v>
      </c>
      <c r="Y689" t="s">
        <v>1794</v>
      </c>
      <c r="Z689">
        <v>0</v>
      </c>
      <c r="AA689" t="s">
        <v>1794</v>
      </c>
      <c r="AB689" t="s">
        <v>1794</v>
      </c>
      <c r="AC689" t="s">
        <v>1794</v>
      </c>
      <c r="AD689" t="s">
        <v>1794</v>
      </c>
      <c r="AE689">
        <v>0</v>
      </c>
      <c r="AF689" t="s">
        <v>1794</v>
      </c>
      <c r="AG689" t="s">
        <v>1794</v>
      </c>
      <c r="AH689" t="s">
        <v>1794</v>
      </c>
    </row>
    <row r="690" spans="1:34" x14ac:dyDescent="0.25">
      <c r="A690" t="s">
        <v>1330</v>
      </c>
      <c r="B690" t="s">
        <v>1331</v>
      </c>
      <c r="C690" t="s">
        <v>364</v>
      </c>
      <c r="D690" t="s">
        <v>358</v>
      </c>
      <c r="E690" t="s">
        <v>1794</v>
      </c>
      <c r="F690" t="s">
        <v>1067</v>
      </c>
      <c r="G690" t="s">
        <v>1124</v>
      </c>
      <c r="H690" t="s">
        <v>1068</v>
      </c>
      <c r="I690" t="s">
        <v>262</v>
      </c>
      <c r="J690" t="s">
        <v>301</v>
      </c>
      <c r="K690">
        <v>1</v>
      </c>
      <c r="L690">
        <v>4</v>
      </c>
      <c r="M690" t="s">
        <v>33</v>
      </c>
      <c r="N690">
        <v>1</v>
      </c>
      <c r="O690">
        <v>4</v>
      </c>
      <c r="P690">
        <v>1</v>
      </c>
      <c r="Q690" t="s">
        <v>52</v>
      </c>
      <c r="R690">
        <v>4</v>
      </c>
      <c r="S690">
        <v>4</v>
      </c>
      <c r="T690">
        <v>4</v>
      </c>
      <c r="U690" t="s">
        <v>1794</v>
      </c>
      <c r="V690" t="s">
        <v>1794</v>
      </c>
      <c r="W690" t="s">
        <v>1794</v>
      </c>
      <c r="X690">
        <v>1</v>
      </c>
      <c r="Y690" t="s">
        <v>1794</v>
      </c>
      <c r="Z690">
        <v>0</v>
      </c>
      <c r="AA690" t="s">
        <v>1794</v>
      </c>
      <c r="AB690" t="s">
        <v>1794</v>
      </c>
      <c r="AC690" t="s">
        <v>1794</v>
      </c>
      <c r="AD690" t="s">
        <v>1794</v>
      </c>
      <c r="AE690">
        <v>0</v>
      </c>
      <c r="AF690" t="s">
        <v>1794</v>
      </c>
      <c r="AG690" t="s">
        <v>1794</v>
      </c>
      <c r="AH690" t="s">
        <v>1794</v>
      </c>
    </row>
    <row r="691" spans="1:34" x14ac:dyDescent="0.25">
      <c r="A691" t="s">
        <v>1334</v>
      </c>
      <c r="B691" t="s">
        <v>1335</v>
      </c>
      <c r="C691" t="s">
        <v>364</v>
      </c>
      <c r="D691" t="s">
        <v>358</v>
      </c>
      <c r="E691" t="s">
        <v>1794</v>
      </c>
      <c r="F691" t="s">
        <v>1067</v>
      </c>
      <c r="G691" t="s">
        <v>1124</v>
      </c>
      <c r="H691" t="s">
        <v>1068</v>
      </c>
      <c r="I691" t="s">
        <v>262</v>
      </c>
      <c r="J691" t="s">
        <v>301</v>
      </c>
      <c r="K691">
        <v>1</v>
      </c>
      <c r="L691">
        <v>4</v>
      </c>
      <c r="M691" t="s">
        <v>33</v>
      </c>
      <c r="N691">
        <v>1</v>
      </c>
      <c r="O691">
        <v>4</v>
      </c>
      <c r="P691">
        <v>1</v>
      </c>
      <c r="Q691" t="s">
        <v>52</v>
      </c>
      <c r="R691">
        <v>4</v>
      </c>
      <c r="S691">
        <v>4</v>
      </c>
      <c r="T691">
        <v>4</v>
      </c>
      <c r="U691" t="s">
        <v>1794</v>
      </c>
      <c r="V691" t="s">
        <v>1794</v>
      </c>
      <c r="W691" t="s">
        <v>1794</v>
      </c>
      <c r="X691">
        <v>1</v>
      </c>
      <c r="Y691" t="s">
        <v>1794</v>
      </c>
      <c r="Z691">
        <v>0</v>
      </c>
      <c r="AA691" t="s">
        <v>1794</v>
      </c>
      <c r="AB691" t="s">
        <v>1794</v>
      </c>
      <c r="AC691" t="s">
        <v>1794</v>
      </c>
      <c r="AD691" t="s">
        <v>1794</v>
      </c>
      <c r="AE691">
        <v>0</v>
      </c>
      <c r="AF691" t="s">
        <v>1794</v>
      </c>
      <c r="AG691" t="s">
        <v>1794</v>
      </c>
      <c r="AH691" t="s">
        <v>1794</v>
      </c>
    </row>
    <row r="692" spans="1:34" x14ac:dyDescent="0.25">
      <c r="A692" t="s">
        <v>1487</v>
      </c>
      <c r="B692" t="s">
        <v>1488</v>
      </c>
      <c r="C692" t="s">
        <v>364</v>
      </c>
      <c r="D692" t="s">
        <v>358</v>
      </c>
      <c r="E692" t="s">
        <v>1794</v>
      </c>
      <c r="F692" t="s">
        <v>1067</v>
      </c>
      <c r="G692" t="s">
        <v>1124</v>
      </c>
      <c r="H692" t="s">
        <v>1068</v>
      </c>
      <c r="I692" t="s">
        <v>262</v>
      </c>
      <c r="J692" t="s">
        <v>301</v>
      </c>
      <c r="K692">
        <v>1</v>
      </c>
      <c r="L692">
        <v>4</v>
      </c>
      <c r="M692" t="s">
        <v>33</v>
      </c>
      <c r="N692">
        <v>1</v>
      </c>
      <c r="O692">
        <v>4</v>
      </c>
      <c r="P692">
        <v>1</v>
      </c>
      <c r="Q692" t="s">
        <v>52</v>
      </c>
      <c r="R692">
        <v>4</v>
      </c>
      <c r="S692">
        <v>4</v>
      </c>
      <c r="T692">
        <v>4</v>
      </c>
      <c r="U692" t="s">
        <v>1794</v>
      </c>
      <c r="V692" t="s">
        <v>1794</v>
      </c>
      <c r="W692" t="s">
        <v>1794</v>
      </c>
      <c r="X692">
        <v>1</v>
      </c>
      <c r="Y692" t="s">
        <v>1794</v>
      </c>
      <c r="Z692">
        <v>0</v>
      </c>
      <c r="AA692" t="s">
        <v>1794</v>
      </c>
      <c r="AB692" t="s">
        <v>1794</v>
      </c>
      <c r="AC692" t="s">
        <v>1794</v>
      </c>
      <c r="AD692" t="s">
        <v>1794</v>
      </c>
      <c r="AE692">
        <v>0</v>
      </c>
      <c r="AF692" t="s">
        <v>1794</v>
      </c>
      <c r="AG692" t="s">
        <v>1794</v>
      </c>
      <c r="AH692" t="s">
        <v>1794</v>
      </c>
    </row>
    <row r="693" spans="1:34" x14ac:dyDescent="0.25">
      <c r="A693" t="s">
        <v>1491</v>
      </c>
      <c r="B693" t="s">
        <v>1492</v>
      </c>
      <c r="C693" t="s">
        <v>364</v>
      </c>
      <c r="D693" t="s">
        <v>358</v>
      </c>
      <c r="E693" t="s">
        <v>1794</v>
      </c>
      <c r="F693" t="s">
        <v>1067</v>
      </c>
      <c r="G693" t="s">
        <v>1124</v>
      </c>
      <c r="H693" t="s">
        <v>1068</v>
      </c>
      <c r="I693" t="s">
        <v>262</v>
      </c>
      <c r="J693" t="s">
        <v>301</v>
      </c>
      <c r="K693">
        <v>1</v>
      </c>
      <c r="L693">
        <v>4</v>
      </c>
      <c r="M693" t="s">
        <v>33</v>
      </c>
      <c r="N693">
        <v>1</v>
      </c>
      <c r="O693">
        <v>4</v>
      </c>
      <c r="P693">
        <v>1</v>
      </c>
      <c r="Q693" t="s">
        <v>52</v>
      </c>
      <c r="R693">
        <v>4</v>
      </c>
      <c r="S693">
        <v>4</v>
      </c>
      <c r="T693">
        <v>4</v>
      </c>
      <c r="U693" t="s">
        <v>1794</v>
      </c>
      <c r="V693" t="s">
        <v>1794</v>
      </c>
      <c r="W693" t="s">
        <v>1794</v>
      </c>
      <c r="X693">
        <v>1</v>
      </c>
      <c r="Y693" t="s">
        <v>1794</v>
      </c>
      <c r="Z693">
        <v>0</v>
      </c>
      <c r="AA693" t="s">
        <v>1794</v>
      </c>
      <c r="AB693" t="s">
        <v>1794</v>
      </c>
      <c r="AC693" t="s">
        <v>1794</v>
      </c>
      <c r="AD693" t="s">
        <v>1794</v>
      </c>
      <c r="AE693">
        <v>0</v>
      </c>
      <c r="AF693" t="s">
        <v>1794</v>
      </c>
      <c r="AG693" t="s">
        <v>1794</v>
      </c>
      <c r="AH693" t="s">
        <v>1794</v>
      </c>
    </row>
    <row r="694" spans="1:34" x14ac:dyDescent="0.25">
      <c r="A694" t="s">
        <v>1069</v>
      </c>
      <c r="B694" t="s">
        <v>1072</v>
      </c>
      <c r="C694" t="s">
        <v>306</v>
      </c>
      <c r="D694" t="s">
        <v>259</v>
      </c>
      <c r="E694" t="s">
        <v>1794</v>
      </c>
      <c r="F694" t="s">
        <v>1070</v>
      </c>
      <c r="G694" t="s">
        <v>1124</v>
      </c>
      <c r="H694" t="s">
        <v>1071</v>
      </c>
      <c r="I694" t="s">
        <v>262</v>
      </c>
      <c r="J694" t="s">
        <v>301</v>
      </c>
      <c r="K694">
        <v>1</v>
      </c>
      <c r="L694">
        <v>1</v>
      </c>
      <c r="M694" t="s">
        <v>33</v>
      </c>
      <c r="N694">
        <v>1</v>
      </c>
      <c r="O694">
        <v>1</v>
      </c>
      <c r="P694">
        <v>1</v>
      </c>
      <c r="Q694" t="s">
        <v>52</v>
      </c>
      <c r="R694">
        <v>1</v>
      </c>
      <c r="S694">
        <v>1</v>
      </c>
      <c r="T694">
        <v>1</v>
      </c>
      <c r="U694" t="s">
        <v>1794</v>
      </c>
      <c r="V694" t="s">
        <v>1794</v>
      </c>
      <c r="W694" t="s">
        <v>1794</v>
      </c>
      <c r="X694">
        <v>1</v>
      </c>
      <c r="Y694" t="s">
        <v>1794</v>
      </c>
      <c r="Z694">
        <v>0</v>
      </c>
      <c r="AA694" t="s">
        <v>1794</v>
      </c>
      <c r="AB694" t="s">
        <v>1794</v>
      </c>
      <c r="AC694" t="s">
        <v>1794</v>
      </c>
      <c r="AD694" t="s">
        <v>1794</v>
      </c>
      <c r="AE694">
        <v>0</v>
      </c>
      <c r="AF694" t="s">
        <v>1794</v>
      </c>
      <c r="AG694" t="s">
        <v>1794</v>
      </c>
      <c r="AH694" t="s">
        <v>1794</v>
      </c>
    </row>
    <row r="695" spans="1:34" x14ac:dyDescent="0.25">
      <c r="A695" t="s">
        <v>1069</v>
      </c>
      <c r="B695" t="s">
        <v>1072</v>
      </c>
      <c r="C695" t="s">
        <v>306</v>
      </c>
      <c r="D695" t="s">
        <v>259</v>
      </c>
      <c r="E695" t="s">
        <v>1794</v>
      </c>
      <c r="F695" t="s">
        <v>1073</v>
      </c>
      <c r="G695" t="s">
        <v>1124</v>
      </c>
      <c r="H695" t="s">
        <v>1074</v>
      </c>
      <c r="I695" t="s">
        <v>262</v>
      </c>
      <c r="J695" t="s">
        <v>1075</v>
      </c>
      <c r="K695">
        <v>1</v>
      </c>
      <c r="L695">
        <v>1</v>
      </c>
      <c r="M695" t="s">
        <v>33</v>
      </c>
      <c r="N695">
        <v>1</v>
      </c>
      <c r="O695">
        <v>1</v>
      </c>
      <c r="P695">
        <v>1</v>
      </c>
      <c r="Q695" t="s">
        <v>52</v>
      </c>
      <c r="R695">
        <v>1</v>
      </c>
      <c r="S695">
        <v>1</v>
      </c>
      <c r="T695">
        <v>1</v>
      </c>
      <c r="U695" t="s">
        <v>1794</v>
      </c>
      <c r="V695" t="s">
        <v>1794</v>
      </c>
      <c r="W695" t="s">
        <v>1794</v>
      </c>
      <c r="X695">
        <v>1</v>
      </c>
      <c r="Y695" t="s">
        <v>1794</v>
      </c>
      <c r="Z695">
        <v>0</v>
      </c>
      <c r="AA695" t="s">
        <v>1794</v>
      </c>
      <c r="AB695" t="s">
        <v>1794</v>
      </c>
      <c r="AC695" t="s">
        <v>1794</v>
      </c>
      <c r="AD695" t="s">
        <v>1794</v>
      </c>
      <c r="AE695">
        <v>0</v>
      </c>
      <c r="AF695" t="s">
        <v>1794</v>
      </c>
      <c r="AG695" t="s">
        <v>1794</v>
      </c>
      <c r="AH695" t="s">
        <v>1794</v>
      </c>
    </row>
    <row r="696" spans="1:34" x14ac:dyDescent="0.25">
      <c r="A696" t="s">
        <v>290</v>
      </c>
      <c r="B696" t="s">
        <v>1278</v>
      </c>
      <c r="C696" t="s">
        <v>364</v>
      </c>
      <c r="D696" t="s">
        <v>259</v>
      </c>
      <c r="E696" t="s">
        <v>1794</v>
      </c>
      <c r="F696" t="s">
        <v>1076</v>
      </c>
      <c r="G696" t="s">
        <v>1124</v>
      </c>
      <c r="H696" t="s">
        <v>1077</v>
      </c>
      <c r="I696" t="s">
        <v>262</v>
      </c>
      <c r="J696" t="s">
        <v>368</v>
      </c>
      <c r="K696">
        <v>1</v>
      </c>
      <c r="L696">
        <v>1</v>
      </c>
      <c r="M696" t="s">
        <v>33</v>
      </c>
      <c r="N696">
        <v>1</v>
      </c>
      <c r="O696">
        <v>1</v>
      </c>
      <c r="P696">
        <v>1</v>
      </c>
      <c r="Q696" t="s">
        <v>52</v>
      </c>
      <c r="R696">
        <v>1</v>
      </c>
      <c r="S696">
        <v>1</v>
      </c>
      <c r="T696">
        <v>1</v>
      </c>
      <c r="U696" t="s">
        <v>1794</v>
      </c>
      <c r="V696" t="s">
        <v>1794</v>
      </c>
      <c r="W696" t="s">
        <v>1794</v>
      </c>
      <c r="X696">
        <v>1</v>
      </c>
      <c r="Y696" t="s">
        <v>1794</v>
      </c>
      <c r="Z696">
        <v>0</v>
      </c>
      <c r="AA696" t="s">
        <v>1794</v>
      </c>
      <c r="AB696" t="s">
        <v>1794</v>
      </c>
      <c r="AC696" t="s">
        <v>1794</v>
      </c>
      <c r="AD696" t="s">
        <v>1794</v>
      </c>
      <c r="AE696">
        <v>0</v>
      </c>
      <c r="AF696" t="s">
        <v>1794</v>
      </c>
      <c r="AG696" t="s">
        <v>1794</v>
      </c>
      <c r="AH696" t="s">
        <v>1794</v>
      </c>
    </row>
    <row r="697" spans="1:34" x14ac:dyDescent="0.25">
      <c r="A697" t="s">
        <v>1489</v>
      </c>
      <c r="B697" t="s">
        <v>1490</v>
      </c>
      <c r="C697" t="s">
        <v>364</v>
      </c>
      <c r="D697" t="s">
        <v>358</v>
      </c>
      <c r="E697" t="s">
        <v>1794</v>
      </c>
      <c r="F697" t="s">
        <v>1078</v>
      </c>
      <c r="G697" t="s">
        <v>1124</v>
      </c>
      <c r="H697" t="s">
        <v>1079</v>
      </c>
      <c r="I697" t="s">
        <v>262</v>
      </c>
      <c r="J697" t="s">
        <v>692</v>
      </c>
      <c r="K697">
        <v>1</v>
      </c>
      <c r="L697">
        <v>1</v>
      </c>
      <c r="M697" t="s">
        <v>33</v>
      </c>
      <c r="N697">
        <v>1</v>
      </c>
      <c r="O697">
        <v>1</v>
      </c>
      <c r="P697">
        <v>1</v>
      </c>
      <c r="Q697" t="s">
        <v>52</v>
      </c>
      <c r="R697">
        <v>1</v>
      </c>
      <c r="S697">
        <v>1</v>
      </c>
      <c r="T697">
        <v>1</v>
      </c>
      <c r="U697" t="s">
        <v>1794</v>
      </c>
      <c r="V697" t="s">
        <v>1794</v>
      </c>
      <c r="W697" t="s">
        <v>1794</v>
      </c>
      <c r="X697">
        <v>1</v>
      </c>
      <c r="Y697" t="s">
        <v>1794</v>
      </c>
      <c r="Z697">
        <v>0</v>
      </c>
      <c r="AA697" t="s">
        <v>1794</v>
      </c>
      <c r="AB697" t="s">
        <v>1794</v>
      </c>
      <c r="AC697" t="s">
        <v>1794</v>
      </c>
      <c r="AD697" t="s">
        <v>1794</v>
      </c>
      <c r="AE697">
        <v>0</v>
      </c>
      <c r="AF697" t="s">
        <v>1794</v>
      </c>
      <c r="AG697" t="s">
        <v>1794</v>
      </c>
      <c r="AH697" t="s">
        <v>1794</v>
      </c>
    </row>
    <row r="698" spans="1:34" x14ac:dyDescent="0.25">
      <c r="A698" t="s">
        <v>1332</v>
      </c>
      <c r="B698" t="s">
        <v>1333</v>
      </c>
      <c r="C698" t="s">
        <v>364</v>
      </c>
      <c r="D698" t="s">
        <v>358</v>
      </c>
      <c r="E698" t="s">
        <v>1794</v>
      </c>
      <c r="F698" t="s">
        <v>1078</v>
      </c>
      <c r="G698" t="s">
        <v>1124</v>
      </c>
      <c r="H698" t="s">
        <v>1079</v>
      </c>
      <c r="I698" t="s">
        <v>262</v>
      </c>
      <c r="J698" t="s">
        <v>692</v>
      </c>
      <c r="K698">
        <v>1</v>
      </c>
      <c r="L698">
        <v>1</v>
      </c>
      <c r="M698" t="s">
        <v>33</v>
      </c>
      <c r="N698">
        <v>1</v>
      </c>
      <c r="O698">
        <v>1</v>
      </c>
      <c r="P698">
        <v>1</v>
      </c>
      <c r="Q698" t="s">
        <v>52</v>
      </c>
      <c r="R698">
        <v>1</v>
      </c>
      <c r="S698">
        <v>1</v>
      </c>
      <c r="T698">
        <v>1</v>
      </c>
      <c r="U698" t="s">
        <v>1794</v>
      </c>
      <c r="V698" t="s">
        <v>1794</v>
      </c>
      <c r="W698" t="s">
        <v>1794</v>
      </c>
      <c r="X698">
        <v>1</v>
      </c>
      <c r="Y698" t="s">
        <v>1794</v>
      </c>
      <c r="Z698">
        <v>0</v>
      </c>
      <c r="AA698" t="s">
        <v>1794</v>
      </c>
      <c r="AB698" t="s">
        <v>1794</v>
      </c>
      <c r="AC698" t="s">
        <v>1794</v>
      </c>
      <c r="AD698" t="s">
        <v>1794</v>
      </c>
      <c r="AE698">
        <v>0</v>
      </c>
      <c r="AF698" t="s">
        <v>1794</v>
      </c>
      <c r="AG698" t="s">
        <v>1794</v>
      </c>
      <c r="AH698" t="s">
        <v>1794</v>
      </c>
    </row>
    <row r="699" spans="1:34" x14ac:dyDescent="0.25">
      <c r="A699" t="s">
        <v>700</v>
      </c>
      <c r="B699" t="s">
        <v>1409</v>
      </c>
      <c r="C699" t="s">
        <v>364</v>
      </c>
      <c r="D699" t="s">
        <v>358</v>
      </c>
      <c r="E699" t="s">
        <v>1794</v>
      </c>
      <c r="F699" t="s">
        <v>1080</v>
      </c>
      <c r="G699" t="s">
        <v>1124</v>
      </c>
      <c r="H699" t="s">
        <v>1833</v>
      </c>
      <c r="I699" t="s">
        <v>262</v>
      </c>
      <c r="J699" t="s">
        <v>1081</v>
      </c>
      <c r="K699">
        <v>1</v>
      </c>
      <c r="L699">
        <v>2</v>
      </c>
      <c r="M699" t="s">
        <v>33</v>
      </c>
      <c r="N699">
        <v>1</v>
      </c>
      <c r="O699">
        <v>2</v>
      </c>
      <c r="P699">
        <v>1</v>
      </c>
      <c r="Q699" t="s">
        <v>52</v>
      </c>
      <c r="R699">
        <v>2</v>
      </c>
      <c r="S699">
        <v>2</v>
      </c>
      <c r="T699">
        <v>2</v>
      </c>
      <c r="U699" t="s">
        <v>1794</v>
      </c>
      <c r="V699" t="s">
        <v>1794</v>
      </c>
      <c r="W699" t="s">
        <v>1794</v>
      </c>
      <c r="X699">
        <v>1</v>
      </c>
      <c r="Y699" t="s">
        <v>1794</v>
      </c>
      <c r="Z699">
        <v>0</v>
      </c>
      <c r="AA699" t="s">
        <v>1794</v>
      </c>
      <c r="AB699" t="s">
        <v>1794</v>
      </c>
      <c r="AC699" t="s">
        <v>1794</v>
      </c>
      <c r="AD699" t="s">
        <v>1794</v>
      </c>
      <c r="AE699">
        <v>0</v>
      </c>
      <c r="AF699" t="s">
        <v>1794</v>
      </c>
      <c r="AG699" t="s">
        <v>1794</v>
      </c>
      <c r="AH699" t="s">
        <v>1794</v>
      </c>
    </row>
    <row r="700" spans="1:34" x14ac:dyDescent="0.25">
      <c r="A700" t="s">
        <v>1082</v>
      </c>
      <c r="B700" t="s">
        <v>1463</v>
      </c>
      <c r="C700" t="s">
        <v>463</v>
      </c>
      <c r="D700" t="s">
        <v>358</v>
      </c>
      <c r="E700" t="s">
        <v>1794</v>
      </c>
      <c r="F700" t="s">
        <v>1083</v>
      </c>
      <c r="G700" t="s">
        <v>1124</v>
      </c>
      <c r="H700" t="s">
        <v>1084</v>
      </c>
      <c r="I700" t="s">
        <v>262</v>
      </c>
      <c r="J700" t="s">
        <v>279</v>
      </c>
      <c r="K700">
        <v>1</v>
      </c>
      <c r="L700">
        <v>4</v>
      </c>
      <c r="M700" t="s">
        <v>33</v>
      </c>
      <c r="N700">
        <v>1</v>
      </c>
      <c r="O700">
        <v>4</v>
      </c>
      <c r="P700">
        <v>1</v>
      </c>
      <c r="Q700" t="s">
        <v>52</v>
      </c>
      <c r="R700">
        <v>4</v>
      </c>
      <c r="S700">
        <v>4</v>
      </c>
      <c r="T700">
        <v>4</v>
      </c>
      <c r="U700" t="s">
        <v>1794</v>
      </c>
      <c r="V700" t="s">
        <v>1794</v>
      </c>
      <c r="W700" t="s">
        <v>1794</v>
      </c>
      <c r="X700">
        <v>1</v>
      </c>
      <c r="Y700" t="s">
        <v>1794</v>
      </c>
      <c r="Z700">
        <v>0</v>
      </c>
      <c r="AA700" t="s">
        <v>1794</v>
      </c>
      <c r="AB700" t="s">
        <v>1794</v>
      </c>
      <c r="AC700" t="s">
        <v>1794</v>
      </c>
      <c r="AD700" t="s">
        <v>1794</v>
      </c>
      <c r="AE700">
        <v>0</v>
      </c>
      <c r="AF700" t="s">
        <v>1794</v>
      </c>
      <c r="AG700" t="s">
        <v>1794</v>
      </c>
      <c r="AH700" t="s">
        <v>1794</v>
      </c>
    </row>
    <row r="701" spans="1:34" x14ac:dyDescent="0.25">
      <c r="A701" t="s">
        <v>1085</v>
      </c>
      <c r="B701" t="s">
        <v>1167</v>
      </c>
      <c r="C701" t="s">
        <v>306</v>
      </c>
      <c r="D701" t="s">
        <v>259</v>
      </c>
      <c r="E701" t="s">
        <v>1794</v>
      </c>
      <c r="F701" t="s">
        <v>1086</v>
      </c>
      <c r="G701" t="s">
        <v>1124</v>
      </c>
      <c r="H701" t="s">
        <v>1834</v>
      </c>
      <c r="I701" t="s">
        <v>262</v>
      </c>
      <c r="J701" t="s">
        <v>916</v>
      </c>
      <c r="K701">
        <v>1</v>
      </c>
      <c r="L701">
        <v>20</v>
      </c>
      <c r="M701" t="s">
        <v>33</v>
      </c>
      <c r="N701">
        <v>1</v>
      </c>
      <c r="O701">
        <v>0</v>
      </c>
      <c r="P701">
        <v>0</v>
      </c>
      <c r="Q701" t="s">
        <v>52</v>
      </c>
      <c r="R701">
        <v>20</v>
      </c>
      <c r="S701">
        <v>20</v>
      </c>
      <c r="T701">
        <v>12</v>
      </c>
      <c r="U701">
        <v>8</v>
      </c>
      <c r="V701" t="s">
        <v>1794</v>
      </c>
      <c r="W701" t="s">
        <v>1794</v>
      </c>
      <c r="X701">
        <v>1</v>
      </c>
      <c r="Y701" t="s">
        <v>1794</v>
      </c>
      <c r="Z701">
        <v>0</v>
      </c>
      <c r="AA701" t="s">
        <v>1794</v>
      </c>
      <c r="AB701" t="s">
        <v>1794</v>
      </c>
      <c r="AC701" t="s">
        <v>1794</v>
      </c>
      <c r="AD701" t="s">
        <v>1794</v>
      </c>
      <c r="AE701">
        <v>0</v>
      </c>
      <c r="AF701" t="s">
        <v>1794</v>
      </c>
      <c r="AG701" t="s">
        <v>1794</v>
      </c>
      <c r="AH701" t="s">
        <v>1794</v>
      </c>
    </row>
    <row r="702" spans="1:34" x14ac:dyDescent="0.25">
      <c r="A702" t="s">
        <v>1087</v>
      </c>
      <c r="B702" t="s">
        <v>1251</v>
      </c>
      <c r="C702" t="s">
        <v>460</v>
      </c>
      <c r="D702" t="s">
        <v>259</v>
      </c>
      <c r="E702" t="s">
        <v>1794</v>
      </c>
      <c r="F702" t="s">
        <v>1088</v>
      </c>
      <c r="G702" t="s">
        <v>1124</v>
      </c>
      <c r="H702" t="s">
        <v>1089</v>
      </c>
      <c r="I702" t="s">
        <v>262</v>
      </c>
      <c r="J702" t="s">
        <v>279</v>
      </c>
      <c r="K702">
        <v>1</v>
      </c>
      <c r="L702">
        <v>1</v>
      </c>
      <c r="M702" t="s">
        <v>33</v>
      </c>
      <c r="N702">
        <v>1</v>
      </c>
      <c r="O702">
        <v>1</v>
      </c>
      <c r="P702">
        <v>1</v>
      </c>
      <c r="Q702" t="s">
        <v>52</v>
      </c>
      <c r="R702">
        <v>1</v>
      </c>
      <c r="S702">
        <v>1</v>
      </c>
      <c r="T702">
        <v>1</v>
      </c>
      <c r="U702" t="s">
        <v>1794</v>
      </c>
      <c r="V702" t="s">
        <v>1794</v>
      </c>
      <c r="W702" t="s">
        <v>1794</v>
      </c>
      <c r="X702">
        <v>1</v>
      </c>
      <c r="Y702" t="s">
        <v>1794</v>
      </c>
      <c r="Z702">
        <v>0</v>
      </c>
      <c r="AA702" t="s">
        <v>1794</v>
      </c>
      <c r="AB702" t="s">
        <v>1794</v>
      </c>
      <c r="AC702" t="s">
        <v>1794</v>
      </c>
      <c r="AD702" t="s">
        <v>1794</v>
      </c>
      <c r="AE702">
        <v>0</v>
      </c>
      <c r="AF702" t="s">
        <v>1794</v>
      </c>
      <c r="AG702" t="s">
        <v>1794</v>
      </c>
      <c r="AH702" t="s">
        <v>1794</v>
      </c>
    </row>
    <row r="703" spans="1:34" x14ac:dyDescent="0.25">
      <c r="A703" t="s">
        <v>1087</v>
      </c>
      <c r="B703" t="s">
        <v>1251</v>
      </c>
      <c r="C703" t="s">
        <v>460</v>
      </c>
      <c r="D703" t="s">
        <v>259</v>
      </c>
      <c r="E703" t="s">
        <v>1794</v>
      </c>
      <c r="F703" t="s">
        <v>1090</v>
      </c>
      <c r="G703" t="s">
        <v>1124</v>
      </c>
      <c r="H703" t="s">
        <v>1091</v>
      </c>
      <c r="I703" t="s">
        <v>262</v>
      </c>
      <c r="J703" t="s">
        <v>293</v>
      </c>
      <c r="K703">
        <v>1</v>
      </c>
      <c r="L703">
        <v>1</v>
      </c>
      <c r="M703" t="s">
        <v>33</v>
      </c>
      <c r="N703">
        <v>1</v>
      </c>
      <c r="O703">
        <v>1</v>
      </c>
      <c r="P703">
        <v>1</v>
      </c>
      <c r="Q703" t="s">
        <v>52</v>
      </c>
      <c r="R703">
        <v>1</v>
      </c>
      <c r="S703">
        <v>1</v>
      </c>
      <c r="T703">
        <v>1</v>
      </c>
      <c r="U703" t="s">
        <v>1794</v>
      </c>
      <c r="V703" t="s">
        <v>1794</v>
      </c>
      <c r="W703" t="s">
        <v>1794</v>
      </c>
      <c r="X703">
        <v>1</v>
      </c>
      <c r="Y703" t="s">
        <v>1794</v>
      </c>
      <c r="Z703">
        <v>0</v>
      </c>
      <c r="AA703" t="s">
        <v>1794</v>
      </c>
      <c r="AB703" t="s">
        <v>1794</v>
      </c>
      <c r="AC703" t="s">
        <v>1794</v>
      </c>
      <c r="AD703" t="s">
        <v>1794</v>
      </c>
      <c r="AE703">
        <v>0</v>
      </c>
      <c r="AF703" t="s">
        <v>1794</v>
      </c>
      <c r="AG703" t="s">
        <v>1794</v>
      </c>
      <c r="AH703" t="s">
        <v>1794</v>
      </c>
    </row>
    <row r="704" spans="1:34" x14ac:dyDescent="0.25">
      <c r="A704" t="s">
        <v>1087</v>
      </c>
      <c r="B704" t="s">
        <v>1251</v>
      </c>
      <c r="C704" t="s">
        <v>460</v>
      </c>
      <c r="D704" t="s">
        <v>259</v>
      </c>
      <c r="E704" t="s">
        <v>1794</v>
      </c>
      <c r="F704" t="s">
        <v>1092</v>
      </c>
      <c r="G704" t="s">
        <v>1124</v>
      </c>
      <c r="H704" t="s">
        <v>1093</v>
      </c>
      <c r="I704" t="s">
        <v>262</v>
      </c>
      <c r="J704" t="s">
        <v>288</v>
      </c>
      <c r="K704">
        <v>1</v>
      </c>
      <c r="L704">
        <v>1</v>
      </c>
      <c r="M704" t="s">
        <v>33</v>
      </c>
      <c r="N704">
        <v>1</v>
      </c>
      <c r="O704">
        <v>1</v>
      </c>
      <c r="P704">
        <v>1</v>
      </c>
      <c r="Q704" t="s">
        <v>52</v>
      </c>
      <c r="R704">
        <v>1</v>
      </c>
      <c r="S704">
        <v>1</v>
      </c>
      <c r="T704">
        <v>1</v>
      </c>
      <c r="U704" t="s">
        <v>1794</v>
      </c>
      <c r="V704" t="s">
        <v>1794</v>
      </c>
      <c r="W704" t="s">
        <v>1794</v>
      </c>
      <c r="X704">
        <v>1</v>
      </c>
      <c r="Y704" t="s">
        <v>1794</v>
      </c>
      <c r="Z704">
        <v>0</v>
      </c>
      <c r="AA704" t="s">
        <v>1794</v>
      </c>
      <c r="AB704" t="s">
        <v>1794</v>
      </c>
      <c r="AC704" t="s">
        <v>1794</v>
      </c>
      <c r="AD704" t="s">
        <v>1794</v>
      </c>
      <c r="AE704">
        <v>0</v>
      </c>
      <c r="AF704" t="s">
        <v>1794</v>
      </c>
      <c r="AG704" t="s">
        <v>1794</v>
      </c>
      <c r="AH704" t="s">
        <v>1794</v>
      </c>
    </row>
    <row r="705" spans="1:34" x14ac:dyDescent="0.25">
      <c r="A705" t="s">
        <v>1094</v>
      </c>
      <c r="B705" t="s">
        <v>1388</v>
      </c>
      <c r="C705" t="s">
        <v>460</v>
      </c>
      <c r="D705" t="s">
        <v>358</v>
      </c>
      <c r="E705" t="s">
        <v>1794</v>
      </c>
      <c r="F705" t="s">
        <v>1088</v>
      </c>
      <c r="G705" t="s">
        <v>1124</v>
      </c>
      <c r="H705" t="s">
        <v>1095</v>
      </c>
      <c r="I705" t="s">
        <v>262</v>
      </c>
      <c r="J705" t="s">
        <v>1096</v>
      </c>
      <c r="K705">
        <v>1</v>
      </c>
      <c r="L705">
        <v>1</v>
      </c>
      <c r="M705" t="s">
        <v>33</v>
      </c>
      <c r="N705">
        <v>1</v>
      </c>
      <c r="O705">
        <v>1</v>
      </c>
      <c r="P705">
        <v>1</v>
      </c>
      <c r="Q705" t="s">
        <v>52</v>
      </c>
      <c r="R705">
        <v>1</v>
      </c>
      <c r="S705">
        <v>1</v>
      </c>
      <c r="T705">
        <v>1</v>
      </c>
      <c r="U705" t="s">
        <v>1794</v>
      </c>
      <c r="V705" t="s">
        <v>1794</v>
      </c>
      <c r="W705" t="s">
        <v>1794</v>
      </c>
      <c r="X705">
        <v>1</v>
      </c>
      <c r="Y705" t="s">
        <v>1794</v>
      </c>
      <c r="Z705">
        <v>0</v>
      </c>
      <c r="AA705" t="s">
        <v>1794</v>
      </c>
      <c r="AB705" t="s">
        <v>1794</v>
      </c>
      <c r="AC705" t="s">
        <v>1794</v>
      </c>
      <c r="AD705" t="s">
        <v>1794</v>
      </c>
      <c r="AE705">
        <v>0</v>
      </c>
      <c r="AF705" t="s">
        <v>1794</v>
      </c>
      <c r="AG705" t="s">
        <v>1794</v>
      </c>
      <c r="AH705" t="s">
        <v>1794</v>
      </c>
    </row>
    <row r="706" spans="1:34" x14ac:dyDescent="0.25">
      <c r="A706" t="s">
        <v>1094</v>
      </c>
      <c r="B706" t="s">
        <v>1388</v>
      </c>
      <c r="C706" t="s">
        <v>460</v>
      </c>
      <c r="D706" t="s">
        <v>358</v>
      </c>
      <c r="E706" t="s">
        <v>1794</v>
      </c>
      <c r="F706" t="s">
        <v>1090</v>
      </c>
      <c r="G706" t="s">
        <v>1124</v>
      </c>
      <c r="H706" t="s">
        <v>1097</v>
      </c>
      <c r="I706" t="s">
        <v>262</v>
      </c>
      <c r="J706" t="s">
        <v>293</v>
      </c>
      <c r="K706">
        <v>1</v>
      </c>
      <c r="L706">
        <v>1</v>
      </c>
      <c r="M706" t="s">
        <v>33</v>
      </c>
      <c r="N706">
        <v>1</v>
      </c>
      <c r="O706">
        <v>1</v>
      </c>
      <c r="P706">
        <v>1</v>
      </c>
      <c r="Q706" t="s">
        <v>52</v>
      </c>
      <c r="R706">
        <v>1</v>
      </c>
      <c r="S706">
        <v>1</v>
      </c>
      <c r="T706">
        <v>1</v>
      </c>
      <c r="U706" t="s">
        <v>1794</v>
      </c>
      <c r="V706" t="s">
        <v>1794</v>
      </c>
      <c r="W706" t="s">
        <v>1794</v>
      </c>
      <c r="X706">
        <v>1</v>
      </c>
      <c r="Y706" t="s">
        <v>1794</v>
      </c>
      <c r="Z706">
        <v>0</v>
      </c>
      <c r="AA706" t="s">
        <v>1794</v>
      </c>
      <c r="AB706" t="s">
        <v>1794</v>
      </c>
      <c r="AC706" t="s">
        <v>1794</v>
      </c>
      <c r="AD706" t="s">
        <v>1794</v>
      </c>
      <c r="AE706">
        <v>0</v>
      </c>
      <c r="AF706" t="s">
        <v>1794</v>
      </c>
      <c r="AG706" t="s">
        <v>1794</v>
      </c>
      <c r="AH706" t="s">
        <v>1794</v>
      </c>
    </row>
    <row r="707" spans="1:34" x14ac:dyDescent="0.25">
      <c r="A707" t="s">
        <v>1101</v>
      </c>
      <c r="B707" t="s">
        <v>1254</v>
      </c>
      <c r="C707" t="s">
        <v>258</v>
      </c>
      <c r="D707" t="s">
        <v>259</v>
      </c>
      <c r="E707" t="s">
        <v>1794</v>
      </c>
      <c r="F707" t="s">
        <v>1103</v>
      </c>
      <c r="G707" t="s">
        <v>1124</v>
      </c>
      <c r="H707" t="s">
        <v>1104</v>
      </c>
      <c r="I707" t="s">
        <v>262</v>
      </c>
      <c r="J707" t="s">
        <v>301</v>
      </c>
      <c r="K707">
        <v>6</v>
      </c>
      <c r="L707">
        <v>4</v>
      </c>
      <c r="M707" t="s">
        <v>33</v>
      </c>
      <c r="N707">
        <v>1</v>
      </c>
      <c r="O707">
        <v>4</v>
      </c>
      <c r="P707">
        <v>1</v>
      </c>
      <c r="Q707" t="s">
        <v>52</v>
      </c>
      <c r="R707">
        <v>4</v>
      </c>
      <c r="S707">
        <v>4</v>
      </c>
      <c r="T707">
        <v>4</v>
      </c>
      <c r="U707" t="s">
        <v>1794</v>
      </c>
      <c r="V707" t="s">
        <v>1794</v>
      </c>
      <c r="W707" t="s">
        <v>1794</v>
      </c>
      <c r="X707">
        <v>1</v>
      </c>
      <c r="Y707" t="s">
        <v>1794</v>
      </c>
      <c r="Z707">
        <v>0</v>
      </c>
      <c r="AA707" t="s">
        <v>1794</v>
      </c>
      <c r="AB707" t="s">
        <v>1794</v>
      </c>
      <c r="AC707" t="s">
        <v>1794</v>
      </c>
      <c r="AD707" t="s">
        <v>1794</v>
      </c>
      <c r="AE707">
        <v>0</v>
      </c>
      <c r="AF707" t="s">
        <v>1794</v>
      </c>
      <c r="AG707" t="s">
        <v>1794</v>
      </c>
      <c r="AH707" t="s">
        <v>1794</v>
      </c>
    </row>
    <row r="708" spans="1:34" x14ac:dyDescent="0.25">
      <c r="A708" t="s">
        <v>1101</v>
      </c>
      <c r="B708" t="s">
        <v>1254</v>
      </c>
      <c r="C708" t="s">
        <v>258</v>
      </c>
      <c r="D708" t="s">
        <v>259</v>
      </c>
      <c r="E708" t="s">
        <v>1794</v>
      </c>
      <c r="F708" t="s">
        <v>1103</v>
      </c>
      <c r="G708" t="s">
        <v>1124</v>
      </c>
      <c r="H708" t="s">
        <v>1105</v>
      </c>
      <c r="I708" t="s">
        <v>262</v>
      </c>
      <c r="J708" t="s">
        <v>1106</v>
      </c>
      <c r="K708">
        <v>6</v>
      </c>
      <c r="L708">
        <v>2</v>
      </c>
      <c r="M708" t="s">
        <v>33</v>
      </c>
      <c r="N708">
        <v>1</v>
      </c>
      <c r="O708">
        <v>2</v>
      </c>
      <c r="P708">
        <v>1</v>
      </c>
      <c r="Q708" t="s">
        <v>52</v>
      </c>
      <c r="R708">
        <v>2</v>
      </c>
      <c r="S708">
        <v>2</v>
      </c>
      <c r="T708">
        <v>2</v>
      </c>
      <c r="U708" t="s">
        <v>1794</v>
      </c>
      <c r="V708" t="s">
        <v>1794</v>
      </c>
      <c r="W708" t="s">
        <v>1794</v>
      </c>
      <c r="X708">
        <v>1</v>
      </c>
      <c r="Y708" t="s">
        <v>1794</v>
      </c>
      <c r="Z708">
        <v>0</v>
      </c>
      <c r="AA708" t="s">
        <v>1794</v>
      </c>
      <c r="AB708" t="s">
        <v>1794</v>
      </c>
      <c r="AC708" t="s">
        <v>1794</v>
      </c>
      <c r="AD708" t="s">
        <v>1794</v>
      </c>
      <c r="AE708">
        <v>0</v>
      </c>
      <c r="AF708" t="s">
        <v>1794</v>
      </c>
      <c r="AG708" t="s">
        <v>1794</v>
      </c>
      <c r="AH708" t="s">
        <v>1794</v>
      </c>
    </row>
    <row r="709" spans="1:34" x14ac:dyDescent="0.25">
      <c r="A709" t="s">
        <v>1101</v>
      </c>
      <c r="B709" t="s">
        <v>1254</v>
      </c>
      <c r="C709" t="s">
        <v>258</v>
      </c>
      <c r="D709" t="s">
        <v>259</v>
      </c>
      <c r="E709" t="s">
        <v>1794</v>
      </c>
      <c r="F709" t="s">
        <v>1107</v>
      </c>
      <c r="G709" t="s">
        <v>1124</v>
      </c>
      <c r="H709" t="s">
        <v>1108</v>
      </c>
      <c r="I709" t="s">
        <v>262</v>
      </c>
      <c r="J709" t="s">
        <v>301</v>
      </c>
      <c r="K709">
        <v>6</v>
      </c>
      <c r="L709">
        <v>7</v>
      </c>
      <c r="M709" t="s">
        <v>33</v>
      </c>
      <c r="N709">
        <v>1</v>
      </c>
      <c r="O709">
        <v>0</v>
      </c>
      <c r="P709">
        <v>0</v>
      </c>
      <c r="Q709" t="s">
        <v>1794</v>
      </c>
      <c r="R709">
        <v>7</v>
      </c>
      <c r="S709">
        <v>7</v>
      </c>
      <c r="T709">
        <v>7</v>
      </c>
      <c r="U709" t="s">
        <v>1794</v>
      </c>
      <c r="V709" t="s">
        <v>1794</v>
      </c>
      <c r="W709" t="s">
        <v>1794</v>
      </c>
      <c r="X709">
        <v>1</v>
      </c>
      <c r="Y709" t="s">
        <v>1794</v>
      </c>
      <c r="Z709">
        <v>0</v>
      </c>
      <c r="AA709" t="s">
        <v>1794</v>
      </c>
      <c r="AB709" t="s">
        <v>1794</v>
      </c>
      <c r="AC709" t="s">
        <v>1794</v>
      </c>
      <c r="AD709" t="s">
        <v>1794</v>
      </c>
      <c r="AE709">
        <v>0</v>
      </c>
      <c r="AF709" t="s">
        <v>1794</v>
      </c>
      <c r="AG709" t="s">
        <v>1794</v>
      </c>
      <c r="AH709" t="s">
        <v>1109</v>
      </c>
    </row>
    <row r="710" spans="1:34" x14ac:dyDescent="0.25">
      <c r="A710" t="s">
        <v>1094</v>
      </c>
      <c r="B710" t="s">
        <v>1388</v>
      </c>
      <c r="C710" t="s">
        <v>460</v>
      </c>
      <c r="D710" t="s">
        <v>358</v>
      </c>
      <c r="E710" t="s">
        <v>1794</v>
      </c>
      <c r="F710" t="s">
        <v>1092</v>
      </c>
      <c r="G710" t="s">
        <v>1124</v>
      </c>
      <c r="H710" t="s">
        <v>1110</v>
      </c>
      <c r="I710" t="s">
        <v>262</v>
      </c>
      <c r="J710" t="s">
        <v>288</v>
      </c>
      <c r="K710">
        <v>1</v>
      </c>
      <c r="L710">
        <v>1</v>
      </c>
      <c r="M710" t="s">
        <v>33</v>
      </c>
      <c r="N710">
        <v>1</v>
      </c>
      <c r="O710">
        <v>1</v>
      </c>
      <c r="P710">
        <v>1</v>
      </c>
      <c r="Q710" t="s">
        <v>52</v>
      </c>
      <c r="R710">
        <v>1</v>
      </c>
      <c r="S710">
        <v>1</v>
      </c>
      <c r="T710">
        <v>1</v>
      </c>
      <c r="U710" t="s">
        <v>1794</v>
      </c>
      <c r="V710" t="s">
        <v>1794</v>
      </c>
      <c r="W710" t="s">
        <v>1794</v>
      </c>
      <c r="X710">
        <v>1</v>
      </c>
      <c r="Y710" t="s">
        <v>1794</v>
      </c>
      <c r="Z710">
        <v>0</v>
      </c>
      <c r="AA710" t="s">
        <v>1794</v>
      </c>
      <c r="AB710" t="s">
        <v>1794</v>
      </c>
      <c r="AC710" t="s">
        <v>1794</v>
      </c>
      <c r="AD710" t="s">
        <v>1794</v>
      </c>
      <c r="AE710">
        <v>0</v>
      </c>
      <c r="AF710" t="s">
        <v>1794</v>
      </c>
      <c r="AG710" t="s">
        <v>1794</v>
      </c>
      <c r="AH710" t="s">
        <v>1794</v>
      </c>
    </row>
    <row r="711" spans="1:34" x14ac:dyDescent="0.25">
      <c r="A711" t="s">
        <v>1412</v>
      </c>
      <c r="B711" t="s">
        <v>1102</v>
      </c>
      <c r="C711" t="s">
        <v>258</v>
      </c>
      <c r="D711" t="s">
        <v>358</v>
      </c>
      <c r="E711" t="s">
        <v>1794</v>
      </c>
      <c r="F711" t="s">
        <v>1103</v>
      </c>
      <c r="G711" t="s">
        <v>1124</v>
      </c>
      <c r="H711" t="s">
        <v>1111</v>
      </c>
      <c r="I711" t="s">
        <v>262</v>
      </c>
      <c r="J711" t="s">
        <v>301</v>
      </c>
      <c r="K711">
        <v>6</v>
      </c>
      <c r="L711">
        <v>4</v>
      </c>
      <c r="M711" t="s">
        <v>33</v>
      </c>
      <c r="N711">
        <v>1</v>
      </c>
      <c r="O711">
        <v>4</v>
      </c>
      <c r="P711">
        <v>1</v>
      </c>
      <c r="Q711" t="s">
        <v>52</v>
      </c>
      <c r="R711">
        <v>4</v>
      </c>
      <c r="S711">
        <v>4</v>
      </c>
      <c r="T711">
        <v>4</v>
      </c>
      <c r="U711" t="s">
        <v>1794</v>
      </c>
      <c r="V711" t="s">
        <v>1794</v>
      </c>
      <c r="W711" t="s">
        <v>1794</v>
      </c>
      <c r="X711">
        <v>1</v>
      </c>
      <c r="Y711" t="s">
        <v>1794</v>
      </c>
      <c r="Z711">
        <v>0</v>
      </c>
      <c r="AA711" t="s">
        <v>1794</v>
      </c>
      <c r="AB711" t="s">
        <v>1794</v>
      </c>
      <c r="AC711" t="s">
        <v>1794</v>
      </c>
      <c r="AD711" t="s">
        <v>1794</v>
      </c>
      <c r="AE711">
        <v>0</v>
      </c>
      <c r="AF711" t="s">
        <v>1794</v>
      </c>
      <c r="AG711" t="s">
        <v>1794</v>
      </c>
      <c r="AH711" t="s">
        <v>1794</v>
      </c>
    </row>
    <row r="712" spans="1:34" x14ac:dyDescent="0.25">
      <c r="A712" t="s">
        <v>1101</v>
      </c>
      <c r="B712" t="s">
        <v>1254</v>
      </c>
      <c r="C712" t="s">
        <v>258</v>
      </c>
      <c r="D712" t="s">
        <v>358</v>
      </c>
      <c r="E712" t="s">
        <v>1794</v>
      </c>
      <c r="F712" t="s">
        <v>1103</v>
      </c>
      <c r="G712" t="s">
        <v>1124</v>
      </c>
      <c r="H712" t="s">
        <v>1111</v>
      </c>
      <c r="I712" t="s">
        <v>262</v>
      </c>
      <c r="J712" t="s">
        <v>301</v>
      </c>
      <c r="K712">
        <v>6</v>
      </c>
      <c r="L712">
        <v>4</v>
      </c>
      <c r="M712" t="s">
        <v>33</v>
      </c>
      <c r="N712">
        <v>1</v>
      </c>
      <c r="O712">
        <v>4</v>
      </c>
      <c r="P712">
        <v>1</v>
      </c>
      <c r="Q712" t="s">
        <v>52</v>
      </c>
      <c r="R712">
        <v>4</v>
      </c>
      <c r="S712">
        <v>4</v>
      </c>
      <c r="T712">
        <v>4</v>
      </c>
      <c r="U712" t="s">
        <v>1794</v>
      </c>
      <c r="V712" t="s">
        <v>1794</v>
      </c>
      <c r="W712" t="s">
        <v>1794</v>
      </c>
      <c r="X712">
        <v>1</v>
      </c>
      <c r="Y712" t="s">
        <v>1794</v>
      </c>
      <c r="Z712">
        <v>0</v>
      </c>
      <c r="AA712" t="s">
        <v>1794</v>
      </c>
      <c r="AB712" t="s">
        <v>1794</v>
      </c>
      <c r="AC712" t="s">
        <v>1794</v>
      </c>
      <c r="AD712" t="s">
        <v>1794</v>
      </c>
      <c r="AE712">
        <v>0</v>
      </c>
      <c r="AF712" t="s">
        <v>1794</v>
      </c>
      <c r="AG712" t="s">
        <v>1794</v>
      </c>
      <c r="AH712" t="s">
        <v>1794</v>
      </c>
    </row>
    <row r="713" spans="1:34" x14ac:dyDescent="0.25">
      <c r="A713" t="s">
        <v>1412</v>
      </c>
      <c r="B713" t="s">
        <v>1102</v>
      </c>
      <c r="C713" t="s">
        <v>258</v>
      </c>
      <c r="D713" t="s">
        <v>358</v>
      </c>
      <c r="E713" t="s">
        <v>1794</v>
      </c>
      <c r="F713" t="s">
        <v>1103</v>
      </c>
      <c r="G713" t="s">
        <v>1124</v>
      </c>
      <c r="H713" t="s">
        <v>1112</v>
      </c>
      <c r="I713" t="s">
        <v>262</v>
      </c>
      <c r="J713" t="s">
        <v>1106</v>
      </c>
      <c r="K713">
        <v>6</v>
      </c>
      <c r="L713">
        <v>2</v>
      </c>
      <c r="M713" t="s">
        <v>33</v>
      </c>
      <c r="N713">
        <v>1</v>
      </c>
      <c r="O713">
        <v>2</v>
      </c>
      <c r="P713">
        <v>1</v>
      </c>
      <c r="Q713" t="s">
        <v>52</v>
      </c>
      <c r="R713">
        <v>2</v>
      </c>
      <c r="S713">
        <v>2</v>
      </c>
      <c r="T713">
        <v>2</v>
      </c>
      <c r="U713" t="s">
        <v>1794</v>
      </c>
      <c r="V713" t="s">
        <v>1794</v>
      </c>
      <c r="W713" t="s">
        <v>1794</v>
      </c>
      <c r="X713">
        <v>1</v>
      </c>
      <c r="Y713" t="s">
        <v>1794</v>
      </c>
      <c r="Z713">
        <v>0</v>
      </c>
      <c r="AA713" t="s">
        <v>1794</v>
      </c>
      <c r="AB713" t="s">
        <v>1794</v>
      </c>
      <c r="AC713" t="s">
        <v>1794</v>
      </c>
      <c r="AD713" t="s">
        <v>1794</v>
      </c>
      <c r="AE713">
        <v>0</v>
      </c>
      <c r="AF713" t="s">
        <v>1794</v>
      </c>
      <c r="AG713" t="s">
        <v>1794</v>
      </c>
      <c r="AH713" t="s">
        <v>1794</v>
      </c>
    </row>
    <row r="714" spans="1:34" x14ac:dyDescent="0.25">
      <c r="A714" t="s">
        <v>1101</v>
      </c>
      <c r="B714" t="s">
        <v>1254</v>
      </c>
      <c r="C714" t="s">
        <v>258</v>
      </c>
      <c r="D714" t="s">
        <v>358</v>
      </c>
      <c r="E714" t="s">
        <v>1794</v>
      </c>
      <c r="F714" t="s">
        <v>1103</v>
      </c>
      <c r="G714" t="s">
        <v>1124</v>
      </c>
      <c r="H714" t="s">
        <v>1112</v>
      </c>
      <c r="I714" t="s">
        <v>262</v>
      </c>
      <c r="J714" t="s">
        <v>1106</v>
      </c>
      <c r="K714">
        <v>6</v>
      </c>
      <c r="L714">
        <v>2</v>
      </c>
      <c r="M714" t="s">
        <v>33</v>
      </c>
      <c r="N714">
        <v>1</v>
      </c>
      <c r="O714">
        <v>2</v>
      </c>
      <c r="P714">
        <v>1</v>
      </c>
      <c r="Q714" t="s">
        <v>52</v>
      </c>
      <c r="R714">
        <v>2</v>
      </c>
      <c r="S714">
        <v>2</v>
      </c>
      <c r="T714">
        <v>2</v>
      </c>
      <c r="U714" t="s">
        <v>1794</v>
      </c>
      <c r="V714" t="s">
        <v>1794</v>
      </c>
      <c r="W714" t="s">
        <v>1794</v>
      </c>
      <c r="X714">
        <v>1</v>
      </c>
      <c r="Y714" t="s">
        <v>1794</v>
      </c>
      <c r="Z714">
        <v>0</v>
      </c>
      <c r="AA714" t="s">
        <v>1794</v>
      </c>
      <c r="AB714" t="s">
        <v>1794</v>
      </c>
      <c r="AC714" t="s">
        <v>1794</v>
      </c>
      <c r="AD714" t="s">
        <v>1794</v>
      </c>
      <c r="AE714">
        <v>0</v>
      </c>
      <c r="AF714" t="s">
        <v>1794</v>
      </c>
      <c r="AG714" t="s">
        <v>1794</v>
      </c>
      <c r="AH714" t="s">
        <v>1794</v>
      </c>
    </row>
    <row r="715" spans="1:34" x14ac:dyDescent="0.25">
      <c r="A715" t="s">
        <v>1116</v>
      </c>
      <c r="B715" t="s">
        <v>1292</v>
      </c>
      <c r="C715" t="s">
        <v>463</v>
      </c>
      <c r="D715" t="s">
        <v>259</v>
      </c>
      <c r="E715" t="s">
        <v>1794</v>
      </c>
      <c r="F715" t="s">
        <v>1117</v>
      </c>
      <c r="G715" t="s">
        <v>1124</v>
      </c>
      <c r="H715" t="s">
        <v>1118</v>
      </c>
      <c r="I715" t="s">
        <v>262</v>
      </c>
      <c r="J715" t="s">
        <v>289</v>
      </c>
      <c r="K715">
        <v>1</v>
      </c>
      <c r="L715">
        <v>4</v>
      </c>
      <c r="M715" t="s">
        <v>33</v>
      </c>
      <c r="N715">
        <v>1</v>
      </c>
      <c r="O715">
        <v>4</v>
      </c>
      <c r="P715">
        <v>1</v>
      </c>
      <c r="Q715" t="s">
        <v>52</v>
      </c>
      <c r="R715">
        <v>4</v>
      </c>
      <c r="S715">
        <v>4</v>
      </c>
      <c r="T715">
        <v>4</v>
      </c>
      <c r="U715" t="s">
        <v>1794</v>
      </c>
      <c r="V715" t="s">
        <v>1794</v>
      </c>
      <c r="W715" t="s">
        <v>1794</v>
      </c>
      <c r="X715">
        <v>1</v>
      </c>
      <c r="Y715" t="s">
        <v>1794</v>
      </c>
      <c r="Z715">
        <v>0</v>
      </c>
      <c r="AA715" t="s">
        <v>1794</v>
      </c>
      <c r="AB715" t="s">
        <v>1794</v>
      </c>
      <c r="AC715" t="s">
        <v>1794</v>
      </c>
      <c r="AD715" t="s">
        <v>1794</v>
      </c>
      <c r="AE715">
        <v>0</v>
      </c>
      <c r="AF715" t="s">
        <v>1794</v>
      </c>
      <c r="AG715" t="s">
        <v>1794</v>
      </c>
      <c r="AH715" t="s">
        <v>1794</v>
      </c>
    </row>
    <row r="716" spans="1:34" x14ac:dyDescent="0.25">
      <c r="A716" t="s">
        <v>356</v>
      </c>
      <c r="B716" t="s">
        <v>1100</v>
      </c>
      <c r="C716" t="s">
        <v>1120</v>
      </c>
      <c r="D716" t="s">
        <v>259</v>
      </c>
      <c r="E716" t="s">
        <v>1794</v>
      </c>
      <c r="F716" t="s">
        <v>1119</v>
      </c>
      <c r="G716" t="s">
        <v>1124</v>
      </c>
      <c r="H716" t="s">
        <v>1121</v>
      </c>
      <c r="I716" t="s">
        <v>262</v>
      </c>
      <c r="J716" t="s">
        <v>377</v>
      </c>
      <c r="K716">
        <v>4</v>
      </c>
      <c r="L716">
        <v>4</v>
      </c>
      <c r="M716" t="s">
        <v>42</v>
      </c>
      <c r="N716">
        <v>1</v>
      </c>
      <c r="O716">
        <v>4</v>
      </c>
      <c r="P716">
        <v>1</v>
      </c>
      <c r="Q716" t="s">
        <v>1794</v>
      </c>
      <c r="R716">
        <v>4</v>
      </c>
      <c r="S716">
        <v>4</v>
      </c>
      <c r="T716" t="s">
        <v>1794</v>
      </c>
      <c r="U716">
        <v>4</v>
      </c>
      <c r="V716" t="s">
        <v>1794</v>
      </c>
      <c r="W716" t="s">
        <v>1794</v>
      </c>
      <c r="X716">
        <v>1</v>
      </c>
      <c r="Y716" t="s">
        <v>1794</v>
      </c>
      <c r="Z716">
        <v>0</v>
      </c>
      <c r="AA716" t="s">
        <v>1794</v>
      </c>
      <c r="AB716" t="s">
        <v>1794</v>
      </c>
      <c r="AC716" t="s">
        <v>1794</v>
      </c>
      <c r="AD716" t="s">
        <v>1794</v>
      </c>
      <c r="AE716">
        <v>0</v>
      </c>
      <c r="AF716" t="s">
        <v>1794</v>
      </c>
      <c r="AG716" t="s">
        <v>1794</v>
      </c>
      <c r="AH716" t="s">
        <v>1794</v>
      </c>
    </row>
    <row r="717" spans="1:34" x14ac:dyDescent="0.25">
      <c r="A717" t="s">
        <v>1268</v>
      </c>
      <c r="B717" t="s">
        <v>497</v>
      </c>
      <c r="C717" t="s">
        <v>1120</v>
      </c>
      <c r="D717" t="s">
        <v>259</v>
      </c>
      <c r="E717" t="s">
        <v>1794</v>
      </c>
      <c r="F717" t="s">
        <v>1119</v>
      </c>
      <c r="G717" t="s">
        <v>1124</v>
      </c>
      <c r="H717" t="s">
        <v>1121</v>
      </c>
      <c r="I717" t="s">
        <v>262</v>
      </c>
      <c r="J717" t="s">
        <v>377</v>
      </c>
      <c r="K717">
        <v>4</v>
      </c>
      <c r="L717">
        <v>4</v>
      </c>
      <c r="M717" t="s">
        <v>42</v>
      </c>
      <c r="N717">
        <v>1</v>
      </c>
      <c r="O717">
        <v>4</v>
      </c>
      <c r="P717">
        <v>1</v>
      </c>
      <c r="Q717" t="s">
        <v>1794</v>
      </c>
      <c r="R717">
        <v>4</v>
      </c>
      <c r="S717">
        <v>4</v>
      </c>
      <c r="T717" t="s">
        <v>1794</v>
      </c>
      <c r="U717">
        <v>4</v>
      </c>
      <c r="V717" t="s">
        <v>1794</v>
      </c>
      <c r="W717" t="s">
        <v>1794</v>
      </c>
      <c r="X717">
        <v>1</v>
      </c>
      <c r="Y717" t="s">
        <v>1794</v>
      </c>
      <c r="Z717">
        <v>0</v>
      </c>
      <c r="AA717" t="s">
        <v>1794</v>
      </c>
      <c r="AB717" t="s">
        <v>1794</v>
      </c>
      <c r="AC717" t="s">
        <v>1794</v>
      </c>
      <c r="AD717" t="s">
        <v>1794</v>
      </c>
      <c r="AE717">
        <v>0</v>
      </c>
      <c r="AF717" t="s">
        <v>1794</v>
      </c>
      <c r="AG717" t="s">
        <v>1794</v>
      </c>
      <c r="AH717" t="s">
        <v>1794</v>
      </c>
    </row>
    <row r="718" spans="1:34" x14ac:dyDescent="0.25">
      <c r="A718" t="s">
        <v>1275</v>
      </c>
      <c r="B718" t="s">
        <v>492</v>
      </c>
      <c r="C718" t="s">
        <v>1120</v>
      </c>
      <c r="D718" t="s">
        <v>259</v>
      </c>
      <c r="E718" t="s">
        <v>1794</v>
      </c>
      <c r="F718" t="s">
        <v>1119</v>
      </c>
      <c r="G718" t="s">
        <v>1124</v>
      </c>
      <c r="H718" t="s">
        <v>1121</v>
      </c>
      <c r="I718" t="s">
        <v>262</v>
      </c>
      <c r="J718" t="s">
        <v>377</v>
      </c>
      <c r="K718">
        <v>4</v>
      </c>
      <c r="L718">
        <v>4</v>
      </c>
      <c r="M718" t="s">
        <v>42</v>
      </c>
      <c r="N718">
        <v>1</v>
      </c>
      <c r="O718">
        <v>4</v>
      </c>
      <c r="P718">
        <v>1</v>
      </c>
      <c r="Q718" t="s">
        <v>1794</v>
      </c>
      <c r="R718">
        <v>4</v>
      </c>
      <c r="S718">
        <v>4</v>
      </c>
      <c r="T718" t="s">
        <v>1794</v>
      </c>
      <c r="U718">
        <v>4</v>
      </c>
      <c r="V718" t="s">
        <v>1794</v>
      </c>
      <c r="W718" t="s">
        <v>1794</v>
      </c>
      <c r="X718">
        <v>1</v>
      </c>
      <c r="Y718" t="s">
        <v>1794</v>
      </c>
      <c r="Z718">
        <v>0</v>
      </c>
      <c r="AA718" t="s">
        <v>1794</v>
      </c>
      <c r="AB718" t="s">
        <v>1794</v>
      </c>
      <c r="AC718" t="s">
        <v>1794</v>
      </c>
      <c r="AD718" t="s">
        <v>1794</v>
      </c>
      <c r="AE718">
        <v>0</v>
      </c>
      <c r="AF718" t="s">
        <v>1794</v>
      </c>
      <c r="AG718" t="s">
        <v>1794</v>
      </c>
      <c r="AH718" t="s">
        <v>1794</v>
      </c>
    </row>
    <row r="719" spans="1:34" x14ac:dyDescent="0.25">
      <c r="A719" t="s">
        <v>1338</v>
      </c>
      <c r="B719" t="s">
        <v>1339</v>
      </c>
      <c r="C719" t="s">
        <v>1120</v>
      </c>
      <c r="D719" t="s">
        <v>259</v>
      </c>
      <c r="E719" t="s">
        <v>1794</v>
      </c>
      <c r="F719" t="s">
        <v>1119</v>
      </c>
      <c r="G719" t="s">
        <v>1124</v>
      </c>
      <c r="H719" t="s">
        <v>1121</v>
      </c>
      <c r="I719" t="s">
        <v>262</v>
      </c>
      <c r="J719" t="s">
        <v>377</v>
      </c>
      <c r="K719">
        <v>4</v>
      </c>
      <c r="L719">
        <v>4</v>
      </c>
      <c r="M719" t="s">
        <v>42</v>
      </c>
      <c r="N719">
        <v>1</v>
      </c>
      <c r="O719">
        <v>4</v>
      </c>
      <c r="P719">
        <v>1</v>
      </c>
      <c r="Q719" t="s">
        <v>1794</v>
      </c>
      <c r="R719">
        <v>4</v>
      </c>
      <c r="S719">
        <v>4</v>
      </c>
      <c r="T719" t="s">
        <v>1794</v>
      </c>
      <c r="U719">
        <v>4</v>
      </c>
      <c r="V719" t="s">
        <v>1794</v>
      </c>
      <c r="W719" t="s">
        <v>1794</v>
      </c>
      <c r="X719">
        <v>1</v>
      </c>
      <c r="Y719" t="s">
        <v>1794</v>
      </c>
      <c r="Z719">
        <v>0</v>
      </c>
      <c r="AA719" t="s">
        <v>1794</v>
      </c>
      <c r="AB719" t="s">
        <v>1794</v>
      </c>
      <c r="AC719" t="s">
        <v>1794</v>
      </c>
      <c r="AD719" t="s">
        <v>1794</v>
      </c>
      <c r="AE719">
        <v>0</v>
      </c>
      <c r="AF719" t="s">
        <v>1794</v>
      </c>
      <c r="AG719" t="s">
        <v>1794</v>
      </c>
      <c r="AH719" t="s">
        <v>1794</v>
      </c>
    </row>
    <row r="720" spans="1:34" x14ac:dyDescent="0.25">
      <c r="A720" t="s">
        <v>1496</v>
      </c>
      <c r="B720" t="s">
        <v>1497</v>
      </c>
      <c r="C720" t="s">
        <v>1120</v>
      </c>
      <c r="D720" t="s">
        <v>259</v>
      </c>
      <c r="E720" t="s">
        <v>1794</v>
      </c>
      <c r="F720" t="s">
        <v>1119</v>
      </c>
      <c r="G720" t="s">
        <v>1124</v>
      </c>
      <c r="H720" t="s">
        <v>1121</v>
      </c>
      <c r="I720" t="s">
        <v>262</v>
      </c>
      <c r="J720" t="s">
        <v>377</v>
      </c>
      <c r="K720">
        <v>4</v>
      </c>
      <c r="L720">
        <v>4</v>
      </c>
      <c r="M720" t="s">
        <v>42</v>
      </c>
      <c r="N720">
        <v>1</v>
      </c>
      <c r="O720">
        <v>4</v>
      </c>
      <c r="P720">
        <v>1</v>
      </c>
      <c r="Q720" t="s">
        <v>1794</v>
      </c>
      <c r="R720">
        <v>4</v>
      </c>
      <c r="S720">
        <v>4</v>
      </c>
      <c r="T720" t="s">
        <v>1794</v>
      </c>
      <c r="U720">
        <v>4</v>
      </c>
      <c r="V720" t="s">
        <v>1794</v>
      </c>
      <c r="W720" t="s">
        <v>1794</v>
      </c>
      <c r="X720">
        <v>1</v>
      </c>
      <c r="Y720" t="s">
        <v>1794</v>
      </c>
      <c r="Z720">
        <v>0</v>
      </c>
      <c r="AA720" t="s">
        <v>1794</v>
      </c>
      <c r="AB720" t="s">
        <v>1794</v>
      </c>
      <c r="AC720" t="s">
        <v>1794</v>
      </c>
      <c r="AD720" t="s">
        <v>1794</v>
      </c>
      <c r="AE720">
        <v>0</v>
      </c>
      <c r="AF720" t="s">
        <v>1794</v>
      </c>
      <c r="AG720" t="s">
        <v>1794</v>
      </c>
      <c r="AH720" t="s">
        <v>1794</v>
      </c>
    </row>
    <row r="721" spans="1:34" x14ac:dyDescent="0.25">
      <c r="A721" s="285"/>
      <c r="B721" s="286"/>
      <c r="C721" s="286"/>
      <c r="D721" s="287"/>
      <c r="E721" s="286"/>
      <c r="F721" s="286"/>
      <c r="G721" s="287"/>
      <c r="H721" s="325"/>
      <c r="I721" s="325"/>
      <c r="J721" s="421"/>
      <c r="K721" s="286"/>
      <c r="L721" s="288"/>
      <c r="M721" s="377"/>
      <c r="N721" s="383"/>
      <c r="O721" s="363"/>
      <c r="P721" s="435"/>
      <c r="Q721" s="379"/>
      <c r="R721" s="293"/>
      <c r="S721" s="359"/>
      <c r="T721" s="364"/>
      <c r="U721" s="364"/>
      <c r="V721" s="364"/>
      <c r="W721" s="364"/>
      <c r="X721" s="360"/>
      <c r="Y721" s="380"/>
      <c r="Z721" s="437"/>
      <c r="AA721" s="365"/>
      <c r="AB721" s="365"/>
      <c r="AC721" s="365"/>
      <c r="AD721" s="365"/>
      <c r="AE721" s="361"/>
      <c r="AF721" s="295"/>
      <c r="AG721" s="295"/>
      <c r="AH721" s="297"/>
    </row>
    <row r="722" spans="1:34" ht="15.75" thickBot="1" x14ac:dyDescent="0.3">
      <c r="A722" s="289"/>
      <c r="B722" s="290"/>
      <c r="C722" s="290"/>
      <c r="D722" s="291"/>
      <c r="E722" s="290"/>
      <c r="F722" s="290"/>
      <c r="G722" s="291"/>
      <c r="H722" s="326"/>
      <c r="I722" s="326"/>
      <c r="J722" s="422"/>
      <c r="K722" s="290"/>
      <c r="L722" s="292"/>
      <c r="M722" s="378"/>
      <c r="N722" s="384"/>
      <c r="O722" s="366"/>
      <c r="P722" s="436"/>
      <c r="Q722" s="381"/>
      <c r="R722" s="294"/>
      <c r="S722" s="367"/>
      <c r="T722" s="368"/>
      <c r="U722" s="368"/>
      <c r="V722" s="368"/>
      <c r="W722" s="368"/>
      <c r="X722" s="369"/>
      <c r="Y722" s="382"/>
      <c r="Z722" s="438"/>
      <c r="AA722" s="370"/>
      <c r="AB722" s="370"/>
      <c r="AC722" s="370"/>
      <c r="AD722" s="370"/>
      <c r="AE722" s="371"/>
      <c r="AF722" s="296"/>
      <c r="AG722" s="296"/>
      <c r="AH722" s="298"/>
    </row>
    <row r="723" spans="1:34" ht="15" customHeight="1" x14ac:dyDescent="0.25">
      <c r="A723" s="557" t="s">
        <v>1135</v>
      </c>
      <c r="B723" s="558"/>
      <c r="C723" s="558"/>
      <c r="D723" s="558"/>
      <c r="E723" s="558"/>
      <c r="F723" s="558"/>
      <c r="G723" s="558"/>
      <c r="H723" s="558"/>
      <c r="I723" s="558"/>
      <c r="J723" s="558"/>
      <c r="K723" s="558"/>
      <c r="L723" s="558"/>
      <c r="M723" s="558"/>
      <c r="N723" s="558"/>
      <c r="O723" s="558"/>
      <c r="P723" s="558"/>
      <c r="Q723" s="558"/>
      <c r="R723" s="558"/>
      <c r="S723" s="558"/>
      <c r="T723" s="558"/>
      <c r="U723" s="558"/>
      <c r="V723" s="558"/>
      <c r="W723" s="558"/>
      <c r="X723" s="558"/>
      <c r="Y723" s="558"/>
      <c r="Z723" s="559"/>
      <c r="AA723" s="559"/>
      <c r="AB723" s="559"/>
      <c r="AC723" s="559"/>
      <c r="AD723" s="559"/>
      <c r="AE723" s="559"/>
      <c r="AF723" s="559"/>
      <c r="AG723" s="559"/>
      <c r="AH723" s="560"/>
    </row>
    <row r="724" spans="1:34" ht="15.75" customHeight="1" thickBot="1" x14ac:dyDescent="0.3">
      <c r="A724" s="561"/>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3"/>
    </row>
    <row r="725" spans="1:34" ht="35.25" customHeight="1" thickBot="1" x14ac:dyDescent="0.3">
      <c r="A725" s="567" t="s">
        <v>252</v>
      </c>
      <c r="B725" s="568"/>
      <c r="C725" s="568"/>
      <c r="D725" s="568"/>
      <c r="E725" s="568"/>
      <c r="F725" s="568"/>
      <c r="G725" s="568"/>
      <c r="H725" s="568"/>
      <c r="I725" s="568"/>
      <c r="J725" s="569"/>
      <c r="K725" s="302">
        <f>SUM(K6:K722)</f>
        <v>931</v>
      </c>
      <c r="L725" s="302">
        <f>SUM(L6:L722)</f>
        <v>1691</v>
      </c>
      <c r="M725" s="303"/>
      <c r="N725" s="349">
        <f>SUMPRODUCT(K6:K722,N6:N722)/K725</f>
        <v>1</v>
      </c>
      <c r="O725" s="350">
        <f>SUM(O6:O722)</f>
        <v>919.5</v>
      </c>
      <c r="P725" s="351">
        <f>SUMPRODUCT(K6:K722,P6:P722)/K725</f>
        <v>0.86680988184747587</v>
      </c>
      <c r="Q725" s="304"/>
      <c r="R725" s="305">
        <f t="shared" ref="R725:W725" si="0">SUM(R6:R722)</f>
        <v>1687</v>
      </c>
      <c r="S725" s="352">
        <f t="shared" si="0"/>
        <v>1687</v>
      </c>
      <c r="T725" s="352">
        <f t="shared" si="0"/>
        <v>1638</v>
      </c>
      <c r="U725" s="305">
        <f t="shared" si="0"/>
        <v>49</v>
      </c>
      <c r="V725" s="305">
        <f t="shared" si="0"/>
        <v>0</v>
      </c>
      <c r="W725" s="305">
        <f t="shared" si="0"/>
        <v>0</v>
      </c>
      <c r="X725" s="353">
        <f>IF((S725=0),0,((T725+U725)/S725*100%))</f>
        <v>1</v>
      </c>
      <c r="Y725" s="306"/>
      <c r="Z725" s="372">
        <f>SUM(Z6:Z722)</f>
        <v>0</v>
      </c>
      <c r="AA725" s="357">
        <f>SUM(AA6:AA722)</f>
        <v>0</v>
      </c>
      <c r="AB725" s="357">
        <f>SUM(AB6:AB722)</f>
        <v>0</v>
      </c>
      <c r="AC725" s="357">
        <f>SUM(AC6:AC722)</f>
        <v>0</v>
      </c>
      <c r="AD725" s="357">
        <f>SUM(AD6:AD722)</f>
        <v>0</v>
      </c>
      <c r="AE725" s="356">
        <f>IF((Z725=0),0,((AA725+AB725)/Z725*100%))</f>
        <v>0</v>
      </c>
      <c r="AF725" s="307"/>
      <c r="AG725" s="307"/>
      <c r="AH725" s="308"/>
    </row>
    <row r="727" spans="1:34" x14ac:dyDescent="0.25">
      <c r="J727" s="423"/>
      <c r="L727" s="159" t="s">
        <v>511</v>
      </c>
    </row>
    <row r="728" spans="1:34" x14ac:dyDescent="0.25">
      <c r="J728" s="424"/>
    </row>
    <row r="729" spans="1:34" x14ac:dyDescent="0.25">
      <c r="J729" s="424"/>
    </row>
    <row r="730" spans="1:34" x14ac:dyDescent="0.25">
      <c r="J730" s="424"/>
    </row>
    <row r="731" spans="1:34" x14ac:dyDescent="0.25">
      <c r="J731" s="424"/>
    </row>
    <row r="732" spans="1:34" x14ac:dyDescent="0.25">
      <c r="J732" s="424"/>
    </row>
    <row r="733" spans="1:34" x14ac:dyDescent="0.25">
      <c r="J733" s="424"/>
    </row>
    <row r="734" spans="1:34" x14ac:dyDescent="0.25">
      <c r="J734" s="424"/>
    </row>
    <row r="735" spans="1:34" x14ac:dyDescent="0.25">
      <c r="J735" s="424"/>
    </row>
    <row r="736" spans="1:34" x14ac:dyDescent="0.25">
      <c r="J736" s="424"/>
    </row>
    <row r="737" spans="10:10" x14ac:dyDescent="0.25">
      <c r="J737" s="424"/>
    </row>
    <row r="738" spans="10:10" x14ac:dyDescent="0.25">
      <c r="J738" s="424"/>
    </row>
    <row r="739" spans="10:10" x14ac:dyDescent="0.25">
      <c r="J739" s="424"/>
    </row>
    <row r="740" spans="10:10" x14ac:dyDescent="0.25">
      <c r="J740" s="424"/>
    </row>
    <row r="741" spans="10:10" x14ac:dyDescent="0.25">
      <c r="J741" s="424"/>
    </row>
  </sheetData>
  <sheetProtection insertColumns="0" insertRows="0" deleteRows="0" sort="0"/>
  <autoFilter ref="A5:AH725" xr:uid="{00000000-0009-0000-0000-000002000000}"/>
  <mergeCells count="9">
    <mergeCell ref="A723:AH724"/>
    <mergeCell ref="A1:AH1"/>
    <mergeCell ref="A3:AH3"/>
    <mergeCell ref="A2:J2"/>
    <mergeCell ref="A725:J72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Q6:Q722</xm:sqref>
        </x14:dataValidation>
        <x14:dataValidation type="list" allowBlank="1" showInputMessage="1" showErrorMessage="1" xr:uid="{5513F172-4253-4807-A8CE-34D720193895}">
          <x14:formula1>
            <xm:f>'List Options'!$G$1:$G$3</xm:f>
          </x14:formula1>
          <xm:sqref>M6:M242 M244:M722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2" t="s">
        <v>1136</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1" t="s">
        <v>1137</v>
      </c>
      <c r="B2" s="585" t="s">
        <v>166</v>
      </c>
      <c r="C2" s="585"/>
      <c r="D2" s="585"/>
      <c r="E2" s="585"/>
      <c r="F2" s="585"/>
      <c r="G2" s="586" t="s">
        <v>177</v>
      </c>
      <c r="H2" s="587"/>
      <c r="I2" s="587"/>
      <c r="J2" s="587"/>
      <c r="K2" s="587"/>
      <c r="L2" s="587"/>
      <c r="M2" s="587"/>
      <c r="N2" s="588"/>
      <c r="O2" s="589" t="s">
        <v>144</v>
      </c>
      <c r="P2" s="590"/>
      <c r="Q2" s="590"/>
      <c r="R2" s="590"/>
      <c r="S2" s="590"/>
      <c r="T2" s="590"/>
      <c r="U2" s="590"/>
      <c r="V2" s="591"/>
    </row>
    <row r="3" spans="1:22" s="206" customFormat="1" ht="30.75" thickBot="1" x14ac:dyDescent="0.3">
      <c r="A3" s="209" t="s">
        <v>88</v>
      </c>
      <c r="B3" s="489" t="s">
        <v>167</v>
      </c>
      <c r="C3" s="490" t="s">
        <v>128</v>
      </c>
      <c r="D3" s="491" t="s">
        <v>105</v>
      </c>
      <c r="E3" s="491" t="s">
        <v>173</v>
      </c>
      <c r="F3" s="492"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455" t="s">
        <v>259</v>
      </c>
      <c r="B4" s="207">
        <f>SUMIFS('Diags Raw Data'!$L$6:$L$5339,'Diags Raw Data'!$D$6:$D$5339,$A4)</f>
        <v>850</v>
      </c>
      <c r="C4" s="200">
        <f>SUMIFS('Diags Raw Data'!$R$6:$R$5339,'Diags Raw Data'!$D$6:$D$5339,$A4)</f>
        <v>846</v>
      </c>
      <c r="D4" s="200">
        <f>SUMIFS('Diags Raw Data'!$K$6:$K$5339,'Diags Raw Data'!$D$6:$D$5339,$A4)</f>
        <v>525</v>
      </c>
      <c r="E4" s="200">
        <f>SUMIFS('Diags Raw Data'!$O$6:$O$5339,'Diags Raw Data'!$D$6:$D$5339,$A4)</f>
        <v>446.5</v>
      </c>
      <c r="F4" s="204">
        <f>IF(NOT($B4=0), E4/$B4, "---")</f>
        <v>0.5252941176470588</v>
      </c>
      <c r="G4" s="458">
        <f>SUMIFS('Diags Raw Data'!$S$6:$S$5339,'Diags Raw Data'!$D$6:$D$5339,$A4)</f>
        <v>846</v>
      </c>
      <c r="H4" s="446">
        <f>SUMIFS('Diags Raw Data'!$T$6:$T$5339,'Diags Raw Data'!$D$6:$D$5339,$A4)</f>
        <v>807</v>
      </c>
      <c r="I4" s="447">
        <f>SUMIFS('Diags Raw Data'!$U$6:$U$5339,'Diags Raw Data'!$D$6:$D$5339,$A4)</f>
        <v>39</v>
      </c>
      <c r="J4" s="446">
        <f>SUMIFS('Diags Raw Data'!$V$6:$V$5339,'Diags Raw Data'!$D$6:$D$5339,$A4)</f>
        <v>0</v>
      </c>
      <c r="K4" s="447">
        <f>SUMIFS('Diags Raw Data'!$W$6:$W$5339,'Diags Raw Data'!$D$6:$D$5339,$A4)</f>
        <v>0</v>
      </c>
      <c r="L4" s="448">
        <f>IF(NOT($C4=0), G4/$C4, "---")</f>
        <v>1</v>
      </c>
      <c r="M4" s="449">
        <f>IF(NOT($G4=0), (H4+I4)/$G4, "---")</f>
        <v>1</v>
      </c>
      <c r="N4" s="459">
        <f>IF(NOT($C4=0), (H4+I4)/$C4, "---")</f>
        <v>1</v>
      </c>
      <c r="O4" s="457">
        <f>SUMIFS('Diags Raw Data'!$Z$6:$Z$5339,'Diags Raw Data'!$D$6:$D$5339,$A4)</f>
        <v>0</v>
      </c>
      <c r="P4" s="450">
        <f>SUMIFS('Diags Raw Data'!$AA$6:$AA$5339,'Diags Raw Data'!$D$6:$D$5339,$A4)</f>
        <v>0</v>
      </c>
      <c r="Q4" s="451">
        <f>SUMIFS('Diags Raw Data'!$AB$6:$AB$5339,'Diags Raw Data'!$D$6:$D$5339,$A4)</f>
        <v>0</v>
      </c>
      <c r="R4" s="450">
        <f>SUMIFS('Diags Raw Data'!$AC$6:$AC$5339,'Diags Raw Data'!$D$6:$D$5339,$A4)</f>
        <v>0</v>
      </c>
      <c r="S4" s="451">
        <f>SUMIFS('Diags Raw Data'!$AD$6:$AD$5339,'Diags Raw Data'!$D$6:$D$5339,$A4)</f>
        <v>0</v>
      </c>
      <c r="T4" s="452">
        <f>IF(NOT($B4=0), O4/$B4, "---")</f>
        <v>0</v>
      </c>
      <c r="U4" s="453" t="str">
        <f>IF(NOT($O4=0), (P4+Q4)/$O4, "---")</f>
        <v>---</v>
      </c>
      <c r="V4" s="454">
        <f>IF(NOT($B4=0), (P4+Q4)/$B4, "---")</f>
        <v>0</v>
      </c>
    </row>
    <row r="5" spans="1:22" x14ac:dyDescent="0.25">
      <c r="A5" s="456" t="s">
        <v>358</v>
      </c>
      <c r="B5" s="208">
        <f>SUMIFS('Diags Raw Data'!$L$6:$L$5339,'Diags Raw Data'!$D$6:$D$5339,$A5)</f>
        <v>558</v>
      </c>
      <c r="C5" s="201">
        <f>SUMIFS('Diags Raw Data'!$R$6:$R$5339,'Diags Raw Data'!$D$6:$D$5339,$A5)</f>
        <v>558</v>
      </c>
      <c r="D5" s="201">
        <f>SUMIFS('Diags Raw Data'!$K$6:$K$5339,'Diags Raw Data'!$D$6:$D$5339,$A5)</f>
        <v>272</v>
      </c>
      <c r="E5" s="201">
        <f>SUMIFS('Diags Raw Data'!$O$6:$O$5339,'Diags Raw Data'!$D$6:$D$5339,$A5)</f>
        <v>334</v>
      </c>
      <c r="F5" s="205">
        <f>IF(NOT($B5=0), E5/$B5, "---")</f>
        <v>0.59856630824372759</v>
      </c>
      <c r="G5" s="197">
        <f>SUMIFS('Diags Raw Data'!$S$6:$S$5339,'Diags Raw Data'!$D$6:$D$5339,$A5)</f>
        <v>558</v>
      </c>
      <c r="H5" s="193">
        <f>SUMIFS('Diags Raw Data'!$T$6:$T$5339,'Diags Raw Data'!$D$6:$D$5339,$A5)</f>
        <v>548</v>
      </c>
      <c r="I5" s="194">
        <f>SUMIFS('Diags Raw Data'!$U$6:$U$5339,'Diags Raw Data'!$D$6:$D$5339,$A5)</f>
        <v>10</v>
      </c>
      <c r="J5" s="193">
        <f>SUMIFS('Diags Raw Data'!$V$6:$V$5339,'Diags Raw Data'!$D$6:$D$5339,$A5)</f>
        <v>0</v>
      </c>
      <c r="K5" s="194">
        <f>SUMIFS('Diags Raw Data'!$W$6:$W$5339,'Diags Raw Data'!$D$6:$D$5339,$A5)</f>
        <v>0</v>
      </c>
      <c r="L5" s="202">
        <f>IF(NOT($C5=0), G5/$C5, "---")</f>
        <v>1</v>
      </c>
      <c r="M5" s="195">
        <f>IF(NOT($G5=0), (H5+I5)/$G5, "---")</f>
        <v>1</v>
      </c>
      <c r="N5" s="199">
        <f>IF(NOT($C5=0), (H5+I5)/$C5, "---")</f>
        <v>1</v>
      </c>
      <c r="O5" s="188">
        <f>SUMIFS('Diags Raw Data'!$Z$6:$Z$5339,'Diags Raw Data'!$D$6:$D$5339,$A5)</f>
        <v>0</v>
      </c>
      <c r="P5" s="185">
        <f>SUMIFS('Diags Raw Data'!$AA$6:$AA$5339,'Diags Raw Data'!$D$6:$D$5339,$A5)</f>
        <v>0</v>
      </c>
      <c r="Q5" s="187">
        <f>SUMIFS('Diags Raw Data'!$AB$6:$AB$5339,'Diags Raw Data'!$D$6:$D$5339,$A5)</f>
        <v>0</v>
      </c>
      <c r="R5" s="185">
        <f>SUMIFS('Diags Raw Data'!$AC$6:$AC$5339,'Diags Raw Data'!$D$6:$D$5339,$A5)</f>
        <v>0</v>
      </c>
      <c r="S5" s="187">
        <f>SUMIFS('Diags Raw Data'!$AD$6:$AD$5339,'Diags Raw Data'!$D$6:$D$5339,$A5)</f>
        <v>0</v>
      </c>
      <c r="T5" s="186">
        <f>IF(NOT($B5=0), O5/$B5, "---")</f>
        <v>0</v>
      </c>
      <c r="U5" s="196" t="str">
        <f>IF(NOT($O5=0), (P5+Q5)/$O5, "---")</f>
        <v>---</v>
      </c>
      <c r="V5" s="198">
        <f>IF(NOT($B5=0), (P5+Q5)/$B5, "---")</f>
        <v>0</v>
      </c>
    </row>
    <row r="6" spans="1:22" ht="15.75" thickBot="1" x14ac:dyDescent="0.3">
      <c r="A6" s="460" t="s">
        <v>909</v>
      </c>
      <c r="B6" s="461">
        <f>SUMIFS('Diags Raw Data'!$L$6:$L$5339,'Diags Raw Data'!$D$6:$D$5339,$A6)</f>
        <v>283</v>
      </c>
      <c r="C6" s="462">
        <f>SUMIFS('Diags Raw Data'!$R$6:$R$5339,'Diags Raw Data'!$D$6:$D$5339,$A6)</f>
        <v>283</v>
      </c>
      <c r="D6" s="462">
        <f>SUMIFS('Diags Raw Data'!$K$6:$K$5339,'Diags Raw Data'!$D$6:$D$5339,$A6)</f>
        <v>134</v>
      </c>
      <c r="E6" s="462">
        <f>SUMIFS('Diags Raw Data'!$O$6:$O$5339,'Diags Raw Data'!$D$6:$D$5339,$A6)</f>
        <v>139</v>
      </c>
      <c r="F6" s="463">
        <f>IF(NOT($B6=0), E6/$B6, "---")</f>
        <v>0.49116607773851589</v>
      </c>
      <c r="G6" s="464">
        <f>SUMIFS('Diags Raw Data'!$S$6:$S$5339,'Diags Raw Data'!$D$6:$D$5339,$A6)</f>
        <v>283</v>
      </c>
      <c r="H6" s="465">
        <f>SUMIFS('Diags Raw Data'!$T$6:$T$5339,'Diags Raw Data'!$D$6:$D$5339,$A6)</f>
        <v>283</v>
      </c>
      <c r="I6" s="466">
        <f>SUMIFS('Diags Raw Data'!$U$6:$U$5339,'Diags Raw Data'!$D$6:$D$5339,$A6)</f>
        <v>0</v>
      </c>
      <c r="J6" s="465">
        <f>SUMIFS('Diags Raw Data'!$V$6:$V$5339,'Diags Raw Data'!$D$6:$D$5339,$A6)</f>
        <v>0</v>
      </c>
      <c r="K6" s="466">
        <f>SUMIFS('Diags Raw Data'!$W$6:$W$5339,'Diags Raw Data'!$D$6:$D$5339,$A6)</f>
        <v>0</v>
      </c>
      <c r="L6" s="467">
        <f>IF(NOT($C6=0), G6/$C6, "---")</f>
        <v>1</v>
      </c>
      <c r="M6" s="468">
        <f>IF(NOT($G6=0), (H6+I6)/$G6, "---")</f>
        <v>1</v>
      </c>
      <c r="N6" s="469">
        <f>IF(NOT($C6=0), (H6+I6)/$C6, "---")</f>
        <v>1</v>
      </c>
      <c r="O6" s="470">
        <f>SUMIFS('Diags Raw Data'!$Z$6:$Z$5339,'Diags Raw Data'!$D$6:$D$5339,$A6)</f>
        <v>0</v>
      </c>
      <c r="P6" s="471">
        <f>SUMIFS('Diags Raw Data'!$AA$6:$AA$5339,'Diags Raw Data'!$D$6:$D$5339,$A6)</f>
        <v>0</v>
      </c>
      <c r="Q6" s="472">
        <f>SUMIFS('Diags Raw Data'!$AB$6:$AB$5339,'Diags Raw Data'!$D$6:$D$5339,$A6)</f>
        <v>0</v>
      </c>
      <c r="R6" s="471">
        <f>SUMIFS('Diags Raw Data'!$AC$6:$AC$5339,'Diags Raw Data'!$D$6:$D$5339,$A6)</f>
        <v>0</v>
      </c>
      <c r="S6" s="472">
        <f>SUMIFS('Diags Raw Data'!$AD$6:$AD$5339,'Diags Raw Data'!$D$6:$D$5339,$A6)</f>
        <v>0</v>
      </c>
      <c r="T6" s="473">
        <f>IF(NOT($B6=0), O6/$B6, "---")</f>
        <v>0</v>
      </c>
      <c r="U6" s="474" t="str">
        <f>IF(NOT($O6=0), (P6+Q6)/$O6, "---")</f>
        <v>---</v>
      </c>
      <c r="V6" s="475">
        <f>IF(NOT($B6=0), (P6+Q6)/$B6, "---")</f>
        <v>0</v>
      </c>
    </row>
    <row r="7" spans="1:22" ht="16.5" thickBot="1" x14ac:dyDescent="0.3">
      <c r="A7" s="212" t="s">
        <v>1138</v>
      </c>
      <c r="B7" s="476">
        <f>SUM(B4:B6)</f>
        <v>1691</v>
      </c>
      <c r="C7" s="477">
        <f t="shared" ref="C7:E7" si="0">SUM(C4:C6)</f>
        <v>1687</v>
      </c>
      <c r="D7" s="477">
        <f t="shared" si="0"/>
        <v>931</v>
      </c>
      <c r="E7" s="477">
        <f t="shared" si="0"/>
        <v>919.5</v>
      </c>
      <c r="F7" s="478" cm="1">
        <f t="array" ref="F7">SUMPRODUCT(--(ISNUMBER(SEARCH("New",'Diags Raw Data'!$M$6:$M$5339))),'Diags Raw Data'!$K$6:$K$5339,'Diags Raw Data'!$P$6:$P$5339)/D7+SUMPRODUCT(--(ISNUMBER(SEARCH("Delta",'Diags Raw Data'!$M$6:$M$5339))),'Diags Raw Data'!$K$6:$K$5339,'Diags Raw Data'!$P$6:$P$5339)/D7+SUMPRODUCT(--(ISNUMBER(SEARCH("Legacy",'Diags Raw Data'!$M$6:$M$5339))),'Diags Raw Data'!$K$6:$K$5339,'Diags Raw Data'!$P$6:$P$5339)/D7</f>
        <v>0.86680988184747576</v>
      </c>
      <c r="G7" s="479">
        <f>SUM(G4:G6)</f>
        <v>1687</v>
      </c>
      <c r="H7" s="480">
        <f t="shared" ref="H7:K7" si="1">SUM(H4:H6)</f>
        <v>1638</v>
      </c>
      <c r="I7" s="480">
        <f t="shared" si="1"/>
        <v>49</v>
      </c>
      <c r="J7" s="480">
        <f t="shared" si="1"/>
        <v>0</v>
      </c>
      <c r="K7" s="480">
        <f t="shared" si="1"/>
        <v>0</v>
      </c>
      <c r="L7" s="481">
        <f>IF(NOT($C7=0), G7/$C7, "---")</f>
        <v>1</v>
      </c>
      <c r="M7" s="482">
        <f>IF(NOT($G7=0), (H7+I7)/$G7, "---")</f>
        <v>1</v>
      </c>
      <c r="N7" s="483">
        <f>IF(NOT($C7=0), (H7+I7)/$C7, "---")</f>
        <v>1</v>
      </c>
      <c r="O7" s="484">
        <f>SUM(O4:O6)</f>
        <v>0</v>
      </c>
      <c r="P7" s="485">
        <f t="shared" ref="P7:S7" si="2">SUM(P4:P6)</f>
        <v>0</v>
      </c>
      <c r="Q7" s="485">
        <f t="shared" si="2"/>
        <v>0</v>
      </c>
      <c r="R7" s="485">
        <f t="shared" si="2"/>
        <v>0</v>
      </c>
      <c r="S7" s="485">
        <f t="shared" si="2"/>
        <v>0</v>
      </c>
      <c r="T7" s="486">
        <f>IF(NOT($B7=0), O7/$B7, "---")</f>
        <v>0</v>
      </c>
      <c r="U7" s="487" t="str">
        <f>IF(NOT($O7=0), (P7+Q7)/$O7, "---")</f>
        <v>---</v>
      </c>
      <c r="V7" s="488">
        <f>IF(NOT($B7=0), (P7+Q7)/$B7, "---")</f>
        <v>0</v>
      </c>
    </row>
    <row r="8" spans="1:22" ht="15.75" thickBot="1" x14ac:dyDescent="0.3"/>
    <row r="9" spans="1:22" ht="15.75" thickBot="1" x14ac:dyDescent="0.3">
      <c r="A9" s="189" t="s">
        <v>1139</v>
      </c>
      <c r="B9" s="585" t="s">
        <v>166</v>
      </c>
      <c r="C9" s="585"/>
      <c r="D9" s="585"/>
      <c r="E9" s="585"/>
      <c r="F9" s="585"/>
      <c r="G9" s="586" t="s">
        <v>177</v>
      </c>
      <c r="H9" s="587"/>
      <c r="I9" s="587"/>
      <c r="J9" s="587"/>
      <c r="K9" s="587"/>
      <c r="L9" s="587"/>
      <c r="M9" s="587"/>
      <c r="N9" s="588"/>
      <c r="O9" s="589" t="s">
        <v>144</v>
      </c>
      <c r="P9" s="590"/>
      <c r="Q9" s="590"/>
      <c r="R9" s="590"/>
      <c r="S9" s="590"/>
      <c r="T9" s="590"/>
      <c r="U9" s="590"/>
      <c r="V9" s="591"/>
    </row>
    <row r="10" spans="1:22" s="206" customFormat="1" ht="30.75" thickBot="1" x14ac:dyDescent="0.3">
      <c r="A10" s="439" t="s">
        <v>88</v>
      </c>
      <c r="B10" s="251" t="s">
        <v>167</v>
      </c>
      <c r="C10" s="252" t="s">
        <v>128</v>
      </c>
      <c r="D10" s="253" t="s">
        <v>105</v>
      </c>
      <c r="E10" s="253" t="s">
        <v>173</v>
      </c>
      <c r="F10" s="254" t="s">
        <v>175</v>
      </c>
      <c r="G10" s="440" t="s">
        <v>132</v>
      </c>
      <c r="H10" s="441" t="s">
        <v>30</v>
      </c>
      <c r="I10" s="441" t="s">
        <v>135</v>
      </c>
      <c r="J10" s="441" t="s">
        <v>35</v>
      </c>
      <c r="K10" s="441" t="s">
        <v>138</v>
      </c>
      <c r="L10" s="441" t="s">
        <v>184</v>
      </c>
      <c r="M10" s="441" t="s">
        <v>140</v>
      </c>
      <c r="N10" s="442" t="s">
        <v>187</v>
      </c>
      <c r="O10" s="443" t="s">
        <v>132</v>
      </c>
      <c r="P10" s="444" t="s">
        <v>30</v>
      </c>
      <c r="Q10" s="444" t="s">
        <v>135</v>
      </c>
      <c r="R10" s="444" t="s">
        <v>35</v>
      </c>
      <c r="S10" s="444" t="s">
        <v>138</v>
      </c>
      <c r="T10" s="444" t="s">
        <v>184</v>
      </c>
      <c r="U10" s="444" t="s">
        <v>140</v>
      </c>
      <c r="V10" s="445" t="s">
        <v>187</v>
      </c>
    </row>
    <row r="11" spans="1:22" x14ac:dyDescent="0.25">
      <c r="A11" s="455" t="s">
        <v>259</v>
      </c>
      <c r="B11" s="207">
        <f>SUMIFS('Diags Raw Data'!$L$6:$L$5339,'Diags Raw Data'!$D$6:$D$5339,$A11,'Diags Raw Data'!$M$6:$M$5339,"New")+SUMIFS('Diags Raw Data'!$L$6:$L$5339,'Diags Raw Data'!$D$6:$D$5339,$A11,'Diags Raw Data'!$M$6:$M$5339,"Delta")</f>
        <v>20</v>
      </c>
      <c r="C11" s="200">
        <f>SUMIFS('Diags Raw Data'!$R$6:$R$5339,'Diags Raw Data'!$D$6:$D$5339,$A11,'Diags Raw Data'!$M$6:$M$5339,"New")+SUMIFS('Diags Raw Data'!$R$6:$R$5339,'Diags Raw Data'!$D$6:$D$5339,$A11,'Diags Raw Data'!$M$6:$M$5339,"Delta")</f>
        <v>20</v>
      </c>
      <c r="D11" s="200">
        <f>SUMIFS('Diags Raw Data'!$K$6:$K$5339,'Diags Raw Data'!$D$6:$D$5339,$A11,'Diags Raw Data'!$M$6:$M$5339,"New")+SUMIFS('Diags Raw Data'!$K$6:$K$5339,'Diags Raw Data'!$D$6:$D$5339,$A11,'Diags Raw Data'!$M$6:$M$5339,"Delta")</f>
        <v>20</v>
      </c>
      <c r="E11" s="200">
        <f>SUMIFS('Diags Raw Data'!$O$6:$O$5339,'Diags Raw Data'!$D$6:$D$5339,$A11,'Diags Raw Data'!$M$6:$M$5339,"New")+SUMIFS('Diags Raw Data'!$O$6:$O$5339,'Diags Raw Data'!$D$6:$D$5339,$A11,'Diags Raw Data'!$M$6:$M$5339,"Delta")</f>
        <v>20</v>
      </c>
      <c r="F11" s="204">
        <f t="shared" ref="F11" si="3">IF(NOT($B11=0), E11/$B11, "---")</f>
        <v>1</v>
      </c>
      <c r="G11" s="458">
        <f>SUMIFS('Diags Raw Data'!$S$6:$S$5339,'Diags Raw Data'!$D$6:$D$5339,$A11,'Diags Raw Data'!$M$6:$M$5339,"New")+SUMIFS('Diags Raw Data'!$S$6:$S$5339,'Diags Raw Data'!$D$6:$D$5339,$A11,'Diags Raw Data'!$M$6:$M$5339,"Delta")</f>
        <v>20</v>
      </c>
      <c r="H11" s="446">
        <f>SUMIFS('Diags Raw Data'!$T$6:$T$5339,'Diags Raw Data'!$D$6:$D$5339,$A11,'Diags Raw Data'!$M$6:$M$5339,"New")+SUMIFS('Diags Raw Data'!$T$6:$T$5339,'Diags Raw Data'!$D$6:$D$5339,$A11,'Diags Raw Data'!$M$6:$M$5339,"Delta")</f>
        <v>0</v>
      </c>
      <c r="I11" s="446">
        <f>SUMIFS('Diags Raw Data'!$U$6:$U$5339,'Diags Raw Data'!$D$6:$D$5339,$A11,'Diags Raw Data'!$M$6:$M$5339,"New")+SUMIFS('Diags Raw Data'!$U$6:$U$5339,'Diags Raw Data'!$D$6:$D$5339,$A11,'Diags Raw Data'!$M$6:$M$5339,"Delta")</f>
        <v>20</v>
      </c>
      <c r="J11" s="446">
        <f>SUMIFS('Diags Raw Data'!$V$6:$V$5339,'Diags Raw Data'!$D$6:$D$5339,$A11,'Diags Raw Data'!$M$6:$M$5339,"New")+SUMIFS('Diags Raw Data'!$V$6:$V$5339,'Diags Raw Data'!$D$6:$D$5339,$A11,'Diags Raw Data'!$M$6:$M$5339,"Delta")</f>
        <v>0</v>
      </c>
      <c r="K11" s="446">
        <f>SUMIFS('Diags Raw Data'!$W$6:$W$5339,'Diags Raw Data'!$D$6:$D$5339,$A11,'Diags Raw Data'!$M$6:$M$5339,"New")+SUMIFS('Diags Raw Data'!$W$6:$W$5339,'Diags Raw Data'!$D$6:$D$5339,$A11,'Diags Raw Data'!$M$6:$M$5339,"Delta")</f>
        <v>0</v>
      </c>
      <c r="L11" s="448">
        <f>IF(NOT($C11=0), G11/$C11, "---")</f>
        <v>1</v>
      </c>
      <c r="M11" s="449">
        <f>IF(NOT($G11=0), (H11+I11)/$G11, "---")</f>
        <v>1</v>
      </c>
      <c r="N11" s="459">
        <f>IF(NOT($C11=0), (H11+I11)/$C11, "---")</f>
        <v>1</v>
      </c>
      <c r="O11" s="457">
        <f>SUMIFS('Diags Raw Data'!$Z$6:$Z$5339,'Diags Raw Data'!$D$6:$D$5339,$A11,'Diags Raw Data'!$M$6:$M$5339,"New")+SUMIFS('Diags Raw Data'!$Z$6:$Z$5339,'Diags Raw Data'!$D$6:$D$5339,$A11,'Diags Raw Data'!$M$6:$M$5339,"Delta")</f>
        <v>0</v>
      </c>
      <c r="P11" s="450">
        <f>SUMIFS('Diags Raw Data'!$AA$6:$AA$5339,'Diags Raw Data'!$D$6:$D$5339,$A11,'Diags Raw Data'!$M$6:$M$5339,"New")+SUMIFS('Diags Raw Data'!$AA$6:$AA$5339,'Diags Raw Data'!$D$6:$D$5339,$A11,'Diags Raw Data'!$M$6:$M$5339,"Delta")</f>
        <v>0</v>
      </c>
      <c r="Q11" s="450">
        <f>SUMIFS('Diags Raw Data'!$AB$6:$AB$5339,'Diags Raw Data'!$D$6:$D$5339,$A11,'Diags Raw Data'!$M$6:$M$5339,"New")+SUMIFS('Diags Raw Data'!$AB$6:$AB$5339,'Diags Raw Data'!$D$6:$D$5339,$A11,'Diags Raw Data'!$M$6:$M$5339,"Delta")</f>
        <v>0</v>
      </c>
      <c r="R11" s="450">
        <f>SUMIFS('Diags Raw Data'!$AC$6:$AC$5339,'Diags Raw Data'!$D$6:$D$5339,$A11,'Diags Raw Data'!$M$6:$M$5339,"New")+SUMIFS('Diags Raw Data'!$AC$6:$AC$5339,'Diags Raw Data'!$D$6:$D$5339,$A11,'Diags Raw Data'!$M$6:$M$5339,"Delta")</f>
        <v>0</v>
      </c>
      <c r="S11" s="450">
        <f>SUMIFS('Diags Raw Data'!$AD$6:$AD$5339,'Diags Raw Data'!$D$6:$D$5339,$A11,'Diags Raw Data'!$M$6:$M$5339,"New")+SUMIFS('Diags Raw Data'!$AD$6:$AD$5339,'Diags Raw Data'!$D$6:$D$5339,$A11,'Diags Raw Data'!$M$6:$M$5339,"Delta")</f>
        <v>0</v>
      </c>
      <c r="T11" s="452">
        <f>IF(NOT($B11=0), O11/$B11, "---")</f>
        <v>0</v>
      </c>
      <c r="U11" s="453" t="str">
        <f>IF(NOT($O11=0), (P11+Q11)/$O11, "---")</f>
        <v>---</v>
      </c>
      <c r="V11" s="454">
        <f>IF(NOT($B11=0), (P11+Q11)/$B11, "---")</f>
        <v>0</v>
      </c>
    </row>
    <row r="12" spans="1:22" x14ac:dyDescent="0.25">
      <c r="A12" s="456" t="s">
        <v>358</v>
      </c>
      <c r="B12" s="208">
        <f>SUMIFS('Diags Raw Data'!$L$6:$L$5339,'Diags Raw Data'!$D$6:$D$5339,$A12,'Diags Raw Data'!$M$6:$M$5339,"New")+SUMIFS('Diags Raw Data'!$L$6:$L$5339,'Diags Raw Data'!$D$6:$D$5339,$A12,'Diags Raw Data'!$M$6:$M$5339,"Delta")</f>
        <v>0</v>
      </c>
      <c r="C12" s="201">
        <f>SUMIFS('Diags Raw Data'!$R$6:$R$5339,'Diags Raw Data'!$D$6:$D$5339,$A12,'Diags Raw Data'!$M$6:$M$5339,"New")+SUMIFS('Diags Raw Data'!$R$6:$R$5339,'Diags Raw Data'!$D$6:$D$5339,$A12,'Diags Raw Data'!$M$6:$M$5339,"Delta")</f>
        <v>0</v>
      </c>
      <c r="D12" s="201">
        <f>SUMIFS('Diags Raw Data'!$K$6:$K$5339,'Diags Raw Data'!$D$6:$D$5339,$A12,'Diags Raw Data'!$M$6:$M$5339,"New")+SUMIFS('Diags Raw Data'!$K$6:$K$5339,'Diags Raw Data'!$D$6:$D$5339,$A12,'Diags Raw Data'!$M$6:$M$5339,"Delta")</f>
        <v>0</v>
      </c>
      <c r="E12" s="201">
        <f>SUMIFS('Diags Raw Data'!$O$6:$O$5339,'Diags Raw Data'!$D$6:$D$5339,$A12,'Diags Raw Data'!$M$6:$M$5339,"New")+SUMIFS('Diags Raw Data'!$O$6:$O$5339,'Diags Raw Data'!$D$6:$D$5339,$A12,'Diags Raw Data'!$M$6:$M$5339,"Delta")</f>
        <v>0</v>
      </c>
      <c r="F12" s="205" t="str">
        <f t="shared" ref="F12" si="4">IF(NOT($B12=0), E12/$B12, "---")</f>
        <v>---</v>
      </c>
      <c r="G12" s="197">
        <f>SUMIFS('Diags Raw Data'!$S$6:$S$5339,'Diags Raw Data'!$D$6:$D$5339,$A12,'Diags Raw Data'!$M$6:$M$5339,"New")+SUMIFS('Diags Raw Data'!$S$6:$S$5339,'Diags Raw Data'!$D$6:$D$5339,$A12,'Diags Raw Data'!$M$6:$M$5339,"Delta")</f>
        <v>0</v>
      </c>
      <c r="H12" s="193">
        <f>SUMIFS('Diags Raw Data'!$T$6:$T$5339,'Diags Raw Data'!$D$6:$D$5339,$A12,'Diags Raw Data'!$M$6:$M$5339,"New")+SUMIFS('Diags Raw Data'!$T$6:$T$5339,'Diags Raw Data'!$D$6:$D$5339,$A12,'Diags Raw Data'!$M$6:$M$5339,"Delta")</f>
        <v>0</v>
      </c>
      <c r="I12" s="193">
        <f>SUMIFS('Diags Raw Data'!$U$6:$U$5339,'Diags Raw Data'!$D$6:$D$5339,$A12,'Diags Raw Data'!$M$6:$M$5339,"New")+SUMIFS('Diags Raw Data'!$U$6:$U$5339,'Diags Raw Data'!$D$6:$D$5339,$A12,'Diags Raw Data'!$M$6:$M$5339,"Delta")</f>
        <v>0</v>
      </c>
      <c r="J12" s="193">
        <f>SUMIFS('Diags Raw Data'!$V$6:$V$5339,'Diags Raw Data'!$D$6:$D$5339,$A12,'Diags Raw Data'!$M$6:$M$5339,"New")+SUMIFS('Diags Raw Data'!$V$6:$V$5339,'Diags Raw Data'!$D$6:$D$5339,$A12,'Diags Raw Data'!$M$6:$M$5339,"Delta")</f>
        <v>0</v>
      </c>
      <c r="K12" s="193">
        <f>SUMIFS('Diags Raw Data'!$W$6:$W$5339,'Diags Raw Data'!$D$6:$D$5339,$A12,'Diags Raw Data'!$M$6:$M$5339,"New")+SUMIFS('Diags Raw Data'!$W$6:$W$5339,'Diags Raw Data'!$D$6:$D$5339,$A12,'Diags Raw Data'!$M$6:$M$5339,"Delta")</f>
        <v>0</v>
      </c>
      <c r="L12" s="202" t="str">
        <f>IF(NOT($C12=0), G12/$C12, "---")</f>
        <v>---</v>
      </c>
      <c r="M12" s="195" t="str">
        <f>IF(NOT($G12=0), (H12+I12)/$G12, "---")</f>
        <v>---</v>
      </c>
      <c r="N12" s="199" t="str">
        <f>IF(NOT($C12=0), (H12+I12)/$C12, "---")</f>
        <v>---</v>
      </c>
      <c r="O12" s="188">
        <f>SUMIFS('Diags Raw Data'!$Z$6:$Z$5339,'Diags Raw Data'!$D$6:$D$5339,$A12,'Diags Raw Data'!$M$6:$M$5339,"New")+SUMIFS('Diags Raw Data'!$Z$6:$Z$5339,'Diags Raw Data'!$D$6:$D$5339,$A12,'Diags Raw Data'!$M$6:$M$5339,"Delta")</f>
        <v>0</v>
      </c>
      <c r="P12" s="185">
        <f>SUMIFS('Diags Raw Data'!$AA$6:$AA$5339,'Diags Raw Data'!$D$6:$D$5339,$A12,'Diags Raw Data'!$M$6:$M$5339,"New")+SUMIFS('Diags Raw Data'!$AA$6:$AA$5339,'Diags Raw Data'!$D$6:$D$5339,$A12,'Diags Raw Data'!$M$6:$M$5339,"Delta")</f>
        <v>0</v>
      </c>
      <c r="Q12" s="185">
        <f>SUMIFS('Diags Raw Data'!$AB$6:$AB$5339,'Diags Raw Data'!$D$6:$D$5339,$A12,'Diags Raw Data'!$M$6:$M$5339,"New")+SUMIFS('Diags Raw Data'!$AB$6:$AB$5339,'Diags Raw Data'!$D$6:$D$5339,$A12,'Diags Raw Data'!$M$6:$M$5339,"Delta")</f>
        <v>0</v>
      </c>
      <c r="R12" s="185">
        <f>SUMIFS('Diags Raw Data'!$AC$6:$AC$5339,'Diags Raw Data'!$D$6:$D$5339,$A12,'Diags Raw Data'!$M$6:$M$5339,"New")+SUMIFS('Diags Raw Data'!$AC$6:$AC$5339,'Diags Raw Data'!$D$6:$D$5339,$A12,'Diags Raw Data'!$M$6:$M$5339,"Delta")</f>
        <v>0</v>
      </c>
      <c r="S12" s="185">
        <f>SUMIFS('Diags Raw Data'!$AD$6:$AD$5339,'Diags Raw Data'!$D$6:$D$5339,$A12,'Diags Raw Data'!$M$6:$M$5339,"New")+SUMIFS('Diags Raw Data'!$AD$6:$AD$5339,'Diags Raw Data'!$D$6:$D$5339,$A12,'Diags Raw Data'!$M$6:$M$5339,"Delta")</f>
        <v>0</v>
      </c>
      <c r="T12" s="186" t="str">
        <f>IF(NOT($B12=0), O12/$B12, "---")</f>
        <v>---</v>
      </c>
      <c r="U12" s="196" t="str">
        <f>IF(NOT($O12=0), (P12+Q12)/$O12, "---")</f>
        <v>---</v>
      </c>
      <c r="V12" s="198" t="str">
        <f>IF(NOT($B12=0), (P12+Q12)/$B12, "---")</f>
        <v>---</v>
      </c>
    </row>
    <row r="13" spans="1:22" ht="15.75" thickBot="1" x14ac:dyDescent="0.3">
      <c r="A13" s="460" t="s">
        <v>909</v>
      </c>
      <c r="B13" s="461">
        <f>SUMIFS('Diags Raw Data'!$L$6:$L$5339,'Diags Raw Data'!$D$6:$D$5339,$A13,'Diags Raw Data'!$M$6:$M$5339,"New")+SUMIFS('Diags Raw Data'!$L$6:$L$5339,'Diags Raw Data'!$D$6:$D$5339,$A13,'Diags Raw Data'!$M$6:$M$5339,"Delta")</f>
        <v>0</v>
      </c>
      <c r="C13" s="462">
        <f>SUMIFS('Diags Raw Data'!$R$6:$R$5339,'Diags Raw Data'!$D$6:$D$5339,$A13,'Diags Raw Data'!$M$6:$M$5339,"New")+SUMIFS('Diags Raw Data'!$R$6:$R$5339,'Diags Raw Data'!$D$6:$D$5339,$A13,'Diags Raw Data'!$M$6:$M$5339,"Delta")</f>
        <v>0</v>
      </c>
      <c r="D13" s="462">
        <f>SUMIFS('Diags Raw Data'!$K$6:$K$5339,'Diags Raw Data'!$D$6:$D$5339,$A13,'Diags Raw Data'!$M$6:$M$5339,"New")+SUMIFS('Diags Raw Data'!$K$6:$K$5339,'Diags Raw Data'!$D$6:$D$5339,$A13,'Diags Raw Data'!$M$6:$M$5339,"Delta")</f>
        <v>0</v>
      </c>
      <c r="E13" s="462">
        <f>SUMIFS('Diags Raw Data'!$O$6:$O$5339,'Diags Raw Data'!$D$6:$D$5339,$A13,'Diags Raw Data'!$M$6:$M$5339,"New")+SUMIFS('Diags Raw Data'!$O$6:$O$5339,'Diags Raw Data'!$D$6:$D$5339,$A13,'Diags Raw Data'!$M$6:$M$5339,"Delta")</f>
        <v>0</v>
      </c>
      <c r="F13" s="463" t="str">
        <f t="shared" ref="F13" si="5">IF(NOT($B13=0), E13/$B13, "---")</f>
        <v>---</v>
      </c>
      <c r="G13" s="464">
        <f>SUMIFS('Diags Raw Data'!$S$6:$S$5339,'Diags Raw Data'!$D$6:$D$5339,$A13,'Diags Raw Data'!$M$6:$M$5339,"New")+SUMIFS('Diags Raw Data'!$S$6:$S$5339,'Diags Raw Data'!$D$6:$D$5339,$A13,'Diags Raw Data'!$M$6:$M$5339,"Delta")</f>
        <v>0</v>
      </c>
      <c r="H13" s="465">
        <f>SUMIFS('Diags Raw Data'!$T$6:$T$5339,'Diags Raw Data'!$D$6:$D$5339,$A13,'Diags Raw Data'!$M$6:$M$5339,"New")+SUMIFS('Diags Raw Data'!$T$6:$T$5339,'Diags Raw Data'!$D$6:$D$5339,$A13,'Diags Raw Data'!$M$6:$M$5339,"Delta")</f>
        <v>0</v>
      </c>
      <c r="I13" s="465">
        <f>SUMIFS('Diags Raw Data'!$U$6:$U$5339,'Diags Raw Data'!$D$6:$D$5339,$A13,'Diags Raw Data'!$M$6:$M$5339,"New")+SUMIFS('Diags Raw Data'!$U$6:$U$5339,'Diags Raw Data'!$D$6:$D$5339,$A13,'Diags Raw Data'!$M$6:$M$5339,"Delta")</f>
        <v>0</v>
      </c>
      <c r="J13" s="465">
        <f>SUMIFS('Diags Raw Data'!$V$6:$V$5339,'Diags Raw Data'!$D$6:$D$5339,$A13,'Diags Raw Data'!$M$6:$M$5339,"New")+SUMIFS('Diags Raw Data'!$V$6:$V$5339,'Diags Raw Data'!$D$6:$D$5339,$A13,'Diags Raw Data'!$M$6:$M$5339,"Delta")</f>
        <v>0</v>
      </c>
      <c r="K13" s="465">
        <f>SUMIFS('Diags Raw Data'!$W$6:$W$5339,'Diags Raw Data'!$D$6:$D$5339,$A13,'Diags Raw Data'!$M$6:$M$5339,"New")+SUMIFS('Diags Raw Data'!$W$6:$W$5339,'Diags Raw Data'!$D$6:$D$5339,$A13,'Diags Raw Data'!$M$6:$M$5339,"Delta")</f>
        <v>0</v>
      </c>
      <c r="L13" s="467" t="str">
        <f>IF(NOT($C13=0), G13/$C13, "---")</f>
        <v>---</v>
      </c>
      <c r="M13" s="468" t="str">
        <f>IF(NOT($G13=0), (H13+I13)/$G13, "---")</f>
        <v>---</v>
      </c>
      <c r="N13" s="469" t="str">
        <f>IF(NOT($C13=0), (H13+I13)/$C13, "---")</f>
        <v>---</v>
      </c>
      <c r="O13" s="470">
        <f>SUMIFS('Diags Raw Data'!$Z$6:$Z$5339,'Diags Raw Data'!$D$6:$D$5339,$A13,'Diags Raw Data'!$M$6:$M$5339,"New")+SUMIFS('Diags Raw Data'!$Z$6:$Z$5339,'Diags Raw Data'!$D$6:$D$5339,$A13,'Diags Raw Data'!$M$6:$M$5339,"Delta")</f>
        <v>0</v>
      </c>
      <c r="P13" s="471">
        <f>SUMIFS('Diags Raw Data'!$AA$6:$AA$5339,'Diags Raw Data'!$D$6:$D$5339,$A13,'Diags Raw Data'!$M$6:$M$5339,"New")+SUMIFS('Diags Raw Data'!$AA$6:$AA$5339,'Diags Raw Data'!$D$6:$D$5339,$A13,'Diags Raw Data'!$M$6:$M$5339,"Delta")</f>
        <v>0</v>
      </c>
      <c r="Q13" s="471">
        <f>SUMIFS('Diags Raw Data'!$AB$6:$AB$5339,'Diags Raw Data'!$D$6:$D$5339,$A13,'Diags Raw Data'!$M$6:$M$5339,"New")+SUMIFS('Diags Raw Data'!$AB$6:$AB$5339,'Diags Raw Data'!$D$6:$D$5339,$A13,'Diags Raw Data'!$M$6:$M$5339,"Delta")</f>
        <v>0</v>
      </c>
      <c r="R13" s="471">
        <f>SUMIFS('Diags Raw Data'!$AC$6:$AC$5339,'Diags Raw Data'!$D$6:$D$5339,$A13,'Diags Raw Data'!$M$6:$M$5339,"New")+SUMIFS('Diags Raw Data'!$AC$6:$AC$5339,'Diags Raw Data'!$D$6:$D$5339,$A13,'Diags Raw Data'!$M$6:$M$5339,"Delta")</f>
        <v>0</v>
      </c>
      <c r="S13" s="471">
        <f>SUMIFS('Diags Raw Data'!$AD$6:$AD$5339,'Diags Raw Data'!$D$6:$D$5339,$A13,'Diags Raw Data'!$M$6:$M$5339,"New")+SUMIFS('Diags Raw Data'!$AD$6:$AD$5339,'Diags Raw Data'!$D$6:$D$5339,$A13,'Diags Raw Data'!$M$6:$M$5339,"Delta")</f>
        <v>0</v>
      </c>
      <c r="T13" s="473" t="str">
        <f>IF(NOT($B13=0), O13/$B13, "---")</f>
        <v>---</v>
      </c>
      <c r="U13" s="474" t="str">
        <f>IF(NOT($O13=0), (P13+Q13)/$O13, "---")</f>
        <v>---</v>
      </c>
      <c r="V13" s="475" t="str">
        <f>IF(NOT($B13=0), (P13+Q13)/$B13, "---")</f>
        <v>---</v>
      </c>
    </row>
    <row r="14" spans="1:22" ht="16.5" thickBot="1" x14ac:dyDescent="0.3">
      <c r="A14" s="210" t="s">
        <v>1140</v>
      </c>
      <c r="B14" s="476">
        <f>SUM(B11:B13)</f>
        <v>20</v>
      </c>
      <c r="C14" s="477">
        <f t="shared" ref="C14:E14" si="6">SUM(C11:C13)</f>
        <v>20</v>
      </c>
      <c r="D14" s="477">
        <f t="shared" si="6"/>
        <v>20</v>
      </c>
      <c r="E14" s="477">
        <f t="shared" si="6"/>
        <v>20</v>
      </c>
      <c r="F14" s="478" cm="1">
        <f t="array" ref="F14">SUMPRODUCT(--(ISNUMBER(SEARCH("New",'Diags Raw Data'!$M$6:$M$5339))),'Diags Raw Data'!$K$6:$K$5339,'Diags Raw Data'!$P$6:$P$5339)/D14+SUMPRODUCT(--(ISNUMBER(SEARCH("Delta",'Diags Raw Data'!$M$6:$M$5339))),'Diags Raw Data'!$K$6:$K$5339,'Diags Raw Data'!$P$6:$P$5339)/D14</f>
        <v>1</v>
      </c>
      <c r="G14" s="479">
        <f>SUM(G11:G13)</f>
        <v>20</v>
      </c>
      <c r="H14" s="480">
        <f t="shared" ref="H14:K14" si="7">SUM(H11:H13)</f>
        <v>0</v>
      </c>
      <c r="I14" s="480">
        <f t="shared" si="7"/>
        <v>20</v>
      </c>
      <c r="J14" s="480">
        <f t="shared" si="7"/>
        <v>0</v>
      </c>
      <c r="K14" s="480">
        <f t="shared" si="7"/>
        <v>0</v>
      </c>
      <c r="L14" s="481">
        <f>IF(NOT($C14=0), G14/$C14, "---")</f>
        <v>1</v>
      </c>
      <c r="M14" s="482">
        <f t="shared" ref="M14" si="8">IF(NOT($G14=0), (H14+I14)/$G14, "---")</f>
        <v>1</v>
      </c>
      <c r="N14" s="483">
        <f>IF(NOT($C14=0), (H14+I14)/$C14, "---")</f>
        <v>1</v>
      </c>
      <c r="O14" s="484">
        <f>SUM(O11:O13)</f>
        <v>0</v>
      </c>
      <c r="P14" s="485">
        <f t="shared" ref="P14:S14" si="9">SUM(P11:P13)</f>
        <v>0</v>
      </c>
      <c r="Q14" s="485">
        <f t="shared" si="9"/>
        <v>0</v>
      </c>
      <c r="R14" s="485">
        <f t="shared" si="9"/>
        <v>0</v>
      </c>
      <c r="S14" s="485">
        <f t="shared" si="9"/>
        <v>0</v>
      </c>
      <c r="T14" s="486">
        <f>IF(NOT($B14=0), O14/$B14, "---")</f>
        <v>0</v>
      </c>
      <c r="U14" s="487" t="str">
        <f t="shared" ref="U14" si="10">IF(NOT($O14=0), (P14+Q14)/$O14, "---")</f>
        <v>---</v>
      </c>
      <c r="V14" s="488">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585" t="s">
        <v>166</v>
      </c>
      <c r="C16" s="585"/>
      <c r="D16" s="585"/>
      <c r="E16" s="585"/>
      <c r="F16" s="585"/>
      <c r="G16" s="586" t="s">
        <v>177</v>
      </c>
      <c r="H16" s="587"/>
      <c r="I16" s="587"/>
      <c r="J16" s="587"/>
      <c r="K16" s="587"/>
      <c r="L16" s="587"/>
      <c r="M16" s="587"/>
      <c r="N16" s="588"/>
      <c r="O16" s="589" t="s">
        <v>144</v>
      </c>
      <c r="P16" s="590"/>
      <c r="Q16" s="590"/>
      <c r="R16" s="590"/>
      <c r="S16" s="590"/>
      <c r="T16" s="590"/>
      <c r="U16" s="590"/>
      <c r="V16" s="591"/>
    </row>
    <row r="17" spans="1:22" s="206" customFormat="1" ht="30.75" thickBot="1" x14ac:dyDescent="0.3">
      <c r="A17" s="439" t="s">
        <v>88</v>
      </c>
      <c r="B17" s="251" t="s">
        <v>167</v>
      </c>
      <c r="C17" s="252" t="s">
        <v>128</v>
      </c>
      <c r="D17" s="253" t="s">
        <v>105</v>
      </c>
      <c r="E17" s="253" t="s">
        <v>173</v>
      </c>
      <c r="F17" s="254" t="s">
        <v>175</v>
      </c>
      <c r="G17" s="440" t="s">
        <v>132</v>
      </c>
      <c r="H17" s="441" t="s">
        <v>30</v>
      </c>
      <c r="I17" s="441" t="s">
        <v>135</v>
      </c>
      <c r="J17" s="441" t="s">
        <v>35</v>
      </c>
      <c r="K17" s="441" t="s">
        <v>138</v>
      </c>
      <c r="L17" s="441" t="s">
        <v>184</v>
      </c>
      <c r="M17" s="441" t="s">
        <v>140</v>
      </c>
      <c r="N17" s="442" t="s">
        <v>187</v>
      </c>
      <c r="O17" s="443" t="s">
        <v>132</v>
      </c>
      <c r="P17" s="444" t="s">
        <v>30</v>
      </c>
      <c r="Q17" s="444" t="s">
        <v>135</v>
      </c>
      <c r="R17" s="444" t="s">
        <v>35</v>
      </c>
      <c r="S17" s="444" t="s">
        <v>138</v>
      </c>
      <c r="T17" s="444" t="s">
        <v>184</v>
      </c>
      <c r="U17" s="444" t="s">
        <v>140</v>
      </c>
      <c r="V17" s="445" t="s">
        <v>187</v>
      </c>
    </row>
    <row r="18" spans="1:22" x14ac:dyDescent="0.25">
      <c r="A18" s="455" t="s">
        <v>259</v>
      </c>
      <c r="B18" s="207">
        <f>SUMIFS('Diags Raw Data'!$L$6:$L$5339,'Diags Raw Data'!$D$6:$D$5339,$A18,'Diags Raw Data'!$M$6:$M$5339,"Legacy")</f>
        <v>830</v>
      </c>
      <c r="C18" s="200">
        <f>SUMIFS('Diags Raw Data'!$R$6:$R$5339,'Diags Raw Data'!$D$6:$D$5339,$A18,'Diags Raw Data'!$M$6:$M$5339,"Legacy")</f>
        <v>826</v>
      </c>
      <c r="D18" s="200">
        <f>SUMIFS('Diags Raw Data'!$K$6:$K$5339,'Diags Raw Data'!$D$6:$D$5339,$A18,'Diags Raw Data'!$M$6:$M$5339,"Legacy")</f>
        <v>505</v>
      </c>
      <c r="E18" s="200">
        <f>SUMIFS('Diags Raw Data'!$O$6:$O$5339,'Diags Raw Data'!$D$6:$D$5339,$A18,'Diags Raw Data'!$M$6:$M$5339,"Legacy")</f>
        <v>426.5</v>
      </c>
      <c r="F18" s="204">
        <f>IF(NOT($B18=0), E18/$B18, "---")</f>
        <v>0.51385542168674703</v>
      </c>
      <c r="G18" s="458">
        <f>SUMIFS('Diags Raw Data'!$S$6:$S$5339,'Diags Raw Data'!$D$6:$D$5339,$A18,'Diags Raw Data'!$M$6:$M$5339,"Legacy")</f>
        <v>826</v>
      </c>
      <c r="H18" s="446">
        <f>SUMIFS('Diags Raw Data'!$T$6:$T$5339,'Diags Raw Data'!$D$6:$D$5339,$A18,'Diags Raw Data'!$M$6:$M$5339,"Legacy")</f>
        <v>807</v>
      </c>
      <c r="I18" s="447">
        <f>SUMIFS('Diags Raw Data'!$U$6:$U$5339,'Diags Raw Data'!$D$6:$D$5339,$A18,'Diags Raw Data'!$M$6:$M$5339,"Legacy")</f>
        <v>19</v>
      </c>
      <c r="J18" s="446">
        <f>SUMIFS('Diags Raw Data'!$V$6:$V$5339,'Diags Raw Data'!$D$6:$D$5339,$A18,'Diags Raw Data'!$M$6:$M$5339,"Legacy")</f>
        <v>0</v>
      </c>
      <c r="K18" s="447">
        <f>SUMIFS('Diags Raw Data'!$W$6:$W$5339,'Diags Raw Data'!$D$6:$D$5339,$A18,'Diags Raw Data'!$M$6:$M$5339,"Legacy")</f>
        <v>0</v>
      </c>
      <c r="L18" s="448">
        <f>IF(NOT($C18=0), G18/$C18, "---")</f>
        <v>1</v>
      </c>
      <c r="M18" s="449">
        <f>IF(NOT($G18=0), (H18+I18)/$G18, "---")</f>
        <v>1</v>
      </c>
      <c r="N18" s="459">
        <f>IF(NOT($C18=0), (H18+I18)/$C18, "---")</f>
        <v>1</v>
      </c>
      <c r="O18" s="457">
        <f>SUMIFS('Diags Raw Data'!$Z$6:$Z$5339,'Diags Raw Data'!$D$6:$D$5339,$A18,'Diags Raw Data'!$M$6:$M$5339,"Legacy")</f>
        <v>0</v>
      </c>
      <c r="P18" s="450">
        <f>SUMIFS('Diags Raw Data'!$AA$6:$AA$5339,'Diags Raw Data'!$D$6:$D$5339,$A18,'Diags Raw Data'!$M$6:$M$5339,"Legacy")</f>
        <v>0</v>
      </c>
      <c r="Q18" s="451">
        <f>SUMIFS('Diags Raw Data'!$AB$6:$AB$5339,'Diags Raw Data'!$D$6:$D$5339,$A18,'Diags Raw Data'!$M$6:$M$5339,"Legacy")</f>
        <v>0</v>
      </c>
      <c r="R18" s="450">
        <f>SUMIFS('Diags Raw Data'!$AC$6:$AC$5339,'Diags Raw Data'!$D$6:$D$5339,$A18,'Diags Raw Data'!$M$6:$M$5339,"Legacy")</f>
        <v>0</v>
      </c>
      <c r="S18" s="451">
        <f>SUMIFS('Diags Raw Data'!$AD$6:$AD$5339,'Diags Raw Data'!$D$6:$D$5339,$A18,'Diags Raw Data'!$M$6:$M$5339,"Legacy")</f>
        <v>0</v>
      </c>
      <c r="T18" s="452">
        <f>IF(NOT($B18=0), O18/$B18, "---")</f>
        <v>0</v>
      </c>
      <c r="U18" s="453" t="str">
        <f>IF(NOT($O18=0), (P18+Q18)/$O18, "---")</f>
        <v>---</v>
      </c>
      <c r="V18" s="454">
        <f>IF(NOT($B18=0), (P18+Q18)/$B18, "---")</f>
        <v>0</v>
      </c>
    </row>
    <row r="19" spans="1:22" x14ac:dyDescent="0.25">
      <c r="A19" s="456" t="s">
        <v>358</v>
      </c>
      <c r="B19" s="208">
        <f>SUMIFS('Diags Raw Data'!$L$6:$L$5339,'Diags Raw Data'!$D$6:$D$5339,$A19,'Diags Raw Data'!$M$6:$M$5339,"Legacy")</f>
        <v>558</v>
      </c>
      <c r="C19" s="201">
        <f>SUMIFS('Diags Raw Data'!$R$6:$R$5339,'Diags Raw Data'!$D$6:$D$5339,$A19,'Diags Raw Data'!$M$6:$M$5339,"Legacy")</f>
        <v>558</v>
      </c>
      <c r="D19" s="201">
        <f>SUMIFS('Diags Raw Data'!$K$6:$K$5339,'Diags Raw Data'!$D$6:$D$5339,$A19,'Diags Raw Data'!$M$6:$M$5339,"Legacy")</f>
        <v>272</v>
      </c>
      <c r="E19" s="201">
        <f>SUMIFS('Diags Raw Data'!$O$6:$O$5339,'Diags Raw Data'!$D$6:$D$5339,$A19,'Diags Raw Data'!$M$6:$M$5339,"Legacy")</f>
        <v>334</v>
      </c>
      <c r="F19" s="205">
        <f>IF(NOT($B19=0), E19/$B19, "---")</f>
        <v>0.59856630824372759</v>
      </c>
      <c r="G19" s="197">
        <f>SUMIFS('Diags Raw Data'!$S$6:$S$5339,'Diags Raw Data'!$D$6:$D$5339,$A19,'Diags Raw Data'!$M$6:$M$5339,"Legacy")</f>
        <v>558</v>
      </c>
      <c r="H19" s="193">
        <f>SUMIFS('Diags Raw Data'!$T$6:$T$5339,'Diags Raw Data'!$D$6:$D$5339,$A19,'Diags Raw Data'!$M$6:$M$5339,"Legacy")</f>
        <v>548</v>
      </c>
      <c r="I19" s="194">
        <f>SUMIFS('Diags Raw Data'!$U$6:$U$5339,'Diags Raw Data'!$D$6:$D$5339,$A19,'Diags Raw Data'!$M$6:$M$5339,"Legacy")</f>
        <v>10</v>
      </c>
      <c r="J19" s="193">
        <f>SUMIFS('Diags Raw Data'!$V$6:$V$5339,'Diags Raw Data'!$D$6:$D$5339,$A19,'Diags Raw Data'!$M$6:$M$5339,"Legacy")</f>
        <v>0</v>
      </c>
      <c r="K19" s="194">
        <f>SUMIFS('Diags Raw Data'!$W$6:$W$5339,'Diags Raw Data'!$D$6:$D$5339,$A19,'Diags Raw Data'!$M$6:$M$5339,"Legacy")</f>
        <v>0</v>
      </c>
      <c r="L19" s="202">
        <f>IF(NOT($C19=0), G19/$C19, "---")</f>
        <v>1</v>
      </c>
      <c r="M19" s="195">
        <f>IF(NOT($G19=0), (H19+I19)/$G19, "---")</f>
        <v>1</v>
      </c>
      <c r="N19" s="199">
        <f>IF(NOT($C19=0), (H19+I19)/$C19, "---")</f>
        <v>1</v>
      </c>
      <c r="O19" s="188">
        <f>SUMIFS('Diags Raw Data'!$Z$6:$Z$5339,'Diags Raw Data'!$D$6:$D$5339,$A19,'Diags Raw Data'!$M$6:$M$5339,"Legacy")</f>
        <v>0</v>
      </c>
      <c r="P19" s="185">
        <f>SUMIFS('Diags Raw Data'!$AA$6:$AA$5339,'Diags Raw Data'!$D$6:$D$5339,$A19,'Diags Raw Data'!$M$6:$M$5339,"Legacy")</f>
        <v>0</v>
      </c>
      <c r="Q19" s="187">
        <f>SUMIFS('Diags Raw Data'!$AB$6:$AB$5339,'Diags Raw Data'!$D$6:$D$5339,$A19,'Diags Raw Data'!$M$6:$M$5339,"Legacy")</f>
        <v>0</v>
      </c>
      <c r="R19" s="185">
        <f>SUMIFS('Diags Raw Data'!$AC$6:$AC$5339,'Diags Raw Data'!$D$6:$D$5339,$A19,'Diags Raw Data'!$M$6:$M$5339,"Legacy")</f>
        <v>0</v>
      </c>
      <c r="S19" s="187">
        <f>SUMIFS('Diags Raw Data'!$AD$6:$AD$5339,'Diags Raw Data'!$D$6:$D$5339,$A19,'Diags Raw Data'!$M$6:$M$5339,"Legacy")</f>
        <v>0</v>
      </c>
      <c r="T19" s="186">
        <f>IF(NOT($B19=0), O19/$B19, "---")</f>
        <v>0</v>
      </c>
      <c r="U19" s="196" t="str">
        <f>IF(NOT($O19=0), (P19+Q19)/$O19, "---")</f>
        <v>---</v>
      </c>
      <c r="V19" s="198">
        <f>IF(NOT($B19=0), (P19+Q19)/$B19, "---")</f>
        <v>0</v>
      </c>
    </row>
    <row r="20" spans="1:22" ht="15.75" thickBot="1" x14ac:dyDescent="0.3">
      <c r="A20" s="460" t="s">
        <v>909</v>
      </c>
      <c r="B20" s="461">
        <f>SUMIFS('Diags Raw Data'!$L$6:$L$5339,'Diags Raw Data'!$D$6:$D$5339,$A20,'Diags Raw Data'!$M$6:$M$5339,"Legacy")</f>
        <v>283</v>
      </c>
      <c r="C20" s="462">
        <f>SUMIFS('Diags Raw Data'!$R$6:$R$5339,'Diags Raw Data'!$D$6:$D$5339,$A20,'Diags Raw Data'!$M$6:$M$5339,"Legacy")</f>
        <v>283</v>
      </c>
      <c r="D20" s="462">
        <f>SUMIFS('Diags Raw Data'!$K$6:$K$5339,'Diags Raw Data'!$D$6:$D$5339,$A20,'Diags Raw Data'!$M$6:$M$5339,"Legacy")</f>
        <v>134</v>
      </c>
      <c r="E20" s="462">
        <f>SUMIFS('Diags Raw Data'!$O$6:$O$5339,'Diags Raw Data'!$D$6:$D$5339,$A20,'Diags Raw Data'!$M$6:$M$5339,"Legacy")</f>
        <v>139</v>
      </c>
      <c r="F20" s="463">
        <f>IF(NOT($B20=0), E20/$B20, "---")</f>
        <v>0.49116607773851589</v>
      </c>
      <c r="G20" s="464">
        <f>SUMIFS('Diags Raw Data'!$S$6:$S$5339,'Diags Raw Data'!$D$6:$D$5339,$A20,'Diags Raw Data'!$M$6:$M$5339,"Legacy")</f>
        <v>283</v>
      </c>
      <c r="H20" s="465">
        <f>SUMIFS('Diags Raw Data'!$T$6:$T$5339,'Diags Raw Data'!$D$6:$D$5339,$A20,'Diags Raw Data'!$M$6:$M$5339,"Legacy")</f>
        <v>283</v>
      </c>
      <c r="I20" s="466">
        <f>SUMIFS('Diags Raw Data'!$U$6:$U$5339,'Diags Raw Data'!$D$6:$D$5339,$A20,'Diags Raw Data'!$M$6:$M$5339,"Legacy")</f>
        <v>0</v>
      </c>
      <c r="J20" s="465">
        <f>SUMIFS('Diags Raw Data'!$V$6:$V$5339,'Diags Raw Data'!$D$6:$D$5339,$A20,'Diags Raw Data'!$M$6:$M$5339,"Legacy")</f>
        <v>0</v>
      </c>
      <c r="K20" s="466">
        <f>SUMIFS('Diags Raw Data'!$W$6:$W$5339,'Diags Raw Data'!$D$6:$D$5339,$A20,'Diags Raw Data'!$M$6:$M$5339,"Legacy")</f>
        <v>0</v>
      </c>
      <c r="L20" s="467">
        <f>IF(NOT($C20=0), G20/$C20, "---")</f>
        <v>1</v>
      </c>
      <c r="M20" s="468">
        <f>IF(NOT($G20=0), (H20+I20)/$G20, "---")</f>
        <v>1</v>
      </c>
      <c r="N20" s="469">
        <f>IF(NOT($C20=0), (H20+I20)/$C20, "---")</f>
        <v>1</v>
      </c>
      <c r="O20" s="470">
        <f>SUMIFS('Diags Raw Data'!$Z$6:$Z$5339,'Diags Raw Data'!$D$6:$D$5339,$A20,'Diags Raw Data'!$M$6:$M$5339,"Legacy")</f>
        <v>0</v>
      </c>
      <c r="P20" s="471">
        <f>SUMIFS('Diags Raw Data'!$AA$6:$AA$5339,'Diags Raw Data'!$D$6:$D$5339,$A20,'Diags Raw Data'!$M$6:$M$5339,"Legacy")</f>
        <v>0</v>
      </c>
      <c r="Q20" s="472">
        <f>SUMIFS('Diags Raw Data'!$AB$6:$AB$5339,'Diags Raw Data'!$D$6:$D$5339,$A20,'Diags Raw Data'!$M$6:$M$5339,"Legacy")</f>
        <v>0</v>
      </c>
      <c r="R20" s="471">
        <f>SUMIFS('Diags Raw Data'!$AC$6:$AC$5339,'Diags Raw Data'!$D$6:$D$5339,$A20,'Diags Raw Data'!$M$6:$M$5339,"Legacy")</f>
        <v>0</v>
      </c>
      <c r="S20" s="472">
        <f>SUMIFS('Diags Raw Data'!$AD$6:$AD$5339,'Diags Raw Data'!$D$6:$D$5339,$A20,'Diags Raw Data'!$M$6:$M$5339,"Legacy")</f>
        <v>0</v>
      </c>
      <c r="T20" s="473">
        <f>IF(NOT($B20=0), O20/$B20, "---")</f>
        <v>0</v>
      </c>
      <c r="U20" s="474" t="str">
        <f>IF(NOT($O20=0), (P20+Q20)/$O20, "---")</f>
        <v>---</v>
      </c>
      <c r="V20" s="475">
        <f>IF(NOT($B20=0), (P20+Q20)/$B20, "---")</f>
        <v>0</v>
      </c>
    </row>
    <row r="21" spans="1:22" ht="16.5" thickBot="1" x14ac:dyDescent="0.3">
      <c r="A21" s="211" t="s">
        <v>1141</v>
      </c>
      <c r="B21" s="476">
        <f>SUM(B18:B20)</f>
        <v>1671</v>
      </c>
      <c r="C21" s="477">
        <f t="shared" ref="C21:E21" si="12">SUM(C18:C20)</f>
        <v>1667</v>
      </c>
      <c r="D21" s="477">
        <f t="shared" si="12"/>
        <v>911</v>
      </c>
      <c r="E21" s="477">
        <f t="shared" si="12"/>
        <v>899.5</v>
      </c>
      <c r="F21" s="478" cm="1">
        <f t="array" ref="F21">SUMPRODUCT(--(ISNUMBER(SEARCH("Legacy",'Diags Raw Data'!$M$6:$M$5339))),'Diags Raw Data'!$K$6:$K$5339,'Diags Raw Data'!$P$6:$P$5339)/D21</f>
        <v>0.8638858397365532</v>
      </c>
      <c r="G21" s="479">
        <f>SUM(G18:G20)</f>
        <v>1667</v>
      </c>
      <c r="H21" s="480">
        <f t="shared" ref="H21:K21" si="13">SUM(H18:H20)</f>
        <v>1638</v>
      </c>
      <c r="I21" s="480">
        <f t="shared" si="13"/>
        <v>29</v>
      </c>
      <c r="J21" s="480">
        <f t="shared" si="13"/>
        <v>0</v>
      </c>
      <c r="K21" s="480">
        <f t="shared" si="13"/>
        <v>0</v>
      </c>
      <c r="L21" s="481">
        <f>IF(NOT($C21=0), G21/$C21, "---")</f>
        <v>1</v>
      </c>
      <c r="M21" s="482">
        <f t="shared" ref="M21" si="14">IF(NOT($G21=0), (H21+I21)/$G21, "---")</f>
        <v>1</v>
      </c>
      <c r="N21" s="483">
        <f t="shared" ref="N21" si="15">IF(NOT($C21=0), (H21+I21)/$C21, "---")</f>
        <v>1</v>
      </c>
      <c r="O21" s="484">
        <f>SUM(O18:O20)</f>
        <v>0</v>
      </c>
      <c r="P21" s="485">
        <f t="shared" ref="P21:S21" si="16">SUM(P18:P20)</f>
        <v>0</v>
      </c>
      <c r="Q21" s="485">
        <f t="shared" si="16"/>
        <v>0</v>
      </c>
      <c r="R21" s="485">
        <f t="shared" si="16"/>
        <v>0</v>
      </c>
      <c r="S21" s="485">
        <f t="shared" si="16"/>
        <v>0</v>
      </c>
      <c r="T21" s="486">
        <f>IF(NOT($B21=0), O21/$B21, "---")</f>
        <v>0</v>
      </c>
      <c r="U21" s="487" t="str">
        <f t="shared" ref="U21" si="17">IF(NOT($O21=0), (P21+Q21)/$O21, "---")</f>
        <v>---</v>
      </c>
      <c r="V21" s="488">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2"/>
    </row>
    <row r="28" spans="1:22" x14ac:dyDescent="0.25">
      <c r="F28" s="311"/>
    </row>
    <row r="29" spans="1:22" x14ac:dyDescent="0.25">
      <c r="F29" s="31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595" t="s">
        <v>1142</v>
      </c>
      <c r="B1" s="596"/>
      <c r="C1" s="596"/>
      <c r="D1" s="596"/>
      <c r="E1" s="596"/>
      <c r="F1" s="596"/>
      <c r="G1" s="596"/>
      <c r="H1" s="596"/>
      <c r="I1" s="597"/>
    </row>
    <row r="2" spans="1:9" s="79" customFormat="1" ht="15.75" thickBot="1" x14ac:dyDescent="0.3">
      <c r="A2" s="373" t="s">
        <v>77</v>
      </c>
      <c r="B2" s="374" t="s">
        <v>81</v>
      </c>
      <c r="C2" s="375" t="s">
        <v>96</v>
      </c>
      <c r="D2" s="375" t="s">
        <v>202</v>
      </c>
      <c r="E2" s="376" t="s">
        <v>1</v>
      </c>
    </row>
    <row r="3" spans="1:9" ht="45.75" thickBot="1" x14ac:dyDescent="0.3">
      <c r="A3" s="419" t="s">
        <v>1143</v>
      </c>
      <c r="B3" s="425" t="s">
        <v>1144</v>
      </c>
      <c r="C3" s="385" t="s">
        <v>1124</v>
      </c>
      <c r="D3" s="279" t="s">
        <v>34</v>
      </c>
      <c r="E3" s="358" t="s">
        <v>33</v>
      </c>
      <c r="F3" s="206" t="s">
        <v>1145</v>
      </c>
      <c r="G3" s="229" t="s">
        <v>77</v>
      </c>
      <c r="H3" s="230" t="s">
        <v>1146</v>
      </c>
      <c r="I3" s="386">
        <v>176</v>
      </c>
    </row>
    <row r="4" spans="1:9" ht="15.75" thickBot="1" x14ac:dyDescent="0.3">
      <c r="A4" s="419" t="s">
        <v>1147</v>
      </c>
      <c r="B4" s="426" t="s">
        <v>1148</v>
      </c>
      <c r="C4" s="385" t="s">
        <v>1124</v>
      </c>
      <c r="D4" s="262" t="s">
        <v>34</v>
      </c>
      <c r="E4" s="362" t="s">
        <v>33</v>
      </c>
      <c r="G4" s="508" t="s">
        <v>96</v>
      </c>
      <c r="H4" s="231" t="s">
        <v>1149</v>
      </c>
      <c r="I4" s="387">
        <f>COUNTIFS($C3:$C4067,"P1")</f>
        <v>7</v>
      </c>
    </row>
    <row r="5" spans="1:9" ht="15.75" thickBot="1" x14ac:dyDescent="0.3">
      <c r="A5" s="419" t="s">
        <v>1150</v>
      </c>
      <c r="B5" s="426" t="s">
        <v>646</v>
      </c>
      <c r="C5" s="385" t="s">
        <v>619</v>
      </c>
      <c r="D5" s="262" t="s">
        <v>34</v>
      </c>
      <c r="E5" s="362" t="s">
        <v>38</v>
      </c>
      <c r="G5" s="509"/>
      <c r="H5" s="232" t="s">
        <v>1151</v>
      </c>
      <c r="I5" s="388">
        <f>COUNTIFS($C3:$C4067,"P2")</f>
        <v>174</v>
      </c>
    </row>
    <row r="6" spans="1:9" ht="15.75" thickBot="1" x14ac:dyDescent="0.3">
      <c r="A6" s="419" t="s">
        <v>1152</v>
      </c>
      <c r="B6" s="426" t="s">
        <v>1122</v>
      </c>
      <c r="C6" s="385" t="s">
        <v>1124</v>
      </c>
      <c r="D6" s="262" t="s">
        <v>34</v>
      </c>
      <c r="E6" s="362" t="s">
        <v>33</v>
      </c>
      <c r="G6" s="521"/>
      <c r="H6" s="233" t="s">
        <v>1153</v>
      </c>
      <c r="I6" s="389">
        <f>COUNTIFS($C3:$C4067,"P3")</f>
        <v>2</v>
      </c>
    </row>
    <row r="7" spans="1:9" ht="15.75" thickBot="1" x14ac:dyDescent="0.3">
      <c r="A7" s="419" t="s">
        <v>1154</v>
      </c>
      <c r="B7" s="426" t="s">
        <v>1155</v>
      </c>
      <c r="C7" s="385" t="s">
        <v>44</v>
      </c>
      <c r="D7" s="262" t="s">
        <v>44</v>
      </c>
      <c r="E7" s="362" t="s">
        <v>33</v>
      </c>
      <c r="F7" t="s">
        <v>1156</v>
      </c>
      <c r="G7" s="592" t="s">
        <v>202</v>
      </c>
      <c r="H7" s="231" t="s">
        <v>1157</v>
      </c>
      <c r="I7" s="387">
        <f>COUNTIFS($D3:$D4067,"Diagnostics")</f>
        <v>142</v>
      </c>
    </row>
    <row r="8" spans="1:9" ht="15.75" thickBot="1" x14ac:dyDescent="0.3">
      <c r="A8" s="419" t="s">
        <v>1158</v>
      </c>
      <c r="B8" s="426" t="s">
        <v>1159</v>
      </c>
      <c r="C8" s="385" t="s">
        <v>44</v>
      </c>
      <c r="D8" s="262" t="s">
        <v>44</v>
      </c>
      <c r="E8" s="362" t="s">
        <v>33</v>
      </c>
      <c r="G8" s="593"/>
      <c r="H8" s="232" t="s">
        <v>1160</v>
      </c>
      <c r="I8" s="388">
        <f>COUNTIFS($D3:$D4067,"Driver")</f>
        <v>3</v>
      </c>
    </row>
    <row r="9" spans="1:9" ht="15.75" thickBot="1" x14ac:dyDescent="0.3">
      <c r="A9" s="419" t="s">
        <v>1161</v>
      </c>
      <c r="B9" s="426" t="s">
        <v>1162</v>
      </c>
      <c r="C9" s="385" t="s">
        <v>44</v>
      </c>
      <c r="D9" s="262" t="s">
        <v>44</v>
      </c>
      <c r="E9" s="362" t="s">
        <v>33</v>
      </c>
      <c r="G9" s="593"/>
      <c r="H9" s="232" t="s">
        <v>1163</v>
      </c>
      <c r="I9" s="388">
        <f>COUNTIFS($D3:$D4067,"IPSE")</f>
        <v>39</v>
      </c>
    </row>
    <row r="10" spans="1:9" ht="15.75" thickBot="1" x14ac:dyDescent="0.3">
      <c r="A10" s="419" t="s">
        <v>1164</v>
      </c>
      <c r="B10" s="426" t="s">
        <v>1165</v>
      </c>
      <c r="C10" s="385" t="s">
        <v>1124</v>
      </c>
      <c r="D10" s="262" t="s">
        <v>43</v>
      </c>
      <c r="E10" s="362" t="s">
        <v>33</v>
      </c>
      <c r="G10" s="594"/>
      <c r="H10" s="233" t="s">
        <v>1166</v>
      </c>
      <c r="I10" s="389">
        <f>COUNTIFS($D3:$D4067,"N/A")</f>
        <v>91</v>
      </c>
    </row>
    <row r="11" spans="1:9" ht="15.75" thickBot="1" x14ac:dyDescent="0.3">
      <c r="A11" s="419" t="s">
        <v>1085</v>
      </c>
      <c r="B11" s="499" t="s">
        <v>1167</v>
      </c>
      <c r="C11" s="385" t="s">
        <v>1124</v>
      </c>
      <c r="D11" s="262" t="s">
        <v>34</v>
      </c>
      <c r="E11" s="362" t="s">
        <v>33</v>
      </c>
      <c r="G11" s="592" t="s">
        <v>1</v>
      </c>
      <c r="H11" s="231" t="s">
        <v>1168</v>
      </c>
      <c r="I11" s="387">
        <f>COUNTIFS($E3:$E4067,"Legacy")</f>
        <v>266</v>
      </c>
    </row>
    <row r="12" spans="1:9" ht="15.75" thickBot="1" x14ac:dyDescent="0.3">
      <c r="A12" s="419" t="s">
        <v>1169</v>
      </c>
      <c r="B12" s="499" t="s">
        <v>1170</v>
      </c>
      <c r="C12" s="385" t="s">
        <v>1124</v>
      </c>
      <c r="D12" s="262" t="s">
        <v>43</v>
      </c>
      <c r="E12" s="362" t="s">
        <v>33</v>
      </c>
      <c r="G12" s="593"/>
      <c r="H12" s="232" t="s">
        <v>1171</v>
      </c>
      <c r="I12" s="388">
        <f>COUNTIFS($E3:$E4067,"Delta")</f>
        <v>8</v>
      </c>
    </row>
    <row r="13" spans="1:9" ht="15.75" thickBot="1" x14ac:dyDescent="0.3">
      <c r="A13" s="419" t="s">
        <v>1172</v>
      </c>
      <c r="B13" s="499" t="s">
        <v>1173</v>
      </c>
      <c r="C13" s="385" t="s">
        <v>1124</v>
      </c>
      <c r="D13" s="262" t="s">
        <v>43</v>
      </c>
      <c r="E13" s="362" t="s">
        <v>33</v>
      </c>
      <c r="G13" s="594"/>
      <c r="H13" s="233" t="s">
        <v>1174</v>
      </c>
      <c r="I13" s="389">
        <f>COUNTIFS($E3:$E4067,"New")</f>
        <v>1</v>
      </c>
    </row>
    <row r="14" spans="1:9" ht="15.75" thickBot="1" x14ac:dyDescent="0.3">
      <c r="A14" s="419" t="s">
        <v>1175</v>
      </c>
      <c r="B14" s="499" t="s">
        <v>1176</v>
      </c>
      <c r="C14" s="385" t="s">
        <v>1124</v>
      </c>
      <c r="D14" s="262" t="s">
        <v>34</v>
      </c>
      <c r="E14" s="362" t="s">
        <v>33</v>
      </c>
    </row>
    <row r="15" spans="1:9" ht="15.75" thickBot="1" x14ac:dyDescent="0.3">
      <c r="A15" s="419" t="s">
        <v>1177</v>
      </c>
      <c r="B15" s="499" t="s">
        <v>1178</v>
      </c>
      <c r="C15" s="385" t="s">
        <v>1124</v>
      </c>
      <c r="D15" s="262" t="s">
        <v>44</v>
      </c>
      <c r="E15" s="362" t="s">
        <v>33</v>
      </c>
    </row>
    <row r="16" spans="1:9" ht="30.75" thickBot="1" x14ac:dyDescent="0.3">
      <c r="A16" s="419" t="s">
        <v>1179</v>
      </c>
      <c r="B16" s="499" t="s">
        <v>1180</v>
      </c>
      <c r="C16" s="385" t="s">
        <v>1124</v>
      </c>
      <c r="D16" s="262" t="s">
        <v>44</v>
      </c>
      <c r="E16" s="362" t="s">
        <v>33</v>
      </c>
    </row>
    <row r="17" spans="1:6" ht="15.75" thickBot="1" x14ac:dyDescent="0.3">
      <c r="A17" s="419" t="s">
        <v>1181</v>
      </c>
      <c r="B17" s="499" t="s">
        <v>1182</v>
      </c>
      <c r="C17" s="385" t="s">
        <v>1124</v>
      </c>
      <c r="D17" s="262" t="s">
        <v>43</v>
      </c>
      <c r="E17" s="362" t="s">
        <v>33</v>
      </c>
      <c r="F17" t="s">
        <v>1183</v>
      </c>
    </row>
    <row r="18" spans="1:6" ht="30.75" thickBot="1" x14ac:dyDescent="0.3">
      <c r="A18" s="419" t="s">
        <v>1184</v>
      </c>
      <c r="B18" s="499" t="s">
        <v>1185</v>
      </c>
      <c r="C18" s="385" t="s">
        <v>44</v>
      </c>
      <c r="D18" s="262" t="s">
        <v>44</v>
      </c>
      <c r="E18" s="362" t="s">
        <v>33</v>
      </c>
    </row>
    <row r="19" spans="1:6" ht="15.75" thickBot="1" x14ac:dyDescent="0.3">
      <c r="A19" s="419" t="s">
        <v>1186</v>
      </c>
      <c r="B19" s="499" t="s">
        <v>1187</v>
      </c>
      <c r="C19" s="385" t="s">
        <v>44</v>
      </c>
      <c r="D19" s="262" t="s">
        <v>34</v>
      </c>
      <c r="E19" s="362" t="s">
        <v>33</v>
      </c>
      <c r="F19" t="s">
        <v>1188</v>
      </c>
    </row>
    <row r="20" spans="1:6" ht="15.75" thickBot="1" x14ac:dyDescent="0.3">
      <c r="A20" s="419" t="s">
        <v>1189</v>
      </c>
      <c r="B20" s="499" t="s">
        <v>1190</v>
      </c>
      <c r="C20" s="385" t="s">
        <v>44</v>
      </c>
      <c r="D20" s="262" t="s">
        <v>43</v>
      </c>
      <c r="E20" s="362" t="s">
        <v>33</v>
      </c>
      <c r="F20" t="s">
        <v>1188</v>
      </c>
    </row>
    <row r="21" spans="1:6" ht="30.75" thickBot="1" x14ac:dyDescent="0.3">
      <c r="A21" s="419" t="s">
        <v>1191</v>
      </c>
      <c r="B21" s="499" t="s">
        <v>1192</v>
      </c>
      <c r="C21" s="385" t="s">
        <v>44</v>
      </c>
      <c r="D21" s="262" t="s">
        <v>44</v>
      </c>
      <c r="E21" s="362" t="s">
        <v>33</v>
      </c>
      <c r="F21" t="s">
        <v>1188</v>
      </c>
    </row>
    <row r="22" spans="1:6" ht="15.75" thickBot="1" x14ac:dyDescent="0.3">
      <c r="A22" s="419" t="s">
        <v>1193</v>
      </c>
      <c r="B22" s="499" t="s">
        <v>1194</v>
      </c>
      <c r="C22" s="385" t="s">
        <v>44</v>
      </c>
      <c r="D22" s="262" t="s">
        <v>44</v>
      </c>
      <c r="E22" s="362" t="s">
        <v>33</v>
      </c>
      <c r="F22" t="s">
        <v>1188</v>
      </c>
    </row>
    <row r="23" spans="1:6" ht="15.75" thickBot="1" x14ac:dyDescent="0.3">
      <c r="A23" s="419" t="s">
        <v>1195</v>
      </c>
      <c r="B23" s="499" t="s">
        <v>1196</v>
      </c>
      <c r="C23" s="385" t="s">
        <v>44</v>
      </c>
      <c r="D23" s="262" t="s">
        <v>39</v>
      </c>
      <c r="E23" s="362" t="s">
        <v>33</v>
      </c>
      <c r="F23" t="s">
        <v>1188</v>
      </c>
    </row>
    <row r="24" spans="1:6" ht="30.75" thickBot="1" x14ac:dyDescent="0.3">
      <c r="A24" s="419" t="s">
        <v>1197</v>
      </c>
      <c r="B24" s="499" t="s">
        <v>1198</v>
      </c>
      <c r="C24" s="385" t="s">
        <v>44</v>
      </c>
      <c r="D24" s="262" t="s">
        <v>39</v>
      </c>
      <c r="E24" s="362" t="s">
        <v>33</v>
      </c>
      <c r="F24" t="s">
        <v>1188</v>
      </c>
    </row>
    <row r="25" spans="1:6" ht="15.75" thickBot="1" x14ac:dyDescent="0.3">
      <c r="A25" s="419" t="s">
        <v>1199</v>
      </c>
      <c r="B25" s="499" t="s">
        <v>1200</v>
      </c>
      <c r="C25" s="385" t="s">
        <v>44</v>
      </c>
      <c r="D25" s="262" t="s">
        <v>43</v>
      </c>
      <c r="E25" s="362" t="s">
        <v>33</v>
      </c>
      <c r="F25" t="s">
        <v>1188</v>
      </c>
    </row>
    <row r="26" spans="1:6" ht="15.75" thickBot="1" x14ac:dyDescent="0.3">
      <c r="A26" s="419" t="s">
        <v>1201</v>
      </c>
      <c r="B26" s="499" t="s">
        <v>1202</v>
      </c>
      <c r="C26" s="385" t="s">
        <v>44</v>
      </c>
      <c r="D26" s="262" t="s">
        <v>43</v>
      </c>
      <c r="E26" s="362" t="s">
        <v>33</v>
      </c>
      <c r="F26" t="s">
        <v>1188</v>
      </c>
    </row>
    <row r="27" spans="1:6" ht="30.75" thickBot="1" x14ac:dyDescent="0.3">
      <c r="A27" s="419" t="s">
        <v>1203</v>
      </c>
      <c r="B27" s="499" t="s">
        <v>1204</v>
      </c>
      <c r="C27" s="385" t="s">
        <v>44</v>
      </c>
      <c r="D27" s="262" t="s">
        <v>34</v>
      </c>
      <c r="E27" s="362" t="s">
        <v>33</v>
      </c>
      <c r="F27" t="s">
        <v>1188</v>
      </c>
    </row>
    <row r="28" spans="1:6" ht="15.75" thickBot="1" x14ac:dyDescent="0.3">
      <c r="A28" s="419" t="s">
        <v>1205</v>
      </c>
      <c r="B28" s="499" t="s">
        <v>1206</v>
      </c>
      <c r="C28" s="385" t="s">
        <v>44</v>
      </c>
      <c r="D28" s="262" t="s">
        <v>34</v>
      </c>
      <c r="E28" s="362" t="s">
        <v>33</v>
      </c>
      <c r="F28" t="s">
        <v>1188</v>
      </c>
    </row>
    <row r="29" spans="1:6" ht="15.75" thickBot="1" x14ac:dyDescent="0.3">
      <c r="A29" s="419" t="s">
        <v>1207</v>
      </c>
      <c r="B29" s="499" t="s">
        <v>1208</v>
      </c>
      <c r="C29" s="385" t="s">
        <v>44</v>
      </c>
      <c r="D29" s="262" t="s">
        <v>44</v>
      </c>
      <c r="E29" s="362" t="s">
        <v>33</v>
      </c>
      <c r="F29" t="s">
        <v>1188</v>
      </c>
    </row>
    <row r="30" spans="1:6" ht="15.75" thickBot="1" x14ac:dyDescent="0.3">
      <c r="A30" s="419" t="s">
        <v>1209</v>
      </c>
      <c r="B30" s="499" t="s">
        <v>1210</v>
      </c>
      <c r="C30" s="385" t="s">
        <v>44</v>
      </c>
      <c r="D30" s="262" t="s">
        <v>44</v>
      </c>
      <c r="E30" s="362" t="s">
        <v>33</v>
      </c>
      <c r="F30" t="s">
        <v>1188</v>
      </c>
    </row>
    <row r="31" spans="1:6" ht="15.75" thickBot="1" x14ac:dyDescent="0.3">
      <c r="A31" s="419" t="s">
        <v>1211</v>
      </c>
      <c r="B31" s="499" t="s">
        <v>1212</v>
      </c>
      <c r="C31" s="385" t="s">
        <v>44</v>
      </c>
      <c r="D31" s="262" t="s">
        <v>44</v>
      </c>
      <c r="E31" s="362" t="s">
        <v>33</v>
      </c>
      <c r="F31" t="s">
        <v>1188</v>
      </c>
    </row>
    <row r="32" spans="1:6" ht="15.75" thickBot="1" x14ac:dyDescent="0.3">
      <c r="A32" s="419" t="s">
        <v>1213</v>
      </c>
      <c r="B32" s="499" t="s">
        <v>1214</v>
      </c>
      <c r="C32" s="385" t="s">
        <v>44</v>
      </c>
      <c r="D32" s="262" t="s">
        <v>44</v>
      </c>
      <c r="E32" s="362" t="s">
        <v>33</v>
      </c>
    </row>
    <row r="33" spans="1:6" ht="15.75" thickBot="1" x14ac:dyDescent="0.3">
      <c r="A33" s="419" t="s">
        <v>1215</v>
      </c>
      <c r="B33" s="499" t="s">
        <v>1216</v>
      </c>
      <c r="C33" s="385" t="s">
        <v>44</v>
      </c>
      <c r="D33" s="262" t="s">
        <v>44</v>
      </c>
      <c r="E33" s="362" t="s">
        <v>33</v>
      </c>
    </row>
    <row r="34" spans="1:6" ht="15.75" thickBot="1" x14ac:dyDescent="0.3">
      <c r="A34" s="419" t="s">
        <v>1217</v>
      </c>
      <c r="B34" s="499" t="s">
        <v>1218</v>
      </c>
      <c r="C34" s="385" t="s">
        <v>44</v>
      </c>
      <c r="D34" s="262" t="s">
        <v>44</v>
      </c>
      <c r="E34" s="362" t="s">
        <v>33</v>
      </c>
    </row>
    <row r="35" spans="1:6" ht="15.75" thickBot="1" x14ac:dyDescent="0.3">
      <c r="A35" s="419" t="s">
        <v>1219</v>
      </c>
      <c r="B35" s="499" t="s">
        <v>1220</v>
      </c>
      <c r="C35" s="385" t="s">
        <v>44</v>
      </c>
      <c r="D35" s="262" t="s">
        <v>34</v>
      </c>
      <c r="E35" s="362" t="s">
        <v>33</v>
      </c>
    </row>
    <row r="36" spans="1:6" ht="15.75" thickBot="1" x14ac:dyDescent="0.3">
      <c r="A36" s="419" t="s">
        <v>1221</v>
      </c>
      <c r="B36" s="499" t="s">
        <v>1222</v>
      </c>
      <c r="C36" s="385" t="s">
        <v>619</v>
      </c>
      <c r="D36" s="262" t="s">
        <v>34</v>
      </c>
      <c r="E36" s="362" t="s">
        <v>38</v>
      </c>
    </row>
    <row r="37" spans="1:6" ht="30.75" thickBot="1" x14ac:dyDescent="0.3">
      <c r="A37" s="419" t="s">
        <v>1223</v>
      </c>
      <c r="B37" s="499" t="s">
        <v>1224</v>
      </c>
      <c r="C37" s="385" t="s">
        <v>44</v>
      </c>
      <c r="D37" s="262" t="s">
        <v>44</v>
      </c>
      <c r="E37" s="362" t="s">
        <v>33</v>
      </c>
    </row>
    <row r="38" spans="1:6" ht="15.75" thickBot="1" x14ac:dyDescent="0.3">
      <c r="A38" s="419" t="s">
        <v>1225</v>
      </c>
      <c r="B38" s="499" t="s">
        <v>1226</v>
      </c>
      <c r="C38" s="385" t="s">
        <v>44</v>
      </c>
      <c r="D38" s="262" t="s">
        <v>44</v>
      </c>
      <c r="E38" s="362" t="s">
        <v>33</v>
      </c>
    </row>
    <row r="39" spans="1:6" ht="15.75" thickBot="1" x14ac:dyDescent="0.3">
      <c r="A39" s="419" t="s">
        <v>1227</v>
      </c>
      <c r="B39" s="499" t="s">
        <v>1228</v>
      </c>
      <c r="C39" s="385" t="s">
        <v>44</v>
      </c>
      <c r="D39" s="262" t="s">
        <v>44</v>
      </c>
      <c r="E39" s="362" t="s">
        <v>33</v>
      </c>
    </row>
    <row r="40" spans="1:6" ht="15.75" thickBot="1" x14ac:dyDescent="0.3">
      <c r="A40" s="419" t="s">
        <v>1229</v>
      </c>
      <c r="B40" s="426" t="s">
        <v>1230</v>
      </c>
      <c r="C40" s="385" t="s">
        <v>1124</v>
      </c>
      <c r="D40" s="262" t="s">
        <v>34</v>
      </c>
      <c r="E40" s="362" t="s">
        <v>33</v>
      </c>
    </row>
    <row r="41" spans="1:6" ht="15.75" thickBot="1" x14ac:dyDescent="0.3">
      <c r="A41" s="419" t="s">
        <v>1231</v>
      </c>
      <c r="B41" s="499" t="s">
        <v>1232</v>
      </c>
      <c r="C41" s="385" t="s">
        <v>44</v>
      </c>
      <c r="D41" s="262" t="s">
        <v>44</v>
      </c>
      <c r="E41" s="362" t="s">
        <v>33</v>
      </c>
    </row>
    <row r="42" spans="1:6" ht="30.75" thickBot="1" x14ac:dyDescent="0.3">
      <c r="A42" s="419" t="s">
        <v>1233</v>
      </c>
      <c r="B42" s="499" t="s">
        <v>494</v>
      </c>
      <c r="C42" s="385" t="s">
        <v>1124</v>
      </c>
      <c r="D42" s="262" t="s">
        <v>34</v>
      </c>
      <c r="E42" s="362" t="s">
        <v>33</v>
      </c>
    </row>
    <row r="43" spans="1:6" ht="15.75" thickBot="1" x14ac:dyDescent="0.3">
      <c r="A43" s="419" t="s">
        <v>1234</v>
      </c>
      <c r="B43" s="426" t="s">
        <v>1098</v>
      </c>
      <c r="C43" s="385" t="s">
        <v>1124</v>
      </c>
      <c r="D43" s="262" t="s">
        <v>34</v>
      </c>
      <c r="E43" s="362" t="s">
        <v>33</v>
      </c>
    </row>
    <row r="44" spans="1:6" ht="60.75" thickBot="1" x14ac:dyDescent="0.3">
      <c r="A44" s="419" t="s">
        <v>1235</v>
      </c>
      <c r="B44" s="499" t="s">
        <v>1236</v>
      </c>
      <c r="C44" s="385" t="s">
        <v>1124</v>
      </c>
      <c r="D44" s="262" t="s">
        <v>34</v>
      </c>
      <c r="E44" s="362" t="s">
        <v>33</v>
      </c>
    </row>
    <row r="45" spans="1:6" ht="15.75" thickBot="1" x14ac:dyDescent="0.3">
      <c r="A45" s="419" t="s">
        <v>1237</v>
      </c>
      <c r="B45" s="499" t="s">
        <v>1238</v>
      </c>
      <c r="C45" s="385" t="s">
        <v>619</v>
      </c>
      <c r="D45" s="262" t="s">
        <v>43</v>
      </c>
      <c r="E45" s="362" t="s">
        <v>38</v>
      </c>
      <c r="F45" t="s">
        <v>1239</v>
      </c>
    </row>
    <row r="46" spans="1:6" ht="15.75" thickBot="1" x14ac:dyDescent="0.3">
      <c r="A46" s="419" t="s">
        <v>356</v>
      </c>
      <c r="B46" s="499" t="s">
        <v>1100</v>
      </c>
      <c r="C46" s="385" t="s">
        <v>1124</v>
      </c>
      <c r="D46" s="262" t="s">
        <v>34</v>
      </c>
      <c r="E46" s="362" t="s">
        <v>33</v>
      </c>
      <c r="F46" t="s">
        <v>1240</v>
      </c>
    </row>
    <row r="47" spans="1:6" ht="30.75" thickBot="1" x14ac:dyDescent="0.3">
      <c r="A47" s="419" t="s">
        <v>1241</v>
      </c>
      <c r="B47" s="499" t="s">
        <v>1242</v>
      </c>
      <c r="C47" s="385" t="s">
        <v>1124</v>
      </c>
      <c r="D47" s="262" t="s">
        <v>34</v>
      </c>
      <c r="E47" s="362" t="s">
        <v>33</v>
      </c>
    </row>
    <row r="48" spans="1:6" ht="15.75" thickBot="1" x14ac:dyDescent="0.3">
      <c r="A48" s="419" t="s">
        <v>1243</v>
      </c>
      <c r="B48" s="499" t="s">
        <v>1244</v>
      </c>
      <c r="C48" s="385" t="s">
        <v>44</v>
      </c>
      <c r="D48" s="262" t="s">
        <v>44</v>
      </c>
      <c r="E48" s="362" t="s">
        <v>33</v>
      </c>
    </row>
    <row r="49" spans="1:6" ht="15.75" thickBot="1" x14ac:dyDescent="0.3">
      <c r="A49" s="419" t="s">
        <v>1245</v>
      </c>
      <c r="B49" s="499" t="s">
        <v>1246</v>
      </c>
      <c r="C49" s="385" t="s">
        <v>44</v>
      </c>
      <c r="D49" s="262" t="s">
        <v>44</v>
      </c>
      <c r="E49" s="362" t="s">
        <v>33</v>
      </c>
    </row>
    <row r="50" spans="1:6" ht="15.75" thickBot="1" x14ac:dyDescent="0.3">
      <c r="A50" s="419" t="s">
        <v>1247</v>
      </c>
      <c r="B50" s="499" t="s">
        <v>1248</v>
      </c>
      <c r="C50" s="385" t="s">
        <v>44</v>
      </c>
      <c r="D50" s="262" t="s">
        <v>44</v>
      </c>
      <c r="E50" s="362" t="s">
        <v>33</v>
      </c>
    </row>
    <row r="51" spans="1:6" ht="15.75" thickBot="1" x14ac:dyDescent="0.3">
      <c r="A51" s="419" t="s">
        <v>1249</v>
      </c>
      <c r="B51" s="499" t="s">
        <v>1250</v>
      </c>
      <c r="C51" s="385" t="s">
        <v>44</v>
      </c>
      <c r="D51" s="262" t="s">
        <v>44</v>
      </c>
      <c r="E51" s="362" t="s">
        <v>33</v>
      </c>
    </row>
    <row r="52" spans="1:6" ht="15.75" thickBot="1" x14ac:dyDescent="0.3">
      <c r="A52" s="419" t="s">
        <v>1087</v>
      </c>
      <c r="B52" s="499" t="s">
        <v>1251</v>
      </c>
      <c r="C52" s="385" t="s">
        <v>1124</v>
      </c>
      <c r="D52" s="262" t="s">
        <v>34</v>
      </c>
      <c r="E52" s="362" t="s">
        <v>33</v>
      </c>
    </row>
    <row r="53" spans="1:6" ht="15.75" thickBot="1" x14ac:dyDescent="0.3">
      <c r="A53" s="419" t="s">
        <v>417</v>
      </c>
      <c r="B53" s="499" t="s">
        <v>1252</v>
      </c>
      <c r="C53" s="385" t="s">
        <v>1124</v>
      </c>
      <c r="D53" s="262" t="s">
        <v>34</v>
      </c>
      <c r="E53" s="362" t="s">
        <v>33</v>
      </c>
    </row>
    <row r="54" spans="1:6" ht="15.75" thickBot="1" x14ac:dyDescent="0.3">
      <c r="A54" s="419" t="s">
        <v>1253</v>
      </c>
      <c r="B54" s="499" t="s">
        <v>1099</v>
      </c>
      <c r="C54" s="385" t="s">
        <v>619</v>
      </c>
      <c r="D54" s="262" t="s">
        <v>34</v>
      </c>
      <c r="E54" s="362" t="s">
        <v>38</v>
      </c>
    </row>
    <row r="55" spans="1:6" ht="15.75" thickBot="1" x14ac:dyDescent="0.3">
      <c r="A55" s="419" t="s">
        <v>1101</v>
      </c>
      <c r="B55" s="499" t="s">
        <v>1254</v>
      </c>
      <c r="C55" s="385" t="s">
        <v>1124</v>
      </c>
      <c r="D55" s="262" t="s">
        <v>34</v>
      </c>
      <c r="E55" s="362" t="s">
        <v>33</v>
      </c>
    </row>
    <row r="56" spans="1:6" ht="30.75" thickBot="1" x14ac:dyDescent="0.3">
      <c r="A56" s="419" t="s">
        <v>1255</v>
      </c>
      <c r="B56" s="499" t="s">
        <v>1256</v>
      </c>
      <c r="C56" s="385" t="s">
        <v>1124</v>
      </c>
      <c r="D56" s="262" t="s">
        <v>34</v>
      </c>
      <c r="E56" s="362" t="s">
        <v>33</v>
      </c>
      <c r="F56" s="206" t="s">
        <v>1257</v>
      </c>
    </row>
    <row r="57" spans="1:6" ht="30.75" thickBot="1" x14ac:dyDescent="0.3">
      <c r="A57" s="419" t="s">
        <v>1258</v>
      </c>
      <c r="B57" s="499" t="s">
        <v>1259</v>
      </c>
      <c r="C57" s="385" t="s">
        <v>44</v>
      </c>
      <c r="D57" s="262" t="s">
        <v>34</v>
      </c>
      <c r="E57" s="362" t="s">
        <v>33</v>
      </c>
      <c r="F57" s="206" t="s">
        <v>1257</v>
      </c>
    </row>
    <row r="58" spans="1:6" ht="15.75" thickBot="1" x14ac:dyDescent="0.3">
      <c r="A58" s="419" t="s">
        <v>1260</v>
      </c>
      <c r="B58" s="499" t="s">
        <v>1261</v>
      </c>
      <c r="C58" s="385" t="s">
        <v>1124</v>
      </c>
      <c r="D58" s="262" t="s">
        <v>34</v>
      </c>
      <c r="E58" s="362" t="s">
        <v>33</v>
      </c>
    </row>
    <row r="59" spans="1:6" ht="15.75" thickBot="1" x14ac:dyDescent="0.3">
      <c r="A59" s="419" t="s">
        <v>459</v>
      </c>
      <c r="B59" s="499" t="s">
        <v>1262</v>
      </c>
      <c r="C59" s="385" t="s">
        <v>1124</v>
      </c>
      <c r="D59" s="262" t="s">
        <v>34</v>
      </c>
      <c r="E59" s="362" t="s">
        <v>33</v>
      </c>
    </row>
    <row r="60" spans="1:6" ht="15.75" thickBot="1" x14ac:dyDescent="0.3">
      <c r="A60" s="419" t="s">
        <v>501</v>
      </c>
      <c r="B60" s="499" t="s">
        <v>1263</v>
      </c>
      <c r="C60" s="385" t="s">
        <v>1124</v>
      </c>
      <c r="D60" s="262" t="s">
        <v>34</v>
      </c>
      <c r="E60" s="362" t="s">
        <v>33</v>
      </c>
    </row>
    <row r="61" spans="1:6" ht="15.75" thickBot="1" x14ac:dyDescent="0.3">
      <c r="A61" s="419" t="s">
        <v>1123</v>
      </c>
      <c r="B61" s="499" t="s">
        <v>1113</v>
      </c>
      <c r="C61" s="385" t="s">
        <v>1124</v>
      </c>
      <c r="D61" s="262" t="s">
        <v>34</v>
      </c>
      <c r="E61" s="362" t="s">
        <v>33</v>
      </c>
    </row>
    <row r="62" spans="1:6" ht="15.75" thickBot="1" x14ac:dyDescent="0.3">
      <c r="A62" s="419" t="s">
        <v>464</v>
      </c>
      <c r="B62" s="499" t="s">
        <v>1264</v>
      </c>
      <c r="C62" s="385" t="s">
        <v>1124</v>
      </c>
      <c r="D62" s="262" t="s">
        <v>34</v>
      </c>
      <c r="E62" s="362" t="s">
        <v>33</v>
      </c>
    </row>
    <row r="63" spans="1:6" ht="15.75" thickBot="1" x14ac:dyDescent="0.3">
      <c r="A63" s="419" t="s">
        <v>389</v>
      </c>
      <c r="B63" s="499" t="s">
        <v>1265</v>
      </c>
      <c r="C63" s="385" t="s">
        <v>1124</v>
      </c>
      <c r="D63" s="262" t="s">
        <v>34</v>
      </c>
      <c r="E63" s="362" t="s">
        <v>33</v>
      </c>
    </row>
    <row r="64" spans="1:6" ht="30.75" thickBot="1" x14ac:dyDescent="0.3">
      <c r="A64" s="419" t="s">
        <v>1069</v>
      </c>
      <c r="B64" s="499" t="s">
        <v>1072</v>
      </c>
      <c r="C64" s="385" t="s">
        <v>1124</v>
      </c>
      <c r="D64" s="262" t="s">
        <v>34</v>
      </c>
      <c r="E64" s="362" t="s">
        <v>33</v>
      </c>
    </row>
    <row r="65" spans="1:6" ht="30.75" thickBot="1" x14ac:dyDescent="0.3">
      <c r="A65" s="419" t="s">
        <v>1266</v>
      </c>
      <c r="B65" s="499" t="s">
        <v>1267</v>
      </c>
      <c r="C65" s="385" t="s">
        <v>1124</v>
      </c>
      <c r="D65" s="262" t="s">
        <v>34</v>
      </c>
      <c r="E65" s="362" t="s">
        <v>33</v>
      </c>
    </row>
    <row r="66" spans="1:6" ht="15.75" thickBot="1" x14ac:dyDescent="0.3">
      <c r="A66" s="419" t="s">
        <v>1268</v>
      </c>
      <c r="B66" s="499" t="s">
        <v>497</v>
      </c>
      <c r="C66" s="385" t="s">
        <v>1124</v>
      </c>
      <c r="D66" s="262" t="s">
        <v>34</v>
      </c>
      <c r="E66" s="362" t="s">
        <v>33</v>
      </c>
    </row>
    <row r="67" spans="1:6" ht="15.75" thickBot="1" x14ac:dyDescent="0.3">
      <c r="A67" s="419" t="s">
        <v>446</v>
      </c>
      <c r="B67" s="499" t="s">
        <v>1269</v>
      </c>
      <c r="C67" s="385" t="s">
        <v>1124</v>
      </c>
      <c r="D67" s="262" t="s">
        <v>34</v>
      </c>
      <c r="E67" s="362" t="s">
        <v>33</v>
      </c>
    </row>
    <row r="68" spans="1:6" ht="45.75" thickBot="1" x14ac:dyDescent="0.3">
      <c r="A68" s="419" t="s">
        <v>638</v>
      </c>
      <c r="B68" s="499" t="s">
        <v>1270</v>
      </c>
      <c r="C68" s="385" t="s">
        <v>1124</v>
      </c>
      <c r="D68" s="262" t="s">
        <v>34</v>
      </c>
      <c r="E68" s="362" t="s">
        <v>33</v>
      </c>
    </row>
    <row r="69" spans="1:6" ht="26.45" customHeight="1" thickBot="1" x14ac:dyDescent="0.3">
      <c r="A69" s="419" t="s">
        <v>641</v>
      </c>
      <c r="B69" s="499" t="s">
        <v>1271</v>
      </c>
      <c r="C69" s="385" t="s">
        <v>1124</v>
      </c>
      <c r="D69" s="262" t="s">
        <v>34</v>
      </c>
      <c r="E69" s="362" t="s">
        <v>33</v>
      </c>
    </row>
    <row r="70" spans="1:6" ht="45" x14ac:dyDescent="0.25">
      <c r="A70" s="419" t="s">
        <v>1272</v>
      </c>
      <c r="B70" s="499" t="s">
        <v>1273</v>
      </c>
      <c r="C70" s="385" t="s">
        <v>1124</v>
      </c>
      <c r="D70" s="262" t="s">
        <v>44</v>
      </c>
      <c r="E70" s="362" t="s">
        <v>33</v>
      </c>
      <c r="F70" t="s">
        <v>1274</v>
      </c>
    </row>
    <row r="71" spans="1:6" ht="30.75" thickBot="1" x14ac:dyDescent="0.3">
      <c r="A71" s="419" t="s">
        <v>491</v>
      </c>
      <c r="B71" s="499" t="s">
        <v>488</v>
      </c>
      <c r="C71" s="385" t="s">
        <v>1124</v>
      </c>
      <c r="D71" s="262" t="s">
        <v>34</v>
      </c>
      <c r="E71" s="362" t="s">
        <v>33</v>
      </c>
    </row>
    <row r="72" spans="1:6" ht="30.75" thickBot="1" x14ac:dyDescent="0.3">
      <c r="A72" s="419" t="s">
        <v>1275</v>
      </c>
      <c r="B72" s="499" t="s">
        <v>492</v>
      </c>
      <c r="C72" s="385" t="s">
        <v>1124</v>
      </c>
      <c r="D72" s="262" t="s">
        <v>34</v>
      </c>
      <c r="E72" s="362" t="s">
        <v>33</v>
      </c>
    </row>
    <row r="73" spans="1:6" ht="15.75" thickBot="1" x14ac:dyDescent="0.3">
      <c r="A73" s="419" t="s">
        <v>1276</v>
      </c>
      <c r="B73" s="499" t="s">
        <v>1277</v>
      </c>
      <c r="C73" s="385" t="s">
        <v>1124</v>
      </c>
      <c r="D73" s="262" t="s">
        <v>34</v>
      </c>
      <c r="E73" s="362" t="s">
        <v>33</v>
      </c>
    </row>
    <row r="74" spans="1:6" ht="15.75" thickBot="1" x14ac:dyDescent="0.3">
      <c r="A74" s="419" t="s">
        <v>290</v>
      </c>
      <c r="B74" s="499" t="s">
        <v>1278</v>
      </c>
      <c r="C74" s="385" t="s">
        <v>1124</v>
      </c>
      <c r="D74" s="262" t="s">
        <v>34</v>
      </c>
      <c r="E74" s="362" t="s">
        <v>33</v>
      </c>
    </row>
    <row r="75" spans="1:6" ht="15.75" thickBot="1" x14ac:dyDescent="0.3">
      <c r="A75" s="419" t="s">
        <v>294</v>
      </c>
      <c r="B75" s="499" t="s">
        <v>1279</v>
      </c>
      <c r="C75" s="385" t="s">
        <v>1124</v>
      </c>
      <c r="D75" s="262" t="s">
        <v>34</v>
      </c>
      <c r="E75" s="362" t="s">
        <v>33</v>
      </c>
    </row>
    <row r="76" spans="1:6" ht="15.75" thickBot="1" x14ac:dyDescent="0.3">
      <c r="A76" s="419" t="s">
        <v>593</v>
      </c>
      <c r="B76" s="499" t="s">
        <v>1280</v>
      </c>
      <c r="C76" s="385" t="s">
        <v>1124</v>
      </c>
      <c r="D76" s="262" t="s">
        <v>34</v>
      </c>
      <c r="E76" s="362" t="s">
        <v>33</v>
      </c>
    </row>
    <row r="77" spans="1:6" ht="15.75" thickBot="1" x14ac:dyDescent="0.3">
      <c r="A77" s="419" t="s">
        <v>587</v>
      </c>
      <c r="B77" s="499" t="s">
        <v>1281</v>
      </c>
      <c r="C77" s="385" t="s">
        <v>1124</v>
      </c>
      <c r="D77" s="262" t="s">
        <v>34</v>
      </c>
      <c r="E77" s="362" t="s">
        <v>33</v>
      </c>
    </row>
    <row r="78" spans="1:6" ht="30.75" thickBot="1" x14ac:dyDescent="0.3">
      <c r="A78" s="419" t="s">
        <v>1282</v>
      </c>
      <c r="B78" s="499" t="s">
        <v>1283</v>
      </c>
      <c r="C78" s="385" t="s">
        <v>1124</v>
      </c>
      <c r="D78" s="262" t="s">
        <v>34</v>
      </c>
      <c r="E78" s="362" t="s">
        <v>33</v>
      </c>
    </row>
    <row r="79" spans="1:6" ht="15.75" thickBot="1" x14ac:dyDescent="0.3">
      <c r="A79" s="419" t="s">
        <v>616</v>
      </c>
      <c r="B79" s="499" t="s">
        <v>617</v>
      </c>
      <c r="C79" s="385" t="s">
        <v>1124</v>
      </c>
      <c r="D79" s="262" t="s">
        <v>34</v>
      </c>
      <c r="E79" s="362" t="s">
        <v>33</v>
      </c>
    </row>
    <row r="80" spans="1:6" ht="30.75" thickBot="1" x14ac:dyDescent="0.3">
      <c r="A80" s="419" t="s">
        <v>1284</v>
      </c>
      <c r="B80" s="499" t="s">
        <v>1285</v>
      </c>
      <c r="C80" s="385" t="s">
        <v>1124</v>
      </c>
      <c r="D80" s="262" t="s">
        <v>34</v>
      </c>
      <c r="E80" s="362" t="s">
        <v>33</v>
      </c>
    </row>
    <row r="81" spans="1:5" ht="15.75" thickBot="1" x14ac:dyDescent="0.3">
      <c r="A81" s="419" t="s">
        <v>1286</v>
      </c>
      <c r="B81" s="499" t="s">
        <v>1287</v>
      </c>
      <c r="C81" s="385" t="s">
        <v>1124</v>
      </c>
      <c r="D81" s="262" t="s">
        <v>44</v>
      </c>
      <c r="E81" s="362" t="s">
        <v>33</v>
      </c>
    </row>
    <row r="82" spans="1:5" ht="15.75" thickBot="1" x14ac:dyDescent="0.3">
      <c r="A82" s="419" t="s">
        <v>1288</v>
      </c>
      <c r="B82" s="499" t="s">
        <v>1289</v>
      </c>
      <c r="C82" s="385" t="s">
        <v>1124</v>
      </c>
      <c r="D82" s="262" t="s">
        <v>44</v>
      </c>
      <c r="E82" s="362" t="s">
        <v>33</v>
      </c>
    </row>
    <row r="83" spans="1:5" ht="15.75" thickBot="1" x14ac:dyDescent="0.3">
      <c r="A83" s="419" t="s">
        <v>1290</v>
      </c>
      <c r="B83" s="499" t="s">
        <v>1291</v>
      </c>
      <c r="C83" s="385" t="s">
        <v>44</v>
      </c>
      <c r="D83" s="262" t="s">
        <v>44</v>
      </c>
      <c r="E83" s="362" t="s">
        <v>33</v>
      </c>
    </row>
    <row r="84" spans="1:5" ht="30.75" thickBot="1" x14ac:dyDescent="0.3">
      <c r="A84" s="419" t="s">
        <v>1116</v>
      </c>
      <c r="B84" s="499" t="s">
        <v>1292</v>
      </c>
      <c r="C84" s="385" t="s">
        <v>1124</v>
      </c>
      <c r="D84" s="262" t="s">
        <v>34</v>
      </c>
      <c r="E84" s="362" t="s">
        <v>33</v>
      </c>
    </row>
    <row r="85" spans="1:5" ht="15.75" thickBot="1" x14ac:dyDescent="0.3">
      <c r="A85" s="419" t="s">
        <v>1293</v>
      </c>
      <c r="B85" s="499" t="s">
        <v>1294</v>
      </c>
      <c r="C85" s="385" t="s">
        <v>1124</v>
      </c>
      <c r="D85" s="262" t="s">
        <v>34</v>
      </c>
      <c r="E85" s="362" t="s">
        <v>33</v>
      </c>
    </row>
    <row r="86" spans="1:5" ht="15.75" thickBot="1" x14ac:dyDescent="0.3">
      <c r="A86" s="419" t="s">
        <v>1295</v>
      </c>
      <c r="B86" s="499" t="s">
        <v>1296</v>
      </c>
      <c r="C86" s="385" t="s">
        <v>1124</v>
      </c>
      <c r="D86" s="262" t="s">
        <v>34</v>
      </c>
      <c r="E86" s="362" t="s">
        <v>33</v>
      </c>
    </row>
    <row r="87" spans="1:5" ht="15.75" thickBot="1" x14ac:dyDescent="0.3">
      <c r="A87" s="419" t="s">
        <v>1297</v>
      </c>
      <c r="B87" s="499" t="s">
        <v>1298</v>
      </c>
      <c r="C87" s="385" t="s">
        <v>1124</v>
      </c>
      <c r="D87" s="262" t="s">
        <v>34</v>
      </c>
      <c r="E87" s="362" t="s">
        <v>33</v>
      </c>
    </row>
    <row r="88" spans="1:5" ht="15.75" thickBot="1" x14ac:dyDescent="0.3">
      <c r="A88" s="419" t="s">
        <v>1299</v>
      </c>
      <c r="B88" s="499" t="s">
        <v>1300</v>
      </c>
      <c r="C88" s="385" t="s">
        <v>44</v>
      </c>
      <c r="D88" s="262" t="s">
        <v>34</v>
      </c>
      <c r="E88" s="362" t="s">
        <v>33</v>
      </c>
    </row>
    <row r="89" spans="1:5" ht="15.75" thickBot="1" x14ac:dyDescent="0.3">
      <c r="A89" s="419" t="s">
        <v>1301</v>
      </c>
      <c r="B89" s="499" t="s">
        <v>1302</v>
      </c>
      <c r="C89" s="385" t="s">
        <v>44</v>
      </c>
      <c r="D89" s="262" t="s">
        <v>44</v>
      </c>
      <c r="E89" s="362" t="s">
        <v>33</v>
      </c>
    </row>
    <row r="90" spans="1:5" ht="30.75" thickBot="1" x14ac:dyDescent="0.3">
      <c r="A90" s="419" t="s">
        <v>1303</v>
      </c>
      <c r="B90" s="499" t="s">
        <v>1304</v>
      </c>
      <c r="C90" s="385" t="s">
        <v>1124</v>
      </c>
      <c r="D90" s="262" t="s">
        <v>44</v>
      </c>
      <c r="E90" s="362" t="s">
        <v>33</v>
      </c>
    </row>
    <row r="91" spans="1:5" ht="30.75" thickBot="1" x14ac:dyDescent="0.3">
      <c r="A91" s="419" t="s">
        <v>1305</v>
      </c>
      <c r="B91" s="499" t="s">
        <v>1306</v>
      </c>
      <c r="C91" s="385" t="s">
        <v>44</v>
      </c>
      <c r="D91" s="262" t="s">
        <v>34</v>
      </c>
      <c r="E91" s="362" t="s">
        <v>33</v>
      </c>
    </row>
    <row r="92" spans="1:5" ht="30.75" thickBot="1" x14ac:dyDescent="0.3">
      <c r="A92" s="419" t="s">
        <v>1307</v>
      </c>
      <c r="B92" s="499" t="s">
        <v>1308</v>
      </c>
      <c r="C92" s="385" t="s">
        <v>1124</v>
      </c>
      <c r="D92" s="262" t="s">
        <v>34</v>
      </c>
      <c r="E92" s="362" t="s">
        <v>33</v>
      </c>
    </row>
    <row r="93" spans="1:5" ht="30.75" thickBot="1" x14ac:dyDescent="0.3">
      <c r="A93" s="419" t="s">
        <v>385</v>
      </c>
      <c r="B93" s="499" t="s">
        <v>1309</v>
      </c>
      <c r="C93" s="385" t="s">
        <v>1310</v>
      </c>
      <c r="D93" s="262" t="s">
        <v>34</v>
      </c>
      <c r="E93" s="362" t="s">
        <v>33</v>
      </c>
    </row>
    <row r="94" spans="1:5" ht="30.75" thickBot="1" x14ac:dyDescent="0.3">
      <c r="A94" s="419" t="s">
        <v>1311</v>
      </c>
      <c r="B94" s="499" t="s">
        <v>1312</v>
      </c>
      <c r="C94" s="385" t="s">
        <v>1124</v>
      </c>
      <c r="D94" s="262" t="s">
        <v>34</v>
      </c>
      <c r="E94" s="362" t="s">
        <v>33</v>
      </c>
    </row>
    <row r="95" spans="1:5" ht="15.75" thickBot="1" x14ac:dyDescent="0.3">
      <c r="A95" s="419" t="s">
        <v>1313</v>
      </c>
      <c r="B95" s="499" t="s">
        <v>1314</v>
      </c>
      <c r="C95" s="385" t="s">
        <v>44</v>
      </c>
      <c r="D95" s="262" t="s">
        <v>44</v>
      </c>
      <c r="E95" s="362" t="s">
        <v>33</v>
      </c>
    </row>
    <row r="96" spans="1:5" ht="15.75" thickBot="1" x14ac:dyDescent="0.3">
      <c r="A96" s="419" t="s">
        <v>1315</v>
      </c>
      <c r="B96" s="499" t="s">
        <v>1316</v>
      </c>
      <c r="C96" s="385" t="s">
        <v>1124</v>
      </c>
      <c r="D96" s="262" t="s">
        <v>44</v>
      </c>
      <c r="E96" s="362" t="s">
        <v>33</v>
      </c>
    </row>
    <row r="97" spans="1:5" ht="15.75" thickBot="1" x14ac:dyDescent="0.3">
      <c r="A97" s="419" t="s">
        <v>1317</v>
      </c>
      <c r="B97" s="499" t="s">
        <v>1318</v>
      </c>
      <c r="C97" s="385" t="s">
        <v>1124</v>
      </c>
      <c r="D97" s="262" t="s">
        <v>34</v>
      </c>
      <c r="E97" s="362" t="s">
        <v>33</v>
      </c>
    </row>
    <row r="98" spans="1:5" ht="30.75" thickBot="1" x14ac:dyDescent="0.3">
      <c r="A98" s="419" t="s">
        <v>1319</v>
      </c>
      <c r="B98" s="499" t="s">
        <v>1320</v>
      </c>
      <c r="C98" s="385" t="s">
        <v>44</v>
      </c>
      <c r="D98" s="262" t="s">
        <v>44</v>
      </c>
      <c r="E98" s="362" t="s">
        <v>33</v>
      </c>
    </row>
    <row r="99" spans="1:5" ht="30.75" thickBot="1" x14ac:dyDescent="0.3">
      <c r="A99" s="419" t="s">
        <v>454</v>
      </c>
      <c r="B99" s="499" t="s">
        <v>1321</v>
      </c>
      <c r="C99" s="385" t="s">
        <v>1124</v>
      </c>
      <c r="D99" s="262" t="s">
        <v>34</v>
      </c>
      <c r="E99" s="362" t="s">
        <v>33</v>
      </c>
    </row>
    <row r="100" spans="1:5" ht="15.75" thickBot="1" x14ac:dyDescent="0.3">
      <c r="A100" s="419" t="s">
        <v>1322</v>
      </c>
      <c r="B100" s="499" t="s">
        <v>1323</v>
      </c>
      <c r="C100" s="385" t="s">
        <v>1124</v>
      </c>
      <c r="D100" s="262" t="s">
        <v>43</v>
      </c>
      <c r="E100" s="362" t="s">
        <v>33</v>
      </c>
    </row>
    <row r="101" spans="1:5" ht="30.75" thickBot="1" x14ac:dyDescent="0.3">
      <c r="A101" s="419" t="s">
        <v>1324</v>
      </c>
      <c r="B101" s="499" t="s">
        <v>1325</v>
      </c>
      <c r="C101" s="385" t="s">
        <v>1124</v>
      </c>
      <c r="D101" s="262" t="s">
        <v>34</v>
      </c>
      <c r="E101" s="362" t="s">
        <v>33</v>
      </c>
    </row>
    <row r="102" spans="1:5" ht="30.75" thickBot="1" x14ac:dyDescent="0.3">
      <c r="A102" s="419" t="s">
        <v>1326</v>
      </c>
      <c r="B102" s="499" t="s">
        <v>1327</v>
      </c>
      <c r="C102" s="385" t="s">
        <v>1124</v>
      </c>
      <c r="D102" s="262" t="s">
        <v>44</v>
      </c>
      <c r="E102" s="362" t="s">
        <v>33</v>
      </c>
    </row>
    <row r="103" spans="1:5" ht="15.75" thickBot="1" x14ac:dyDescent="0.3">
      <c r="A103" s="419" t="s">
        <v>1328</v>
      </c>
      <c r="B103" s="499" t="s">
        <v>1329</v>
      </c>
      <c r="C103" s="385" t="s">
        <v>1124</v>
      </c>
      <c r="D103" s="262" t="s">
        <v>44</v>
      </c>
      <c r="E103" s="362" t="s">
        <v>33</v>
      </c>
    </row>
    <row r="104" spans="1:5" ht="30.75" thickBot="1" x14ac:dyDescent="0.3">
      <c r="A104" s="419" t="s">
        <v>1330</v>
      </c>
      <c r="B104" s="499" t="s">
        <v>1331</v>
      </c>
      <c r="C104" s="385" t="s">
        <v>1124</v>
      </c>
      <c r="D104" s="262" t="s">
        <v>34</v>
      </c>
      <c r="E104" s="362" t="s">
        <v>33</v>
      </c>
    </row>
    <row r="105" spans="1:5" ht="15.75" thickBot="1" x14ac:dyDescent="0.3">
      <c r="A105" s="419" t="s">
        <v>1332</v>
      </c>
      <c r="B105" s="499" t="s">
        <v>1333</v>
      </c>
      <c r="C105" s="385" t="s">
        <v>1124</v>
      </c>
      <c r="D105" s="262" t="s">
        <v>34</v>
      </c>
      <c r="E105" s="362" t="s">
        <v>33</v>
      </c>
    </row>
    <row r="106" spans="1:5" ht="15.75" thickBot="1" x14ac:dyDescent="0.3">
      <c r="A106" s="419" t="s">
        <v>1334</v>
      </c>
      <c r="B106" s="499" t="s">
        <v>1335</v>
      </c>
      <c r="C106" s="385" t="s">
        <v>1124</v>
      </c>
      <c r="D106" s="262" t="s">
        <v>34</v>
      </c>
      <c r="E106" s="362" t="s">
        <v>33</v>
      </c>
    </row>
    <row r="107" spans="1:5" ht="30.75" thickBot="1" x14ac:dyDescent="0.3">
      <c r="A107" s="419" t="s">
        <v>1336</v>
      </c>
      <c r="B107" s="499" t="s">
        <v>1337</v>
      </c>
      <c r="C107" s="385" t="s">
        <v>1124</v>
      </c>
      <c r="D107" s="262" t="s">
        <v>34</v>
      </c>
      <c r="E107" s="362" t="s">
        <v>33</v>
      </c>
    </row>
    <row r="108" spans="1:5" ht="30.75" thickBot="1" x14ac:dyDescent="0.3">
      <c r="A108" s="419" t="s">
        <v>1338</v>
      </c>
      <c r="B108" s="499" t="s">
        <v>1339</v>
      </c>
      <c r="C108" s="385" t="s">
        <v>1124</v>
      </c>
      <c r="D108" s="262" t="s">
        <v>34</v>
      </c>
      <c r="E108" s="362" t="s">
        <v>33</v>
      </c>
    </row>
    <row r="109" spans="1:5" ht="30.75" thickBot="1" x14ac:dyDescent="0.3">
      <c r="A109" s="419" t="s">
        <v>1340</v>
      </c>
      <c r="B109" s="499" t="s">
        <v>1341</v>
      </c>
      <c r="C109" s="385" t="s">
        <v>1124</v>
      </c>
      <c r="D109" s="262" t="s">
        <v>34</v>
      </c>
      <c r="E109" s="362" t="s">
        <v>33</v>
      </c>
    </row>
    <row r="110" spans="1:5" ht="15.75" thickBot="1" x14ac:dyDescent="0.3">
      <c r="A110" s="419" t="s">
        <v>1342</v>
      </c>
      <c r="B110" s="499" t="s">
        <v>1343</v>
      </c>
      <c r="C110" s="385" t="s">
        <v>1124</v>
      </c>
      <c r="D110" s="262" t="s">
        <v>34</v>
      </c>
      <c r="E110" s="362" t="s">
        <v>33</v>
      </c>
    </row>
    <row r="111" spans="1:5" ht="30.75" thickBot="1" x14ac:dyDescent="0.3">
      <c r="A111" s="419" t="s">
        <v>1344</v>
      </c>
      <c r="B111" s="499" t="s">
        <v>1345</v>
      </c>
      <c r="C111" s="385" t="s">
        <v>1124</v>
      </c>
      <c r="D111" s="262" t="s">
        <v>43</v>
      </c>
      <c r="E111" s="362" t="s">
        <v>33</v>
      </c>
    </row>
    <row r="112" spans="1:5" ht="15.75" thickBot="1" x14ac:dyDescent="0.3">
      <c r="A112" s="419" t="s">
        <v>1346</v>
      </c>
      <c r="B112" s="499" t="s">
        <v>1347</v>
      </c>
      <c r="C112" s="385" t="s">
        <v>44</v>
      </c>
      <c r="D112" s="262" t="s">
        <v>44</v>
      </c>
      <c r="E112" s="362" t="s">
        <v>33</v>
      </c>
    </row>
    <row r="113" spans="1:6" ht="15.75" thickBot="1" x14ac:dyDescent="0.3">
      <c r="A113" s="419" t="s">
        <v>1348</v>
      </c>
      <c r="B113" s="499" t="s">
        <v>1349</v>
      </c>
      <c r="C113" s="385" t="s">
        <v>1124</v>
      </c>
      <c r="D113" s="262" t="s">
        <v>43</v>
      </c>
      <c r="E113" s="362" t="s">
        <v>33</v>
      </c>
    </row>
    <row r="114" spans="1:6" ht="15.75" thickBot="1" x14ac:dyDescent="0.3">
      <c r="A114" s="419" t="s">
        <v>1350</v>
      </c>
      <c r="B114" s="499" t="s">
        <v>1351</v>
      </c>
      <c r="C114" s="385" t="s">
        <v>1124</v>
      </c>
      <c r="D114" s="262" t="s">
        <v>43</v>
      </c>
      <c r="E114" s="362" t="s">
        <v>33</v>
      </c>
    </row>
    <row r="115" spans="1:6" ht="15.75" thickBot="1" x14ac:dyDescent="0.3">
      <c r="A115" s="419" t="s">
        <v>1352</v>
      </c>
      <c r="B115" s="499" t="s">
        <v>1353</v>
      </c>
      <c r="C115" s="385" t="s">
        <v>1124</v>
      </c>
      <c r="D115" s="262" t="s">
        <v>43</v>
      </c>
      <c r="E115" s="362" t="s">
        <v>33</v>
      </c>
    </row>
    <row r="116" spans="1:6" ht="15.75" thickBot="1" x14ac:dyDescent="0.3">
      <c r="A116" s="419" t="s">
        <v>1354</v>
      </c>
      <c r="B116" s="499" t="s">
        <v>1355</v>
      </c>
      <c r="C116" s="385" t="s">
        <v>1124</v>
      </c>
      <c r="D116" s="262" t="s">
        <v>43</v>
      </c>
      <c r="E116" s="362" t="s">
        <v>33</v>
      </c>
    </row>
    <row r="117" spans="1:6" ht="30.75" thickBot="1" x14ac:dyDescent="0.3">
      <c r="A117" s="419" t="s">
        <v>1356</v>
      </c>
      <c r="B117" s="499" t="s">
        <v>1357</v>
      </c>
      <c r="C117" s="385" t="s">
        <v>1124</v>
      </c>
      <c r="D117" s="262" t="s">
        <v>43</v>
      </c>
      <c r="E117" s="362" t="s">
        <v>33</v>
      </c>
    </row>
    <row r="118" spans="1:6" ht="15.75" thickBot="1" x14ac:dyDescent="0.3">
      <c r="A118" s="419" t="s">
        <v>1358</v>
      </c>
      <c r="B118" s="499" t="s">
        <v>1359</v>
      </c>
      <c r="C118" s="385" t="s">
        <v>1124</v>
      </c>
      <c r="D118" s="262" t="s">
        <v>43</v>
      </c>
      <c r="E118" s="362" t="s">
        <v>33</v>
      </c>
    </row>
    <row r="119" spans="1:6" ht="15.75" thickBot="1" x14ac:dyDescent="0.3">
      <c r="A119" s="419" t="s">
        <v>1360</v>
      </c>
      <c r="B119" s="499" t="s">
        <v>1361</v>
      </c>
      <c r="C119" s="385" t="s">
        <v>1124</v>
      </c>
      <c r="D119" s="262" t="s">
        <v>43</v>
      </c>
      <c r="E119" s="362" t="s">
        <v>33</v>
      </c>
    </row>
    <row r="120" spans="1:6" ht="15.75" thickBot="1" x14ac:dyDescent="0.3">
      <c r="A120" s="419" t="s">
        <v>1362</v>
      </c>
      <c r="B120" s="499" t="s">
        <v>1363</v>
      </c>
      <c r="C120" s="385" t="s">
        <v>1124</v>
      </c>
      <c r="D120" s="262" t="s">
        <v>34</v>
      </c>
      <c r="E120" s="362" t="s">
        <v>33</v>
      </c>
    </row>
    <row r="121" spans="1:6" ht="15.75" thickBot="1" x14ac:dyDescent="0.3">
      <c r="A121" s="419" t="s">
        <v>1125</v>
      </c>
      <c r="B121" s="499" t="s">
        <v>1114</v>
      </c>
      <c r="C121" s="385" t="s">
        <v>1124</v>
      </c>
      <c r="D121" s="262" t="s">
        <v>34</v>
      </c>
      <c r="E121" s="362" t="s">
        <v>33</v>
      </c>
      <c r="F121" t="s">
        <v>1115</v>
      </c>
    </row>
    <row r="122" spans="1:6" ht="15.75" thickBot="1" x14ac:dyDescent="0.3">
      <c r="A122" s="419" t="s">
        <v>1364</v>
      </c>
      <c r="B122" s="499" t="s">
        <v>1365</v>
      </c>
      <c r="C122" s="385" t="s">
        <v>44</v>
      </c>
      <c r="D122" s="262" t="s">
        <v>44</v>
      </c>
      <c r="E122" s="362" t="s">
        <v>33</v>
      </c>
    </row>
    <row r="123" spans="1:6" ht="15.75" thickBot="1" x14ac:dyDescent="0.3">
      <c r="A123" s="419" t="s">
        <v>1366</v>
      </c>
      <c r="B123" s="499" t="s">
        <v>1367</v>
      </c>
      <c r="C123" s="385" t="s">
        <v>44</v>
      </c>
      <c r="D123" s="262" t="s">
        <v>44</v>
      </c>
      <c r="E123" s="362" t="s">
        <v>33</v>
      </c>
    </row>
    <row r="124" spans="1:6" ht="15.75" thickBot="1" x14ac:dyDescent="0.3">
      <c r="A124" s="419" t="s">
        <v>1368</v>
      </c>
      <c r="B124" s="499" t="s">
        <v>1369</v>
      </c>
      <c r="C124" s="385" t="s">
        <v>44</v>
      </c>
      <c r="D124" s="262" t="s">
        <v>44</v>
      </c>
      <c r="E124" s="362" t="s">
        <v>33</v>
      </c>
    </row>
    <row r="125" spans="1:6" ht="15.75" thickBot="1" x14ac:dyDescent="0.3">
      <c r="A125" s="419" t="s">
        <v>1370</v>
      </c>
      <c r="B125" s="499" t="s">
        <v>1371</v>
      </c>
      <c r="C125" s="385" t="s">
        <v>44</v>
      </c>
      <c r="D125" s="262" t="s">
        <v>44</v>
      </c>
      <c r="E125" s="362" t="s">
        <v>33</v>
      </c>
    </row>
    <row r="126" spans="1:6" ht="15.75" thickBot="1" x14ac:dyDescent="0.3">
      <c r="A126" s="419" t="s">
        <v>1372</v>
      </c>
      <c r="B126" s="499" t="s">
        <v>1373</v>
      </c>
      <c r="C126" s="385" t="s">
        <v>44</v>
      </c>
      <c r="D126" s="262" t="s">
        <v>44</v>
      </c>
      <c r="E126" s="362" t="s">
        <v>33</v>
      </c>
    </row>
    <row r="127" spans="1:6" ht="15.75" thickBot="1" x14ac:dyDescent="0.3">
      <c r="A127" s="419" t="s">
        <v>1374</v>
      </c>
      <c r="B127" s="499" t="s">
        <v>1375</v>
      </c>
      <c r="C127" s="385" t="s">
        <v>44</v>
      </c>
      <c r="D127" s="262" t="s">
        <v>44</v>
      </c>
      <c r="E127" s="362" t="s">
        <v>33</v>
      </c>
    </row>
    <row r="128" spans="1:6" ht="15.75" thickBot="1" x14ac:dyDescent="0.3">
      <c r="A128" s="419" t="s">
        <v>1376</v>
      </c>
      <c r="B128" s="499" t="s">
        <v>1377</v>
      </c>
      <c r="C128" s="385" t="s">
        <v>1124</v>
      </c>
      <c r="D128" s="262" t="s">
        <v>43</v>
      </c>
      <c r="E128" s="362" t="s">
        <v>33</v>
      </c>
    </row>
    <row r="129" spans="1:5" ht="15.75" thickBot="1" x14ac:dyDescent="0.3">
      <c r="A129" s="419" t="s">
        <v>1378</v>
      </c>
      <c r="B129" s="499" t="s">
        <v>1379</v>
      </c>
      <c r="C129" s="385" t="s">
        <v>1124</v>
      </c>
      <c r="D129" s="262" t="s">
        <v>43</v>
      </c>
      <c r="E129" s="362" t="s">
        <v>38</v>
      </c>
    </row>
    <row r="130" spans="1:5" ht="15.75" thickBot="1" x14ac:dyDescent="0.3">
      <c r="A130" s="419" t="s">
        <v>1380</v>
      </c>
      <c r="B130" s="499" t="s">
        <v>1381</v>
      </c>
      <c r="C130" s="385" t="s">
        <v>1124</v>
      </c>
      <c r="D130" s="262" t="s">
        <v>43</v>
      </c>
      <c r="E130" s="362" t="s">
        <v>33</v>
      </c>
    </row>
    <row r="131" spans="1:5" ht="15.75" thickBot="1" x14ac:dyDescent="0.3">
      <c r="A131" s="419" t="s">
        <v>1382</v>
      </c>
      <c r="B131" s="499" t="s">
        <v>1383</v>
      </c>
      <c r="C131" s="385" t="s">
        <v>1124</v>
      </c>
      <c r="D131" s="262" t="s">
        <v>44</v>
      </c>
      <c r="E131" s="362" t="s">
        <v>33</v>
      </c>
    </row>
    <row r="132" spans="1:5" ht="15.75" thickBot="1" x14ac:dyDescent="0.3">
      <c r="A132" s="419" t="s">
        <v>1384</v>
      </c>
      <c r="B132" s="499" t="s">
        <v>1385</v>
      </c>
      <c r="C132" s="385" t="s">
        <v>44</v>
      </c>
      <c r="D132" s="262" t="s">
        <v>43</v>
      </c>
      <c r="E132" s="362" t="s">
        <v>33</v>
      </c>
    </row>
    <row r="133" spans="1:5" ht="15.75" thickBot="1" x14ac:dyDescent="0.3">
      <c r="A133" s="419" t="s">
        <v>1386</v>
      </c>
      <c r="B133" s="499" t="s">
        <v>1387</v>
      </c>
      <c r="C133" s="385" t="s">
        <v>1124</v>
      </c>
      <c r="D133" s="262" t="s">
        <v>43</v>
      </c>
      <c r="E133" s="362" t="s">
        <v>33</v>
      </c>
    </row>
    <row r="134" spans="1:5" ht="15.75" thickBot="1" x14ac:dyDescent="0.3">
      <c r="A134" s="419" t="s">
        <v>1094</v>
      </c>
      <c r="B134" s="499" t="s">
        <v>1388</v>
      </c>
      <c r="C134" s="385" t="s">
        <v>1124</v>
      </c>
      <c r="D134" s="262" t="s">
        <v>34</v>
      </c>
      <c r="E134" s="362" t="s">
        <v>33</v>
      </c>
    </row>
    <row r="135" spans="1:5" ht="15.75" thickBot="1" x14ac:dyDescent="0.3">
      <c r="A135" s="419" t="s">
        <v>1389</v>
      </c>
      <c r="B135" s="499" t="s">
        <v>1390</v>
      </c>
      <c r="C135" s="385" t="s">
        <v>44</v>
      </c>
      <c r="D135" s="262" t="s">
        <v>44</v>
      </c>
      <c r="E135" s="362" t="s">
        <v>33</v>
      </c>
    </row>
    <row r="136" spans="1:5" ht="15.75" thickBot="1" x14ac:dyDescent="0.3">
      <c r="A136" s="419" t="s">
        <v>1391</v>
      </c>
      <c r="B136" s="499" t="s">
        <v>1392</v>
      </c>
      <c r="C136" s="385" t="s">
        <v>44</v>
      </c>
      <c r="D136" s="262" t="s">
        <v>44</v>
      </c>
      <c r="E136" s="362" t="s">
        <v>33</v>
      </c>
    </row>
    <row r="137" spans="1:5" ht="15.75" thickBot="1" x14ac:dyDescent="0.3">
      <c r="A137" s="419" t="s">
        <v>1393</v>
      </c>
      <c r="B137" s="499" t="s">
        <v>1394</v>
      </c>
      <c r="C137" s="385" t="s">
        <v>44</v>
      </c>
      <c r="D137" s="262" t="s">
        <v>44</v>
      </c>
      <c r="E137" s="362" t="s">
        <v>33</v>
      </c>
    </row>
    <row r="138" spans="1:5" ht="15.75" thickBot="1" x14ac:dyDescent="0.3">
      <c r="A138" s="419" t="s">
        <v>795</v>
      </c>
      <c r="B138" s="499" t="s">
        <v>796</v>
      </c>
      <c r="C138" s="385" t="s">
        <v>1124</v>
      </c>
      <c r="D138" s="262" t="s">
        <v>34</v>
      </c>
      <c r="E138" s="362" t="s">
        <v>33</v>
      </c>
    </row>
    <row r="139" spans="1:5" ht="15.75" thickBot="1" x14ac:dyDescent="0.3">
      <c r="A139" s="419" t="s">
        <v>1395</v>
      </c>
      <c r="B139" s="499" t="s">
        <v>1396</v>
      </c>
      <c r="C139" s="385" t="s">
        <v>44</v>
      </c>
      <c r="D139" s="262" t="s">
        <v>43</v>
      </c>
      <c r="E139" s="362" t="s">
        <v>33</v>
      </c>
    </row>
    <row r="140" spans="1:5" ht="15.75" thickBot="1" x14ac:dyDescent="0.3">
      <c r="A140" s="419" t="s">
        <v>1397</v>
      </c>
      <c r="B140" s="499" t="s">
        <v>1398</v>
      </c>
      <c r="C140" s="385" t="s">
        <v>44</v>
      </c>
      <c r="D140" s="262" t="s">
        <v>44</v>
      </c>
      <c r="E140" s="362" t="s">
        <v>33</v>
      </c>
    </row>
    <row r="141" spans="1:5" ht="15.75" thickBot="1" x14ac:dyDescent="0.3">
      <c r="A141" s="419" t="s">
        <v>1399</v>
      </c>
      <c r="B141" s="499" t="s">
        <v>1400</v>
      </c>
      <c r="C141" s="385" t="s">
        <v>44</v>
      </c>
      <c r="D141" s="262" t="s">
        <v>44</v>
      </c>
      <c r="E141" s="362" t="s">
        <v>33</v>
      </c>
    </row>
    <row r="142" spans="1:5" ht="15.75" thickBot="1" x14ac:dyDescent="0.3">
      <c r="A142" s="419" t="s">
        <v>1401</v>
      </c>
      <c r="B142" s="499" t="s">
        <v>1402</v>
      </c>
      <c r="C142" s="385" t="s">
        <v>44</v>
      </c>
      <c r="D142" s="262" t="s">
        <v>44</v>
      </c>
      <c r="E142" s="362" t="s">
        <v>33</v>
      </c>
    </row>
    <row r="143" spans="1:5" ht="25.9" customHeight="1" thickBot="1" x14ac:dyDescent="0.3">
      <c r="A143" s="419" t="s">
        <v>1403</v>
      </c>
      <c r="B143" s="499" t="s">
        <v>1404</v>
      </c>
      <c r="C143" s="385" t="s">
        <v>44</v>
      </c>
      <c r="D143" s="262" t="s">
        <v>44</v>
      </c>
      <c r="E143" s="362" t="s">
        <v>33</v>
      </c>
    </row>
    <row r="144" spans="1:5" ht="30.75" thickBot="1" x14ac:dyDescent="0.3">
      <c r="A144" s="419" t="s">
        <v>1405</v>
      </c>
      <c r="B144" s="499" t="s">
        <v>1406</v>
      </c>
      <c r="C144" s="385" t="s">
        <v>44</v>
      </c>
      <c r="D144" s="262" t="s">
        <v>44</v>
      </c>
      <c r="E144" s="362" t="s">
        <v>33</v>
      </c>
    </row>
    <row r="145" spans="1:5" ht="15.75" thickBot="1" x14ac:dyDescent="0.3">
      <c r="A145" s="419" t="s">
        <v>1407</v>
      </c>
      <c r="B145" s="499" t="s">
        <v>1408</v>
      </c>
      <c r="C145" s="385" t="s">
        <v>44</v>
      </c>
      <c r="D145" s="262" t="s">
        <v>44</v>
      </c>
      <c r="E145" s="362" t="s">
        <v>33</v>
      </c>
    </row>
    <row r="146" spans="1:5" ht="15.75" thickBot="1" x14ac:dyDescent="0.3">
      <c r="A146" s="419" t="s">
        <v>700</v>
      </c>
      <c r="B146" s="499" t="s">
        <v>1409</v>
      </c>
      <c r="C146" s="385" t="s">
        <v>1124</v>
      </c>
      <c r="D146" s="262" t="s">
        <v>34</v>
      </c>
      <c r="E146" s="362" t="s">
        <v>33</v>
      </c>
    </row>
    <row r="147" spans="1:5" ht="15.75" thickBot="1" x14ac:dyDescent="0.3">
      <c r="A147" s="419" t="s">
        <v>1410</v>
      </c>
      <c r="B147" s="499" t="s">
        <v>1411</v>
      </c>
      <c r="C147" s="385" t="s">
        <v>619</v>
      </c>
      <c r="D147" s="262" t="s">
        <v>34</v>
      </c>
      <c r="E147" s="362" t="s">
        <v>38</v>
      </c>
    </row>
    <row r="148" spans="1:5" ht="15.75" thickBot="1" x14ac:dyDescent="0.3">
      <c r="A148" s="419" t="s">
        <v>1412</v>
      </c>
      <c r="B148" s="499" t="s">
        <v>1102</v>
      </c>
      <c r="C148" s="385" t="s">
        <v>1124</v>
      </c>
      <c r="D148" s="262" t="s">
        <v>34</v>
      </c>
      <c r="E148" s="362" t="s">
        <v>33</v>
      </c>
    </row>
    <row r="149" spans="1:5" ht="15.75" thickBot="1" x14ac:dyDescent="0.3">
      <c r="A149" s="419" t="s">
        <v>1413</v>
      </c>
      <c r="B149" s="499" t="s">
        <v>1414</v>
      </c>
      <c r="C149" s="385" t="s">
        <v>1310</v>
      </c>
      <c r="D149" s="262" t="s">
        <v>34</v>
      </c>
      <c r="E149" s="362" t="s">
        <v>33</v>
      </c>
    </row>
    <row r="150" spans="1:5" ht="15.75" thickBot="1" x14ac:dyDescent="0.3">
      <c r="A150" s="419" t="s">
        <v>809</v>
      </c>
      <c r="B150" s="499" t="s">
        <v>1415</v>
      </c>
      <c r="C150" s="385" t="s">
        <v>1124</v>
      </c>
      <c r="D150" s="262" t="s">
        <v>34</v>
      </c>
      <c r="E150" s="362" t="s">
        <v>33</v>
      </c>
    </row>
    <row r="151" spans="1:5" ht="15.75" thickBot="1" x14ac:dyDescent="0.3">
      <c r="A151" s="419" t="s">
        <v>783</v>
      </c>
      <c r="B151" s="499" t="s">
        <v>1416</v>
      </c>
      <c r="C151" s="385" t="s">
        <v>1124</v>
      </c>
      <c r="D151" s="262" t="s">
        <v>34</v>
      </c>
      <c r="E151" s="362" t="s">
        <v>33</v>
      </c>
    </row>
    <row r="152" spans="1:5" ht="15.75" thickBot="1" x14ac:dyDescent="0.3">
      <c r="A152" s="419" t="s">
        <v>786</v>
      </c>
      <c r="B152" s="499" t="s">
        <v>1417</v>
      </c>
      <c r="C152" s="385" t="s">
        <v>1124</v>
      </c>
      <c r="D152" s="262" t="s">
        <v>34</v>
      </c>
      <c r="E152" s="362" t="s">
        <v>33</v>
      </c>
    </row>
    <row r="153" spans="1:5" ht="29.45" customHeight="1" thickBot="1" x14ac:dyDescent="0.3">
      <c r="A153" s="419" t="s">
        <v>1418</v>
      </c>
      <c r="B153" s="499" t="s">
        <v>1419</v>
      </c>
      <c r="C153" s="385" t="s">
        <v>1124</v>
      </c>
      <c r="D153" s="262" t="s">
        <v>34</v>
      </c>
      <c r="E153" s="362" t="s">
        <v>33</v>
      </c>
    </row>
    <row r="154" spans="1:5" ht="15.75" thickBot="1" x14ac:dyDescent="0.3">
      <c r="A154" s="419" t="s">
        <v>893</v>
      </c>
      <c r="B154" s="499" t="s">
        <v>1420</v>
      </c>
      <c r="C154" s="385" t="s">
        <v>1124</v>
      </c>
      <c r="D154" s="262" t="s">
        <v>34</v>
      </c>
      <c r="E154" s="362" t="s">
        <v>33</v>
      </c>
    </row>
    <row r="155" spans="1:5" ht="30.75" thickBot="1" x14ac:dyDescent="0.3">
      <c r="A155" s="419" t="s">
        <v>1421</v>
      </c>
      <c r="B155" s="499" t="s">
        <v>1422</v>
      </c>
      <c r="C155" s="385" t="s">
        <v>1124</v>
      </c>
      <c r="D155" s="262" t="s">
        <v>34</v>
      </c>
      <c r="E155" s="362" t="s">
        <v>33</v>
      </c>
    </row>
    <row r="156" spans="1:5" ht="30" customHeight="1" thickBot="1" x14ac:dyDescent="0.3">
      <c r="A156" s="419" t="s">
        <v>1126</v>
      </c>
      <c r="B156" s="499" t="s">
        <v>1423</v>
      </c>
      <c r="C156" s="385" t="s">
        <v>1124</v>
      </c>
      <c r="D156" s="262" t="s">
        <v>34</v>
      </c>
      <c r="E156" s="362" t="s">
        <v>33</v>
      </c>
    </row>
    <row r="157" spans="1:5" ht="30.75" thickBot="1" x14ac:dyDescent="0.3">
      <c r="A157" s="419" t="s">
        <v>1424</v>
      </c>
      <c r="B157" s="499" t="s">
        <v>1425</v>
      </c>
      <c r="C157" s="385" t="s">
        <v>44</v>
      </c>
      <c r="D157" s="262" t="s">
        <v>44</v>
      </c>
      <c r="E157" s="362" t="s">
        <v>33</v>
      </c>
    </row>
    <row r="158" spans="1:5" ht="15.75" thickBot="1" x14ac:dyDescent="0.3">
      <c r="A158" s="419" t="s">
        <v>890</v>
      </c>
      <c r="B158" s="499" t="s">
        <v>1426</v>
      </c>
      <c r="C158" s="385" t="s">
        <v>1124</v>
      </c>
      <c r="D158" s="262" t="s">
        <v>34</v>
      </c>
      <c r="E158" s="362" t="s">
        <v>33</v>
      </c>
    </row>
    <row r="159" spans="1:5" ht="15.75" thickBot="1" x14ac:dyDescent="0.3">
      <c r="A159" s="419" t="s">
        <v>1427</v>
      </c>
      <c r="B159" s="499" t="s">
        <v>1127</v>
      </c>
      <c r="C159" s="385" t="s">
        <v>1124</v>
      </c>
      <c r="D159" s="262" t="s">
        <v>34</v>
      </c>
      <c r="E159" s="362" t="s">
        <v>33</v>
      </c>
    </row>
    <row r="160" spans="1:5" ht="30.75" thickBot="1" x14ac:dyDescent="0.3">
      <c r="A160" s="419" t="s">
        <v>1428</v>
      </c>
      <c r="B160" s="499" t="s">
        <v>1429</v>
      </c>
      <c r="C160" s="385" t="s">
        <v>1124</v>
      </c>
      <c r="D160" s="262" t="s">
        <v>34</v>
      </c>
      <c r="E160" s="362" t="s">
        <v>33</v>
      </c>
    </row>
    <row r="161" spans="1:5" ht="30.75" thickBot="1" x14ac:dyDescent="0.3">
      <c r="A161" s="419" t="s">
        <v>896</v>
      </c>
      <c r="B161" s="499" t="s">
        <v>1430</v>
      </c>
      <c r="C161" s="385" t="s">
        <v>1124</v>
      </c>
      <c r="D161" s="262" t="s">
        <v>34</v>
      </c>
      <c r="E161" s="362" t="s">
        <v>33</v>
      </c>
    </row>
    <row r="162" spans="1:5" ht="45.75" thickBot="1" x14ac:dyDescent="0.3">
      <c r="A162" s="419" t="s">
        <v>899</v>
      </c>
      <c r="B162" s="499" t="s">
        <v>1431</v>
      </c>
      <c r="C162" s="385" t="s">
        <v>1124</v>
      </c>
      <c r="D162" s="262" t="s">
        <v>34</v>
      </c>
      <c r="E162" s="362" t="s">
        <v>33</v>
      </c>
    </row>
    <row r="163" spans="1:5" ht="45.75" thickBot="1" x14ac:dyDescent="0.3">
      <c r="A163" s="419" t="s">
        <v>1432</v>
      </c>
      <c r="B163" s="499" t="s">
        <v>1433</v>
      </c>
      <c r="C163" s="385" t="s">
        <v>1124</v>
      </c>
      <c r="D163" s="262" t="s">
        <v>34</v>
      </c>
      <c r="E163" s="362" t="s">
        <v>33</v>
      </c>
    </row>
    <row r="164" spans="1:5" ht="15.75" thickBot="1" x14ac:dyDescent="0.3">
      <c r="A164" s="419" t="s">
        <v>733</v>
      </c>
      <c r="B164" s="499" t="s">
        <v>1434</v>
      </c>
      <c r="C164" s="385" t="s">
        <v>1124</v>
      </c>
      <c r="D164" s="262" t="s">
        <v>34</v>
      </c>
      <c r="E164" s="362" t="s">
        <v>33</v>
      </c>
    </row>
    <row r="165" spans="1:5" ht="23.45" customHeight="1" thickBot="1" x14ac:dyDescent="0.3">
      <c r="A165" s="419" t="s">
        <v>1435</v>
      </c>
      <c r="B165" s="499" t="s">
        <v>1436</v>
      </c>
      <c r="C165" s="385" t="s">
        <v>44</v>
      </c>
      <c r="D165" s="262" t="s">
        <v>44</v>
      </c>
      <c r="E165" s="362" t="s">
        <v>33</v>
      </c>
    </row>
    <row r="166" spans="1:5" ht="30.75" thickBot="1" x14ac:dyDescent="0.3">
      <c r="A166" s="419" t="s">
        <v>903</v>
      </c>
      <c r="B166" s="499" t="s">
        <v>1128</v>
      </c>
      <c r="C166" s="385" t="s">
        <v>1124</v>
      </c>
      <c r="D166" s="262" t="s">
        <v>34</v>
      </c>
      <c r="E166" s="362" t="s">
        <v>33</v>
      </c>
    </row>
    <row r="167" spans="1:5" ht="30.75" thickBot="1" x14ac:dyDescent="0.3">
      <c r="A167" s="419" t="s">
        <v>801</v>
      </c>
      <c r="B167" s="499" t="s">
        <v>1437</v>
      </c>
      <c r="C167" s="385" t="s">
        <v>1124</v>
      </c>
      <c r="D167" s="262" t="s">
        <v>34</v>
      </c>
      <c r="E167" s="362" t="s">
        <v>33</v>
      </c>
    </row>
    <row r="168" spans="1:5" ht="30.75" thickBot="1" x14ac:dyDescent="0.3">
      <c r="A168" s="419" t="s">
        <v>1438</v>
      </c>
      <c r="B168" s="499" t="s">
        <v>1439</v>
      </c>
      <c r="C168" s="385" t="s">
        <v>1124</v>
      </c>
      <c r="D168" s="262" t="s">
        <v>34</v>
      </c>
      <c r="E168" s="362" t="s">
        <v>33</v>
      </c>
    </row>
    <row r="169" spans="1:5" ht="15.75" thickBot="1" x14ac:dyDescent="0.3">
      <c r="A169" s="419" t="s">
        <v>669</v>
      </c>
      <c r="B169" s="499" t="s">
        <v>1440</v>
      </c>
      <c r="C169" s="385" t="s">
        <v>1124</v>
      </c>
      <c r="D169" s="262" t="s">
        <v>34</v>
      </c>
      <c r="E169" s="362" t="s">
        <v>33</v>
      </c>
    </row>
    <row r="170" spans="1:5" ht="15.75" thickBot="1" x14ac:dyDescent="0.3">
      <c r="A170" s="419" t="s">
        <v>653</v>
      </c>
      <c r="B170" s="499" t="s">
        <v>1441</v>
      </c>
      <c r="C170" s="385" t="s">
        <v>619</v>
      </c>
      <c r="D170" s="262" t="s">
        <v>34</v>
      </c>
      <c r="E170" s="362" t="s">
        <v>38</v>
      </c>
    </row>
    <row r="171" spans="1:5" ht="15.75" thickBot="1" x14ac:dyDescent="0.3">
      <c r="A171" s="419" t="s">
        <v>874</v>
      </c>
      <c r="B171" s="499" t="s">
        <v>1442</v>
      </c>
      <c r="C171" s="385" t="s">
        <v>1124</v>
      </c>
      <c r="D171" s="262" t="s">
        <v>34</v>
      </c>
      <c r="E171" s="362" t="s">
        <v>33</v>
      </c>
    </row>
    <row r="172" spans="1:5" ht="15.75" thickBot="1" x14ac:dyDescent="0.3">
      <c r="A172" s="419" t="s">
        <v>1443</v>
      </c>
      <c r="B172" s="499" t="s">
        <v>1444</v>
      </c>
      <c r="C172" s="385" t="s">
        <v>1124</v>
      </c>
      <c r="D172" s="262" t="s">
        <v>34</v>
      </c>
      <c r="E172" s="362" t="s">
        <v>33</v>
      </c>
    </row>
    <row r="173" spans="1:5" ht="15.75" thickBot="1" x14ac:dyDescent="0.3">
      <c r="A173" s="419" t="s">
        <v>1445</v>
      </c>
      <c r="B173" s="499" t="s">
        <v>1446</v>
      </c>
      <c r="C173" s="385" t="s">
        <v>1124</v>
      </c>
      <c r="D173" s="262" t="s">
        <v>34</v>
      </c>
      <c r="E173" s="362" t="s">
        <v>33</v>
      </c>
    </row>
    <row r="174" spans="1:5" ht="15.75" thickBot="1" x14ac:dyDescent="0.3">
      <c r="A174" s="419" t="s">
        <v>672</v>
      </c>
      <c r="B174" s="499" t="s">
        <v>766</v>
      </c>
      <c r="C174" s="385" t="s">
        <v>1124</v>
      </c>
      <c r="D174" s="262" t="s">
        <v>34</v>
      </c>
      <c r="E174" s="362" t="s">
        <v>33</v>
      </c>
    </row>
    <row r="175" spans="1:5" ht="30.75" thickBot="1" x14ac:dyDescent="0.3">
      <c r="A175" s="419" t="s">
        <v>693</v>
      </c>
      <c r="B175" s="499" t="s">
        <v>1447</v>
      </c>
      <c r="C175" s="385" t="s">
        <v>1124</v>
      </c>
      <c r="D175" s="262" t="s">
        <v>34</v>
      </c>
      <c r="E175" s="362" t="s">
        <v>33</v>
      </c>
    </row>
    <row r="176" spans="1:5" ht="24" customHeight="1" thickBot="1" x14ac:dyDescent="0.3">
      <c r="A176" s="419" t="s">
        <v>683</v>
      </c>
      <c r="B176" s="499" t="s">
        <v>1448</v>
      </c>
      <c r="C176" s="385" t="s">
        <v>1124</v>
      </c>
      <c r="D176" s="262" t="s">
        <v>34</v>
      </c>
      <c r="E176" s="362" t="s">
        <v>33</v>
      </c>
    </row>
    <row r="177" spans="1:6" ht="15.75" thickBot="1" x14ac:dyDescent="0.3">
      <c r="A177" s="419" t="s">
        <v>1449</v>
      </c>
      <c r="B177" s="499" t="s">
        <v>1450</v>
      </c>
      <c r="C177" s="385" t="s">
        <v>1124</v>
      </c>
      <c r="D177" s="262" t="s">
        <v>39</v>
      </c>
      <c r="E177" s="362" t="s">
        <v>33</v>
      </c>
    </row>
    <row r="178" spans="1:6" ht="15.75" thickBot="1" x14ac:dyDescent="0.3">
      <c r="A178" s="419" t="s">
        <v>1451</v>
      </c>
      <c r="B178" s="499" t="s">
        <v>1452</v>
      </c>
      <c r="C178" s="385" t="s">
        <v>1124</v>
      </c>
      <c r="D178" s="262" t="s">
        <v>34</v>
      </c>
      <c r="E178" s="362" t="s">
        <v>33</v>
      </c>
    </row>
    <row r="179" spans="1:6" ht="15.75" thickBot="1" x14ac:dyDescent="0.3">
      <c r="A179" s="419" t="s">
        <v>1453</v>
      </c>
      <c r="B179" s="499" t="s">
        <v>1454</v>
      </c>
      <c r="C179" s="385" t="s">
        <v>1124</v>
      </c>
      <c r="D179" s="262" t="s">
        <v>34</v>
      </c>
      <c r="E179" s="362" t="s">
        <v>33</v>
      </c>
    </row>
    <row r="180" spans="1:6" ht="15.75" thickBot="1" x14ac:dyDescent="0.3">
      <c r="A180" s="419" t="s">
        <v>1455</v>
      </c>
      <c r="B180" s="501" t="s">
        <v>1456</v>
      </c>
      <c r="C180" s="495" t="s">
        <v>44</v>
      </c>
      <c r="D180" s="494" t="s">
        <v>44</v>
      </c>
      <c r="E180" s="502" t="s">
        <v>33</v>
      </c>
      <c r="F180" t="s">
        <v>1457</v>
      </c>
    </row>
    <row r="181" spans="1:6" ht="30.75" thickBot="1" x14ac:dyDescent="0.3">
      <c r="A181" s="419" t="s">
        <v>1458</v>
      </c>
      <c r="B181" s="499" t="s">
        <v>1459</v>
      </c>
      <c r="C181" s="385" t="s">
        <v>1124</v>
      </c>
      <c r="D181" s="262" t="s">
        <v>44</v>
      </c>
      <c r="E181" s="362" t="s">
        <v>33</v>
      </c>
    </row>
    <row r="182" spans="1:6" ht="15.75" thickBot="1" x14ac:dyDescent="0.3">
      <c r="A182" s="419" t="s">
        <v>753</v>
      </c>
      <c r="B182" s="499" t="s">
        <v>1460</v>
      </c>
      <c r="C182" s="385" t="s">
        <v>1124</v>
      </c>
      <c r="D182" s="262" t="s">
        <v>34</v>
      </c>
      <c r="E182" s="362" t="s">
        <v>33</v>
      </c>
    </row>
    <row r="183" spans="1:6" ht="15.75" thickBot="1" x14ac:dyDescent="0.3">
      <c r="A183" s="419" t="s">
        <v>1461</v>
      </c>
      <c r="B183" s="499" t="s">
        <v>1462</v>
      </c>
      <c r="C183" s="385" t="s">
        <v>1124</v>
      </c>
      <c r="D183" s="262" t="s">
        <v>44</v>
      </c>
      <c r="E183" s="362" t="s">
        <v>33</v>
      </c>
    </row>
    <row r="184" spans="1:6" ht="30.75" thickBot="1" x14ac:dyDescent="0.3">
      <c r="A184" s="419" t="s">
        <v>1082</v>
      </c>
      <c r="B184" s="499" t="s">
        <v>1463</v>
      </c>
      <c r="C184" s="385" t="s">
        <v>1124</v>
      </c>
      <c r="D184" s="262" t="s">
        <v>34</v>
      </c>
      <c r="E184" s="362" t="s">
        <v>33</v>
      </c>
    </row>
    <row r="185" spans="1:6" ht="15.75" thickBot="1" x14ac:dyDescent="0.3">
      <c r="A185" s="419" t="s">
        <v>1464</v>
      </c>
      <c r="B185" s="499" t="s">
        <v>1465</v>
      </c>
      <c r="C185" s="385" t="s">
        <v>1124</v>
      </c>
      <c r="D185" s="262" t="s">
        <v>34</v>
      </c>
      <c r="E185" s="362" t="s">
        <v>33</v>
      </c>
    </row>
    <row r="186" spans="1:6" ht="15.75" thickBot="1" x14ac:dyDescent="0.3">
      <c r="A186" s="419" t="s">
        <v>1466</v>
      </c>
      <c r="B186" s="499" t="s">
        <v>1467</v>
      </c>
      <c r="C186" s="385" t="s">
        <v>1124</v>
      </c>
      <c r="D186" s="262" t="s">
        <v>34</v>
      </c>
      <c r="E186" s="362" t="s">
        <v>33</v>
      </c>
    </row>
    <row r="187" spans="1:6" ht="15.75" thickBot="1" x14ac:dyDescent="0.3">
      <c r="A187" s="419" t="s">
        <v>1468</v>
      </c>
      <c r="B187" s="499" t="s">
        <v>1469</v>
      </c>
      <c r="C187" s="385" t="s">
        <v>44</v>
      </c>
      <c r="D187" s="262" t="s">
        <v>34</v>
      </c>
      <c r="E187" s="362" t="s">
        <v>33</v>
      </c>
    </row>
    <row r="188" spans="1:6" ht="15.75" thickBot="1" x14ac:dyDescent="0.3">
      <c r="A188" s="419" t="s">
        <v>1470</v>
      </c>
      <c r="B188" s="499" t="s">
        <v>1471</v>
      </c>
      <c r="C188" s="385" t="s">
        <v>1124</v>
      </c>
      <c r="D188" s="262" t="s">
        <v>43</v>
      </c>
      <c r="E188" s="362" t="s">
        <v>33</v>
      </c>
    </row>
    <row r="189" spans="1:6" ht="30.75" thickBot="1" x14ac:dyDescent="0.3">
      <c r="A189" s="419" t="s">
        <v>906</v>
      </c>
      <c r="B189" s="499" t="s">
        <v>907</v>
      </c>
      <c r="C189" s="385" t="s">
        <v>1124</v>
      </c>
      <c r="D189" s="262" t="s">
        <v>34</v>
      </c>
      <c r="E189" s="362" t="s">
        <v>33</v>
      </c>
    </row>
    <row r="190" spans="1:6" ht="30.75" thickBot="1" x14ac:dyDescent="0.3">
      <c r="A190" s="419" t="s">
        <v>1472</v>
      </c>
      <c r="B190" s="501" t="s">
        <v>1473</v>
      </c>
      <c r="C190" s="495" t="s">
        <v>44</v>
      </c>
      <c r="D190" s="494" t="s">
        <v>34</v>
      </c>
      <c r="E190" s="502" t="s">
        <v>33</v>
      </c>
      <c r="F190" t="s">
        <v>1474</v>
      </c>
    </row>
    <row r="191" spans="1:6" ht="30.75" thickBot="1" x14ac:dyDescent="0.3">
      <c r="A191" s="419" t="s">
        <v>1475</v>
      </c>
      <c r="B191" s="499" t="s">
        <v>1476</v>
      </c>
      <c r="C191" s="385" t="s">
        <v>1124</v>
      </c>
      <c r="D191" s="262" t="s">
        <v>34</v>
      </c>
      <c r="E191" s="362" t="s">
        <v>33</v>
      </c>
    </row>
    <row r="192" spans="1:6" ht="30.75" thickBot="1" x14ac:dyDescent="0.3">
      <c r="A192" s="419" t="s">
        <v>711</v>
      </c>
      <c r="B192" s="499" t="s">
        <v>1477</v>
      </c>
      <c r="C192" s="385" t="s">
        <v>1124</v>
      </c>
      <c r="D192" s="262" t="s">
        <v>34</v>
      </c>
      <c r="E192" s="362" t="s">
        <v>33</v>
      </c>
    </row>
    <row r="193" spans="1:6" ht="15.75" thickBot="1" x14ac:dyDescent="0.3">
      <c r="A193" s="419" t="s">
        <v>1478</v>
      </c>
      <c r="B193" s="499" t="s">
        <v>1479</v>
      </c>
      <c r="C193" s="385" t="s">
        <v>44</v>
      </c>
      <c r="D193" s="262" t="s">
        <v>44</v>
      </c>
      <c r="E193" s="362" t="s">
        <v>33</v>
      </c>
    </row>
    <row r="194" spans="1:6" ht="30.75" thickBot="1" x14ac:dyDescent="0.3">
      <c r="A194" s="419" t="s">
        <v>1129</v>
      </c>
      <c r="B194" s="499" t="s">
        <v>1130</v>
      </c>
      <c r="C194" s="385" t="s">
        <v>1124</v>
      </c>
      <c r="D194" s="262" t="s">
        <v>34</v>
      </c>
      <c r="E194" s="362" t="s">
        <v>33</v>
      </c>
      <c r="F194" t="s">
        <v>1480</v>
      </c>
    </row>
    <row r="195" spans="1:6" ht="15.75" thickBot="1" x14ac:dyDescent="0.3">
      <c r="A195" s="419" t="s">
        <v>1481</v>
      </c>
      <c r="B195" s="499" t="s">
        <v>1482</v>
      </c>
      <c r="C195" s="385" t="s">
        <v>1124</v>
      </c>
      <c r="D195" s="262" t="s">
        <v>34</v>
      </c>
      <c r="E195" s="362" t="s">
        <v>33</v>
      </c>
    </row>
    <row r="196" spans="1:6" ht="30.75" thickBot="1" x14ac:dyDescent="0.3">
      <c r="A196" s="419" t="s">
        <v>1483</v>
      </c>
      <c r="B196" s="499" t="s">
        <v>1484</v>
      </c>
      <c r="C196" s="385" t="s">
        <v>44</v>
      </c>
      <c r="D196" s="262" t="s">
        <v>44</v>
      </c>
      <c r="E196" s="362" t="s">
        <v>33</v>
      </c>
    </row>
    <row r="197" spans="1:6" ht="15.75" thickBot="1" x14ac:dyDescent="0.3">
      <c r="A197" s="419" t="s">
        <v>1485</v>
      </c>
      <c r="B197" s="499" t="s">
        <v>1486</v>
      </c>
      <c r="C197" s="385" t="s">
        <v>1124</v>
      </c>
      <c r="D197" s="262" t="s">
        <v>34</v>
      </c>
      <c r="E197" s="362" t="s">
        <v>33</v>
      </c>
      <c r="F197" t="s">
        <v>1480</v>
      </c>
    </row>
    <row r="198" spans="1:6" ht="30.75" thickBot="1" x14ac:dyDescent="0.3">
      <c r="A198" s="419" t="s">
        <v>1487</v>
      </c>
      <c r="B198" s="499" t="s">
        <v>1488</v>
      </c>
      <c r="C198" s="385" t="s">
        <v>1124</v>
      </c>
      <c r="D198" s="262" t="s">
        <v>34</v>
      </c>
      <c r="E198" s="362" t="s">
        <v>33</v>
      </c>
    </row>
    <row r="199" spans="1:6" ht="15.75" thickBot="1" x14ac:dyDescent="0.3">
      <c r="A199" s="419" t="s">
        <v>1489</v>
      </c>
      <c r="B199" s="499" t="s">
        <v>1490</v>
      </c>
      <c r="C199" s="385" t="s">
        <v>1124</v>
      </c>
      <c r="D199" s="262" t="s">
        <v>34</v>
      </c>
      <c r="E199" s="362" t="s">
        <v>33</v>
      </c>
    </row>
    <row r="200" spans="1:6" ht="15.75" thickBot="1" x14ac:dyDescent="0.3">
      <c r="A200" s="419" t="s">
        <v>1491</v>
      </c>
      <c r="B200" s="499" t="s">
        <v>1492</v>
      </c>
      <c r="C200" s="385" t="s">
        <v>1124</v>
      </c>
      <c r="D200" s="262" t="s">
        <v>34</v>
      </c>
      <c r="E200" s="362" t="s">
        <v>33</v>
      </c>
      <c r="F200" s="500" t="s">
        <v>1493</v>
      </c>
    </row>
    <row r="201" spans="1:6" ht="30.75" thickBot="1" x14ac:dyDescent="0.3">
      <c r="A201" s="419" t="s">
        <v>1494</v>
      </c>
      <c r="B201" s="499" t="s">
        <v>1495</v>
      </c>
      <c r="C201" s="385" t="s">
        <v>1124</v>
      </c>
      <c r="D201" s="262" t="s">
        <v>34</v>
      </c>
      <c r="E201" s="362" t="s">
        <v>33</v>
      </c>
    </row>
    <row r="202" spans="1:6" ht="30.75" thickBot="1" x14ac:dyDescent="0.3">
      <c r="A202" s="419" t="s">
        <v>1496</v>
      </c>
      <c r="B202" s="499" t="s">
        <v>1497</v>
      </c>
      <c r="C202" s="385" t="s">
        <v>1124</v>
      </c>
      <c r="D202" s="262" t="s">
        <v>34</v>
      </c>
      <c r="E202" s="362" t="s">
        <v>33</v>
      </c>
    </row>
    <row r="203" spans="1:6" ht="30.75" thickBot="1" x14ac:dyDescent="0.3">
      <c r="A203" s="419" t="s">
        <v>1498</v>
      </c>
      <c r="B203" s="499" t="s">
        <v>1499</v>
      </c>
      <c r="C203" s="385" t="s">
        <v>1124</v>
      </c>
      <c r="D203" s="262" t="s">
        <v>34</v>
      </c>
      <c r="E203" s="362" t="s">
        <v>33</v>
      </c>
    </row>
    <row r="204" spans="1:6" ht="30.75" thickBot="1" x14ac:dyDescent="0.3">
      <c r="A204" s="419" t="s">
        <v>1500</v>
      </c>
      <c r="B204" s="499" t="s">
        <v>1501</v>
      </c>
      <c r="C204" s="385" t="s">
        <v>1124</v>
      </c>
      <c r="D204" s="262" t="s">
        <v>44</v>
      </c>
      <c r="E204" s="362" t="s">
        <v>33</v>
      </c>
    </row>
    <row r="205" spans="1:6" ht="15.75" thickBot="1" x14ac:dyDescent="0.3">
      <c r="A205" s="419" t="s">
        <v>1502</v>
      </c>
      <c r="B205" s="499" t="s">
        <v>1503</v>
      </c>
      <c r="C205" s="385" t="s">
        <v>1124</v>
      </c>
      <c r="D205" s="262" t="s">
        <v>34</v>
      </c>
      <c r="E205" s="362" t="s">
        <v>33</v>
      </c>
    </row>
    <row r="206" spans="1:6" ht="30.75" thickBot="1" x14ac:dyDescent="0.3">
      <c r="A206" s="419" t="s">
        <v>1504</v>
      </c>
      <c r="B206" s="499" t="s">
        <v>1505</v>
      </c>
      <c r="C206" s="385" t="s">
        <v>1124</v>
      </c>
      <c r="D206" s="262" t="s">
        <v>34</v>
      </c>
      <c r="E206" s="362" t="s">
        <v>33</v>
      </c>
    </row>
    <row r="207" spans="1:6" ht="15.75" thickBot="1" x14ac:dyDescent="0.3">
      <c r="A207" s="419" t="s">
        <v>1506</v>
      </c>
      <c r="B207" s="499" t="s">
        <v>1507</v>
      </c>
      <c r="C207" s="385" t="s">
        <v>1124</v>
      </c>
      <c r="D207" s="262" t="s">
        <v>34</v>
      </c>
      <c r="E207" s="362" t="s">
        <v>33</v>
      </c>
    </row>
    <row r="208" spans="1:6" ht="30.75" thickBot="1" x14ac:dyDescent="0.3">
      <c r="A208" s="419" t="s">
        <v>1508</v>
      </c>
      <c r="B208" s="499" t="s">
        <v>1509</v>
      </c>
      <c r="C208" s="385" t="s">
        <v>1124</v>
      </c>
      <c r="D208" s="262" t="s">
        <v>43</v>
      </c>
      <c r="E208" s="362" t="s">
        <v>33</v>
      </c>
    </row>
    <row r="209" spans="1:6" ht="15.75" thickBot="1" x14ac:dyDescent="0.3">
      <c r="A209" s="419" t="s">
        <v>1510</v>
      </c>
      <c r="B209" s="499" t="s">
        <v>1511</v>
      </c>
      <c r="C209" s="385" t="s">
        <v>44</v>
      </c>
      <c r="D209" s="262" t="s">
        <v>44</v>
      </c>
      <c r="E209" s="362" t="s">
        <v>33</v>
      </c>
    </row>
    <row r="210" spans="1:6" ht="15.75" thickBot="1" x14ac:dyDescent="0.3">
      <c r="A210" s="419" t="s">
        <v>1512</v>
      </c>
      <c r="B210" s="499" t="s">
        <v>1513</v>
      </c>
      <c r="C210" s="385" t="s">
        <v>44</v>
      </c>
      <c r="D210" s="262" t="s">
        <v>44</v>
      </c>
      <c r="E210" s="362" t="s">
        <v>33</v>
      </c>
    </row>
    <row r="211" spans="1:6" ht="15.75" thickBot="1" x14ac:dyDescent="0.3">
      <c r="A211" s="419" t="s">
        <v>1514</v>
      </c>
      <c r="B211" s="499" t="s">
        <v>1515</v>
      </c>
      <c r="C211" s="385" t="s">
        <v>44</v>
      </c>
      <c r="D211" s="262" t="s">
        <v>43</v>
      </c>
      <c r="E211" s="362" t="s">
        <v>33</v>
      </c>
    </row>
    <row r="212" spans="1:6" ht="15.75" thickBot="1" x14ac:dyDescent="0.3">
      <c r="A212" s="419" t="s">
        <v>1516</v>
      </c>
      <c r="B212" s="499" t="s">
        <v>1517</v>
      </c>
      <c r="C212" s="385" t="s">
        <v>44</v>
      </c>
      <c r="D212" s="262" t="s">
        <v>44</v>
      </c>
      <c r="E212" s="362" t="s">
        <v>33</v>
      </c>
    </row>
    <row r="213" spans="1:6" ht="15.75" thickBot="1" x14ac:dyDescent="0.3">
      <c r="A213" s="419" t="s">
        <v>1518</v>
      </c>
      <c r="B213" s="499" t="s">
        <v>1519</v>
      </c>
      <c r="C213" s="385" t="s">
        <v>44</v>
      </c>
      <c r="D213" s="262" t="s">
        <v>44</v>
      </c>
      <c r="E213" s="362" t="s">
        <v>33</v>
      </c>
    </row>
    <row r="214" spans="1:6" ht="15.75" thickBot="1" x14ac:dyDescent="0.3">
      <c r="A214" s="419" t="s">
        <v>1131</v>
      </c>
      <c r="B214" s="499" t="s">
        <v>1132</v>
      </c>
      <c r="C214" s="385" t="s">
        <v>1124</v>
      </c>
      <c r="D214" s="262" t="s">
        <v>34</v>
      </c>
      <c r="E214" s="362" t="s">
        <v>33</v>
      </c>
      <c r="F214" t="s">
        <v>1520</v>
      </c>
    </row>
    <row r="215" spans="1:6" ht="15.75" thickBot="1" x14ac:dyDescent="0.3">
      <c r="A215" s="419" t="s">
        <v>1521</v>
      </c>
      <c r="B215" s="499" t="s">
        <v>1522</v>
      </c>
      <c r="C215" s="385" t="s">
        <v>1124</v>
      </c>
      <c r="D215" s="262" t="s">
        <v>34</v>
      </c>
      <c r="E215" s="362" t="s">
        <v>33</v>
      </c>
      <c r="F215" t="s">
        <v>1520</v>
      </c>
    </row>
    <row r="216" spans="1:6" ht="15.75" thickBot="1" x14ac:dyDescent="0.3">
      <c r="A216" s="419" t="s">
        <v>1523</v>
      </c>
      <c r="B216" s="499" t="s">
        <v>1524</v>
      </c>
      <c r="C216" s="385" t="s">
        <v>1124</v>
      </c>
      <c r="D216" s="262" t="s">
        <v>34</v>
      </c>
      <c r="E216" s="362" t="s">
        <v>33</v>
      </c>
    </row>
    <row r="217" spans="1:6" ht="15.75" thickBot="1" x14ac:dyDescent="0.3">
      <c r="A217" s="419" t="s">
        <v>1525</v>
      </c>
      <c r="B217" s="499" t="s">
        <v>1526</v>
      </c>
      <c r="C217" s="385" t="s">
        <v>1124</v>
      </c>
      <c r="D217" s="262" t="s">
        <v>43</v>
      </c>
      <c r="E217" s="362" t="s">
        <v>33</v>
      </c>
    </row>
    <row r="218" spans="1:6" ht="15.75" thickBot="1" x14ac:dyDescent="0.3">
      <c r="A218" s="419" t="s">
        <v>1527</v>
      </c>
      <c r="B218" s="499" t="s">
        <v>1528</v>
      </c>
      <c r="C218" s="385" t="s">
        <v>44</v>
      </c>
      <c r="D218" s="262" t="s">
        <v>44</v>
      </c>
      <c r="E218" s="362" t="s">
        <v>33</v>
      </c>
    </row>
    <row r="219" spans="1:6" ht="15.75" thickBot="1" x14ac:dyDescent="0.3">
      <c r="A219" s="419" t="s">
        <v>1529</v>
      </c>
      <c r="B219" s="499" t="s">
        <v>1530</v>
      </c>
      <c r="C219" s="385" t="s">
        <v>44</v>
      </c>
      <c r="D219" s="262" t="s">
        <v>44</v>
      </c>
      <c r="E219" s="362" t="s">
        <v>33</v>
      </c>
    </row>
    <row r="220" spans="1:6" ht="15.75" thickBot="1" x14ac:dyDescent="0.3">
      <c r="A220" s="419" t="s">
        <v>1531</v>
      </c>
      <c r="B220" s="499" t="s">
        <v>1532</v>
      </c>
      <c r="C220" s="385" t="s">
        <v>44</v>
      </c>
      <c r="D220" s="262" t="s">
        <v>44</v>
      </c>
      <c r="E220" s="362" t="s">
        <v>33</v>
      </c>
    </row>
    <row r="221" spans="1:6" ht="30.75" thickBot="1" x14ac:dyDescent="0.3">
      <c r="A221" s="419" t="s">
        <v>1533</v>
      </c>
      <c r="B221" s="499" t="s">
        <v>1534</v>
      </c>
      <c r="C221" s="385" t="s">
        <v>44</v>
      </c>
      <c r="D221" s="262" t="s">
        <v>44</v>
      </c>
      <c r="E221" s="362" t="s">
        <v>33</v>
      </c>
    </row>
    <row r="222" spans="1:6" ht="30.75" thickBot="1" x14ac:dyDescent="0.3">
      <c r="A222" s="419" t="s">
        <v>1133</v>
      </c>
      <c r="B222" s="499" t="s">
        <v>1134</v>
      </c>
      <c r="C222" s="385" t="s">
        <v>1124</v>
      </c>
      <c r="D222" s="262" t="s">
        <v>34</v>
      </c>
      <c r="E222" s="362" t="s">
        <v>33</v>
      </c>
      <c r="F222" t="s">
        <v>1520</v>
      </c>
    </row>
    <row r="223" spans="1:6" ht="15.75" thickBot="1" x14ac:dyDescent="0.3">
      <c r="A223" s="419" t="s">
        <v>1535</v>
      </c>
      <c r="B223" s="499" t="s">
        <v>1536</v>
      </c>
      <c r="C223" s="385" t="s">
        <v>44</v>
      </c>
      <c r="D223" s="262" t="s">
        <v>44</v>
      </c>
      <c r="E223" s="362" t="s">
        <v>33</v>
      </c>
    </row>
    <row r="224" spans="1:6" ht="15.75" thickBot="1" x14ac:dyDescent="0.3">
      <c r="A224" s="419" t="s">
        <v>1537</v>
      </c>
      <c r="B224" s="499" t="s">
        <v>1538</v>
      </c>
      <c r="C224" s="385" t="s">
        <v>1124</v>
      </c>
      <c r="D224" s="262" t="s">
        <v>43</v>
      </c>
      <c r="E224" s="362" t="s">
        <v>33</v>
      </c>
    </row>
    <row r="225" spans="1:5" ht="15.75" thickBot="1" x14ac:dyDescent="0.3">
      <c r="A225" s="419" t="s">
        <v>1539</v>
      </c>
      <c r="B225" s="499" t="s">
        <v>1540</v>
      </c>
      <c r="C225" s="385" t="s">
        <v>1124</v>
      </c>
      <c r="D225" s="262" t="s">
        <v>43</v>
      </c>
      <c r="E225" s="362" t="s">
        <v>33</v>
      </c>
    </row>
    <row r="226" spans="1:5" ht="15.75" thickBot="1" x14ac:dyDescent="0.3">
      <c r="A226" s="419" t="s">
        <v>1541</v>
      </c>
      <c r="B226" s="499" t="s">
        <v>1542</v>
      </c>
      <c r="C226" s="385" t="s">
        <v>1124</v>
      </c>
      <c r="D226" s="262" t="s">
        <v>34</v>
      </c>
      <c r="E226" s="362" t="s">
        <v>33</v>
      </c>
    </row>
    <row r="227" spans="1:5" ht="15.75" thickBot="1" x14ac:dyDescent="0.3">
      <c r="A227" s="419" t="s">
        <v>1543</v>
      </c>
      <c r="B227" s="499" t="s">
        <v>1544</v>
      </c>
      <c r="C227" s="385" t="s">
        <v>1124</v>
      </c>
      <c r="D227" s="262" t="s">
        <v>34</v>
      </c>
      <c r="E227" s="362" t="s">
        <v>33</v>
      </c>
    </row>
    <row r="228" spans="1:5" ht="15.75" thickBot="1" x14ac:dyDescent="0.3">
      <c r="A228" s="419" t="s">
        <v>1545</v>
      </c>
      <c r="B228" s="499" t="s">
        <v>1546</v>
      </c>
      <c r="C228" s="385" t="s">
        <v>44</v>
      </c>
      <c r="D228" s="262" t="s">
        <v>44</v>
      </c>
      <c r="E228" s="362" t="s">
        <v>33</v>
      </c>
    </row>
    <row r="229" spans="1:5" ht="15.75" thickBot="1" x14ac:dyDescent="0.3">
      <c r="A229" s="419" t="s">
        <v>1547</v>
      </c>
      <c r="B229" s="499" t="s">
        <v>1548</v>
      </c>
      <c r="C229" s="385" t="s">
        <v>44</v>
      </c>
      <c r="D229" s="262" t="s">
        <v>44</v>
      </c>
      <c r="E229" s="362" t="s">
        <v>33</v>
      </c>
    </row>
    <row r="230" spans="1:5" ht="15.75" thickBot="1" x14ac:dyDescent="0.3">
      <c r="A230" s="419" t="s">
        <v>1549</v>
      </c>
      <c r="B230" s="499" t="s">
        <v>1550</v>
      </c>
      <c r="C230" s="385" t="s">
        <v>44</v>
      </c>
      <c r="D230" s="262" t="s">
        <v>44</v>
      </c>
      <c r="E230" s="362" t="s">
        <v>33</v>
      </c>
    </row>
    <row r="231" spans="1:5" ht="15.75" thickBot="1" x14ac:dyDescent="0.3">
      <c r="A231" s="419" t="s">
        <v>1551</v>
      </c>
      <c r="B231" s="499" t="s">
        <v>1552</v>
      </c>
      <c r="C231" s="385" t="s">
        <v>44</v>
      </c>
      <c r="D231" s="262" t="s">
        <v>44</v>
      </c>
      <c r="E231" s="362" t="s">
        <v>33</v>
      </c>
    </row>
    <row r="232" spans="1:5" ht="30.75" thickBot="1" x14ac:dyDescent="0.3">
      <c r="A232" s="419" t="s">
        <v>1553</v>
      </c>
      <c r="B232" s="499" t="s">
        <v>1554</v>
      </c>
      <c r="C232" s="385" t="s">
        <v>44</v>
      </c>
      <c r="D232" s="262" t="s">
        <v>44</v>
      </c>
      <c r="E232" s="362" t="s">
        <v>33</v>
      </c>
    </row>
    <row r="233" spans="1:5" ht="15.75" thickBot="1" x14ac:dyDescent="0.3">
      <c r="A233" s="419" t="s">
        <v>1555</v>
      </c>
      <c r="B233" s="499" t="s">
        <v>1556</v>
      </c>
      <c r="C233" s="385" t="s">
        <v>44</v>
      </c>
      <c r="D233" s="262" t="s">
        <v>44</v>
      </c>
      <c r="E233" s="362" t="s">
        <v>33</v>
      </c>
    </row>
    <row r="234" spans="1:5" ht="15.75" thickBot="1" x14ac:dyDescent="0.3">
      <c r="A234" s="419" t="s">
        <v>1557</v>
      </c>
      <c r="B234" s="499" t="s">
        <v>1558</v>
      </c>
      <c r="C234" s="385" t="s">
        <v>44</v>
      </c>
      <c r="D234" s="262" t="s">
        <v>44</v>
      </c>
      <c r="E234" s="362" t="s">
        <v>33</v>
      </c>
    </row>
    <row r="235" spans="1:5" ht="15.75" thickBot="1" x14ac:dyDescent="0.3">
      <c r="A235" s="419" t="s">
        <v>1559</v>
      </c>
      <c r="B235" s="499" t="s">
        <v>1560</v>
      </c>
      <c r="C235" s="385" t="s">
        <v>44</v>
      </c>
      <c r="D235" s="262" t="s">
        <v>44</v>
      </c>
      <c r="E235" s="362" t="s">
        <v>33</v>
      </c>
    </row>
    <row r="236" spans="1:5" ht="15.75" thickBot="1" x14ac:dyDescent="0.3">
      <c r="A236" s="419" t="s">
        <v>1561</v>
      </c>
      <c r="B236" s="499" t="s">
        <v>1562</v>
      </c>
      <c r="C236" s="385" t="s">
        <v>44</v>
      </c>
      <c r="D236" s="262" t="s">
        <v>44</v>
      </c>
      <c r="E236" s="362" t="s">
        <v>33</v>
      </c>
    </row>
    <row r="237" spans="1:5" ht="15.75" thickBot="1" x14ac:dyDescent="0.3">
      <c r="A237" s="419" t="s">
        <v>1563</v>
      </c>
      <c r="B237" s="499" t="s">
        <v>1564</v>
      </c>
      <c r="C237" s="385" t="s">
        <v>44</v>
      </c>
      <c r="D237" s="262" t="s">
        <v>44</v>
      </c>
      <c r="E237" s="362" t="s">
        <v>33</v>
      </c>
    </row>
    <row r="238" spans="1:5" ht="15.75" thickBot="1" x14ac:dyDescent="0.3">
      <c r="A238" s="419" t="s">
        <v>1565</v>
      </c>
      <c r="B238" s="499" t="s">
        <v>1566</v>
      </c>
      <c r="C238" s="385" t="s">
        <v>44</v>
      </c>
      <c r="D238" s="262" t="s">
        <v>44</v>
      </c>
      <c r="E238" s="362" t="s">
        <v>33</v>
      </c>
    </row>
    <row r="239" spans="1:5" ht="15.75" thickBot="1" x14ac:dyDescent="0.3">
      <c r="A239" s="419" t="s">
        <v>1567</v>
      </c>
      <c r="B239" s="499" t="s">
        <v>1568</v>
      </c>
      <c r="C239" s="385" t="s">
        <v>44</v>
      </c>
      <c r="D239" s="262" t="s">
        <v>44</v>
      </c>
      <c r="E239" s="362" t="s">
        <v>33</v>
      </c>
    </row>
    <row r="240" spans="1:5" ht="15.75" thickBot="1" x14ac:dyDescent="0.3">
      <c r="A240" s="419" t="s">
        <v>1569</v>
      </c>
      <c r="B240" s="499" t="s">
        <v>1570</v>
      </c>
      <c r="C240" s="385" t="s">
        <v>1124</v>
      </c>
      <c r="D240" s="262" t="s">
        <v>34</v>
      </c>
      <c r="E240" s="362" t="s">
        <v>33</v>
      </c>
    </row>
    <row r="241" spans="1:6" ht="15.75" thickBot="1" x14ac:dyDescent="0.3">
      <c r="A241" s="419" t="s">
        <v>1571</v>
      </c>
      <c r="B241" s="499" t="s">
        <v>1572</v>
      </c>
      <c r="C241" s="385" t="s">
        <v>1124</v>
      </c>
      <c r="D241" s="262" t="s">
        <v>43</v>
      </c>
      <c r="E241" s="362" t="s">
        <v>33</v>
      </c>
    </row>
    <row r="242" spans="1:6" ht="15.75" thickBot="1" x14ac:dyDescent="0.3">
      <c r="A242" s="419" t="s">
        <v>1573</v>
      </c>
      <c r="B242" s="499" t="s">
        <v>1574</v>
      </c>
      <c r="C242" s="385" t="s">
        <v>1124</v>
      </c>
      <c r="D242" s="262" t="s">
        <v>43</v>
      </c>
      <c r="E242" s="362" t="s">
        <v>33</v>
      </c>
      <c r="F242" t="s">
        <v>1575</v>
      </c>
    </row>
    <row r="243" spans="1:6" ht="15.75" thickBot="1" x14ac:dyDescent="0.3">
      <c r="A243" s="419" t="s">
        <v>1576</v>
      </c>
      <c r="B243" s="499" t="s">
        <v>1577</v>
      </c>
      <c r="C243" s="385" t="s">
        <v>1124</v>
      </c>
      <c r="D243" s="262" t="s">
        <v>43</v>
      </c>
      <c r="E243" s="362" t="s">
        <v>33</v>
      </c>
      <c r="F243" t="s">
        <v>1575</v>
      </c>
    </row>
    <row r="244" spans="1:6" ht="15.75" thickBot="1" x14ac:dyDescent="0.3">
      <c r="A244" s="419" t="s">
        <v>1578</v>
      </c>
      <c r="B244" s="499" t="s">
        <v>1579</v>
      </c>
      <c r="C244" s="385" t="s">
        <v>1124</v>
      </c>
      <c r="D244" s="262" t="s">
        <v>34</v>
      </c>
      <c r="E244" s="362" t="s">
        <v>33</v>
      </c>
      <c r="F244" t="s">
        <v>1580</v>
      </c>
    </row>
    <row r="245" spans="1:6" ht="15.75" thickBot="1" x14ac:dyDescent="0.3">
      <c r="A245" s="419" t="s">
        <v>1581</v>
      </c>
      <c r="B245" s="499" t="s">
        <v>1582</v>
      </c>
      <c r="C245" s="385" t="s">
        <v>44</v>
      </c>
      <c r="D245" s="262" t="s">
        <v>44</v>
      </c>
      <c r="E245" s="362" t="s">
        <v>33</v>
      </c>
    </row>
    <row r="246" spans="1:6" ht="15.75" thickBot="1" x14ac:dyDescent="0.3">
      <c r="A246" s="419" t="s">
        <v>1583</v>
      </c>
      <c r="B246" s="499" t="s">
        <v>1584</v>
      </c>
      <c r="C246" s="385" t="s">
        <v>1124</v>
      </c>
      <c r="D246" s="262" t="s">
        <v>43</v>
      </c>
      <c r="E246" s="362" t="s">
        <v>33</v>
      </c>
    </row>
    <row r="247" spans="1:6" ht="30.75" thickBot="1" x14ac:dyDescent="0.3">
      <c r="A247" s="419" t="s">
        <v>1585</v>
      </c>
      <c r="B247" s="499" t="s">
        <v>1586</v>
      </c>
      <c r="C247" s="385" t="s">
        <v>1124</v>
      </c>
      <c r="D247" s="262" t="s">
        <v>34</v>
      </c>
      <c r="E247" s="362" t="s">
        <v>33</v>
      </c>
    </row>
    <row r="248" spans="1:6" ht="15.75" thickBot="1" x14ac:dyDescent="0.3">
      <c r="A248" s="419" t="s">
        <v>1587</v>
      </c>
      <c r="B248" s="499" t="s">
        <v>1588</v>
      </c>
      <c r="C248" s="385" t="s">
        <v>1124</v>
      </c>
      <c r="D248" s="262" t="s">
        <v>34</v>
      </c>
      <c r="E248" s="362" t="s">
        <v>33</v>
      </c>
    </row>
    <row r="249" spans="1:6" ht="15.75" thickBot="1" x14ac:dyDescent="0.3">
      <c r="A249" s="419" t="s">
        <v>1589</v>
      </c>
      <c r="B249" s="499" t="s">
        <v>1590</v>
      </c>
      <c r="C249" s="385" t="s">
        <v>1124</v>
      </c>
      <c r="D249" s="262" t="s">
        <v>34</v>
      </c>
      <c r="E249" s="362" t="s">
        <v>33</v>
      </c>
    </row>
    <row r="250" spans="1:6" ht="15.75" thickBot="1" x14ac:dyDescent="0.3">
      <c r="A250" s="419" t="s">
        <v>1027</v>
      </c>
      <c r="B250" s="499" t="s">
        <v>1591</v>
      </c>
      <c r="C250" s="385" t="s">
        <v>1124</v>
      </c>
      <c r="D250" s="262" t="s">
        <v>34</v>
      </c>
      <c r="E250" s="362" t="s">
        <v>33</v>
      </c>
    </row>
    <row r="251" spans="1:6" ht="15.75" thickBot="1" x14ac:dyDescent="0.3">
      <c r="A251" s="419" t="s">
        <v>1592</v>
      </c>
      <c r="B251" s="499" t="s">
        <v>1593</v>
      </c>
      <c r="C251" s="385" t="s">
        <v>1124</v>
      </c>
      <c r="D251" s="262" t="s">
        <v>34</v>
      </c>
      <c r="E251" s="362" t="s">
        <v>33</v>
      </c>
    </row>
    <row r="252" spans="1:6" ht="15.75" thickBot="1" x14ac:dyDescent="0.3">
      <c r="A252" s="419" t="s">
        <v>862</v>
      </c>
      <c r="B252" s="499" t="s">
        <v>1594</v>
      </c>
      <c r="C252" s="385" t="s">
        <v>1124</v>
      </c>
      <c r="D252" s="262" t="s">
        <v>34</v>
      </c>
      <c r="E252" s="362" t="s">
        <v>33</v>
      </c>
    </row>
    <row r="253" spans="1:6" ht="15.75" thickBot="1" x14ac:dyDescent="0.3">
      <c r="A253" s="419" t="s">
        <v>1595</v>
      </c>
      <c r="B253" s="499" t="s">
        <v>1596</v>
      </c>
      <c r="C253" s="385" t="s">
        <v>1124</v>
      </c>
      <c r="D253" s="262" t="s">
        <v>34</v>
      </c>
      <c r="E253" s="362" t="s">
        <v>33</v>
      </c>
    </row>
    <row r="254" spans="1:6" ht="15.75" thickBot="1" x14ac:dyDescent="0.3">
      <c r="A254" s="419" t="s">
        <v>1597</v>
      </c>
      <c r="B254" s="499" t="s">
        <v>1598</v>
      </c>
      <c r="C254" s="385" t="s">
        <v>44</v>
      </c>
      <c r="D254" s="262" t="s">
        <v>44</v>
      </c>
      <c r="E254" s="362" t="s">
        <v>33</v>
      </c>
    </row>
    <row r="255" spans="1:6" ht="15.75" thickBot="1" x14ac:dyDescent="0.3">
      <c r="A255" s="419" t="s">
        <v>932</v>
      </c>
      <c r="B255" s="499" t="s">
        <v>1599</v>
      </c>
      <c r="C255" s="385" t="s">
        <v>1124</v>
      </c>
      <c r="D255" s="262" t="s">
        <v>34</v>
      </c>
      <c r="E255" s="362" t="s">
        <v>33</v>
      </c>
    </row>
    <row r="256" spans="1:6" ht="30.75" thickBot="1" x14ac:dyDescent="0.3">
      <c r="A256" s="419" t="s">
        <v>1600</v>
      </c>
      <c r="B256" s="499" t="s">
        <v>1601</v>
      </c>
      <c r="C256" s="385" t="s">
        <v>1124</v>
      </c>
      <c r="D256" s="262" t="s">
        <v>34</v>
      </c>
      <c r="E256" s="362" t="s">
        <v>33</v>
      </c>
    </row>
    <row r="257" spans="1:6" ht="30.75" thickBot="1" x14ac:dyDescent="0.3">
      <c r="A257" s="419" t="s">
        <v>1602</v>
      </c>
      <c r="B257" s="499" t="s">
        <v>1603</v>
      </c>
      <c r="C257" s="385" t="s">
        <v>1124</v>
      </c>
      <c r="D257" s="262" t="s">
        <v>34</v>
      </c>
      <c r="E257" s="362" t="s">
        <v>33</v>
      </c>
    </row>
    <row r="258" spans="1:6" ht="30.75" thickBot="1" x14ac:dyDescent="0.3">
      <c r="A258" s="419" t="s">
        <v>1604</v>
      </c>
      <c r="B258" s="499" t="s">
        <v>1605</v>
      </c>
      <c r="C258" s="385" t="s">
        <v>1124</v>
      </c>
      <c r="D258" s="262" t="s">
        <v>34</v>
      </c>
      <c r="E258" s="362" t="s">
        <v>33</v>
      </c>
    </row>
    <row r="259" spans="1:6" ht="15.75" thickBot="1" x14ac:dyDescent="0.3">
      <c r="A259" s="419" t="s">
        <v>1606</v>
      </c>
      <c r="B259" s="499" t="s">
        <v>1607</v>
      </c>
      <c r="C259" s="385" t="s">
        <v>1124</v>
      </c>
      <c r="D259" s="262" t="s">
        <v>43</v>
      </c>
      <c r="E259" s="362" t="s">
        <v>33</v>
      </c>
    </row>
    <row r="260" spans="1:6" ht="60.75" thickBot="1" x14ac:dyDescent="0.3">
      <c r="A260" s="419" t="s">
        <v>917</v>
      </c>
      <c r="B260" s="499" t="s">
        <v>1608</v>
      </c>
      <c r="C260" s="385" t="s">
        <v>1124</v>
      </c>
      <c r="D260" s="262" t="s">
        <v>34</v>
      </c>
      <c r="E260" s="362" t="s">
        <v>33</v>
      </c>
    </row>
    <row r="261" spans="1:6" ht="30.75" thickBot="1" x14ac:dyDescent="0.3">
      <c r="A261" s="419" t="s">
        <v>1609</v>
      </c>
      <c r="B261" s="499" t="s">
        <v>1610</v>
      </c>
      <c r="C261" s="385" t="s">
        <v>1124</v>
      </c>
      <c r="D261" s="262" t="s">
        <v>34</v>
      </c>
      <c r="E261" s="362" t="s">
        <v>33</v>
      </c>
    </row>
    <row r="262" spans="1:6" ht="30.75" thickBot="1" x14ac:dyDescent="0.3">
      <c r="A262" s="419" t="s">
        <v>1611</v>
      </c>
      <c r="B262" s="499" t="s">
        <v>1612</v>
      </c>
      <c r="C262" s="385" t="s">
        <v>1124</v>
      </c>
      <c r="D262" s="262" t="s">
        <v>34</v>
      </c>
      <c r="E262" s="362" t="s">
        <v>33</v>
      </c>
      <c r="F262" t="s">
        <v>1613</v>
      </c>
    </row>
    <row r="263" spans="1:6" ht="15.75" thickBot="1" x14ac:dyDescent="0.3">
      <c r="A263" s="419" t="s">
        <v>1614</v>
      </c>
      <c r="B263" s="499" t="s">
        <v>1615</v>
      </c>
      <c r="C263" s="385" t="s">
        <v>1124</v>
      </c>
      <c r="D263" s="262" t="s">
        <v>44</v>
      </c>
      <c r="E263" s="362" t="s">
        <v>33</v>
      </c>
    </row>
    <row r="264" spans="1:6" ht="15.75" thickBot="1" x14ac:dyDescent="0.3">
      <c r="A264" s="419" t="s">
        <v>1616</v>
      </c>
      <c r="B264" s="499" t="s">
        <v>1617</v>
      </c>
      <c r="C264" s="385" t="s">
        <v>44</v>
      </c>
      <c r="D264" s="262" t="s">
        <v>44</v>
      </c>
      <c r="E264" s="362" t="s">
        <v>33</v>
      </c>
    </row>
    <row r="265" spans="1:6" ht="15.75" thickBot="1" x14ac:dyDescent="0.3">
      <c r="A265" s="419" t="s">
        <v>1618</v>
      </c>
      <c r="B265" s="499" t="s">
        <v>1619</v>
      </c>
      <c r="C265" s="385" t="s">
        <v>1124</v>
      </c>
      <c r="D265" s="262" t="s">
        <v>44</v>
      </c>
      <c r="E265" s="362" t="s">
        <v>33</v>
      </c>
    </row>
    <row r="266" spans="1:6" ht="15.75" thickBot="1" x14ac:dyDescent="0.3">
      <c r="A266" s="419" t="s">
        <v>1620</v>
      </c>
      <c r="B266" s="499" t="s">
        <v>1621</v>
      </c>
      <c r="C266" s="385" t="s">
        <v>44</v>
      </c>
      <c r="D266" s="262" t="s">
        <v>44</v>
      </c>
      <c r="E266" s="362" t="s">
        <v>33</v>
      </c>
    </row>
    <row r="267" spans="1:6" ht="15.75" thickBot="1" x14ac:dyDescent="0.3">
      <c r="A267" s="419" t="s">
        <v>1622</v>
      </c>
      <c r="B267" s="499" t="s">
        <v>1623</v>
      </c>
      <c r="C267" s="385" t="s">
        <v>44</v>
      </c>
      <c r="D267" s="262" t="s">
        <v>44</v>
      </c>
      <c r="E267" s="362" t="s">
        <v>33</v>
      </c>
    </row>
    <row r="268" spans="1:6" ht="15.75" thickBot="1" x14ac:dyDescent="0.3">
      <c r="A268" s="419" t="s">
        <v>1624</v>
      </c>
      <c r="B268" s="499" t="s">
        <v>1625</v>
      </c>
      <c r="C268" s="385" t="s">
        <v>44</v>
      </c>
      <c r="D268" s="262" t="s">
        <v>44</v>
      </c>
      <c r="E268" s="362" t="s">
        <v>33</v>
      </c>
    </row>
    <row r="269" spans="1:6" ht="15.75" thickBot="1" x14ac:dyDescent="0.3">
      <c r="A269" s="419" t="s">
        <v>1626</v>
      </c>
      <c r="B269" s="499" t="s">
        <v>1627</v>
      </c>
      <c r="C269" s="385" t="s">
        <v>44</v>
      </c>
      <c r="D269" s="262" t="s">
        <v>44</v>
      </c>
      <c r="E269" s="362" t="s">
        <v>33</v>
      </c>
    </row>
    <row r="270" spans="1:6" ht="15.75" thickBot="1" x14ac:dyDescent="0.3">
      <c r="A270" s="419" t="s">
        <v>1628</v>
      </c>
      <c r="B270" s="499" t="s">
        <v>1629</v>
      </c>
      <c r="C270" s="385" t="s">
        <v>44</v>
      </c>
      <c r="D270" s="262" t="s">
        <v>44</v>
      </c>
      <c r="E270" s="362" t="s">
        <v>33</v>
      </c>
    </row>
    <row r="271" spans="1:6" ht="15.75" thickBot="1" x14ac:dyDescent="0.3">
      <c r="A271" s="419" t="s">
        <v>1630</v>
      </c>
      <c r="B271" s="499" t="s">
        <v>1631</v>
      </c>
      <c r="C271" s="385" t="s">
        <v>1124</v>
      </c>
      <c r="D271" s="262" t="s">
        <v>43</v>
      </c>
      <c r="E271" s="362" t="s">
        <v>33</v>
      </c>
    </row>
    <row r="272" spans="1:6" ht="15.75" thickBot="1" x14ac:dyDescent="0.3">
      <c r="A272" s="419" t="s">
        <v>1632</v>
      </c>
      <c r="B272" s="499" t="s">
        <v>1633</v>
      </c>
      <c r="C272" s="385" t="s">
        <v>1124</v>
      </c>
      <c r="D272" s="262" t="s">
        <v>43</v>
      </c>
      <c r="E272" s="362" t="s">
        <v>33</v>
      </c>
    </row>
    <row r="273" spans="1:6" ht="15.75" thickBot="1" x14ac:dyDescent="0.3">
      <c r="A273" s="419" t="s">
        <v>1634</v>
      </c>
      <c r="B273" s="499" t="s">
        <v>1635</v>
      </c>
      <c r="C273" s="385" t="s">
        <v>1124</v>
      </c>
      <c r="D273" s="262" t="s">
        <v>44</v>
      </c>
      <c r="E273" s="362" t="s">
        <v>33</v>
      </c>
    </row>
    <row r="274" spans="1:6" ht="15.75" thickBot="1" x14ac:dyDescent="0.3">
      <c r="A274" s="419" t="s">
        <v>1636</v>
      </c>
      <c r="B274" s="499" t="s">
        <v>1637</v>
      </c>
      <c r="C274" s="385" t="s">
        <v>1124</v>
      </c>
      <c r="D274" s="262" t="s">
        <v>44</v>
      </c>
      <c r="E274" s="362" t="s">
        <v>33</v>
      </c>
    </row>
    <row r="275" spans="1:6" ht="15.75" thickBot="1" x14ac:dyDescent="0.3">
      <c r="A275" s="419" t="s">
        <v>1638</v>
      </c>
      <c r="B275" s="499" t="s">
        <v>1639</v>
      </c>
      <c r="C275" s="385" t="s">
        <v>1124</v>
      </c>
      <c r="D275" s="262" t="s">
        <v>43</v>
      </c>
      <c r="E275" s="362" t="s">
        <v>33</v>
      </c>
    </row>
    <row r="276" spans="1:6" ht="15.75" thickBot="1" x14ac:dyDescent="0.3">
      <c r="A276" s="419" t="s">
        <v>1640</v>
      </c>
      <c r="B276" s="499" t="s">
        <v>1641</v>
      </c>
      <c r="C276" s="385" t="s">
        <v>619</v>
      </c>
      <c r="D276" s="262" t="s">
        <v>43</v>
      </c>
      <c r="E276" s="362" t="s">
        <v>42</v>
      </c>
    </row>
    <row r="277" spans="1:6" ht="15.75" thickBot="1" x14ac:dyDescent="0.3">
      <c r="A277" s="419" t="s">
        <v>1642</v>
      </c>
      <c r="B277" s="499" t="s">
        <v>1643</v>
      </c>
      <c r="C277" s="385" t="s">
        <v>1644</v>
      </c>
      <c r="D277" s="262" t="s">
        <v>43</v>
      </c>
      <c r="E277" s="362" t="s">
        <v>38</v>
      </c>
    </row>
    <row r="278" spans="1:6" ht="15.75" thickBot="1" x14ac:dyDescent="0.3">
      <c r="A278" s="419" t="s">
        <v>1645</v>
      </c>
      <c r="B278" s="499" t="s">
        <v>1646</v>
      </c>
      <c r="C278" s="385"/>
      <c r="D278" s="262"/>
      <c r="E278" s="362"/>
    </row>
    <row r="279" spans="1:6" ht="30" x14ac:dyDescent="0.25">
      <c r="A279" s="419"/>
      <c r="B279" s="499"/>
      <c r="C279" s="385"/>
      <c r="D279" s="262"/>
      <c r="E279" s="362"/>
      <c r="F279" s="206" t="s">
        <v>1647</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602" t="s">
        <v>1648</v>
      </c>
      <c r="B1" s="559"/>
      <c r="C1" s="559"/>
      <c r="D1" s="559"/>
      <c r="E1" s="559"/>
      <c r="F1" s="559"/>
      <c r="G1" s="559"/>
      <c r="H1" s="559"/>
      <c r="I1" s="559"/>
      <c r="J1" s="559"/>
      <c r="K1" s="559"/>
      <c r="L1" s="559"/>
      <c r="M1" s="559"/>
      <c r="N1" s="559"/>
      <c r="O1" s="559"/>
      <c r="P1" s="559"/>
      <c r="Q1" s="559"/>
      <c r="R1" s="559"/>
      <c r="S1" s="559"/>
      <c r="T1" s="559"/>
      <c r="U1" s="560"/>
      <c r="V1" s="165"/>
    </row>
    <row r="2" spans="1:22" s="176" customFormat="1" ht="18.75" x14ac:dyDescent="0.25">
      <c r="A2" s="605" t="s">
        <v>252</v>
      </c>
      <c r="B2" s="606"/>
      <c r="C2" s="606"/>
      <c r="D2" s="606"/>
      <c r="E2" s="606"/>
      <c r="F2" s="607"/>
      <c r="G2" s="309">
        <f>COUNTIF(G7:G182,"Yes")</f>
        <v>133</v>
      </c>
      <c r="H2" s="309">
        <f>COUNTIF(H7:H182,"Yes")</f>
        <v>119</v>
      </c>
      <c r="I2" s="603">
        <f>'Diags Raw Data'!K725</f>
        <v>931</v>
      </c>
      <c r="J2" s="617">
        <f>'Diags Raw Data'!L725</f>
        <v>1691</v>
      </c>
      <c r="K2" s="619">
        <f>'Diags Raw Data'!N725</f>
        <v>1</v>
      </c>
      <c r="L2" s="621">
        <f>'Diags Raw Data'!P725</f>
        <v>0.86680988184747587</v>
      </c>
      <c r="M2" s="623">
        <f>'Diags Raw Data'!R725</f>
        <v>1687</v>
      </c>
      <c r="N2" s="625">
        <f>SUM('Diags Raw Data'!T725+'Diags Raw Data'!U725)</f>
        <v>1687</v>
      </c>
      <c r="O2" s="611">
        <f>IF((M2=0),0,N2/M2)</f>
        <v>1</v>
      </c>
      <c r="P2" s="613">
        <f>'Diags Raw Data'!Z725</f>
        <v>0</v>
      </c>
      <c r="Q2" s="615">
        <f>SUM('Diags Raw Data'!AA725+'Diags Raw Data'!AB725)</f>
        <v>0</v>
      </c>
      <c r="R2" s="598">
        <f>IF((J183=0),0,P183/J183)</f>
        <v>0</v>
      </c>
      <c r="S2" s="598">
        <f>IF((P183=0),0,Q183/P183)</f>
        <v>0</v>
      </c>
      <c r="T2" s="598">
        <f>R183*S183</f>
        <v>0</v>
      </c>
      <c r="U2" s="600"/>
      <c r="V2" s="175"/>
    </row>
    <row r="3" spans="1:22" ht="19.5" thickBot="1" x14ac:dyDescent="0.3">
      <c r="A3" s="608"/>
      <c r="B3" s="609"/>
      <c r="C3" s="609"/>
      <c r="D3" s="609"/>
      <c r="E3" s="609"/>
      <c r="F3" s="610"/>
      <c r="G3" s="310">
        <f>COUNTIF(G7:G182,"Yes")/COUNTA(A7:A182)</f>
        <v>0.75568181818181823</v>
      </c>
      <c r="H3" s="310">
        <f>(COUNTIF(H7:H182,"Yes")/G2)</f>
        <v>0.89473684210526316</v>
      </c>
      <c r="I3" s="604"/>
      <c r="J3" s="618"/>
      <c r="K3" s="620"/>
      <c r="L3" s="622"/>
      <c r="M3" s="624"/>
      <c r="N3" s="626"/>
      <c r="O3" s="612"/>
      <c r="P3" s="614"/>
      <c r="Q3" s="616"/>
      <c r="R3" s="599"/>
      <c r="S3" s="599"/>
      <c r="T3" s="599"/>
      <c r="U3" s="601"/>
      <c r="V3" s="170"/>
    </row>
    <row r="4" spans="1:22" ht="18.75" x14ac:dyDescent="0.25">
      <c r="A4" s="561" t="s">
        <v>1649</v>
      </c>
      <c r="B4" s="562"/>
      <c r="C4" s="562"/>
      <c r="D4" s="562"/>
      <c r="E4" s="562"/>
      <c r="F4" s="562"/>
      <c r="G4" s="562"/>
      <c r="H4" s="562"/>
      <c r="I4" s="562"/>
      <c r="J4" s="562"/>
      <c r="K4" s="562"/>
      <c r="L4" s="562"/>
      <c r="M4" s="562"/>
      <c r="N4" s="562"/>
      <c r="O4" s="562"/>
      <c r="P4" s="562"/>
      <c r="Q4" s="562"/>
      <c r="R4" s="562"/>
      <c r="S4" s="562"/>
      <c r="T4" s="562"/>
      <c r="U4" s="563"/>
      <c r="V4" s="170"/>
    </row>
    <row r="5" spans="1:22" s="166" customFormat="1" ht="31.5" customHeight="1" thickBot="1" x14ac:dyDescent="0.3">
      <c r="A5" s="629" t="s">
        <v>76</v>
      </c>
      <c r="B5" s="630"/>
      <c r="C5" s="630"/>
      <c r="D5" s="630"/>
      <c r="E5" s="630"/>
      <c r="F5" s="630"/>
      <c r="G5" s="630"/>
      <c r="H5" s="630"/>
      <c r="I5" s="630"/>
      <c r="J5" s="631"/>
      <c r="K5" s="627" t="s">
        <v>113</v>
      </c>
      <c r="L5" s="628"/>
      <c r="M5" s="632" t="s">
        <v>124</v>
      </c>
      <c r="N5" s="633"/>
      <c r="O5" s="634"/>
      <c r="P5" s="635" t="s">
        <v>144</v>
      </c>
      <c r="Q5" s="636"/>
      <c r="R5" s="636"/>
      <c r="S5" s="636"/>
      <c r="T5" s="636"/>
      <c r="U5" s="637"/>
      <c r="V5" s="165"/>
    </row>
    <row r="6" spans="1:22" s="168" customFormat="1" ht="30.75" thickBot="1" x14ac:dyDescent="0.3">
      <c r="A6" s="278" t="s">
        <v>77</v>
      </c>
      <c r="B6" s="299" t="s">
        <v>81</v>
      </c>
      <c r="C6" s="299" t="s">
        <v>96</v>
      </c>
      <c r="D6" s="299" t="s">
        <v>212</v>
      </c>
      <c r="E6" s="299" t="s">
        <v>88</v>
      </c>
      <c r="F6" s="299" t="s">
        <v>1</v>
      </c>
      <c r="G6" s="300" t="s">
        <v>215</v>
      </c>
      <c r="H6" s="300" t="s">
        <v>218</v>
      </c>
      <c r="I6" s="301" t="s">
        <v>105</v>
      </c>
      <c r="J6" s="301" t="s">
        <v>221</v>
      </c>
      <c r="K6" s="283" t="s">
        <v>114</v>
      </c>
      <c r="L6" s="284" t="s">
        <v>121</v>
      </c>
      <c r="M6" s="275" t="s">
        <v>227</v>
      </c>
      <c r="N6" s="276" t="s">
        <v>229</v>
      </c>
      <c r="O6" s="274" t="s">
        <v>187</v>
      </c>
      <c r="P6" s="429" t="s">
        <v>232</v>
      </c>
      <c r="Q6" s="430" t="s">
        <v>229</v>
      </c>
      <c r="R6" s="431" t="s">
        <v>184</v>
      </c>
      <c r="S6" s="431" t="s">
        <v>140</v>
      </c>
      <c r="T6" s="432" t="s">
        <v>187</v>
      </c>
      <c r="U6" s="433" t="s">
        <v>157</v>
      </c>
      <c r="V6" s="167" t="s">
        <v>1650</v>
      </c>
    </row>
    <row r="7" spans="1:22" ht="285" x14ac:dyDescent="0.25">
      <c r="A7" s="419" t="s">
        <v>1143</v>
      </c>
      <c r="B7" s="327" t="str">
        <f>VLOOKUP(A7,'Feature Raw Data'!$A$3:$B$4067,2,FALSE)</f>
        <v>MMHUB:SOC - SOC-15 SDP Interfaces</v>
      </c>
      <c r="C7" s="280" t="str">
        <f>VLOOKUP(A7,'Feature Raw Data'!$A$3:$C$4067,3,FALSE)</f>
        <v>P2</v>
      </c>
      <c r="D7" s="94" t="str" cm="1">
        <f t="array" ref="D7">_xlfn.TEXTJOIN("",TRUE,IF(ISNUMBER(SEARCH($A7,'Diags Raw Data'!$A$6:$A$4335)),CONCATENATE('Diags Raw Data'!$H$6:$H$4335,", "),""))</f>
        <v xml:space="preserve">mhub001.1, mhub001.2, mhub001.3, mhub001.4, mhub001.5, mhub001.6, mhub001.7, mhub001.9, mhub002.1-15, mhub002.16, mhub002.16, mhub002.17, mhub002.18, mhub401.1-6,mhub401.11-16,mhub401.21-26, mhub401.34, mhub405.1, </v>
      </c>
      <c r="E7" s="281" t="str">
        <f>VLOOKUP(A7,'Diags Raw Data'!$A$6:$D$4335,4,FALSE)</f>
        <v>MMHUB</v>
      </c>
      <c r="F7" s="281" t="str">
        <f>VLOOKUP(A7,'Feature Raw Data'!$A$3:$E$4067,5,FALSE)</f>
        <v>Legacy</v>
      </c>
      <c r="G7" s="281" t="str">
        <f t="shared" ref="G7:G63" si="0">IF(D7="","No","Yes")</f>
        <v>Yes</v>
      </c>
      <c r="H7" s="281" t="str">
        <f t="shared" ref="H7:H12" si="1">IF(D7="","No","Yes")</f>
        <v>Yes</v>
      </c>
      <c r="I7" s="280">
        <f>SUMIF('Diags Raw Data'!$A$6:$A$4335,"*"&amp;$A7&amp;"*",'Diags Raw Data'!$K$6:$K$4335)</f>
        <v>31</v>
      </c>
      <c r="J7" s="282">
        <f>SUMIF('Diags Raw Data'!$A$6:$A$4335,"*"&amp;$A7&amp;"*",'Diags Raw Data'!$L$6:$L$4335)</f>
        <v>47</v>
      </c>
      <c r="K7" s="390" cm="1">
        <f t="array" ref="K7">IF(D7="",0, SUMPRODUCT(--(ISNUMBER(SEARCH($A7,'Diags Raw Data'!$A$6:$A$4335))),'Diags Raw Data'!$L$6:$L$4335,'Diags Raw Data'!$N$6:$N$4335)/J7)</f>
        <v>1</v>
      </c>
      <c r="L7" s="391" cm="1">
        <f t="array" ref="L7">IF(D7="",0, SUMPRODUCT(--(ISNUMBER(SEARCH($A7,'Diags Raw Data'!$A$6:$A$4335))),'Diags Raw Data'!$L$6:$L$4335,'Diags Raw Data'!$P$6:$P$4335)/J7)</f>
        <v>0.28723404255319152</v>
      </c>
      <c r="M7" s="392" cm="1">
        <f t="array" ref="M7">SUMPRODUCT(--(ISNUMBER(SEARCH($A7,'Diags Raw Data'!$A$6:$A$4335))),--('Diags Raw Data'!$Q$6:$Q$4335&lt;&gt;"N/A"),'Diags Raw Data'!$R$6:$R$4335)</f>
        <v>47</v>
      </c>
      <c r="N7" s="393" cm="1">
        <f t="array" ref="N7">SUMPRODUCT(--(ISNUMBER(SEARCH($A7,'Diags Raw Data'!$A$6:$A$4335))),--('Diags Raw Data'!$Q$6:$Q$4335&lt;&gt;"N/A"),'Diags Raw Data'!$T$6:$T$4335)+SUMPRODUCT(--(ISNUMBER(SEARCH($A7,'Diags Raw Data'!$A$6:$A$4335))),--('Diags Raw Data'!$Q$6:$Q$4335&lt;&gt;"N/A"),'Diags Raw Data'!$U$6:$U$4335)</f>
        <v>47</v>
      </c>
      <c r="O7" s="427">
        <f>IF((M7=0),0,N7/M7)</f>
        <v>1</v>
      </c>
      <c r="P7" s="394">
        <f>SUMIF('Diags Raw Data'!$A$6:$A$4335,"*"&amp;$A7&amp;"*",'Diags Raw Data'!$Z$6:$Z$4335)</f>
        <v>0</v>
      </c>
      <c r="Q7" s="395">
        <f>SUM(SUMIF('Diags Raw Data'!$A$6:$A$4335,"*"&amp;$A7&amp;"*",'Diags Raw Data'!$AA$6:$AA$4335),SUMIF('Diags Raw Data'!$A$6:$A$4335,"*"&amp;$A7&amp;"*",'Diags Raw Data'!$AB$6:$AB$4335))</f>
        <v>0</v>
      </c>
      <c r="R7" s="396">
        <f>IF((J7=0),0,P7/J7)</f>
        <v>0</v>
      </c>
      <c r="S7" s="396">
        <f>IF((P7=0),0,Q7/P7)</f>
        <v>0</v>
      </c>
      <c r="T7" s="397">
        <f>R7*S7</f>
        <v>0</v>
      </c>
      <c r="U7" s="434" t="s">
        <v>1651</v>
      </c>
      <c r="V7" s="170"/>
    </row>
    <row r="8" spans="1:22" ht="210" x14ac:dyDescent="0.25">
      <c r="A8" s="420" t="s">
        <v>1147</v>
      </c>
      <c r="B8" s="328" t="str">
        <f>VLOOKUP(A8,'Feature Raw Data'!$A$3:$B$4067,2,FALSE)</f>
        <v>MMHUB:SOC - SOC-15 SCF/SMN interfaces</v>
      </c>
      <c r="C8" s="271" t="str">
        <f>VLOOKUP(A8,'Feature Raw Data'!$A$3:$C$4067,3,FALSE)</f>
        <v>P2</v>
      </c>
      <c r="D8" s="328" t="str" cm="1">
        <f t="array" ref="D8">_xlfn.TEXTJOIN("",TRUE,IF(ISNUMBER(SEARCH($A8,'Diags Raw Data'!$A$6:$A$4335)),CONCATENATE('Diags Raw Data'!$H$6:$H$4335,", "),""))</f>
        <v xml:space="preserve">mhub001.1, mhub001.2, mhub001.3, mhub001.4, mhub001.5, mhub001.6, mhub001.7, mhub001.9, mhub002.1-15, mhub002.16, mhub002.16, mhub002.17, mhub002.18, </v>
      </c>
      <c r="E8" s="169" t="str">
        <f>VLOOKUP(A8,'Diags Raw Data'!$A$6:$D$4335,4,FALSE)</f>
        <v>MMHUB</v>
      </c>
      <c r="F8" s="169" t="str">
        <f>VLOOKUP(A8,'Feature Raw Data'!$A$3:$E$4067,5,FALSE)</f>
        <v>Legacy</v>
      </c>
      <c r="G8" s="169" t="str">
        <f t="shared" si="0"/>
        <v>Yes</v>
      </c>
      <c r="H8" s="169" t="str">
        <f t="shared" si="1"/>
        <v>Yes</v>
      </c>
      <c r="I8" s="271">
        <f>SUMIF('Diags Raw Data'!$A$6:$A$4335,"*"&amp;$A8&amp;"*",'Diags Raw Data'!$K$6:$K$4335)</f>
        <v>28</v>
      </c>
      <c r="J8" s="179">
        <f>SUMIF('Diags Raw Data'!$A$6:$A$4335,"*"&amp;$A8&amp;"*",'Diags Raw Data'!$L$6:$L$4335)</f>
        <v>27</v>
      </c>
      <c r="K8" s="398" cm="1">
        <f t="array" ref="K8">IF(D8="",0, SUMPRODUCT(--(ISNUMBER(SEARCH($A8,'Diags Raw Data'!$A$6:$A$4335))),'Diags Raw Data'!$L$6:$L$4335,'Diags Raw Data'!$N$6:$N$4335)/J8)</f>
        <v>1</v>
      </c>
      <c r="L8" s="399" cm="1">
        <f t="array" ref="L8">IF(D8="",0, SUMPRODUCT(--(ISNUMBER(SEARCH($A8,'Diags Raw Data'!$A$6:$A$4335))),'Diags Raw Data'!$L$6:$L$4335,'Diags Raw Data'!$P$6:$P$4335)/J8)</f>
        <v>0.42592592592592593</v>
      </c>
      <c r="M8" s="400" cm="1">
        <f t="array" ref="M8">SUMPRODUCT(--(ISNUMBER(SEARCH($A8,'Diags Raw Data'!$A$6:$A$4335))),--('Diags Raw Data'!$Q$6:$Q$4335&lt;&gt;"N/A"),'Diags Raw Data'!$R$6:$R$4335)</f>
        <v>27</v>
      </c>
      <c r="N8" s="401" cm="1">
        <f t="array" ref="N8">SUMPRODUCT(--(ISNUMBER(SEARCH($A8,'Diags Raw Data'!$A$6:$A$4335))),--('Diags Raw Data'!$Q$6:$Q$4335&lt;&gt;"N/A"),'Diags Raw Data'!$T$6:$T$4335)+SUMPRODUCT(--(ISNUMBER(SEARCH($A8,'Diags Raw Data'!$A$6:$A$4335))),--('Diags Raw Data'!$Q$6:$Q$4335&lt;&gt;"N/A"),'Diags Raw Data'!$U$6:$U$4335)</f>
        <v>27</v>
      </c>
      <c r="O8" s="428">
        <f t="shared" ref="O8:O12" si="2">IF((M8=0),0,N8/M8)</f>
        <v>1</v>
      </c>
      <c r="P8" s="402">
        <f>SUMIF('Diags Raw Data'!$A$6:$A$4335,"*"&amp;$A8&amp;"*",'Diags Raw Data'!$Z$6:$Z$4335)</f>
        <v>0</v>
      </c>
      <c r="Q8" s="403">
        <f>SUM(SUMIF('Diags Raw Data'!$A$6:$A$4335,"*"&amp;$A8&amp;"*",'Diags Raw Data'!$AA$6:$AA$4335),SUMIF('Diags Raw Data'!$A$6:$A$4335,"*"&amp;$A8&amp;"*",'Diags Raw Data'!$AB$6:$AB$4335))</f>
        <v>0</v>
      </c>
      <c r="R8" s="404">
        <f t="shared" ref="R8:R12" si="3">IF((J8=0),0,P8/J8)</f>
        <v>0</v>
      </c>
      <c r="S8" s="404">
        <f t="shared" ref="S8:S12" si="4">IF((P8=0),0,Q8/P8)</f>
        <v>0</v>
      </c>
      <c r="T8" s="405">
        <f t="shared" ref="T8:T12" si="5">R8*S8</f>
        <v>0</v>
      </c>
      <c r="U8" s="434" t="s">
        <v>1652</v>
      </c>
      <c r="V8" s="170"/>
    </row>
    <row r="9" spans="1:22" ht="255" x14ac:dyDescent="0.25">
      <c r="A9" s="420" t="s">
        <v>1150</v>
      </c>
      <c r="B9" s="328" t="str">
        <f>VLOOKUP(A9,'Feature Raw Data'!$A$3:$B$4067,2,FALSE)</f>
        <v>MMHUB:SOC - AXI4 client interface</v>
      </c>
      <c r="C9" s="271" t="str">
        <f>VLOOKUP(A9,'Feature Raw Data'!$A$3:$C$4067,3,FALSE)</f>
        <v>P1</v>
      </c>
      <c r="D9" s="82" t="str" cm="1">
        <f t="array" ref="D9">_xlfn.TEXTJOIN("",TRUE,IF(ISNUMBER(SEARCH($A9,'Diags Raw Data'!$A$6:$A$4335)),CONCATENATE('Diags Raw Data'!$H$6:$H$4335,", "),""))</f>
        <v xml:space="preserve">mhub001.1, mhub001.2, mhub001.3, mhub001.4, mhub001.5, mhub001.6, mhub001.7, mhub001.9, mhub002.1-15, mhub002.16, mhub002.16, mhub002.17, mhub002.18, mhub164.1-2,mhub164.4, mhub164.3, </v>
      </c>
      <c r="E9" s="169" t="str">
        <f>VLOOKUP(A9,'Diags Raw Data'!$A$6:$D$4335,4,FALSE)</f>
        <v>MMHUB</v>
      </c>
      <c r="F9" s="169" t="str">
        <f>VLOOKUP(A9,'Feature Raw Data'!$A$3:$E$4067,5,FALSE)</f>
        <v>Delta</v>
      </c>
      <c r="G9" s="169" t="str">
        <f t="shared" si="0"/>
        <v>Yes</v>
      </c>
      <c r="H9" s="169" t="str">
        <f t="shared" si="1"/>
        <v>Yes</v>
      </c>
      <c r="I9" s="271">
        <f>SUMIF('Diags Raw Data'!$A$6:$A$4335,"*"&amp;$A9&amp;"*",'Diags Raw Data'!$K$6:$K$4335)</f>
        <v>30</v>
      </c>
      <c r="J9" s="179">
        <f>SUMIF('Diags Raw Data'!$A$6:$A$4335,"*"&amp;$A9&amp;"*",'Diags Raw Data'!$L$6:$L$4335)</f>
        <v>31</v>
      </c>
      <c r="K9" s="398" cm="1">
        <f t="array" ref="K9">IF(D9="",0, SUMPRODUCT(--(ISNUMBER(SEARCH($A9,'Diags Raw Data'!$A$6:$A$4335))),'Diags Raw Data'!$L$6:$L$4335,'Diags Raw Data'!$N$6:$N$4335)/J9)</f>
        <v>1</v>
      </c>
      <c r="L9" s="399" cm="1">
        <f t="array" ref="L9">IF(D9="",0, SUMPRODUCT(--(ISNUMBER(SEARCH($A9,'Diags Raw Data'!$A$6:$A$4335))),'Diags Raw Data'!$L$6:$L$4335,'Diags Raw Data'!$P$6:$P$4335)/J9)</f>
        <v>0.5</v>
      </c>
      <c r="M9" s="400" cm="1">
        <f t="array" ref="M9">SUMPRODUCT(--(ISNUMBER(SEARCH($A9,'Diags Raw Data'!$A$6:$A$4335))),--('Diags Raw Data'!$Q$6:$Q$4335&lt;&gt;"N/A"),'Diags Raw Data'!$R$6:$R$4335)</f>
        <v>31</v>
      </c>
      <c r="N9" s="401" cm="1">
        <f t="array" ref="N9">SUMPRODUCT(--(ISNUMBER(SEARCH($A9,'Diags Raw Data'!$A$6:$A$4335))),--('Diags Raw Data'!$Q$6:$Q$4335&lt;&gt;"N/A"),'Diags Raw Data'!$T$6:$T$4335)+SUMPRODUCT(--(ISNUMBER(SEARCH($A9,'Diags Raw Data'!$A$6:$A$4335))),--('Diags Raw Data'!$Q$6:$Q$4335&lt;&gt;"N/A"),'Diags Raw Data'!$U$6:$U$4335)</f>
        <v>31</v>
      </c>
      <c r="O9" s="428">
        <f t="shared" si="2"/>
        <v>1</v>
      </c>
      <c r="P9" s="402">
        <f>SUMIF('Diags Raw Data'!$A$6:$A$4335,"*"&amp;$A9&amp;"*",'Diags Raw Data'!$Z$6:$Z$4335)</f>
        <v>0</v>
      </c>
      <c r="Q9" s="403">
        <f>SUM(SUMIF('Diags Raw Data'!$A$6:$A$4335,"*"&amp;$A9&amp;"*",'Diags Raw Data'!$AA$6:$AA$4335),SUMIF('Diags Raw Data'!$A$6:$A$4335,"*"&amp;$A9&amp;"*",'Diags Raw Data'!$AB$6:$AB$4335))</f>
        <v>0</v>
      </c>
      <c r="R9" s="404">
        <f t="shared" si="3"/>
        <v>0</v>
      </c>
      <c r="S9" s="404">
        <f t="shared" si="4"/>
        <v>0</v>
      </c>
      <c r="T9" s="405">
        <f t="shared" si="5"/>
        <v>0</v>
      </c>
      <c r="U9" s="434" t="s">
        <v>1653</v>
      </c>
      <c r="V9" s="170"/>
    </row>
    <row r="10" spans="1:22" x14ac:dyDescent="0.25">
      <c r="A10" s="420" t="s">
        <v>1152</v>
      </c>
      <c r="B10" s="328" t="str">
        <f>VLOOKUP(A10,'Feature Raw Data'!$A$3:$B$4067,2,FALSE)</f>
        <v>MMHUB:SOC - OpenCL Platform Atomics</v>
      </c>
      <c r="C10" s="271" t="str">
        <f>VLOOKUP(A10,'Feature Raw Data'!$A$3:$C$4067,3,FALSE)</f>
        <v>P2</v>
      </c>
      <c r="D10" s="82" t="str" cm="1">
        <f t="array" ref="D10">_xlfn.TEXTJOIN("",TRUE,IF(ISNUMBER(SEARCH($A10,'Diags Raw Data'!$A$6:$A$4335)),CONCATENATE('Diags Raw Data'!$H$6:$H$4335,", "),""))</f>
        <v/>
      </c>
      <c r="E10" s="169" t="e">
        <f>VLOOKUP(A10,'Diags Raw Data'!$A$6:$D$4335,4,FALSE)</f>
        <v>#N/A</v>
      </c>
      <c r="F10" s="169" t="str">
        <f>VLOOKUP(A10,'Feature Raw Data'!$A$3:$E$4067,5,FALSE)</f>
        <v>Legacy</v>
      </c>
      <c r="G10" s="169" t="s">
        <v>31</v>
      </c>
      <c r="H10" s="169" t="str">
        <f t="shared" si="1"/>
        <v>No</v>
      </c>
      <c r="I10" s="271">
        <f>SUMIF('Diags Raw Data'!$A$6:$A$4335,"*"&amp;$A10&amp;"*",'Diags Raw Data'!$K$6:$K$4335)</f>
        <v>0</v>
      </c>
      <c r="J10" s="179">
        <f>SUMIF('Diags Raw Data'!$A$6:$A$4335,"*"&amp;$A10&amp;"*",'Diags Raw Data'!$L$6:$L$4335)</f>
        <v>0</v>
      </c>
      <c r="K10" s="398" cm="1">
        <f t="array" ref="K10">IF(D10="",0, SUMPRODUCT(--(ISNUMBER(SEARCH($A10,'Diags Raw Data'!$A$6:$A$4335))),'Diags Raw Data'!$L$6:$L$4335,'Diags Raw Data'!$N$6:$N$4335)/J10)</f>
        <v>0</v>
      </c>
      <c r="L10" s="399" cm="1">
        <f t="array" ref="L10">IF(D10="",0, SUMPRODUCT(--(ISNUMBER(SEARCH($A10,'Diags Raw Data'!$A$6:$A$4335))),'Diags Raw Data'!$L$6:$L$4335,'Diags Raw Data'!$P$6:$P$4335)/J10)</f>
        <v>0</v>
      </c>
      <c r="M10" s="400" cm="1">
        <f t="array" ref="M10">SUMPRODUCT(--(ISNUMBER(SEARCH($A10,'Diags Raw Data'!$A$6:$A$4335))),--('Diags Raw Data'!$Q$6:$Q$4335&lt;&gt;"N/A"),'Diags Raw Data'!$R$6:$R$4335)</f>
        <v>0</v>
      </c>
      <c r="N10" s="401" cm="1">
        <f t="array" ref="N10">SUMPRODUCT(--(ISNUMBER(SEARCH($A10,'Diags Raw Data'!$A$6:$A$4335))),--('Diags Raw Data'!$Q$6:$Q$4335&lt;&gt;"N/A"),'Diags Raw Data'!$T$6:$T$4335)+SUMPRODUCT(--(ISNUMBER(SEARCH($A10,'Diags Raw Data'!$A$6:$A$4335))),--('Diags Raw Data'!$Q$6:$Q$4335&lt;&gt;"N/A"),'Diags Raw Data'!$U$6:$U$4335)</f>
        <v>0</v>
      </c>
      <c r="O10" s="428">
        <f t="shared" si="2"/>
        <v>0</v>
      </c>
      <c r="P10" s="402">
        <f>SUMIF('Diags Raw Data'!$A$6:$A$4335,"*"&amp;$A10&amp;"*",'Diags Raw Data'!$Z$6:$Z$4335)</f>
        <v>0</v>
      </c>
      <c r="Q10" s="403">
        <f>SUM(SUMIF('Diags Raw Data'!$A$6:$A$4335,"*"&amp;$A10&amp;"*",'Diags Raw Data'!$AA$6:$AA$4335),SUMIF('Diags Raw Data'!$A$6:$A$4335,"*"&amp;$A10&amp;"*",'Diags Raw Data'!$AB$6:$AB$4335))</f>
        <v>0</v>
      </c>
      <c r="R10" s="404">
        <f t="shared" si="3"/>
        <v>0</v>
      </c>
      <c r="S10" s="404">
        <f t="shared" si="4"/>
        <v>0</v>
      </c>
      <c r="T10" s="405">
        <f t="shared" si="5"/>
        <v>0</v>
      </c>
      <c r="U10" s="434" t="s">
        <v>44</v>
      </c>
      <c r="V10" s="170"/>
    </row>
    <row r="11" spans="1:22" ht="30" x14ac:dyDescent="0.25">
      <c r="A11" s="420" t="s">
        <v>1154</v>
      </c>
      <c r="B11" s="328" t="str">
        <f>VLOOKUP(A11,'Feature Raw Data'!$A$3:$B$4067,2,FALSE)</f>
        <v>MMHUB:SOC - Strong Ordering for HDP writes/atomics</v>
      </c>
      <c r="C11" s="271" t="str">
        <f>VLOOKUP(A11,'Feature Raw Data'!$A$3:$C$4067,3,FALSE)</f>
        <v>N/A</v>
      </c>
      <c r="D11" s="82" t="str" cm="1">
        <f t="array" ref="D11">_xlfn.TEXTJOIN("",TRUE,IF(ISNUMBER(SEARCH($A11,'Diags Raw Data'!$A$6:$A$4335)),CONCATENATE('Diags Raw Data'!$H$6:$H$4335,", "),""))</f>
        <v/>
      </c>
      <c r="E11" s="169" t="e">
        <f>VLOOKUP(A11,'Diags Raw Data'!$A$6:$D$4335,4,FALSE)</f>
        <v>#N/A</v>
      </c>
      <c r="F11" s="169" t="str">
        <f>VLOOKUP(A11,'Feature Raw Data'!$A$3:$E$4067,5,FALSE)</f>
        <v>Legacy</v>
      </c>
      <c r="G11" s="169" t="s">
        <v>31</v>
      </c>
      <c r="H11" s="169" t="s">
        <v>31</v>
      </c>
      <c r="I11" s="271">
        <f>SUMIF('Diags Raw Data'!$A$6:$A$4335,"*"&amp;$A11&amp;"*",'Diags Raw Data'!$K$6:$K$4335)</f>
        <v>0</v>
      </c>
      <c r="J11" s="179">
        <f>SUMIF('Diags Raw Data'!$A$6:$A$4335,"*"&amp;$A11&amp;"*",'Diags Raw Data'!$L$6:$L$4335)</f>
        <v>0</v>
      </c>
      <c r="K11" s="398" cm="1">
        <f t="array" ref="K11">IF(D11="",0, SUMPRODUCT(--(ISNUMBER(SEARCH($A11,'Diags Raw Data'!$A$6:$A$4335))),'Diags Raw Data'!$L$6:$L$4335,'Diags Raw Data'!$N$6:$N$4335)/J11)</f>
        <v>0</v>
      </c>
      <c r="L11" s="399" cm="1">
        <f t="array" ref="L11">IF(D11="",0, SUMPRODUCT(--(ISNUMBER(SEARCH($A11,'Diags Raw Data'!$A$6:$A$4335))),'Diags Raw Data'!$L$6:$L$4335,'Diags Raw Data'!$P$6:$P$4335)/J11)</f>
        <v>0</v>
      </c>
      <c r="M11" s="400" cm="1">
        <f t="array" ref="M11">SUMPRODUCT(--(ISNUMBER(SEARCH($A11,'Diags Raw Data'!$A$6:$A$4335))),--('Diags Raw Data'!$Q$6:$Q$4335&lt;&gt;"N/A"),'Diags Raw Data'!$R$6:$R$4335)</f>
        <v>0</v>
      </c>
      <c r="N11" s="401" cm="1">
        <f t="array" ref="N11">SUMPRODUCT(--(ISNUMBER(SEARCH($A11,'Diags Raw Data'!$A$6:$A$4335))),--('Diags Raw Data'!$Q$6:$Q$4335&lt;&gt;"N/A"),'Diags Raw Data'!$T$6:$T$4335)+SUMPRODUCT(--(ISNUMBER(SEARCH($A11,'Diags Raw Data'!$A$6:$A$4335))),--('Diags Raw Data'!$Q$6:$Q$4335&lt;&gt;"N/A"),'Diags Raw Data'!$U$6:$U$4335)</f>
        <v>0</v>
      </c>
      <c r="O11" s="428">
        <f t="shared" si="2"/>
        <v>0</v>
      </c>
      <c r="P11" s="402">
        <f>SUMIF('Diags Raw Data'!$A$6:$A$4335,"*"&amp;$A11&amp;"*",'Diags Raw Data'!$Z$6:$Z$4335)</f>
        <v>0</v>
      </c>
      <c r="Q11" s="403">
        <f>SUM(SUMIF('Diags Raw Data'!$A$6:$A$4335,"*"&amp;$A11&amp;"*",'Diags Raw Data'!$AA$6:$AA$4335),SUMIF('Diags Raw Data'!$A$6:$A$4335,"*"&amp;$A11&amp;"*",'Diags Raw Data'!$AB$6:$AB$4335))</f>
        <v>0</v>
      </c>
      <c r="R11" s="404">
        <f t="shared" si="3"/>
        <v>0</v>
      </c>
      <c r="S11" s="404">
        <f t="shared" si="4"/>
        <v>0</v>
      </c>
      <c r="T11" s="405">
        <f t="shared" si="5"/>
        <v>0</v>
      </c>
      <c r="U11" s="434" t="s">
        <v>44</v>
      </c>
      <c r="V11" s="170" t="s">
        <v>1156</v>
      </c>
    </row>
    <row r="12" spans="1:22" x14ac:dyDescent="0.25">
      <c r="A12" s="420" t="s">
        <v>1164</v>
      </c>
      <c r="B12" s="328" t="str">
        <f>VLOOKUP(A12,'Feature Raw Data'!$A$3:$B$4067,2,FALSE)</f>
        <v>MMHUB:DAGB - Repeater FGCG in tap chain</v>
      </c>
      <c r="C12" s="271" t="str">
        <f>VLOOKUP(A12,'Feature Raw Data'!$A$3:$C$4067,3,FALSE)</f>
        <v>P2</v>
      </c>
      <c r="D12" s="82" t="str" cm="1">
        <f t="array" ref="D12">_xlfn.TEXTJOIN("",TRUE,IF(ISNUMBER(SEARCH($A12,'Diags Raw Data'!$A$6:$A$4335)),CONCATENATE('Diags Raw Data'!$H$6:$H$4335,", "),""))</f>
        <v/>
      </c>
      <c r="E12" s="169" t="e">
        <f>VLOOKUP(A12,'Diags Raw Data'!$A$6:$D$4335,4,FALSE)</f>
        <v>#N/A</v>
      </c>
      <c r="F12" s="169" t="str">
        <f>VLOOKUP(A12,'Feature Raw Data'!$A$3:$E$4067,5,FALSE)</f>
        <v>Legacy</v>
      </c>
      <c r="G12" s="169" t="str">
        <f t="shared" si="0"/>
        <v>No</v>
      </c>
      <c r="H12" s="169" t="str">
        <f t="shared" si="1"/>
        <v>No</v>
      </c>
      <c r="I12" s="271">
        <f>SUMIF('Diags Raw Data'!$A$6:$A$4335,"*"&amp;$A12&amp;"*",'Diags Raw Data'!$K$6:$K$4335)</f>
        <v>0</v>
      </c>
      <c r="J12" s="179">
        <f>SUMIF('Diags Raw Data'!$A$6:$A$4335,"*"&amp;$A12&amp;"*",'Diags Raw Data'!$L$6:$L$4335)</f>
        <v>0</v>
      </c>
      <c r="K12" s="398" cm="1">
        <f t="array" ref="K12">IF(D12="",0, SUMPRODUCT(--(ISNUMBER(SEARCH($A12,'Diags Raw Data'!$A$6:$A$4335))),'Diags Raw Data'!$L$6:$L$4335,'Diags Raw Data'!$N$6:$N$4335)/J12)</f>
        <v>0</v>
      </c>
      <c r="L12" s="399" cm="1">
        <f t="array" ref="L12">IF(D12="",0, SUMPRODUCT(--(ISNUMBER(SEARCH($A12,'Diags Raw Data'!$A$6:$A$4335))),'Diags Raw Data'!$L$6:$L$4335,'Diags Raw Data'!$P$6:$P$4335)/J12)</f>
        <v>0</v>
      </c>
      <c r="M12" s="400" cm="1">
        <f t="array" ref="M12">SUMPRODUCT(--(ISNUMBER(SEARCH($A12,'Diags Raw Data'!$A$6:$A$4335))),--('Diags Raw Data'!$Q$6:$Q$4335&lt;&gt;"N/A"),'Diags Raw Data'!$R$6:$R$4335)</f>
        <v>0</v>
      </c>
      <c r="N12" s="401" cm="1">
        <f t="array" ref="N12">SUMPRODUCT(--(ISNUMBER(SEARCH($A12,'Diags Raw Data'!$A$6:$A$4335))),--('Diags Raw Data'!$Q$6:$Q$4335&lt;&gt;"N/A"),'Diags Raw Data'!$T$6:$T$4335)+SUMPRODUCT(--(ISNUMBER(SEARCH($A12,'Diags Raw Data'!$A$6:$A$4335))),--('Diags Raw Data'!$Q$6:$Q$4335&lt;&gt;"N/A"),'Diags Raw Data'!$U$6:$U$4335)</f>
        <v>0</v>
      </c>
      <c r="O12" s="428">
        <f t="shared" si="2"/>
        <v>0</v>
      </c>
      <c r="P12" s="402">
        <f>SUMIF('Diags Raw Data'!$A$6:$A$4335,"*"&amp;$A12&amp;"*",'Diags Raw Data'!$Z$6:$Z$4335)</f>
        <v>0</v>
      </c>
      <c r="Q12" s="403">
        <f>SUM(SUMIF('Diags Raw Data'!$A$6:$A$4335,"*"&amp;$A12&amp;"*",'Diags Raw Data'!$AA$6:$AA$4335),SUMIF('Diags Raw Data'!$A$6:$A$4335,"*"&amp;$A12&amp;"*",'Diags Raw Data'!$AB$6:$AB$4335))</f>
        <v>0</v>
      </c>
      <c r="R12" s="404">
        <f t="shared" si="3"/>
        <v>0</v>
      </c>
      <c r="S12" s="404">
        <f t="shared" si="4"/>
        <v>0</v>
      </c>
      <c r="T12" s="405">
        <f t="shared" si="5"/>
        <v>0</v>
      </c>
      <c r="U12" s="434" t="s">
        <v>44</v>
      </c>
      <c r="V12" s="170" t="s">
        <v>43</v>
      </c>
    </row>
    <row r="13" spans="1:22" ht="45" x14ac:dyDescent="0.25">
      <c r="A13" s="420" t="s">
        <v>1085</v>
      </c>
      <c r="B13" s="328" t="str">
        <f>VLOOKUP(A13,'Feature Raw Data'!$A$3:$B$4067,2,FALSE)</f>
        <v>MMHUB:DAGB - “GPU Snoop” aka ‘gcc’ support in DAGB</v>
      </c>
      <c r="C13" s="271" t="str">
        <f>VLOOKUP(A13,'Feature Raw Data'!$A$3:$C$4067,3,FALSE)</f>
        <v>P2</v>
      </c>
      <c r="D13" s="82" t="str" cm="1">
        <f t="array" ref="D13">_xlfn.TEXTJOIN("",TRUE,IF(ISNUMBER(SEARCH($A13,'Diags Raw Data'!$A$6:$A$4335)),CONCATENATE('Diags Raw Data'!$H$6:$H$4335,", "),""))</f>
        <v xml:space="preserve">mhub415.1-5,mhub415.11-15,mhub415.21-25,mhub415.31-35, </v>
      </c>
      <c r="E13" s="169" t="str">
        <f>VLOOKUP(A13,'Diags Raw Data'!$A$6:$D$4335,4,FALSE)</f>
        <v>MMHUB</v>
      </c>
      <c r="F13" s="169" t="str">
        <f>VLOOKUP(A13,'Feature Raw Data'!$A$3:$E$4067,5,FALSE)</f>
        <v>Legacy</v>
      </c>
      <c r="G13" s="169" t="str">
        <f t="shared" si="0"/>
        <v>Yes</v>
      </c>
      <c r="H13" s="169" t="str">
        <f t="shared" ref="H13:H55" si="6">IF(D13="","No","Yes")</f>
        <v>Yes</v>
      </c>
      <c r="I13" s="271">
        <f>SUMIF('Diags Raw Data'!$A$6:$A$4335,"*"&amp;$A13&amp;"*",'Diags Raw Data'!$K$6:$K$4335)</f>
        <v>1</v>
      </c>
      <c r="J13" s="179">
        <f>SUMIF('Diags Raw Data'!$A$6:$A$4335,"*"&amp;$A13&amp;"*",'Diags Raw Data'!$L$6:$L$4335)</f>
        <v>20</v>
      </c>
      <c r="K13" s="398" cm="1">
        <f t="array" ref="K13">IF(D13="",0, SUMPRODUCT(--(ISNUMBER(SEARCH($A13,'Diags Raw Data'!$A$6:$A$4335))),'Diags Raw Data'!$L$6:$L$4335,'Diags Raw Data'!$N$6:$N$4335)/J13)</f>
        <v>1</v>
      </c>
      <c r="L13" s="399" cm="1">
        <f t="array" ref="L13">IF(D13="",0, SUMPRODUCT(--(ISNUMBER(SEARCH($A13,'Diags Raw Data'!$A$6:$A$4335))),'Diags Raw Data'!$L$6:$L$4335,'Diags Raw Data'!$P$6:$P$4335)/J13)</f>
        <v>0</v>
      </c>
      <c r="M13" s="400" cm="1">
        <f t="array" ref="M13">SUMPRODUCT(--(ISNUMBER(SEARCH($A13,'Diags Raw Data'!$A$6:$A$4335))),--('Diags Raw Data'!$Q$6:$Q$4335&lt;&gt;"N/A"),'Diags Raw Data'!$R$6:$R$4335)</f>
        <v>20</v>
      </c>
      <c r="N13" s="401" cm="1">
        <f t="array" ref="N13">SUMPRODUCT(--(ISNUMBER(SEARCH($A13,'Diags Raw Data'!$A$6:$A$4335))),--('Diags Raw Data'!$Q$6:$Q$4335&lt;&gt;"N/A"),'Diags Raw Data'!$T$6:$T$4335)+SUMPRODUCT(--(ISNUMBER(SEARCH($A13,'Diags Raw Data'!$A$6:$A$4335))),--('Diags Raw Data'!$Q$6:$Q$4335&lt;&gt;"N/A"),'Diags Raw Data'!$U$6:$U$4335)</f>
        <v>20</v>
      </c>
      <c r="O13" s="428">
        <f t="shared" ref="O13:O17" si="7">IF((M13=0),0,N13/M13)</f>
        <v>1</v>
      </c>
      <c r="P13" s="402">
        <f>SUMIF('Diags Raw Data'!$A$6:$A$4335,"*"&amp;$A13&amp;"*",'Diags Raw Data'!$Z$6:$Z$4335)</f>
        <v>0</v>
      </c>
      <c r="Q13" s="403">
        <f>SUM(SUMIF('Diags Raw Data'!$A$6:$A$4335,"*"&amp;$A13&amp;"*",'Diags Raw Data'!$AA$6:$AA$4335),SUMIF('Diags Raw Data'!$A$6:$A$4335,"*"&amp;$A13&amp;"*",'Diags Raw Data'!$AB$6:$AB$4335))</f>
        <v>0</v>
      </c>
      <c r="R13" s="404">
        <f t="shared" ref="R13:R17" si="8">IF((J13=0),0,P13/J13)</f>
        <v>0</v>
      </c>
      <c r="S13" s="404">
        <f t="shared" ref="S13:S17" si="9">IF((P13=0),0,Q13/P13)</f>
        <v>0</v>
      </c>
      <c r="T13" s="405">
        <f t="shared" ref="T13:T17" si="10">R13*S13</f>
        <v>0</v>
      </c>
      <c r="U13" s="434" t="s">
        <v>1654</v>
      </c>
      <c r="V13" s="170"/>
    </row>
    <row r="14" spans="1:22" x14ac:dyDescent="0.25">
      <c r="A14" s="420" t="s">
        <v>1169</v>
      </c>
      <c r="B14" s="328" t="str">
        <f>VLOOKUP(A14,'Feature Raw Data'!$A$3:$B$4067,2,FALSE)</f>
        <v>MMHUB:DAGB - Safe TDR</v>
      </c>
      <c r="C14" s="271" t="str">
        <f>VLOOKUP(A14,'Feature Raw Data'!$A$3:$C$4067,3,FALSE)</f>
        <v>P2</v>
      </c>
      <c r="D14" s="82" t="str" cm="1">
        <f t="array" ref="D14">_xlfn.TEXTJOIN("",TRUE,IF(ISNUMBER(SEARCH($A14,'Diags Raw Data'!$A$6:$A$4335)),CONCATENATE('Diags Raw Data'!$H$6:$H$4335,", "),""))</f>
        <v/>
      </c>
      <c r="E14" s="169" t="e">
        <f>VLOOKUP(A14,'Diags Raw Data'!$A$6:$D$4335,4,FALSE)</f>
        <v>#N/A</v>
      </c>
      <c r="F14" s="169" t="str">
        <f>VLOOKUP(A14,'Feature Raw Data'!$A$3:$E$4067,5,FALSE)</f>
        <v>Legacy</v>
      </c>
      <c r="G14" s="169" t="str">
        <f t="shared" si="0"/>
        <v>No</v>
      </c>
      <c r="H14" s="169" t="str">
        <f t="shared" si="6"/>
        <v>No</v>
      </c>
      <c r="I14" s="271">
        <f>SUMIF('Diags Raw Data'!$A$6:$A$4335,"*"&amp;$A14&amp;"*",'Diags Raw Data'!$K$6:$K$4335)</f>
        <v>0</v>
      </c>
      <c r="J14" s="179">
        <f>SUMIF('Diags Raw Data'!$A$6:$A$4335,"*"&amp;$A14&amp;"*",'Diags Raw Data'!$L$6:$L$4335)</f>
        <v>0</v>
      </c>
      <c r="K14" s="398" cm="1">
        <f t="array" ref="K14">IF(D14="",0, SUMPRODUCT(--(ISNUMBER(SEARCH($A14,'Diags Raw Data'!$A$6:$A$4335))),'Diags Raw Data'!$L$6:$L$4335,'Diags Raw Data'!$N$6:$N$4335)/J14)</f>
        <v>0</v>
      </c>
      <c r="L14" s="399" cm="1">
        <f t="array" ref="L14">IF(D14="",0, SUMPRODUCT(--(ISNUMBER(SEARCH($A14,'Diags Raw Data'!$A$6:$A$4335))),'Diags Raw Data'!$L$6:$L$4335,'Diags Raw Data'!$P$6:$P$4335)/J14)</f>
        <v>0</v>
      </c>
      <c r="M14" s="400" cm="1">
        <f t="array" ref="M14">SUMPRODUCT(--(ISNUMBER(SEARCH($A14,'Diags Raw Data'!$A$6:$A$4335))),--('Diags Raw Data'!$Q$6:$Q$4335&lt;&gt;"N/A"),'Diags Raw Data'!$R$6:$R$4335)</f>
        <v>0</v>
      </c>
      <c r="N14" s="401" cm="1">
        <f t="array" ref="N14">SUMPRODUCT(--(ISNUMBER(SEARCH($A14,'Diags Raw Data'!$A$6:$A$4335))),--('Diags Raw Data'!$Q$6:$Q$4335&lt;&gt;"N/A"),'Diags Raw Data'!$T$6:$T$4335)+SUMPRODUCT(--(ISNUMBER(SEARCH($A14,'Diags Raw Data'!$A$6:$A$4335))),--('Diags Raw Data'!$Q$6:$Q$4335&lt;&gt;"N/A"),'Diags Raw Data'!$U$6:$U$4335)</f>
        <v>0</v>
      </c>
      <c r="O14" s="428">
        <f t="shared" si="7"/>
        <v>0</v>
      </c>
      <c r="P14" s="402">
        <f>SUMIF('Diags Raw Data'!$A$6:$A$4335,"*"&amp;$A14&amp;"*",'Diags Raw Data'!$Z$6:$Z$4335)</f>
        <v>0</v>
      </c>
      <c r="Q14" s="403">
        <f>SUM(SUMIF('Diags Raw Data'!$A$6:$A$4335,"*"&amp;$A14&amp;"*",'Diags Raw Data'!$AA$6:$AA$4335),SUMIF('Diags Raw Data'!$A$6:$A$4335,"*"&amp;$A14&amp;"*",'Diags Raw Data'!$AB$6:$AB$4335))</f>
        <v>0</v>
      </c>
      <c r="R14" s="404">
        <f t="shared" si="8"/>
        <v>0</v>
      </c>
      <c r="S14" s="404">
        <f t="shared" si="9"/>
        <v>0</v>
      </c>
      <c r="T14" s="405">
        <f t="shared" si="10"/>
        <v>0</v>
      </c>
      <c r="U14" s="434" t="s">
        <v>44</v>
      </c>
      <c r="V14" s="170" t="s">
        <v>43</v>
      </c>
    </row>
    <row r="15" spans="1:22" s="172" customFormat="1" ht="30" x14ac:dyDescent="0.25">
      <c r="A15" s="420" t="s">
        <v>1172</v>
      </c>
      <c r="B15" s="328" t="str">
        <f>VLOOKUP(A15,'Feature Raw Data'!$A$3:$B$4067,2,FALSE)</f>
        <v>MMHUB:DAGB - HDP Performance for Mixed RD/WR</v>
      </c>
      <c r="C15" s="271" t="str">
        <f>VLOOKUP(A15,'Feature Raw Data'!$A$3:$C$4067,3,FALSE)</f>
        <v>P2</v>
      </c>
      <c r="D15" s="82" t="str" cm="1">
        <f t="array" ref="D15">_xlfn.TEXTJOIN("",TRUE,IF(ISNUMBER(SEARCH($A15,'Diags Raw Data'!$A$6:$A$4335)),CONCATENATE('Diags Raw Data'!$H$6:$H$4335,", "),""))</f>
        <v/>
      </c>
      <c r="E15" s="169" t="e">
        <f>VLOOKUP(A15,'Diags Raw Data'!$A$6:$D$4335,4,FALSE)</f>
        <v>#N/A</v>
      </c>
      <c r="F15" s="169" t="str">
        <f>VLOOKUP(A15,'Feature Raw Data'!$A$3:$E$4067,5,FALSE)</f>
        <v>Legacy</v>
      </c>
      <c r="G15" s="169" t="str">
        <f t="shared" si="0"/>
        <v>No</v>
      </c>
      <c r="H15" s="169" t="str">
        <f t="shared" si="6"/>
        <v>No</v>
      </c>
      <c r="I15" s="271">
        <f>SUMIF('Diags Raw Data'!$A$6:$A$4335,"*"&amp;$A15&amp;"*",'Diags Raw Data'!$K$6:$K$4335)</f>
        <v>0</v>
      </c>
      <c r="J15" s="179">
        <f>SUMIF('Diags Raw Data'!$A$6:$A$4335,"*"&amp;$A15&amp;"*",'Diags Raw Data'!$L$6:$L$4335)</f>
        <v>0</v>
      </c>
      <c r="K15" s="398" cm="1">
        <f t="array" ref="K15">IF(D15="",0, SUMPRODUCT(--(ISNUMBER(SEARCH($A15,'Diags Raw Data'!$A$6:$A$4335))),'Diags Raw Data'!$L$6:$L$4335,'Diags Raw Data'!$N$6:$N$4335)/J15)</f>
        <v>0</v>
      </c>
      <c r="L15" s="399" cm="1">
        <f t="array" ref="L15">IF(D15="",0, SUMPRODUCT(--(ISNUMBER(SEARCH($A15,'Diags Raw Data'!$A$6:$A$4335))),'Diags Raw Data'!$L$6:$L$4335,'Diags Raw Data'!$P$6:$P$4335)/J15)</f>
        <v>0</v>
      </c>
      <c r="M15" s="400" cm="1">
        <f t="array" ref="M15">SUMPRODUCT(--(ISNUMBER(SEARCH($A15,'Diags Raw Data'!$A$6:$A$4335))),--('Diags Raw Data'!$Q$6:$Q$4335&lt;&gt;"N/A"),'Diags Raw Data'!$R$6:$R$4335)</f>
        <v>0</v>
      </c>
      <c r="N15" s="401" cm="1">
        <f t="array" ref="N15">SUMPRODUCT(--(ISNUMBER(SEARCH($A15,'Diags Raw Data'!$A$6:$A$4335))),--('Diags Raw Data'!$Q$6:$Q$4335&lt;&gt;"N/A"),'Diags Raw Data'!$T$6:$T$4335)+SUMPRODUCT(--(ISNUMBER(SEARCH($A15,'Diags Raw Data'!$A$6:$A$4335))),--('Diags Raw Data'!$Q$6:$Q$4335&lt;&gt;"N/A"),'Diags Raw Data'!$U$6:$U$4335)</f>
        <v>0</v>
      </c>
      <c r="O15" s="428">
        <f t="shared" si="7"/>
        <v>0</v>
      </c>
      <c r="P15" s="402">
        <f>SUMIF('Diags Raw Data'!$A$6:$A$4335,"*"&amp;$A15&amp;"*",'Diags Raw Data'!$Z$6:$Z$4335)</f>
        <v>0</v>
      </c>
      <c r="Q15" s="403">
        <f>SUM(SUMIF('Diags Raw Data'!$A$6:$A$4335,"*"&amp;$A15&amp;"*",'Diags Raw Data'!$AA$6:$AA$4335),SUMIF('Diags Raw Data'!$A$6:$A$4335,"*"&amp;$A15&amp;"*",'Diags Raw Data'!$AB$6:$AB$4335))</f>
        <v>0</v>
      </c>
      <c r="R15" s="404">
        <f t="shared" si="8"/>
        <v>0</v>
      </c>
      <c r="S15" s="406">
        <f t="shared" si="9"/>
        <v>0</v>
      </c>
      <c r="T15" s="407">
        <f t="shared" si="10"/>
        <v>0</v>
      </c>
      <c r="U15" s="434" t="s">
        <v>44</v>
      </c>
      <c r="V15" s="170" t="s">
        <v>43</v>
      </c>
    </row>
    <row r="16" spans="1:22" ht="30" x14ac:dyDescent="0.25">
      <c r="A16" s="420" t="s">
        <v>1175</v>
      </c>
      <c r="B16" s="328" t="str">
        <f>VLOOKUP(A16,'Feature Raw Data'!$A$3:$B$4067,2,FALSE)</f>
        <v>MMHUB:DAGB - Support SDP interface</v>
      </c>
      <c r="C16" s="271" t="str">
        <f>VLOOKUP(A16,'Feature Raw Data'!$A$3:$C$4067,3,FALSE)</f>
        <v>P2</v>
      </c>
      <c r="D16" s="82" t="str" cm="1">
        <f t="array" ref="D16">_xlfn.TEXTJOIN("",TRUE,IF(ISNUMBER(SEARCH($A16,'Diags Raw Data'!$A$6:$A$4335)),CONCATENATE('Diags Raw Data'!$H$6:$H$4335,", "),""))</f>
        <v xml:space="preserve">mhub111.1-4, </v>
      </c>
      <c r="E16" s="169" t="str">
        <f>VLOOKUP(A16,'Diags Raw Data'!$A$6:$D$4335,4,FALSE)</f>
        <v>MMHUB</v>
      </c>
      <c r="F16" s="169" t="str">
        <f>VLOOKUP(A16,'Feature Raw Data'!$A$3:$E$4067,5,FALSE)</f>
        <v>Legacy</v>
      </c>
      <c r="G16" s="169" t="str">
        <f t="shared" si="0"/>
        <v>Yes</v>
      </c>
      <c r="H16" s="169" t="str">
        <f t="shared" si="6"/>
        <v>Yes</v>
      </c>
      <c r="I16" s="271">
        <f>SUMIF('Diags Raw Data'!$A$6:$A$4335,"*"&amp;$A16&amp;"*",'Diags Raw Data'!$K$6:$K$4335)</f>
        <v>1</v>
      </c>
      <c r="J16" s="179">
        <f>SUMIF('Diags Raw Data'!$A$6:$A$4335,"*"&amp;$A16&amp;"*",'Diags Raw Data'!$L$6:$L$4335)</f>
        <v>4</v>
      </c>
      <c r="K16" s="398" cm="1">
        <f t="array" ref="K16">IF(D16="",0, SUMPRODUCT(--(ISNUMBER(SEARCH($A16,'Diags Raw Data'!$A$6:$A$4335))),'Diags Raw Data'!$L$6:$L$4335,'Diags Raw Data'!$N$6:$N$4335)/J16)</f>
        <v>1</v>
      </c>
      <c r="L16" s="399" cm="1">
        <f t="array" ref="L16">IF(D16="",0, SUMPRODUCT(--(ISNUMBER(SEARCH($A16,'Diags Raw Data'!$A$6:$A$4335))),'Diags Raw Data'!$L$6:$L$4335,'Diags Raw Data'!$P$6:$P$4335)/J16)</f>
        <v>1</v>
      </c>
      <c r="M16" s="400" cm="1">
        <f t="array" ref="M16">SUMPRODUCT(--(ISNUMBER(SEARCH($A16,'Diags Raw Data'!$A$6:$A$4335))),--('Diags Raw Data'!$Q$6:$Q$4335&lt;&gt;"N/A"),'Diags Raw Data'!$R$6:$R$4335)</f>
        <v>4</v>
      </c>
      <c r="N16" s="401" cm="1">
        <f t="array" ref="N16">SUMPRODUCT(--(ISNUMBER(SEARCH($A16,'Diags Raw Data'!$A$6:$A$4335))),--('Diags Raw Data'!$Q$6:$Q$4335&lt;&gt;"N/A"),'Diags Raw Data'!$T$6:$T$4335)+SUMPRODUCT(--(ISNUMBER(SEARCH($A16,'Diags Raw Data'!$A$6:$A$4335))),--('Diags Raw Data'!$Q$6:$Q$4335&lt;&gt;"N/A"),'Diags Raw Data'!$U$6:$U$4335)</f>
        <v>4</v>
      </c>
      <c r="O16" s="428">
        <f t="shared" si="7"/>
        <v>1</v>
      </c>
      <c r="P16" s="402">
        <f>SUMIF('Diags Raw Data'!$A$6:$A$4335,"*"&amp;$A16&amp;"*",'Diags Raw Data'!$Z$6:$Z$4335)</f>
        <v>0</v>
      </c>
      <c r="Q16" s="403">
        <f>SUM(SUMIF('Diags Raw Data'!$A$6:$A$4335,"*"&amp;$A16&amp;"*",'Diags Raw Data'!$AA$6:$AA$4335),SUMIF('Diags Raw Data'!$A$6:$A$4335,"*"&amp;$A16&amp;"*",'Diags Raw Data'!$AB$6:$AB$4335))</f>
        <v>0</v>
      </c>
      <c r="R16" s="404">
        <f t="shared" si="8"/>
        <v>0</v>
      </c>
      <c r="S16" s="404">
        <f t="shared" si="9"/>
        <v>0</v>
      </c>
      <c r="T16" s="405">
        <f t="shared" si="10"/>
        <v>0</v>
      </c>
      <c r="U16" s="434" t="s">
        <v>1655</v>
      </c>
      <c r="V16" s="170"/>
    </row>
    <row r="17" spans="1:22" ht="16.149999999999999" customHeight="1" x14ac:dyDescent="0.25">
      <c r="A17" s="420" t="s">
        <v>1181</v>
      </c>
      <c r="B17" s="328" t="str">
        <f>VLOOKUP(A17,'Feature Raw Data'!$A$3:$B$4067,2,FALSE)</f>
        <v>MMHUB:Performance - SOC-15 QoS 1.0</v>
      </c>
      <c r="C17" s="271" t="str">
        <f>VLOOKUP(A17,'Feature Raw Data'!$A$3:$C$4067,3,FALSE)</f>
        <v>P2</v>
      </c>
      <c r="D17" s="82" t="str" cm="1">
        <f t="array" ref="D17">_xlfn.TEXTJOIN("",TRUE,IF(ISNUMBER(SEARCH($A17,'Diags Raw Data'!$A$6:$A$4335)),CONCATENATE('Diags Raw Data'!$H$6:$H$4335,", "),""))</f>
        <v/>
      </c>
      <c r="E17" s="169" t="e">
        <f>VLOOKUP(A17,'Diags Raw Data'!$A$6:$D$4335,4,FALSE)</f>
        <v>#N/A</v>
      </c>
      <c r="F17" s="169" t="str">
        <f>VLOOKUP(A17,'Feature Raw Data'!$A$3:$E$4067,5,FALSE)</f>
        <v>Legacy</v>
      </c>
      <c r="G17" s="169" t="str">
        <f t="shared" si="0"/>
        <v>No</v>
      </c>
      <c r="H17" s="169" t="str">
        <f t="shared" si="6"/>
        <v>No</v>
      </c>
      <c r="I17" s="271">
        <f>SUMIF('Diags Raw Data'!$A$6:$A$4335,"*"&amp;$A17&amp;"*",'Diags Raw Data'!$K$6:$K$4335)</f>
        <v>0</v>
      </c>
      <c r="J17" s="179">
        <f>SUMIF('Diags Raw Data'!$A$6:$A$4335,"*"&amp;$A17&amp;"*",'Diags Raw Data'!$L$6:$L$4335)</f>
        <v>0</v>
      </c>
      <c r="K17" s="398" cm="1">
        <f t="array" ref="K17">IF(D17="",0, SUMPRODUCT(--(ISNUMBER(SEARCH($A17,'Diags Raw Data'!$A$6:$A$4335))),'Diags Raw Data'!$L$6:$L$4335,'Diags Raw Data'!$N$6:$N$4335)/J17)</f>
        <v>0</v>
      </c>
      <c r="L17" s="399" cm="1">
        <f t="array" ref="L17">IF(D17="",0, SUMPRODUCT(--(ISNUMBER(SEARCH($A17,'Diags Raw Data'!$A$6:$A$4335))),'Diags Raw Data'!$L$6:$L$4335,'Diags Raw Data'!$P$6:$P$4335)/J17)</f>
        <v>0</v>
      </c>
      <c r="M17" s="400" cm="1">
        <f t="array" ref="M17">SUMPRODUCT(--(ISNUMBER(SEARCH($A17,'Diags Raw Data'!$A$6:$A$4335))),--('Diags Raw Data'!$Q$6:$Q$4335&lt;&gt;"N/A"),'Diags Raw Data'!$R$6:$R$4335)</f>
        <v>0</v>
      </c>
      <c r="N17" s="401" cm="1">
        <f t="array" ref="N17">SUMPRODUCT(--(ISNUMBER(SEARCH($A17,'Diags Raw Data'!$A$6:$A$4335))),--('Diags Raw Data'!$Q$6:$Q$4335&lt;&gt;"N/A"),'Diags Raw Data'!$T$6:$T$4335)+SUMPRODUCT(--(ISNUMBER(SEARCH($A17,'Diags Raw Data'!$A$6:$A$4335))),--('Diags Raw Data'!$Q$6:$Q$4335&lt;&gt;"N/A"),'Diags Raw Data'!$U$6:$U$4335)</f>
        <v>0</v>
      </c>
      <c r="O17" s="428">
        <f t="shared" si="7"/>
        <v>0</v>
      </c>
      <c r="P17" s="402">
        <f>SUMIF('Diags Raw Data'!$A$6:$A$4335,"*"&amp;$A17&amp;"*",'Diags Raw Data'!$Z$6:$Z$4335)</f>
        <v>0</v>
      </c>
      <c r="Q17" s="403">
        <f>SUM(SUMIF('Diags Raw Data'!$A$6:$A$4335,"*"&amp;$A17&amp;"*",'Diags Raw Data'!$AA$6:$AA$4335),SUMIF('Diags Raw Data'!$A$6:$A$4335,"*"&amp;$A17&amp;"*",'Diags Raw Data'!$AB$6:$AB$4335))</f>
        <v>0</v>
      </c>
      <c r="R17" s="404">
        <f t="shared" si="8"/>
        <v>0</v>
      </c>
      <c r="S17" s="404">
        <f t="shared" si="9"/>
        <v>0</v>
      </c>
      <c r="T17" s="405">
        <f t="shared" si="10"/>
        <v>0</v>
      </c>
      <c r="U17" s="434" t="s">
        <v>44</v>
      </c>
      <c r="V17" s="170" t="s">
        <v>43</v>
      </c>
    </row>
    <row r="18" spans="1:22" s="174" customFormat="1" ht="30" x14ac:dyDescent="0.25">
      <c r="A18" s="420" t="s">
        <v>1219</v>
      </c>
      <c r="B18" s="328" t="str">
        <f>VLOOKUP(A18,'Feature Raw Data'!$A$3:$B$4067,2,FALSE)</f>
        <v>MMHUB: VML1 - "GPU Snoop" aka 'gcc' support in GPUVM L1</v>
      </c>
      <c r="C18" s="271" t="str">
        <f>VLOOKUP(A18,'Feature Raw Data'!$A$3:$C$4067,3,FALSE)</f>
        <v>N/A</v>
      </c>
      <c r="D18" s="503" t="str" cm="1">
        <f t="array" ref="D18">_xlfn.TEXTJOIN("",TRUE,IF(ISNUMBER(SEARCH($A18,'Diags Raw Data'!$A$6:$A$4335)),CONCATENATE('Diags Raw Data'!$H$6:$H$4335,", "),""))</f>
        <v xml:space="preserve">mhub408.1-2, mhub408.7,mhub408.8, mhub408.81, mhub408.87, mhub408.61, mhub408.67, mhub408.71, mhub408.77, mhub408.91, mhub408.97, mhub408.51-52, mhub408.57,mhub408.58, </v>
      </c>
      <c r="E18" s="169" t="str">
        <f>VLOOKUP(A18,'Diags Raw Data'!$A$6:$D$4335,4,FALSE)</f>
        <v>GCHUB</v>
      </c>
      <c r="F18" s="169" t="str">
        <f>VLOOKUP(A18,'Feature Raw Data'!$A$3:$E$4067,5,FALSE)</f>
        <v>Legacy</v>
      </c>
      <c r="G18" s="169" t="str">
        <f t="shared" si="0"/>
        <v>Yes</v>
      </c>
      <c r="H18" s="169" t="str">
        <f t="shared" si="6"/>
        <v>Yes</v>
      </c>
      <c r="I18" s="271">
        <f>SUMIF('Diags Raw Data'!$A$6:$A$4335,"*"&amp;$A18&amp;"*",'Diags Raw Data'!$K$6:$K$4335)</f>
        <v>12</v>
      </c>
      <c r="J18" s="179">
        <f>SUMIF('Diags Raw Data'!$A$6:$A$4335,"*"&amp;$A18&amp;"*",'Diags Raw Data'!$L$6:$L$4335)</f>
        <v>16</v>
      </c>
      <c r="K18" s="398" cm="1">
        <f t="array" ref="K18">IF(D18="",0, SUMPRODUCT(--(ISNUMBER(SEARCH($A18,'Diags Raw Data'!$A$6:$A$4335))),'Diags Raw Data'!$L$6:$L$4335,'Diags Raw Data'!$N$6:$N$4335)/J18)</f>
        <v>1</v>
      </c>
      <c r="L18" s="399" cm="1">
        <f t="array" ref="L18">IF(D18="",0, SUMPRODUCT(--(ISNUMBER(SEARCH($A18,'Diags Raw Data'!$A$6:$A$4335))),'Diags Raw Data'!$L$6:$L$4335,'Diags Raw Data'!$P$6:$P$4335)/J18)</f>
        <v>1</v>
      </c>
      <c r="M18" s="400" cm="1">
        <f t="array" ref="M18">SUMPRODUCT(--(ISNUMBER(SEARCH($A18,'Diags Raw Data'!$A$6:$A$4335))),--('Diags Raw Data'!$Q$6:$Q$4335&lt;&gt;"N/A"),'Diags Raw Data'!$R$6:$R$4335)</f>
        <v>16</v>
      </c>
      <c r="N18" s="401" cm="1">
        <f t="array" ref="N18">SUMPRODUCT(--(ISNUMBER(SEARCH($A18,'Diags Raw Data'!$A$6:$A$4335))),--('Diags Raw Data'!$Q$6:$Q$4335&lt;&gt;"N/A"),'Diags Raw Data'!$T$6:$T$4335)+SUMPRODUCT(--(ISNUMBER(SEARCH($A18,'Diags Raw Data'!$A$6:$A$4335))),--('Diags Raw Data'!$Q$6:$Q$4335&lt;&gt;"N/A"),'Diags Raw Data'!$U$6:$U$4335)</f>
        <v>16</v>
      </c>
      <c r="O18" s="428">
        <f t="shared" ref="O18:O55" si="11">IF((M18=0),0,N18/M18)</f>
        <v>1</v>
      </c>
      <c r="P18" s="402">
        <f>SUMIF('Diags Raw Data'!$A$6:$A$4335,"*"&amp;$A18&amp;"*",'Diags Raw Data'!$Z$6:$Z$4335)</f>
        <v>0</v>
      </c>
      <c r="Q18" s="403">
        <f>SUM(SUMIF('Diags Raw Data'!$A$6:$A$4335,"*"&amp;$A18&amp;"*",'Diags Raw Data'!$AA$6:$AA$4335),SUMIF('Diags Raw Data'!$A$6:$A$4335,"*"&amp;$A18&amp;"*",'Diags Raw Data'!$AB$6:$AB$4335))</f>
        <v>0</v>
      </c>
      <c r="R18" s="406">
        <f t="shared" ref="R18:R55" si="12">IF((J18=0),0,P18/J18)</f>
        <v>0</v>
      </c>
      <c r="S18" s="406">
        <f t="shared" ref="S18:S55" si="13">IF((P18=0),0,Q18/P18)</f>
        <v>0</v>
      </c>
      <c r="T18" s="407">
        <f t="shared" ref="T18:T55" si="14">R18*S18</f>
        <v>0</v>
      </c>
      <c r="U18" s="434" t="s">
        <v>1656</v>
      </c>
      <c r="V18" s="173"/>
    </row>
    <row r="19" spans="1:22" ht="105" x14ac:dyDescent="0.25">
      <c r="A19" s="420" t="s">
        <v>1221</v>
      </c>
      <c r="B19" s="328" t="str">
        <f>VLOOKUP(A19,'Feature Raw Data'!$A$3:$B$4067,2,FALSE)</f>
        <v>MMHUB:UTCL1 - TLBs</v>
      </c>
      <c r="C19" s="271" t="str">
        <f>VLOOKUP(A19,'Feature Raw Data'!$A$3:$C$4067,3,FALSE)</f>
        <v>P1</v>
      </c>
      <c r="D19" s="82" t="str" cm="1">
        <f t="array" ref="D19">_xlfn.TEXTJOIN("",TRUE,IF(ISNUMBER(SEARCH($A19,'Diags Raw Data'!$A$6:$A$4335)),CONCATENATE('Diags Raw Data'!$H$6:$H$4335,", "),""))</f>
        <v xml:space="preserve">mhub027.1,mhub027.2, mhub028.1,mhub028.2, mhub029.1,mhub029.2, mhub030.1-3, </v>
      </c>
      <c r="E19" s="169" t="str">
        <f>VLOOKUP(A19,'Diags Raw Data'!$A$6:$D$4335,4,FALSE)</f>
        <v>MMHUB</v>
      </c>
      <c r="F19" s="169" t="str">
        <f>VLOOKUP(A19,'Feature Raw Data'!$A$3:$E$4067,5,FALSE)</f>
        <v>Delta</v>
      </c>
      <c r="G19" s="169" t="str">
        <f t="shared" si="0"/>
        <v>Yes</v>
      </c>
      <c r="H19" s="169" t="str">
        <f t="shared" si="6"/>
        <v>Yes</v>
      </c>
      <c r="I19" s="271">
        <f>SUMIF('Diags Raw Data'!$A$6:$A$4335,"*"&amp;$A19&amp;"*",'Diags Raw Data'!$K$6:$K$4335)</f>
        <v>9</v>
      </c>
      <c r="J19" s="179">
        <f>SUMIF('Diags Raw Data'!$A$6:$A$4335,"*"&amp;$A19&amp;"*",'Diags Raw Data'!$L$6:$L$4335)</f>
        <v>9</v>
      </c>
      <c r="K19" s="398" cm="1">
        <f t="array" ref="K19">IF(D19="",0, SUMPRODUCT(--(ISNUMBER(SEARCH($A19,'Diags Raw Data'!$A$6:$A$4335))),'Diags Raw Data'!$L$6:$L$4335,'Diags Raw Data'!$N$6:$N$4335)/J19)</f>
        <v>1</v>
      </c>
      <c r="L19" s="399" cm="1">
        <f t="array" ref="L19">IF(D19="",0, SUMPRODUCT(--(ISNUMBER(SEARCH($A19,'Diags Raw Data'!$A$6:$A$4335))),'Diags Raw Data'!$L$6:$L$4335,'Diags Raw Data'!$P$6:$P$4335)/J19)</f>
        <v>1</v>
      </c>
      <c r="M19" s="400" cm="1">
        <f t="array" ref="M19">SUMPRODUCT(--(ISNUMBER(SEARCH($A19,'Diags Raw Data'!$A$6:$A$4335))),--('Diags Raw Data'!$Q$6:$Q$4335&lt;&gt;"N/A"),'Diags Raw Data'!$R$6:$R$4335)</f>
        <v>9</v>
      </c>
      <c r="N19" s="401" cm="1">
        <f t="array" ref="N19">SUMPRODUCT(--(ISNUMBER(SEARCH($A19,'Diags Raw Data'!$A$6:$A$4335))),--('Diags Raw Data'!$Q$6:$Q$4335&lt;&gt;"N/A"),'Diags Raw Data'!$T$6:$T$4335)+SUMPRODUCT(--(ISNUMBER(SEARCH($A19,'Diags Raw Data'!$A$6:$A$4335))),--('Diags Raw Data'!$Q$6:$Q$4335&lt;&gt;"N/A"),'Diags Raw Data'!$U$6:$U$4335)</f>
        <v>9</v>
      </c>
      <c r="O19" s="428">
        <f t="shared" si="11"/>
        <v>1</v>
      </c>
      <c r="P19" s="402">
        <f>SUMIF('Diags Raw Data'!$A$6:$A$4335,"*"&amp;$A19&amp;"*",'Diags Raw Data'!$Z$6:$Z$4335)</f>
        <v>0</v>
      </c>
      <c r="Q19" s="403">
        <f>SUM(SUMIF('Diags Raw Data'!$A$6:$A$4335,"*"&amp;$A19&amp;"*",'Diags Raw Data'!$AA$6:$AA$4335),SUMIF('Diags Raw Data'!$A$6:$A$4335,"*"&amp;$A19&amp;"*",'Diags Raw Data'!$AB$6:$AB$4335))</f>
        <v>0</v>
      </c>
      <c r="R19" s="404">
        <f t="shared" si="12"/>
        <v>0</v>
      </c>
      <c r="S19" s="404">
        <f t="shared" si="13"/>
        <v>0</v>
      </c>
      <c r="T19" s="405">
        <f t="shared" si="14"/>
        <v>0</v>
      </c>
      <c r="U19" s="434" t="s">
        <v>1653</v>
      </c>
      <c r="V19" s="170"/>
    </row>
    <row r="20" spans="1:22" ht="409.5" x14ac:dyDescent="0.25">
      <c r="A20" s="420" t="s">
        <v>1229</v>
      </c>
      <c r="B20" s="328" t="str">
        <f>VLOOKUP(A20,'Feature Raw Data'!$A$3:$B$4067,2,FALSE)</f>
        <v>MMHUB:UTCL1 - “GPU Snoop” aka ‘gcc’ support in GPUVM L1</v>
      </c>
      <c r="C20" s="271" t="str">
        <f>VLOOKUP(A20,'Feature Raw Data'!$A$3:$C$4067,3,FALSE)</f>
        <v>P2</v>
      </c>
      <c r="D20" s="82" t="str" cm="1">
        <f t="array" ref="D20">_xlfn.TEXTJOIN("",TRUE,IF(ISNUMBER(SEARCH($A20,'Diags Raw Data'!$A$6:$A$4335)),CONCATENATE('Diags Raw Data'!$H$6:$H$4335,", "),""))</f>
        <v xml:space="preserve">mhub408.1-2, mhub408.7,mhub408.8, mhub408.81, mhub408.87, mhub408.61, mhub408.67, mhub408.71, mhub408.77, mhub408.91, mhub408.97, mhub408.51-52, mhub408.57,mhub408.58, </v>
      </c>
      <c r="E20" s="169" t="str">
        <f>VLOOKUP(A20,'Diags Raw Data'!$A$6:$D$4335,4,FALSE)</f>
        <v>GCHUB</v>
      </c>
      <c r="F20" s="169" t="str">
        <f>VLOOKUP(A20,'Feature Raw Data'!$A$3:$E$4067,5,FALSE)</f>
        <v>Legacy</v>
      </c>
      <c r="G20" s="169" t="str">
        <f t="shared" si="0"/>
        <v>Yes</v>
      </c>
      <c r="H20" s="169" t="str">
        <f t="shared" si="6"/>
        <v>Yes</v>
      </c>
      <c r="I20" s="271">
        <f>SUMIF('Diags Raw Data'!$A$6:$A$4335,"*"&amp;$A20&amp;"*",'Diags Raw Data'!$K$6:$K$4335)</f>
        <v>12</v>
      </c>
      <c r="J20" s="179">
        <f>SUMIF('Diags Raw Data'!$A$6:$A$4335,"*"&amp;$A20&amp;"*",'Diags Raw Data'!$L$6:$L$4335)</f>
        <v>16</v>
      </c>
      <c r="K20" s="398" cm="1">
        <f t="array" ref="K20">IF(D20="",0, SUMPRODUCT(--(ISNUMBER(SEARCH($A20,'Diags Raw Data'!$A$6:$A$4335))),'Diags Raw Data'!$L$6:$L$4335,'Diags Raw Data'!$N$6:$N$4335)/J20)</f>
        <v>1</v>
      </c>
      <c r="L20" s="399" cm="1">
        <f t="array" ref="L20">IF(D20="",0, SUMPRODUCT(--(ISNUMBER(SEARCH($A20,'Diags Raw Data'!$A$6:$A$4335))),'Diags Raw Data'!$L$6:$L$4335,'Diags Raw Data'!$P$6:$P$4335)/J20)</f>
        <v>1</v>
      </c>
      <c r="M20" s="400" cm="1">
        <f t="array" ref="M20">SUMPRODUCT(--(ISNUMBER(SEARCH($A20,'Diags Raw Data'!$A$6:$A$4335))),--('Diags Raw Data'!$Q$6:$Q$4335&lt;&gt;"N/A"),'Diags Raw Data'!$R$6:$R$4335)</f>
        <v>16</v>
      </c>
      <c r="N20" s="401" cm="1">
        <f t="array" ref="N20">SUMPRODUCT(--(ISNUMBER(SEARCH($A20,'Diags Raw Data'!$A$6:$A$4335))),--('Diags Raw Data'!$Q$6:$Q$4335&lt;&gt;"N/A"),'Diags Raw Data'!$T$6:$T$4335)+SUMPRODUCT(--(ISNUMBER(SEARCH($A20,'Diags Raw Data'!$A$6:$A$4335))),--('Diags Raw Data'!$Q$6:$Q$4335&lt;&gt;"N/A"),'Diags Raw Data'!$U$6:$U$4335)</f>
        <v>16</v>
      </c>
      <c r="O20" s="428">
        <f t="shared" si="11"/>
        <v>1</v>
      </c>
      <c r="P20" s="402">
        <f>SUMIF('Diags Raw Data'!$A$6:$A$4335,"*"&amp;$A20&amp;"*",'Diags Raw Data'!$Z$6:$Z$4335)</f>
        <v>0</v>
      </c>
      <c r="Q20" s="403">
        <f>SUM(SUMIF('Diags Raw Data'!$A$6:$A$4335,"*"&amp;$A20&amp;"*",'Diags Raw Data'!$AA$6:$AA$4335),SUMIF('Diags Raw Data'!$A$6:$A$4335,"*"&amp;$A20&amp;"*",'Diags Raw Data'!$AB$6:$AB$4335))</f>
        <v>0</v>
      </c>
      <c r="R20" s="404">
        <f t="shared" si="12"/>
        <v>0</v>
      </c>
      <c r="S20" s="404">
        <f t="shared" si="13"/>
        <v>0</v>
      </c>
      <c r="T20" s="405">
        <f t="shared" si="14"/>
        <v>0</v>
      </c>
      <c r="U20" s="434" t="s">
        <v>1656</v>
      </c>
      <c r="V20" s="170"/>
    </row>
    <row r="21" spans="1:22" ht="105" x14ac:dyDescent="0.25">
      <c r="A21" s="420" t="s">
        <v>1233</v>
      </c>
      <c r="B21" s="328" t="str">
        <f>VLOOKUP(A21,'Feature Raw Data'!$A$3:$B$4067,2,FALSE)</f>
        <v>MMHUB:UTCL1 - Support both GPUVM invalidate and ATC invalidate</v>
      </c>
      <c r="C21" s="271" t="str">
        <f>VLOOKUP(A21,'Feature Raw Data'!$A$3:$C$4067,3,FALSE)</f>
        <v>P2</v>
      </c>
      <c r="D21" s="82" t="str" cm="1">
        <f t="array" ref="D21">_xlfn.TEXTJOIN("",TRUE,IF(ISNUMBER(SEARCH($A21,'Diags Raw Data'!$A$6:$A$4335)),CONCATENATE('Diags Raw Data'!$H$6:$H$4335,", "),""))</f>
        <v xml:space="preserve">mhub026.1, mhub026.2,mhub026.3, mhub026.4,mhub026.5, mhub026.6,mhub026.7, mhub026.8, </v>
      </c>
      <c r="E21" s="169" t="str">
        <f>VLOOKUP(A21,'Diags Raw Data'!$A$6:$D$4335,4,FALSE)</f>
        <v>MMHUB</v>
      </c>
      <c r="F21" s="169" t="str">
        <f>VLOOKUP(A21,'Feature Raw Data'!$A$3:$E$4067,5,FALSE)</f>
        <v>Legacy</v>
      </c>
      <c r="G21" s="169" t="str">
        <f t="shared" si="0"/>
        <v>Yes</v>
      </c>
      <c r="H21" s="169" t="str">
        <f t="shared" si="6"/>
        <v>Yes</v>
      </c>
      <c r="I21" s="271">
        <f>SUMIF('Diags Raw Data'!$A$6:$A$4335,"*"&amp;$A21&amp;"*",'Diags Raw Data'!$K$6:$K$4335)</f>
        <v>8</v>
      </c>
      <c r="J21" s="179">
        <f>SUMIF('Diags Raw Data'!$A$6:$A$4335,"*"&amp;$A21&amp;"*",'Diags Raw Data'!$L$6:$L$4335)</f>
        <v>8</v>
      </c>
      <c r="K21" s="398" cm="1">
        <f t="array" ref="K21">IF(D21="",0, SUMPRODUCT(--(ISNUMBER(SEARCH($A21,'Diags Raw Data'!$A$6:$A$4335))),'Diags Raw Data'!$L$6:$L$4335,'Diags Raw Data'!$N$6:$N$4335)/J21)</f>
        <v>1</v>
      </c>
      <c r="L21" s="399" cm="1">
        <f t="array" ref="L21">IF(D21="",0, SUMPRODUCT(--(ISNUMBER(SEARCH($A21,'Diags Raw Data'!$A$6:$A$4335))),'Diags Raw Data'!$L$6:$L$4335,'Diags Raw Data'!$P$6:$P$4335)/J21)</f>
        <v>1</v>
      </c>
      <c r="M21" s="400" cm="1">
        <f t="array" ref="M21">SUMPRODUCT(--(ISNUMBER(SEARCH($A21,'Diags Raw Data'!$A$6:$A$4335))),--('Diags Raw Data'!$Q$6:$Q$4335&lt;&gt;"N/A"),'Diags Raw Data'!$R$6:$R$4335)</f>
        <v>8</v>
      </c>
      <c r="N21" s="401" cm="1">
        <f t="array" ref="N21">SUMPRODUCT(--(ISNUMBER(SEARCH($A21,'Diags Raw Data'!$A$6:$A$4335))),--('Diags Raw Data'!$Q$6:$Q$4335&lt;&gt;"N/A"),'Diags Raw Data'!$T$6:$T$4335)+SUMPRODUCT(--(ISNUMBER(SEARCH($A21,'Diags Raw Data'!$A$6:$A$4335))),--('Diags Raw Data'!$Q$6:$Q$4335&lt;&gt;"N/A"),'Diags Raw Data'!$U$6:$U$4335)</f>
        <v>8</v>
      </c>
      <c r="O21" s="428">
        <f t="shared" si="11"/>
        <v>1</v>
      </c>
      <c r="P21" s="402">
        <f>SUMIF('Diags Raw Data'!$A$6:$A$4335,"*"&amp;$A21&amp;"*",'Diags Raw Data'!$Z$6:$Z$4335)</f>
        <v>0</v>
      </c>
      <c r="Q21" s="403">
        <f>SUM(SUMIF('Diags Raw Data'!$A$6:$A$4335,"*"&amp;$A21&amp;"*",'Diags Raw Data'!$AA$6:$AA$4335),SUMIF('Diags Raw Data'!$A$6:$A$4335,"*"&amp;$A21&amp;"*",'Diags Raw Data'!$AB$6:$AB$4335))</f>
        <v>0</v>
      </c>
      <c r="R21" s="404">
        <f t="shared" si="12"/>
        <v>0</v>
      </c>
      <c r="S21" s="404">
        <f t="shared" si="13"/>
        <v>0</v>
      </c>
      <c r="T21" s="405">
        <f t="shared" si="14"/>
        <v>0</v>
      </c>
      <c r="U21" s="434" t="s">
        <v>1651</v>
      </c>
      <c r="V21" s="170"/>
    </row>
    <row r="22" spans="1:22" ht="255" x14ac:dyDescent="0.25">
      <c r="A22" s="420" t="s">
        <v>1234</v>
      </c>
      <c r="B22" s="328" t="str">
        <f>VLOOKUP(A22,'Feature Raw Data'!$A$3:$B$4067,2,FALSE)</f>
        <v>MMHUB:UTCL1 - Aperture Checks</v>
      </c>
      <c r="C22" s="271" t="str">
        <f>VLOOKUP(A22,'Feature Raw Data'!$A$3:$C$4067,3,FALSE)</f>
        <v>P2</v>
      </c>
      <c r="D22" s="82" t="str" cm="1">
        <f t="array" ref="D22">_xlfn.TEXTJOIN("",TRUE,IF(ISNUMBER(SEARCH($A22,'Diags Raw Data'!$A$6:$A$4335)),CONCATENATE('Diags Raw Data'!$H$6:$H$4335,", "),""))</f>
        <v xml:space="preserve">mhub001.1, mhub001.2, mhub001.3, mhub001.4, mhub001.5, mhub001.6, mhub001.7, mhub001.9, mhub002.1-15, mhub002.16, mhub002.16, mhub002.17, mhub002.18, mhub164.1-2,mhub164.4, mhub164.3, </v>
      </c>
      <c r="E22" s="169" t="str">
        <f>VLOOKUP(A22,'Diags Raw Data'!$A$6:$D$4335,4,FALSE)</f>
        <v>MMHUB</v>
      </c>
      <c r="F22" s="169" t="str">
        <f>VLOOKUP(A22,'Feature Raw Data'!$A$3:$E$4067,5,FALSE)</f>
        <v>Legacy</v>
      </c>
      <c r="G22" s="169" t="str">
        <f t="shared" si="0"/>
        <v>Yes</v>
      </c>
      <c r="H22" s="169" t="str">
        <f t="shared" si="6"/>
        <v>Yes</v>
      </c>
      <c r="I22" s="271">
        <f>SUMIF('Diags Raw Data'!$A$6:$A$4335,"*"&amp;$A22&amp;"*",'Diags Raw Data'!$K$6:$K$4335)</f>
        <v>30</v>
      </c>
      <c r="J22" s="179">
        <f>SUMIF('Diags Raw Data'!$A$6:$A$4335,"*"&amp;$A22&amp;"*",'Diags Raw Data'!$L$6:$L$4335)</f>
        <v>31</v>
      </c>
      <c r="K22" s="398" cm="1">
        <f t="array" ref="K22">IF(D22="",0, SUMPRODUCT(--(ISNUMBER(SEARCH($A22,'Diags Raw Data'!$A$6:$A$4335))),'Diags Raw Data'!$L$6:$L$4335,'Diags Raw Data'!$N$6:$N$4335)/J22)</f>
        <v>1</v>
      </c>
      <c r="L22" s="399" cm="1">
        <f t="array" ref="L22">IF(D22="",0, SUMPRODUCT(--(ISNUMBER(SEARCH($A22,'Diags Raw Data'!$A$6:$A$4335))),'Diags Raw Data'!$L$6:$L$4335,'Diags Raw Data'!$P$6:$P$4335)/J22)</f>
        <v>0.5</v>
      </c>
      <c r="M22" s="400" cm="1">
        <f t="array" ref="M22">SUMPRODUCT(--(ISNUMBER(SEARCH($A22,'Diags Raw Data'!$A$6:$A$4335))),--('Diags Raw Data'!$Q$6:$Q$4335&lt;&gt;"N/A"),'Diags Raw Data'!$R$6:$R$4335)</f>
        <v>31</v>
      </c>
      <c r="N22" s="401" cm="1">
        <f t="array" ref="N22">SUMPRODUCT(--(ISNUMBER(SEARCH($A22,'Diags Raw Data'!$A$6:$A$4335))),--('Diags Raw Data'!$Q$6:$Q$4335&lt;&gt;"N/A"),'Diags Raw Data'!$T$6:$T$4335)+SUMPRODUCT(--(ISNUMBER(SEARCH($A22,'Diags Raw Data'!$A$6:$A$4335))),--('Diags Raw Data'!$Q$6:$Q$4335&lt;&gt;"N/A"),'Diags Raw Data'!$U$6:$U$4335)</f>
        <v>31</v>
      </c>
      <c r="O22" s="428">
        <f t="shared" si="11"/>
        <v>1</v>
      </c>
      <c r="P22" s="402">
        <f>SUMIF('Diags Raw Data'!$A$6:$A$4335,"*"&amp;$A22&amp;"*",'Diags Raw Data'!$Z$6:$Z$4335)</f>
        <v>0</v>
      </c>
      <c r="Q22" s="403">
        <f>SUM(SUMIF('Diags Raw Data'!$A$6:$A$4335,"*"&amp;$A22&amp;"*",'Diags Raw Data'!$AA$6:$AA$4335),SUMIF('Diags Raw Data'!$A$6:$A$4335,"*"&amp;$A22&amp;"*",'Diags Raw Data'!$AB$6:$AB$4335))</f>
        <v>0</v>
      </c>
      <c r="R22" s="404">
        <f t="shared" si="12"/>
        <v>0</v>
      </c>
      <c r="S22" s="404">
        <f t="shared" si="13"/>
        <v>0</v>
      </c>
      <c r="T22" s="405">
        <f t="shared" si="14"/>
        <v>0</v>
      </c>
      <c r="U22" s="434" t="s">
        <v>1653</v>
      </c>
      <c r="V22" s="170"/>
    </row>
    <row r="23" spans="1:22" ht="210" x14ac:dyDescent="0.25">
      <c r="A23" s="420" t="s">
        <v>1235</v>
      </c>
      <c r="B23" s="328" t="str">
        <f>VLOOKUP(A23,'Feature Raw Data'!$A$3:$B$4067,2,FALSE)</f>
        <v>MMHUB:UTCL1 - CAM/TLB stores these translations:GPUVA-&gt;SYSMEM_GPA, GPUVA-&gt;SYSMEM_SPA, GPUVA-&gt;FB_SPA, SYSMEM _GPA-&gt;SYSMEM_SPA (L2TLB only + ATC enabled), FB_GPA-&gt;FB_SPA (L2TLB, VFs only + FFBM)</v>
      </c>
      <c r="C23" s="271" t="str">
        <f>VLOOKUP(A23,'Feature Raw Data'!$A$3:$C$4067,3,FALSE)</f>
        <v>P2</v>
      </c>
      <c r="D23" s="82" t="str" cm="1">
        <f t="array" ref="D23">_xlfn.TEXTJOIN("",TRUE,IF(ISNUMBER(SEARCH($A23,'Diags Raw Data'!$A$6:$A$4335)),CONCATENATE('Diags Raw Data'!$H$6:$H$4335,", "),""))</f>
        <v xml:space="preserve">mhub026.1, mhub026.2,mhub026.3, mhub026.4,mhub026.5, mhub026.6,mhub026.7, mhub026.8, mhub027.1,mhub027.2, mhub028.1,mhub028.2, mhub029.1,mhub029.2, mhub030.1-3, </v>
      </c>
      <c r="E23" s="169" t="str">
        <f>VLOOKUP(A23,'Diags Raw Data'!$A$6:$D$4335,4,FALSE)</f>
        <v>MMHUB</v>
      </c>
      <c r="F23" s="169" t="str">
        <f>VLOOKUP(A23,'Feature Raw Data'!$A$3:$E$4067,5,FALSE)</f>
        <v>Legacy</v>
      </c>
      <c r="G23" s="169" t="str">
        <f t="shared" si="0"/>
        <v>Yes</v>
      </c>
      <c r="H23" s="169" t="str">
        <f t="shared" si="6"/>
        <v>Yes</v>
      </c>
      <c r="I23" s="271">
        <f>SUMIF('Diags Raw Data'!$A$6:$A$4335,"*"&amp;$A23&amp;"*",'Diags Raw Data'!$K$6:$K$4335)</f>
        <v>17</v>
      </c>
      <c r="J23" s="179">
        <f>SUMIF('Diags Raw Data'!$A$6:$A$4335,"*"&amp;$A23&amp;"*",'Diags Raw Data'!$L$6:$L$4335)</f>
        <v>17</v>
      </c>
      <c r="K23" s="398" cm="1">
        <f t="array" ref="K23">IF(D23="",0, SUMPRODUCT(--(ISNUMBER(SEARCH($A23,'Diags Raw Data'!$A$6:$A$4335))),'Diags Raw Data'!$L$6:$L$4335,'Diags Raw Data'!$N$6:$N$4335)/J23)</f>
        <v>1</v>
      </c>
      <c r="L23" s="399" cm="1">
        <f t="array" ref="L23">IF(D23="",0, SUMPRODUCT(--(ISNUMBER(SEARCH($A23,'Diags Raw Data'!$A$6:$A$4335))),'Diags Raw Data'!$L$6:$L$4335,'Diags Raw Data'!$P$6:$P$4335)/J23)</f>
        <v>1</v>
      </c>
      <c r="M23" s="400" cm="1">
        <f t="array" ref="M23">SUMPRODUCT(--(ISNUMBER(SEARCH($A23,'Diags Raw Data'!$A$6:$A$4335))),--('Diags Raw Data'!$Q$6:$Q$4335&lt;&gt;"N/A"),'Diags Raw Data'!$R$6:$R$4335)</f>
        <v>17</v>
      </c>
      <c r="N23" s="401" cm="1">
        <f t="array" ref="N23">SUMPRODUCT(--(ISNUMBER(SEARCH($A23,'Diags Raw Data'!$A$6:$A$4335))),--('Diags Raw Data'!$Q$6:$Q$4335&lt;&gt;"N/A"),'Diags Raw Data'!$T$6:$T$4335)+SUMPRODUCT(--(ISNUMBER(SEARCH($A23,'Diags Raw Data'!$A$6:$A$4335))),--('Diags Raw Data'!$Q$6:$Q$4335&lt;&gt;"N/A"),'Diags Raw Data'!$U$6:$U$4335)</f>
        <v>17</v>
      </c>
      <c r="O23" s="428">
        <f t="shared" si="11"/>
        <v>1</v>
      </c>
      <c r="P23" s="402">
        <f>SUMIF('Diags Raw Data'!$A$6:$A$4335,"*"&amp;$A23&amp;"*",'Diags Raw Data'!$Z$6:$Z$4335)</f>
        <v>0</v>
      </c>
      <c r="Q23" s="403">
        <f>SUM(SUMIF('Diags Raw Data'!$A$6:$A$4335,"*"&amp;$A23&amp;"*",'Diags Raw Data'!$AA$6:$AA$4335),SUMIF('Diags Raw Data'!$A$6:$A$4335,"*"&amp;$A23&amp;"*",'Diags Raw Data'!$AB$6:$AB$4335))</f>
        <v>0</v>
      </c>
      <c r="R23" s="404">
        <f t="shared" si="12"/>
        <v>0</v>
      </c>
      <c r="S23" s="404">
        <f t="shared" si="13"/>
        <v>0</v>
      </c>
      <c r="T23" s="405">
        <f t="shared" si="14"/>
        <v>0</v>
      </c>
      <c r="U23" s="434" t="s">
        <v>1655</v>
      </c>
      <c r="V23" s="170"/>
    </row>
    <row r="24" spans="1:22" x14ac:dyDescent="0.25">
      <c r="A24" s="420" t="s">
        <v>1237</v>
      </c>
      <c r="B24" s="328" t="str">
        <f>VLOOKUP(A24,'Feature Raw Data'!$A$3:$B$4067,2,FALSE)</f>
        <v>MMHUB:UTCL1 - TLSi L1</v>
      </c>
      <c r="C24" s="271" t="str">
        <f>VLOOKUP(A24,'Feature Raw Data'!$A$3:$C$4067,3,FALSE)</f>
        <v>P1</v>
      </c>
      <c r="D24" s="82" t="str" cm="1">
        <f t="array" ref="D24">_xlfn.TEXTJOIN("",TRUE,IF(ISNUMBER(SEARCH($A24,'Diags Raw Data'!$A$6:$A$4335)),CONCATENATE('Diags Raw Data'!$H$6:$H$4335,", "),""))</f>
        <v/>
      </c>
      <c r="E24" s="169" t="e">
        <f>VLOOKUP(A24,'Diags Raw Data'!$A$6:$D$4335,4,FALSE)</f>
        <v>#N/A</v>
      </c>
      <c r="F24" s="169" t="str">
        <f>VLOOKUP(A24,'Feature Raw Data'!$A$3:$E$4067,5,FALSE)</f>
        <v>Delta</v>
      </c>
      <c r="G24" s="169" t="str">
        <f t="shared" si="0"/>
        <v>No</v>
      </c>
      <c r="H24" s="169" t="str">
        <f t="shared" si="6"/>
        <v>No</v>
      </c>
      <c r="I24" s="271">
        <f>SUMIF('Diags Raw Data'!$A$6:$A$4335,"*"&amp;$A24&amp;"*",'Diags Raw Data'!$K$6:$K$4335)</f>
        <v>0</v>
      </c>
      <c r="J24" s="179">
        <f>SUMIF('Diags Raw Data'!$A$6:$A$4335,"*"&amp;$A24&amp;"*",'Diags Raw Data'!$L$6:$L$4335)</f>
        <v>0</v>
      </c>
      <c r="K24" s="398" cm="1">
        <f t="array" ref="K24">IF(D24="",0, SUMPRODUCT(--(ISNUMBER(SEARCH($A24,'Diags Raw Data'!$A$6:$A$4335))),'Diags Raw Data'!$L$6:$L$4335,'Diags Raw Data'!$N$6:$N$4335)/J24)</f>
        <v>0</v>
      </c>
      <c r="L24" s="399" cm="1">
        <f t="array" ref="L24">IF(D24="",0, SUMPRODUCT(--(ISNUMBER(SEARCH($A24,'Diags Raw Data'!$A$6:$A$4335))),'Diags Raw Data'!$L$6:$L$4335,'Diags Raw Data'!$P$6:$P$4335)/J24)</f>
        <v>0</v>
      </c>
      <c r="M24" s="400" cm="1">
        <f t="array" ref="M24">SUMPRODUCT(--(ISNUMBER(SEARCH($A24,'Diags Raw Data'!$A$6:$A$4335))),--('Diags Raw Data'!$Q$6:$Q$4335&lt;&gt;"N/A"),'Diags Raw Data'!$R$6:$R$4335)</f>
        <v>0</v>
      </c>
      <c r="N24" s="401" cm="1">
        <f t="array" ref="N24">SUMPRODUCT(--(ISNUMBER(SEARCH($A24,'Diags Raw Data'!$A$6:$A$4335))),--('Diags Raw Data'!$Q$6:$Q$4335&lt;&gt;"N/A"),'Diags Raw Data'!$T$6:$T$4335)+SUMPRODUCT(--(ISNUMBER(SEARCH($A24,'Diags Raw Data'!$A$6:$A$4335))),--('Diags Raw Data'!$Q$6:$Q$4335&lt;&gt;"N/A"),'Diags Raw Data'!$U$6:$U$4335)</f>
        <v>0</v>
      </c>
      <c r="O24" s="428">
        <f t="shared" si="11"/>
        <v>0</v>
      </c>
      <c r="P24" s="402">
        <f>SUMIF('Diags Raw Data'!$A$6:$A$4335,"*"&amp;$A24&amp;"*",'Diags Raw Data'!$Z$6:$Z$4335)</f>
        <v>0</v>
      </c>
      <c r="Q24" s="403">
        <f>SUM(SUMIF('Diags Raw Data'!$A$6:$A$4335,"*"&amp;$A24&amp;"*",'Diags Raw Data'!$AA$6:$AA$4335),SUMIF('Diags Raw Data'!$A$6:$A$4335,"*"&amp;$A24&amp;"*",'Diags Raw Data'!$AB$6:$AB$4335))</f>
        <v>0</v>
      </c>
      <c r="R24" s="404">
        <f t="shared" si="12"/>
        <v>0</v>
      </c>
      <c r="S24" s="404">
        <f t="shared" si="13"/>
        <v>0</v>
      </c>
      <c r="T24" s="405">
        <f t="shared" si="14"/>
        <v>0</v>
      </c>
      <c r="U24" s="434" t="s">
        <v>44</v>
      </c>
      <c r="V24" s="170" t="s">
        <v>43</v>
      </c>
    </row>
    <row r="25" spans="1:22" ht="65.650000000000006" customHeight="1" x14ac:dyDescent="0.25">
      <c r="A25" s="420" t="s">
        <v>356</v>
      </c>
      <c r="B25" s="328" t="str">
        <f>VLOOKUP(A25,'Feature Raw Data'!$A$3:$B$4067,2,FALSE)</f>
        <v>MMHUB:MMUTCL2 - Sideband translation path</v>
      </c>
      <c r="C25" s="271" t="str">
        <f>VLOOKUP(A25,'Feature Raw Data'!$A$3:$C$4067,3,FALSE)</f>
        <v>P2</v>
      </c>
      <c r="D25" s="82" t="str" cm="1">
        <f t="array" ref="D25">_xlfn.TEXTJOIN("",TRUE,IF(ISNUMBER(SEARCH($A25,'Diags Raw Data'!$A$6:$A$4335)),CONCATENATE('Diags Raw Data'!$H$6:$H$4335,", "),""))</f>
        <v xml:space="preserve">mhub015.3,mhub015.4, mhub019.3, mhub020.3, mhub50.1-4, </v>
      </c>
      <c r="E25" s="169" t="str">
        <f>VLOOKUP(A25,'Diags Raw Data'!$A$6:$D$4335,4,FALSE)</f>
        <v>MMHUB</v>
      </c>
      <c r="F25" s="169" t="str">
        <f>VLOOKUP(A25,'Feature Raw Data'!$A$3:$E$4067,5,FALSE)</f>
        <v>Legacy</v>
      </c>
      <c r="G25" s="169" t="str">
        <f t="shared" si="0"/>
        <v>Yes</v>
      </c>
      <c r="H25" s="169" t="str">
        <f t="shared" si="6"/>
        <v>Yes</v>
      </c>
      <c r="I25" s="271">
        <f>SUMIF('Diags Raw Data'!$A$6:$A$4335,"*"&amp;$A25&amp;"*",'Diags Raw Data'!$K$6:$K$4335)</f>
        <v>8</v>
      </c>
      <c r="J25" s="179">
        <f>SUMIF('Diags Raw Data'!$A$6:$A$4335,"*"&amp;$A25&amp;"*",'Diags Raw Data'!$L$6:$L$4335)</f>
        <v>8</v>
      </c>
      <c r="K25" s="398" cm="1">
        <f t="array" ref="K25">IF(D25="",0, SUMPRODUCT(--(ISNUMBER(SEARCH($A25,'Diags Raw Data'!$A$6:$A$4335))),'Diags Raw Data'!$L$6:$L$4335,'Diags Raw Data'!$N$6:$N$4335)/J25)</f>
        <v>1</v>
      </c>
      <c r="L25" s="399" cm="1">
        <f t="array" ref="L25">IF(D25="",0, SUMPRODUCT(--(ISNUMBER(SEARCH($A25,'Diags Raw Data'!$A$6:$A$4335))),'Diags Raw Data'!$L$6:$L$4335,'Diags Raw Data'!$P$6:$P$4335)/J25)</f>
        <v>1</v>
      </c>
      <c r="M25" s="400" cm="1">
        <f t="array" ref="M25">SUMPRODUCT(--(ISNUMBER(SEARCH($A25,'Diags Raw Data'!$A$6:$A$4335))),--('Diags Raw Data'!$Q$6:$Q$4335&lt;&gt;"N/A"),'Diags Raw Data'!$R$6:$R$4335)</f>
        <v>8</v>
      </c>
      <c r="N25" s="401" cm="1">
        <f t="array" ref="N25">SUMPRODUCT(--(ISNUMBER(SEARCH($A25,'Diags Raw Data'!$A$6:$A$4335))),--('Diags Raw Data'!$Q$6:$Q$4335&lt;&gt;"N/A"),'Diags Raw Data'!$T$6:$T$4335)+SUMPRODUCT(--(ISNUMBER(SEARCH($A25,'Diags Raw Data'!$A$6:$A$4335))),--('Diags Raw Data'!$Q$6:$Q$4335&lt;&gt;"N/A"),'Diags Raw Data'!$U$6:$U$4335)</f>
        <v>8</v>
      </c>
      <c r="O25" s="428">
        <f t="shared" si="11"/>
        <v>1</v>
      </c>
      <c r="P25" s="402">
        <f>SUMIF('Diags Raw Data'!$A$6:$A$4335,"*"&amp;$A25&amp;"*",'Diags Raw Data'!$Z$6:$Z$4335)</f>
        <v>0</v>
      </c>
      <c r="Q25" s="403">
        <f>SUM(SUMIF('Diags Raw Data'!$A$6:$A$4335,"*"&amp;$A25&amp;"*",'Diags Raw Data'!$AA$6:$AA$4335),SUMIF('Diags Raw Data'!$A$6:$A$4335,"*"&amp;$A25&amp;"*",'Diags Raw Data'!$AB$6:$AB$4335))</f>
        <v>0</v>
      </c>
      <c r="R25" s="404">
        <f t="shared" si="12"/>
        <v>0</v>
      </c>
      <c r="S25" s="404">
        <f t="shared" si="13"/>
        <v>0</v>
      </c>
      <c r="T25" s="405">
        <f t="shared" si="14"/>
        <v>0</v>
      </c>
      <c r="U25" s="434" t="s">
        <v>1651</v>
      </c>
      <c r="V25" s="170"/>
    </row>
    <row r="26" spans="1:22" ht="75" x14ac:dyDescent="0.25">
      <c r="A26" s="420" t="s">
        <v>1241</v>
      </c>
      <c r="B26" s="328" t="str">
        <f>VLOOKUP(A26,'Feature Raw Data'!$A$3:$B$4067,2,FALSE)</f>
        <v>MMHUB:MMUTCL2 - Implement 'router' to aggregate UTCL1 requests for non-OSS requests</v>
      </c>
      <c r="C26" s="271" t="str">
        <f>VLOOKUP(A26,'Feature Raw Data'!$A$3:$C$4067,3,FALSE)</f>
        <v>P2</v>
      </c>
      <c r="D26" s="82" t="str" cm="1">
        <f t="array" ref="D26">_xlfn.TEXTJOIN("",TRUE,IF(ISNUMBER(SEARCH($A26,'Diags Raw Data'!$A$6:$A$4335)),CONCATENATE('Diags Raw Data'!$H$6:$H$4335,", "),""))</f>
        <v xml:space="preserve">mhub031.1, mhub031.2, mhub031.3-5, mhub031.6-9, </v>
      </c>
      <c r="E26" s="169" t="str">
        <f>VLOOKUP(A26,'Diags Raw Data'!$A$6:$D$4335,4,FALSE)</f>
        <v>MMHUB</v>
      </c>
      <c r="F26" s="169" t="str">
        <f>VLOOKUP(A26,'Feature Raw Data'!$A$3:$E$4067,5,FALSE)</f>
        <v>Legacy</v>
      </c>
      <c r="G26" s="169" t="str">
        <f t="shared" si="0"/>
        <v>Yes</v>
      </c>
      <c r="H26" s="169" t="str">
        <f t="shared" si="6"/>
        <v>Yes</v>
      </c>
      <c r="I26" s="271">
        <f>SUMIF('Diags Raw Data'!$A$6:$A$4335,"*"&amp;$A26&amp;"*",'Diags Raw Data'!$K$6:$K$4335)</f>
        <v>9</v>
      </c>
      <c r="J26" s="179">
        <f>SUMIF('Diags Raw Data'!$A$6:$A$4335,"*"&amp;$A26&amp;"*",'Diags Raw Data'!$L$6:$L$4335)</f>
        <v>9</v>
      </c>
      <c r="K26" s="398" cm="1">
        <f t="array" ref="K26">IF(D26="",0, SUMPRODUCT(--(ISNUMBER(SEARCH($A26,'Diags Raw Data'!$A$6:$A$4335))),'Diags Raw Data'!$L$6:$L$4335,'Diags Raw Data'!$N$6:$N$4335)/J26)</f>
        <v>1</v>
      </c>
      <c r="L26" s="399" cm="1">
        <f t="array" ref="L26">IF(D26="",0, SUMPRODUCT(--(ISNUMBER(SEARCH($A26,'Diags Raw Data'!$A$6:$A$4335))),'Diags Raw Data'!$L$6:$L$4335,'Diags Raw Data'!$P$6:$P$4335)/J26)</f>
        <v>1</v>
      </c>
      <c r="M26" s="400" cm="1">
        <f t="array" ref="M26">SUMPRODUCT(--(ISNUMBER(SEARCH($A26,'Diags Raw Data'!$A$6:$A$4335))),--('Diags Raw Data'!$Q$6:$Q$4335&lt;&gt;"N/A"),'Diags Raw Data'!$R$6:$R$4335)</f>
        <v>9</v>
      </c>
      <c r="N26" s="401" cm="1">
        <f t="array" ref="N26">SUMPRODUCT(--(ISNUMBER(SEARCH($A26,'Diags Raw Data'!$A$6:$A$4335))),--('Diags Raw Data'!$Q$6:$Q$4335&lt;&gt;"N/A"),'Diags Raw Data'!$T$6:$T$4335)+SUMPRODUCT(--(ISNUMBER(SEARCH($A26,'Diags Raw Data'!$A$6:$A$4335))),--('Diags Raw Data'!$Q$6:$Q$4335&lt;&gt;"N/A"),'Diags Raw Data'!$U$6:$U$4335)</f>
        <v>9</v>
      </c>
      <c r="O26" s="428">
        <f t="shared" si="11"/>
        <v>1</v>
      </c>
      <c r="P26" s="402">
        <f>SUMIF('Diags Raw Data'!$A$6:$A$4335,"*"&amp;$A26&amp;"*",'Diags Raw Data'!$Z$6:$Z$4335)</f>
        <v>0</v>
      </c>
      <c r="Q26" s="403">
        <f>SUM(SUMIF('Diags Raw Data'!$A$6:$A$4335,"*"&amp;$A26&amp;"*",'Diags Raw Data'!$AA$6:$AA$4335),SUMIF('Diags Raw Data'!$A$6:$A$4335,"*"&amp;$A26&amp;"*",'Diags Raw Data'!$AB$6:$AB$4335))</f>
        <v>0</v>
      </c>
      <c r="R26" s="404">
        <f t="shared" si="12"/>
        <v>0</v>
      </c>
      <c r="S26" s="404">
        <f t="shared" si="13"/>
        <v>0</v>
      </c>
      <c r="T26" s="405">
        <f t="shared" si="14"/>
        <v>0</v>
      </c>
      <c r="U26" s="434" t="s">
        <v>1655</v>
      </c>
      <c r="V26" s="170"/>
    </row>
    <row r="27" spans="1:22" ht="345" x14ac:dyDescent="0.25">
      <c r="A27" s="420" t="s">
        <v>1087</v>
      </c>
      <c r="B27" s="328" t="str">
        <f>VLOOKUP(A27,'Feature Raw Data'!$A$3:$B$4067,2,FALSE)</f>
        <v>MMHUB:MMUTCL2 - IO/SPA for APU system</v>
      </c>
      <c r="C27" s="271" t="str">
        <f>VLOOKUP(A27,'Feature Raw Data'!$A$3:$C$4067,3,FALSE)</f>
        <v>P2</v>
      </c>
      <c r="D27" s="82" t="str" cm="1">
        <f t="array" ref="D27">_xlfn.TEXTJOIN("",TRUE,IF(ISNUMBER(SEARCH($A27,'Diags Raw Data'!$A$6:$A$4335)),CONCATENATE('Diags Raw Data'!$H$6:$H$4335,", "),""))</f>
        <v xml:space="preserve">mhub060.1-16, mhub060.17-32, mhub060.33-46, mhub060.47-60, mhub060.61, mhub060.62, mhub060.63, mhub060.64, mhub060.80, mhub060.81, mhub060.82, mhub060.83, mhub060.84, mhub060.85, mhub060.86, mhub060.87, mhub072.1, mhub072.2, mhub072.3, </v>
      </c>
      <c r="E27" s="169" t="str">
        <f>VLOOKUP(A27,'Diags Raw Data'!$A$6:$D$4335,4,FALSE)</f>
        <v>MMHUB</v>
      </c>
      <c r="F27" s="169" t="str">
        <f>VLOOKUP(A27,'Feature Raw Data'!$A$3:$E$4067,5,FALSE)</f>
        <v>Legacy</v>
      </c>
      <c r="G27" s="169" t="str">
        <f t="shared" si="0"/>
        <v>Yes</v>
      </c>
      <c r="H27" s="169" t="str">
        <f t="shared" si="6"/>
        <v>Yes</v>
      </c>
      <c r="I27" s="271">
        <f>SUMIF('Diags Raw Data'!$A$6:$A$4335,"*"&amp;$A27&amp;"*",'Diags Raw Data'!$K$6:$K$4335)</f>
        <v>19</v>
      </c>
      <c r="J27" s="179">
        <f>SUMIF('Diags Raw Data'!$A$6:$A$4335,"*"&amp;$A27&amp;"*",'Diags Raw Data'!$L$6:$L$4335)</f>
        <v>75</v>
      </c>
      <c r="K27" s="398" cm="1">
        <f t="array" ref="K27">IF(D27="",0, SUMPRODUCT(--(ISNUMBER(SEARCH($A27,'Diags Raw Data'!$A$6:$A$4335))),'Diags Raw Data'!$L$6:$L$4335,'Diags Raw Data'!$N$6:$N$4335)/J27)</f>
        <v>1</v>
      </c>
      <c r="L27" s="399" cm="1">
        <f t="array" ref="L27">IF(D27="",0, SUMPRODUCT(--(ISNUMBER(SEARCH($A27,'Diags Raw Data'!$A$6:$A$4335))),'Diags Raw Data'!$L$6:$L$4335,'Diags Raw Data'!$P$6:$P$4335)/J27)</f>
        <v>0.2</v>
      </c>
      <c r="M27" s="400" cm="1">
        <f t="array" ref="M27">SUMPRODUCT(--(ISNUMBER(SEARCH($A27,'Diags Raw Data'!$A$6:$A$4335))),--('Diags Raw Data'!$Q$6:$Q$4335&lt;&gt;"N/A"),'Diags Raw Data'!$R$6:$R$4335)</f>
        <v>75</v>
      </c>
      <c r="N27" s="401" cm="1">
        <f t="array" ref="N27">SUMPRODUCT(--(ISNUMBER(SEARCH($A27,'Diags Raw Data'!$A$6:$A$4335))),--('Diags Raw Data'!$Q$6:$Q$4335&lt;&gt;"N/A"),'Diags Raw Data'!$T$6:$T$4335)+SUMPRODUCT(--(ISNUMBER(SEARCH($A27,'Diags Raw Data'!$A$6:$A$4335))),--('Diags Raw Data'!$Q$6:$Q$4335&lt;&gt;"N/A"),'Diags Raw Data'!$U$6:$U$4335)</f>
        <v>75</v>
      </c>
      <c r="O27" s="428">
        <f t="shared" si="11"/>
        <v>1</v>
      </c>
      <c r="P27" s="402">
        <f>SUMIF('Diags Raw Data'!$A$6:$A$4335,"*"&amp;$A27&amp;"*",'Diags Raw Data'!$Z$6:$Z$4335)</f>
        <v>0</v>
      </c>
      <c r="Q27" s="403">
        <f>SUM(SUMIF('Diags Raw Data'!$A$6:$A$4335,"*"&amp;$A27&amp;"*",'Diags Raw Data'!$AA$6:$AA$4335),SUMIF('Diags Raw Data'!$A$6:$A$4335,"*"&amp;$A27&amp;"*",'Diags Raw Data'!$AB$6:$AB$4335))</f>
        <v>0</v>
      </c>
      <c r="R27" s="404">
        <f t="shared" si="12"/>
        <v>0</v>
      </c>
      <c r="S27" s="404">
        <f t="shared" si="13"/>
        <v>0</v>
      </c>
      <c r="T27" s="405">
        <f t="shared" si="14"/>
        <v>0</v>
      </c>
      <c r="U27" s="434" t="s">
        <v>1657</v>
      </c>
      <c r="V27" s="170"/>
    </row>
    <row r="28" spans="1:22" ht="111" customHeight="1" x14ac:dyDescent="0.25">
      <c r="A28" s="420" t="s">
        <v>417</v>
      </c>
      <c r="B28" s="328" t="str">
        <f>VLOOKUP(A28,'Feature Raw Data'!$A$3:$B$4067,2,FALSE)</f>
        <v>MMHUB:MMUTCL2:VML2 - Caches</v>
      </c>
      <c r="C28" s="271" t="str">
        <f>VLOOKUP(A28,'Feature Raw Data'!$A$3:$C$4067,3,FALSE)</f>
        <v>P2</v>
      </c>
      <c r="D28" s="82" t="str" cm="1">
        <f t="array" ref="D28">_xlfn.TEXTJOIN("",TRUE,IF(ISNUMBER(SEARCH($A28,'Diags Raw Data'!$A$6:$A$4335)),CONCATENATE('Diags Raw Data'!$H$6:$H$4335,", "),""))</f>
        <v xml:space="preserve">mhub031.1, mhub031.2, mhub031.3-5, mhub031.6-9, mhub033.1, mhub033.2, mhub033.3, mhub081.1,mhub081.2, mhub082, mhub083, mhub084.1-2, mhub085, mhub086.1,mhub086.2, mhub089, mhub093.1, mhub094, </v>
      </c>
      <c r="E28" s="169" t="str">
        <f>VLOOKUP(A28,'Diags Raw Data'!$A$6:$D$4335,4,FALSE)</f>
        <v>MMHUB</v>
      </c>
      <c r="F28" s="169" t="str">
        <f>VLOOKUP(A28,'Feature Raw Data'!$A$3:$E$4067,5,FALSE)</f>
        <v>Legacy</v>
      </c>
      <c r="G28" s="169" t="str">
        <f t="shared" si="0"/>
        <v>Yes</v>
      </c>
      <c r="H28" s="169" t="str">
        <f t="shared" si="6"/>
        <v>Yes</v>
      </c>
      <c r="I28" s="271">
        <f>SUMIF('Diags Raw Data'!$A$6:$A$4335,"*"&amp;$A28&amp;"*",'Diags Raw Data'!$K$6:$K$4335)</f>
        <v>21</v>
      </c>
      <c r="J28" s="179">
        <f>SUMIF('Diags Raw Data'!$A$6:$A$4335,"*"&amp;$A28&amp;"*",'Diags Raw Data'!$L$6:$L$4335)</f>
        <v>24</v>
      </c>
      <c r="K28" s="398" cm="1">
        <f t="array" ref="K28">IF(D28="",0, SUMPRODUCT(--(ISNUMBER(SEARCH($A28,'Diags Raw Data'!$A$6:$A$4335))),'Diags Raw Data'!$L$6:$L$4335,'Diags Raw Data'!$N$6:$N$4335)/J28)</f>
        <v>1</v>
      </c>
      <c r="L28" s="399" cm="1">
        <f t="array" ref="L28">IF(D28="",0, SUMPRODUCT(--(ISNUMBER(SEARCH($A28,'Diags Raw Data'!$A$6:$A$4335))),'Diags Raw Data'!$L$6:$L$4335,'Diags Raw Data'!$P$6:$P$4335)/J28)</f>
        <v>1</v>
      </c>
      <c r="M28" s="400" cm="1">
        <f t="array" ref="M28">SUMPRODUCT(--(ISNUMBER(SEARCH($A28,'Diags Raw Data'!$A$6:$A$4335))),--('Diags Raw Data'!$Q$6:$Q$4335&lt;&gt;"N/A"),'Diags Raw Data'!$R$6:$R$4335)</f>
        <v>24</v>
      </c>
      <c r="N28" s="401" cm="1">
        <f t="array" ref="N28">SUMPRODUCT(--(ISNUMBER(SEARCH($A28,'Diags Raw Data'!$A$6:$A$4335))),--('Diags Raw Data'!$Q$6:$Q$4335&lt;&gt;"N/A"),'Diags Raw Data'!$T$6:$T$4335)+SUMPRODUCT(--(ISNUMBER(SEARCH($A28,'Diags Raw Data'!$A$6:$A$4335))),--('Diags Raw Data'!$Q$6:$Q$4335&lt;&gt;"N/A"),'Diags Raw Data'!$U$6:$U$4335)</f>
        <v>24</v>
      </c>
      <c r="O28" s="428">
        <f t="shared" si="11"/>
        <v>1</v>
      </c>
      <c r="P28" s="402">
        <f>SUMIF('Diags Raw Data'!$A$6:$A$4335,"*"&amp;$A28&amp;"*",'Diags Raw Data'!$Z$6:$Z$4335)</f>
        <v>0</v>
      </c>
      <c r="Q28" s="403">
        <f>SUM(SUMIF('Diags Raw Data'!$A$6:$A$4335,"*"&amp;$A28&amp;"*",'Diags Raw Data'!$AA$6:$AA$4335),SUMIF('Diags Raw Data'!$A$6:$A$4335,"*"&amp;$A28&amp;"*",'Diags Raw Data'!$AB$6:$AB$4335))</f>
        <v>0</v>
      </c>
      <c r="R28" s="404">
        <f t="shared" si="12"/>
        <v>0</v>
      </c>
      <c r="S28" s="404">
        <f t="shared" si="13"/>
        <v>0</v>
      </c>
      <c r="T28" s="405">
        <f t="shared" si="14"/>
        <v>0</v>
      </c>
      <c r="U28" s="434" t="s">
        <v>1658</v>
      </c>
      <c r="V28" s="170"/>
    </row>
    <row r="29" spans="1:22" ht="30" x14ac:dyDescent="0.25">
      <c r="A29" s="420" t="s">
        <v>1253</v>
      </c>
      <c r="B29" s="328" t="str">
        <f>VLOOKUP(A29,'Feature Raw Data'!$A$3:$B$4067,2,FALSE)</f>
        <v>MMHUB:MMUTCL2:VML2 - GPUVM fault status register</v>
      </c>
      <c r="C29" s="271" t="str">
        <f>VLOOKUP(A29,'Feature Raw Data'!$A$3:$C$4067,3,FALSE)</f>
        <v>P1</v>
      </c>
      <c r="D29" s="82" t="str" cm="1">
        <f t="array" ref="D29">_xlfn.TEXTJOIN("",TRUE,IF(ISNUMBER(SEARCH($A29,'Diags Raw Data'!$A$6:$A$4335)),CONCATENATE('Diags Raw Data'!$H$6:$H$4335,", "),""))</f>
        <v xml:space="preserve">mhub287, </v>
      </c>
      <c r="E29" s="169" t="str">
        <f>VLOOKUP(A29,'Diags Raw Data'!$A$6:$D$4335,4,FALSE)</f>
        <v>GCHUB</v>
      </c>
      <c r="F29" s="169" t="str">
        <f>VLOOKUP(A29,'Feature Raw Data'!$A$3:$E$4067,5,FALSE)</f>
        <v>Delta</v>
      </c>
      <c r="G29" s="169" t="str">
        <f t="shared" si="0"/>
        <v>Yes</v>
      </c>
      <c r="H29" s="169" t="str">
        <f t="shared" si="6"/>
        <v>Yes</v>
      </c>
      <c r="I29" s="271">
        <f>SUMIF('Diags Raw Data'!$A$6:$A$4335,"*"&amp;$A29&amp;"*",'Diags Raw Data'!$K$6:$K$4335)</f>
        <v>1</v>
      </c>
      <c r="J29" s="179">
        <f>SUMIF('Diags Raw Data'!$A$6:$A$4335,"*"&amp;$A29&amp;"*",'Diags Raw Data'!$L$6:$L$4335)</f>
        <v>1</v>
      </c>
      <c r="K29" s="398" cm="1">
        <f t="array" ref="K29">IF(D29="",0, SUMPRODUCT(--(ISNUMBER(SEARCH($A29,'Diags Raw Data'!$A$6:$A$4335))),'Diags Raw Data'!$L$6:$L$4335,'Diags Raw Data'!$N$6:$N$4335)/J29)</f>
        <v>1</v>
      </c>
      <c r="L29" s="399" cm="1">
        <f t="array" ref="L29">IF(D29="",0, SUMPRODUCT(--(ISNUMBER(SEARCH($A29,'Diags Raw Data'!$A$6:$A$4335))),'Diags Raw Data'!$L$6:$L$4335,'Diags Raw Data'!$P$6:$P$4335)/J29)</f>
        <v>1</v>
      </c>
      <c r="M29" s="400" cm="1">
        <f t="array" ref="M29">SUMPRODUCT(--(ISNUMBER(SEARCH($A29,'Diags Raw Data'!$A$6:$A$4335))),--('Diags Raw Data'!$Q$6:$Q$4335&lt;&gt;"N/A"),'Diags Raw Data'!$R$6:$R$4335)</f>
        <v>1</v>
      </c>
      <c r="N29" s="401" cm="1">
        <f t="array" ref="N29">SUMPRODUCT(--(ISNUMBER(SEARCH($A29,'Diags Raw Data'!$A$6:$A$4335))),--('Diags Raw Data'!$Q$6:$Q$4335&lt;&gt;"N/A"),'Diags Raw Data'!$T$6:$T$4335)+SUMPRODUCT(--(ISNUMBER(SEARCH($A29,'Diags Raw Data'!$A$6:$A$4335))),--('Diags Raw Data'!$Q$6:$Q$4335&lt;&gt;"N/A"),'Diags Raw Data'!$U$6:$U$4335)</f>
        <v>1</v>
      </c>
      <c r="O29" s="428">
        <f t="shared" si="11"/>
        <v>1</v>
      </c>
      <c r="P29" s="402">
        <f>SUMIF('Diags Raw Data'!$A$6:$A$4335,"*"&amp;$A29&amp;"*",'Diags Raw Data'!$Z$6:$Z$4335)</f>
        <v>0</v>
      </c>
      <c r="Q29" s="403">
        <f>SUM(SUMIF('Diags Raw Data'!$A$6:$A$4335,"*"&amp;$A29&amp;"*",'Diags Raw Data'!$AA$6:$AA$4335),SUMIF('Diags Raw Data'!$A$6:$A$4335,"*"&amp;$A29&amp;"*",'Diags Raw Data'!$AB$6:$AB$4335))</f>
        <v>0</v>
      </c>
      <c r="R29" s="404">
        <f t="shared" si="12"/>
        <v>0</v>
      </c>
      <c r="S29" s="404">
        <f t="shared" si="13"/>
        <v>0</v>
      </c>
      <c r="T29" s="405">
        <f t="shared" si="14"/>
        <v>0</v>
      </c>
      <c r="U29" s="434" t="s">
        <v>1652</v>
      </c>
      <c r="V29" s="170"/>
    </row>
    <row r="30" spans="1:22" ht="105" x14ac:dyDescent="0.25">
      <c r="A30" s="420" t="s">
        <v>1101</v>
      </c>
      <c r="B30" s="328" t="str">
        <f>VLOOKUP(A30,'Feature Raw Data'!$A$3:$B$4067,2,FALSE)</f>
        <v>MMHUB:MMUTCL2:VML2 - Common PSP-only default page</v>
      </c>
      <c r="C30" s="271" t="str">
        <f>VLOOKUP(A30,'Feature Raw Data'!$A$3:$C$4067,3,FALSE)</f>
        <v>P2</v>
      </c>
      <c r="D30" s="82" t="str" cm="1">
        <f t="array" ref="D30">_xlfn.TEXTJOIN("",TRUE,IF(ISNUMBER(SEARCH($A30,'Diags Raw Data'!$A$6:$A$4335)),CONCATENATE('Diags Raw Data'!$H$6:$H$4335,", "),""))</f>
        <v xml:space="preserve">mhub091.1-4, mhub091.5-6, mhub091.7-13, mhub291.1-4, mhub291.5-6, </v>
      </c>
      <c r="E30" s="169" t="str">
        <f>VLOOKUP(A30,'Diags Raw Data'!$A$6:$D$4335,4,FALSE)</f>
        <v>MMHUB</v>
      </c>
      <c r="F30" s="169" t="str">
        <f>VLOOKUP(A30,'Feature Raw Data'!$A$3:$E$4067,5,FALSE)</f>
        <v>Legacy</v>
      </c>
      <c r="G30" s="169" t="str">
        <f t="shared" si="0"/>
        <v>Yes</v>
      </c>
      <c r="H30" s="169" t="str">
        <f t="shared" si="6"/>
        <v>Yes</v>
      </c>
      <c r="I30" s="271">
        <f>SUMIF('Diags Raw Data'!$A$6:$A$4335,"*"&amp;$A30&amp;"*",'Diags Raw Data'!$K$6:$K$4335)</f>
        <v>30</v>
      </c>
      <c r="J30" s="179">
        <f>SUMIF('Diags Raw Data'!$A$6:$A$4335,"*"&amp;$A30&amp;"*",'Diags Raw Data'!$L$6:$L$4335)</f>
        <v>19</v>
      </c>
      <c r="K30" s="398" cm="1">
        <f t="array" ref="K30">IF(D30="",0, SUMPRODUCT(--(ISNUMBER(SEARCH($A30,'Diags Raw Data'!$A$6:$A$4335))),'Diags Raw Data'!$L$6:$L$4335,'Diags Raw Data'!$N$6:$N$4335)/J30)</f>
        <v>1</v>
      </c>
      <c r="L30" s="399" cm="1">
        <f t="array" ref="L30">IF(D30="",0, SUMPRODUCT(--(ISNUMBER(SEARCH($A30,'Diags Raw Data'!$A$6:$A$4335))),'Diags Raw Data'!$L$6:$L$4335,'Diags Raw Data'!$P$6:$P$4335)/J30)</f>
        <v>0.63157894736842102</v>
      </c>
      <c r="M30" s="400" cm="1">
        <f t="array" ref="M30">SUMPRODUCT(--(ISNUMBER(SEARCH($A30,'Diags Raw Data'!$A$6:$A$4335))),--('Diags Raw Data'!$Q$6:$Q$4335&lt;&gt;"N/A"),'Diags Raw Data'!$R$6:$R$4335)</f>
        <v>19</v>
      </c>
      <c r="N30" s="401" cm="1">
        <f t="array" ref="N30">SUMPRODUCT(--(ISNUMBER(SEARCH($A30,'Diags Raw Data'!$A$6:$A$4335))),--('Diags Raw Data'!$Q$6:$Q$4335&lt;&gt;"N/A"),'Diags Raw Data'!$T$6:$T$4335)+SUMPRODUCT(--(ISNUMBER(SEARCH($A30,'Diags Raw Data'!$A$6:$A$4335))),--('Diags Raw Data'!$Q$6:$Q$4335&lt;&gt;"N/A"),'Diags Raw Data'!$U$6:$U$4335)</f>
        <v>19</v>
      </c>
      <c r="O30" s="428">
        <f t="shared" si="11"/>
        <v>1</v>
      </c>
      <c r="P30" s="402">
        <f>SUMIF('Diags Raw Data'!$A$6:$A$4335,"*"&amp;$A30&amp;"*",'Diags Raw Data'!$Z$6:$Z$4335)</f>
        <v>0</v>
      </c>
      <c r="Q30" s="403">
        <f>SUM(SUMIF('Diags Raw Data'!$A$6:$A$4335,"*"&amp;$A30&amp;"*",'Diags Raw Data'!$AA$6:$AA$4335),SUMIF('Diags Raw Data'!$A$6:$A$4335,"*"&amp;$A30&amp;"*",'Diags Raw Data'!$AB$6:$AB$4335))</f>
        <v>0</v>
      </c>
      <c r="R30" s="404">
        <f t="shared" si="12"/>
        <v>0</v>
      </c>
      <c r="S30" s="404">
        <f t="shared" si="13"/>
        <v>0</v>
      </c>
      <c r="T30" s="405">
        <f t="shared" si="14"/>
        <v>0</v>
      </c>
      <c r="U30" s="434" t="s">
        <v>1659</v>
      </c>
      <c r="V30" s="170"/>
    </row>
    <row r="31" spans="1:22" ht="30" x14ac:dyDescent="0.25">
      <c r="A31" s="420" t="s">
        <v>1255</v>
      </c>
      <c r="B31" s="328" t="str">
        <f>VLOOKUP(A31,'Feature Raw Data'!$A$3:$B$4067,2,FALSE)</f>
        <v>MMHUB:MMUTCL2:VML2 - DWB Scatter/Gather</v>
      </c>
      <c r="C31" s="271" t="str">
        <f>VLOOKUP(A31,'Feature Raw Data'!$A$3:$C$4067,3,FALSE)</f>
        <v>P2</v>
      </c>
      <c r="D31" s="82" t="str" cm="1">
        <f t="array" ref="D31">_xlfn.TEXTJOIN("",TRUE,IF(ISNUMBER(SEARCH($A31,'Diags Raw Data'!$A$6:$A$4335)),CONCATENATE('Diags Raw Data'!$H$6:$H$4335,", "),""))</f>
        <v/>
      </c>
      <c r="E31" s="169" t="e">
        <f>VLOOKUP(A31,'Diags Raw Data'!$A$6:$D$4335,4,FALSE)</f>
        <v>#N/A</v>
      </c>
      <c r="F31" s="169" t="str">
        <f>VLOOKUP(A31,'Feature Raw Data'!$A$3:$E$4067,5,FALSE)</f>
        <v>Legacy</v>
      </c>
      <c r="G31" s="169" t="s">
        <v>31</v>
      </c>
      <c r="H31" s="169" t="str">
        <f t="shared" si="6"/>
        <v>No</v>
      </c>
      <c r="I31" s="271">
        <f>SUMIF('Diags Raw Data'!$A$6:$A$4335,"*"&amp;$A31&amp;"*",'Diags Raw Data'!$K$6:$K$4335)</f>
        <v>0</v>
      </c>
      <c r="J31" s="179">
        <f>SUMIF('Diags Raw Data'!$A$6:$A$4335,"*"&amp;$A31&amp;"*",'Diags Raw Data'!$L$6:$L$4335)</f>
        <v>0</v>
      </c>
      <c r="K31" s="398" cm="1">
        <f t="array" ref="K31">IF(D31="",0, SUMPRODUCT(--(ISNUMBER(SEARCH($A31,'Diags Raw Data'!$A$6:$A$4335))),'Diags Raw Data'!$L$6:$L$4335,'Diags Raw Data'!$N$6:$N$4335)/J31)</f>
        <v>0</v>
      </c>
      <c r="L31" s="399" cm="1">
        <f t="array" ref="L31">IF(D31="",0, SUMPRODUCT(--(ISNUMBER(SEARCH($A31,'Diags Raw Data'!$A$6:$A$4335))),'Diags Raw Data'!$L$6:$L$4335,'Diags Raw Data'!$P$6:$P$4335)/J31)</f>
        <v>0</v>
      </c>
      <c r="M31" s="400" cm="1">
        <f t="array" ref="M31">SUMPRODUCT(--(ISNUMBER(SEARCH($A31,'Diags Raw Data'!$A$6:$A$4335))),--('Diags Raw Data'!$Q$6:$Q$4335&lt;&gt;"N/A"),'Diags Raw Data'!$R$6:$R$4335)</f>
        <v>0</v>
      </c>
      <c r="N31" s="401" cm="1">
        <f t="array" ref="N31">SUMPRODUCT(--(ISNUMBER(SEARCH($A31,'Diags Raw Data'!$A$6:$A$4335))),--('Diags Raw Data'!$Q$6:$Q$4335&lt;&gt;"N/A"),'Diags Raw Data'!$T$6:$T$4335)+SUMPRODUCT(--(ISNUMBER(SEARCH($A31,'Diags Raw Data'!$A$6:$A$4335))),--('Diags Raw Data'!$Q$6:$Q$4335&lt;&gt;"N/A"),'Diags Raw Data'!$U$6:$U$4335)</f>
        <v>0</v>
      </c>
      <c r="O31" s="428">
        <f t="shared" si="11"/>
        <v>0</v>
      </c>
      <c r="P31" s="402">
        <f>SUMIF('Diags Raw Data'!$A$6:$A$4335,"*"&amp;$A31&amp;"*",'Diags Raw Data'!$Z$6:$Z$4335)</f>
        <v>0</v>
      </c>
      <c r="Q31" s="403">
        <f>SUM(SUMIF('Diags Raw Data'!$A$6:$A$4335,"*"&amp;$A31&amp;"*",'Diags Raw Data'!$AA$6:$AA$4335),SUMIF('Diags Raw Data'!$A$6:$A$4335,"*"&amp;$A31&amp;"*",'Diags Raw Data'!$AB$6:$AB$4335))</f>
        <v>0</v>
      </c>
      <c r="R31" s="404">
        <f t="shared" si="12"/>
        <v>0</v>
      </c>
      <c r="S31" s="404">
        <f t="shared" si="13"/>
        <v>0</v>
      </c>
      <c r="T31" s="405">
        <f t="shared" si="14"/>
        <v>0</v>
      </c>
      <c r="U31" s="434" t="s">
        <v>44</v>
      </c>
      <c r="V31" s="170" t="s">
        <v>1257</v>
      </c>
    </row>
    <row r="32" spans="1:22" ht="30" x14ac:dyDescent="0.25">
      <c r="A32" s="420" t="s">
        <v>1258</v>
      </c>
      <c r="B32" s="328" t="str">
        <f>VLOOKUP(A32,'Feature Raw Data'!$A$3:$B$4067,2,FALSE)</f>
        <v>MMHUB:MMUTCL2:VML2 - Reserved Caches</v>
      </c>
      <c r="C32" s="271" t="str">
        <f>VLOOKUP(A32,'Feature Raw Data'!$A$3:$C$4067,3,FALSE)</f>
        <v>N/A</v>
      </c>
      <c r="D32" s="82" t="str" cm="1">
        <f t="array" ref="D32">_xlfn.TEXTJOIN("",TRUE,IF(ISNUMBER(SEARCH($A32,'Diags Raw Data'!$A$6:$A$4335)),CONCATENATE('Diags Raw Data'!$H$6:$H$4335,", "),""))</f>
        <v/>
      </c>
      <c r="E32" s="169" t="e">
        <f>VLOOKUP(A32,'Diags Raw Data'!$A$6:$D$4335,4,FALSE)</f>
        <v>#N/A</v>
      </c>
      <c r="F32" s="169" t="str">
        <f>VLOOKUP(A32,'Feature Raw Data'!$A$3:$E$4067,5,FALSE)</f>
        <v>Legacy</v>
      </c>
      <c r="G32" s="169" t="s">
        <v>31</v>
      </c>
      <c r="H32" s="169" t="str">
        <f t="shared" si="6"/>
        <v>No</v>
      </c>
      <c r="I32" s="271">
        <f>SUMIF('Diags Raw Data'!$A$6:$A$4335,"*"&amp;$A32&amp;"*",'Diags Raw Data'!$K$6:$K$4335)</f>
        <v>0</v>
      </c>
      <c r="J32" s="179">
        <f>SUMIF('Diags Raw Data'!$A$6:$A$4335,"*"&amp;$A32&amp;"*",'Diags Raw Data'!$L$6:$L$4335)</f>
        <v>0</v>
      </c>
      <c r="K32" s="398" cm="1">
        <f t="array" ref="K32">IF(D32="",0, SUMPRODUCT(--(ISNUMBER(SEARCH($A32,'Diags Raw Data'!$A$6:$A$4335))),'Diags Raw Data'!$L$6:$L$4335,'Diags Raw Data'!$N$6:$N$4335)/J32)</f>
        <v>0</v>
      </c>
      <c r="L32" s="399" cm="1">
        <f t="array" ref="L32">IF(D32="",0, SUMPRODUCT(--(ISNUMBER(SEARCH($A32,'Diags Raw Data'!$A$6:$A$4335))),'Diags Raw Data'!$L$6:$L$4335,'Diags Raw Data'!$P$6:$P$4335)/J32)</f>
        <v>0</v>
      </c>
      <c r="M32" s="400" cm="1">
        <f t="array" ref="M32">SUMPRODUCT(--(ISNUMBER(SEARCH($A32,'Diags Raw Data'!$A$6:$A$4335))),--('Diags Raw Data'!$Q$6:$Q$4335&lt;&gt;"N/A"),'Diags Raw Data'!$R$6:$R$4335)</f>
        <v>0</v>
      </c>
      <c r="N32" s="401" cm="1">
        <f t="array" ref="N32">SUMPRODUCT(--(ISNUMBER(SEARCH($A32,'Diags Raw Data'!$A$6:$A$4335))),--('Diags Raw Data'!$Q$6:$Q$4335&lt;&gt;"N/A"),'Diags Raw Data'!$T$6:$T$4335)+SUMPRODUCT(--(ISNUMBER(SEARCH($A32,'Diags Raw Data'!$A$6:$A$4335))),--('Diags Raw Data'!$Q$6:$Q$4335&lt;&gt;"N/A"),'Diags Raw Data'!$U$6:$U$4335)</f>
        <v>0</v>
      </c>
      <c r="O32" s="428">
        <f t="shared" si="11"/>
        <v>0</v>
      </c>
      <c r="P32" s="402">
        <f>SUMIF('Diags Raw Data'!$A$6:$A$4335,"*"&amp;$A32&amp;"*",'Diags Raw Data'!$Z$6:$Z$4335)</f>
        <v>0</v>
      </c>
      <c r="Q32" s="403">
        <f>SUM(SUMIF('Diags Raw Data'!$A$6:$A$4335,"*"&amp;$A32&amp;"*",'Diags Raw Data'!$AA$6:$AA$4335),SUMIF('Diags Raw Data'!$A$6:$A$4335,"*"&amp;$A32&amp;"*",'Diags Raw Data'!$AB$6:$AB$4335))</f>
        <v>0</v>
      </c>
      <c r="R32" s="404">
        <f t="shared" si="12"/>
        <v>0</v>
      </c>
      <c r="S32" s="404">
        <f t="shared" si="13"/>
        <v>0</v>
      </c>
      <c r="T32" s="405">
        <f t="shared" si="14"/>
        <v>0</v>
      </c>
      <c r="U32" s="434" t="s">
        <v>44</v>
      </c>
      <c r="V32" s="170" t="s">
        <v>1257</v>
      </c>
    </row>
    <row r="33" spans="1:22" ht="126" customHeight="1" x14ac:dyDescent="0.25">
      <c r="A33" s="420" t="s">
        <v>1260</v>
      </c>
      <c r="B33" s="328" t="str">
        <f>VLOOKUP(A33,'Feature Raw Data'!$A$3:$B$4067,2,FALSE)</f>
        <v>MMHUB:MMUTCL2:VML2 - GPUVA,VMID translation assist</v>
      </c>
      <c r="C33" s="271" t="str">
        <f>VLOOKUP(A33,'Feature Raw Data'!$A$3:$C$4067,3,FALSE)</f>
        <v>P2</v>
      </c>
      <c r="D33" s="82" t="str" cm="1">
        <f t="array" ref="D33">_xlfn.TEXTJOIN("",TRUE,IF(ISNUMBER(SEARCH($A33,'Diags Raw Data'!$A$6:$A$4335)),CONCATENATE('Diags Raw Data'!$H$6:$H$4335,", "),""))</f>
        <v xml:space="preserve">mhub060.1-16, mhub060.17-32, mhub060.33-46, mhub060.47-60, mhub060.61, mhub060.62, mhub060.63, mhub060.64, mhub060.80, mhub060.81, mhub060.82, mhub060.83, mhub060.84, mhub060.85, mhub060.86, mhub060.87, </v>
      </c>
      <c r="E33" s="169" t="str">
        <f>VLOOKUP(A33,'Diags Raw Data'!$A$6:$D$4335,4,FALSE)</f>
        <v>MMHUB</v>
      </c>
      <c r="F33" s="169" t="str">
        <f>VLOOKUP(A33,'Feature Raw Data'!$A$3:$E$4067,5,FALSE)</f>
        <v>Legacy</v>
      </c>
      <c r="G33" s="169" t="str">
        <f t="shared" si="0"/>
        <v>Yes</v>
      </c>
      <c r="H33" s="169" t="str">
        <f t="shared" si="6"/>
        <v>Yes</v>
      </c>
      <c r="I33" s="271">
        <f>SUMIF('Diags Raw Data'!$A$6:$A$4335,"*"&amp;$A33&amp;"*",'Diags Raw Data'!$K$6:$K$4335)</f>
        <v>16</v>
      </c>
      <c r="J33" s="179">
        <f>SUMIF('Diags Raw Data'!$A$6:$A$4335,"*"&amp;$A33&amp;"*",'Diags Raw Data'!$L$6:$L$4335)</f>
        <v>72</v>
      </c>
      <c r="K33" s="398" cm="1">
        <f t="array" ref="K33">IF(D33="",0, SUMPRODUCT(--(ISNUMBER(SEARCH($A33,'Diags Raw Data'!$A$6:$A$4335))),'Diags Raw Data'!$L$6:$L$4335,'Diags Raw Data'!$N$6:$N$4335)/J33)</f>
        <v>1</v>
      </c>
      <c r="L33" s="399" cm="1">
        <f t="array" ref="L33">IF(D33="",0, SUMPRODUCT(--(ISNUMBER(SEARCH($A33,'Diags Raw Data'!$A$6:$A$4335))),'Diags Raw Data'!$L$6:$L$4335,'Diags Raw Data'!$P$6:$P$4335)/J33)</f>
        <v>0.16666666666666666</v>
      </c>
      <c r="M33" s="400" cm="1">
        <f t="array" ref="M33">SUMPRODUCT(--(ISNUMBER(SEARCH($A33,'Diags Raw Data'!$A$6:$A$4335))),--('Diags Raw Data'!$Q$6:$Q$4335&lt;&gt;"N/A"),'Diags Raw Data'!$R$6:$R$4335)</f>
        <v>72</v>
      </c>
      <c r="N33" s="401" cm="1">
        <f t="array" ref="N33">SUMPRODUCT(--(ISNUMBER(SEARCH($A33,'Diags Raw Data'!$A$6:$A$4335))),--('Diags Raw Data'!$Q$6:$Q$4335&lt;&gt;"N/A"),'Diags Raw Data'!$T$6:$T$4335)+SUMPRODUCT(--(ISNUMBER(SEARCH($A33,'Diags Raw Data'!$A$6:$A$4335))),--('Diags Raw Data'!$Q$6:$Q$4335&lt;&gt;"N/A"),'Diags Raw Data'!$U$6:$U$4335)</f>
        <v>72</v>
      </c>
      <c r="O33" s="428">
        <f t="shared" si="11"/>
        <v>1</v>
      </c>
      <c r="P33" s="402">
        <f>SUMIF('Diags Raw Data'!$A$6:$A$4335,"*"&amp;$A33&amp;"*",'Diags Raw Data'!$Z$6:$Z$4335)</f>
        <v>0</v>
      </c>
      <c r="Q33" s="403">
        <f>SUM(SUMIF('Diags Raw Data'!$A$6:$A$4335,"*"&amp;$A33&amp;"*",'Diags Raw Data'!$AA$6:$AA$4335),SUMIF('Diags Raw Data'!$A$6:$A$4335,"*"&amp;$A33&amp;"*",'Diags Raw Data'!$AB$6:$AB$4335))</f>
        <v>0</v>
      </c>
      <c r="R33" s="404">
        <f t="shared" si="12"/>
        <v>0</v>
      </c>
      <c r="S33" s="404">
        <f t="shared" si="13"/>
        <v>0</v>
      </c>
      <c r="T33" s="405">
        <f t="shared" si="14"/>
        <v>0</v>
      </c>
      <c r="U33" s="434" t="s">
        <v>1657</v>
      </c>
      <c r="V33" s="170"/>
    </row>
    <row r="34" spans="1:22" ht="16.899999999999999" customHeight="1" x14ac:dyDescent="0.25">
      <c r="A34" s="420" t="s">
        <v>459</v>
      </c>
      <c r="B34" s="328" t="str">
        <f>VLOOKUP(A34,'Feature Raw Data'!$A$3:$B$4067,2,FALSE)</f>
        <v>MMHUB:MMUTCL2:VML2 - Translation bypass by VMID</v>
      </c>
      <c r="C34" s="271" t="str">
        <f>VLOOKUP(A34,'Feature Raw Data'!$A$3:$C$4067,3,FALSE)</f>
        <v>P2</v>
      </c>
      <c r="D34" s="82" t="str" cm="1">
        <f t="array" ref="D34">_xlfn.TEXTJOIN("",TRUE,IF(ISNUMBER(SEARCH($A34,'Diags Raw Data'!$A$6:$A$4335)),CONCATENATE('Diags Raw Data'!$H$6:$H$4335,", "),""))</f>
        <v xml:space="preserve">mhub046.1-8, mhub059.1-32, </v>
      </c>
      <c r="E34" s="169" t="str">
        <f>VLOOKUP(A34,'Diags Raw Data'!$A$6:$D$4335,4,FALSE)</f>
        <v>MMHUB</v>
      </c>
      <c r="F34" s="169" t="str">
        <f>VLOOKUP(A34,'Feature Raw Data'!$A$3:$E$4067,5,FALSE)</f>
        <v>Legacy</v>
      </c>
      <c r="G34" s="169" t="str">
        <f t="shared" si="0"/>
        <v>Yes</v>
      </c>
      <c r="H34" s="169" t="str">
        <f t="shared" si="6"/>
        <v>Yes</v>
      </c>
      <c r="I34" s="271">
        <f>SUMIF('Diags Raw Data'!$A$6:$A$4335,"*"&amp;$A34&amp;"*",'Diags Raw Data'!$K$6:$K$4335)</f>
        <v>2</v>
      </c>
      <c r="J34" s="179">
        <f>SUMIF('Diags Raw Data'!$A$6:$A$4335,"*"&amp;$A34&amp;"*",'Diags Raw Data'!$L$6:$L$4335)</f>
        <v>40</v>
      </c>
      <c r="K34" s="398" cm="1">
        <f t="array" ref="K34">IF(D34="",0, SUMPRODUCT(--(ISNUMBER(SEARCH($A34,'Diags Raw Data'!$A$6:$A$4335))),'Diags Raw Data'!$L$6:$L$4335,'Diags Raw Data'!$N$6:$N$4335)/J34)</f>
        <v>1</v>
      </c>
      <c r="L34" s="399" cm="1">
        <f t="array" ref="L34">IF(D34="",0, SUMPRODUCT(--(ISNUMBER(SEARCH($A34,'Diags Raw Data'!$A$6:$A$4335))),'Diags Raw Data'!$L$6:$L$4335,'Diags Raw Data'!$P$6:$P$4335)/J34)</f>
        <v>0</v>
      </c>
      <c r="M34" s="400" cm="1">
        <f t="array" ref="M34">SUMPRODUCT(--(ISNUMBER(SEARCH($A34,'Diags Raw Data'!$A$6:$A$4335))),--('Diags Raw Data'!$Q$6:$Q$4335&lt;&gt;"N/A"),'Diags Raw Data'!$R$6:$R$4335)</f>
        <v>40</v>
      </c>
      <c r="N34" s="401" cm="1">
        <f t="array" ref="N34">SUMPRODUCT(--(ISNUMBER(SEARCH($A34,'Diags Raw Data'!$A$6:$A$4335))),--('Diags Raw Data'!$Q$6:$Q$4335&lt;&gt;"N/A"),'Diags Raw Data'!$T$6:$T$4335)+SUMPRODUCT(--(ISNUMBER(SEARCH($A34,'Diags Raw Data'!$A$6:$A$4335))),--('Diags Raw Data'!$Q$6:$Q$4335&lt;&gt;"N/A"),'Diags Raw Data'!$U$6:$U$4335)</f>
        <v>40</v>
      </c>
      <c r="O34" s="428">
        <f t="shared" si="11"/>
        <v>1</v>
      </c>
      <c r="P34" s="402">
        <f>SUMIF('Diags Raw Data'!$A$6:$A$4335,"*"&amp;$A34&amp;"*",'Diags Raw Data'!$Z$6:$Z$4335)</f>
        <v>0</v>
      </c>
      <c r="Q34" s="403">
        <f>SUM(SUMIF('Diags Raw Data'!$A$6:$A$4335,"*"&amp;$A34&amp;"*",'Diags Raw Data'!$AA$6:$AA$4335),SUMIF('Diags Raw Data'!$A$6:$A$4335,"*"&amp;$A34&amp;"*",'Diags Raw Data'!$AB$6:$AB$4335))</f>
        <v>0</v>
      </c>
      <c r="R34" s="404">
        <f t="shared" si="12"/>
        <v>0</v>
      </c>
      <c r="S34" s="404">
        <f t="shared" si="13"/>
        <v>0</v>
      </c>
      <c r="T34" s="405">
        <f t="shared" si="14"/>
        <v>0</v>
      </c>
      <c r="U34" s="434" t="s">
        <v>1660</v>
      </c>
      <c r="V34" s="170"/>
    </row>
    <row r="35" spans="1:22" ht="300" x14ac:dyDescent="0.25">
      <c r="A35" s="420" t="s">
        <v>501</v>
      </c>
      <c r="B35" s="328" t="str">
        <f>VLOOKUP(A35,'Feature Raw Data'!$A$3:$B$4067,2,FALSE)</f>
        <v>MMHUB:MMUTCL2:VML2 - GPUVM Table Walks to Sysmem</v>
      </c>
      <c r="C35" s="271" t="str">
        <f>VLOOKUP(A35,'Feature Raw Data'!$A$3:$C$4067,3,FALSE)</f>
        <v>P2</v>
      </c>
      <c r="D35" s="82" t="str" cm="1">
        <f t="array" ref="D35">_xlfn.TEXTJOIN("",TRUE,IF(ISNUMBER(SEARCH($A35,'Diags Raw Data'!$A$6:$A$4335)),CONCATENATE('Diags Raw Data'!$H$6:$H$4335,", "),""))</f>
        <v xml:space="preserve">mhub058.1, mhub058.2, mhub058.3, mhub058.4, mhub058.5, mhub058.6, mhub058.7, mhub058.8, mhub058.9, mhub058.10, mhub058.11, mhub058.12, mhub058.13, mhub058.14, mhub058.15, mhub058.16, mhub058.17, mhub058.18, mhub058.19, mhub058.20, </v>
      </c>
      <c r="E35" s="169" t="str">
        <f>VLOOKUP(A35,'Diags Raw Data'!$A$6:$D$4335,4,FALSE)</f>
        <v>MMHUB</v>
      </c>
      <c r="F35" s="169" t="str">
        <f>VLOOKUP(A35,'Feature Raw Data'!$A$3:$E$4067,5,FALSE)</f>
        <v>Legacy</v>
      </c>
      <c r="G35" s="169" t="str">
        <f t="shared" si="0"/>
        <v>Yes</v>
      </c>
      <c r="H35" s="169" t="str">
        <f t="shared" si="6"/>
        <v>Yes</v>
      </c>
      <c r="I35" s="271">
        <f>SUMIF('Diags Raw Data'!$A$6:$A$4335,"*"&amp;$A35&amp;"*",'Diags Raw Data'!$K$6:$K$4335)</f>
        <v>20</v>
      </c>
      <c r="J35" s="179">
        <f>SUMIF('Diags Raw Data'!$A$6:$A$4335,"*"&amp;$A35&amp;"*",'Diags Raw Data'!$L$6:$L$4335)</f>
        <v>20</v>
      </c>
      <c r="K35" s="398" cm="1">
        <f t="array" ref="K35">IF(D35="",0, SUMPRODUCT(--(ISNUMBER(SEARCH($A35,'Diags Raw Data'!$A$6:$A$4335))),'Diags Raw Data'!$L$6:$L$4335,'Diags Raw Data'!$N$6:$N$4335)/J35)</f>
        <v>1</v>
      </c>
      <c r="L35" s="399" cm="1">
        <f t="array" ref="L35">IF(D35="",0, SUMPRODUCT(--(ISNUMBER(SEARCH($A35,'Diags Raw Data'!$A$6:$A$4335))),'Diags Raw Data'!$L$6:$L$4335,'Diags Raw Data'!$P$6:$P$4335)/J35)</f>
        <v>1</v>
      </c>
      <c r="M35" s="400" cm="1">
        <f t="array" ref="M35">SUMPRODUCT(--(ISNUMBER(SEARCH($A35,'Diags Raw Data'!$A$6:$A$4335))),--('Diags Raw Data'!$Q$6:$Q$4335&lt;&gt;"N/A"),'Diags Raw Data'!$R$6:$R$4335)</f>
        <v>20</v>
      </c>
      <c r="N35" s="401" cm="1">
        <f t="array" ref="N35">SUMPRODUCT(--(ISNUMBER(SEARCH($A35,'Diags Raw Data'!$A$6:$A$4335))),--('Diags Raw Data'!$Q$6:$Q$4335&lt;&gt;"N/A"),'Diags Raw Data'!$T$6:$T$4335)+SUMPRODUCT(--(ISNUMBER(SEARCH($A35,'Diags Raw Data'!$A$6:$A$4335))),--('Diags Raw Data'!$Q$6:$Q$4335&lt;&gt;"N/A"),'Diags Raw Data'!$U$6:$U$4335)</f>
        <v>20</v>
      </c>
      <c r="O35" s="428">
        <f t="shared" si="11"/>
        <v>1</v>
      </c>
      <c r="P35" s="402">
        <f>SUMIF('Diags Raw Data'!$A$6:$A$4335,"*"&amp;$A35&amp;"*",'Diags Raw Data'!$Z$6:$Z$4335)</f>
        <v>0</v>
      </c>
      <c r="Q35" s="403">
        <f>SUM(SUMIF('Diags Raw Data'!$A$6:$A$4335,"*"&amp;$A35&amp;"*",'Diags Raw Data'!$AA$6:$AA$4335),SUMIF('Diags Raw Data'!$A$6:$A$4335,"*"&amp;$A35&amp;"*",'Diags Raw Data'!$AB$6:$AB$4335))</f>
        <v>0</v>
      </c>
      <c r="R35" s="404">
        <f t="shared" si="12"/>
        <v>0</v>
      </c>
      <c r="S35" s="404">
        <f t="shared" si="13"/>
        <v>0</v>
      </c>
      <c r="T35" s="405">
        <f t="shared" si="14"/>
        <v>0</v>
      </c>
      <c r="U35" s="434" t="s">
        <v>1657</v>
      </c>
      <c r="V35" s="170"/>
    </row>
    <row r="36" spans="1:22" x14ac:dyDescent="0.25">
      <c r="A36" s="420" t="s">
        <v>1123</v>
      </c>
      <c r="B36" s="328" t="str">
        <f>VLOOKUP(A36,'Feature Raw Data'!$A$3:$B$4067,2,FALSE)</f>
        <v>MMHUB:MMUTCL2:VML2 - GPA Mode</v>
      </c>
      <c r="C36" s="271" t="str">
        <f>VLOOKUP(A36,'Feature Raw Data'!$A$3:$C$4067,3,FALSE)</f>
        <v>P2</v>
      </c>
      <c r="D36" s="82" t="str" cm="1">
        <f t="array" ref="D36">_xlfn.TEXTJOIN("",TRUE,IF(ISNUMBER(SEARCH($A36,'Diags Raw Data'!$A$6:$A$4335)),CONCATENATE('Diags Raw Data'!$H$6:$H$4335,", "),""))</f>
        <v/>
      </c>
      <c r="E36" s="169" t="e">
        <f>VLOOKUP(A36,'Diags Raw Data'!$A$6:$D$4335,4,FALSE)</f>
        <v>#N/A</v>
      </c>
      <c r="F36" s="169" t="str">
        <f>VLOOKUP(A36,'Feature Raw Data'!$A$3:$E$4067,5,FALSE)</f>
        <v>Legacy</v>
      </c>
      <c r="G36" s="169" t="s">
        <v>31</v>
      </c>
      <c r="H36" s="169" t="str">
        <f t="shared" si="6"/>
        <v>No</v>
      </c>
      <c r="I36" s="271">
        <f>SUMIF('Diags Raw Data'!$A$6:$A$4335,"*"&amp;$A36&amp;"*",'Diags Raw Data'!$K$6:$K$4335)</f>
        <v>0</v>
      </c>
      <c r="J36" s="179">
        <f>SUMIF('Diags Raw Data'!$A$6:$A$4335,"*"&amp;$A36&amp;"*",'Diags Raw Data'!$L$6:$L$4335)</f>
        <v>0</v>
      </c>
      <c r="K36" s="398" cm="1">
        <f t="array" ref="K36">IF(D36="",0, SUMPRODUCT(--(ISNUMBER(SEARCH($A36,'Diags Raw Data'!$A$6:$A$4335))),'Diags Raw Data'!$L$6:$L$4335,'Diags Raw Data'!$N$6:$N$4335)/J36)</f>
        <v>0</v>
      </c>
      <c r="L36" s="399" cm="1">
        <f t="array" ref="L36">IF(D36="",0, SUMPRODUCT(--(ISNUMBER(SEARCH($A36,'Diags Raw Data'!$A$6:$A$4335))),'Diags Raw Data'!$L$6:$L$4335,'Diags Raw Data'!$P$6:$P$4335)/J36)</f>
        <v>0</v>
      </c>
      <c r="M36" s="400" cm="1">
        <f t="array" ref="M36">SUMPRODUCT(--(ISNUMBER(SEARCH($A36,'Diags Raw Data'!$A$6:$A$4335))),--('Diags Raw Data'!$Q$6:$Q$4335&lt;&gt;"N/A"),'Diags Raw Data'!$R$6:$R$4335)</f>
        <v>0</v>
      </c>
      <c r="N36" s="401" cm="1">
        <f t="array" ref="N36">SUMPRODUCT(--(ISNUMBER(SEARCH($A36,'Diags Raw Data'!$A$6:$A$4335))),--('Diags Raw Data'!$Q$6:$Q$4335&lt;&gt;"N/A"),'Diags Raw Data'!$T$6:$T$4335)+SUMPRODUCT(--(ISNUMBER(SEARCH($A36,'Diags Raw Data'!$A$6:$A$4335))),--('Diags Raw Data'!$Q$6:$Q$4335&lt;&gt;"N/A"),'Diags Raw Data'!$U$6:$U$4335)</f>
        <v>0</v>
      </c>
      <c r="O36" s="428">
        <f t="shared" si="11"/>
        <v>0</v>
      </c>
      <c r="P36" s="402">
        <f>SUMIF('Diags Raw Data'!$A$6:$A$4335,"*"&amp;$A36&amp;"*",'Diags Raw Data'!$Z$6:$Z$4335)</f>
        <v>0</v>
      </c>
      <c r="Q36" s="403">
        <f>SUM(SUMIF('Diags Raw Data'!$A$6:$A$4335,"*"&amp;$A36&amp;"*",'Diags Raw Data'!$AA$6:$AA$4335),SUMIF('Diags Raw Data'!$A$6:$A$4335,"*"&amp;$A36&amp;"*",'Diags Raw Data'!$AB$6:$AB$4335))</f>
        <v>0</v>
      </c>
      <c r="R36" s="404">
        <f t="shared" si="12"/>
        <v>0</v>
      </c>
      <c r="S36" s="404">
        <f t="shared" si="13"/>
        <v>0</v>
      </c>
      <c r="T36" s="405">
        <f t="shared" si="14"/>
        <v>0</v>
      </c>
      <c r="U36" s="434" t="s">
        <v>44</v>
      </c>
      <c r="V36" s="170"/>
    </row>
    <row r="37" spans="1:22" ht="46.15" customHeight="1" x14ac:dyDescent="0.25">
      <c r="A37" s="420" t="s">
        <v>464</v>
      </c>
      <c r="B37" s="328" t="str">
        <f>VLOOKUP(A37,'Feature Raw Data'!$A$3:$B$4067,2,FALSE)</f>
        <v>MMHUB:MMUTCL2:VML2 - Page Size Optimization</v>
      </c>
      <c r="C37" s="271" t="str">
        <f>VLOOKUP(A37,'Feature Raw Data'!$A$3:$C$4067,3,FALSE)</f>
        <v>P2</v>
      </c>
      <c r="D37" s="82" t="str" cm="1">
        <f t="array" ref="D37">_xlfn.TEXTJOIN("",TRUE,IF(ISNUMBER(SEARCH($A37,'Diags Raw Data'!$A$6:$A$4335)),CONCATENATE('Diags Raw Data'!$H$6:$H$4335,", "),""))</f>
        <v xml:space="preserve">mhub048.1, mhub048.2, mhub048.3, mhub048.4, mhub048.5, mhub048.6, mhub048.7, </v>
      </c>
      <c r="E37" s="169" t="str">
        <f>VLOOKUP(A37,'Diags Raw Data'!$A$6:$D$4335,4,FALSE)</f>
        <v>MMHUB</v>
      </c>
      <c r="F37" s="169" t="str">
        <f>VLOOKUP(A37,'Feature Raw Data'!$A$3:$E$4067,5,FALSE)</f>
        <v>Legacy</v>
      </c>
      <c r="G37" s="169" t="str">
        <f t="shared" si="0"/>
        <v>Yes</v>
      </c>
      <c r="H37" s="169" t="str">
        <f t="shared" si="6"/>
        <v>Yes</v>
      </c>
      <c r="I37" s="271">
        <f>SUMIF('Diags Raw Data'!$A$6:$A$4335,"*"&amp;$A37&amp;"*",'Diags Raw Data'!$K$6:$K$4335)</f>
        <v>7</v>
      </c>
      <c r="J37" s="179">
        <f>SUMIF('Diags Raw Data'!$A$6:$A$4335,"*"&amp;$A37&amp;"*",'Diags Raw Data'!$L$6:$L$4335)</f>
        <v>7</v>
      </c>
      <c r="K37" s="398" cm="1">
        <f t="array" ref="K37">IF(D37="",0, SUMPRODUCT(--(ISNUMBER(SEARCH($A37,'Diags Raw Data'!$A$6:$A$4335))),'Diags Raw Data'!$L$6:$L$4335,'Diags Raw Data'!$N$6:$N$4335)/J37)</f>
        <v>1</v>
      </c>
      <c r="L37" s="399" cm="1">
        <f t="array" ref="L37">IF(D37="",0, SUMPRODUCT(--(ISNUMBER(SEARCH($A37,'Diags Raw Data'!$A$6:$A$4335))),'Diags Raw Data'!$L$6:$L$4335,'Diags Raw Data'!$P$6:$P$4335)/J37)</f>
        <v>1</v>
      </c>
      <c r="M37" s="400" cm="1">
        <f t="array" ref="M37">SUMPRODUCT(--(ISNUMBER(SEARCH($A37,'Diags Raw Data'!$A$6:$A$4335))),--('Diags Raw Data'!$Q$6:$Q$4335&lt;&gt;"N/A"),'Diags Raw Data'!$R$6:$R$4335)</f>
        <v>7</v>
      </c>
      <c r="N37" s="401" cm="1">
        <f t="array" ref="N37">SUMPRODUCT(--(ISNUMBER(SEARCH($A37,'Diags Raw Data'!$A$6:$A$4335))),--('Diags Raw Data'!$Q$6:$Q$4335&lt;&gt;"N/A"),'Diags Raw Data'!$T$6:$T$4335)+SUMPRODUCT(--(ISNUMBER(SEARCH($A37,'Diags Raw Data'!$A$6:$A$4335))),--('Diags Raw Data'!$Q$6:$Q$4335&lt;&gt;"N/A"),'Diags Raw Data'!$U$6:$U$4335)</f>
        <v>7</v>
      </c>
      <c r="O37" s="428">
        <f t="shared" si="11"/>
        <v>1</v>
      </c>
      <c r="P37" s="402">
        <f>SUMIF('Diags Raw Data'!$A$6:$A$4335,"*"&amp;$A37&amp;"*",'Diags Raw Data'!$Z$6:$Z$4335)</f>
        <v>0</v>
      </c>
      <c r="Q37" s="403">
        <f>SUM(SUMIF('Diags Raw Data'!$A$6:$A$4335,"*"&amp;$A37&amp;"*",'Diags Raw Data'!$AA$6:$AA$4335),SUMIF('Diags Raw Data'!$A$6:$A$4335,"*"&amp;$A37&amp;"*",'Diags Raw Data'!$AB$6:$AB$4335))</f>
        <v>0</v>
      </c>
      <c r="R37" s="404">
        <f t="shared" si="12"/>
        <v>0</v>
      </c>
      <c r="S37" s="404">
        <f t="shared" si="13"/>
        <v>0</v>
      </c>
      <c r="T37" s="405">
        <f t="shared" si="14"/>
        <v>0</v>
      </c>
      <c r="U37" s="434" t="s">
        <v>1653</v>
      </c>
      <c r="V37" s="170"/>
    </row>
    <row r="38" spans="1:22" ht="120.6" customHeight="1" x14ac:dyDescent="0.25">
      <c r="A38" s="420" t="s">
        <v>389</v>
      </c>
      <c r="B38" s="328" t="str">
        <f>VLOOKUP(A38,'Feature Raw Data'!$A$3:$B$4067,2,FALSE)</f>
        <v>MMHUB:MMUTCL2:VML2 - MMHUB Programmable SmallK</v>
      </c>
      <c r="C38" s="271" t="str">
        <f>VLOOKUP(A38,'Feature Raw Data'!$A$3:$C$4067,3,FALSE)</f>
        <v>P2</v>
      </c>
      <c r="D38" s="82" t="str" cm="1">
        <f t="array" ref="D38">_xlfn.TEXTJOIN("",TRUE,IF(ISNUMBER(SEARCH($A38,'Diags Raw Data'!$A$6:$A$4335)),CONCATENATE('Diags Raw Data'!$H$6:$H$4335,", "),""))</f>
        <v xml:space="preserve">mhub032.1-2, mhub032.3, mhub032.4, mhub032.5, mhub032.6, mhub032.7, mhub032.8, mhub032.9, mhub032.10, mhub032.11, mhub032.12, mhub034.1, mhub034.2, mhub034.3, mhub034.4, mhub059.1-32, </v>
      </c>
      <c r="E38" s="169" t="str">
        <f>VLOOKUP(A38,'Diags Raw Data'!$A$6:$D$4335,4,FALSE)</f>
        <v>MMHUB</v>
      </c>
      <c r="F38" s="169" t="str">
        <f>VLOOKUP(A38,'Feature Raw Data'!$A$3:$E$4067,5,FALSE)</f>
        <v>Legacy</v>
      </c>
      <c r="G38" s="169" t="str">
        <f t="shared" si="0"/>
        <v>Yes</v>
      </c>
      <c r="H38" s="169" t="str">
        <f t="shared" si="6"/>
        <v>Yes</v>
      </c>
      <c r="I38" s="271">
        <f>SUMIF('Diags Raw Data'!$A$6:$A$4335,"*"&amp;$A38&amp;"*",'Diags Raw Data'!$K$6:$K$4335)</f>
        <v>17</v>
      </c>
      <c r="J38" s="179">
        <f>SUMIF('Diags Raw Data'!$A$6:$A$4335,"*"&amp;$A38&amp;"*",'Diags Raw Data'!$L$6:$L$4335)</f>
        <v>48</v>
      </c>
      <c r="K38" s="398" cm="1">
        <f t="array" ref="K38">IF(D38="",0, SUMPRODUCT(--(ISNUMBER(SEARCH($A38,'Diags Raw Data'!$A$6:$A$4335))),'Diags Raw Data'!$L$6:$L$4335,'Diags Raw Data'!$N$6:$N$4335)/J38)</f>
        <v>1</v>
      </c>
      <c r="L38" s="399" cm="1">
        <f t="array" ref="L38">IF(D38="",0, SUMPRODUCT(--(ISNUMBER(SEARCH($A38,'Diags Raw Data'!$A$6:$A$4335))),'Diags Raw Data'!$L$6:$L$4335,'Diags Raw Data'!$P$6:$P$4335)/J38)</f>
        <v>0.33333333333333331</v>
      </c>
      <c r="M38" s="400" cm="1">
        <f t="array" ref="M38">SUMPRODUCT(--(ISNUMBER(SEARCH($A38,'Diags Raw Data'!$A$6:$A$4335))),--('Diags Raw Data'!$Q$6:$Q$4335&lt;&gt;"N/A"),'Diags Raw Data'!$R$6:$R$4335)</f>
        <v>48</v>
      </c>
      <c r="N38" s="401" cm="1">
        <f t="array" ref="N38">SUMPRODUCT(--(ISNUMBER(SEARCH($A38,'Diags Raw Data'!$A$6:$A$4335))),--('Diags Raw Data'!$Q$6:$Q$4335&lt;&gt;"N/A"),'Diags Raw Data'!$T$6:$T$4335)+SUMPRODUCT(--(ISNUMBER(SEARCH($A38,'Diags Raw Data'!$A$6:$A$4335))),--('Diags Raw Data'!$Q$6:$Q$4335&lt;&gt;"N/A"),'Diags Raw Data'!$U$6:$U$4335)</f>
        <v>48</v>
      </c>
      <c r="O38" s="428">
        <f t="shared" si="11"/>
        <v>1</v>
      </c>
      <c r="P38" s="402">
        <f>SUMIF('Diags Raw Data'!$A$6:$A$4335,"*"&amp;$A38&amp;"*",'Diags Raw Data'!$Z$6:$Z$4335)</f>
        <v>0</v>
      </c>
      <c r="Q38" s="403">
        <f>SUM(SUMIF('Diags Raw Data'!$A$6:$A$4335,"*"&amp;$A38&amp;"*",'Diags Raw Data'!$AA$6:$AA$4335),SUMIF('Diags Raw Data'!$A$6:$A$4335,"*"&amp;$A38&amp;"*",'Diags Raw Data'!$AB$6:$AB$4335))</f>
        <v>0</v>
      </c>
      <c r="R38" s="404">
        <f t="shared" si="12"/>
        <v>0</v>
      </c>
      <c r="S38" s="404">
        <f t="shared" si="13"/>
        <v>0</v>
      </c>
      <c r="T38" s="405">
        <f t="shared" si="14"/>
        <v>0</v>
      </c>
      <c r="U38" s="434" t="s">
        <v>1660</v>
      </c>
      <c r="V38" s="170"/>
    </row>
    <row r="39" spans="1:22" ht="30" x14ac:dyDescent="0.25">
      <c r="A39" s="420" t="s">
        <v>1069</v>
      </c>
      <c r="B39" s="328" t="str">
        <f>VLOOKUP(A39,'Feature Raw Data'!$A$3:$B$4067,2,FALSE)</f>
        <v>MMHUB:MMUTCL2:VML2 - CAM/filter to avoid duplicate table-walk reads</v>
      </c>
      <c r="C39" s="271" t="str">
        <f>VLOOKUP(A39,'Feature Raw Data'!$A$3:$C$4067,3,FALSE)</f>
        <v>P2</v>
      </c>
      <c r="D39" s="82" t="str" cm="1">
        <f t="array" ref="D39">_xlfn.TEXTJOIN("",TRUE,IF(ISNUMBER(SEARCH($A39,'Diags Raw Data'!$A$6:$A$4335)),CONCATENATE('Diags Raw Data'!$H$6:$H$4335,", "),""))</f>
        <v xml:space="preserve">mhub598.17, mhub598.18, </v>
      </c>
      <c r="E39" s="169" t="str">
        <f>VLOOKUP(A39,'Diags Raw Data'!$A$6:$D$4335,4,FALSE)</f>
        <v>MMHUB</v>
      </c>
      <c r="F39" s="169" t="str">
        <f>VLOOKUP(A39,'Feature Raw Data'!$A$3:$E$4067,5,FALSE)</f>
        <v>Legacy</v>
      </c>
      <c r="G39" s="169" t="str">
        <f t="shared" si="0"/>
        <v>Yes</v>
      </c>
      <c r="H39" s="169" t="str">
        <f t="shared" si="6"/>
        <v>Yes</v>
      </c>
      <c r="I39" s="271">
        <f>SUMIF('Diags Raw Data'!$A$6:$A$4335,"*"&amp;$A39&amp;"*",'Diags Raw Data'!$K$6:$K$4335)</f>
        <v>2</v>
      </c>
      <c r="J39" s="179">
        <f>SUMIF('Diags Raw Data'!$A$6:$A$4335,"*"&amp;$A39&amp;"*",'Diags Raw Data'!$L$6:$L$4335)</f>
        <v>2</v>
      </c>
      <c r="K39" s="398" cm="1">
        <f t="array" ref="K39">IF(D39="",0, SUMPRODUCT(--(ISNUMBER(SEARCH($A39,'Diags Raw Data'!$A$6:$A$4335))),'Diags Raw Data'!$L$6:$L$4335,'Diags Raw Data'!$N$6:$N$4335)/J39)</f>
        <v>1</v>
      </c>
      <c r="L39" s="399" cm="1">
        <f t="array" ref="L39">IF(D39="",0, SUMPRODUCT(--(ISNUMBER(SEARCH($A39,'Diags Raw Data'!$A$6:$A$4335))),'Diags Raw Data'!$L$6:$L$4335,'Diags Raw Data'!$P$6:$P$4335)/J39)</f>
        <v>1</v>
      </c>
      <c r="M39" s="400" cm="1">
        <f t="array" ref="M39">SUMPRODUCT(--(ISNUMBER(SEARCH($A39,'Diags Raw Data'!$A$6:$A$4335))),--('Diags Raw Data'!$Q$6:$Q$4335&lt;&gt;"N/A"),'Diags Raw Data'!$R$6:$R$4335)</f>
        <v>2</v>
      </c>
      <c r="N39" s="401" cm="1">
        <f t="array" ref="N39">SUMPRODUCT(--(ISNUMBER(SEARCH($A39,'Diags Raw Data'!$A$6:$A$4335))),--('Diags Raw Data'!$Q$6:$Q$4335&lt;&gt;"N/A"),'Diags Raw Data'!$T$6:$T$4335)+SUMPRODUCT(--(ISNUMBER(SEARCH($A39,'Diags Raw Data'!$A$6:$A$4335))),--('Diags Raw Data'!$Q$6:$Q$4335&lt;&gt;"N/A"),'Diags Raw Data'!$U$6:$U$4335)</f>
        <v>2</v>
      </c>
      <c r="O39" s="428">
        <f t="shared" si="11"/>
        <v>1</v>
      </c>
      <c r="P39" s="402">
        <f>SUMIF('Diags Raw Data'!$A$6:$A$4335,"*"&amp;$A39&amp;"*",'Diags Raw Data'!$Z$6:$Z$4335)</f>
        <v>0</v>
      </c>
      <c r="Q39" s="403">
        <f>SUM(SUMIF('Diags Raw Data'!$A$6:$A$4335,"*"&amp;$A39&amp;"*",'Diags Raw Data'!$AA$6:$AA$4335),SUMIF('Diags Raw Data'!$A$6:$A$4335,"*"&amp;$A39&amp;"*",'Diags Raw Data'!$AB$6:$AB$4335))</f>
        <v>0</v>
      </c>
      <c r="R39" s="404">
        <f t="shared" si="12"/>
        <v>0</v>
      </c>
      <c r="S39" s="404">
        <f t="shared" si="13"/>
        <v>0</v>
      </c>
      <c r="T39" s="405">
        <f t="shared" si="14"/>
        <v>0</v>
      </c>
      <c r="U39" s="434" t="s">
        <v>1654</v>
      </c>
      <c r="V39" s="170"/>
    </row>
    <row r="40" spans="1:22" ht="37.9" customHeight="1" x14ac:dyDescent="0.25">
      <c r="A40" s="420" t="s">
        <v>1266</v>
      </c>
      <c r="B40" s="328" t="str">
        <f>VLOOKUP(A40,'Feature Raw Data'!$A$3:$B$4067,2,FALSE)</f>
        <v>MMHUB:MMUTCL2:VML2 - Range-based UTCL1 and VML1 invalidation</v>
      </c>
      <c r="C40" s="271" t="str">
        <f>VLOOKUP(A40,'Feature Raw Data'!$A$3:$C$4067,3,FALSE)</f>
        <v>P2</v>
      </c>
      <c r="D40" s="82" t="str" cm="1">
        <f t="array" ref="D40">_xlfn.TEXTJOIN("",TRUE,IF(ISNUMBER(SEARCH($A40,'Diags Raw Data'!$A$6:$A$4335)),CONCATENATE('Diags Raw Data'!$H$6:$H$4335,", "),""))</f>
        <v xml:space="preserve">mhub052.1, mhub053.1, mhub054.1, mhub055, </v>
      </c>
      <c r="E40" s="169" t="str">
        <f>VLOOKUP(A40,'Diags Raw Data'!$A$6:$D$4335,4,FALSE)</f>
        <v>MMHUB</v>
      </c>
      <c r="F40" s="169" t="str">
        <f>VLOOKUP(A40,'Feature Raw Data'!$A$3:$E$4067,5,FALSE)</f>
        <v>Legacy</v>
      </c>
      <c r="G40" s="169" t="str">
        <f t="shared" si="0"/>
        <v>Yes</v>
      </c>
      <c r="H40" s="169" t="str">
        <f t="shared" si="6"/>
        <v>Yes</v>
      </c>
      <c r="I40" s="271">
        <f>SUMIF('Diags Raw Data'!$A$6:$A$4335,"*"&amp;$A40&amp;"*",'Diags Raw Data'!$K$6:$K$4335)</f>
        <v>9</v>
      </c>
      <c r="J40" s="179">
        <f>SUMIF('Diags Raw Data'!$A$6:$A$4335,"*"&amp;$A40&amp;"*",'Diags Raw Data'!$L$6:$L$4335)</f>
        <v>4</v>
      </c>
      <c r="K40" s="398" cm="1">
        <f t="array" ref="K40">IF(D40="",0, SUMPRODUCT(--(ISNUMBER(SEARCH($A40,'Diags Raw Data'!$A$6:$A$4335))),'Diags Raw Data'!$L$6:$L$4335,'Diags Raw Data'!$N$6:$N$4335)/J40)</f>
        <v>1</v>
      </c>
      <c r="L40" s="399" cm="1">
        <f t="array" ref="L40">IF(D40="",0, SUMPRODUCT(--(ISNUMBER(SEARCH($A40,'Diags Raw Data'!$A$6:$A$4335))),'Diags Raw Data'!$L$6:$L$4335,'Diags Raw Data'!$P$6:$P$4335)/J40)</f>
        <v>1</v>
      </c>
      <c r="M40" s="400" cm="1">
        <f t="array" ref="M40">SUMPRODUCT(--(ISNUMBER(SEARCH($A40,'Diags Raw Data'!$A$6:$A$4335))),--('Diags Raw Data'!$Q$6:$Q$4335&lt;&gt;"N/A"),'Diags Raw Data'!$R$6:$R$4335)</f>
        <v>4</v>
      </c>
      <c r="N40" s="401" cm="1">
        <f t="array" ref="N40">SUMPRODUCT(--(ISNUMBER(SEARCH($A40,'Diags Raw Data'!$A$6:$A$4335))),--('Diags Raw Data'!$Q$6:$Q$4335&lt;&gt;"N/A"),'Diags Raw Data'!$T$6:$T$4335)+SUMPRODUCT(--(ISNUMBER(SEARCH($A40,'Diags Raw Data'!$A$6:$A$4335))),--('Diags Raw Data'!$Q$6:$Q$4335&lt;&gt;"N/A"),'Diags Raw Data'!$U$6:$U$4335)</f>
        <v>4</v>
      </c>
      <c r="O40" s="428">
        <f t="shared" si="11"/>
        <v>1</v>
      </c>
      <c r="P40" s="402">
        <f>SUMIF('Diags Raw Data'!$A$6:$A$4335,"*"&amp;$A40&amp;"*",'Diags Raw Data'!$Z$6:$Z$4335)</f>
        <v>0</v>
      </c>
      <c r="Q40" s="403">
        <f>SUM(SUMIF('Diags Raw Data'!$A$6:$A$4335,"*"&amp;$A40&amp;"*",'Diags Raw Data'!$AA$6:$AA$4335),SUMIF('Diags Raw Data'!$A$6:$A$4335,"*"&amp;$A40&amp;"*",'Diags Raw Data'!$AB$6:$AB$4335))</f>
        <v>0</v>
      </c>
      <c r="R40" s="404">
        <f t="shared" si="12"/>
        <v>0</v>
      </c>
      <c r="S40" s="404">
        <f t="shared" si="13"/>
        <v>0</v>
      </c>
      <c r="T40" s="405">
        <f t="shared" si="14"/>
        <v>0</v>
      </c>
      <c r="U40" s="434" t="s">
        <v>1657</v>
      </c>
      <c r="V40" s="170"/>
    </row>
    <row r="41" spans="1:22" ht="15.6" customHeight="1" x14ac:dyDescent="0.25">
      <c r="A41" s="420" t="s">
        <v>1268</v>
      </c>
      <c r="B41" s="328" t="str">
        <f>VLOOKUP(A41,'Feature Raw Data'!$A$3:$B$4067,2,FALSE)</f>
        <v>MMHUB:MMUTCL2:VML2 - Per invalidate engine registers</v>
      </c>
      <c r="C41" s="271" t="str">
        <f>VLOOKUP(A41,'Feature Raw Data'!$A$3:$C$4067,3,FALSE)</f>
        <v>P2</v>
      </c>
      <c r="D41" s="82" t="str" cm="1">
        <f t="array" ref="D41">_xlfn.TEXTJOIN("",TRUE,IF(ISNUMBER(SEARCH($A41,'Diags Raw Data'!$A$6:$A$4335)),CONCATENATE('Diags Raw Data'!$H$6:$H$4335,", "),""))</f>
        <v xml:space="preserve">mhub057.1, mhub057.6, mhub50.1-4, </v>
      </c>
      <c r="E41" s="169" t="str">
        <f>VLOOKUP(A41,'Diags Raw Data'!$A$6:$D$4335,4,FALSE)</f>
        <v>MMHUB</v>
      </c>
      <c r="F41" s="169" t="str">
        <f>VLOOKUP(A41,'Feature Raw Data'!$A$3:$E$4067,5,FALSE)</f>
        <v>Legacy</v>
      </c>
      <c r="G41" s="169" t="str">
        <f t="shared" si="0"/>
        <v>Yes</v>
      </c>
      <c r="H41" s="169" t="str">
        <f t="shared" si="6"/>
        <v>Yes</v>
      </c>
      <c r="I41" s="271">
        <f>SUMIF('Diags Raw Data'!$A$6:$A$4335,"*"&amp;$A41&amp;"*",'Diags Raw Data'!$K$6:$K$4335)</f>
        <v>6</v>
      </c>
      <c r="J41" s="179">
        <f>SUMIF('Diags Raw Data'!$A$6:$A$4335,"*"&amp;$A41&amp;"*",'Diags Raw Data'!$L$6:$L$4335)</f>
        <v>6</v>
      </c>
      <c r="K41" s="398" cm="1">
        <f t="array" ref="K41">IF(D41="",0, SUMPRODUCT(--(ISNUMBER(SEARCH($A41,'Diags Raw Data'!$A$6:$A$4335))),'Diags Raw Data'!$L$6:$L$4335,'Diags Raw Data'!$N$6:$N$4335)/J41)</f>
        <v>1</v>
      </c>
      <c r="L41" s="399" cm="1">
        <f t="array" ref="L41">IF(D41="",0, SUMPRODUCT(--(ISNUMBER(SEARCH($A41,'Diags Raw Data'!$A$6:$A$4335))),'Diags Raw Data'!$L$6:$L$4335,'Diags Raw Data'!$P$6:$P$4335)/J41)</f>
        <v>1</v>
      </c>
      <c r="M41" s="400" cm="1">
        <f t="array" ref="M41">SUMPRODUCT(--(ISNUMBER(SEARCH($A41,'Diags Raw Data'!$A$6:$A$4335))),--('Diags Raw Data'!$Q$6:$Q$4335&lt;&gt;"N/A"),'Diags Raw Data'!$R$6:$R$4335)</f>
        <v>6</v>
      </c>
      <c r="N41" s="401" cm="1">
        <f t="array" ref="N41">SUMPRODUCT(--(ISNUMBER(SEARCH($A41,'Diags Raw Data'!$A$6:$A$4335))),--('Diags Raw Data'!$Q$6:$Q$4335&lt;&gt;"N/A"),'Diags Raw Data'!$T$6:$T$4335)+SUMPRODUCT(--(ISNUMBER(SEARCH($A41,'Diags Raw Data'!$A$6:$A$4335))),--('Diags Raw Data'!$Q$6:$Q$4335&lt;&gt;"N/A"),'Diags Raw Data'!$U$6:$U$4335)</f>
        <v>6</v>
      </c>
      <c r="O41" s="428">
        <f t="shared" si="11"/>
        <v>1</v>
      </c>
      <c r="P41" s="402">
        <f>SUMIF('Diags Raw Data'!$A$6:$A$4335,"*"&amp;$A41&amp;"*",'Diags Raw Data'!$Z$6:$Z$4335)</f>
        <v>0</v>
      </c>
      <c r="Q41" s="403">
        <f>SUM(SUMIF('Diags Raw Data'!$A$6:$A$4335,"*"&amp;$A41&amp;"*",'Diags Raw Data'!$AA$6:$AA$4335),SUMIF('Diags Raw Data'!$A$6:$A$4335,"*"&amp;$A41&amp;"*",'Diags Raw Data'!$AB$6:$AB$4335))</f>
        <v>0</v>
      </c>
      <c r="R41" s="404">
        <f t="shared" si="12"/>
        <v>0</v>
      </c>
      <c r="S41" s="404">
        <f t="shared" si="13"/>
        <v>0</v>
      </c>
      <c r="T41" s="405">
        <f t="shared" si="14"/>
        <v>0</v>
      </c>
      <c r="U41" s="434" t="s">
        <v>1661</v>
      </c>
      <c r="V41" s="170"/>
    </row>
    <row r="42" spans="1:22" ht="135" x14ac:dyDescent="0.25">
      <c r="A42" s="420" t="s">
        <v>446</v>
      </c>
      <c r="B42" s="328" t="str">
        <f>VLOOKUP(A42,'Feature Raw Data'!$A$3:$B$4067,2,FALSE)</f>
        <v>MMHUB:MMUTCL2:VML2 - Per VMID Context registers</v>
      </c>
      <c r="C42" s="271" t="str">
        <f>VLOOKUP(A42,'Feature Raw Data'!$A$3:$C$4067,3,FALSE)</f>
        <v>P2</v>
      </c>
      <c r="D42" s="82" t="str" cm="1">
        <f t="array" ref="D42">_xlfn.TEXTJOIN("",TRUE,IF(ISNUMBER(SEARCH($A42,'Diags Raw Data'!$A$6:$A$4335)),CONCATENATE('Diags Raw Data'!$H$6:$H$4335,", "),""))</f>
        <v xml:space="preserve">mhub002.1-15, mhub002.16, mhub002.16, mhub037.1-4, mhub040.1-4, mhub057.1, mhub095, </v>
      </c>
      <c r="E42" s="169" t="str">
        <f>VLOOKUP(A42,'Diags Raw Data'!$A$6:$D$4335,4,FALSE)</f>
        <v>MMHUB</v>
      </c>
      <c r="F42" s="169" t="str">
        <f>VLOOKUP(A42,'Feature Raw Data'!$A$3:$E$4067,5,FALSE)</f>
        <v>Legacy</v>
      </c>
      <c r="G42" s="169" t="str">
        <f t="shared" si="0"/>
        <v>Yes</v>
      </c>
      <c r="H42" s="169" t="str">
        <f t="shared" si="6"/>
        <v>Yes</v>
      </c>
      <c r="I42" s="271">
        <f>SUMIF('Diags Raw Data'!$A$6:$A$4335,"*"&amp;$A42&amp;"*",'Diags Raw Data'!$K$6:$K$4335)</f>
        <v>28</v>
      </c>
      <c r="J42" s="179">
        <f>SUMIF('Diags Raw Data'!$A$6:$A$4335,"*"&amp;$A42&amp;"*",'Diags Raw Data'!$L$6:$L$4335)</f>
        <v>27</v>
      </c>
      <c r="K42" s="398" cm="1">
        <f t="array" ref="K42">IF(D42="",0, SUMPRODUCT(--(ISNUMBER(SEARCH($A42,'Diags Raw Data'!$A$6:$A$4335))),'Diags Raw Data'!$L$6:$L$4335,'Diags Raw Data'!$N$6:$N$4335)/J42)</f>
        <v>1</v>
      </c>
      <c r="L42" s="399" cm="1">
        <f t="array" ref="L42">IF(D42="",0, SUMPRODUCT(--(ISNUMBER(SEARCH($A42,'Diags Raw Data'!$A$6:$A$4335))),'Diags Raw Data'!$L$6:$L$4335,'Diags Raw Data'!$P$6:$P$4335)/J42)</f>
        <v>0.42592592592592593</v>
      </c>
      <c r="M42" s="400" cm="1">
        <f t="array" ref="M42">SUMPRODUCT(--(ISNUMBER(SEARCH($A42,'Diags Raw Data'!$A$6:$A$4335))),--('Diags Raw Data'!$Q$6:$Q$4335&lt;&gt;"N/A"),'Diags Raw Data'!$R$6:$R$4335)</f>
        <v>27</v>
      </c>
      <c r="N42" s="401" cm="1">
        <f t="array" ref="N42">SUMPRODUCT(--(ISNUMBER(SEARCH($A42,'Diags Raw Data'!$A$6:$A$4335))),--('Diags Raw Data'!$Q$6:$Q$4335&lt;&gt;"N/A"),'Diags Raw Data'!$T$6:$T$4335)+SUMPRODUCT(--(ISNUMBER(SEARCH($A42,'Diags Raw Data'!$A$6:$A$4335))),--('Diags Raw Data'!$Q$6:$Q$4335&lt;&gt;"N/A"),'Diags Raw Data'!$U$6:$U$4335)</f>
        <v>27</v>
      </c>
      <c r="O42" s="428">
        <f t="shared" si="11"/>
        <v>1</v>
      </c>
      <c r="P42" s="402">
        <f>SUMIF('Diags Raw Data'!$A$6:$A$4335,"*"&amp;$A42&amp;"*",'Diags Raw Data'!$Z$6:$Z$4335)</f>
        <v>0</v>
      </c>
      <c r="Q42" s="403">
        <f>SUM(SUMIF('Diags Raw Data'!$A$6:$A$4335,"*"&amp;$A42&amp;"*",'Diags Raw Data'!$AA$6:$AA$4335),SUMIF('Diags Raw Data'!$A$6:$A$4335,"*"&amp;$A42&amp;"*",'Diags Raw Data'!$AB$6:$AB$4335))</f>
        <v>0</v>
      </c>
      <c r="R42" s="404">
        <f t="shared" si="12"/>
        <v>0</v>
      </c>
      <c r="S42" s="404">
        <f t="shared" si="13"/>
        <v>0</v>
      </c>
      <c r="T42" s="405">
        <f t="shared" si="14"/>
        <v>0</v>
      </c>
      <c r="U42" s="434" t="s">
        <v>1661</v>
      </c>
      <c r="V42" s="170"/>
    </row>
    <row r="43" spans="1:22" ht="120" x14ac:dyDescent="0.25">
      <c r="A43" s="420" t="s">
        <v>638</v>
      </c>
      <c r="B43" s="328" t="str">
        <f>VLOOKUP(A43,'Feature Raw Data'!$A$3:$B$4067,2,FALSE)</f>
        <v>MMHUB:MMUTCL2:VML2 - Register bits that enable software to control hit/miss behaviour on invalid ptes in cache</v>
      </c>
      <c r="C43" s="271" t="str">
        <f>VLOOKUP(A43,'Feature Raw Data'!$A$3:$C$4067,3,FALSE)</f>
        <v>P2</v>
      </c>
      <c r="D43" s="82" t="str" cm="1">
        <f t="array" ref="D43">_xlfn.TEXTJOIN("",TRUE,IF(ISNUMBER(SEARCH($A43,'Diags Raw Data'!$A$6:$A$4335)),CONCATENATE('Diags Raw Data'!$H$6:$H$4335,", "),""))</f>
        <v xml:space="preserve">mhub040.1-4, mhub040.11,mhub040.13, mhub040.12,mhub040.14, mhub145.1-2, </v>
      </c>
      <c r="E43" s="169" t="str">
        <f>VLOOKUP(A43,'Diags Raw Data'!$A$6:$D$4335,4,FALSE)</f>
        <v>MMHUB</v>
      </c>
      <c r="F43" s="169" t="str">
        <f>VLOOKUP(A43,'Feature Raw Data'!$A$3:$E$4067,5,FALSE)</f>
        <v>Legacy</v>
      </c>
      <c r="G43" s="169" t="s">
        <v>36</v>
      </c>
      <c r="H43" s="169" t="s">
        <v>36</v>
      </c>
      <c r="I43" s="271">
        <f>SUMIF('Diags Raw Data'!$A$6:$A$4335,"*"&amp;$A43&amp;"*",'Diags Raw Data'!$K$6:$K$4335)</f>
        <v>8</v>
      </c>
      <c r="J43" s="179">
        <f>SUMIF('Diags Raw Data'!$A$6:$A$4335,"*"&amp;$A43&amp;"*",'Diags Raw Data'!$L$6:$L$4335)</f>
        <v>10</v>
      </c>
      <c r="K43" s="398" cm="1">
        <f t="array" ref="K43">IF(D43="",0, SUMPRODUCT(--(ISNUMBER(SEARCH($A43,'Diags Raw Data'!$A$6:$A$4335))),'Diags Raw Data'!$L$6:$L$4335,'Diags Raw Data'!$N$6:$N$4335)/J43)</f>
        <v>1</v>
      </c>
      <c r="L43" s="399" cm="1">
        <f t="array" ref="L43">IF(D43="",0, SUMPRODUCT(--(ISNUMBER(SEARCH($A43,'Diags Raw Data'!$A$6:$A$4335))),'Diags Raw Data'!$L$6:$L$4335,'Diags Raw Data'!$P$6:$P$4335)/J43)</f>
        <v>1</v>
      </c>
      <c r="M43" s="400" cm="1">
        <f t="array" ref="M43">SUMPRODUCT(--(ISNUMBER(SEARCH($A43,'Diags Raw Data'!$A$6:$A$4335))),--('Diags Raw Data'!$Q$6:$Q$4335&lt;&gt;"N/A"),'Diags Raw Data'!$R$6:$R$4335)</f>
        <v>10</v>
      </c>
      <c r="N43" s="401" cm="1">
        <f t="array" ref="N43">SUMPRODUCT(--(ISNUMBER(SEARCH($A43,'Diags Raw Data'!$A$6:$A$4335))),--('Diags Raw Data'!$Q$6:$Q$4335&lt;&gt;"N/A"),'Diags Raw Data'!$T$6:$T$4335)+SUMPRODUCT(--(ISNUMBER(SEARCH($A43,'Diags Raw Data'!$A$6:$A$4335))),--('Diags Raw Data'!$Q$6:$Q$4335&lt;&gt;"N/A"),'Diags Raw Data'!$U$6:$U$4335)</f>
        <v>10</v>
      </c>
      <c r="O43" s="428">
        <f t="shared" si="11"/>
        <v>1</v>
      </c>
      <c r="P43" s="402">
        <f>SUMIF('Diags Raw Data'!$A$6:$A$4335,"*"&amp;$A43&amp;"*",'Diags Raw Data'!$Z$6:$Z$4335)</f>
        <v>0</v>
      </c>
      <c r="Q43" s="403">
        <f>SUM(SUMIF('Diags Raw Data'!$A$6:$A$4335,"*"&amp;$A43&amp;"*",'Diags Raw Data'!$AA$6:$AA$4335),SUMIF('Diags Raw Data'!$A$6:$A$4335,"*"&amp;$A43&amp;"*",'Diags Raw Data'!$AB$6:$AB$4335))</f>
        <v>0</v>
      </c>
      <c r="R43" s="404">
        <f t="shared" si="12"/>
        <v>0</v>
      </c>
      <c r="S43" s="404">
        <f t="shared" si="13"/>
        <v>0</v>
      </c>
      <c r="T43" s="405">
        <f t="shared" si="14"/>
        <v>0</v>
      </c>
      <c r="U43" s="434" t="s">
        <v>1661</v>
      </c>
      <c r="V43" s="170" t="s">
        <v>43</v>
      </c>
    </row>
    <row r="44" spans="1:22" ht="33" customHeight="1" x14ac:dyDescent="0.25">
      <c r="A44" s="420" t="s">
        <v>641</v>
      </c>
      <c r="B44" s="328" t="str">
        <f>VLOOKUP(A44,'Feature Raw Data'!$A$3:$B$4067,2,FALSE)</f>
        <v>MMHUB:MMUTCL2:VML2 - Register bits that enable software to control hit/miss behaviour on permission mismatch in cache</v>
      </c>
      <c r="C44" s="271" t="str">
        <f>VLOOKUP(A44,'Feature Raw Data'!$A$3:$C$4067,3,FALSE)</f>
        <v>P2</v>
      </c>
      <c r="D44" s="82" t="str" cm="1">
        <f t="array" ref="D44">_xlfn.TEXTJOIN("",TRUE,IF(ISNUMBER(SEARCH($A44,'Diags Raw Data'!$A$6:$A$4335)),CONCATENATE('Diags Raw Data'!$H$6:$H$4335,", "),""))</f>
        <v xml:space="preserve">mhub146.1-2, </v>
      </c>
      <c r="E44" s="169" t="str">
        <f>VLOOKUP(A44,'Diags Raw Data'!$A$6:$D$4335,4,FALSE)</f>
        <v>MMHUB</v>
      </c>
      <c r="F44" s="169" t="str">
        <f>VLOOKUP(A44,'Feature Raw Data'!$A$3:$E$4067,5,FALSE)</f>
        <v>Legacy</v>
      </c>
      <c r="G44" s="169" t="str">
        <f t="shared" si="0"/>
        <v>Yes</v>
      </c>
      <c r="H44" s="169" t="str">
        <f t="shared" si="6"/>
        <v>Yes</v>
      </c>
      <c r="I44" s="271">
        <f>SUMIF('Diags Raw Data'!$A$6:$A$4335,"*"&amp;$A44&amp;"*",'Diags Raw Data'!$K$6:$K$4335)</f>
        <v>1</v>
      </c>
      <c r="J44" s="179">
        <f>SUMIF('Diags Raw Data'!$A$6:$A$4335,"*"&amp;$A44&amp;"*",'Diags Raw Data'!$L$6:$L$4335)</f>
        <v>2</v>
      </c>
      <c r="K44" s="398" cm="1">
        <f t="array" ref="K44">IF(D44="",0, SUMPRODUCT(--(ISNUMBER(SEARCH($A44,'Diags Raw Data'!$A$6:$A$4335))),'Diags Raw Data'!$L$6:$L$4335,'Diags Raw Data'!$N$6:$N$4335)/J44)</f>
        <v>1</v>
      </c>
      <c r="L44" s="399" cm="1">
        <f t="array" ref="L44">IF(D44="",0, SUMPRODUCT(--(ISNUMBER(SEARCH($A44,'Diags Raw Data'!$A$6:$A$4335))),'Diags Raw Data'!$L$6:$L$4335,'Diags Raw Data'!$P$6:$P$4335)/J44)</f>
        <v>1</v>
      </c>
      <c r="M44" s="400" cm="1">
        <f t="array" ref="M44">SUMPRODUCT(--(ISNUMBER(SEARCH($A44,'Diags Raw Data'!$A$6:$A$4335))),--('Diags Raw Data'!$Q$6:$Q$4335&lt;&gt;"N/A"),'Diags Raw Data'!$R$6:$R$4335)</f>
        <v>2</v>
      </c>
      <c r="N44" s="401" cm="1">
        <f t="array" ref="N44">SUMPRODUCT(--(ISNUMBER(SEARCH($A44,'Diags Raw Data'!$A$6:$A$4335))),--('Diags Raw Data'!$Q$6:$Q$4335&lt;&gt;"N/A"),'Diags Raw Data'!$T$6:$T$4335)+SUMPRODUCT(--(ISNUMBER(SEARCH($A44,'Diags Raw Data'!$A$6:$A$4335))),--('Diags Raw Data'!$Q$6:$Q$4335&lt;&gt;"N/A"),'Diags Raw Data'!$U$6:$U$4335)</f>
        <v>2</v>
      </c>
      <c r="O44" s="428">
        <f t="shared" si="11"/>
        <v>1</v>
      </c>
      <c r="P44" s="402">
        <f>SUMIF('Diags Raw Data'!$A$6:$A$4335,"*"&amp;$A44&amp;"*",'Diags Raw Data'!$Z$6:$Z$4335)</f>
        <v>0</v>
      </c>
      <c r="Q44" s="403">
        <f>SUM(SUMIF('Diags Raw Data'!$A$6:$A$4335,"*"&amp;$A44&amp;"*",'Diags Raw Data'!$AA$6:$AA$4335),SUMIF('Diags Raw Data'!$A$6:$A$4335,"*"&amp;$A44&amp;"*",'Diags Raw Data'!$AB$6:$AB$4335))</f>
        <v>0</v>
      </c>
      <c r="R44" s="404">
        <f t="shared" si="12"/>
        <v>0</v>
      </c>
      <c r="S44" s="404">
        <f t="shared" si="13"/>
        <v>0</v>
      </c>
      <c r="T44" s="405">
        <f t="shared" si="14"/>
        <v>0</v>
      </c>
      <c r="U44" s="434" t="s">
        <v>1655</v>
      </c>
      <c r="V44" s="170"/>
    </row>
    <row r="45" spans="1:22" ht="45" customHeight="1" x14ac:dyDescent="0.25">
      <c r="A45" s="420" t="s">
        <v>1272</v>
      </c>
      <c r="B45" s="328" t="str">
        <f>VLOOKUP(A45,'Feature Raw Data'!$A$3:$B$4067,2,FALSE)</f>
        <v>MMHUB:MMUTCL2:VML2 - Register bits that enable software to control hit/miss behaviour on page migration(R=W=0) in cache</v>
      </c>
      <c r="C45" s="271" t="str">
        <f>VLOOKUP(A45,'Feature Raw Data'!$A$3:$C$4067,3,FALSE)</f>
        <v>P2</v>
      </c>
      <c r="D45" s="82" t="str" cm="1">
        <f t="array" ref="D45">_xlfn.TEXTJOIN("",TRUE,IF(ISNUMBER(SEARCH($A45,'Diags Raw Data'!$A$6:$A$4335)),CONCATENATE('Diags Raw Data'!$H$6:$H$4335,", "),""))</f>
        <v/>
      </c>
      <c r="E45" s="169" t="e">
        <f>VLOOKUP(A45,'Diags Raw Data'!$A$6:$D$4335,4,FALSE)</f>
        <v>#N/A</v>
      </c>
      <c r="F45" s="169" t="str">
        <f>VLOOKUP(A45,'Feature Raw Data'!$A$3:$E$4067,5,FALSE)</f>
        <v>Legacy</v>
      </c>
      <c r="G45" s="169" t="s">
        <v>36</v>
      </c>
      <c r="H45" s="169" t="str">
        <f>IF(D45="","No","Yes")</f>
        <v>No</v>
      </c>
      <c r="I45" s="271">
        <f>SUMIF('Diags Raw Data'!$A$6:$A$4335,"*"&amp;$A45&amp;"*",'Diags Raw Data'!$K$6:$K$4335)</f>
        <v>0</v>
      </c>
      <c r="J45" s="179">
        <f>SUMIF('Diags Raw Data'!$A$6:$A$4335,"*"&amp;$A45&amp;"*",'Diags Raw Data'!$L$6:$L$4335)</f>
        <v>0</v>
      </c>
      <c r="K45" s="398" cm="1">
        <f t="array" ref="K45">IF(D45="",0, SUMPRODUCT(--(ISNUMBER(SEARCH($A45,'Diags Raw Data'!$A$6:$A$4335))),'Diags Raw Data'!$L$6:$L$4335,'Diags Raw Data'!$N$6:$N$4335)/J45)</f>
        <v>0</v>
      </c>
      <c r="L45" s="399" cm="1">
        <f t="array" ref="L45">IF(D45="",0, SUMPRODUCT(--(ISNUMBER(SEARCH($A45,'Diags Raw Data'!$A$6:$A$4335))),'Diags Raw Data'!$L$6:$L$4335,'Diags Raw Data'!$P$6:$P$4335)/J45)</f>
        <v>0</v>
      </c>
      <c r="M45" s="400" cm="1">
        <f t="array" ref="M45">SUMPRODUCT(--(ISNUMBER(SEARCH($A45,'Diags Raw Data'!$A$6:$A$4335))),--('Diags Raw Data'!$Q$6:$Q$4335&lt;&gt;"N/A"),'Diags Raw Data'!$R$6:$R$4335)</f>
        <v>0</v>
      </c>
      <c r="N45" s="401" cm="1">
        <f t="array" ref="N45">SUMPRODUCT(--(ISNUMBER(SEARCH($A45,'Diags Raw Data'!$A$6:$A$4335))),--('Diags Raw Data'!$Q$6:$Q$4335&lt;&gt;"N/A"),'Diags Raw Data'!$T$6:$T$4335)+SUMPRODUCT(--(ISNUMBER(SEARCH($A45,'Diags Raw Data'!$A$6:$A$4335))),--('Diags Raw Data'!$Q$6:$Q$4335&lt;&gt;"N/A"),'Diags Raw Data'!$U$6:$U$4335)</f>
        <v>0</v>
      </c>
      <c r="O45" s="428">
        <f t="shared" ref="O45" si="15">IF((M45=0),0,N45/M45)</f>
        <v>0</v>
      </c>
      <c r="P45" s="402">
        <f>SUMIF('Diags Raw Data'!$A$6:$A$4335,"*"&amp;$A45&amp;"*",'Diags Raw Data'!$Z$6:$Z$4335)</f>
        <v>0</v>
      </c>
      <c r="Q45" s="403">
        <f>SUM(SUMIF('Diags Raw Data'!$A$6:$A$4335,"*"&amp;$A45&amp;"*",'Diags Raw Data'!$AA$6:$AA$4335),SUMIF('Diags Raw Data'!$A$6:$A$4335,"*"&amp;$A45&amp;"*",'Diags Raw Data'!$AB$6:$AB$4335))</f>
        <v>0</v>
      </c>
      <c r="R45" s="404">
        <f t="shared" ref="R45" si="16">IF((J45=0),0,P45/J45)</f>
        <v>0</v>
      </c>
      <c r="S45" s="404">
        <f t="shared" ref="S45" si="17">IF((P45=0),0,Q45/P45)</f>
        <v>0</v>
      </c>
      <c r="T45" s="405">
        <f t="shared" ref="T45" si="18">R45*S45</f>
        <v>0</v>
      </c>
      <c r="U45" s="434" t="s">
        <v>44</v>
      </c>
      <c r="V45" s="170" t="s">
        <v>1274</v>
      </c>
    </row>
    <row r="46" spans="1:22" ht="45.6" customHeight="1" x14ac:dyDescent="0.25">
      <c r="A46" s="420" t="s">
        <v>491</v>
      </c>
      <c r="B46" s="328" t="str">
        <f>VLOOKUP(A46,'Feature Raw Data'!$A$3:$B$4067,2,FALSE)</f>
        <v>MMHUB:MMUTCL2:VML2 - Invalidate by Address Range and VMID aka "Sharpshooting"</v>
      </c>
      <c r="C46" s="271" t="str">
        <f>VLOOKUP(A46,'Feature Raw Data'!$A$3:$C$4067,3,FALSE)</f>
        <v>P2</v>
      </c>
      <c r="D46" s="82" t="str" cm="1">
        <f t="array" ref="D46">_xlfn.TEXTJOIN("",TRUE,IF(ISNUMBER(SEARCH($A46,'Diags Raw Data'!$A$6:$A$4335)),CONCATENATE('Diags Raw Data'!$H$6:$H$4335,", "),""))</f>
        <v xml:space="preserve">mhub052.1, mhub053.1, mhub054.1, mhub054.3,mhub054.5-8, mhub055, mhub057.1, mhub057.6, </v>
      </c>
      <c r="E46" s="169" t="str">
        <f>VLOOKUP(A46,'Diags Raw Data'!$A$6:$D$4335,4,FALSE)</f>
        <v>MMHUB</v>
      </c>
      <c r="F46" s="169" t="str">
        <f>VLOOKUP(A46,'Feature Raw Data'!$A$3:$E$4067,5,FALSE)</f>
        <v>Legacy</v>
      </c>
      <c r="G46" s="169" t="str">
        <f t="shared" si="0"/>
        <v>Yes</v>
      </c>
      <c r="H46" s="169" t="str">
        <f t="shared" si="6"/>
        <v>Yes</v>
      </c>
      <c r="I46" s="271">
        <f>SUMIF('Diags Raw Data'!$A$6:$A$4335,"*"&amp;$A46&amp;"*",'Diags Raw Data'!$K$6:$K$4335)</f>
        <v>12</v>
      </c>
      <c r="J46" s="179">
        <f>SUMIF('Diags Raw Data'!$A$6:$A$4335,"*"&amp;$A46&amp;"*",'Diags Raw Data'!$L$6:$L$4335)</f>
        <v>11</v>
      </c>
      <c r="K46" s="398" cm="1">
        <f t="array" ref="K46">IF(D46="",0, SUMPRODUCT(--(ISNUMBER(SEARCH($A46,'Diags Raw Data'!$A$6:$A$4335))),'Diags Raw Data'!$L$6:$L$4335,'Diags Raw Data'!$N$6:$N$4335)/J46)</f>
        <v>1</v>
      </c>
      <c r="L46" s="399" cm="1">
        <f t="array" ref="L46">IF(D46="",0, SUMPRODUCT(--(ISNUMBER(SEARCH($A46,'Diags Raw Data'!$A$6:$A$4335))),'Diags Raw Data'!$L$6:$L$4335,'Diags Raw Data'!$P$6:$P$4335)/J46)</f>
        <v>1</v>
      </c>
      <c r="M46" s="400" cm="1">
        <f t="array" ref="M46">SUMPRODUCT(--(ISNUMBER(SEARCH($A46,'Diags Raw Data'!$A$6:$A$4335))),--('Diags Raw Data'!$Q$6:$Q$4335&lt;&gt;"N/A"),'Diags Raw Data'!$R$6:$R$4335)</f>
        <v>11</v>
      </c>
      <c r="N46" s="401" cm="1">
        <f t="array" ref="N46">SUMPRODUCT(--(ISNUMBER(SEARCH($A46,'Diags Raw Data'!$A$6:$A$4335))),--('Diags Raw Data'!$Q$6:$Q$4335&lt;&gt;"N/A"),'Diags Raw Data'!$T$6:$T$4335)+SUMPRODUCT(--(ISNUMBER(SEARCH($A46,'Diags Raw Data'!$A$6:$A$4335))),--('Diags Raw Data'!$Q$6:$Q$4335&lt;&gt;"N/A"),'Diags Raw Data'!$U$6:$U$4335)</f>
        <v>11</v>
      </c>
      <c r="O46" s="428">
        <f t="shared" si="11"/>
        <v>1</v>
      </c>
      <c r="P46" s="402">
        <f>SUMIF('Diags Raw Data'!$A$6:$A$4335,"*"&amp;$A46&amp;"*",'Diags Raw Data'!$Z$6:$Z$4335)</f>
        <v>0</v>
      </c>
      <c r="Q46" s="403">
        <f>SUM(SUMIF('Diags Raw Data'!$A$6:$A$4335,"*"&amp;$A46&amp;"*",'Diags Raw Data'!$AA$6:$AA$4335),SUMIF('Diags Raw Data'!$A$6:$A$4335,"*"&amp;$A46&amp;"*",'Diags Raw Data'!$AB$6:$AB$4335))</f>
        <v>0</v>
      </c>
      <c r="R46" s="404">
        <f t="shared" si="12"/>
        <v>0</v>
      </c>
      <c r="S46" s="404">
        <f t="shared" si="13"/>
        <v>0</v>
      </c>
      <c r="T46" s="405">
        <f t="shared" si="14"/>
        <v>0</v>
      </c>
      <c r="U46" s="434" t="s">
        <v>1657</v>
      </c>
      <c r="V46" s="170"/>
    </row>
    <row r="47" spans="1:22" ht="75" x14ac:dyDescent="0.25">
      <c r="A47" s="420" t="s">
        <v>1275</v>
      </c>
      <c r="B47" s="328" t="str">
        <f>VLOOKUP(A47,'Feature Raw Data'!$A$3:$B$4067,2,FALSE)</f>
        <v>MMHUB:MMUTCL2:VML2 - Lightweight/Heavyweight flush-type invalidation</v>
      </c>
      <c r="C47" s="271" t="str">
        <f>VLOOKUP(A47,'Feature Raw Data'!$A$3:$C$4067,3,FALSE)</f>
        <v>P2</v>
      </c>
      <c r="D47" s="82" t="str" cm="1">
        <f t="array" ref="D47">_xlfn.TEXTJOIN("",TRUE,IF(ISNUMBER(SEARCH($A47,'Diags Raw Data'!$A$6:$A$4335)),CONCATENATE('Diags Raw Data'!$H$6:$H$4335,", "),""))</f>
        <v xml:space="preserve">mhub054.1, mhub055, mhub057.1, mhub057.6, mhub50.1-4, </v>
      </c>
      <c r="E47" s="169" t="str">
        <f>VLOOKUP(A47,'Diags Raw Data'!$A$6:$D$4335,4,FALSE)</f>
        <v>MMHUB</v>
      </c>
      <c r="F47" s="169" t="str">
        <f>VLOOKUP(A47,'Feature Raw Data'!$A$3:$E$4067,5,FALSE)</f>
        <v>Legacy</v>
      </c>
      <c r="G47" s="169" t="str">
        <f t="shared" si="0"/>
        <v>Yes</v>
      </c>
      <c r="H47" s="169" t="str">
        <f t="shared" si="6"/>
        <v>Yes</v>
      </c>
      <c r="I47" s="271">
        <f>SUMIF('Diags Raw Data'!$A$6:$A$4335,"*"&amp;$A47&amp;"*",'Diags Raw Data'!$K$6:$K$4335)</f>
        <v>13</v>
      </c>
      <c r="J47" s="179">
        <f>SUMIF('Diags Raw Data'!$A$6:$A$4335,"*"&amp;$A47&amp;"*",'Diags Raw Data'!$L$6:$L$4335)</f>
        <v>8</v>
      </c>
      <c r="K47" s="398" cm="1">
        <f t="array" ref="K47">IF(D47="",0, SUMPRODUCT(--(ISNUMBER(SEARCH($A47,'Diags Raw Data'!$A$6:$A$4335))),'Diags Raw Data'!$L$6:$L$4335,'Diags Raw Data'!$N$6:$N$4335)/J47)</f>
        <v>1</v>
      </c>
      <c r="L47" s="399" cm="1">
        <f t="array" ref="L47">IF(D47="",0, SUMPRODUCT(--(ISNUMBER(SEARCH($A47,'Diags Raw Data'!$A$6:$A$4335))),'Diags Raw Data'!$L$6:$L$4335,'Diags Raw Data'!$P$6:$P$4335)/J47)</f>
        <v>1</v>
      </c>
      <c r="M47" s="400" cm="1">
        <f t="array" ref="M47">SUMPRODUCT(--(ISNUMBER(SEARCH($A47,'Diags Raw Data'!$A$6:$A$4335))),--('Diags Raw Data'!$Q$6:$Q$4335&lt;&gt;"N/A"),'Diags Raw Data'!$R$6:$R$4335)</f>
        <v>8</v>
      </c>
      <c r="N47" s="401" cm="1">
        <f t="array" ref="N47">SUMPRODUCT(--(ISNUMBER(SEARCH($A47,'Diags Raw Data'!$A$6:$A$4335))),--('Diags Raw Data'!$Q$6:$Q$4335&lt;&gt;"N/A"),'Diags Raw Data'!$T$6:$T$4335)+SUMPRODUCT(--(ISNUMBER(SEARCH($A47,'Diags Raw Data'!$A$6:$A$4335))),--('Diags Raw Data'!$Q$6:$Q$4335&lt;&gt;"N/A"),'Diags Raw Data'!$U$6:$U$4335)</f>
        <v>8</v>
      </c>
      <c r="O47" s="428">
        <f t="shared" si="11"/>
        <v>1</v>
      </c>
      <c r="P47" s="402">
        <f>SUMIF('Diags Raw Data'!$A$6:$A$4335,"*"&amp;$A47&amp;"*",'Diags Raw Data'!$Z$6:$Z$4335)</f>
        <v>0</v>
      </c>
      <c r="Q47" s="403">
        <f>SUM(SUMIF('Diags Raw Data'!$A$6:$A$4335,"*"&amp;$A47&amp;"*",'Diags Raw Data'!$AA$6:$AA$4335),SUMIF('Diags Raw Data'!$A$6:$A$4335,"*"&amp;$A47&amp;"*",'Diags Raw Data'!$AB$6:$AB$4335))</f>
        <v>0</v>
      </c>
      <c r="R47" s="404">
        <f t="shared" si="12"/>
        <v>0</v>
      </c>
      <c r="S47" s="404">
        <f t="shared" si="13"/>
        <v>0</v>
      </c>
      <c r="T47" s="405">
        <f t="shared" si="14"/>
        <v>0</v>
      </c>
      <c r="U47" s="434" t="s">
        <v>1657</v>
      </c>
      <c r="V47" s="170"/>
    </row>
    <row r="48" spans="1:22" ht="409.5" x14ac:dyDescent="0.25">
      <c r="A48" s="420" t="s">
        <v>1276</v>
      </c>
      <c r="B48" s="328" t="str">
        <f>VLOOKUP(A48,'Feature Raw Data'!$A$3:$B$4067,2,FALSE)</f>
        <v>MMHUB:MMUTCL2:VML2 - Page Table Levels</v>
      </c>
      <c r="C48" s="271" t="str">
        <f>VLOOKUP(A48,'Feature Raw Data'!$A$3:$C$4067,3,FALSE)</f>
        <v>P2</v>
      </c>
      <c r="D48" s="82" t="str" cm="1">
        <f t="array" ref="D48">_xlfn.TEXTJOIN("",TRUE,IF(ISNUMBER(SEARCH($A48,'Diags Raw Data'!$A$6:$A$4335)),CONCATENATE('Diags Raw Data'!$H$6:$H$4335,",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str">
        <f>VLOOKUP(A48,'Diags Raw Data'!$A$6:$D$4335,4,FALSE)</f>
        <v>MMHUB</v>
      </c>
      <c r="F48" s="169" t="str">
        <f>VLOOKUP(A48,'Feature Raw Data'!$A$3:$E$4067,5,FALSE)</f>
        <v>Legacy</v>
      </c>
      <c r="G48" s="169" t="str">
        <f t="shared" si="0"/>
        <v>Yes</v>
      </c>
      <c r="H48" s="169" t="str">
        <f t="shared" si="6"/>
        <v>Yes</v>
      </c>
      <c r="I48" s="271">
        <f>SUMIF('Diags Raw Data'!$A$6:$A$4335,"*"&amp;$A48&amp;"*",'Diags Raw Data'!$K$6:$K$4335)</f>
        <v>33</v>
      </c>
      <c r="J48" s="179">
        <f>SUMIF('Diags Raw Data'!$A$6:$A$4335,"*"&amp;$A48&amp;"*",'Diags Raw Data'!$L$6:$L$4335)</f>
        <v>36</v>
      </c>
      <c r="K48" s="398" cm="1">
        <f t="array" ref="K48">IF(D48="",0, SUMPRODUCT(--(ISNUMBER(SEARCH($A48,'Diags Raw Data'!$A$6:$A$4335))),'Diags Raw Data'!$L$6:$L$4335,'Diags Raw Data'!$N$6:$N$4335)/J48)</f>
        <v>1</v>
      </c>
      <c r="L48" s="399" cm="1">
        <f t="array" ref="L48">IF(D48="",0, SUMPRODUCT(--(ISNUMBER(SEARCH($A48,'Diags Raw Data'!$A$6:$A$4335))),'Diags Raw Data'!$L$6:$L$4335,'Diags Raw Data'!$P$6:$P$4335)/J48)</f>
        <v>1</v>
      </c>
      <c r="M48" s="400" cm="1">
        <f t="array" ref="M48">SUMPRODUCT(--(ISNUMBER(SEARCH($A48,'Diags Raw Data'!$A$6:$A$4335))),--('Diags Raw Data'!$Q$6:$Q$4335&lt;&gt;"N/A"),'Diags Raw Data'!$R$6:$R$4335)</f>
        <v>36</v>
      </c>
      <c r="N48" s="401" cm="1">
        <f t="array" ref="N48">SUMPRODUCT(--(ISNUMBER(SEARCH($A48,'Diags Raw Data'!$A$6:$A$4335))),--('Diags Raw Data'!$Q$6:$Q$4335&lt;&gt;"N/A"),'Diags Raw Data'!$T$6:$T$4335)+SUMPRODUCT(--(ISNUMBER(SEARCH($A48,'Diags Raw Data'!$A$6:$A$4335))),--('Diags Raw Data'!$Q$6:$Q$4335&lt;&gt;"N/A"),'Diags Raw Data'!$U$6:$U$4335)</f>
        <v>36</v>
      </c>
      <c r="O48" s="428">
        <f t="shared" si="11"/>
        <v>1</v>
      </c>
      <c r="P48" s="402">
        <f>SUMIF('Diags Raw Data'!$A$6:$A$4335,"*"&amp;$A48&amp;"*",'Diags Raw Data'!$Z$6:$Z$4335)</f>
        <v>0</v>
      </c>
      <c r="Q48" s="403">
        <f>SUM(SUMIF('Diags Raw Data'!$A$6:$A$4335,"*"&amp;$A48&amp;"*",'Diags Raw Data'!$AA$6:$AA$4335),SUMIF('Diags Raw Data'!$A$6:$A$4335,"*"&amp;$A48&amp;"*",'Diags Raw Data'!$AB$6:$AB$4335))</f>
        <v>0</v>
      </c>
      <c r="R48" s="404">
        <f t="shared" si="12"/>
        <v>0</v>
      </c>
      <c r="S48" s="404">
        <f t="shared" si="13"/>
        <v>0</v>
      </c>
      <c r="T48" s="405">
        <f t="shared" si="14"/>
        <v>0</v>
      </c>
      <c r="U48" s="434" t="s">
        <v>1658</v>
      </c>
      <c r="V48" s="170"/>
    </row>
    <row r="49" spans="1:22" ht="360" x14ac:dyDescent="0.25">
      <c r="A49" s="420" t="s">
        <v>290</v>
      </c>
      <c r="B49" s="328" t="str">
        <f>VLOOKUP(A49,'Feature Raw Data'!$A$3:$B$4067,2,FALSE)</f>
        <v>MMHUB:MMUTCL2:VML2 - PDE Attributes</v>
      </c>
      <c r="C49" s="271" t="str">
        <f>VLOOKUP(A49,'Feature Raw Data'!$A$3:$C$4067,3,FALSE)</f>
        <v>P2</v>
      </c>
      <c r="D49" s="82" t="str" cm="1">
        <f t="array" ref="D49">_xlfn.TEXTJOIN("",TRUE,IF(ISNUMBER(SEARCH($A49,'Diags Raw Data'!$A$6:$A$4335)),CONCATENATE('Diags Raw Data'!$H$6:$H$4335,", "),""))</f>
        <v xml:space="preserve">mhub005, mhub010.1, mhub010.2, mhub012, mhub013.1, mhub013.2, mhub013.3, mhub013.4, mhub013.5, mhub013.6, mhub013.7, mhub013.8, mhub013.9, mhub013.10, mhub035.1,mhub035.2,mhub035.3,mhub035.13,mhub035.14,mhub035.15, mhub035.7,mhub035.8,mhub035.9,mhub035.19,mhub035.20,mhub035.21, mhub035.4,mhub035.5,mhub035.6,mhub035.16,mhub035.17,mhub035.18, mhub035.10,mhub035.11,mhub035.12,mhub035.22,mhub035.23,mhub035.24, mhub037.5, </v>
      </c>
      <c r="E49" s="169" t="str">
        <f>VLOOKUP(A49,'Diags Raw Data'!$A$6:$D$4335,4,FALSE)</f>
        <v>MMHUB</v>
      </c>
      <c r="F49" s="169" t="str">
        <f>VLOOKUP(A49,'Feature Raw Data'!$A$3:$E$4067,5,FALSE)</f>
        <v>Legacy</v>
      </c>
      <c r="G49" s="169" t="str">
        <f t="shared" si="0"/>
        <v>Yes</v>
      </c>
      <c r="H49" s="169" t="str">
        <f t="shared" si="6"/>
        <v>Yes</v>
      </c>
      <c r="I49" s="271">
        <f>SUMIF('Diags Raw Data'!$A$6:$A$4335,"*"&amp;$A49&amp;"*",'Diags Raw Data'!$K$6:$K$4335)</f>
        <v>39</v>
      </c>
      <c r="J49" s="179">
        <f>SUMIF('Diags Raw Data'!$A$6:$A$4335,"*"&amp;$A49&amp;"*",'Diags Raw Data'!$L$6:$L$4335)</f>
        <v>39</v>
      </c>
      <c r="K49" s="398" cm="1">
        <f t="array" ref="K49">IF(D49="",0, SUMPRODUCT(--(ISNUMBER(SEARCH($A49,'Diags Raw Data'!$A$6:$A$4335))),'Diags Raw Data'!$L$6:$L$4335,'Diags Raw Data'!$N$6:$N$4335)/J49)</f>
        <v>1</v>
      </c>
      <c r="L49" s="399" cm="1">
        <f t="array" ref="L49">IF(D49="",0, SUMPRODUCT(--(ISNUMBER(SEARCH($A49,'Diags Raw Data'!$A$6:$A$4335))),'Diags Raw Data'!$L$6:$L$4335,'Diags Raw Data'!$P$6:$P$4335)/J49)</f>
        <v>0.97435897435897434</v>
      </c>
      <c r="M49" s="400" cm="1">
        <f t="array" ref="M49">SUMPRODUCT(--(ISNUMBER(SEARCH($A49,'Diags Raw Data'!$A$6:$A$4335))),--('Diags Raw Data'!$Q$6:$Q$4335&lt;&gt;"N/A"),'Diags Raw Data'!$R$6:$R$4335)</f>
        <v>39</v>
      </c>
      <c r="N49" s="401" cm="1">
        <f t="array" ref="N49">SUMPRODUCT(--(ISNUMBER(SEARCH($A49,'Diags Raw Data'!$A$6:$A$4335))),--('Diags Raw Data'!$Q$6:$Q$4335&lt;&gt;"N/A"),'Diags Raw Data'!$T$6:$T$4335)+SUMPRODUCT(--(ISNUMBER(SEARCH($A49,'Diags Raw Data'!$A$6:$A$4335))),--('Diags Raw Data'!$Q$6:$Q$4335&lt;&gt;"N/A"),'Diags Raw Data'!$U$6:$U$4335)</f>
        <v>39</v>
      </c>
      <c r="O49" s="428">
        <f t="shared" si="11"/>
        <v>1</v>
      </c>
      <c r="P49" s="402">
        <f>SUMIF('Diags Raw Data'!$A$6:$A$4335,"*"&amp;$A49&amp;"*",'Diags Raw Data'!$Z$6:$Z$4335)</f>
        <v>0</v>
      </c>
      <c r="Q49" s="403">
        <f>SUM(SUMIF('Diags Raw Data'!$A$6:$A$4335,"*"&amp;$A49&amp;"*",'Diags Raw Data'!$AA$6:$AA$4335),SUMIF('Diags Raw Data'!$A$6:$A$4335,"*"&amp;$A49&amp;"*",'Diags Raw Data'!$AB$6:$AB$4335))</f>
        <v>0</v>
      </c>
      <c r="R49" s="404">
        <f t="shared" si="12"/>
        <v>0</v>
      </c>
      <c r="S49" s="404">
        <f t="shared" si="13"/>
        <v>0</v>
      </c>
      <c r="T49" s="405">
        <f t="shared" si="14"/>
        <v>0</v>
      </c>
      <c r="U49" s="434" t="s">
        <v>1653</v>
      </c>
      <c r="V49" s="170"/>
    </row>
    <row r="50" spans="1:22" ht="405" x14ac:dyDescent="0.25">
      <c r="A50" s="420" t="s">
        <v>294</v>
      </c>
      <c r="B50" s="328" t="str">
        <f>VLOOKUP(A50,'Feature Raw Data'!$A$3:$B$4067,2,FALSE)</f>
        <v>MMHUB:MMUTCL2:VML2 - PTE Attributes</v>
      </c>
      <c r="C50" s="271" t="str">
        <f>VLOOKUP(A50,'Feature Raw Data'!$A$3:$C$4067,3,FALSE)</f>
        <v>P2</v>
      </c>
      <c r="D50" s="82" t="str" cm="1">
        <f t="array" ref="D50">_xlfn.TEXTJOIN("",TRUE,IF(ISNUMBER(SEARCH($A50,'Diags Raw Data'!$A$6:$A$4335)),CONCATENATE('Diags Raw Data'!$H$6:$H$4335,", "),""))</f>
        <v xml:space="preserve">mhub006.1, mhub006.2, mhub006.3, mhub006.4, mhub007.4, mhub008.1, mhub008.2, mhub011.1, mhub011.2, mhub011.3, mhub011.4, mhub011.5, mhub012, mhub013.1, mhub013.2, mhub013.3, mhub013.4, mhub013.5, mhub013.6, mhub013.7, mhub013.8, mhub013.9, mhub013.10, mhub014.1,mhub014.2, mhub086.1,mhub086.2, </v>
      </c>
      <c r="E50" s="169" t="str">
        <f>VLOOKUP(A50,'Diags Raw Data'!$A$6:$D$4335,4,FALSE)</f>
        <v>MMHUB</v>
      </c>
      <c r="F50" s="169" t="str">
        <f>VLOOKUP(A50,'Feature Raw Data'!$A$3:$E$4067,5,FALSE)</f>
        <v>Legacy</v>
      </c>
      <c r="G50" s="169" t="str">
        <f t="shared" si="0"/>
        <v>Yes</v>
      </c>
      <c r="H50" s="169" t="str">
        <f t="shared" si="6"/>
        <v>Yes</v>
      </c>
      <c r="I50" s="271">
        <f>SUMIF('Diags Raw Data'!$A$6:$A$4335,"*"&amp;$A50&amp;"*",'Diags Raw Data'!$K$6:$K$4335)</f>
        <v>26</v>
      </c>
      <c r="J50" s="179">
        <f>SUMIF('Diags Raw Data'!$A$6:$A$4335,"*"&amp;$A50&amp;"*",'Diags Raw Data'!$L$6:$L$4335)</f>
        <v>27</v>
      </c>
      <c r="K50" s="398" cm="1">
        <f t="array" ref="K50">IF(D50="",0, SUMPRODUCT(--(ISNUMBER(SEARCH($A50,'Diags Raw Data'!$A$6:$A$4335))),'Diags Raw Data'!$L$6:$L$4335,'Diags Raw Data'!$N$6:$N$4335)/J50)</f>
        <v>1</v>
      </c>
      <c r="L50" s="399" cm="1">
        <f t="array" ref="L50">IF(D50="",0, SUMPRODUCT(--(ISNUMBER(SEARCH($A50,'Diags Raw Data'!$A$6:$A$4335))),'Diags Raw Data'!$L$6:$L$4335,'Diags Raw Data'!$P$6:$P$4335)/J50)</f>
        <v>1</v>
      </c>
      <c r="M50" s="400" cm="1">
        <f t="array" ref="M50">SUMPRODUCT(--(ISNUMBER(SEARCH($A50,'Diags Raw Data'!$A$6:$A$4335))),--('Diags Raw Data'!$Q$6:$Q$4335&lt;&gt;"N/A"),'Diags Raw Data'!$R$6:$R$4335)</f>
        <v>27</v>
      </c>
      <c r="N50" s="401" cm="1">
        <f t="array" ref="N50">SUMPRODUCT(--(ISNUMBER(SEARCH($A50,'Diags Raw Data'!$A$6:$A$4335))),--('Diags Raw Data'!$Q$6:$Q$4335&lt;&gt;"N/A"),'Diags Raw Data'!$T$6:$T$4335)+SUMPRODUCT(--(ISNUMBER(SEARCH($A50,'Diags Raw Data'!$A$6:$A$4335))),--('Diags Raw Data'!$Q$6:$Q$4335&lt;&gt;"N/A"),'Diags Raw Data'!$U$6:$U$4335)</f>
        <v>27</v>
      </c>
      <c r="O50" s="428">
        <f t="shared" si="11"/>
        <v>1</v>
      </c>
      <c r="P50" s="402">
        <f>SUMIF('Diags Raw Data'!$A$6:$A$4335,"*"&amp;$A50&amp;"*",'Diags Raw Data'!$Z$6:$Z$4335)</f>
        <v>0</v>
      </c>
      <c r="Q50" s="403">
        <f>SUM(SUMIF('Diags Raw Data'!$A$6:$A$4335,"*"&amp;$A50&amp;"*",'Diags Raw Data'!$AA$6:$AA$4335),SUMIF('Diags Raw Data'!$A$6:$A$4335,"*"&amp;$A50&amp;"*",'Diags Raw Data'!$AB$6:$AB$4335))</f>
        <v>0</v>
      </c>
      <c r="R50" s="404">
        <f t="shared" si="12"/>
        <v>0</v>
      </c>
      <c r="S50" s="404">
        <f t="shared" si="13"/>
        <v>0</v>
      </c>
      <c r="T50" s="405">
        <f t="shared" si="14"/>
        <v>0</v>
      </c>
      <c r="U50" s="434" t="s">
        <v>1653</v>
      </c>
      <c r="V50" s="170"/>
    </row>
    <row r="51" spans="1:22" ht="60" x14ac:dyDescent="0.25">
      <c r="A51" s="420" t="s">
        <v>593</v>
      </c>
      <c r="B51" s="328" t="str">
        <f>VLOOKUP(A51,'Feature Raw Data'!$A$3:$B$4067,2,FALSE)</f>
        <v>MMHUB:MMUTCL2:VML2 - PTE permissions returned</v>
      </c>
      <c r="C51" s="271" t="str">
        <f>VLOOKUP(A51,'Feature Raw Data'!$A$3:$C$4067,3,FALSE)</f>
        <v>P2</v>
      </c>
      <c r="D51" s="82" t="str" cm="1">
        <f t="array" ref="D51">_xlfn.TEXTJOIN("",TRUE,IF(ISNUMBER(SEARCH($A51,'Diags Raw Data'!$A$6:$A$4335)),CONCATENATE('Diags Raw Data'!$H$6:$H$4335,", "),""))</f>
        <v xml:space="preserve">mhub069.1-5, mhub141.1, mhub141.2, </v>
      </c>
      <c r="E51" s="169" t="str">
        <f>VLOOKUP(A51,'Diags Raw Data'!$A$6:$D$4335,4,FALSE)</f>
        <v>MMHUB</v>
      </c>
      <c r="F51" s="169" t="str">
        <f>VLOOKUP(A51,'Feature Raw Data'!$A$3:$E$4067,5,FALSE)</f>
        <v>Legacy</v>
      </c>
      <c r="G51" s="169" t="str">
        <f t="shared" si="0"/>
        <v>Yes</v>
      </c>
      <c r="H51" s="169" t="str">
        <f t="shared" si="6"/>
        <v>Yes</v>
      </c>
      <c r="I51" s="271">
        <f>SUMIF('Diags Raw Data'!$A$6:$A$4335,"*"&amp;$A51&amp;"*",'Diags Raw Data'!$K$6:$K$4335)</f>
        <v>3</v>
      </c>
      <c r="J51" s="179">
        <f>SUMIF('Diags Raw Data'!$A$6:$A$4335,"*"&amp;$A51&amp;"*",'Diags Raw Data'!$L$6:$L$4335)</f>
        <v>7</v>
      </c>
      <c r="K51" s="398" cm="1">
        <f t="array" ref="K51">IF(D51="",0, SUMPRODUCT(--(ISNUMBER(SEARCH($A51,'Diags Raw Data'!$A$6:$A$4335))),'Diags Raw Data'!$L$6:$L$4335,'Diags Raw Data'!$N$6:$N$4335)/J51)</f>
        <v>1</v>
      </c>
      <c r="L51" s="399" cm="1">
        <f t="array" ref="L51">IF(D51="",0, SUMPRODUCT(--(ISNUMBER(SEARCH($A51,'Diags Raw Data'!$A$6:$A$4335))),'Diags Raw Data'!$L$6:$L$4335,'Diags Raw Data'!$P$6:$P$4335)/J51)</f>
        <v>1</v>
      </c>
      <c r="M51" s="400" cm="1">
        <f t="array" ref="M51">SUMPRODUCT(--(ISNUMBER(SEARCH($A51,'Diags Raw Data'!$A$6:$A$4335))),--('Diags Raw Data'!$Q$6:$Q$4335&lt;&gt;"N/A"),'Diags Raw Data'!$R$6:$R$4335)</f>
        <v>7</v>
      </c>
      <c r="N51" s="401" cm="1">
        <f t="array" ref="N51">SUMPRODUCT(--(ISNUMBER(SEARCH($A51,'Diags Raw Data'!$A$6:$A$4335))),--('Diags Raw Data'!$Q$6:$Q$4335&lt;&gt;"N/A"),'Diags Raw Data'!$T$6:$T$4335)+SUMPRODUCT(--(ISNUMBER(SEARCH($A51,'Diags Raw Data'!$A$6:$A$4335))),--('Diags Raw Data'!$Q$6:$Q$4335&lt;&gt;"N/A"),'Diags Raw Data'!$U$6:$U$4335)</f>
        <v>7</v>
      </c>
      <c r="O51" s="428">
        <f t="shared" si="11"/>
        <v>1</v>
      </c>
      <c r="P51" s="402">
        <f>SUMIF('Diags Raw Data'!$A$6:$A$4335,"*"&amp;$A51&amp;"*",'Diags Raw Data'!$Z$6:$Z$4335)</f>
        <v>0</v>
      </c>
      <c r="Q51" s="403">
        <f>SUM(SUMIF('Diags Raw Data'!$A$6:$A$4335,"*"&amp;$A51&amp;"*",'Diags Raw Data'!$AA$6:$AA$4335),SUMIF('Diags Raw Data'!$A$6:$A$4335,"*"&amp;$A51&amp;"*",'Diags Raw Data'!$AB$6:$AB$4335))</f>
        <v>0</v>
      </c>
      <c r="R51" s="404">
        <f t="shared" si="12"/>
        <v>0</v>
      </c>
      <c r="S51" s="404">
        <f t="shared" si="13"/>
        <v>0</v>
      </c>
      <c r="T51" s="405">
        <f t="shared" si="14"/>
        <v>0</v>
      </c>
      <c r="U51" s="434" t="s">
        <v>1659</v>
      </c>
      <c r="V51" s="170"/>
    </row>
    <row r="52" spans="1:22" ht="409.5" x14ac:dyDescent="0.25">
      <c r="A52" s="420" t="s">
        <v>587</v>
      </c>
      <c r="B52" s="328" t="str">
        <f>VLOOKUP(A52,'Feature Raw Data'!$A$3:$B$4067,2,FALSE)</f>
        <v>MMHUB:MMUTCL2:VML2 - Increase MTYPE from 2 to 3 bits</v>
      </c>
      <c r="C52" s="271" t="str">
        <f>VLOOKUP(A52,'Feature Raw Data'!$A$3:$C$4067,3,FALSE)</f>
        <v>P2</v>
      </c>
      <c r="D52" s="82" t="str" cm="1">
        <f t="array" ref="D52">_xlfn.TEXTJOIN("",TRUE,IF(ISNUMBER(SEARCH($A52,'Diags Raw Data'!$A$6:$A$4335)),CONCATENATE('Diags Raw Data'!$H$6:$H$4335,", "),""))</f>
        <v xml:space="preserve">mhub064.1,mhub064.3, mhub064.2,mhub064.4, mhub067.1-4, mhub264.1,mhub264.3, mhub264.2,mhub264.4, mhub267.1-4, mhub408.1-2, mhub408.7,mhub408.8, mhub408.81, mhub408.87, mhub408.61, mhub408.67, mhub408.71, mhub408.77, mhub408.91, mhub408.97, mhub408.51-52, mhub408.57,mhub408.58, </v>
      </c>
      <c r="E52" s="169" t="str">
        <f>VLOOKUP(A52,'Diags Raw Data'!$A$6:$D$4335,4,FALSE)</f>
        <v>MMHUB</v>
      </c>
      <c r="F52" s="169" t="str">
        <f>VLOOKUP(A52,'Feature Raw Data'!$A$3:$E$4067,5,FALSE)</f>
        <v>Legacy</v>
      </c>
      <c r="G52" s="169" t="str">
        <f t="shared" si="0"/>
        <v>Yes</v>
      </c>
      <c r="H52" s="169" t="str">
        <f t="shared" si="6"/>
        <v>Yes</v>
      </c>
      <c r="I52" s="271">
        <f>SUMIF('Diags Raw Data'!$A$6:$A$4335,"*"&amp;$A52&amp;"*",'Diags Raw Data'!$K$6:$K$4335)</f>
        <v>18</v>
      </c>
      <c r="J52" s="179">
        <f>SUMIF('Diags Raw Data'!$A$6:$A$4335,"*"&amp;$A52&amp;"*",'Diags Raw Data'!$L$6:$L$4335)</f>
        <v>32</v>
      </c>
      <c r="K52" s="398" cm="1">
        <f t="array" ref="K52">IF(D52="",0, SUMPRODUCT(--(ISNUMBER(SEARCH($A52,'Diags Raw Data'!$A$6:$A$4335))),'Diags Raw Data'!$L$6:$L$4335,'Diags Raw Data'!$N$6:$N$4335)/J52)</f>
        <v>1</v>
      </c>
      <c r="L52" s="399" cm="1">
        <f t="array" ref="L52">IF(D52="",0, SUMPRODUCT(--(ISNUMBER(SEARCH($A52,'Diags Raw Data'!$A$6:$A$4335))),'Diags Raw Data'!$L$6:$L$4335,'Diags Raw Data'!$P$6:$P$4335)/J52)</f>
        <v>1</v>
      </c>
      <c r="M52" s="400" cm="1">
        <f t="array" ref="M52">SUMPRODUCT(--(ISNUMBER(SEARCH($A52,'Diags Raw Data'!$A$6:$A$4335))),--('Diags Raw Data'!$Q$6:$Q$4335&lt;&gt;"N/A"),'Diags Raw Data'!$R$6:$R$4335)</f>
        <v>32</v>
      </c>
      <c r="N52" s="401" cm="1">
        <f t="array" ref="N52">SUMPRODUCT(--(ISNUMBER(SEARCH($A52,'Diags Raw Data'!$A$6:$A$4335))),--('Diags Raw Data'!$Q$6:$Q$4335&lt;&gt;"N/A"),'Diags Raw Data'!$T$6:$T$4335)+SUMPRODUCT(--(ISNUMBER(SEARCH($A52,'Diags Raw Data'!$A$6:$A$4335))),--('Diags Raw Data'!$Q$6:$Q$4335&lt;&gt;"N/A"),'Diags Raw Data'!$U$6:$U$4335)</f>
        <v>32</v>
      </c>
      <c r="O52" s="428">
        <f t="shared" si="11"/>
        <v>1</v>
      </c>
      <c r="P52" s="402">
        <f>SUMIF('Diags Raw Data'!$A$6:$A$4335,"*"&amp;$A52&amp;"*",'Diags Raw Data'!$Z$6:$Z$4335)</f>
        <v>0</v>
      </c>
      <c r="Q52" s="403">
        <f>SUM(SUMIF('Diags Raw Data'!$A$6:$A$4335,"*"&amp;$A52&amp;"*",'Diags Raw Data'!$AA$6:$AA$4335),SUMIF('Diags Raw Data'!$A$6:$A$4335,"*"&amp;$A52&amp;"*",'Diags Raw Data'!$AB$6:$AB$4335))</f>
        <v>0</v>
      </c>
      <c r="R52" s="404">
        <f t="shared" si="12"/>
        <v>0</v>
      </c>
      <c r="S52" s="404">
        <f t="shared" si="13"/>
        <v>0</v>
      </c>
      <c r="T52" s="405">
        <f t="shared" si="14"/>
        <v>0</v>
      </c>
      <c r="U52" s="434" t="s">
        <v>1656</v>
      </c>
      <c r="V52" s="170"/>
    </row>
    <row r="53" spans="1:22" ht="30" x14ac:dyDescent="0.25">
      <c r="A53" s="420" t="s">
        <v>1282</v>
      </c>
      <c r="B53" s="328" t="str">
        <f>VLOOKUP(A53,'Feature Raw Data'!$A$3:$B$4067,2,FALSE)</f>
        <v>MMHUB:MMUTCL2:VML2 - Page table block size, PDE and PTE Fragment sizes</v>
      </c>
      <c r="C53" s="271" t="str">
        <f>VLOOKUP(A53,'Feature Raw Data'!$A$3:$C$4067,3,FALSE)</f>
        <v>P2</v>
      </c>
      <c r="D53" s="82" t="str" cm="1">
        <f t="array" ref="D53">_xlfn.TEXTJOIN("",TRUE,IF(ISNUMBER(SEARCH($A53,'Diags Raw Data'!$A$6:$A$4335)),CONCATENATE('Diags Raw Data'!$H$6:$H$4335,", "),""))</f>
        <v xml:space="preserve">mhub012, </v>
      </c>
      <c r="E53" s="169" t="str">
        <f>VLOOKUP(A53,'Diags Raw Data'!$A$6:$D$4335,4,FALSE)</f>
        <v>MMHUB</v>
      </c>
      <c r="F53" s="169" t="str">
        <f>VLOOKUP(A53,'Feature Raw Data'!$A$3:$E$4067,5,FALSE)</f>
        <v>Legacy</v>
      </c>
      <c r="G53" s="169" t="str">
        <f t="shared" si="0"/>
        <v>Yes</v>
      </c>
      <c r="H53" s="169" t="str">
        <f t="shared" si="6"/>
        <v>Yes</v>
      </c>
      <c r="I53" s="271">
        <f>SUMIF('Diags Raw Data'!$A$6:$A$4335,"*"&amp;$A53&amp;"*",'Diags Raw Data'!$K$6:$K$4335)</f>
        <v>1</v>
      </c>
      <c r="J53" s="179">
        <f>SUMIF('Diags Raw Data'!$A$6:$A$4335,"*"&amp;$A53&amp;"*",'Diags Raw Data'!$L$6:$L$4335)</f>
        <v>1</v>
      </c>
      <c r="K53" s="398" cm="1">
        <f t="array" ref="K53">IF(D53="",0, SUMPRODUCT(--(ISNUMBER(SEARCH($A53,'Diags Raw Data'!$A$6:$A$4335))),'Diags Raw Data'!$L$6:$L$4335,'Diags Raw Data'!$N$6:$N$4335)/J53)</f>
        <v>1</v>
      </c>
      <c r="L53" s="399" cm="1">
        <f t="array" ref="L53">IF(D53="",0, SUMPRODUCT(--(ISNUMBER(SEARCH($A53,'Diags Raw Data'!$A$6:$A$4335))),'Diags Raw Data'!$L$6:$L$4335,'Diags Raw Data'!$P$6:$P$4335)/J53)</f>
        <v>1</v>
      </c>
      <c r="M53" s="400" cm="1">
        <f t="array" ref="M53">SUMPRODUCT(--(ISNUMBER(SEARCH($A53,'Diags Raw Data'!$A$6:$A$4335))),--('Diags Raw Data'!$Q$6:$Q$4335&lt;&gt;"N/A"),'Diags Raw Data'!$R$6:$R$4335)</f>
        <v>1</v>
      </c>
      <c r="N53" s="401" cm="1">
        <f t="array" ref="N53">SUMPRODUCT(--(ISNUMBER(SEARCH($A53,'Diags Raw Data'!$A$6:$A$4335))),--('Diags Raw Data'!$Q$6:$Q$4335&lt;&gt;"N/A"),'Diags Raw Data'!$T$6:$T$4335)+SUMPRODUCT(--(ISNUMBER(SEARCH($A53,'Diags Raw Data'!$A$6:$A$4335))),--('Diags Raw Data'!$Q$6:$Q$4335&lt;&gt;"N/A"),'Diags Raw Data'!$U$6:$U$4335)</f>
        <v>1</v>
      </c>
      <c r="O53" s="428">
        <f t="shared" si="11"/>
        <v>1</v>
      </c>
      <c r="P53" s="402">
        <f>SUMIF('Diags Raw Data'!$A$6:$A$4335,"*"&amp;$A53&amp;"*",'Diags Raw Data'!$Z$6:$Z$4335)</f>
        <v>0</v>
      </c>
      <c r="Q53" s="403">
        <f>SUM(SUMIF('Diags Raw Data'!$A$6:$A$4335,"*"&amp;$A53&amp;"*",'Diags Raw Data'!$AA$6:$AA$4335),SUMIF('Diags Raw Data'!$A$6:$A$4335,"*"&amp;$A53&amp;"*",'Diags Raw Data'!$AB$6:$AB$4335))</f>
        <v>0</v>
      </c>
      <c r="R53" s="404">
        <f t="shared" si="12"/>
        <v>0</v>
      </c>
      <c r="S53" s="404">
        <f t="shared" si="13"/>
        <v>0</v>
      </c>
      <c r="T53" s="405">
        <f t="shared" si="14"/>
        <v>0</v>
      </c>
      <c r="U53" s="434" t="s">
        <v>1652</v>
      </c>
      <c r="V53" s="170"/>
    </row>
    <row r="54" spans="1:22" ht="118.5" customHeight="1" x14ac:dyDescent="0.25">
      <c r="A54" s="420" t="s">
        <v>616</v>
      </c>
      <c r="B54" s="328" t="str">
        <f>VLOOKUP(A54,'Feature Raw Data'!$A$3:$B$4067,2,FALSE)</f>
        <v>MMHUB:MMUTCL2:VML2 - Translate Further/PTE.F bit</v>
      </c>
      <c r="C54" s="271" t="str">
        <f>VLOOKUP(A54,'Feature Raw Data'!$A$3:$C$4067,3,FALSE)</f>
        <v>P2</v>
      </c>
      <c r="D54" s="82" t="str" cm="1">
        <f t="array" ref="D54">_xlfn.TEXTJOIN("",TRUE,IF(ISNUMBER(SEARCH($A54,'Diags Raw Data'!$A$6:$A$4335)),CONCATENATE('Diags Raw Data'!$H$6:$H$4335,", "),""))</f>
        <v xml:space="preserve">mhub011.1, mhub011.2, mhub011.3, mhub011.4, mhub011.5, mhub127.1, mhub127.2, mhub127.3, mhub127.4, mhub127.5, mhub127.6, mhub127.7, mhub127.8, </v>
      </c>
      <c r="E54" s="169" t="str">
        <f>VLOOKUP(A54,'Diags Raw Data'!$A$6:$D$4335,4,FALSE)</f>
        <v>MMHUB</v>
      </c>
      <c r="F54" s="169" t="str">
        <f>VLOOKUP(A54,'Feature Raw Data'!$A$3:$E$4067,5,FALSE)</f>
        <v>Legacy</v>
      </c>
      <c r="G54" s="169" t="str">
        <f t="shared" si="0"/>
        <v>Yes</v>
      </c>
      <c r="H54" s="169" t="str">
        <f t="shared" si="6"/>
        <v>Yes</v>
      </c>
      <c r="I54" s="271">
        <f>SUMIF('Diags Raw Data'!$A$6:$A$4335,"*"&amp;$A54&amp;"*",'Diags Raw Data'!$K$6:$K$4335)</f>
        <v>13</v>
      </c>
      <c r="J54" s="179">
        <f>SUMIF('Diags Raw Data'!$A$6:$A$4335,"*"&amp;$A54&amp;"*",'Diags Raw Data'!$L$6:$L$4335)</f>
        <v>13</v>
      </c>
      <c r="K54" s="398" cm="1">
        <f t="array" ref="K54">IF(D54="",0, SUMPRODUCT(--(ISNUMBER(SEARCH($A54,'Diags Raw Data'!$A$6:$A$4335))),'Diags Raw Data'!$L$6:$L$4335,'Diags Raw Data'!$N$6:$N$4335)/J54)</f>
        <v>1</v>
      </c>
      <c r="L54" s="399" cm="1">
        <f t="array" ref="L54">IF(D54="",0, SUMPRODUCT(--(ISNUMBER(SEARCH($A54,'Diags Raw Data'!$A$6:$A$4335))),'Diags Raw Data'!$L$6:$L$4335,'Diags Raw Data'!$P$6:$P$4335)/J54)</f>
        <v>1</v>
      </c>
      <c r="M54" s="400" cm="1">
        <f t="array" ref="M54">SUMPRODUCT(--(ISNUMBER(SEARCH($A54,'Diags Raw Data'!$A$6:$A$4335))),--('Diags Raw Data'!$Q$6:$Q$4335&lt;&gt;"N/A"),'Diags Raw Data'!$R$6:$R$4335)</f>
        <v>13</v>
      </c>
      <c r="N54" s="401" cm="1">
        <f t="array" ref="N54">SUMPRODUCT(--(ISNUMBER(SEARCH($A54,'Diags Raw Data'!$A$6:$A$4335))),--('Diags Raw Data'!$Q$6:$Q$4335&lt;&gt;"N/A"),'Diags Raw Data'!$T$6:$T$4335)+SUMPRODUCT(--(ISNUMBER(SEARCH($A54,'Diags Raw Data'!$A$6:$A$4335))),--('Diags Raw Data'!$Q$6:$Q$4335&lt;&gt;"N/A"),'Diags Raw Data'!$U$6:$U$4335)</f>
        <v>13</v>
      </c>
      <c r="O54" s="428">
        <f t="shared" si="11"/>
        <v>1</v>
      </c>
      <c r="P54" s="402">
        <f>SUMIF('Diags Raw Data'!$A$6:$A$4335,"*"&amp;$A54&amp;"*",'Diags Raw Data'!$Z$6:$Z$4335)</f>
        <v>0</v>
      </c>
      <c r="Q54" s="403">
        <f>SUM(SUMIF('Diags Raw Data'!$A$6:$A$4335,"*"&amp;$A54&amp;"*",'Diags Raw Data'!$AA$6:$AA$4335),SUMIF('Diags Raw Data'!$A$6:$A$4335,"*"&amp;$A54&amp;"*",'Diags Raw Data'!$AB$6:$AB$4335))</f>
        <v>0</v>
      </c>
      <c r="R54" s="404">
        <f t="shared" si="12"/>
        <v>0</v>
      </c>
      <c r="S54" s="404">
        <f t="shared" si="13"/>
        <v>0</v>
      </c>
      <c r="T54" s="405">
        <f t="shared" si="14"/>
        <v>0</v>
      </c>
      <c r="U54" s="434" t="s">
        <v>1657</v>
      </c>
      <c r="V54" s="170"/>
    </row>
    <row r="55" spans="1:22" ht="30" x14ac:dyDescent="0.25">
      <c r="A55" s="420" t="s">
        <v>1284</v>
      </c>
      <c r="B55" s="328" t="str">
        <f>VLOOKUP(A55,'Feature Raw Data'!$A$3:$B$4067,2,FALSE)</f>
        <v>MMHUB:MMUTCL2:VML2 - Support for 2MB, 1G, 512GB pages aka PDE Block Fragment Size</v>
      </c>
      <c r="C55" s="271" t="str">
        <f>VLOOKUP(A55,'Feature Raw Data'!$A$3:$C$4067,3,FALSE)</f>
        <v>P2</v>
      </c>
      <c r="D55" s="82" t="str" cm="1">
        <f t="array" ref="D55">_xlfn.TEXTJOIN("",TRUE,IF(ISNUMBER(SEARCH($A55,'Diags Raw Data'!$A$6:$A$4335)),CONCATENATE('Diags Raw Data'!$H$6:$H$4335,", "),""))</f>
        <v xml:space="preserve">mhub012, </v>
      </c>
      <c r="E55" s="169" t="str">
        <f>VLOOKUP(A55,'Diags Raw Data'!$A$6:$D$4335,4,FALSE)</f>
        <v>MMHUB</v>
      </c>
      <c r="F55" s="169" t="str">
        <f>VLOOKUP(A55,'Feature Raw Data'!$A$3:$E$4067,5,FALSE)</f>
        <v>Legacy</v>
      </c>
      <c r="G55" s="169" t="str">
        <f t="shared" si="0"/>
        <v>Yes</v>
      </c>
      <c r="H55" s="169" t="str">
        <f t="shared" si="6"/>
        <v>Yes</v>
      </c>
      <c r="I55" s="271">
        <f>SUMIF('Diags Raw Data'!$A$6:$A$4335,"*"&amp;$A55&amp;"*",'Diags Raw Data'!$K$6:$K$4335)</f>
        <v>1</v>
      </c>
      <c r="J55" s="179">
        <f>SUMIF('Diags Raw Data'!$A$6:$A$4335,"*"&amp;$A55&amp;"*",'Diags Raw Data'!$L$6:$L$4335)</f>
        <v>1</v>
      </c>
      <c r="K55" s="398" cm="1">
        <f t="array" ref="K55">IF(D55="",0, SUMPRODUCT(--(ISNUMBER(SEARCH($A55,'Diags Raw Data'!$A$6:$A$4335))),'Diags Raw Data'!$L$6:$L$4335,'Diags Raw Data'!$N$6:$N$4335)/J55)</f>
        <v>1</v>
      </c>
      <c r="L55" s="399" cm="1">
        <f t="array" ref="L55">IF(D55="",0, SUMPRODUCT(--(ISNUMBER(SEARCH($A55,'Diags Raw Data'!$A$6:$A$4335))),'Diags Raw Data'!$L$6:$L$4335,'Diags Raw Data'!$P$6:$P$4335)/J55)</f>
        <v>1</v>
      </c>
      <c r="M55" s="400" cm="1">
        <f t="array" ref="M55">SUMPRODUCT(--(ISNUMBER(SEARCH($A55,'Diags Raw Data'!$A$6:$A$4335))),--('Diags Raw Data'!$Q$6:$Q$4335&lt;&gt;"N/A"),'Diags Raw Data'!$R$6:$R$4335)</f>
        <v>1</v>
      </c>
      <c r="N55" s="401" cm="1">
        <f t="array" ref="N55">SUMPRODUCT(--(ISNUMBER(SEARCH($A55,'Diags Raw Data'!$A$6:$A$4335))),--('Diags Raw Data'!$Q$6:$Q$4335&lt;&gt;"N/A"),'Diags Raw Data'!$T$6:$T$4335)+SUMPRODUCT(--(ISNUMBER(SEARCH($A55,'Diags Raw Data'!$A$6:$A$4335))),--('Diags Raw Data'!$Q$6:$Q$4335&lt;&gt;"N/A"),'Diags Raw Data'!$U$6:$U$4335)</f>
        <v>1</v>
      </c>
      <c r="O55" s="428">
        <f t="shared" si="11"/>
        <v>1</v>
      </c>
      <c r="P55" s="402">
        <f>SUMIF('Diags Raw Data'!$A$6:$A$4335,"*"&amp;$A55&amp;"*",'Diags Raw Data'!$Z$6:$Z$4335)</f>
        <v>0</v>
      </c>
      <c r="Q55" s="403">
        <f>SUM(SUMIF('Diags Raw Data'!$A$6:$A$4335,"*"&amp;$A55&amp;"*",'Diags Raw Data'!$AA$6:$AA$4335),SUMIF('Diags Raw Data'!$A$6:$A$4335,"*"&amp;$A55&amp;"*",'Diags Raw Data'!$AB$6:$AB$4335))</f>
        <v>0</v>
      </c>
      <c r="R55" s="404">
        <f t="shared" si="12"/>
        <v>0</v>
      </c>
      <c r="S55" s="404">
        <f t="shared" si="13"/>
        <v>0</v>
      </c>
      <c r="T55" s="405">
        <f t="shared" si="14"/>
        <v>0</v>
      </c>
      <c r="U55" s="434" t="s">
        <v>1652</v>
      </c>
      <c r="V55" s="170"/>
    </row>
    <row r="56" spans="1:22" ht="30" x14ac:dyDescent="0.25">
      <c r="A56" s="420" t="s">
        <v>1116</v>
      </c>
      <c r="B56" s="328" t="str">
        <f>VLOOKUP(A56,'Feature Raw Data'!$A$3:$B$4067,2,FALSE)</f>
        <v>MMHUB:MMUTCL2:VML2 - "is_local" enable / disable register</v>
      </c>
      <c r="C56" s="271" t="str">
        <f>VLOOKUP(A56,'Feature Raw Data'!$A$3:$C$4067,3,FALSE)</f>
        <v>P2</v>
      </c>
      <c r="D56" s="82" t="str" cm="1">
        <f t="array" ref="D56">_xlfn.TEXTJOIN("",TRUE,IF(ISNUMBER(SEARCH($A56,'Diags Raw Data'!$A$6:$A$4335)),CONCATENATE('Diags Raw Data'!$H$6:$H$4335,", "),""))</f>
        <v xml:space="preserve">mhub148.1-4, </v>
      </c>
      <c r="E56" s="169" t="str">
        <f>VLOOKUP(A56,'Diags Raw Data'!$A$6:$D$4335,4,FALSE)</f>
        <v>MMHUB</v>
      </c>
      <c r="F56" s="169" t="str">
        <f>VLOOKUP(A56,'Feature Raw Data'!$A$3:$E$4067,5,FALSE)</f>
        <v>Legacy</v>
      </c>
      <c r="G56" s="169" t="str">
        <f t="shared" si="0"/>
        <v>Yes</v>
      </c>
      <c r="H56" s="169" t="str">
        <f t="shared" ref="H56:H85" si="19">IF(D56="","No","Yes")</f>
        <v>Yes</v>
      </c>
      <c r="I56" s="271">
        <f>SUMIF('Diags Raw Data'!$A$6:$A$4335,"*"&amp;$A56&amp;"*",'Diags Raw Data'!$K$6:$K$4335)</f>
        <v>1</v>
      </c>
      <c r="J56" s="179">
        <f>SUMIF('Diags Raw Data'!$A$6:$A$4335,"*"&amp;$A56&amp;"*",'Diags Raw Data'!$L$6:$L$4335)</f>
        <v>4</v>
      </c>
      <c r="K56" s="398" cm="1">
        <f t="array" ref="K56">IF(D56="",0, SUMPRODUCT(--(ISNUMBER(SEARCH($A56,'Diags Raw Data'!$A$6:$A$4335))),'Diags Raw Data'!$L$6:$L$4335,'Diags Raw Data'!$N$6:$N$4335)/J56)</f>
        <v>1</v>
      </c>
      <c r="L56" s="399" cm="1">
        <f t="array" ref="L56">IF(D56="",0, SUMPRODUCT(--(ISNUMBER(SEARCH($A56,'Diags Raw Data'!$A$6:$A$4335))),'Diags Raw Data'!$L$6:$L$4335,'Diags Raw Data'!$P$6:$P$4335)/J56)</f>
        <v>1</v>
      </c>
      <c r="M56" s="400" cm="1">
        <f t="array" ref="M56">SUMPRODUCT(--(ISNUMBER(SEARCH($A56,'Diags Raw Data'!$A$6:$A$4335))),--('Diags Raw Data'!$Q$6:$Q$4335&lt;&gt;"N/A"),'Diags Raw Data'!$R$6:$R$4335)</f>
        <v>4</v>
      </c>
      <c r="N56" s="401" cm="1">
        <f t="array" ref="N56">SUMPRODUCT(--(ISNUMBER(SEARCH($A56,'Diags Raw Data'!$A$6:$A$4335))),--('Diags Raw Data'!$Q$6:$Q$4335&lt;&gt;"N/A"),'Diags Raw Data'!$T$6:$T$4335)+SUMPRODUCT(--(ISNUMBER(SEARCH($A56,'Diags Raw Data'!$A$6:$A$4335))),--('Diags Raw Data'!$Q$6:$Q$4335&lt;&gt;"N/A"),'Diags Raw Data'!$U$6:$U$4335)</f>
        <v>4</v>
      </c>
      <c r="O56" s="428">
        <f t="shared" ref="O56:O58" si="20">IF((M56=0),0,N56/M56)</f>
        <v>1</v>
      </c>
      <c r="P56" s="402">
        <f>SUMIF('Diags Raw Data'!$A$6:$A$4335,"*"&amp;$A56&amp;"*",'Diags Raw Data'!$Z$6:$Z$4335)</f>
        <v>0</v>
      </c>
      <c r="Q56" s="403">
        <f>SUM(SUMIF('Diags Raw Data'!$A$6:$A$4335,"*"&amp;$A56&amp;"*",'Diags Raw Data'!$AA$6:$AA$4335),SUMIF('Diags Raw Data'!$A$6:$A$4335,"*"&amp;$A56&amp;"*",'Diags Raw Data'!$AB$6:$AB$4335))</f>
        <v>0</v>
      </c>
      <c r="R56" s="404">
        <f t="shared" ref="R56:R58" si="21">IF((J56=0),0,P56/J56)</f>
        <v>0</v>
      </c>
      <c r="S56" s="404">
        <f t="shared" ref="S56:S58" si="22">IF((P56=0),0,Q56/P56)</f>
        <v>0</v>
      </c>
      <c r="T56" s="405">
        <f t="shared" ref="T56:T58" si="23">R56*S56</f>
        <v>0</v>
      </c>
      <c r="U56" s="434" t="s">
        <v>1654</v>
      </c>
      <c r="V56" s="170"/>
    </row>
    <row r="57" spans="1:22" x14ac:dyDescent="0.25">
      <c r="A57" s="420" t="s">
        <v>1293</v>
      </c>
      <c r="B57" s="328" t="str">
        <f>VLOOKUP(A57,'Feature Raw Data'!$A$3:$B$4067,2,FALSE)</f>
        <v>MMHUB:MMUTCL2:VML2 - Steering Registers</v>
      </c>
      <c r="C57" s="271" t="str">
        <f>VLOOKUP(A57,'Feature Raw Data'!$A$3:$C$4067,3,FALSE)</f>
        <v>P2</v>
      </c>
      <c r="D57" s="82" t="str" cm="1">
        <f t="array" ref="D57">_xlfn.TEXTJOIN("",TRUE,IF(ISNUMBER(SEARCH($A57,'Diags Raw Data'!$A$6:$A$4335)),CONCATENATE('Diags Raw Data'!$H$6:$H$4335,", "),""))</f>
        <v/>
      </c>
      <c r="E57" s="169" t="e">
        <f>VLOOKUP(A57,'Diags Raw Data'!$A$6:$D$4335,4,FALSE)</f>
        <v>#N/A</v>
      </c>
      <c r="F57" s="169" t="str">
        <f>VLOOKUP(A57,'Feature Raw Data'!$A$3:$E$4067,5,FALSE)</f>
        <v>Legacy</v>
      </c>
      <c r="G57" s="169" t="s">
        <v>36</v>
      </c>
      <c r="H57" s="169" t="str">
        <f t="shared" si="19"/>
        <v>No</v>
      </c>
      <c r="I57" s="271">
        <f>SUMIF('Diags Raw Data'!$A$6:$A$4335,"*"&amp;$A57&amp;"*",'Diags Raw Data'!$K$6:$K$4335)</f>
        <v>0</v>
      </c>
      <c r="J57" s="179">
        <f>SUMIF('Diags Raw Data'!$A$6:$A$4335,"*"&amp;$A57&amp;"*",'Diags Raw Data'!$L$6:$L$4335)</f>
        <v>0</v>
      </c>
      <c r="K57" s="398" cm="1">
        <f t="array" ref="K57">IF(D57="",0, SUMPRODUCT(--(ISNUMBER(SEARCH($A57,'Diags Raw Data'!$A$6:$A$4335))),'Diags Raw Data'!$L$6:$L$4335,'Diags Raw Data'!$N$6:$N$4335)/J57)</f>
        <v>0</v>
      </c>
      <c r="L57" s="399" cm="1">
        <f t="array" ref="L57">IF(D57="",0, SUMPRODUCT(--(ISNUMBER(SEARCH($A57,'Diags Raw Data'!$A$6:$A$4335))),'Diags Raw Data'!$L$6:$L$4335,'Diags Raw Data'!$P$6:$P$4335)/J57)</f>
        <v>0</v>
      </c>
      <c r="M57" s="400" cm="1">
        <f t="array" ref="M57">SUMPRODUCT(--(ISNUMBER(SEARCH($A57,'Diags Raw Data'!$A$6:$A$4335))),--('Diags Raw Data'!$Q$6:$Q$4335&lt;&gt;"N/A"),'Diags Raw Data'!$R$6:$R$4335)</f>
        <v>0</v>
      </c>
      <c r="N57" s="401" cm="1">
        <f t="array" ref="N57">SUMPRODUCT(--(ISNUMBER(SEARCH($A57,'Diags Raw Data'!$A$6:$A$4335))),--('Diags Raw Data'!$Q$6:$Q$4335&lt;&gt;"N/A"),'Diags Raw Data'!$T$6:$T$4335)+SUMPRODUCT(--(ISNUMBER(SEARCH($A57,'Diags Raw Data'!$A$6:$A$4335))),--('Diags Raw Data'!$Q$6:$Q$4335&lt;&gt;"N/A"),'Diags Raw Data'!$U$6:$U$4335)</f>
        <v>0</v>
      </c>
      <c r="O57" s="428">
        <f t="shared" si="20"/>
        <v>0</v>
      </c>
      <c r="P57" s="402">
        <f>SUMIF('Diags Raw Data'!$A$6:$A$4335,"*"&amp;$A57&amp;"*",'Diags Raw Data'!$Z$6:$Z$4335)</f>
        <v>0</v>
      </c>
      <c r="Q57" s="403">
        <f>SUM(SUMIF('Diags Raw Data'!$A$6:$A$4335,"*"&amp;$A57&amp;"*",'Diags Raw Data'!$AA$6:$AA$4335),SUMIF('Diags Raw Data'!$A$6:$A$4335,"*"&amp;$A57&amp;"*",'Diags Raw Data'!$AB$6:$AB$4335))</f>
        <v>0</v>
      </c>
      <c r="R57" s="404">
        <f t="shared" si="21"/>
        <v>0</v>
      </c>
      <c r="S57" s="404">
        <f t="shared" si="22"/>
        <v>0</v>
      </c>
      <c r="T57" s="405">
        <f t="shared" si="23"/>
        <v>0</v>
      </c>
      <c r="U57" s="434" t="s">
        <v>44</v>
      </c>
      <c r="V57" s="170" t="s">
        <v>43</v>
      </c>
    </row>
    <row r="58" spans="1:22" ht="120" x14ac:dyDescent="0.25">
      <c r="A58" s="420" t="s">
        <v>1295</v>
      </c>
      <c r="B58" s="328" t="str">
        <f>VLOOKUP(A58,'Feature Raw Data'!$A$3:$B$4067,2,FALSE)</f>
        <v>MMHUB:MMUTCL2:VML2 - Mtype Attribute</v>
      </c>
      <c r="C58" s="271" t="str">
        <f>VLOOKUP(A58,'Feature Raw Data'!$A$3:$C$4067,3,FALSE)</f>
        <v>P2</v>
      </c>
      <c r="D58" s="82" t="str" cm="1">
        <f t="array" ref="D58">_xlfn.TEXTJOIN("",TRUE,IF(ISNUMBER(SEARCH($A58,'Diags Raw Data'!$A$6:$A$4335)),CONCATENATE('Diags Raw Data'!$H$6:$H$4335,", "),""))</f>
        <v xml:space="preserve">mhub408.81, mhub408.87, mhub408.91, mhub408.97, </v>
      </c>
      <c r="E58" s="169" t="str">
        <f>VLOOKUP(A58,'Diags Raw Data'!$A$6:$D$4335,4,FALSE)</f>
        <v>GCHUB</v>
      </c>
      <c r="F58" s="169" t="str">
        <f>VLOOKUP(A58,'Feature Raw Data'!$A$3:$E$4067,5,FALSE)</f>
        <v>Legacy</v>
      </c>
      <c r="G58" s="169" t="str">
        <f t="shared" si="0"/>
        <v>Yes</v>
      </c>
      <c r="H58" s="169" t="str">
        <f t="shared" si="19"/>
        <v>Yes</v>
      </c>
      <c r="I58" s="271">
        <f>SUMIF('Diags Raw Data'!$A$6:$A$4335,"*"&amp;$A58&amp;"*",'Diags Raw Data'!$K$6:$K$4335)</f>
        <v>4</v>
      </c>
      <c r="J58" s="179">
        <f>SUMIF('Diags Raw Data'!$A$6:$A$4335,"*"&amp;$A58&amp;"*",'Diags Raw Data'!$L$6:$L$4335)</f>
        <v>4</v>
      </c>
      <c r="K58" s="398" cm="1">
        <f t="array" ref="K58">IF(D58="",0, SUMPRODUCT(--(ISNUMBER(SEARCH($A58,'Diags Raw Data'!$A$6:$A$4335))),'Diags Raw Data'!$L$6:$L$4335,'Diags Raw Data'!$N$6:$N$4335)/J58)</f>
        <v>1</v>
      </c>
      <c r="L58" s="399" cm="1">
        <f t="array" ref="L58">IF(D58="",0, SUMPRODUCT(--(ISNUMBER(SEARCH($A58,'Diags Raw Data'!$A$6:$A$4335))),'Diags Raw Data'!$L$6:$L$4335,'Diags Raw Data'!$P$6:$P$4335)/J58)</f>
        <v>1</v>
      </c>
      <c r="M58" s="400" cm="1">
        <f t="array" ref="M58">SUMPRODUCT(--(ISNUMBER(SEARCH($A58,'Diags Raw Data'!$A$6:$A$4335))),--('Diags Raw Data'!$Q$6:$Q$4335&lt;&gt;"N/A"),'Diags Raw Data'!$R$6:$R$4335)</f>
        <v>4</v>
      </c>
      <c r="N58" s="401" cm="1">
        <f t="array" ref="N58">SUMPRODUCT(--(ISNUMBER(SEARCH($A58,'Diags Raw Data'!$A$6:$A$4335))),--('Diags Raw Data'!$Q$6:$Q$4335&lt;&gt;"N/A"),'Diags Raw Data'!$T$6:$T$4335)+SUMPRODUCT(--(ISNUMBER(SEARCH($A58,'Diags Raw Data'!$A$6:$A$4335))),--('Diags Raw Data'!$Q$6:$Q$4335&lt;&gt;"N/A"),'Diags Raw Data'!$U$6:$U$4335)</f>
        <v>4</v>
      </c>
      <c r="O58" s="428">
        <f t="shared" si="20"/>
        <v>1</v>
      </c>
      <c r="P58" s="402">
        <f>SUMIF('Diags Raw Data'!$A$6:$A$4335,"*"&amp;$A58&amp;"*",'Diags Raw Data'!$Z$6:$Z$4335)</f>
        <v>0</v>
      </c>
      <c r="Q58" s="403">
        <f>SUM(SUMIF('Diags Raw Data'!$A$6:$A$4335,"*"&amp;$A58&amp;"*",'Diags Raw Data'!$AA$6:$AA$4335),SUMIF('Diags Raw Data'!$A$6:$A$4335,"*"&amp;$A58&amp;"*",'Diags Raw Data'!$AB$6:$AB$4335))</f>
        <v>0</v>
      </c>
      <c r="R58" s="404">
        <f t="shared" si="21"/>
        <v>0</v>
      </c>
      <c r="S58" s="404">
        <f t="shared" si="22"/>
        <v>0</v>
      </c>
      <c r="T58" s="405">
        <f t="shared" si="23"/>
        <v>0</v>
      </c>
      <c r="U58" s="434" t="s">
        <v>1656</v>
      </c>
      <c r="V58" s="170"/>
    </row>
    <row r="59" spans="1:22" ht="60" x14ac:dyDescent="0.25">
      <c r="A59" s="420" t="s">
        <v>1297</v>
      </c>
      <c r="B59" s="328" t="str">
        <f>VLOOKUP(A59,'Feature Raw Data'!$A$3:$B$4067,2,FALSE)</f>
        <v>MMHUB:MMUTCL2:VML2 - VML2 BigK/4K cache swap</v>
      </c>
      <c r="C59" s="271" t="str">
        <f>VLOOKUP(A59,'Feature Raw Data'!$A$3:$C$4067,3,FALSE)</f>
        <v>P2</v>
      </c>
      <c r="D59" s="82" t="str" cm="1">
        <f t="array" ref="D59">_xlfn.TEXTJOIN("",TRUE,IF(ISNUMBER(SEARCH($A59,'Diags Raw Data'!$A$6:$A$4335)),CONCATENATE('Diags Raw Data'!$H$6:$H$4335,", "),""))</f>
        <v xml:space="preserve">mhub034.1, mhub034.2, mhub034.3, mhub034.4, </v>
      </c>
      <c r="E59" s="169" t="str">
        <f>VLOOKUP(A59,'Diags Raw Data'!$A$6:$D$4335,4,FALSE)</f>
        <v>MMHUB</v>
      </c>
      <c r="F59" s="169" t="str">
        <f>VLOOKUP(A59,'Feature Raw Data'!$A$3:$E$4067,5,FALSE)</f>
        <v>Legacy</v>
      </c>
      <c r="G59" s="169" t="str">
        <f t="shared" si="0"/>
        <v>Yes</v>
      </c>
      <c r="H59" s="169" t="str">
        <f t="shared" si="19"/>
        <v>Yes</v>
      </c>
      <c r="I59" s="271">
        <f>SUMIF('Diags Raw Data'!$A$6:$A$4335,"*"&amp;$A59&amp;"*",'Diags Raw Data'!$K$6:$K$4335)</f>
        <v>4</v>
      </c>
      <c r="J59" s="179">
        <f>SUMIF('Diags Raw Data'!$A$6:$A$4335,"*"&amp;$A59&amp;"*",'Diags Raw Data'!$L$6:$L$4335)</f>
        <v>4</v>
      </c>
      <c r="K59" s="398" cm="1">
        <f t="array" ref="K59">IF(D59="",0, SUMPRODUCT(--(ISNUMBER(SEARCH($A59,'Diags Raw Data'!$A$6:$A$4335))),'Diags Raw Data'!$L$6:$L$4335,'Diags Raw Data'!$N$6:$N$4335)/J59)</f>
        <v>1</v>
      </c>
      <c r="L59" s="399" cm="1">
        <f t="array" ref="L59">IF(D59="",0, SUMPRODUCT(--(ISNUMBER(SEARCH($A59,'Diags Raw Data'!$A$6:$A$4335))),'Diags Raw Data'!$L$6:$L$4335,'Diags Raw Data'!$P$6:$P$4335)/J59)</f>
        <v>1</v>
      </c>
      <c r="M59" s="400" cm="1">
        <f t="array" ref="M59">SUMPRODUCT(--(ISNUMBER(SEARCH($A59,'Diags Raw Data'!$A$6:$A$4335))),--('Diags Raw Data'!$Q$6:$Q$4335&lt;&gt;"N/A"),'Diags Raw Data'!$R$6:$R$4335)</f>
        <v>4</v>
      </c>
      <c r="N59" s="401" cm="1">
        <f t="array" ref="N59">SUMPRODUCT(--(ISNUMBER(SEARCH($A59,'Diags Raw Data'!$A$6:$A$4335))),--('Diags Raw Data'!$Q$6:$Q$4335&lt;&gt;"N/A"),'Diags Raw Data'!$T$6:$T$4335)+SUMPRODUCT(--(ISNUMBER(SEARCH($A59,'Diags Raw Data'!$A$6:$A$4335))),--('Diags Raw Data'!$Q$6:$Q$4335&lt;&gt;"N/A"),'Diags Raw Data'!$U$6:$U$4335)</f>
        <v>4</v>
      </c>
      <c r="O59" s="428">
        <f>IF((M59=0),0,N59/M59)</f>
        <v>1</v>
      </c>
      <c r="P59" s="402">
        <f>SUMIF('Diags Raw Data'!$A$6:$A$4335,"*"&amp;$A59&amp;"*",'Diags Raw Data'!$Z$6:$Z$4335)</f>
        <v>0</v>
      </c>
      <c r="Q59" s="403">
        <f>SUM(SUMIF('Diags Raw Data'!$A$6:$A$4335,"*"&amp;$A59&amp;"*",'Diags Raw Data'!$AA$6:$AA$4335),SUMIF('Diags Raw Data'!$A$6:$A$4335,"*"&amp;$A59&amp;"*",'Diags Raw Data'!$AB$6:$AB$4335))</f>
        <v>0</v>
      </c>
      <c r="R59" s="404">
        <f>IF((J59=0),0,P59/J59)</f>
        <v>0</v>
      </c>
      <c r="S59" s="404">
        <f>IF((P59=0),0,Q59/P59)</f>
        <v>0</v>
      </c>
      <c r="T59" s="405">
        <f>R59*S59</f>
        <v>0</v>
      </c>
      <c r="U59" s="434" t="s">
        <v>1659</v>
      </c>
      <c r="V59" s="170"/>
    </row>
    <row r="60" spans="1:22" ht="45" x14ac:dyDescent="0.25">
      <c r="A60" s="420" t="s">
        <v>1299</v>
      </c>
      <c r="B60" s="328" t="str">
        <f>VLOOKUP(A60,'Feature Raw Data'!$A$3:$B$4067,2,FALSE)</f>
        <v>MMHUB:MMUTCL2:VML2 - "noalloc" support (MALL)</v>
      </c>
      <c r="C60" s="271" t="str">
        <f>VLOOKUP(A60,'Feature Raw Data'!$A$3:$C$4067,3,FALSE)</f>
        <v>N/A</v>
      </c>
      <c r="D60" s="82" t="str" cm="1">
        <f t="array" ref="D60">_xlfn.TEXTJOIN("",TRUE,IF(ISNUMBER(SEARCH($A60,'Diags Raw Data'!$A$6:$A$4335)),CONCATENATE('Diags Raw Data'!$H$6:$H$4335,", "),""))</f>
        <v xml:space="preserve">mhub150.1-4,mhub150.10,mhub150.11,mhub150.12,mhub150.20,mhub150.21,mhub150.30-41, </v>
      </c>
      <c r="E60" s="169" t="str">
        <f>VLOOKUP(A60,'Diags Raw Data'!$A$6:$D$4335,4,FALSE)</f>
        <v>MMHUB</v>
      </c>
      <c r="F60" s="169" t="str">
        <f>VLOOKUP(A60,'Feature Raw Data'!$A$3:$E$4067,5,FALSE)</f>
        <v>Legacy</v>
      </c>
      <c r="G60" s="169" t="str">
        <f t="shared" si="0"/>
        <v>Yes</v>
      </c>
      <c r="H60" s="169" t="str">
        <f t="shared" si="19"/>
        <v>Yes</v>
      </c>
      <c r="I60" s="271">
        <f>SUMIF('Diags Raw Data'!$A$6:$A$4335,"*"&amp;$A60&amp;"*",'Diags Raw Data'!$K$6:$K$4335)</f>
        <v>1</v>
      </c>
      <c r="J60" s="179">
        <f>SUMIF('Diags Raw Data'!$A$6:$A$4335,"*"&amp;$A60&amp;"*",'Diags Raw Data'!$L$6:$L$4335)</f>
        <v>21</v>
      </c>
      <c r="K60" s="398" cm="1">
        <f t="array" ref="K60">IF(D60="",0, SUMPRODUCT(--(ISNUMBER(SEARCH($A60,'Diags Raw Data'!$A$6:$A$4335))),'Diags Raw Data'!$L$6:$L$4335,'Diags Raw Data'!$N$6:$N$4335)/J60)</f>
        <v>1</v>
      </c>
      <c r="L60" s="399" cm="1">
        <f t="array" ref="L60">IF(D60="",0, SUMPRODUCT(--(ISNUMBER(SEARCH($A60,'Diags Raw Data'!$A$6:$A$4335))),'Diags Raw Data'!$L$6:$L$4335,'Diags Raw Data'!$P$6:$P$4335)/J60)</f>
        <v>0</v>
      </c>
      <c r="M60" s="400" cm="1">
        <f t="array" ref="M60">SUMPRODUCT(--(ISNUMBER(SEARCH($A60,'Diags Raw Data'!$A$6:$A$4335))),--('Diags Raw Data'!$Q$6:$Q$4335&lt;&gt;"N/A"),'Diags Raw Data'!$R$6:$R$4335)</f>
        <v>19</v>
      </c>
      <c r="N60" s="401" cm="1">
        <f t="array" ref="N60">SUMPRODUCT(--(ISNUMBER(SEARCH($A60,'Diags Raw Data'!$A$6:$A$4335))),--('Diags Raw Data'!$Q$6:$Q$4335&lt;&gt;"N/A"),'Diags Raw Data'!$T$6:$T$4335)+SUMPRODUCT(--(ISNUMBER(SEARCH($A60,'Diags Raw Data'!$A$6:$A$4335))),--('Diags Raw Data'!$Q$6:$Q$4335&lt;&gt;"N/A"),'Diags Raw Data'!$U$6:$U$4335)</f>
        <v>19</v>
      </c>
      <c r="O60" s="428">
        <f>IF((M60=0),0,N60/M60)</f>
        <v>1</v>
      </c>
      <c r="P60" s="402">
        <f>SUMIF('Diags Raw Data'!$A$6:$A$4335,"*"&amp;$A60&amp;"*",'Diags Raw Data'!$Z$6:$Z$4335)</f>
        <v>0</v>
      </c>
      <c r="Q60" s="403">
        <f>SUM(SUMIF('Diags Raw Data'!$A$6:$A$4335,"*"&amp;$A60&amp;"*",'Diags Raw Data'!$AA$6:$AA$4335),SUMIF('Diags Raw Data'!$A$6:$A$4335,"*"&amp;$A60&amp;"*",'Diags Raw Data'!$AB$6:$AB$4335))</f>
        <v>0</v>
      </c>
      <c r="R60" s="404">
        <f>IF((J60=0),0,P60/J60)</f>
        <v>0</v>
      </c>
      <c r="S60" s="404">
        <f>IF((P60=0),0,Q60/P60)</f>
        <v>0</v>
      </c>
      <c r="T60" s="405">
        <f>R60*S60</f>
        <v>0</v>
      </c>
      <c r="U60" s="434" t="s">
        <v>1654</v>
      </c>
      <c r="V60" s="170"/>
    </row>
    <row r="61" spans="1:22" ht="30" x14ac:dyDescent="0.25">
      <c r="A61" s="420" t="s">
        <v>1305</v>
      </c>
      <c r="B61" s="328" t="str">
        <f>VLOOKUP(A61,'Feature Raw Data'!$A$3:$B$4067,2,FALSE)</f>
        <v>MMHUB:MMUTCL2:VML2 - Per VF BigK/SmallK/Bank_Select Support</v>
      </c>
      <c r="C61" s="271" t="str">
        <f>VLOOKUP(A61,'Feature Raw Data'!$A$3:$C$4067,3,FALSE)</f>
        <v>N/A</v>
      </c>
      <c r="D61" s="82" t="str" cm="1">
        <f t="array" ref="D61">_xlfn.TEXTJOIN("",TRUE,IF(ISNUMBER(SEARCH($A61,'Diags Raw Data'!$A$6:$A$4335)),CONCATENATE('Diags Raw Data'!$H$6:$H$4335,", "),""))</f>
        <v xml:space="preserve">mhub059.1-32, </v>
      </c>
      <c r="E61" s="169" t="str">
        <f>VLOOKUP(A61,'Diags Raw Data'!$A$6:$D$4335,4,FALSE)</f>
        <v>MMHUB</v>
      </c>
      <c r="F61" s="169" t="str">
        <f>VLOOKUP(A61,'Feature Raw Data'!$A$3:$E$4067,5,FALSE)</f>
        <v>Legacy</v>
      </c>
      <c r="G61" s="169" t="str">
        <f t="shared" si="0"/>
        <v>Yes</v>
      </c>
      <c r="H61" s="169" t="str">
        <f t="shared" si="19"/>
        <v>Yes</v>
      </c>
      <c r="I61" s="271">
        <f>SUMIF('Diags Raw Data'!$A$6:$A$4335,"*"&amp;$A61&amp;"*",'Diags Raw Data'!$K$6:$K$4335)</f>
        <v>1</v>
      </c>
      <c r="J61" s="179">
        <f>SUMIF('Diags Raw Data'!$A$6:$A$4335,"*"&amp;$A61&amp;"*",'Diags Raw Data'!$L$6:$L$4335)</f>
        <v>32</v>
      </c>
      <c r="K61" s="398" cm="1">
        <f t="array" ref="K61">IF(D61="",0, SUMPRODUCT(--(ISNUMBER(SEARCH($A61,'Diags Raw Data'!$A$6:$A$4335))),'Diags Raw Data'!$L$6:$L$4335,'Diags Raw Data'!$N$6:$N$4335)/J61)</f>
        <v>1</v>
      </c>
      <c r="L61" s="399" cm="1">
        <f t="array" ref="L61">IF(D61="",0, SUMPRODUCT(--(ISNUMBER(SEARCH($A61,'Diags Raw Data'!$A$6:$A$4335))),'Diags Raw Data'!$L$6:$L$4335,'Diags Raw Data'!$P$6:$P$4335)/J61)</f>
        <v>0</v>
      </c>
      <c r="M61" s="400" cm="1">
        <f t="array" ref="M61">SUMPRODUCT(--(ISNUMBER(SEARCH($A61,'Diags Raw Data'!$A$6:$A$4335))),--('Diags Raw Data'!$Q$6:$Q$4335&lt;&gt;"N/A"),'Diags Raw Data'!$R$6:$R$4335)</f>
        <v>32</v>
      </c>
      <c r="N61" s="401" cm="1">
        <f t="array" ref="N61">SUMPRODUCT(--(ISNUMBER(SEARCH($A61,'Diags Raw Data'!$A$6:$A$4335))),--('Diags Raw Data'!$Q$6:$Q$4335&lt;&gt;"N/A"),'Diags Raw Data'!$T$6:$T$4335)+SUMPRODUCT(--(ISNUMBER(SEARCH($A61,'Diags Raw Data'!$A$6:$A$4335))),--('Diags Raw Data'!$Q$6:$Q$4335&lt;&gt;"N/A"),'Diags Raw Data'!$U$6:$U$4335)</f>
        <v>32</v>
      </c>
      <c r="O61" s="428">
        <f>IF((M61=0),0,N61/M61)</f>
        <v>1</v>
      </c>
      <c r="P61" s="402">
        <f>SUMIF('Diags Raw Data'!$A$6:$A$4335,"*"&amp;$A61&amp;"*",'Diags Raw Data'!$Z$6:$Z$4335)</f>
        <v>0</v>
      </c>
      <c r="Q61" s="403">
        <f>SUM(SUMIF('Diags Raw Data'!$A$6:$A$4335,"*"&amp;$A61&amp;"*",'Diags Raw Data'!$AA$6:$AA$4335),SUMIF('Diags Raw Data'!$A$6:$A$4335,"*"&amp;$A61&amp;"*",'Diags Raw Data'!$AB$6:$AB$4335))</f>
        <v>0</v>
      </c>
      <c r="R61" s="404">
        <f>IF((J61=0),0,P61/J61)</f>
        <v>0</v>
      </c>
      <c r="S61" s="404">
        <f t="shared" ref="S61:S76" si="24">IF((P61=0),0,Q61/P61)</f>
        <v>0</v>
      </c>
      <c r="T61" s="405">
        <f>R61*S61</f>
        <v>0</v>
      </c>
      <c r="U61" s="434" t="s">
        <v>1659</v>
      </c>
      <c r="V61" s="170"/>
    </row>
    <row r="62" spans="1:22" ht="30" x14ac:dyDescent="0.25">
      <c r="A62" s="420" t="s">
        <v>1307</v>
      </c>
      <c r="B62" s="328" t="str">
        <f>VLOOKUP(A62,'Feature Raw Data'!$A$3:$B$4067,2,FALSE)</f>
        <v>MMHUB:MMUTCL2:VML2 - Per VMID BigK/SmallK/Bank_Select Support</v>
      </c>
      <c r="C62" s="271" t="str">
        <f>VLOOKUP(A62,'Feature Raw Data'!$A$3:$C$4067,3,FALSE)</f>
        <v>P2</v>
      </c>
      <c r="D62" s="82" t="str" cm="1">
        <f t="array" ref="D62">_xlfn.TEXTJOIN("",TRUE,IF(ISNUMBER(SEARCH($A62,'Diags Raw Data'!$A$6:$A$4335)),CONCATENATE('Diags Raw Data'!$H$6:$H$4335,", "),""))</f>
        <v xml:space="preserve">mhub059.1-32, </v>
      </c>
      <c r="E62" s="169" t="str">
        <f>VLOOKUP(A62,'Diags Raw Data'!$A$6:$D$4335,4,FALSE)</f>
        <v>MMHUB</v>
      </c>
      <c r="F62" s="169" t="str">
        <f>VLOOKUP(A62,'Feature Raw Data'!$A$3:$E$4067,5,FALSE)</f>
        <v>Legacy</v>
      </c>
      <c r="G62" s="169" t="str">
        <f t="shared" si="0"/>
        <v>Yes</v>
      </c>
      <c r="H62" s="169" t="str">
        <f t="shared" si="19"/>
        <v>Yes</v>
      </c>
      <c r="I62" s="271">
        <f>SUMIF('Diags Raw Data'!$A$6:$A$4335,"*"&amp;$A62&amp;"*",'Diags Raw Data'!$K$6:$K$4335)</f>
        <v>1</v>
      </c>
      <c r="J62" s="179">
        <f>SUMIF('Diags Raw Data'!$A$6:$A$4335,"*"&amp;$A62&amp;"*",'Diags Raw Data'!$L$6:$L$4335)</f>
        <v>32</v>
      </c>
      <c r="K62" s="398" cm="1">
        <f t="array" ref="K62">IF(D62="",0, SUMPRODUCT(--(ISNUMBER(SEARCH($A62,'Diags Raw Data'!$A$6:$A$4335))),'Diags Raw Data'!$L$6:$L$4335,'Diags Raw Data'!$N$6:$N$4335)/J62)</f>
        <v>1</v>
      </c>
      <c r="L62" s="399" cm="1">
        <f t="array" ref="L62">IF(D62="",0, SUMPRODUCT(--(ISNUMBER(SEARCH($A62,'Diags Raw Data'!$A$6:$A$4335))),'Diags Raw Data'!$L$6:$L$4335,'Diags Raw Data'!$P$6:$P$4335)/J62)</f>
        <v>0</v>
      </c>
      <c r="M62" s="400" cm="1">
        <f t="array" ref="M62">SUMPRODUCT(--(ISNUMBER(SEARCH($A62,'Diags Raw Data'!$A$6:$A$4335))),--('Diags Raw Data'!$Q$6:$Q$4335&lt;&gt;"N/A"),'Diags Raw Data'!$R$6:$R$4335)</f>
        <v>32</v>
      </c>
      <c r="N62" s="401" cm="1">
        <f t="array" ref="N62">SUMPRODUCT(--(ISNUMBER(SEARCH($A62,'Diags Raw Data'!$A$6:$A$4335))),--('Diags Raw Data'!$Q$6:$Q$4335&lt;&gt;"N/A"),'Diags Raw Data'!$T$6:$T$4335)+SUMPRODUCT(--(ISNUMBER(SEARCH($A62,'Diags Raw Data'!$A$6:$A$4335))),--('Diags Raw Data'!$Q$6:$Q$4335&lt;&gt;"N/A"),'Diags Raw Data'!$U$6:$U$4335)</f>
        <v>32</v>
      </c>
      <c r="O62" s="428">
        <f>IF((M62=0),0,N62/M62)</f>
        <v>1</v>
      </c>
      <c r="P62" s="402">
        <f>SUMIF('Diags Raw Data'!$A$6:$A$4335,"*"&amp;$A62&amp;"*",'Diags Raw Data'!$Z$6:$Z$4335)</f>
        <v>0</v>
      </c>
      <c r="Q62" s="403">
        <f>SUM(SUMIF('Diags Raw Data'!$A$6:$A$4335,"*"&amp;$A62&amp;"*",'Diags Raw Data'!$AA$6:$AA$4335),SUMIF('Diags Raw Data'!$A$6:$A$4335,"*"&amp;$A62&amp;"*",'Diags Raw Data'!$AB$6:$AB$4335))</f>
        <v>0</v>
      </c>
      <c r="R62" s="404">
        <f>IF((J62=0),0,P62/J62)</f>
        <v>0</v>
      </c>
      <c r="S62" s="404">
        <f t="shared" si="24"/>
        <v>0</v>
      </c>
      <c r="T62" s="405">
        <f>R62*S62</f>
        <v>0</v>
      </c>
      <c r="U62" s="434" t="s">
        <v>1659</v>
      </c>
      <c r="V62" s="170"/>
    </row>
    <row r="63" spans="1:22" ht="90" x14ac:dyDescent="0.25">
      <c r="A63" s="420" t="s">
        <v>385</v>
      </c>
      <c r="B63" s="328" t="str">
        <f>VLOOKUP(A63,'Feature Raw Data'!$A$3:$B$4067,2,FALSE)</f>
        <v>MMHUB:MMUTCL2:VML2 - GPUVM L2 cache read/dump capabilities</v>
      </c>
      <c r="C63" s="271" t="str">
        <f>VLOOKUP(A63,'Feature Raw Data'!$A$3:$C$4067,3,FALSE)</f>
        <v>P3</v>
      </c>
      <c r="D63" s="82" t="str" cm="1">
        <f t="array" ref="D63">_xlfn.TEXTJOIN("",TRUE,IF(ISNUMBER(SEARCH($A63,'Diags Raw Data'!$A$6:$A$4335)),CONCATENATE('Diags Raw Data'!$H$6:$H$4335,", "),""))</f>
        <v xml:space="preserve">mhub031.10-13, mhub033.101,mhub033.103,mhub033.106, mhub033.104, </v>
      </c>
      <c r="E63" s="169" t="str">
        <f>VLOOKUP(A63,'Diags Raw Data'!$A$6:$D$4335,4,FALSE)</f>
        <v>MMHUB</v>
      </c>
      <c r="F63" s="169" t="str">
        <f>VLOOKUP(A63,'Feature Raw Data'!$A$3:$E$4067,5,FALSE)</f>
        <v>Legacy</v>
      </c>
      <c r="G63" s="169" t="str">
        <f t="shared" si="0"/>
        <v>Yes</v>
      </c>
      <c r="H63" s="169" t="str">
        <f t="shared" si="19"/>
        <v>Yes</v>
      </c>
      <c r="I63" s="271">
        <f>SUMIF('Diags Raw Data'!$A$6:$A$4335,"*"&amp;$A63&amp;"*",'Diags Raw Data'!$K$6:$K$4335)</f>
        <v>6</v>
      </c>
      <c r="J63" s="179">
        <f>SUMIF('Diags Raw Data'!$A$6:$A$4335,"*"&amp;$A63&amp;"*",'Diags Raw Data'!$L$6:$L$4335)</f>
        <v>8</v>
      </c>
      <c r="K63" s="398" cm="1">
        <f t="array" ref="K63">IF(D63="",0, SUMPRODUCT(--(ISNUMBER(SEARCH($A63,'Diags Raw Data'!$A$6:$A$4335))),'Diags Raw Data'!$L$6:$L$4335,'Diags Raw Data'!$N$6:$N$4335)/J63)</f>
        <v>1</v>
      </c>
      <c r="L63" s="399" cm="1">
        <f t="array" ref="L63">IF(D63="",0, SUMPRODUCT(--(ISNUMBER(SEARCH($A63,'Diags Raw Data'!$A$6:$A$4335))),'Diags Raw Data'!$L$6:$L$4335,'Diags Raw Data'!$P$6:$P$4335)/J63)</f>
        <v>1</v>
      </c>
      <c r="M63" s="400" cm="1">
        <f t="array" ref="M63">SUMPRODUCT(--(ISNUMBER(SEARCH($A63,'Diags Raw Data'!$A$6:$A$4335))),--('Diags Raw Data'!$Q$6:$Q$4335&lt;&gt;"N/A"),'Diags Raw Data'!$R$6:$R$4335)</f>
        <v>8</v>
      </c>
      <c r="N63" s="401" cm="1">
        <f t="array" ref="N63">SUMPRODUCT(--(ISNUMBER(SEARCH($A63,'Diags Raw Data'!$A$6:$A$4335))),--('Diags Raw Data'!$Q$6:$Q$4335&lt;&gt;"N/A"),'Diags Raw Data'!$T$6:$T$4335)+SUMPRODUCT(--(ISNUMBER(SEARCH($A63,'Diags Raw Data'!$A$6:$A$4335))),--('Diags Raw Data'!$Q$6:$Q$4335&lt;&gt;"N/A"),'Diags Raw Data'!$U$6:$U$4335)</f>
        <v>8</v>
      </c>
      <c r="O63" s="428">
        <f t="shared" ref="O63:O76" si="25">IF((M63=0),0,N63/M63)</f>
        <v>1</v>
      </c>
      <c r="P63" s="402">
        <f>SUMIF('Diags Raw Data'!$A$6:$A$4335,"*"&amp;$A63&amp;"*",'Diags Raw Data'!$Z$6:$Z$4335)</f>
        <v>0</v>
      </c>
      <c r="Q63" s="403">
        <f>SUM(SUMIF('Diags Raw Data'!$A$6:$A$4335,"*"&amp;$A63&amp;"*",'Diags Raw Data'!$AA$6:$AA$4335),SUMIF('Diags Raw Data'!$A$6:$A$4335,"*"&amp;$A63&amp;"*",'Diags Raw Data'!$AB$6:$AB$4335))</f>
        <v>0</v>
      </c>
      <c r="R63" s="404">
        <f t="shared" ref="R63:R76" si="26">IF((J63=0),0,P63/J63)</f>
        <v>0</v>
      </c>
      <c r="S63" s="404">
        <f t="shared" si="24"/>
        <v>0</v>
      </c>
      <c r="T63" s="405">
        <f t="shared" ref="T63:T76" si="27">R63*S63</f>
        <v>0</v>
      </c>
      <c r="U63" s="434" t="s">
        <v>1662</v>
      </c>
      <c r="V63" s="170"/>
    </row>
    <row r="64" spans="1:22" ht="150" x14ac:dyDescent="0.25">
      <c r="A64" s="420" t="s">
        <v>1311</v>
      </c>
      <c r="B64" s="328" t="str">
        <f>VLOOKUP(A64,'Feature Raw Data'!$A$3:$B$4067,2,FALSE)</f>
        <v>MMHUB:MMUTCL2:VML2 - Walker fetch behavior: REQUEST_PHYSICAL and PDE.S/C</v>
      </c>
      <c r="C64" s="271" t="str">
        <f>VLOOKUP(A64,'Feature Raw Data'!$A$3:$C$4067,3,FALSE)</f>
        <v>P2</v>
      </c>
      <c r="D64" s="82" t="str" cm="1">
        <f t="array" ref="D64">_xlfn.TEXTJOIN("",TRUE,IF(ISNUMBER(SEARCH($A64,'Diags Raw Data'!$A$6:$A$4335)),CONCATENATE('Diags Raw Data'!$H$6:$H$4335,", "),""))</f>
        <v xml:space="preserve">mhub013.1, mhub013.2, mhub013.3, mhub013.4, mhub013.5, mhub013.6, mhub013.7, mhub013.8, mhub013.9, mhub013.10, </v>
      </c>
      <c r="E64" s="169" t="str">
        <f>VLOOKUP(A64,'Diags Raw Data'!$A$6:$D$4335,4,FALSE)</f>
        <v>MMHUB</v>
      </c>
      <c r="F64" s="169" t="str">
        <f>VLOOKUP(A64,'Feature Raw Data'!$A$3:$E$4067,5,FALSE)</f>
        <v>Legacy</v>
      </c>
      <c r="G64" s="169" t="str">
        <f t="shared" ref="G64:G84" si="28">IF(D64="","No","Yes")</f>
        <v>Yes</v>
      </c>
      <c r="H64" s="169" t="str">
        <f t="shared" si="19"/>
        <v>Yes</v>
      </c>
      <c r="I64" s="271">
        <f>SUMIF('Diags Raw Data'!$A$6:$A$4335,"*"&amp;$A64&amp;"*",'Diags Raw Data'!$K$6:$K$4335)</f>
        <v>10</v>
      </c>
      <c r="J64" s="179">
        <f>SUMIF('Diags Raw Data'!$A$6:$A$4335,"*"&amp;$A64&amp;"*",'Diags Raw Data'!$L$6:$L$4335)</f>
        <v>10</v>
      </c>
      <c r="K64" s="398" cm="1">
        <f t="array" ref="K64">IF(D64="",0, SUMPRODUCT(--(ISNUMBER(SEARCH($A64,'Diags Raw Data'!$A$6:$A$4335))),'Diags Raw Data'!$L$6:$L$4335,'Diags Raw Data'!$N$6:$N$4335)/J64)</f>
        <v>1</v>
      </c>
      <c r="L64" s="399" cm="1">
        <f t="array" ref="L64">IF(D64="",0, SUMPRODUCT(--(ISNUMBER(SEARCH($A64,'Diags Raw Data'!$A$6:$A$4335))),'Diags Raw Data'!$L$6:$L$4335,'Diags Raw Data'!$P$6:$P$4335)/J64)</f>
        <v>1</v>
      </c>
      <c r="M64" s="400" cm="1">
        <f t="array" ref="M64">SUMPRODUCT(--(ISNUMBER(SEARCH($A64,'Diags Raw Data'!$A$6:$A$4335))),--('Diags Raw Data'!$Q$6:$Q$4335&lt;&gt;"N/A"),'Diags Raw Data'!$R$6:$R$4335)</f>
        <v>10</v>
      </c>
      <c r="N64" s="401" cm="1">
        <f t="array" ref="N64">SUMPRODUCT(--(ISNUMBER(SEARCH($A64,'Diags Raw Data'!$A$6:$A$4335))),--('Diags Raw Data'!$Q$6:$Q$4335&lt;&gt;"N/A"),'Diags Raw Data'!$T$6:$T$4335)+SUMPRODUCT(--(ISNUMBER(SEARCH($A64,'Diags Raw Data'!$A$6:$A$4335))),--('Diags Raw Data'!$Q$6:$Q$4335&lt;&gt;"N/A"),'Diags Raw Data'!$U$6:$U$4335)</f>
        <v>10</v>
      </c>
      <c r="O64" s="428">
        <f t="shared" si="25"/>
        <v>1</v>
      </c>
      <c r="P64" s="402">
        <f>SUMIF('Diags Raw Data'!$A$6:$A$4335,"*"&amp;$A64&amp;"*",'Diags Raw Data'!$Z$6:$Z$4335)</f>
        <v>0</v>
      </c>
      <c r="Q64" s="403">
        <f>SUM(SUMIF('Diags Raw Data'!$A$6:$A$4335,"*"&amp;$A64&amp;"*",'Diags Raw Data'!$AA$6:$AA$4335),SUMIF('Diags Raw Data'!$A$6:$A$4335,"*"&amp;$A64&amp;"*",'Diags Raw Data'!$AB$6:$AB$4335))</f>
        <v>0</v>
      </c>
      <c r="R64" s="404">
        <f t="shared" si="26"/>
        <v>0</v>
      </c>
      <c r="S64" s="404">
        <f t="shared" si="24"/>
        <v>0</v>
      </c>
      <c r="T64" s="405">
        <f t="shared" si="27"/>
        <v>0</v>
      </c>
      <c r="U64" s="434" t="s">
        <v>1651</v>
      </c>
      <c r="V64" s="170"/>
    </row>
    <row r="65" spans="1:22" ht="90" x14ac:dyDescent="0.25">
      <c r="A65" s="420" t="s">
        <v>1317</v>
      </c>
      <c r="B65" s="328" t="str">
        <f>VLOOKUP(A65,'Feature Raw Data'!$A$3:$B$4067,2,FALSE)</f>
        <v>MMHUB:MMUTCL2:ATCL2 - Caches</v>
      </c>
      <c r="C65" s="271" t="str">
        <f>VLOOKUP(A65,'Feature Raw Data'!$A$3:$C$4067,3,FALSE)</f>
        <v>P2</v>
      </c>
      <c r="D65" s="82" t="str" cm="1">
        <f t="array" ref="D65">_xlfn.TEXTJOIN("",TRUE,IF(ISNUMBER(SEARCH($A65,'Diags Raw Data'!$A$6:$A$4335)),CONCATENATE('Diags Raw Data'!$H$6:$H$4335,", "),""))</f>
        <v xml:space="preserve">mhub240.1, mhub240.2, mhub240.3, mhub240.4, mhub240.5, mhub240.6, </v>
      </c>
      <c r="E65" s="169" t="str">
        <f>VLOOKUP(A65,'Diags Raw Data'!$A$6:$D$4335,4,FALSE)</f>
        <v>GCHUB</v>
      </c>
      <c r="F65" s="169" t="str">
        <f>VLOOKUP(A65,'Feature Raw Data'!$A$3:$E$4067,5,FALSE)</f>
        <v>Legacy</v>
      </c>
      <c r="G65" s="169" t="str">
        <f t="shared" si="28"/>
        <v>Yes</v>
      </c>
      <c r="H65" s="169" t="str">
        <f t="shared" si="19"/>
        <v>Yes</v>
      </c>
      <c r="I65" s="271">
        <f>SUMIF('Diags Raw Data'!$A$6:$A$4335,"*"&amp;$A65&amp;"*",'Diags Raw Data'!$K$6:$K$4335)</f>
        <v>6</v>
      </c>
      <c r="J65" s="179">
        <f>SUMIF('Diags Raw Data'!$A$6:$A$4335,"*"&amp;$A65&amp;"*",'Diags Raw Data'!$L$6:$L$4335)</f>
        <v>6</v>
      </c>
      <c r="K65" s="398" cm="1">
        <f t="array" ref="K65">IF(D65="",0, SUMPRODUCT(--(ISNUMBER(SEARCH($A65,'Diags Raw Data'!$A$6:$A$4335))),'Diags Raw Data'!$L$6:$L$4335,'Diags Raw Data'!$N$6:$N$4335)/J65)</f>
        <v>1</v>
      </c>
      <c r="L65" s="399" cm="1">
        <f t="array" ref="L65">IF(D65="",0, SUMPRODUCT(--(ISNUMBER(SEARCH($A65,'Diags Raw Data'!$A$6:$A$4335))),'Diags Raw Data'!$L$6:$L$4335,'Diags Raw Data'!$P$6:$P$4335)/J65)</f>
        <v>1</v>
      </c>
      <c r="M65" s="400" cm="1">
        <f t="array" ref="M65">SUMPRODUCT(--(ISNUMBER(SEARCH($A65,'Diags Raw Data'!$A$6:$A$4335))),--('Diags Raw Data'!$Q$6:$Q$4335&lt;&gt;"N/A"),'Diags Raw Data'!$R$6:$R$4335)</f>
        <v>6</v>
      </c>
      <c r="N65" s="401" cm="1">
        <f t="array" ref="N65">SUMPRODUCT(--(ISNUMBER(SEARCH($A65,'Diags Raw Data'!$A$6:$A$4335))),--('Diags Raw Data'!$Q$6:$Q$4335&lt;&gt;"N/A"),'Diags Raw Data'!$T$6:$T$4335)+SUMPRODUCT(--(ISNUMBER(SEARCH($A65,'Diags Raw Data'!$A$6:$A$4335))),--('Diags Raw Data'!$Q$6:$Q$4335&lt;&gt;"N/A"),'Diags Raw Data'!$U$6:$U$4335)</f>
        <v>6</v>
      </c>
      <c r="O65" s="428">
        <f t="shared" si="25"/>
        <v>1</v>
      </c>
      <c r="P65" s="402">
        <f>SUMIF('Diags Raw Data'!$A$6:$A$4335,"*"&amp;$A65&amp;"*",'Diags Raw Data'!$Z$6:$Z$4335)</f>
        <v>0</v>
      </c>
      <c r="Q65" s="403">
        <f>SUM(SUMIF('Diags Raw Data'!$A$6:$A$4335,"*"&amp;$A65&amp;"*",'Diags Raw Data'!$AA$6:$AA$4335),SUMIF('Diags Raw Data'!$A$6:$A$4335,"*"&amp;$A65&amp;"*",'Diags Raw Data'!$AB$6:$AB$4335))</f>
        <v>0</v>
      </c>
      <c r="R65" s="404">
        <f t="shared" si="26"/>
        <v>0</v>
      </c>
      <c r="S65" s="404">
        <f t="shared" si="24"/>
        <v>0</v>
      </c>
      <c r="T65" s="405">
        <f t="shared" si="27"/>
        <v>0</v>
      </c>
      <c r="U65" s="434" t="s">
        <v>1663</v>
      </c>
      <c r="V65" s="170"/>
    </row>
    <row r="66" spans="1:22" ht="120" x14ac:dyDescent="0.25">
      <c r="A66" s="420" t="s">
        <v>454</v>
      </c>
      <c r="B66" s="328" t="str">
        <f>VLOOKUP(A66,'Feature Raw Data'!$A$3:$B$4067,2,FALSE)</f>
        <v>MMHUB:MMUTCL2:ATCL2 - Instantiate separate ATCL2 cache banks for NonRT vs SoftRT</v>
      </c>
      <c r="C66" s="271" t="str">
        <f>VLOOKUP(A66,'Feature Raw Data'!$A$3:$C$4067,3,FALSE)</f>
        <v>P2</v>
      </c>
      <c r="D66" s="82" t="str" cm="1">
        <f t="array" ref="D66">_xlfn.TEXTJOIN("",TRUE,IF(ISNUMBER(SEARCH($A66,'Diags Raw Data'!$A$6:$A$4335)),CONCATENATE('Diags Raw Data'!$H$6:$H$4335,", "),""))</f>
        <v xml:space="preserve">mhub040.1-4, mhub040.11,mhub040.13, mhub040.12,mhub040.14, mhub042.1, mhub042.2, </v>
      </c>
      <c r="E66" s="169" t="str">
        <f>VLOOKUP(A66,'Diags Raw Data'!$A$6:$D$4335,4,FALSE)</f>
        <v>MMHUB</v>
      </c>
      <c r="F66" s="169" t="str">
        <f>VLOOKUP(A66,'Feature Raw Data'!$A$3:$E$4067,5,FALSE)</f>
        <v>Legacy</v>
      </c>
      <c r="G66" s="169" t="str">
        <f t="shared" si="28"/>
        <v>Yes</v>
      </c>
      <c r="H66" s="169" t="str">
        <f t="shared" si="19"/>
        <v>Yes</v>
      </c>
      <c r="I66" s="271">
        <f>SUMIF('Diags Raw Data'!$A$6:$A$4335,"*"&amp;$A66&amp;"*",'Diags Raw Data'!$K$6:$K$4335)</f>
        <v>9</v>
      </c>
      <c r="J66" s="179">
        <f>SUMIF('Diags Raw Data'!$A$6:$A$4335,"*"&amp;$A66&amp;"*",'Diags Raw Data'!$L$6:$L$4335)</f>
        <v>10</v>
      </c>
      <c r="K66" s="398" cm="1">
        <f t="array" ref="K66">IF(D66="",0, SUMPRODUCT(--(ISNUMBER(SEARCH($A66,'Diags Raw Data'!$A$6:$A$4335))),'Diags Raw Data'!$L$6:$L$4335,'Diags Raw Data'!$N$6:$N$4335)/J66)</f>
        <v>1</v>
      </c>
      <c r="L66" s="399" cm="1">
        <f t="array" ref="L66">IF(D66="",0, SUMPRODUCT(--(ISNUMBER(SEARCH($A66,'Diags Raw Data'!$A$6:$A$4335))),'Diags Raw Data'!$L$6:$L$4335,'Diags Raw Data'!$P$6:$P$4335)/J66)</f>
        <v>1</v>
      </c>
      <c r="M66" s="400" cm="1">
        <f t="array" ref="M66">SUMPRODUCT(--(ISNUMBER(SEARCH($A66,'Diags Raw Data'!$A$6:$A$4335))),--('Diags Raw Data'!$Q$6:$Q$4335&lt;&gt;"N/A"),'Diags Raw Data'!$R$6:$R$4335)</f>
        <v>10</v>
      </c>
      <c r="N66" s="401" cm="1">
        <f t="array" ref="N66">SUMPRODUCT(--(ISNUMBER(SEARCH($A66,'Diags Raw Data'!$A$6:$A$4335))),--('Diags Raw Data'!$Q$6:$Q$4335&lt;&gt;"N/A"),'Diags Raw Data'!$T$6:$T$4335)+SUMPRODUCT(--(ISNUMBER(SEARCH($A66,'Diags Raw Data'!$A$6:$A$4335))),--('Diags Raw Data'!$Q$6:$Q$4335&lt;&gt;"N/A"),'Diags Raw Data'!$U$6:$U$4335)</f>
        <v>10</v>
      </c>
      <c r="O66" s="428">
        <f t="shared" si="25"/>
        <v>1</v>
      </c>
      <c r="P66" s="402">
        <f>SUMIF('Diags Raw Data'!$A$6:$A$4335,"*"&amp;$A66&amp;"*",'Diags Raw Data'!$Z$6:$Z$4335)</f>
        <v>0</v>
      </c>
      <c r="Q66" s="403">
        <f>SUM(SUMIF('Diags Raw Data'!$A$6:$A$4335,"*"&amp;$A66&amp;"*",'Diags Raw Data'!$AA$6:$AA$4335),SUMIF('Diags Raw Data'!$A$6:$A$4335,"*"&amp;$A66&amp;"*",'Diags Raw Data'!$AB$6:$AB$4335))</f>
        <v>0</v>
      </c>
      <c r="R66" s="404">
        <f t="shared" si="26"/>
        <v>0</v>
      </c>
      <c r="S66" s="404">
        <f t="shared" si="24"/>
        <v>0</v>
      </c>
      <c r="T66" s="405">
        <f t="shared" si="27"/>
        <v>0</v>
      </c>
      <c r="U66" s="434" t="s">
        <v>1662</v>
      </c>
      <c r="V66" s="170"/>
    </row>
    <row r="67" spans="1:22" ht="30" x14ac:dyDescent="0.25">
      <c r="A67" s="420" t="s">
        <v>1322</v>
      </c>
      <c r="B67" s="328" t="str">
        <f>VLOOKUP(A67,'Feature Raw Data'!$A$3:$B$4067,2,FALSE)</f>
        <v>MMHUB:MMUTCL2:ATCL2 - QoS Programmable Registers</v>
      </c>
      <c r="C67" s="271" t="str">
        <f>VLOOKUP(A67,'Feature Raw Data'!$A$3:$C$4067,3,FALSE)</f>
        <v>P2</v>
      </c>
      <c r="D67" s="82" t="str" cm="1">
        <f t="array" ref="D67">_xlfn.TEXTJOIN("",TRUE,IF(ISNUMBER(SEARCH($A67,'Diags Raw Data'!$A$6:$A$4335)),CONCATENATE('Diags Raw Data'!$H$6:$H$4335,", "),""))</f>
        <v/>
      </c>
      <c r="E67" s="169" t="e">
        <f>VLOOKUP(A67,'Diags Raw Data'!$A$6:$D$4335,4,FALSE)</f>
        <v>#N/A</v>
      </c>
      <c r="F67" s="169" t="str">
        <f>VLOOKUP(A67,'Feature Raw Data'!$A$3:$E$4067,5,FALSE)</f>
        <v>Legacy</v>
      </c>
      <c r="G67" s="169" t="str">
        <f t="shared" si="28"/>
        <v>No</v>
      </c>
      <c r="H67" s="169" t="str">
        <f t="shared" si="19"/>
        <v>No</v>
      </c>
      <c r="I67" s="271">
        <f>SUMIF('Diags Raw Data'!$A$6:$A$4335,"*"&amp;$A67&amp;"*",'Diags Raw Data'!$K$6:$K$4335)</f>
        <v>0</v>
      </c>
      <c r="J67" s="179">
        <f>SUMIF('Diags Raw Data'!$A$6:$A$4335,"*"&amp;$A67&amp;"*",'Diags Raw Data'!$L$6:$L$4335)</f>
        <v>0</v>
      </c>
      <c r="K67" s="398" cm="1">
        <f t="array" ref="K67">IF(D67="",0, SUMPRODUCT(--(ISNUMBER(SEARCH($A67,'Diags Raw Data'!$A$6:$A$4335))),'Diags Raw Data'!$L$6:$L$4335,'Diags Raw Data'!$N$6:$N$4335)/J67)</f>
        <v>0</v>
      </c>
      <c r="L67" s="399" cm="1">
        <f t="array" ref="L67">IF(D67="",0, SUMPRODUCT(--(ISNUMBER(SEARCH($A67,'Diags Raw Data'!$A$6:$A$4335))),'Diags Raw Data'!$L$6:$L$4335,'Diags Raw Data'!$P$6:$P$4335)/J67)</f>
        <v>0</v>
      </c>
      <c r="M67" s="400" cm="1">
        <f t="array" ref="M67">SUMPRODUCT(--(ISNUMBER(SEARCH($A67,'Diags Raw Data'!$A$6:$A$4335))),--('Diags Raw Data'!$Q$6:$Q$4335&lt;&gt;"N/A"),'Diags Raw Data'!$R$6:$R$4335)</f>
        <v>0</v>
      </c>
      <c r="N67" s="401" cm="1">
        <f t="array" ref="N67">SUMPRODUCT(--(ISNUMBER(SEARCH($A67,'Diags Raw Data'!$A$6:$A$4335))),--('Diags Raw Data'!$Q$6:$Q$4335&lt;&gt;"N/A"),'Diags Raw Data'!$T$6:$T$4335)+SUMPRODUCT(--(ISNUMBER(SEARCH($A67,'Diags Raw Data'!$A$6:$A$4335))),--('Diags Raw Data'!$Q$6:$Q$4335&lt;&gt;"N/A"),'Diags Raw Data'!$U$6:$U$4335)</f>
        <v>0</v>
      </c>
      <c r="O67" s="428">
        <f t="shared" si="25"/>
        <v>0</v>
      </c>
      <c r="P67" s="402">
        <f>SUMIF('Diags Raw Data'!$A$6:$A$4335,"*"&amp;$A67&amp;"*",'Diags Raw Data'!$Z$6:$Z$4335)</f>
        <v>0</v>
      </c>
      <c r="Q67" s="403">
        <f>SUM(SUMIF('Diags Raw Data'!$A$6:$A$4335,"*"&amp;$A67&amp;"*",'Diags Raw Data'!$AA$6:$AA$4335),SUMIF('Diags Raw Data'!$A$6:$A$4335,"*"&amp;$A67&amp;"*",'Diags Raw Data'!$AB$6:$AB$4335))</f>
        <v>0</v>
      </c>
      <c r="R67" s="404">
        <f t="shared" si="26"/>
        <v>0</v>
      </c>
      <c r="S67" s="404">
        <f t="shared" si="24"/>
        <v>0</v>
      </c>
      <c r="T67" s="405">
        <f t="shared" si="27"/>
        <v>0</v>
      </c>
      <c r="U67" s="434" t="s">
        <v>44</v>
      </c>
      <c r="V67" s="170" t="s">
        <v>43</v>
      </c>
    </row>
    <row r="68" spans="1:22" ht="30" x14ac:dyDescent="0.25">
      <c r="A68" s="420" t="s">
        <v>1324</v>
      </c>
      <c r="B68" s="328" t="str">
        <f>VLOOKUP(A68,'Feature Raw Data'!$A$3:$B$4067,2,FALSE)</f>
        <v>MMHUB:MMUTCL2:ATCL2 - Swappable smallK/midK/bigK caches</v>
      </c>
      <c r="C68" s="271" t="str">
        <f>VLOOKUP(A68,'Feature Raw Data'!$A$3:$C$4067,3,FALSE)</f>
        <v>P2</v>
      </c>
      <c r="D68" s="82" t="str" cm="1">
        <f t="array" ref="D68">_xlfn.TEXTJOIN("",TRUE,IF(ISNUMBER(SEARCH($A68,'Diags Raw Data'!$A$6:$A$4335)),CONCATENATE('Diags Raw Data'!$H$6:$H$4335,", "),""))</f>
        <v xml:space="preserve">mhub240.1, </v>
      </c>
      <c r="E68" s="169" t="str">
        <f>VLOOKUP(A68,'Diags Raw Data'!$A$6:$D$4335,4,FALSE)</f>
        <v>GCHUB</v>
      </c>
      <c r="F68" s="169" t="str">
        <f>VLOOKUP(A68,'Feature Raw Data'!$A$3:$E$4067,5,FALSE)</f>
        <v>Legacy</v>
      </c>
      <c r="G68" s="169" t="str">
        <f t="shared" si="28"/>
        <v>Yes</v>
      </c>
      <c r="H68" s="169" t="str">
        <f t="shared" si="19"/>
        <v>Yes</v>
      </c>
      <c r="I68" s="271">
        <f>SUMIF('Diags Raw Data'!$A$6:$A$4335,"*"&amp;$A68&amp;"*",'Diags Raw Data'!$K$6:$K$4335)</f>
        <v>1</v>
      </c>
      <c r="J68" s="179">
        <f>SUMIF('Diags Raw Data'!$A$6:$A$4335,"*"&amp;$A68&amp;"*",'Diags Raw Data'!$L$6:$L$4335)</f>
        <v>1</v>
      </c>
      <c r="K68" s="398" cm="1">
        <f t="array" ref="K68">IF(D68="",0, SUMPRODUCT(--(ISNUMBER(SEARCH($A68,'Diags Raw Data'!$A$6:$A$4335))),'Diags Raw Data'!$L$6:$L$4335,'Diags Raw Data'!$N$6:$N$4335)/J68)</f>
        <v>1</v>
      </c>
      <c r="L68" s="399" cm="1">
        <f t="array" ref="L68">IF(D68="",0, SUMPRODUCT(--(ISNUMBER(SEARCH($A68,'Diags Raw Data'!$A$6:$A$4335))),'Diags Raw Data'!$L$6:$L$4335,'Diags Raw Data'!$P$6:$P$4335)/J68)</f>
        <v>1</v>
      </c>
      <c r="M68" s="400" cm="1">
        <f t="array" ref="M68">SUMPRODUCT(--(ISNUMBER(SEARCH($A68,'Diags Raw Data'!$A$6:$A$4335))),--('Diags Raw Data'!$Q$6:$Q$4335&lt;&gt;"N/A"),'Diags Raw Data'!$R$6:$R$4335)</f>
        <v>1</v>
      </c>
      <c r="N68" s="401" cm="1">
        <f t="array" ref="N68">SUMPRODUCT(--(ISNUMBER(SEARCH($A68,'Diags Raw Data'!$A$6:$A$4335))),--('Diags Raw Data'!$Q$6:$Q$4335&lt;&gt;"N/A"),'Diags Raw Data'!$T$6:$T$4335)+SUMPRODUCT(--(ISNUMBER(SEARCH($A68,'Diags Raw Data'!$A$6:$A$4335))),--('Diags Raw Data'!$Q$6:$Q$4335&lt;&gt;"N/A"),'Diags Raw Data'!$U$6:$U$4335)</f>
        <v>1</v>
      </c>
      <c r="O68" s="428">
        <f t="shared" si="25"/>
        <v>1</v>
      </c>
      <c r="P68" s="402">
        <f>SUMIF('Diags Raw Data'!$A$6:$A$4335,"*"&amp;$A68&amp;"*",'Diags Raw Data'!$Z$6:$Z$4335)</f>
        <v>0</v>
      </c>
      <c r="Q68" s="403">
        <f>SUM(SUMIF('Diags Raw Data'!$A$6:$A$4335,"*"&amp;$A68&amp;"*",'Diags Raw Data'!$AA$6:$AA$4335),SUMIF('Diags Raw Data'!$A$6:$A$4335,"*"&amp;$A68&amp;"*",'Diags Raw Data'!$AB$6:$AB$4335))</f>
        <v>0</v>
      </c>
      <c r="R68" s="404">
        <f t="shared" si="26"/>
        <v>0</v>
      </c>
      <c r="S68" s="404">
        <f t="shared" si="24"/>
        <v>0</v>
      </c>
      <c r="T68" s="405">
        <f t="shared" si="27"/>
        <v>0</v>
      </c>
      <c r="U68" s="434" t="s">
        <v>1662</v>
      </c>
      <c r="V68" s="170"/>
    </row>
    <row r="69" spans="1:22" ht="375" x14ac:dyDescent="0.25">
      <c r="A69" s="420" t="s">
        <v>1330</v>
      </c>
      <c r="B69" s="328" t="str">
        <f>VLOOKUP(A69,'Feature Raw Data'!$A$3:$B$4067,2,FALSE)</f>
        <v>MMHUB:MMUTCL2:ATCL2 - Console IOV Support (Pseudo-IOV)</v>
      </c>
      <c r="C69" s="271" t="str">
        <f>VLOOKUP(A69,'Feature Raw Data'!$A$3:$C$4067,3,FALSE)</f>
        <v>P2</v>
      </c>
      <c r="D69" s="82" t="str" cm="1">
        <f t="array" ref="D69">_xlfn.TEXTJOIN("",TRUE,IF(ISNUMBER(SEARCH($A69,'Diags Raw Data'!$A$6:$A$4335)),CONCATENATE('Diags Raw Data'!$H$6:$H$4335,", "),""))</f>
        <v xml:space="preserve">mhub414.1, mhub414.2, mhub414.3, mhub414.4, mhub414.5, mhub414.6, mhub414.7, mhub414.8, mhub414.101, mhub414.102, mhub414.103, mhub414.104, mhub414.105, mhub414.106, mhub414.107, mhub414.108, mhub416.1-4, </v>
      </c>
      <c r="E69" s="169" t="str">
        <f>VLOOKUP(A69,'Diags Raw Data'!$A$6:$D$4335,4,FALSE)</f>
        <v>ATHUB</v>
      </c>
      <c r="F69" s="169" t="str">
        <f>VLOOKUP(A69,'Feature Raw Data'!$A$3:$E$4067,5,FALSE)</f>
        <v>Legacy</v>
      </c>
      <c r="G69" s="169" t="str">
        <f t="shared" si="28"/>
        <v>Yes</v>
      </c>
      <c r="H69" s="169" t="str">
        <f t="shared" si="19"/>
        <v>Yes</v>
      </c>
      <c r="I69" s="271">
        <f>SUMIF('Diags Raw Data'!$A$6:$A$4335,"*"&amp;$A69&amp;"*",'Diags Raw Data'!$K$6:$K$4335)</f>
        <v>17</v>
      </c>
      <c r="J69" s="179">
        <f>SUMIF('Diags Raw Data'!$A$6:$A$4335,"*"&amp;$A69&amp;"*",'Diags Raw Data'!$L$6:$L$4335)</f>
        <v>20</v>
      </c>
      <c r="K69" s="398" cm="1">
        <f t="array" ref="K69">IF(D69="",0, SUMPRODUCT(--(ISNUMBER(SEARCH($A69,'Diags Raw Data'!$A$6:$A$4335))),'Diags Raw Data'!$L$6:$L$4335,'Diags Raw Data'!$N$6:$N$4335)/J69)</f>
        <v>1</v>
      </c>
      <c r="L69" s="399" cm="1">
        <f t="array" ref="L69">IF(D69="",0, SUMPRODUCT(--(ISNUMBER(SEARCH($A69,'Diags Raw Data'!$A$6:$A$4335))),'Diags Raw Data'!$L$6:$L$4335,'Diags Raw Data'!$P$6:$P$4335)/J69)</f>
        <v>1</v>
      </c>
      <c r="M69" s="400" cm="1">
        <f t="array" ref="M69">SUMPRODUCT(--(ISNUMBER(SEARCH($A69,'Diags Raw Data'!$A$6:$A$4335))),--('Diags Raw Data'!$Q$6:$Q$4335&lt;&gt;"N/A"),'Diags Raw Data'!$R$6:$R$4335)</f>
        <v>20</v>
      </c>
      <c r="N69" s="401" cm="1">
        <f t="array" ref="N69">SUMPRODUCT(--(ISNUMBER(SEARCH($A69,'Diags Raw Data'!$A$6:$A$4335))),--('Diags Raw Data'!$Q$6:$Q$4335&lt;&gt;"N/A"),'Diags Raw Data'!$T$6:$T$4335)+SUMPRODUCT(--(ISNUMBER(SEARCH($A69,'Diags Raw Data'!$A$6:$A$4335))),--('Diags Raw Data'!$Q$6:$Q$4335&lt;&gt;"N/A"),'Diags Raw Data'!$U$6:$U$4335)</f>
        <v>20</v>
      </c>
      <c r="O69" s="428">
        <f t="shared" si="25"/>
        <v>1</v>
      </c>
      <c r="P69" s="402">
        <f>SUMIF('Diags Raw Data'!$A$6:$A$4335,"*"&amp;$A69&amp;"*",'Diags Raw Data'!$Z$6:$Z$4335)</f>
        <v>0</v>
      </c>
      <c r="Q69" s="403">
        <f>SUM(SUMIF('Diags Raw Data'!$A$6:$A$4335,"*"&amp;$A69&amp;"*",'Diags Raw Data'!$AA$6:$AA$4335),SUMIF('Diags Raw Data'!$A$6:$A$4335,"*"&amp;$A69&amp;"*",'Diags Raw Data'!$AB$6:$AB$4335))</f>
        <v>0</v>
      </c>
      <c r="R69" s="404">
        <f t="shared" si="26"/>
        <v>0</v>
      </c>
      <c r="S69" s="404">
        <f t="shared" si="24"/>
        <v>0</v>
      </c>
      <c r="T69" s="405">
        <f t="shared" si="27"/>
        <v>0</v>
      </c>
      <c r="U69" s="434" t="s">
        <v>1658</v>
      </c>
      <c r="V69" s="170"/>
    </row>
    <row r="70" spans="1:22" x14ac:dyDescent="0.25">
      <c r="A70" s="420" t="s">
        <v>1332</v>
      </c>
      <c r="B70" s="328" t="str">
        <f>VLOOKUP(A70,'Feature Raw Data'!$A$3:$B$4067,2,FALSE)</f>
        <v>MMHUB:MMUTCL2:ATCL2 - U-bit support</v>
      </c>
      <c r="C70" s="271" t="str">
        <f>VLOOKUP(A70,'Feature Raw Data'!$A$3:$C$4067,3,FALSE)</f>
        <v>P2</v>
      </c>
      <c r="D70" s="82" t="str" cm="1">
        <f t="array" ref="D70">_xlfn.TEXTJOIN("",TRUE,IF(ISNUMBER(SEARCH($A70,'Diags Raw Data'!$A$6:$A$4335)),CONCATENATE('Diags Raw Data'!$H$6:$H$4335,", "),""))</f>
        <v xml:space="preserve">mhub237.5, </v>
      </c>
      <c r="E70" s="169" t="str">
        <f>VLOOKUP(A70,'Diags Raw Data'!$A$6:$D$4335,4,FALSE)</f>
        <v>GCHUB</v>
      </c>
      <c r="F70" s="169" t="str">
        <f>VLOOKUP(A70,'Feature Raw Data'!$A$3:$E$4067,5,FALSE)</f>
        <v>Legacy</v>
      </c>
      <c r="G70" s="169" t="str">
        <f t="shared" si="28"/>
        <v>Yes</v>
      </c>
      <c r="H70" s="169" t="str">
        <f t="shared" si="19"/>
        <v>Yes</v>
      </c>
      <c r="I70" s="271">
        <f>SUMIF('Diags Raw Data'!$A$6:$A$4335,"*"&amp;$A70&amp;"*",'Diags Raw Data'!$K$6:$K$4335)</f>
        <v>1</v>
      </c>
      <c r="J70" s="179">
        <f>SUMIF('Diags Raw Data'!$A$6:$A$4335,"*"&amp;$A70&amp;"*",'Diags Raw Data'!$L$6:$L$4335)</f>
        <v>1</v>
      </c>
      <c r="K70" s="398" cm="1">
        <f t="array" ref="K70">IF(D70="",0, SUMPRODUCT(--(ISNUMBER(SEARCH($A70,'Diags Raw Data'!$A$6:$A$4335))),'Diags Raw Data'!$L$6:$L$4335,'Diags Raw Data'!$N$6:$N$4335)/J70)</f>
        <v>1</v>
      </c>
      <c r="L70" s="399" cm="1">
        <f t="array" ref="L70">IF(D70="",0, SUMPRODUCT(--(ISNUMBER(SEARCH($A70,'Diags Raw Data'!$A$6:$A$4335))),'Diags Raw Data'!$L$6:$L$4335,'Diags Raw Data'!$P$6:$P$4335)/J70)</f>
        <v>1</v>
      </c>
      <c r="M70" s="400" cm="1">
        <f t="array" ref="M70">SUMPRODUCT(--(ISNUMBER(SEARCH($A70,'Diags Raw Data'!$A$6:$A$4335))),--('Diags Raw Data'!$Q$6:$Q$4335&lt;&gt;"N/A"),'Diags Raw Data'!$R$6:$R$4335)</f>
        <v>1</v>
      </c>
      <c r="N70" s="401" cm="1">
        <f t="array" ref="N70">SUMPRODUCT(--(ISNUMBER(SEARCH($A70,'Diags Raw Data'!$A$6:$A$4335))),--('Diags Raw Data'!$Q$6:$Q$4335&lt;&gt;"N/A"),'Diags Raw Data'!$T$6:$T$4335)+SUMPRODUCT(--(ISNUMBER(SEARCH($A70,'Diags Raw Data'!$A$6:$A$4335))),--('Diags Raw Data'!$Q$6:$Q$4335&lt;&gt;"N/A"),'Diags Raw Data'!$U$6:$U$4335)</f>
        <v>1</v>
      </c>
      <c r="O70" s="428">
        <f t="shared" si="25"/>
        <v>1</v>
      </c>
      <c r="P70" s="402">
        <f>SUMIF('Diags Raw Data'!$A$6:$A$4335,"*"&amp;$A70&amp;"*",'Diags Raw Data'!$Z$6:$Z$4335)</f>
        <v>0</v>
      </c>
      <c r="Q70" s="403">
        <f>SUM(SUMIF('Diags Raw Data'!$A$6:$A$4335,"*"&amp;$A70&amp;"*",'Diags Raw Data'!$AA$6:$AA$4335),SUMIF('Diags Raw Data'!$A$6:$A$4335,"*"&amp;$A70&amp;"*",'Diags Raw Data'!$AB$6:$AB$4335))</f>
        <v>0</v>
      </c>
      <c r="R70" s="404">
        <f t="shared" si="26"/>
        <v>0</v>
      </c>
      <c r="S70" s="404">
        <f t="shared" si="24"/>
        <v>0</v>
      </c>
      <c r="T70" s="405">
        <f t="shared" si="27"/>
        <v>0</v>
      </c>
      <c r="U70" s="434" t="s">
        <v>1663</v>
      </c>
      <c r="V70" s="170"/>
    </row>
    <row r="71" spans="1:22" ht="30" x14ac:dyDescent="0.25">
      <c r="A71" s="420" t="s">
        <v>1334</v>
      </c>
      <c r="B71" s="328" t="str">
        <f>VLOOKUP(A71,'Feature Raw Data'!$A$3:$B$4067,2,FALSE)</f>
        <v>MMHUB:MMUTCL2:ATCL2 - Snoop Override</v>
      </c>
      <c r="C71" s="271" t="str">
        <f>VLOOKUP(A71,'Feature Raw Data'!$A$3:$C$4067,3,FALSE)</f>
        <v>P2</v>
      </c>
      <c r="D71" s="82" t="str" cm="1">
        <f t="array" ref="D71">_xlfn.TEXTJOIN("",TRUE,IF(ISNUMBER(SEARCH($A71,'Diags Raw Data'!$A$6:$A$4335)),CONCATENATE('Diags Raw Data'!$H$6:$H$4335,", "),""))</f>
        <v xml:space="preserve">mhub416.1-4, </v>
      </c>
      <c r="E71" s="169" t="str">
        <f>VLOOKUP(A71,'Diags Raw Data'!$A$6:$D$4335,4,FALSE)</f>
        <v>GCHUB</v>
      </c>
      <c r="F71" s="169" t="str">
        <f>VLOOKUP(A71,'Feature Raw Data'!$A$3:$E$4067,5,FALSE)</f>
        <v>Legacy</v>
      </c>
      <c r="G71" s="169" t="str">
        <f t="shared" si="28"/>
        <v>Yes</v>
      </c>
      <c r="H71" s="169" t="str">
        <f t="shared" si="19"/>
        <v>Yes</v>
      </c>
      <c r="I71" s="271">
        <f>SUMIF('Diags Raw Data'!$A$6:$A$4335,"*"&amp;$A71&amp;"*",'Diags Raw Data'!$K$6:$K$4335)</f>
        <v>1</v>
      </c>
      <c r="J71" s="179">
        <f>SUMIF('Diags Raw Data'!$A$6:$A$4335,"*"&amp;$A71&amp;"*",'Diags Raw Data'!$L$6:$L$4335)</f>
        <v>4</v>
      </c>
      <c r="K71" s="398" cm="1">
        <f t="array" ref="K71">IF(D71="",0, SUMPRODUCT(--(ISNUMBER(SEARCH($A71,'Diags Raw Data'!$A$6:$A$4335))),'Diags Raw Data'!$L$6:$L$4335,'Diags Raw Data'!$N$6:$N$4335)/J71)</f>
        <v>1</v>
      </c>
      <c r="L71" s="399" cm="1">
        <f t="array" ref="L71">IF(D71="",0, SUMPRODUCT(--(ISNUMBER(SEARCH($A71,'Diags Raw Data'!$A$6:$A$4335))),'Diags Raw Data'!$L$6:$L$4335,'Diags Raw Data'!$P$6:$P$4335)/J71)</f>
        <v>1</v>
      </c>
      <c r="M71" s="400" cm="1">
        <f t="array" ref="M71">SUMPRODUCT(--(ISNUMBER(SEARCH($A71,'Diags Raw Data'!$A$6:$A$4335))),--('Diags Raw Data'!$Q$6:$Q$4335&lt;&gt;"N/A"),'Diags Raw Data'!$R$6:$R$4335)</f>
        <v>4</v>
      </c>
      <c r="N71" s="401" cm="1">
        <f t="array" ref="N71">SUMPRODUCT(--(ISNUMBER(SEARCH($A71,'Diags Raw Data'!$A$6:$A$4335))),--('Diags Raw Data'!$Q$6:$Q$4335&lt;&gt;"N/A"),'Diags Raw Data'!$T$6:$T$4335)+SUMPRODUCT(--(ISNUMBER(SEARCH($A71,'Diags Raw Data'!$A$6:$A$4335))),--('Diags Raw Data'!$Q$6:$Q$4335&lt;&gt;"N/A"),'Diags Raw Data'!$U$6:$U$4335)</f>
        <v>4</v>
      </c>
      <c r="O71" s="428">
        <f t="shared" si="25"/>
        <v>1</v>
      </c>
      <c r="P71" s="402">
        <f>SUMIF('Diags Raw Data'!$A$6:$A$4335,"*"&amp;$A71&amp;"*",'Diags Raw Data'!$Z$6:$Z$4335)</f>
        <v>0</v>
      </c>
      <c r="Q71" s="403">
        <f>SUM(SUMIF('Diags Raw Data'!$A$6:$A$4335,"*"&amp;$A71&amp;"*",'Diags Raw Data'!$AA$6:$AA$4335),SUMIF('Diags Raw Data'!$A$6:$A$4335,"*"&amp;$A71&amp;"*",'Diags Raw Data'!$AB$6:$AB$4335))</f>
        <v>0</v>
      </c>
      <c r="R71" s="404">
        <f t="shared" si="26"/>
        <v>0</v>
      </c>
      <c r="S71" s="404">
        <f t="shared" si="24"/>
        <v>0</v>
      </c>
      <c r="T71" s="405">
        <f t="shared" si="27"/>
        <v>0</v>
      </c>
      <c r="U71" s="434" t="s">
        <v>1657</v>
      </c>
      <c r="V71" s="170"/>
    </row>
    <row r="72" spans="1:22" ht="30" x14ac:dyDescent="0.25">
      <c r="A72" s="420" t="s">
        <v>1336</v>
      </c>
      <c r="B72" s="328" t="str">
        <f>VLOOKUP(A72,'Feature Raw Data'!$A$3:$B$4067,2,FALSE)</f>
        <v>MMHUB:MMUTCL2:ATCL2 - Invalidate by Address Range and VMID aka "Sharpshooting"</v>
      </c>
      <c r="C72" s="271" t="str">
        <f>VLOOKUP(A72,'Feature Raw Data'!$A$3:$C$4067,3,FALSE)</f>
        <v>P2</v>
      </c>
      <c r="D72" s="82" t="str" cm="1">
        <f t="array" ref="D72">_xlfn.TEXTJOIN("",TRUE,IF(ISNUMBER(SEARCH($A72,'Diags Raw Data'!$A$6:$A$4335)),CONCATENATE('Diags Raw Data'!$H$6:$H$4335,", "),""))</f>
        <v xml:space="preserve">mhub269.1-5, </v>
      </c>
      <c r="E72" s="169" t="str">
        <f>VLOOKUP(A72,'Diags Raw Data'!$A$6:$D$4335,4,FALSE)</f>
        <v>GCHUB</v>
      </c>
      <c r="F72" s="169" t="str">
        <f>VLOOKUP(A72,'Feature Raw Data'!$A$3:$E$4067,5,FALSE)</f>
        <v>Legacy</v>
      </c>
      <c r="G72" s="169" t="str">
        <f t="shared" si="28"/>
        <v>Yes</v>
      </c>
      <c r="H72" s="169" t="str">
        <f t="shared" si="19"/>
        <v>Yes</v>
      </c>
      <c r="I72" s="271">
        <f>SUMIF('Diags Raw Data'!$A$6:$A$4335,"*"&amp;$A72&amp;"*",'Diags Raw Data'!$K$6:$K$4335)</f>
        <v>1</v>
      </c>
      <c r="J72" s="179">
        <f>SUMIF('Diags Raw Data'!$A$6:$A$4335,"*"&amp;$A72&amp;"*",'Diags Raw Data'!$L$6:$L$4335)</f>
        <v>5</v>
      </c>
      <c r="K72" s="398" cm="1">
        <f t="array" ref="K72">IF(D72="",0, SUMPRODUCT(--(ISNUMBER(SEARCH($A72,'Diags Raw Data'!$A$6:$A$4335))),'Diags Raw Data'!$L$6:$L$4335,'Diags Raw Data'!$N$6:$N$4335)/J72)</f>
        <v>1</v>
      </c>
      <c r="L72" s="399" cm="1">
        <f t="array" ref="L72">IF(D72="",0, SUMPRODUCT(--(ISNUMBER(SEARCH($A72,'Diags Raw Data'!$A$6:$A$4335))),'Diags Raw Data'!$L$6:$L$4335,'Diags Raw Data'!$P$6:$P$4335)/J72)</f>
        <v>1</v>
      </c>
      <c r="M72" s="400" cm="1">
        <f t="array" ref="M72">SUMPRODUCT(--(ISNUMBER(SEARCH($A72,'Diags Raw Data'!$A$6:$A$4335))),--('Diags Raw Data'!$Q$6:$Q$4335&lt;&gt;"N/A"),'Diags Raw Data'!$R$6:$R$4335)</f>
        <v>5</v>
      </c>
      <c r="N72" s="401" cm="1">
        <f t="array" ref="N72">SUMPRODUCT(--(ISNUMBER(SEARCH($A72,'Diags Raw Data'!$A$6:$A$4335))),--('Diags Raw Data'!$Q$6:$Q$4335&lt;&gt;"N/A"),'Diags Raw Data'!$T$6:$T$4335)+SUMPRODUCT(--(ISNUMBER(SEARCH($A72,'Diags Raw Data'!$A$6:$A$4335))),--('Diags Raw Data'!$Q$6:$Q$4335&lt;&gt;"N/A"),'Diags Raw Data'!$U$6:$U$4335)</f>
        <v>5</v>
      </c>
      <c r="O72" s="428">
        <f t="shared" si="25"/>
        <v>1</v>
      </c>
      <c r="P72" s="402">
        <f>SUMIF('Diags Raw Data'!$A$6:$A$4335,"*"&amp;$A72&amp;"*",'Diags Raw Data'!$Z$6:$Z$4335)</f>
        <v>0</v>
      </c>
      <c r="Q72" s="403">
        <f>SUM(SUMIF('Diags Raw Data'!$A$6:$A$4335,"*"&amp;$A72&amp;"*",'Diags Raw Data'!$AA$6:$AA$4335),SUMIF('Diags Raw Data'!$A$6:$A$4335,"*"&amp;$A72&amp;"*",'Diags Raw Data'!$AB$6:$AB$4335))</f>
        <v>0</v>
      </c>
      <c r="R72" s="404">
        <f t="shared" si="26"/>
        <v>0</v>
      </c>
      <c r="S72" s="404">
        <f t="shared" si="24"/>
        <v>0</v>
      </c>
      <c r="T72" s="405">
        <f t="shared" si="27"/>
        <v>0</v>
      </c>
      <c r="U72" s="434" t="s">
        <v>1659</v>
      </c>
      <c r="V72" s="170"/>
    </row>
    <row r="73" spans="1:22" ht="90" x14ac:dyDescent="0.25">
      <c r="A73" s="420" t="s">
        <v>1338</v>
      </c>
      <c r="B73" s="328" t="str">
        <f>VLOOKUP(A73,'Feature Raw Data'!$A$3:$B$4067,2,FALSE)</f>
        <v>MMHUB:MMUTCL2:ATCL2 - lightweight/heavyweight flush-type invalidation</v>
      </c>
      <c r="C73" s="271" t="str">
        <f>VLOOKUP(A73,'Feature Raw Data'!$A$3:$C$4067,3,FALSE)</f>
        <v>P2</v>
      </c>
      <c r="D73" s="82" t="str" cm="1">
        <f t="array" ref="D73">_xlfn.TEXTJOIN("",TRUE,IF(ISNUMBER(SEARCH($A73,'Diags Raw Data'!$A$6:$A$4335)),CONCATENATE('Diags Raw Data'!$H$6:$H$4335,", "),""))</f>
        <v xml:space="preserve">mhub264.1,mhub264.3, mhub264.2,mhub264.4, mhub267.1-4, mhub50.1-4, </v>
      </c>
      <c r="E73" s="169" t="str">
        <f>VLOOKUP(A73,'Diags Raw Data'!$A$6:$D$4335,4,FALSE)</f>
        <v>GCHUB</v>
      </c>
      <c r="F73" s="169" t="str">
        <f>VLOOKUP(A73,'Feature Raw Data'!$A$3:$E$4067,5,FALSE)</f>
        <v>Legacy</v>
      </c>
      <c r="G73" s="169" t="str">
        <f t="shared" si="28"/>
        <v>Yes</v>
      </c>
      <c r="H73" s="169" t="str">
        <f t="shared" si="19"/>
        <v>Yes</v>
      </c>
      <c r="I73" s="271">
        <f>SUMIF('Diags Raw Data'!$A$6:$A$4335,"*"&amp;$A73&amp;"*",'Diags Raw Data'!$K$6:$K$4335)</f>
        <v>7</v>
      </c>
      <c r="J73" s="179">
        <f>SUMIF('Diags Raw Data'!$A$6:$A$4335,"*"&amp;$A73&amp;"*",'Diags Raw Data'!$L$6:$L$4335)</f>
        <v>12</v>
      </c>
      <c r="K73" s="398" cm="1">
        <f t="array" ref="K73">IF(D73="",0, SUMPRODUCT(--(ISNUMBER(SEARCH($A73,'Diags Raw Data'!$A$6:$A$4335))),'Diags Raw Data'!$L$6:$L$4335,'Diags Raw Data'!$N$6:$N$4335)/J73)</f>
        <v>1</v>
      </c>
      <c r="L73" s="399" cm="1">
        <f t="array" ref="L73">IF(D73="",0, SUMPRODUCT(--(ISNUMBER(SEARCH($A73,'Diags Raw Data'!$A$6:$A$4335))),'Diags Raw Data'!$L$6:$L$4335,'Diags Raw Data'!$P$6:$P$4335)/J73)</f>
        <v>1</v>
      </c>
      <c r="M73" s="400" cm="1">
        <f t="array" ref="M73">SUMPRODUCT(--(ISNUMBER(SEARCH($A73,'Diags Raw Data'!$A$6:$A$4335))),--('Diags Raw Data'!$Q$6:$Q$4335&lt;&gt;"N/A"),'Diags Raw Data'!$R$6:$R$4335)</f>
        <v>12</v>
      </c>
      <c r="N73" s="401" cm="1">
        <f t="array" ref="N73">SUMPRODUCT(--(ISNUMBER(SEARCH($A73,'Diags Raw Data'!$A$6:$A$4335))),--('Diags Raw Data'!$Q$6:$Q$4335&lt;&gt;"N/A"),'Diags Raw Data'!$T$6:$T$4335)+SUMPRODUCT(--(ISNUMBER(SEARCH($A73,'Diags Raw Data'!$A$6:$A$4335))),--('Diags Raw Data'!$Q$6:$Q$4335&lt;&gt;"N/A"),'Diags Raw Data'!$U$6:$U$4335)</f>
        <v>12</v>
      </c>
      <c r="O73" s="428">
        <f t="shared" si="25"/>
        <v>1</v>
      </c>
      <c r="P73" s="402">
        <f>SUMIF('Diags Raw Data'!$A$6:$A$4335,"*"&amp;$A73&amp;"*",'Diags Raw Data'!$Z$6:$Z$4335)</f>
        <v>0</v>
      </c>
      <c r="Q73" s="403">
        <f>SUM(SUMIF('Diags Raw Data'!$A$6:$A$4335,"*"&amp;$A73&amp;"*",'Diags Raw Data'!$AA$6:$AA$4335),SUMIF('Diags Raw Data'!$A$6:$A$4335,"*"&amp;$A73&amp;"*",'Diags Raw Data'!$AB$6:$AB$4335))</f>
        <v>0</v>
      </c>
      <c r="R73" s="404">
        <f t="shared" si="26"/>
        <v>0</v>
      </c>
      <c r="S73" s="404">
        <f t="shared" si="24"/>
        <v>0</v>
      </c>
      <c r="T73" s="405">
        <f t="shared" si="27"/>
        <v>0</v>
      </c>
      <c r="U73" s="434" t="s">
        <v>1656</v>
      </c>
      <c r="V73" s="170"/>
    </row>
    <row r="74" spans="1:22" ht="45" x14ac:dyDescent="0.25">
      <c r="A74" s="420" t="s">
        <v>1340</v>
      </c>
      <c r="B74" s="328" t="str">
        <f>VLOOKUP(A74,'Feature Raw Data'!$A$3:$B$4067,2,FALSE)</f>
        <v>MMHUB:MMUTCL2:ATCL2 - Combines both VM and ATC translations into one response</v>
      </c>
      <c r="C74" s="271" t="str">
        <f>VLOOKUP(A74,'Feature Raw Data'!$A$3:$C$4067,3,FALSE)</f>
        <v>P2</v>
      </c>
      <c r="D74" s="82" t="str" cm="1">
        <f t="array" ref="D74">_xlfn.TEXTJOIN("",TRUE,IF(ISNUMBER(SEARCH($A74,'Diags Raw Data'!$A$6:$A$4335)),CONCATENATE('Diags Raw Data'!$H$6:$H$4335,", "),""))</f>
        <v xml:space="preserve">mhub401.1-6,mhub401.11-16,mhub401.21-26, </v>
      </c>
      <c r="E74" s="169" t="str">
        <f>VLOOKUP(A74,'Diags Raw Data'!$A$6:$D$4335,4,FALSE)</f>
        <v>ATHUB</v>
      </c>
      <c r="F74" s="169" t="str">
        <f>VLOOKUP(A74,'Feature Raw Data'!$A$3:$E$4067,5,FALSE)</f>
        <v>Legacy</v>
      </c>
      <c r="G74" s="169" t="str">
        <f t="shared" si="28"/>
        <v>Yes</v>
      </c>
      <c r="H74" s="169" t="str">
        <f t="shared" si="19"/>
        <v>Yes</v>
      </c>
      <c r="I74" s="271">
        <f>SUMIF('Diags Raw Data'!$A$6:$A$4335,"*"&amp;$A74&amp;"*",'Diags Raw Data'!$K$6:$K$4335)</f>
        <v>1</v>
      </c>
      <c r="J74" s="179">
        <f>SUMIF('Diags Raw Data'!$A$6:$A$4335,"*"&amp;$A74&amp;"*",'Diags Raw Data'!$L$6:$L$4335)</f>
        <v>18</v>
      </c>
      <c r="K74" s="398" cm="1">
        <f t="array" ref="K74">IF(D74="",0, SUMPRODUCT(--(ISNUMBER(SEARCH($A74,'Diags Raw Data'!$A$6:$A$4335))),'Diags Raw Data'!$L$6:$L$4335,'Diags Raw Data'!$N$6:$N$4335)/J74)</f>
        <v>1</v>
      </c>
      <c r="L74" s="399" cm="1">
        <f t="array" ref="L74">IF(D74="",0, SUMPRODUCT(--(ISNUMBER(SEARCH($A74,'Diags Raw Data'!$A$6:$A$4335))),'Diags Raw Data'!$L$6:$L$4335,'Diags Raw Data'!$P$6:$P$4335)/J74)</f>
        <v>0</v>
      </c>
      <c r="M74" s="400" cm="1">
        <f t="array" ref="M74">SUMPRODUCT(--(ISNUMBER(SEARCH($A74,'Diags Raw Data'!$A$6:$A$4335))),--('Diags Raw Data'!$Q$6:$Q$4335&lt;&gt;"N/A"),'Diags Raw Data'!$R$6:$R$4335)</f>
        <v>18</v>
      </c>
      <c r="N74" s="401" cm="1">
        <f t="array" ref="N74">SUMPRODUCT(--(ISNUMBER(SEARCH($A74,'Diags Raw Data'!$A$6:$A$4335))),--('Diags Raw Data'!$Q$6:$Q$4335&lt;&gt;"N/A"),'Diags Raw Data'!$T$6:$T$4335)+SUMPRODUCT(--(ISNUMBER(SEARCH($A74,'Diags Raw Data'!$A$6:$A$4335))),--('Diags Raw Data'!$Q$6:$Q$4335&lt;&gt;"N/A"),'Diags Raw Data'!$U$6:$U$4335)</f>
        <v>18</v>
      </c>
      <c r="O74" s="428">
        <f t="shared" si="25"/>
        <v>1</v>
      </c>
      <c r="P74" s="402">
        <f>SUMIF('Diags Raw Data'!$A$6:$A$4335,"*"&amp;$A74&amp;"*",'Diags Raw Data'!$Z$6:$Z$4335)</f>
        <v>0</v>
      </c>
      <c r="Q74" s="403">
        <f>SUM(SUMIF('Diags Raw Data'!$A$6:$A$4335,"*"&amp;$A74&amp;"*",'Diags Raw Data'!$AA$6:$AA$4335),SUMIF('Diags Raw Data'!$A$6:$A$4335,"*"&amp;$A74&amp;"*",'Diags Raw Data'!$AB$6:$AB$4335))</f>
        <v>0</v>
      </c>
      <c r="R74" s="404">
        <f t="shared" si="26"/>
        <v>0</v>
      </c>
      <c r="S74" s="404">
        <f t="shared" si="24"/>
        <v>0</v>
      </c>
      <c r="T74" s="405">
        <f t="shared" si="27"/>
        <v>0</v>
      </c>
      <c r="U74" s="434" t="s">
        <v>1651</v>
      </c>
      <c r="V74" s="170"/>
    </row>
    <row r="75" spans="1:22" ht="30" x14ac:dyDescent="0.25">
      <c r="A75" s="420" t="s">
        <v>1342</v>
      </c>
      <c r="B75" s="328" t="str">
        <f>VLOOKUP(A75,'Feature Raw Data'!$A$3:$B$4067,2,FALSE)</f>
        <v>MMHUB:MMUTCL2:ATCL2 - PTE permissions returned</v>
      </c>
      <c r="C75" s="271" t="str">
        <f>VLOOKUP(A75,'Feature Raw Data'!$A$3:$C$4067,3,FALSE)</f>
        <v>P2</v>
      </c>
      <c r="D75" s="82" t="str" cm="1">
        <f t="array" ref="D75">_xlfn.TEXTJOIN("",TRUE,IF(ISNUMBER(SEARCH($A75,'Diags Raw Data'!$A$6:$A$4335)),CONCATENATE('Diags Raw Data'!$H$6:$H$4335,", "),""))</f>
        <v xml:space="preserve">mhub141.1, mhub141.2, </v>
      </c>
      <c r="E75" s="169" t="str">
        <f>VLOOKUP(A75,'Diags Raw Data'!$A$6:$D$4335,4,FALSE)</f>
        <v>MMHUB</v>
      </c>
      <c r="F75" s="169" t="str">
        <f>VLOOKUP(A75,'Feature Raw Data'!$A$3:$E$4067,5,FALSE)</f>
        <v>Legacy</v>
      </c>
      <c r="G75" s="169" t="str">
        <f t="shared" si="28"/>
        <v>Yes</v>
      </c>
      <c r="H75" s="169" t="str">
        <f t="shared" si="19"/>
        <v>Yes</v>
      </c>
      <c r="I75" s="271">
        <f>SUMIF('Diags Raw Data'!$A$6:$A$4335,"*"&amp;$A75&amp;"*",'Diags Raw Data'!$K$6:$K$4335)</f>
        <v>2</v>
      </c>
      <c r="J75" s="179">
        <f>SUMIF('Diags Raw Data'!$A$6:$A$4335,"*"&amp;$A75&amp;"*",'Diags Raw Data'!$L$6:$L$4335)</f>
        <v>2</v>
      </c>
      <c r="K75" s="398" cm="1">
        <f t="array" ref="K75">IF(D75="",0, SUMPRODUCT(--(ISNUMBER(SEARCH($A75,'Diags Raw Data'!$A$6:$A$4335))),'Diags Raw Data'!$L$6:$L$4335,'Diags Raw Data'!$N$6:$N$4335)/J75)</f>
        <v>1</v>
      </c>
      <c r="L75" s="399" cm="1">
        <f t="array" ref="L75">IF(D75="",0, SUMPRODUCT(--(ISNUMBER(SEARCH($A75,'Diags Raw Data'!$A$6:$A$4335))),'Diags Raw Data'!$L$6:$L$4335,'Diags Raw Data'!$P$6:$P$4335)/J75)</f>
        <v>1</v>
      </c>
      <c r="M75" s="400" cm="1">
        <f t="array" ref="M75">SUMPRODUCT(--(ISNUMBER(SEARCH($A75,'Diags Raw Data'!$A$6:$A$4335))),--('Diags Raw Data'!$Q$6:$Q$4335&lt;&gt;"N/A"),'Diags Raw Data'!$R$6:$R$4335)</f>
        <v>2</v>
      </c>
      <c r="N75" s="401" cm="1">
        <f t="array" ref="N75">SUMPRODUCT(--(ISNUMBER(SEARCH($A75,'Diags Raw Data'!$A$6:$A$4335))),--('Diags Raw Data'!$Q$6:$Q$4335&lt;&gt;"N/A"),'Diags Raw Data'!$T$6:$T$4335)+SUMPRODUCT(--(ISNUMBER(SEARCH($A75,'Diags Raw Data'!$A$6:$A$4335))),--('Diags Raw Data'!$Q$6:$Q$4335&lt;&gt;"N/A"),'Diags Raw Data'!$U$6:$U$4335)</f>
        <v>2</v>
      </c>
      <c r="O75" s="428">
        <f t="shared" si="25"/>
        <v>1</v>
      </c>
      <c r="P75" s="402">
        <f>SUMIF('Diags Raw Data'!$A$6:$A$4335,"*"&amp;$A75&amp;"*",'Diags Raw Data'!$Z$6:$Z$4335)</f>
        <v>0</v>
      </c>
      <c r="Q75" s="403">
        <f>SUM(SUMIF('Diags Raw Data'!$A$6:$A$4335,"*"&amp;$A75&amp;"*",'Diags Raw Data'!$AA$6:$AA$4335),SUMIF('Diags Raw Data'!$A$6:$A$4335,"*"&amp;$A75&amp;"*",'Diags Raw Data'!$AB$6:$AB$4335))</f>
        <v>0</v>
      </c>
      <c r="R75" s="404">
        <f t="shared" si="26"/>
        <v>0</v>
      </c>
      <c r="S75" s="404">
        <f t="shared" si="24"/>
        <v>0</v>
      </c>
      <c r="T75" s="405">
        <f t="shared" si="27"/>
        <v>0</v>
      </c>
      <c r="U75" s="434" t="s">
        <v>1659</v>
      </c>
      <c r="V75" s="170"/>
    </row>
    <row r="76" spans="1:22" ht="45" x14ac:dyDescent="0.25">
      <c r="A76" s="420" t="s">
        <v>1344</v>
      </c>
      <c r="B76" s="328" t="str">
        <f>VLOOKUP(A76,'Feature Raw Data'!$A$3:$B$4067,2,FALSE)</f>
        <v>MMHUB:MMUTCL2:ATCL2 - Quiesce ATCL2 &lt;-&gt; ATHUB address translation SDP interface (GC and MM)</v>
      </c>
      <c r="C76" s="271" t="str">
        <f>VLOOKUP(A76,'Feature Raw Data'!$A$3:$C$4067,3,FALSE)</f>
        <v>P2</v>
      </c>
      <c r="D76" s="82" t="str" cm="1">
        <f t="array" ref="D76">_xlfn.TEXTJOIN("",TRUE,IF(ISNUMBER(SEARCH($A76,'Diags Raw Data'!$A$6:$A$4335)),CONCATENATE('Diags Raw Data'!$H$6:$H$4335,", "),""))</f>
        <v/>
      </c>
      <c r="E76" s="169" t="e">
        <f>VLOOKUP(A76,'Diags Raw Data'!$A$6:$D$4335,4,FALSE)</f>
        <v>#N/A</v>
      </c>
      <c r="F76" s="169" t="str">
        <f>VLOOKUP(A76,'Feature Raw Data'!$A$3:$E$4067,5,FALSE)</f>
        <v>Legacy</v>
      </c>
      <c r="G76" s="169" t="str">
        <f t="shared" si="28"/>
        <v>No</v>
      </c>
      <c r="H76" s="169" t="str">
        <f t="shared" si="19"/>
        <v>No</v>
      </c>
      <c r="I76" s="271">
        <f>SUMIF('Diags Raw Data'!$A$6:$A$4335,"*"&amp;$A76&amp;"*",'Diags Raw Data'!$K$6:$K$4335)</f>
        <v>0</v>
      </c>
      <c r="J76" s="179">
        <f>SUMIF('Diags Raw Data'!$A$6:$A$4335,"*"&amp;$A76&amp;"*",'Diags Raw Data'!$L$6:$L$4335)</f>
        <v>0</v>
      </c>
      <c r="K76" s="398" cm="1">
        <f t="array" ref="K76">IF(D76="",0, SUMPRODUCT(--(ISNUMBER(SEARCH($A76,'Diags Raw Data'!$A$6:$A$4335))),'Diags Raw Data'!$L$6:$L$4335,'Diags Raw Data'!$N$6:$N$4335)/J76)</f>
        <v>0</v>
      </c>
      <c r="L76" s="399" cm="1">
        <f t="array" ref="L76">IF(D76="",0, SUMPRODUCT(--(ISNUMBER(SEARCH($A76,'Diags Raw Data'!$A$6:$A$4335))),'Diags Raw Data'!$L$6:$L$4335,'Diags Raw Data'!$P$6:$P$4335)/J76)</f>
        <v>0</v>
      </c>
      <c r="M76" s="400" cm="1">
        <f t="array" ref="M76">SUMPRODUCT(--(ISNUMBER(SEARCH($A76,'Diags Raw Data'!$A$6:$A$4335))),--('Diags Raw Data'!$Q$6:$Q$4335&lt;&gt;"N/A"),'Diags Raw Data'!$R$6:$R$4335)</f>
        <v>0</v>
      </c>
      <c r="N76" s="401" cm="1">
        <f t="array" ref="N76">SUMPRODUCT(--(ISNUMBER(SEARCH($A76,'Diags Raw Data'!$A$6:$A$4335))),--('Diags Raw Data'!$Q$6:$Q$4335&lt;&gt;"N/A"),'Diags Raw Data'!$T$6:$T$4335)+SUMPRODUCT(--(ISNUMBER(SEARCH($A76,'Diags Raw Data'!$A$6:$A$4335))),--('Diags Raw Data'!$Q$6:$Q$4335&lt;&gt;"N/A"),'Diags Raw Data'!$U$6:$U$4335)</f>
        <v>0</v>
      </c>
      <c r="O76" s="428">
        <f t="shared" si="25"/>
        <v>0</v>
      </c>
      <c r="P76" s="402">
        <f>SUMIF('Diags Raw Data'!$A$6:$A$4335,"*"&amp;$A76&amp;"*",'Diags Raw Data'!$Z$6:$Z$4335)</f>
        <v>0</v>
      </c>
      <c r="Q76" s="403">
        <f>SUM(SUMIF('Diags Raw Data'!$A$6:$A$4335,"*"&amp;$A76&amp;"*",'Diags Raw Data'!$AA$6:$AA$4335),SUMIF('Diags Raw Data'!$A$6:$A$4335,"*"&amp;$A76&amp;"*",'Diags Raw Data'!$AB$6:$AB$4335))</f>
        <v>0</v>
      </c>
      <c r="R76" s="404">
        <f t="shared" si="26"/>
        <v>0</v>
      </c>
      <c r="S76" s="404">
        <f t="shared" si="24"/>
        <v>0</v>
      </c>
      <c r="T76" s="405">
        <f t="shared" si="27"/>
        <v>0</v>
      </c>
      <c r="U76" s="434" t="s">
        <v>44</v>
      </c>
      <c r="V76" s="170" t="s">
        <v>43</v>
      </c>
    </row>
    <row r="77" spans="1:22" x14ac:dyDescent="0.25">
      <c r="A77" s="420" t="s">
        <v>1348</v>
      </c>
      <c r="B77" s="328" t="str">
        <f>VLOOKUP(A77,'Feature Raw Data'!$A$3:$B$4067,2,FALSE)</f>
        <v>MMHUB:Power/PCTL - SOCCLK Deep Sleep</v>
      </c>
      <c r="C77" s="271" t="str">
        <f>VLOOKUP(A77,'Feature Raw Data'!$A$3:$C$4067,3,FALSE)</f>
        <v>P2</v>
      </c>
      <c r="D77" s="82" t="str" cm="1">
        <f t="array" ref="D77">_xlfn.TEXTJOIN("",TRUE,IF(ISNUMBER(SEARCH($A77,'Diags Raw Data'!$A$6:$A$4335)),CONCATENATE('Diags Raw Data'!$H$6:$H$4335,", "),""))</f>
        <v/>
      </c>
      <c r="E77" s="169" t="e">
        <f>VLOOKUP(A77,'Diags Raw Data'!$A$6:$D$4335,4,FALSE)</f>
        <v>#N/A</v>
      </c>
      <c r="F77" s="169" t="str">
        <f>VLOOKUP(A77,'Feature Raw Data'!$A$3:$E$4067,5,FALSE)</f>
        <v>Legacy</v>
      </c>
      <c r="G77" s="169" t="str">
        <f t="shared" si="28"/>
        <v>No</v>
      </c>
      <c r="H77" s="169" t="str">
        <f t="shared" si="19"/>
        <v>No</v>
      </c>
      <c r="I77" s="271">
        <f>SUMIF('Diags Raw Data'!$A$6:$A$4335,"*"&amp;$A77&amp;"*",'Diags Raw Data'!$K$6:$K$4335)</f>
        <v>0</v>
      </c>
      <c r="J77" s="179">
        <f>SUMIF('Diags Raw Data'!$A$6:$A$4335,"*"&amp;$A77&amp;"*",'Diags Raw Data'!$L$6:$L$4335)</f>
        <v>0</v>
      </c>
      <c r="K77" s="398" cm="1">
        <f t="array" ref="K77">IF(D77="",0, SUMPRODUCT(--(ISNUMBER(SEARCH($A77,'Diags Raw Data'!$A$6:$A$4335))),'Diags Raw Data'!$L$6:$L$4335,'Diags Raw Data'!$N$6:$N$4335)/J77)</f>
        <v>0</v>
      </c>
      <c r="L77" s="399" cm="1">
        <f t="array" ref="L77">IF(D77="",0, SUMPRODUCT(--(ISNUMBER(SEARCH($A77,'Diags Raw Data'!$A$6:$A$4335))),'Diags Raw Data'!$L$6:$L$4335,'Diags Raw Data'!$P$6:$P$4335)/J77)</f>
        <v>0</v>
      </c>
      <c r="M77" s="400" cm="1">
        <f t="array" ref="M77">SUMPRODUCT(--(ISNUMBER(SEARCH($A77,'Diags Raw Data'!$A$6:$A$4335))),--('Diags Raw Data'!$Q$6:$Q$4335&lt;&gt;"N/A"),'Diags Raw Data'!$R$6:$R$4335)</f>
        <v>0</v>
      </c>
      <c r="N77" s="401" cm="1">
        <f t="array" ref="N77">SUMPRODUCT(--(ISNUMBER(SEARCH($A77,'Diags Raw Data'!$A$6:$A$4335))),--('Diags Raw Data'!$Q$6:$Q$4335&lt;&gt;"N/A"),'Diags Raw Data'!$T$6:$T$4335)+SUMPRODUCT(--(ISNUMBER(SEARCH($A77,'Diags Raw Data'!$A$6:$A$4335))),--('Diags Raw Data'!$Q$6:$Q$4335&lt;&gt;"N/A"),'Diags Raw Data'!$U$6:$U$4335)</f>
        <v>0</v>
      </c>
      <c r="O77" s="428">
        <f t="shared" ref="O77:O85" si="29">IF((M77=0),0,N77/M77)</f>
        <v>0</v>
      </c>
      <c r="P77" s="402">
        <f>SUMIF('Diags Raw Data'!$A$6:$A$4335,"*"&amp;$A77&amp;"*",'Diags Raw Data'!$Z$6:$Z$4335)</f>
        <v>0</v>
      </c>
      <c r="Q77" s="403">
        <f>SUM(SUMIF('Diags Raw Data'!$A$6:$A$4335,"*"&amp;$A77&amp;"*",'Diags Raw Data'!$AA$6:$AA$4335),SUMIF('Diags Raw Data'!$A$6:$A$4335,"*"&amp;$A77&amp;"*",'Diags Raw Data'!$AB$6:$AB$4335))</f>
        <v>0</v>
      </c>
      <c r="R77" s="404">
        <f t="shared" ref="R77:R85" si="30">IF((J77=0),0,P77/J77)</f>
        <v>0</v>
      </c>
      <c r="S77" s="404">
        <f t="shared" ref="S77:S85" si="31">IF((P77=0),0,Q77/P77)</f>
        <v>0</v>
      </c>
      <c r="T77" s="405">
        <f t="shared" ref="T77:T85" si="32">R77*S77</f>
        <v>0</v>
      </c>
      <c r="U77" s="434" t="s">
        <v>44</v>
      </c>
      <c r="V77" s="170" t="s">
        <v>43</v>
      </c>
    </row>
    <row r="78" spans="1:22" x14ac:dyDescent="0.25">
      <c r="A78" s="420" t="s">
        <v>1350</v>
      </c>
      <c r="B78" s="328" t="str">
        <f>VLOOKUP(A78,'Feature Raw Data'!$A$3:$B$4067,2,FALSE)</f>
        <v>MMHUB:Power/PCTL - MMHUB Power Gating</v>
      </c>
      <c r="C78" s="271" t="str">
        <f>VLOOKUP(A78,'Feature Raw Data'!$A$3:$C$4067,3,FALSE)</f>
        <v>P2</v>
      </c>
      <c r="D78" s="82" t="str" cm="1">
        <f t="array" ref="D78">_xlfn.TEXTJOIN("",TRUE,IF(ISNUMBER(SEARCH($A78,'Diags Raw Data'!$A$6:$A$4335)),CONCATENATE('Diags Raw Data'!$H$6:$H$4335,", "),""))</f>
        <v/>
      </c>
      <c r="E78" s="169" t="e">
        <f>VLOOKUP(A78,'Diags Raw Data'!$A$6:$D$4335,4,FALSE)</f>
        <v>#N/A</v>
      </c>
      <c r="F78" s="169" t="str">
        <f>VLOOKUP(A78,'Feature Raw Data'!$A$3:$E$4067,5,FALSE)</f>
        <v>Legacy</v>
      </c>
      <c r="G78" s="169" t="str">
        <f t="shared" si="28"/>
        <v>No</v>
      </c>
      <c r="H78" s="169" t="str">
        <f t="shared" si="19"/>
        <v>No</v>
      </c>
      <c r="I78" s="271">
        <f>SUMIF('Diags Raw Data'!$A$6:$A$4335,"*"&amp;$A78&amp;"*",'Diags Raw Data'!$K$6:$K$4335)</f>
        <v>0</v>
      </c>
      <c r="J78" s="179">
        <f>SUMIF('Diags Raw Data'!$A$6:$A$4335,"*"&amp;$A78&amp;"*",'Diags Raw Data'!$L$6:$L$4335)</f>
        <v>0</v>
      </c>
      <c r="K78" s="398" cm="1">
        <f t="array" ref="K78">IF(D78="",0, SUMPRODUCT(--(ISNUMBER(SEARCH($A78,'Diags Raw Data'!$A$6:$A$4335))),'Diags Raw Data'!$L$6:$L$4335,'Diags Raw Data'!$N$6:$N$4335)/J78)</f>
        <v>0</v>
      </c>
      <c r="L78" s="399" cm="1">
        <f t="array" ref="L78">IF(D78="",0, SUMPRODUCT(--(ISNUMBER(SEARCH($A78,'Diags Raw Data'!$A$6:$A$4335))),'Diags Raw Data'!$L$6:$L$4335,'Diags Raw Data'!$P$6:$P$4335)/J78)</f>
        <v>0</v>
      </c>
      <c r="M78" s="400" cm="1">
        <f t="array" ref="M78">SUMPRODUCT(--(ISNUMBER(SEARCH($A78,'Diags Raw Data'!$A$6:$A$4335))),--('Diags Raw Data'!$Q$6:$Q$4335&lt;&gt;"N/A"),'Diags Raw Data'!$R$6:$R$4335)</f>
        <v>0</v>
      </c>
      <c r="N78" s="401" cm="1">
        <f t="array" ref="N78">SUMPRODUCT(--(ISNUMBER(SEARCH($A78,'Diags Raw Data'!$A$6:$A$4335))),--('Diags Raw Data'!$Q$6:$Q$4335&lt;&gt;"N/A"),'Diags Raw Data'!$T$6:$T$4335)+SUMPRODUCT(--(ISNUMBER(SEARCH($A78,'Diags Raw Data'!$A$6:$A$4335))),--('Diags Raw Data'!$Q$6:$Q$4335&lt;&gt;"N/A"),'Diags Raw Data'!$U$6:$U$4335)</f>
        <v>0</v>
      </c>
      <c r="O78" s="428">
        <f t="shared" si="29"/>
        <v>0</v>
      </c>
      <c r="P78" s="402">
        <f>SUMIF('Diags Raw Data'!$A$6:$A$4335,"*"&amp;$A78&amp;"*",'Diags Raw Data'!$Z$6:$Z$4335)</f>
        <v>0</v>
      </c>
      <c r="Q78" s="403">
        <f>SUM(SUMIF('Diags Raw Data'!$A$6:$A$4335,"*"&amp;$A78&amp;"*",'Diags Raw Data'!$AA$6:$AA$4335),SUMIF('Diags Raw Data'!$A$6:$A$4335,"*"&amp;$A78&amp;"*",'Diags Raw Data'!$AB$6:$AB$4335))</f>
        <v>0</v>
      </c>
      <c r="R78" s="404">
        <f t="shared" si="30"/>
        <v>0</v>
      </c>
      <c r="S78" s="404">
        <f t="shared" si="31"/>
        <v>0</v>
      </c>
      <c r="T78" s="405">
        <f t="shared" si="32"/>
        <v>0</v>
      </c>
      <c r="U78" s="434" t="s">
        <v>44</v>
      </c>
      <c r="V78" s="170" t="s">
        <v>43</v>
      </c>
    </row>
    <row r="79" spans="1:22" x14ac:dyDescent="0.25">
      <c r="A79" s="420" t="s">
        <v>1352</v>
      </c>
      <c r="B79" s="328" t="str">
        <f>VLOOKUP(A79,'Feature Raw Data'!$A$3:$B$4067,2,FALSE)</f>
        <v>MMHUB:PCTL - Register Save and Restore</v>
      </c>
      <c r="C79" s="271" t="str">
        <f>VLOOKUP(A79,'Feature Raw Data'!$A$3:$C$4067,3,FALSE)</f>
        <v>P2</v>
      </c>
      <c r="D79" s="82" t="str" cm="1">
        <f t="array" ref="D79">_xlfn.TEXTJOIN("",TRUE,IF(ISNUMBER(SEARCH($A79,'Diags Raw Data'!$A$6:$A$4335)),CONCATENATE('Diags Raw Data'!$H$6:$H$4335,", "),""))</f>
        <v/>
      </c>
      <c r="E79" s="169" t="e">
        <f>VLOOKUP(A79,'Diags Raw Data'!$A$6:$D$4335,4,FALSE)</f>
        <v>#N/A</v>
      </c>
      <c r="F79" s="169" t="str">
        <f>VLOOKUP(A79,'Feature Raw Data'!$A$3:$E$4067,5,FALSE)</f>
        <v>Legacy</v>
      </c>
      <c r="G79" s="169" t="str">
        <f t="shared" si="28"/>
        <v>No</v>
      </c>
      <c r="H79" s="169" t="str">
        <f t="shared" si="19"/>
        <v>No</v>
      </c>
      <c r="I79" s="271">
        <f>SUMIF('Diags Raw Data'!$A$6:$A$4335,"*"&amp;$A79&amp;"*",'Diags Raw Data'!$K$6:$K$4335)</f>
        <v>0</v>
      </c>
      <c r="J79" s="179">
        <f>SUMIF('Diags Raw Data'!$A$6:$A$4335,"*"&amp;$A79&amp;"*",'Diags Raw Data'!$L$6:$L$4335)</f>
        <v>0</v>
      </c>
      <c r="K79" s="398" cm="1">
        <f t="array" ref="K79">IF(D79="",0, SUMPRODUCT(--(ISNUMBER(SEARCH($A79,'Diags Raw Data'!$A$6:$A$4335))),'Diags Raw Data'!$L$6:$L$4335,'Diags Raw Data'!$N$6:$N$4335)/J79)</f>
        <v>0</v>
      </c>
      <c r="L79" s="399" cm="1">
        <f t="array" ref="L79">IF(D79="",0, SUMPRODUCT(--(ISNUMBER(SEARCH($A79,'Diags Raw Data'!$A$6:$A$4335))),'Diags Raw Data'!$L$6:$L$4335,'Diags Raw Data'!$P$6:$P$4335)/J79)</f>
        <v>0</v>
      </c>
      <c r="M79" s="400" cm="1">
        <f t="array" ref="M79">SUMPRODUCT(--(ISNUMBER(SEARCH($A79,'Diags Raw Data'!$A$6:$A$4335))),--('Diags Raw Data'!$Q$6:$Q$4335&lt;&gt;"N/A"),'Diags Raw Data'!$R$6:$R$4335)</f>
        <v>0</v>
      </c>
      <c r="N79" s="401" cm="1">
        <f t="array" ref="N79">SUMPRODUCT(--(ISNUMBER(SEARCH($A79,'Diags Raw Data'!$A$6:$A$4335))),--('Diags Raw Data'!$Q$6:$Q$4335&lt;&gt;"N/A"),'Diags Raw Data'!$T$6:$T$4335)+SUMPRODUCT(--(ISNUMBER(SEARCH($A79,'Diags Raw Data'!$A$6:$A$4335))),--('Diags Raw Data'!$Q$6:$Q$4335&lt;&gt;"N/A"),'Diags Raw Data'!$U$6:$U$4335)</f>
        <v>0</v>
      </c>
      <c r="O79" s="428">
        <f t="shared" si="29"/>
        <v>0</v>
      </c>
      <c r="P79" s="402">
        <f>SUMIF('Diags Raw Data'!$A$6:$A$4335,"*"&amp;$A79&amp;"*",'Diags Raw Data'!$Z$6:$Z$4335)</f>
        <v>0</v>
      </c>
      <c r="Q79" s="403">
        <f>SUM(SUMIF('Diags Raw Data'!$A$6:$A$4335,"*"&amp;$A79&amp;"*",'Diags Raw Data'!$AA$6:$AA$4335),SUMIF('Diags Raw Data'!$A$6:$A$4335,"*"&amp;$A79&amp;"*",'Diags Raw Data'!$AB$6:$AB$4335))</f>
        <v>0</v>
      </c>
      <c r="R79" s="404">
        <f t="shared" si="30"/>
        <v>0</v>
      </c>
      <c r="S79" s="404">
        <f t="shared" si="31"/>
        <v>0</v>
      </c>
      <c r="T79" s="405">
        <f t="shared" si="32"/>
        <v>0</v>
      </c>
      <c r="U79" s="434" t="s">
        <v>44</v>
      </c>
      <c r="V79" s="170" t="s">
        <v>43</v>
      </c>
    </row>
    <row r="80" spans="1:22" x14ac:dyDescent="0.25">
      <c r="A80" s="420" t="s">
        <v>1354</v>
      </c>
      <c r="B80" s="328" t="str">
        <f>VLOOKUP(A80,'Feature Raw Data'!$A$3:$B$4067,2,FALSE)</f>
        <v>MMHUB:PCTL - RSMU Timer</v>
      </c>
      <c r="C80" s="271" t="str">
        <f>VLOOKUP(A80,'Feature Raw Data'!$A$3:$C$4067,3,FALSE)</f>
        <v>P2</v>
      </c>
      <c r="D80" s="82" t="str" cm="1">
        <f t="array" ref="D80">_xlfn.TEXTJOIN("",TRUE,IF(ISNUMBER(SEARCH($A80,'Diags Raw Data'!$A$6:$A$4335)),CONCATENATE('Diags Raw Data'!$H$6:$H$4335,", "),""))</f>
        <v/>
      </c>
      <c r="E80" s="169" t="e">
        <f>VLOOKUP(A80,'Diags Raw Data'!$A$6:$D$4335,4,FALSE)</f>
        <v>#N/A</v>
      </c>
      <c r="F80" s="169" t="str">
        <f>VLOOKUP(A80,'Feature Raw Data'!$A$3:$E$4067,5,FALSE)</f>
        <v>Legacy</v>
      </c>
      <c r="G80" s="169" t="str">
        <f t="shared" si="28"/>
        <v>No</v>
      </c>
      <c r="H80" s="169" t="str">
        <f t="shared" si="19"/>
        <v>No</v>
      </c>
      <c r="I80" s="271">
        <f>SUMIF('Diags Raw Data'!$A$6:$A$4335,"*"&amp;$A80&amp;"*",'Diags Raw Data'!$K$6:$K$4335)</f>
        <v>0</v>
      </c>
      <c r="J80" s="179">
        <f>SUMIF('Diags Raw Data'!$A$6:$A$4335,"*"&amp;$A80&amp;"*",'Diags Raw Data'!$L$6:$L$4335)</f>
        <v>0</v>
      </c>
      <c r="K80" s="398" cm="1">
        <f t="array" ref="K80">IF(D80="",0, SUMPRODUCT(--(ISNUMBER(SEARCH($A80,'Diags Raw Data'!$A$6:$A$4335))),'Diags Raw Data'!$L$6:$L$4335,'Diags Raw Data'!$N$6:$N$4335)/J80)</f>
        <v>0</v>
      </c>
      <c r="L80" s="399" cm="1">
        <f t="array" ref="L80">IF(D80="",0, SUMPRODUCT(--(ISNUMBER(SEARCH($A80,'Diags Raw Data'!$A$6:$A$4335))),'Diags Raw Data'!$L$6:$L$4335,'Diags Raw Data'!$P$6:$P$4335)/J80)</f>
        <v>0</v>
      </c>
      <c r="M80" s="400" cm="1">
        <f t="array" ref="M80">SUMPRODUCT(--(ISNUMBER(SEARCH($A80,'Diags Raw Data'!$A$6:$A$4335))),--('Diags Raw Data'!$Q$6:$Q$4335&lt;&gt;"N/A"),'Diags Raw Data'!$R$6:$R$4335)</f>
        <v>0</v>
      </c>
      <c r="N80" s="401" cm="1">
        <f t="array" ref="N80">SUMPRODUCT(--(ISNUMBER(SEARCH($A80,'Diags Raw Data'!$A$6:$A$4335))),--('Diags Raw Data'!$Q$6:$Q$4335&lt;&gt;"N/A"),'Diags Raw Data'!$T$6:$T$4335)+SUMPRODUCT(--(ISNUMBER(SEARCH($A80,'Diags Raw Data'!$A$6:$A$4335))),--('Diags Raw Data'!$Q$6:$Q$4335&lt;&gt;"N/A"),'Diags Raw Data'!$U$6:$U$4335)</f>
        <v>0</v>
      </c>
      <c r="O80" s="428">
        <f t="shared" si="29"/>
        <v>0</v>
      </c>
      <c r="P80" s="402">
        <f>SUMIF('Diags Raw Data'!$A$6:$A$4335,"*"&amp;$A80&amp;"*",'Diags Raw Data'!$Z$6:$Z$4335)</f>
        <v>0</v>
      </c>
      <c r="Q80" s="403">
        <f>SUM(SUMIF('Diags Raw Data'!$A$6:$A$4335,"*"&amp;$A80&amp;"*",'Diags Raw Data'!$AA$6:$AA$4335),SUMIF('Diags Raw Data'!$A$6:$A$4335,"*"&amp;$A80&amp;"*",'Diags Raw Data'!$AB$6:$AB$4335))</f>
        <v>0</v>
      </c>
      <c r="R80" s="404">
        <f t="shared" si="30"/>
        <v>0</v>
      </c>
      <c r="S80" s="404">
        <f t="shared" si="31"/>
        <v>0</v>
      </c>
      <c r="T80" s="405">
        <f t="shared" si="32"/>
        <v>0</v>
      </c>
      <c r="U80" s="434" t="s">
        <v>44</v>
      </c>
      <c r="V80" s="170" t="s">
        <v>43</v>
      </c>
    </row>
    <row r="81" spans="1:22" ht="30" x14ac:dyDescent="0.25">
      <c r="A81" s="420" t="s">
        <v>1356</v>
      </c>
      <c r="B81" s="328" t="str">
        <f>VLOOKUP(A81,'Feature Raw Data'!$A$3:$B$4067,2,FALSE)</f>
        <v>MMHUB:PCTL - Modern Standby enter/exit latency reduction</v>
      </c>
      <c r="C81" s="271" t="str">
        <f>VLOOKUP(A81,'Feature Raw Data'!$A$3:$C$4067,3,FALSE)</f>
        <v>P2</v>
      </c>
      <c r="D81" s="82" t="str" cm="1">
        <f t="array" ref="D81">_xlfn.TEXTJOIN("",TRUE,IF(ISNUMBER(SEARCH($A81,'Diags Raw Data'!$A$6:$A$4335)),CONCATENATE('Diags Raw Data'!$H$6:$H$4335,", "),""))</f>
        <v/>
      </c>
      <c r="E81" s="169" t="e">
        <f>VLOOKUP(A81,'Diags Raw Data'!$A$6:$D$4335,4,FALSE)</f>
        <v>#N/A</v>
      </c>
      <c r="F81" s="169" t="str">
        <f>VLOOKUP(A81,'Feature Raw Data'!$A$3:$E$4067,5,FALSE)</f>
        <v>Legacy</v>
      </c>
      <c r="G81" s="169" t="str">
        <f t="shared" si="28"/>
        <v>No</v>
      </c>
      <c r="H81" s="169" t="str">
        <f t="shared" si="19"/>
        <v>No</v>
      </c>
      <c r="I81" s="271">
        <f>SUMIF('Diags Raw Data'!$A$6:$A$4335,"*"&amp;$A81&amp;"*",'Diags Raw Data'!$K$6:$K$4335)</f>
        <v>0</v>
      </c>
      <c r="J81" s="179">
        <f>SUMIF('Diags Raw Data'!$A$6:$A$4335,"*"&amp;$A81&amp;"*",'Diags Raw Data'!$L$6:$L$4335)</f>
        <v>0</v>
      </c>
      <c r="K81" s="398" cm="1">
        <f t="array" ref="K81">IF(D81="",0, SUMPRODUCT(--(ISNUMBER(SEARCH($A81,'Diags Raw Data'!$A$6:$A$4335))),'Diags Raw Data'!$L$6:$L$4335,'Diags Raw Data'!$N$6:$N$4335)/J81)</f>
        <v>0</v>
      </c>
      <c r="L81" s="399" cm="1">
        <f t="array" ref="L81">IF(D81="",0, SUMPRODUCT(--(ISNUMBER(SEARCH($A81,'Diags Raw Data'!$A$6:$A$4335))),'Diags Raw Data'!$L$6:$L$4335,'Diags Raw Data'!$P$6:$P$4335)/J81)</f>
        <v>0</v>
      </c>
      <c r="M81" s="400" cm="1">
        <f t="array" ref="M81">SUMPRODUCT(--(ISNUMBER(SEARCH($A81,'Diags Raw Data'!$A$6:$A$4335))),--('Diags Raw Data'!$Q$6:$Q$4335&lt;&gt;"N/A"),'Diags Raw Data'!$R$6:$R$4335)</f>
        <v>0</v>
      </c>
      <c r="N81" s="401" cm="1">
        <f t="array" ref="N81">SUMPRODUCT(--(ISNUMBER(SEARCH($A81,'Diags Raw Data'!$A$6:$A$4335))),--('Diags Raw Data'!$Q$6:$Q$4335&lt;&gt;"N/A"),'Diags Raw Data'!$T$6:$T$4335)+SUMPRODUCT(--(ISNUMBER(SEARCH($A81,'Diags Raw Data'!$A$6:$A$4335))),--('Diags Raw Data'!$Q$6:$Q$4335&lt;&gt;"N/A"),'Diags Raw Data'!$U$6:$U$4335)</f>
        <v>0</v>
      </c>
      <c r="O81" s="428">
        <f t="shared" si="29"/>
        <v>0</v>
      </c>
      <c r="P81" s="402">
        <f>SUMIF('Diags Raw Data'!$A$6:$A$4335,"*"&amp;$A81&amp;"*",'Diags Raw Data'!$Z$6:$Z$4335)</f>
        <v>0</v>
      </c>
      <c r="Q81" s="403">
        <f>SUM(SUMIF('Diags Raw Data'!$A$6:$A$4335,"*"&amp;$A81&amp;"*",'Diags Raw Data'!$AA$6:$AA$4335),SUMIF('Diags Raw Data'!$A$6:$A$4335,"*"&amp;$A81&amp;"*",'Diags Raw Data'!$AB$6:$AB$4335))</f>
        <v>0</v>
      </c>
      <c r="R81" s="404">
        <f t="shared" si="30"/>
        <v>0</v>
      </c>
      <c r="S81" s="404">
        <f t="shared" si="31"/>
        <v>0</v>
      </c>
      <c r="T81" s="405">
        <f t="shared" si="32"/>
        <v>0</v>
      </c>
      <c r="U81" s="434" t="s">
        <v>44</v>
      </c>
      <c r="V81" s="170" t="s">
        <v>43</v>
      </c>
    </row>
    <row r="82" spans="1:22" x14ac:dyDescent="0.25">
      <c r="A82" s="420" t="s">
        <v>1358</v>
      </c>
      <c r="B82" s="328" t="str">
        <f>VLOOKUP(A82,'Feature Raw Data'!$A$3:$B$4067,2,FALSE)</f>
        <v>MMHUB:PCTL - Z-State Support</v>
      </c>
      <c r="C82" s="271" t="str">
        <f>VLOOKUP(A82,'Feature Raw Data'!$A$3:$C$4067,3,FALSE)</f>
        <v>P2</v>
      </c>
      <c r="D82" s="82" t="str" cm="1">
        <f t="array" ref="D82">_xlfn.TEXTJOIN("",TRUE,IF(ISNUMBER(SEARCH($A82,'Diags Raw Data'!$A$6:$A$4335)),CONCATENATE('Diags Raw Data'!$H$6:$H$4335,", "),""))</f>
        <v/>
      </c>
      <c r="E82" s="169" t="e">
        <f>VLOOKUP(A82,'Diags Raw Data'!$A$6:$D$4335,4,FALSE)</f>
        <v>#N/A</v>
      </c>
      <c r="F82" s="169" t="str">
        <f>VLOOKUP(A82,'Feature Raw Data'!$A$3:$E$4067,5,FALSE)</f>
        <v>Legacy</v>
      </c>
      <c r="G82" s="169" t="str">
        <f t="shared" si="28"/>
        <v>No</v>
      </c>
      <c r="H82" s="169" t="str">
        <f t="shared" si="19"/>
        <v>No</v>
      </c>
      <c r="I82" s="271">
        <f>SUMIF('Diags Raw Data'!$A$6:$A$4335,"*"&amp;$A82&amp;"*",'Diags Raw Data'!$K$6:$K$4335)</f>
        <v>0</v>
      </c>
      <c r="J82" s="179">
        <f>SUMIF('Diags Raw Data'!$A$6:$A$4335,"*"&amp;$A82&amp;"*",'Diags Raw Data'!$L$6:$L$4335)</f>
        <v>0</v>
      </c>
      <c r="K82" s="398" cm="1">
        <f t="array" ref="K82">IF(D82="",0, SUMPRODUCT(--(ISNUMBER(SEARCH($A82,'Diags Raw Data'!$A$6:$A$4335))),'Diags Raw Data'!$L$6:$L$4335,'Diags Raw Data'!$N$6:$N$4335)/J82)</f>
        <v>0</v>
      </c>
      <c r="L82" s="399" cm="1">
        <f t="array" ref="L82">IF(D82="",0, SUMPRODUCT(--(ISNUMBER(SEARCH($A82,'Diags Raw Data'!$A$6:$A$4335))),'Diags Raw Data'!$L$6:$L$4335,'Diags Raw Data'!$P$6:$P$4335)/J82)</f>
        <v>0</v>
      </c>
      <c r="M82" s="400" cm="1">
        <f t="array" ref="M82">SUMPRODUCT(--(ISNUMBER(SEARCH($A82,'Diags Raw Data'!$A$6:$A$4335))),--('Diags Raw Data'!$Q$6:$Q$4335&lt;&gt;"N/A"),'Diags Raw Data'!$R$6:$R$4335)</f>
        <v>0</v>
      </c>
      <c r="N82" s="401" cm="1">
        <f t="array" ref="N82">SUMPRODUCT(--(ISNUMBER(SEARCH($A82,'Diags Raw Data'!$A$6:$A$4335))),--('Diags Raw Data'!$Q$6:$Q$4335&lt;&gt;"N/A"),'Diags Raw Data'!$T$6:$T$4335)+SUMPRODUCT(--(ISNUMBER(SEARCH($A82,'Diags Raw Data'!$A$6:$A$4335))),--('Diags Raw Data'!$Q$6:$Q$4335&lt;&gt;"N/A"),'Diags Raw Data'!$U$6:$U$4335)</f>
        <v>0</v>
      </c>
      <c r="O82" s="428">
        <f t="shared" si="29"/>
        <v>0</v>
      </c>
      <c r="P82" s="402">
        <f>SUMIF('Diags Raw Data'!$A$6:$A$4335,"*"&amp;$A82&amp;"*",'Diags Raw Data'!$Z$6:$Z$4335)</f>
        <v>0</v>
      </c>
      <c r="Q82" s="403">
        <f>SUM(SUMIF('Diags Raw Data'!$A$6:$A$4335,"*"&amp;$A82&amp;"*",'Diags Raw Data'!$AA$6:$AA$4335),SUMIF('Diags Raw Data'!$A$6:$A$4335,"*"&amp;$A82&amp;"*",'Diags Raw Data'!$AB$6:$AB$4335))</f>
        <v>0</v>
      </c>
      <c r="R82" s="404">
        <f t="shared" si="30"/>
        <v>0</v>
      </c>
      <c r="S82" s="404">
        <f t="shared" si="31"/>
        <v>0</v>
      </c>
      <c r="T82" s="405">
        <f t="shared" si="32"/>
        <v>0</v>
      </c>
      <c r="U82" s="434" t="s">
        <v>44</v>
      </c>
      <c r="V82" s="170" t="s">
        <v>43</v>
      </c>
    </row>
    <row r="83" spans="1:22" x14ac:dyDescent="0.25">
      <c r="A83" s="420" t="s">
        <v>1360</v>
      </c>
      <c r="B83" s="328" t="str">
        <f>VLOOKUP(A83,'Feature Raw Data'!$A$3:$B$4067,2,FALSE)</f>
        <v>MMHUB:PCTL - Light C-State Support</v>
      </c>
      <c r="C83" s="271" t="str">
        <f>VLOOKUP(A83,'Feature Raw Data'!$A$3:$C$4067,3,FALSE)</f>
        <v>P2</v>
      </c>
      <c r="D83" s="82" t="str" cm="1">
        <f t="array" ref="D83">_xlfn.TEXTJOIN("",TRUE,IF(ISNUMBER(SEARCH($A83,'Diags Raw Data'!$A$6:$A$4335)),CONCATENATE('Diags Raw Data'!$H$6:$H$4335,", "),""))</f>
        <v/>
      </c>
      <c r="E83" s="169" t="e">
        <f>VLOOKUP(A83,'Diags Raw Data'!$A$6:$D$4335,4,FALSE)</f>
        <v>#N/A</v>
      </c>
      <c r="F83" s="169" t="str">
        <f>VLOOKUP(A83,'Feature Raw Data'!$A$3:$E$4067,5,FALSE)</f>
        <v>Legacy</v>
      </c>
      <c r="G83" s="169" t="str">
        <f t="shared" si="28"/>
        <v>No</v>
      </c>
      <c r="H83" s="169" t="str">
        <f t="shared" si="19"/>
        <v>No</v>
      </c>
      <c r="I83" s="271">
        <f>SUMIF('Diags Raw Data'!$A$6:$A$4335,"*"&amp;$A83&amp;"*",'Diags Raw Data'!$K$6:$K$4335)</f>
        <v>0</v>
      </c>
      <c r="J83" s="179">
        <f>SUMIF('Diags Raw Data'!$A$6:$A$4335,"*"&amp;$A83&amp;"*",'Diags Raw Data'!$L$6:$L$4335)</f>
        <v>0</v>
      </c>
      <c r="K83" s="398" cm="1">
        <f t="array" ref="K83">IF(D83="",0, SUMPRODUCT(--(ISNUMBER(SEARCH($A83,'Diags Raw Data'!$A$6:$A$4335))),'Diags Raw Data'!$L$6:$L$4335,'Diags Raw Data'!$N$6:$N$4335)/J83)</f>
        <v>0</v>
      </c>
      <c r="L83" s="399" cm="1">
        <f t="array" ref="L83">IF(D83="",0, SUMPRODUCT(--(ISNUMBER(SEARCH($A83,'Diags Raw Data'!$A$6:$A$4335))),'Diags Raw Data'!$L$6:$L$4335,'Diags Raw Data'!$P$6:$P$4335)/J83)</f>
        <v>0</v>
      </c>
      <c r="M83" s="400" cm="1">
        <f t="array" ref="M83">SUMPRODUCT(--(ISNUMBER(SEARCH($A83,'Diags Raw Data'!$A$6:$A$4335))),--('Diags Raw Data'!$Q$6:$Q$4335&lt;&gt;"N/A"),'Diags Raw Data'!$R$6:$R$4335)</f>
        <v>0</v>
      </c>
      <c r="N83" s="401" cm="1">
        <f t="array" ref="N83">SUMPRODUCT(--(ISNUMBER(SEARCH($A83,'Diags Raw Data'!$A$6:$A$4335))),--('Diags Raw Data'!$Q$6:$Q$4335&lt;&gt;"N/A"),'Diags Raw Data'!$T$6:$T$4335)+SUMPRODUCT(--(ISNUMBER(SEARCH($A83,'Diags Raw Data'!$A$6:$A$4335))),--('Diags Raw Data'!$Q$6:$Q$4335&lt;&gt;"N/A"),'Diags Raw Data'!$U$6:$U$4335)</f>
        <v>0</v>
      </c>
      <c r="O83" s="428">
        <f t="shared" si="29"/>
        <v>0</v>
      </c>
      <c r="P83" s="402">
        <f>SUMIF('Diags Raw Data'!$A$6:$A$4335,"*"&amp;$A83&amp;"*",'Diags Raw Data'!$Z$6:$Z$4335)</f>
        <v>0</v>
      </c>
      <c r="Q83" s="403">
        <f>SUM(SUMIF('Diags Raw Data'!$A$6:$A$4335,"*"&amp;$A83&amp;"*",'Diags Raw Data'!$AA$6:$AA$4335),SUMIF('Diags Raw Data'!$A$6:$A$4335,"*"&amp;$A83&amp;"*",'Diags Raw Data'!$AB$6:$AB$4335))</f>
        <v>0</v>
      </c>
      <c r="R83" s="404">
        <f t="shared" si="30"/>
        <v>0</v>
      </c>
      <c r="S83" s="404">
        <f t="shared" si="31"/>
        <v>0</v>
      </c>
      <c r="T83" s="405">
        <f t="shared" si="32"/>
        <v>0</v>
      </c>
      <c r="U83" s="434" t="s">
        <v>44</v>
      </c>
      <c r="V83" s="170" t="s">
        <v>43</v>
      </c>
    </row>
    <row r="84" spans="1:22" ht="45" x14ac:dyDescent="0.25">
      <c r="A84" s="420" t="s">
        <v>1362</v>
      </c>
      <c r="B84" s="328" t="str">
        <f>VLOOKUP(A84,'Feature Raw Data'!$A$3:$B$4067,2,FALSE)</f>
        <v>MMHUB:Security - Trusted Memory Zone (TMZ)</v>
      </c>
      <c r="C84" s="271" t="str">
        <f>VLOOKUP(A84,'Feature Raw Data'!$A$3:$C$4067,3,FALSE)</f>
        <v>P2</v>
      </c>
      <c r="D84" s="82" t="str" cm="1">
        <f t="array" ref="D84">_xlfn.TEXTJOIN("",TRUE,IF(ISNUMBER(SEARCH($A84,'Diags Raw Data'!$A$6:$A$4335)),CONCATENATE('Diags Raw Data'!$H$6:$H$4335,", "),""))</f>
        <v xml:space="preserve">mhub150.1-4,mhub150.10,mhub150.11,mhub150.12,mhub150.20,mhub150.21,mhub150.30-41, </v>
      </c>
      <c r="E84" s="169" t="str">
        <f>VLOOKUP(A84,'Diags Raw Data'!$A$6:$D$4335,4,FALSE)</f>
        <v>MMHUB</v>
      </c>
      <c r="F84" s="169" t="str">
        <f>VLOOKUP(A84,'Feature Raw Data'!$A$3:$E$4067,5,FALSE)</f>
        <v>Legacy</v>
      </c>
      <c r="G84" s="169" t="str">
        <f t="shared" si="28"/>
        <v>Yes</v>
      </c>
      <c r="H84" s="169" t="str">
        <f t="shared" si="19"/>
        <v>Yes</v>
      </c>
      <c r="I84" s="271">
        <f>SUMIF('Diags Raw Data'!$A$6:$A$4335,"*"&amp;$A84&amp;"*",'Diags Raw Data'!$K$6:$K$4335)</f>
        <v>1</v>
      </c>
      <c r="J84" s="179">
        <f>SUMIF('Diags Raw Data'!$A$6:$A$4335,"*"&amp;$A84&amp;"*",'Diags Raw Data'!$L$6:$L$4335)</f>
        <v>21</v>
      </c>
      <c r="K84" s="398" cm="1">
        <f t="array" ref="K84">IF(D84="",0, SUMPRODUCT(--(ISNUMBER(SEARCH($A84,'Diags Raw Data'!$A$6:$A$4335))),'Diags Raw Data'!$L$6:$L$4335,'Diags Raw Data'!$N$6:$N$4335)/J84)</f>
        <v>1</v>
      </c>
      <c r="L84" s="399" cm="1">
        <f t="array" ref="L84">IF(D84="",0, SUMPRODUCT(--(ISNUMBER(SEARCH($A84,'Diags Raw Data'!$A$6:$A$4335))),'Diags Raw Data'!$L$6:$L$4335,'Diags Raw Data'!$P$6:$P$4335)/J84)</f>
        <v>0</v>
      </c>
      <c r="M84" s="400" cm="1">
        <f t="array" ref="M84">SUMPRODUCT(--(ISNUMBER(SEARCH($A84,'Diags Raw Data'!$A$6:$A$4335))),--('Diags Raw Data'!$Q$6:$Q$4335&lt;&gt;"N/A"),'Diags Raw Data'!$R$6:$R$4335)</f>
        <v>19</v>
      </c>
      <c r="N84" s="401" cm="1">
        <f t="array" ref="N84">SUMPRODUCT(--(ISNUMBER(SEARCH($A84,'Diags Raw Data'!$A$6:$A$4335))),--('Diags Raw Data'!$Q$6:$Q$4335&lt;&gt;"N/A"),'Diags Raw Data'!$T$6:$T$4335)+SUMPRODUCT(--(ISNUMBER(SEARCH($A84,'Diags Raw Data'!$A$6:$A$4335))),--('Diags Raw Data'!$Q$6:$Q$4335&lt;&gt;"N/A"),'Diags Raw Data'!$U$6:$U$4335)</f>
        <v>19</v>
      </c>
      <c r="O84" s="428">
        <f t="shared" si="29"/>
        <v>1</v>
      </c>
      <c r="P84" s="402">
        <f>SUMIF('Diags Raw Data'!$A$6:$A$4335,"*"&amp;$A84&amp;"*",'Diags Raw Data'!$Z$6:$Z$4335)</f>
        <v>0</v>
      </c>
      <c r="Q84" s="403">
        <f>SUM(SUMIF('Diags Raw Data'!$A$6:$A$4335,"*"&amp;$A84&amp;"*",'Diags Raw Data'!$AA$6:$AA$4335),SUMIF('Diags Raw Data'!$A$6:$A$4335,"*"&amp;$A84&amp;"*",'Diags Raw Data'!$AB$6:$AB$4335))</f>
        <v>0</v>
      </c>
      <c r="R84" s="404">
        <f t="shared" si="30"/>
        <v>0</v>
      </c>
      <c r="S84" s="404">
        <f t="shared" si="31"/>
        <v>0</v>
      </c>
      <c r="T84" s="405">
        <f t="shared" si="32"/>
        <v>0</v>
      </c>
      <c r="U84" s="434" t="s">
        <v>1663</v>
      </c>
      <c r="V84" s="170"/>
    </row>
    <row r="85" spans="1:22" ht="30" x14ac:dyDescent="0.25">
      <c r="A85" s="420" t="s">
        <v>1125</v>
      </c>
      <c r="B85" s="328" t="str">
        <f>VLOOKUP(A85,'Feature Raw Data'!$A$3:$B$4067,2,FALSE)</f>
        <v>MMHUB:Security - SOC15 Datapath/Controlpath Security</v>
      </c>
      <c r="C85" s="271" t="str">
        <f>VLOOKUP(A85,'Feature Raw Data'!$A$3:$C$4067,3,FALSE)</f>
        <v>P2</v>
      </c>
      <c r="D85" s="82" t="str" cm="1">
        <f t="array" ref="D85">_xlfn.TEXTJOIN("",TRUE,IF(ISNUMBER(SEARCH($A85,'Diags Raw Data'!$A$6:$A$4335)),CONCATENATE('Diags Raw Data'!$H$6:$H$4335,", "),""))</f>
        <v/>
      </c>
      <c r="E85" s="169" t="e">
        <f>VLOOKUP(A85,'Diags Raw Data'!$A$6:$D$4335,4,FALSE)</f>
        <v>#N/A</v>
      </c>
      <c r="F85" s="169" t="str">
        <f>VLOOKUP(A85,'Feature Raw Data'!$A$3:$E$4067,5,FALSE)</f>
        <v>Legacy</v>
      </c>
      <c r="G85" s="169" t="s">
        <v>31</v>
      </c>
      <c r="H85" s="169" t="str">
        <f t="shared" si="19"/>
        <v>No</v>
      </c>
      <c r="I85" s="271">
        <f>SUMIF('Diags Raw Data'!$A$6:$A$4335,"*"&amp;$A85&amp;"*",'Diags Raw Data'!$K$6:$K$4335)</f>
        <v>0</v>
      </c>
      <c r="J85" s="179">
        <f>SUMIF('Diags Raw Data'!$A$6:$A$4335,"*"&amp;$A85&amp;"*",'Diags Raw Data'!$L$6:$L$4335)</f>
        <v>0</v>
      </c>
      <c r="K85" s="398" cm="1">
        <f t="array" ref="K85">IF(D85="",0, SUMPRODUCT(--(ISNUMBER(SEARCH($A85,'Diags Raw Data'!$A$6:$A$4335))),'Diags Raw Data'!$L$6:$L$4335,'Diags Raw Data'!$N$6:$N$4335)/J85)</f>
        <v>0</v>
      </c>
      <c r="L85" s="399" cm="1">
        <f t="array" ref="L85">IF(D85="",0, SUMPRODUCT(--(ISNUMBER(SEARCH($A85,'Diags Raw Data'!$A$6:$A$4335))),'Diags Raw Data'!$L$6:$L$4335,'Diags Raw Data'!$P$6:$P$4335)/J85)</f>
        <v>0</v>
      </c>
      <c r="M85" s="400" cm="1">
        <f t="array" ref="M85">SUMPRODUCT(--(ISNUMBER(SEARCH($A85,'Diags Raw Data'!$A$6:$A$4335))),--('Diags Raw Data'!$Q$6:$Q$4335&lt;&gt;"N/A"),'Diags Raw Data'!$R$6:$R$4335)</f>
        <v>0</v>
      </c>
      <c r="N85" s="401" cm="1">
        <f t="array" ref="N85">SUMPRODUCT(--(ISNUMBER(SEARCH($A85,'Diags Raw Data'!$A$6:$A$4335))),--('Diags Raw Data'!$Q$6:$Q$4335&lt;&gt;"N/A"),'Diags Raw Data'!$T$6:$T$4335)+SUMPRODUCT(--(ISNUMBER(SEARCH($A85,'Diags Raw Data'!$A$6:$A$4335))),--('Diags Raw Data'!$Q$6:$Q$4335&lt;&gt;"N/A"),'Diags Raw Data'!$U$6:$U$4335)</f>
        <v>0</v>
      </c>
      <c r="O85" s="428">
        <f t="shared" si="29"/>
        <v>0</v>
      </c>
      <c r="P85" s="402">
        <f>SUMIF('Diags Raw Data'!$A$6:$A$4335,"*"&amp;$A85&amp;"*",'Diags Raw Data'!$Z$6:$Z$4335)</f>
        <v>0</v>
      </c>
      <c r="Q85" s="403">
        <f>SUM(SUMIF('Diags Raw Data'!$A$6:$A$4335,"*"&amp;$A85&amp;"*",'Diags Raw Data'!$AA$6:$AA$4335),SUMIF('Diags Raw Data'!$A$6:$A$4335,"*"&amp;$A85&amp;"*",'Diags Raw Data'!$AB$6:$AB$4335))</f>
        <v>0</v>
      </c>
      <c r="R85" s="404">
        <f t="shared" si="30"/>
        <v>0</v>
      </c>
      <c r="S85" s="404">
        <f t="shared" si="31"/>
        <v>0</v>
      </c>
      <c r="T85" s="405">
        <f t="shared" si="32"/>
        <v>0</v>
      </c>
      <c r="U85" s="434" t="s">
        <v>44</v>
      </c>
      <c r="V85" s="170" t="s">
        <v>1115</v>
      </c>
    </row>
    <row r="86" spans="1:22" x14ac:dyDescent="0.25">
      <c r="A86" s="420" t="s">
        <v>1376</v>
      </c>
      <c r="B86" s="328" t="str">
        <f>VLOOKUP(A86,'Feature Raw Data'!$A$3:$B$4067,2,FALSE)</f>
        <v>MMHUB:Debug - Debug Bus</v>
      </c>
      <c r="C86" s="271" t="str">
        <f>VLOOKUP(A86,'Feature Raw Data'!$A$3:$C$4067,3,FALSE)</f>
        <v>P2</v>
      </c>
      <c r="D86" s="82" t="str" cm="1">
        <f t="array" ref="D86">_xlfn.TEXTJOIN("",TRUE,IF(ISNUMBER(SEARCH($A86,'Diags Raw Data'!$A$6:$A$4335)),CONCATENATE('Diags Raw Data'!$H$6:$H$4335,", "),""))</f>
        <v/>
      </c>
      <c r="E86" s="169" t="e">
        <f>VLOOKUP(A86,'Diags Raw Data'!$A$6:$D$4335,4,FALSE)</f>
        <v>#N/A</v>
      </c>
      <c r="F86" s="169" t="str">
        <f>VLOOKUP(A86,'Feature Raw Data'!$A$3:$E$4067,5,FALSE)</f>
        <v>Legacy</v>
      </c>
      <c r="G86" s="169" t="str">
        <f t="shared" ref="G86:G89" si="33">IF(D86="","No","Yes")</f>
        <v>No</v>
      </c>
      <c r="H86" s="169" t="str">
        <f t="shared" ref="H86:H89" si="34">IF(D86="","No","Yes")</f>
        <v>No</v>
      </c>
      <c r="I86" s="271">
        <f>SUMIF('Diags Raw Data'!$A$6:$A$4335,"*"&amp;$A86&amp;"*",'Diags Raw Data'!$K$6:$K$4335)</f>
        <v>0</v>
      </c>
      <c r="J86" s="179">
        <f>SUMIF('Diags Raw Data'!$A$6:$A$4335,"*"&amp;$A86&amp;"*",'Diags Raw Data'!$L$6:$L$4335)</f>
        <v>0</v>
      </c>
      <c r="K86" s="398" cm="1">
        <f t="array" ref="K86">IF(D86="",0, SUMPRODUCT(--(ISNUMBER(SEARCH($A86,'Diags Raw Data'!$A$6:$A$4335))),'Diags Raw Data'!$L$6:$L$4335,'Diags Raw Data'!$N$6:$N$4335)/J86)</f>
        <v>0</v>
      </c>
      <c r="L86" s="399" cm="1">
        <f t="array" ref="L86">IF(D86="",0, SUMPRODUCT(--(ISNUMBER(SEARCH($A86,'Diags Raw Data'!$A$6:$A$4335))),'Diags Raw Data'!$L$6:$L$4335,'Diags Raw Data'!$P$6:$P$4335)/J86)</f>
        <v>0</v>
      </c>
      <c r="M86" s="400" cm="1">
        <f t="array" ref="M86">SUMPRODUCT(--(ISNUMBER(SEARCH($A86,'Diags Raw Data'!$A$6:$A$4335))),--('Diags Raw Data'!$Q$6:$Q$4335&lt;&gt;"N/A"),'Diags Raw Data'!$R$6:$R$4335)</f>
        <v>0</v>
      </c>
      <c r="N86" s="401" cm="1">
        <f t="array" ref="N86">SUMPRODUCT(--(ISNUMBER(SEARCH($A86,'Diags Raw Data'!$A$6:$A$4335))),--('Diags Raw Data'!$Q$6:$Q$4335&lt;&gt;"N/A"),'Diags Raw Data'!$T$6:$T$4335)+SUMPRODUCT(--(ISNUMBER(SEARCH($A86,'Diags Raw Data'!$A$6:$A$4335))),--('Diags Raw Data'!$Q$6:$Q$4335&lt;&gt;"N/A"),'Diags Raw Data'!$U$6:$U$4335)</f>
        <v>0</v>
      </c>
      <c r="O86" s="428">
        <f t="shared" ref="O86:O89" si="35">IF((M86=0),0,N86/M86)</f>
        <v>0</v>
      </c>
      <c r="P86" s="402">
        <f>SUMIF('Diags Raw Data'!$A$6:$A$4335,"*"&amp;$A86&amp;"*",'Diags Raw Data'!$Z$6:$Z$4335)</f>
        <v>0</v>
      </c>
      <c r="Q86" s="403">
        <f>SUM(SUMIF('Diags Raw Data'!$A$6:$A$4335,"*"&amp;$A86&amp;"*",'Diags Raw Data'!$AA$6:$AA$4335),SUMIF('Diags Raw Data'!$A$6:$A$4335,"*"&amp;$A86&amp;"*",'Diags Raw Data'!$AB$6:$AB$4335))</f>
        <v>0</v>
      </c>
      <c r="R86" s="404">
        <f t="shared" ref="R86:R89" si="36">IF((J86=0),0,P86/J86)</f>
        <v>0</v>
      </c>
      <c r="S86" s="404">
        <f t="shared" ref="S86:S89" si="37">IF((P86=0),0,Q86/P86)</f>
        <v>0</v>
      </c>
      <c r="T86" s="405">
        <f t="shared" ref="T86:T89" si="38">R86*S86</f>
        <v>0</v>
      </c>
      <c r="U86" s="434" t="s">
        <v>44</v>
      </c>
      <c r="V86" s="170" t="s">
        <v>43</v>
      </c>
    </row>
    <row r="87" spans="1:22" x14ac:dyDescent="0.25">
      <c r="A87" s="420" t="s">
        <v>1378</v>
      </c>
      <c r="B87" s="328" t="str">
        <f>VLOOKUP(A87,'Feature Raw Data'!$A$3:$B$4067,2,FALSE)</f>
        <v>GFXHUB:GCUTCL2 - SRAM FGCG</v>
      </c>
      <c r="C87" s="271" t="str">
        <f>VLOOKUP(A87,'Feature Raw Data'!$A$3:$C$4067,3,FALSE)</f>
        <v>P2</v>
      </c>
      <c r="D87" s="82" t="str" cm="1">
        <f t="array" ref="D87">_xlfn.TEXTJOIN("",TRUE,IF(ISNUMBER(SEARCH($A87,'Diags Raw Data'!$A$6:$A$4335)),CONCATENATE('Diags Raw Data'!$H$6:$H$4335,", "),""))</f>
        <v/>
      </c>
      <c r="E87" s="169" t="e">
        <f>VLOOKUP(A87,'Diags Raw Data'!$A$6:$D$4335,4,FALSE)</f>
        <v>#N/A</v>
      </c>
      <c r="F87" s="169" t="str">
        <f>VLOOKUP(A87,'Feature Raw Data'!$A$3:$E$4067,5,FALSE)</f>
        <v>Delta</v>
      </c>
      <c r="G87" s="169" t="str">
        <f t="shared" si="33"/>
        <v>No</v>
      </c>
      <c r="H87" s="169" t="str">
        <f t="shared" si="34"/>
        <v>No</v>
      </c>
      <c r="I87" s="271">
        <f>SUMIF('Diags Raw Data'!$A$6:$A$4335,"*"&amp;$A87&amp;"*",'Diags Raw Data'!$K$6:$K$4335)</f>
        <v>0</v>
      </c>
      <c r="J87" s="179">
        <f>SUMIF('Diags Raw Data'!$A$6:$A$4335,"*"&amp;$A87&amp;"*",'Diags Raw Data'!$L$6:$L$4335)</f>
        <v>0</v>
      </c>
      <c r="K87" s="398" cm="1">
        <f t="array" ref="K87">IF(D87="",0, SUMPRODUCT(--(ISNUMBER(SEARCH($A87,'Diags Raw Data'!$A$6:$A$4335))),'Diags Raw Data'!$L$6:$L$4335,'Diags Raw Data'!$N$6:$N$4335)/J87)</f>
        <v>0</v>
      </c>
      <c r="L87" s="399" cm="1">
        <f t="array" ref="L87">IF(D87="",0, SUMPRODUCT(--(ISNUMBER(SEARCH($A87,'Diags Raw Data'!$A$6:$A$4335))),'Diags Raw Data'!$L$6:$L$4335,'Diags Raw Data'!$P$6:$P$4335)/J87)</f>
        <v>0</v>
      </c>
      <c r="M87" s="400" cm="1">
        <f t="array" ref="M87">SUMPRODUCT(--(ISNUMBER(SEARCH($A87,'Diags Raw Data'!$A$6:$A$4335))),--('Diags Raw Data'!$Q$6:$Q$4335&lt;&gt;"N/A"),'Diags Raw Data'!$R$6:$R$4335)</f>
        <v>0</v>
      </c>
      <c r="N87" s="401" cm="1">
        <f t="array" ref="N87">SUMPRODUCT(--(ISNUMBER(SEARCH($A87,'Diags Raw Data'!$A$6:$A$4335))),--('Diags Raw Data'!$Q$6:$Q$4335&lt;&gt;"N/A"),'Diags Raw Data'!$T$6:$T$4335)+SUMPRODUCT(--(ISNUMBER(SEARCH($A87,'Diags Raw Data'!$A$6:$A$4335))),--('Diags Raw Data'!$Q$6:$Q$4335&lt;&gt;"N/A"),'Diags Raw Data'!$U$6:$U$4335)</f>
        <v>0</v>
      </c>
      <c r="O87" s="428">
        <f t="shared" si="35"/>
        <v>0</v>
      </c>
      <c r="P87" s="402">
        <f>SUMIF('Diags Raw Data'!$A$6:$A$4335,"*"&amp;$A87&amp;"*",'Diags Raw Data'!$Z$6:$Z$4335)</f>
        <v>0</v>
      </c>
      <c r="Q87" s="403">
        <f>SUM(SUMIF('Diags Raw Data'!$A$6:$A$4335,"*"&amp;$A87&amp;"*",'Diags Raw Data'!$AA$6:$AA$4335),SUMIF('Diags Raw Data'!$A$6:$A$4335,"*"&amp;$A87&amp;"*",'Diags Raw Data'!$AB$6:$AB$4335))</f>
        <v>0</v>
      </c>
      <c r="R87" s="404">
        <f t="shared" si="36"/>
        <v>0</v>
      </c>
      <c r="S87" s="404">
        <f t="shared" si="37"/>
        <v>0</v>
      </c>
      <c r="T87" s="405">
        <f t="shared" si="38"/>
        <v>0</v>
      </c>
      <c r="U87" s="434" t="s">
        <v>44</v>
      </c>
      <c r="V87" s="170" t="s">
        <v>43</v>
      </c>
    </row>
    <row r="88" spans="1:22" x14ac:dyDescent="0.25">
      <c r="A88" s="420" t="s">
        <v>1380</v>
      </c>
      <c r="B88" s="328" t="str">
        <f>VLOOKUP(A88,'Feature Raw Data'!$A$3:$B$4067,2,FALSE)</f>
        <v>GFXHUB:GCUTCL2 - Repeater FGCG</v>
      </c>
      <c r="C88" s="271" t="str">
        <f>VLOOKUP(A88,'Feature Raw Data'!$A$3:$C$4067,3,FALSE)</f>
        <v>P2</v>
      </c>
      <c r="D88" s="82" t="str" cm="1">
        <f t="array" ref="D88">_xlfn.TEXTJOIN("",TRUE,IF(ISNUMBER(SEARCH($A88,'Diags Raw Data'!$A$6:$A$4335)),CONCATENATE('Diags Raw Data'!$H$6:$H$4335,", "),""))</f>
        <v/>
      </c>
      <c r="E88" s="169" t="e">
        <f>VLOOKUP(A88,'Diags Raw Data'!$A$6:$D$4335,4,FALSE)</f>
        <v>#N/A</v>
      </c>
      <c r="F88" s="169" t="str">
        <f>VLOOKUP(A88,'Feature Raw Data'!$A$3:$E$4067,5,FALSE)</f>
        <v>Legacy</v>
      </c>
      <c r="G88" s="169" t="str">
        <f t="shared" si="33"/>
        <v>No</v>
      </c>
      <c r="H88" s="169" t="str">
        <f t="shared" si="34"/>
        <v>No</v>
      </c>
      <c r="I88" s="271">
        <f>SUMIF('Diags Raw Data'!$A$6:$A$4335,"*"&amp;$A88&amp;"*",'Diags Raw Data'!$K$6:$K$4335)</f>
        <v>0</v>
      </c>
      <c r="J88" s="179">
        <f>SUMIF('Diags Raw Data'!$A$6:$A$4335,"*"&amp;$A88&amp;"*",'Diags Raw Data'!$L$6:$L$4335)</f>
        <v>0</v>
      </c>
      <c r="K88" s="398" cm="1">
        <f t="array" ref="K88">IF(D88="",0, SUMPRODUCT(--(ISNUMBER(SEARCH($A88,'Diags Raw Data'!$A$6:$A$4335))),'Diags Raw Data'!$L$6:$L$4335,'Diags Raw Data'!$N$6:$N$4335)/J88)</f>
        <v>0</v>
      </c>
      <c r="L88" s="399" cm="1">
        <f t="array" ref="L88">IF(D88="",0, SUMPRODUCT(--(ISNUMBER(SEARCH($A88,'Diags Raw Data'!$A$6:$A$4335))),'Diags Raw Data'!$L$6:$L$4335,'Diags Raw Data'!$P$6:$P$4335)/J88)</f>
        <v>0</v>
      </c>
      <c r="M88" s="400" cm="1">
        <f t="array" ref="M88">SUMPRODUCT(--(ISNUMBER(SEARCH($A88,'Diags Raw Data'!$A$6:$A$4335))),--('Diags Raw Data'!$Q$6:$Q$4335&lt;&gt;"N/A"),'Diags Raw Data'!$R$6:$R$4335)</f>
        <v>0</v>
      </c>
      <c r="N88" s="401" cm="1">
        <f t="array" ref="N88">SUMPRODUCT(--(ISNUMBER(SEARCH($A88,'Diags Raw Data'!$A$6:$A$4335))),--('Diags Raw Data'!$Q$6:$Q$4335&lt;&gt;"N/A"),'Diags Raw Data'!$T$6:$T$4335)+SUMPRODUCT(--(ISNUMBER(SEARCH($A88,'Diags Raw Data'!$A$6:$A$4335))),--('Diags Raw Data'!$Q$6:$Q$4335&lt;&gt;"N/A"),'Diags Raw Data'!$U$6:$U$4335)</f>
        <v>0</v>
      </c>
      <c r="O88" s="428">
        <f t="shared" si="35"/>
        <v>0</v>
      </c>
      <c r="P88" s="402">
        <f>SUMIF('Diags Raw Data'!$A$6:$A$4335,"*"&amp;$A88&amp;"*",'Diags Raw Data'!$Z$6:$Z$4335)</f>
        <v>0</v>
      </c>
      <c r="Q88" s="403">
        <f>SUM(SUMIF('Diags Raw Data'!$A$6:$A$4335,"*"&amp;$A88&amp;"*",'Diags Raw Data'!$AA$6:$AA$4335),SUMIF('Diags Raw Data'!$A$6:$A$4335,"*"&amp;$A88&amp;"*",'Diags Raw Data'!$AB$6:$AB$4335))</f>
        <v>0</v>
      </c>
      <c r="R88" s="404">
        <f t="shared" si="36"/>
        <v>0</v>
      </c>
      <c r="S88" s="404">
        <f t="shared" si="37"/>
        <v>0</v>
      </c>
      <c r="T88" s="405">
        <f t="shared" si="38"/>
        <v>0</v>
      </c>
      <c r="U88" s="434" t="s">
        <v>44</v>
      </c>
      <c r="V88" s="170" t="s">
        <v>43</v>
      </c>
    </row>
    <row r="89" spans="1:22" x14ac:dyDescent="0.25">
      <c r="A89" s="420" t="s">
        <v>1384</v>
      </c>
      <c r="B89" s="328" t="str">
        <f>VLOOKUP(A89,'Feature Raw Data'!$A$3:$B$4067,2,FALSE)</f>
        <v>GFXHUB:GCUTCL2 - RDL parameter Enhancement</v>
      </c>
      <c r="C89" s="271" t="str">
        <f>VLOOKUP(A89,'Feature Raw Data'!$A$3:$C$4067,3,FALSE)</f>
        <v>N/A</v>
      </c>
      <c r="D89" s="82" t="str" cm="1">
        <f t="array" ref="D89">_xlfn.TEXTJOIN("",TRUE,IF(ISNUMBER(SEARCH($A89,'Diags Raw Data'!$A$6:$A$4335)),CONCATENATE('Diags Raw Data'!$H$6:$H$4335,", "),""))</f>
        <v/>
      </c>
      <c r="E89" s="169" t="e">
        <f>VLOOKUP(A89,'Diags Raw Data'!$A$6:$D$4335,4,FALSE)</f>
        <v>#N/A</v>
      </c>
      <c r="F89" s="169" t="str">
        <f>VLOOKUP(A89,'Feature Raw Data'!$A$3:$E$4067,5,FALSE)</f>
        <v>Legacy</v>
      </c>
      <c r="G89" s="169" t="str">
        <f t="shared" si="33"/>
        <v>No</v>
      </c>
      <c r="H89" s="169" t="str">
        <f t="shared" si="34"/>
        <v>No</v>
      </c>
      <c r="I89" s="271">
        <f>SUMIF('Diags Raw Data'!$A$6:$A$4335,"*"&amp;$A89&amp;"*",'Diags Raw Data'!$K$6:$K$4335)</f>
        <v>0</v>
      </c>
      <c r="J89" s="179">
        <f>SUMIF('Diags Raw Data'!$A$6:$A$4335,"*"&amp;$A89&amp;"*",'Diags Raw Data'!$L$6:$L$4335)</f>
        <v>0</v>
      </c>
      <c r="K89" s="398" cm="1">
        <f t="array" ref="K89">IF(D89="",0, SUMPRODUCT(--(ISNUMBER(SEARCH($A89,'Diags Raw Data'!$A$6:$A$4335))),'Diags Raw Data'!$L$6:$L$4335,'Diags Raw Data'!$N$6:$N$4335)/J89)</f>
        <v>0</v>
      </c>
      <c r="L89" s="399" cm="1">
        <f t="array" ref="L89">IF(D89="",0, SUMPRODUCT(--(ISNUMBER(SEARCH($A89,'Diags Raw Data'!$A$6:$A$4335))),'Diags Raw Data'!$L$6:$L$4335,'Diags Raw Data'!$P$6:$P$4335)/J89)</f>
        <v>0</v>
      </c>
      <c r="M89" s="400" cm="1">
        <f t="array" ref="M89">SUMPRODUCT(--(ISNUMBER(SEARCH($A89,'Diags Raw Data'!$A$6:$A$4335))),--('Diags Raw Data'!$Q$6:$Q$4335&lt;&gt;"N/A"),'Diags Raw Data'!$R$6:$R$4335)</f>
        <v>0</v>
      </c>
      <c r="N89" s="401" cm="1">
        <f t="array" ref="N89">SUMPRODUCT(--(ISNUMBER(SEARCH($A89,'Diags Raw Data'!$A$6:$A$4335))),--('Diags Raw Data'!$Q$6:$Q$4335&lt;&gt;"N/A"),'Diags Raw Data'!$T$6:$T$4335)+SUMPRODUCT(--(ISNUMBER(SEARCH($A89,'Diags Raw Data'!$A$6:$A$4335))),--('Diags Raw Data'!$Q$6:$Q$4335&lt;&gt;"N/A"),'Diags Raw Data'!$U$6:$U$4335)</f>
        <v>0</v>
      </c>
      <c r="O89" s="428">
        <f t="shared" si="35"/>
        <v>0</v>
      </c>
      <c r="P89" s="402">
        <f>SUMIF('Diags Raw Data'!$A$6:$A$4335,"*"&amp;$A89&amp;"*",'Diags Raw Data'!$Z$6:$Z$4335)</f>
        <v>0</v>
      </c>
      <c r="Q89" s="403">
        <f>SUM(SUMIF('Diags Raw Data'!$A$6:$A$4335,"*"&amp;$A89&amp;"*",'Diags Raw Data'!$AA$6:$AA$4335),SUMIF('Diags Raw Data'!$A$6:$A$4335,"*"&amp;$A89&amp;"*",'Diags Raw Data'!$AB$6:$AB$4335))</f>
        <v>0</v>
      </c>
      <c r="R89" s="404">
        <f t="shared" si="36"/>
        <v>0</v>
      </c>
      <c r="S89" s="404">
        <f t="shared" si="37"/>
        <v>0</v>
      </c>
      <c r="T89" s="405">
        <f t="shared" si="38"/>
        <v>0</v>
      </c>
      <c r="U89" s="434" t="s">
        <v>44</v>
      </c>
      <c r="V89" s="170" t="s">
        <v>43</v>
      </c>
    </row>
    <row r="90" spans="1:22" ht="30" x14ac:dyDescent="0.25">
      <c r="A90" s="420" t="s">
        <v>1386</v>
      </c>
      <c r="B90" s="328" t="str">
        <f>VLOOKUP(A90,'Feature Raw Data'!$A$3:$B$4067,2,FALSE)</f>
        <v>GFXHUB:GCUTCL2 - Expand GRBM address bus range</v>
      </c>
      <c r="C90" s="271" t="str">
        <f>VLOOKUP(A90,'Feature Raw Data'!$A$3:$C$4067,3,FALSE)</f>
        <v>P2</v>
      </c>
      <c r="D90" s="82" t="str" cm="1">
        <f t="array" ref="D90">_xlfn.TEXTJOIN("",TRUE,IF(ISNUMBER(SEARCH($A90,'Diags Raw Data'!$A$6:$A$4335)),CONCATENATE('Diags Raw Data'!$H$6:$H$4335,", "),""))</f>
        <v/>
      </c>
      <c r="E90" s="169" t="e">
        <f>VLOOKUP(A90,'Diags Raw Data'!$A$6:$D$4335,4,FALSE)</f>
        <v>#N/A</v>
      </c>
      <c r="F90" s="169" t="str">
        <f>VLOOKUP(A90,'Feature Raw Data'!$A$3:$E$4067,5,FALSE)</f>
        <v>Legacy</v>
      </c>
      <c r="G90" s="169" t="str">
        <f t="shared" ref="G90:G100" si="39">IF(D90="","No","Yes")</f>
        <v>No</v>
      </c>
      <c r="H90" s="169" t="str">
        <f t="shared" ref="H90:H100" si="40">IF(D90="","No","Yes")</f>
        <v>No</v>
      </c>
      <c r="I90" s="271">
        <f>SUMIF('Diags Raw Data'!$A$6:$A$4335,"*"&amp;$A90&amp;"*",'Diags Raw Data'!$K$6:$K$4335)</f>
        <v>0</v>
      </c>
      <c r="J90" s="179">
        <f>SUMIF('Diags Raw Data'!$A$6:$A$4335,"*"&amp;$A90&amp;"*",'Diags Raw Data'!$L$6:$L$4335)</f>
        <v>0</v>
      </c>
      <c r="K90" s="398" cm="1">
        <f t="array" ref="K90">IF(D90="",0, SUMPRODUCT(--(ISNUMBER(SEARCH($A90,'Diags Raw Data'!$A$6:$A$4335))),'Diags Raw Data'!$L$6:$L$4335,'Diags Raw Data'!$N$6:$N$4335)/J90)</f>
        <v>0</v>
      </c>
      <c r="L90" s="399" cm="1">
        <f t="array" ref="L90">IF(D90="",0, SUMPRODUCT(--(ISNUMBER(SEARCH($A90,'Diags Raw Data'!$A$6:$A$4335))),'Diags Raw Data'!$L$6:$L$4335,'Diags Raw Data'!$P$6:$P$4335)/J90)</f>
        <v>0</v>
      </c>
      <c r="M90" s="400" cm="1">
        <f t="array" ref="M90">SUMPRODUCT(--(ISNUMBER(SEARCH($A90,'Diags Raw Data'!$A$6:$A$4335))),--('Diags Raw Data'!$Q$6:$Q$4335&lt;&gt;"N/A"),'Diags Raw Data'!$R$6:$R$4335)</f>
        <v>0</v>
      </c>
      <c r="N90" s="401" cm="1">
        <f t="array" ref="N90">SUMPRODUCT(--(ISNUMBER(SEARCH($A90,'Diags Raw Data'!$A$6:$A$4335))),--('Diags Raw Data'!$Q$6:$Q$4335&lt;&gt;"N/A"),'Diags Raw Data'!$T$6:$T$4335)+SUMPRODUCT(--(ISNUMBER(SEARCH($A90,'Diags Raw Data'!$A$6:$A$4335))),--('Diags Raw Data'!$Q$6:$Q$4335&lt;&gt;"N/A"),'Diags Raw Data'!$U$6:$U$4335)</f>
        <v>0</v>
      </c>
      <c r="O90" s="428">
        <f t="shared" ref="O90:O93" si="41">IF((M90=0),0,N90/M90)</f>
        <v>0</v>
      </c>
      <c r="P90" s="402">
        <f>SUMIF('Diags Raw Data'!$A$6:$A$4335,"*"&amp;$A90&amp;"*",'Diags Raw Data'!$Z$6:$Z$4335)</f>
        <v>0</v>
      </c>
      <c r="Q90" s="403">
        <f>SUM(SUMIF('Diags Raw Data'!$A$6:$A$4335,"*"&amp;$A90&amp;"*",'Diags Raw Data'!$AA$6:$AA$4335),SUMIF('Diags Raw Data'!$A$6:$A$4335,"*"&amp;$A90&amp;"*",'Diags Raw Data'!$AB$6:$AB$4335))</f>
        <v>0</v>
      </c>
      <c r="R90" s="404">
        <f t="shared" ref="R90:R93" si="42">IF((J90=0),0,P90/J90)</f>
        <v>0</v>
      </c>
      <c r="S90" s="404">
        <f t="shared" ref="S90:S93" si="43">IF((P90=0),0,Q90/P90)</f>
        <v>0</v>
      </c>
      <c r="T90" s="405">
        <f t="shared" ref="T90:T93" si="44">R90*S90</f>
        <v>0</v>
      </c>
      <c r="U90" s="434" t="s">
        <v>44</v>
      </c>
      <c r="V90" s="170" t="s">
        <v>43</v>
      </c>
    </row>
    <row r="91" spans="1:22" ht="345" x14ac:dyDescent="0.25">
      <c r="A91" s="420" t="s">
        <v>1094</v>
      </c>
      <c r="B91" s="328" t="str">
        <f>VLOOKUP(A91,'Feature Raw Data'!$A$3:$B$4067,2,FALSE)</f>
        <v>GFXHUB:GCUTCL2 - IO/SPA for APU system</v>
      </c>
      <c r="C91" s="271" t="str">
        <f>VLOOKUP(A91,'Feature Raw Data'!$A$3:$C$4067,3,FALSE)</f>
        <v>P2</v>
      </c>
      <c r="D91" s="82" t="str" cm="1">
        <f t="array" ref="D91">_xlfn.TEXTJOIN("",TRUE,IF(ISNUMBER(SEARCH($A91,'Diags Raw Data'!$A$6:$A$4335)),CONCATENATE('Diags Raw Data'!$H$6:$H$4335,", "),""))</f>
        <v xml:space="preserve">mhub260.1-16, mhub260.17-32, mhub260.33-46, mhub260.47-60, mhub260.61, mhub260.62, mhub260.63, mhub260.64, mhub260.80, mhub260.81, mhub260.82, mhub260.83, mhub260.84, mhub260.85, mhub260.86, mhub260.87, mhub272.1, mhub272.2, mhub272.3, </v>
      </c>
      <c r="E91" s="169" t="str">
        <f>VLOOKUP(A91,'Diags Raw Data'!$A$6:$D$4335,4,FALSE)</f>
        <v>GCHUB</v>
      </c>
      <c r="F91" s="169" t="str">
        <f>VLOOKUP(A91,'Feature Raw Data'!$A$3:$E$4067,5,FALSE)</f>
        <v>Legacy</v>
      </c>
      <c r="G91" s="169" t="str">
        <f t="shared" si="39"/>
        <v>Yes</v>
      </c>
      <c r="H91" s="169" t="str">
        <f t="shared" si="40"/>
        <v>Yes</v>
      </c>
      <c r="I91" s="271">
        <f>SUMIF('Diags Raw Data'!$A$6:$A$4335,"*"&amp;$A91&amp;"*",'Diags Raw Data'!$K$6:$K$4335)</f>
        <v>19</v>
      </c>
      <c r="J91" s="179">
        <f>SUMIF('Diags Raw Data'!$A$6:$A$4335,"*"&amp;$A91&amp;"*",'Diags Raw Data'!$L$6:$L$4335)</f>
        <v>75</v>
      </c>
      <c r="K91" s="398" cm="1">
        <f t="array" ref="K91">IF(D91="",0, SUMPRODUCT(--(ISNUMBER(SEARCH($A91,'Diags Raw Data'!$A$6:$A$4335))),'Diags Raw Data'!$L$6:$L$4335,'Diags Raw Data'!$N$6:$N$4335)/J91)</f>
        <v>1</v>
      </c>
      <c r="L91" s="399" cm="1">
        <f t="array" ref="L91">IF(D91="",0, SUMPRODUCT(--(ISNUMBER(SEARCH($A91,'Diags Raw Data'!$A$6:$A$4335))),'Diags Raw Data'!$L$6:$L$4335,'Diags Raw Data'!$P$6:$P$4335)/J91)</f>
        <v>0.2</v>
      </c>
      <c r="M91" s="400" cm="1">
        <f t="array" ref="M91">SUMPRODUCT(--(ISNUMBER(SEARCH($A91,'Diags Raw Data'!$A$6:$A$4335))),--('Diags Raw Data'!$Q$6:$Q$4335&lt;&gt;"N/A"),'Diags Raw Data'!$R$6:$R$4335)</f>
        <v>75</v>
      </c>
      <c r="N91" s="401" cm="1">
        <f t="array" ref="N91">SUMPRODUCT(--(ISNUMBER(SEARCH($A91,'Diags Raw Data'!$A$6:$A$4335))),--('Diags Raw Data'!$Q$6:$Q$4335&lt;&gt;"N/A"),'Diags Raw Data'!$T$6:$T$4335)+SUMPRODUCT(--(ISNUMBER(SEARCH($A91,'Diags Raw Data'!$A$6:$A$4335))),--('Diags Raw Data'!$Q$6:$Q$4335&lt;&gt;"N/A"),'Diags Raw Data'!$U$6:$U$4335)</f>
        <v>75</v>
      </c>
      <c r="O91" s="428">
        <f t="shared" si="41"/>
        <v>1</v>
      </c>
      <c r="P91" s="402">
        <f>SUMIF('Diags Raw Data'!$A$6:$A$4335,"*"&amp;$A91&amp;"*",'Diags Raw Data'!$Z$6:$Z$4335)</f>
        <v>0</v>
      </c>
      <c r="Q91" s="403">
        <f>SUM(SUMIF('Diags Raw Data'!$A$6:$A$4335,"*"&amp;$A91&amp;"*",'Diags Raw Data'!$AA$6:$AA$4335),SUMIF('Diags Raw Data'!$A$6:$A$4335,"*"&amp;$A91&amp;"*",'Diags Raw Data'!$AB$6:$AB$4335))</f>
        <v>0</v>
      </c>
      <c r="R91" s="404">
        <f t="shared" si="42"/>
        <v>0</v>
      </c>
      <c r="S91" s="404">
        <f t="shared" si="43"/>
        <v>0</v>
      </c>
      <c r="T91" s="405">
        <f t="shared" si="44"/>
        <v>0</v>
      </c>
      <c r="U91" s="434" t="s">
        <v>1662</v>
      </c>
      <c r="V91" s="170"/>
    </row>
    <row r="92" spans="1:22" ht="30" x14ac:dyDescent="0.25">
      <c r="A92" s="420" t="s">
        <v>795</v>
      </c>
      <c r="B92" s="328" t="str">
        <f>VLOOKUP(A92,'Feature Raw Data'!$A$3:$B$4067,2,FALSE)</f>
        <v>GFXHUB:GCUTCL2 - Remove 2MB max page size limit</v>
      </c>
      <c r="C92" s="271" t="str">
        <f>VLOOKUP(A92,'Feature Raw Data'!$A$3:$C$4067,3,FALSE)</f>
        <v>P2</v>
      </c>
      <c r="D92" s="82" t="str" cm="1">
        <f t="array" ref="D92">_xlfn.TEXTJOIN("",TRUE,IF(ISNUMBER(SEARCH($A92,'Diags Raw Data'!$A$6:$A$4335)),CONCATENATE('Diags Raw Data'!$H$6:$H$4335,", "),""))</f>
        <v xml:space="preserve">mhub249, </v>
      </c>
      <c r="E92" s="169" t="str">
        <f>VLOOKUP(A92,'Diags Raw Data'!$A$6:$D$4335,4,FALSE)</f>
        <v>GCHUB</v>
      </c>
      <c r="F92" s="169" t="str">
        <f>VLOOKUP(A92,'Feature Raw Data'!$A$3:$E$4067,5,FALSE)</f>
        <v>Legacy</v>
      </c>
      <c r="G92" s="169" t="str">
        <f t="shared" si="39"/>
        <v>Yes</v>
      </c>
      <c r="H92" s="169" t="str">
        <f t="shared" si="40"/>
        <v>Yes</v>
      </c>
      <c r="I92" s="271">
        <f>SUMIF('Diags Raw Data'!$A$6:$A$4335,"*"&amp;$A92&amp;"*",'Diags Raw Data'!$K$6:$K$4335)</f>
        <v>1</v>
      </c>
      <c r="J92" s="179">
        <f>SUMIF('Diags Raw Data'!$A$6:$A$4335,"*"&amp;$A92&amp;"*",'Diags Raw Data'!$L$6:$L$4335)</f>
        <v>1</v>
      </c>
      <c r="K92" s="398" cm="1">
        <f t="array" ref="K92">IF(D92="",0, SUMPRODUCT(--(ISNUMBER(SEARCH($A92,'Diags Raw Data'!$A$6:$A$4335))),'Diags Raw Data'!$L$6:$L$4335,'Diags Raw Data'!$N$6:$N$4335)/J92)</f>
        <v>1</v>
      </c>
      <c r="L92" s="399" cm="1">
        <f t="array" ref="L92">IF(D92="",0, SUMPRODUCT(--(ISNUMBER(SEARCH($A92,'Diags Raw Data'!$A$6:$A$4335))),'Diags Raw Data'!$L$6:$L$4335,'Diags Raw Data'!$P$6:$P$4335)/J92)</f>
        <v>1</v>
      </c>
      <c r="M92" s="400" cm="1">
        <f t="array" ref="M92">SUMPRODUCT(--(ISNUMBER(SEARCH($A92,'Diags Raw Data'!$A$6:$A$4335))),--('Diags Raw Data'!$Q$6:$Q$4335&lt;&gt;"N/A"),'Diags Raw Data'!$R$6:$R$4335)</f>
        <v>1</v>
      </c>
      <c r="N92" s="401" cm="1">
        <f t="array" ref="N92">SUMPRODUCT(--(ISNUMBER(SEARCH($A92,'Diags Raw Data'!$A$6:$A$4335))),--('Diags Raw Data'!$Q$6:$Q$4335&lt;&gt;"N/A"),'Diags Raw Data'!$T$6:$T$4335)+SUMPRODUCT(--(ISNUMBER(SEARCH($A92,'Diags Raw Data'!$A$6:$A$4335))),--('Diags Raw Data'!$Q$6:$Q$4335&lt;&gt;"N/A"),'Diags Raw Data'!$U$6:$U$4335)</f>
        <v>1</v>
      </c>
      <c r="O92" s="428">
        <f t="shared" si="41"/>
        <v>1</v>
      </c>
      <c r="P92" s="402">
        <f>SUMIF('Diags Raw Data'!$A$6:$A$4335,"*"&amp;$A92&amp;"*",'Diags Raw Data'!$Z$6:$Z$4335)</f>
        <v>0</v>
      </c>
      <c r="Q92" s="403">
        <f>SUM(SUMIF('Diags Raw Data'!$A$6:$A$4335,"*"&amp;$A92&amp;"*",'Diags Raw Data'!$AA$6:$AA$4335),SUMIF('Diags Raw Data'!$A$6:$A$4335,"*"&amp;$A92&amp;"*",'Diags Raw Data'!$AB$6:$AB$4335))</f>
        <v>0</v>
      </c>
      <c r="R92" s="404">
        <f t="shared" si="42"/>
        <v>0</v>
      </c>
      <c r="S92" s="404">
        <f t="shared" si="43"/>
        <v>0</v>
      </c>
      <c r="T92" s="405">
        <f t="shared" si="44"/>
        <v>0</v>
      </c>
      <c r="U92" s="434" t="s">
        <v>1654</v>
      </c>
      <c r="V92" s="170"/>
    </row>
    <row r="93" spans="1:22" x14ac:dyDescent="0.25">
      <c r="A93" s="420" t="s">
        <v>1395</v>
      </c>
      <c r="B93" s="328" t="str">
        <f>VLOOKUP(A93,'Feature Raw Data'!$A$3:$B$4067,2,FALSE)</f>
        <v>GFXHUB:GCUTCL2 - Programmable credits</v>
      </c>
      <c r="C93" s="271" t="str">
        <f>VLOOKUP(A93,'Feature Raw Data'!$A$3:$C$4067,3,FALSE)</f>
        <v>N/A</v>
      </c>
      <c r="D93" s="82" t="str" cm="1">
        <f t="array" ref="D93">_xlfn.TEXTJOIN("",TRUE,IF(ISNUMBER(SEARCH($A93,'Diags Raw Data'!$A$6:$A$4335)),CONCATENATE('Diags Raw Data'!$H$6:$H$4335,", "),""))</f>
        <v/>
      </c>
      <c r="E93" s="169" t="e">
        <f>VLOOKUP(A93,'Diags Raw Data'!$A$6:$D$4335,4,FALSE)</f>
        <v>#N/A</v>
      </c>
      <c r="F93" s="169" t="str">
        <f>VLOOKUP(A93,'Feature Raw Data'!$A$3:$E$4067,5,FALSE)</f>
        <v>Legacy</v>
      </c>
      <c r="G93" s="169" t="str">
        <f t="shared" si="39"/>
        <v>No</v>
      </c>
      <c r="H93" s="169" t="str">
        <f t="shared" si="40"/>
        <v>No</v>
      </c>
      <c r="I93" s="271">
        <f>SUMIF('Diags Raw Data'!$A$6:$A$4335,"*"&amp;$A93&amp;"*",'Diags Raw Data'!$K$6:$K$4335)</f>
        <v>0</v>
      </c>
      <c r="J93" s="179">
        <f>SUMIF('Diags Raw Data'!$A$6:$A$4335,"*"&amp;$A93&amp;"*",'Diags Raw Data'!$L$6:$L$4335)</f>
        <v>0</v>
      </c>
      <c r="K93" s="398" cm="1">
        <f t="array" ref="K93">IF(D93="",0, SUMPRODUCT(--(ISNUMBER(SEARCH($A93,'Diags Raw Data'!$A$6:$A$4335))),'Diags Raw Data'!$L$6:$L$4335,'Diags Raw Data'!$N$6:$N$4335)/J93)</f>
        <v>0</v>
      </c>
      <c r="L93" s="399" cm="1">
        <f t="array" ref="L93">IF(D93="",0, SUMPRODUCT(--(ISNUMBER(SEARCH($A93,'Diags Raw Data'!$A$6:$A$4335))),'Diags Raw Data'!$L$6:$L$4335,'Diags Raw Data'!$P$6:$P$4335)/J93)</f>
        <v>0</v>
      </c>
      <c r="M93" s="400" cm="1">
        <f t="array" ref="M93">SUMPRODUCT(--(ISNUMBER(SEARCH($A93,'Diags Raw Data'!$A$6:$A$4335))),--('Diags Raw Data'!$Q$6:$Q$4335&lt;&gt;"N/A"),'Diags Raw Data'!$R$6:$R$4335)</f>
        <v>0</v>
      </c>
      <c r="N93" s="401" cm="1">
        <f t="array" ref="N93">SUMPRODUCT(--(ISNUMBER(SEARCH($A93,'Diags Raw Data'!$A$6:$A$4335))),--('Diags Raw Data'!$Q$6:$Q$4335&lt;&gt;"N/A"),'Diags Raw Data'!$T$6:$T$4335)+SUMPRODUCT(--(ISNUMBER(SEARCH($A93,'Diags Raw Data'!$A$6:$A$4335))),--('Diags Raw Data'!$Q$6:$Q$4335&lt;&gt;"N/A"),'Diags Raw Data'!$U$6:$U$4335)</f>
        <v>0</v>
      </c>
      <c r="O93" s="428">
        <f t="shared" si="41"/>
        <v>0</v>
      </c>
      <c r="P93" s="402">
        <f>SUMIF('Diags Raw Data'!$A$6:$A$4335,"*"&amp;$A93&amp;"*",'Diags Raw Data'!$Z$6:$Z$4335)</f>
        <v>0</v>
      </c>
      <c r="Q93" s="403">
        <f>SUM(SUMIF('Diags Raw Data'!$A$6:$A$4335,"*"&amp;$A93&amp;"*",'Diags Raw Data'!$AA$6:$AA$4335),SUMIF('Diags Raw Data'!$A$6:$A$4335,"*"&amp;$A93&amp;"*",'Diags Raw Data'!$AB$6:$AB$4335))</f>
        <v>0</v>
      </c>
      <c r="R93" s="404">
        <f t="shared" si="42"/>
        <v>0</v>
      </c>
      <c r="S93" s="404">
        <f t="shared" si="43"/>
        <v>0</v>
      </c>
      <c r="T93" s="405">
        <f t="shared" si="44"/>
        <v>0</v>
      </c>
      <c r="U93" s="434" t="s">
        <v>44</v>
      </c>
      <c r="V93" s="170" t="s">
        <v>43</v>
      </c>
    </row>
    <row r="94" spans="1:22" ht="330" x14ac:dyDescent="0.25">
      <c r="A94" s="420" t="s">
        <v>700</v>
      </c>
      <c r="B94" s="328" t="str">
        <f>VLOOKUP(A94,'Feature Raw Data'!$A$3:$B$4067,2,FALSE)</f>
        <v>GFXHUB:GCUTCL2:VML2 - Caches</v>
      </c>
      <c r="C94" s="271" t="str">
        <f>VLOOKUP(A94,'Feature Raw Data'!$A$3:$C$4067,3,FALSE)</f>
        <v>P2</v>
      </c>
      <c r="D94" s="82" t="str" cm="1">
        <f t="array" ref="D94">_xlfn.TEXTJOIN("",TRUE,IF(ISNUMBER(SEARCH($A94,'Diags Raw Data'!$A$6:$A$4335)),CONCATENATE('Diags Raw Data'!$H$6:$H$4335,", "),""))</f>
        <v xml:space="preserve">mhub231.1, mhub231.2, mhub231.3, mhub231.4, mhub231.5, mhub231.6, mhub231.7, mhub231.8-9, mhub232.1, mhub232.2, mhub232.3, mhub232.4, mhub232.5, mhub232.6, mhub232.7, mhub232.8, mhub233.1, mhub233.2, mhub233.3, mhub237.1,mhub237.3, </v>
      </c>
      <c r="E94" s="169" t="str">
        <f>VLOOKUP(A94,'Diags Raw Data'!$A$6:$D$4335,4,FALSE)</f>
        <v>GCHUB</v>
      </c>
      <c r="F94" s="169" t="str">
        <f>VLOOKUP(A94,'Feature Raw Data'!$A$3:$E$4067,5,FALSE)</f>
        <v>Legacy</v>
      </c>
      <c r="G94" s="169" t="str">
        <f t="shared" si="39"/>
        <v>Yes</v>
      </c>
      <c r="H94" s="169" t="str">
        <f t="shared" si="40"/>
        <v>Yes</v>
      </c>
      <c r="I94" s="271">
        <f>SUMIF('Diags Raw Data'!$A$6:$A$4335,"*"&amp;$A94&amp;"*",'Diags Raw Data'!$K$6:$K$4335)</f>
        <v>20</v>
      </c>
      <c r="J94" s="179">
        <f>SUMIF('Diags Raw Data'!$A$6:$A$4335,"*"&amp;$A94&amp;"*",'Diags Raw Data'!$L$6:$L$4335)</f>
        <v>22</v>
      </c>
      <c r="K94" s="398" cm="1">
        <f t="array" ref="K94">IF(D94="",0, SUMPRODUCT(--(ISNUMBER(SEARCH($A94,'Diags Raw Data'!$A$6:$A$4335))),'Diags Raw Data'!$L$6:$L$4335,'Diags Raw Data'!$N$6:$N$4335)/J94)</f>
        <v>1</v>
      </c>
      <c r="L94" s="399" cm="1">
        <f t="array" ref="L94">IF(D94="",0, SUMPRODUCT(--(ISNUMBER(SEARCH($A94,'Diags Raw Data'!$A$6:$A$4335))),'Diags Raw Data'!$L$6:$L$4335,'Diags Raw Data'!$P$6:$P$4335)/J94)</f>
        <v>1</v>
      </c>
      <c r="M94" s="400" cm="1">
        <f t="array" ref="M94">SUMPRODUCT(--(ISNUMBER(SEARCH($A94,'Diags Raw Data'!$A$6:$A$4335))),--('Diags Raw Data'!$Q$6:$Q$4335&lt;&gt;"N/A"),'Diags Raw Data'!$R$6:$R$4335)</f>
        <v>22</v>
      </c>
      <c r="N94" s="401" cm="1">
        <f t="array" ref="N94">SUMPRODUCT(--(ISNUMBER(SEARCH($A94,'Diags Raw Data'!$A$6:$A$4335))),--('Diags Raw Data'!$Q$6:$Q$4335&lt;&gt;"N/A"),'Diags Raw Data'!$T$6:$T$4335)+SUMPRODUCT(--(ISNUMBER(SEARCH($A94,'Diags Raw Data'!$A$6:$A$4335))),--('Diags Raw Data'!$Q$6:$Q$4335&lt;&gt;"N/A"),'Diags Raw Data'!$U$6:$U$4335)</f>
        <v>22</v>
      </c>
      <c r="O94" s="428">
        <f t="shared" ref="O94:O100" si="45">IF((M94=0),0,N94/M94)</f>
        <v>1</v>
      </c>
      <c r="P94" s="402">
        <f>SUMIF('Diags Raw Data'!$A$6:$A$4335,"*"&amp;$A94&amp;"*",'Diags Raw Data'!$Z$6:$Z$4335)</f>
        <v>0</v>
      </c>
      <c r="Q94" s="403">
        <f>SUM(SUMIF('Diags Raw Data'!$A$6:$A$4335,"*"&amp;$A94&amp;"*",'Diags Raw Data'!$AA$6:$AA$4335),SUMIF('Diags Raw Data'!$A$6:$A$4335,"*"&amp;$A94&amp;"*",'Diags Raw Data'!$AB$6:$AB$4335))</f>
        <v>0</v>
      </c>
      <c r="R94" s="404">
        <f t="shared" ref="R94:R100" si="46">IF((J94=0),0,P94/J94)</f>
        <v>0</v>
      </c>
      <c r="S94" s="404">
        <f t="shared" ref="S94:S100" si="47">IF((P94=0),0,Q94/P94)</f>
        <v>0</v>
      </c>
      <c r="T94" s="405">
        <f t="shared" ref="T94:T100" si="48">R94*S94</f>
        <v>0</v>
      </c>
      <c r="U94" s="434" t="s">
        <v>1658</v>
      </c>
      <c r="V94" s="170"/>
    </row>
    <row r="95" spans="1:22" ht="30" x14ac:dyDescent="0.25">
      <c r="A95" s="420" t="s">
        <v>1410</v>
      </c>
      <c r="B95" s="328" t="str">
        <f>VLOOKUP(A95,'Feature Raw Data'!$A$3:$B$4067,2,FALSE)</f>
        <v>GFXHUB:GCUTCL2:VML2 - GPUVM fault status register</v>
      </c>
      <c r="C95" s="271" t="str">
        <f>VLOOKUP(A95,'Feature Raw Data'!$A$3:$C$4067,3,FALSE)</f>
        <v>P1</v>
      </c>
      <c r="D95" s="82" t="str" cm="1">
        <f t="array" ref="D95">_xlfn.TEXTJOIN("",TRUE,IF(ISNUMBER(SEARCH($A95,'Diags Raw Data'!$A$6:$A$4335)),CONCATENATE('Diags Raw Data'!$H$6:$H$4335,", "),""))</f>
        <v xml:space="preserve">mhub287, </v>
      </c>
      <c r="E95" s="169" t="str">
        <f>VLOOKUP(A95,'Diags Raw Data'!$A$6:$D$4335,4,FALSE)</f>
        <v>GCHUB</v>
      </c>
      <c r="F95" s="169" t="str">
        <f>VLOOKUP(A95,'Feature Raw Data'!$A$3:$E$4067,5,FALSE)</f>
        <v>Delta</v>
      </c>
      <c r="G95" s="169" t="str">
        <f t="shared" si="39"/>
        <v>Yes</v>
      </c>
      <c r="H95" s="169" t="str">
        <f t="shared" si="40"/>
        <v>Yes</v>
      </c>
      <c r="I95" s="271">
        <f>SUMIF('Diags Raw Data'!$A$6:$A$4335,"*"&amp;$A95&amp;"*",'Diags Raw Data'!$K$6:$K$4335)</f>
        <v>1</v>
      </c>
      <c r="J95" s="179">
        <f>SUMIF('Diags Raw Data'!$A$6:$A$4335,"*"&amp;$A95&amp;"*",'Diags Raw Data'!$L$6:$L$4335)</f>
        <v>1</v>
      </c>
      <c r="K95" s="398" cm="1">
        <f t="array" ref="K95">IF(D95="",0, SUMPRODUCT(--(ISNUMBER(SEARCH($A95,'Diags Raw Data'!$A$6:$A$4335))),'Diags Raw Data'!$L$6:$L$4335,'Diags Raw Data'!$N$6:$N$4335)/J95)</f>
        <v>1</v>
      </c>
      <c r="L95" s="399" cm="1">
        <f t="array" ref="L95">IF(D95="",0, SUMPRODUCT(--(ISNUMBER(SEARCH($A95,'Diags Raw Data'!$A$6:$A$4335))),'Diags Raw Data'!$L$6:$L$4335,'Diags Raw Data'!$P$6:$P$4335)/J95)</f>
        <v>1</v>
      </c>
      <c r="M95" s="400" cm="1">
        <f t="array" ref="M95">SUMPRODUCT(--(ISNUMBER(SEARCH($A95,'Diags Raw Data'!$A$6:$A$4335))),--('Diags Raw Data'!$Q$6:$Q$4335&lt;&gt;"N/A"),'Diags Raw Data'!$R$6:$R$4335)</f>
        <v>1</v>
      </c>
      <c r="N95" s="401" cm="1">
        <f t="array" ref="N95">SUMPRODUCT(--(ISNUMBER(SEARCH($A95,'Diags Raw Data'!$A$6:$A$4335))),--('Diags Raw Data'!$Q$6:$Q$4335&lt;&gt;"N/A"),'Diags Raw Data'!$T$6:$T$4335)+SUMPRODUCT(--(ISNUMBER(SEARCH($A95,'Diags Raw Data'!$A$6:$A$4335))),--('Diags Raw Data'!$Q$6:$Q$4335&lt;&gt;"N/A"),'Diags Raw Data'!$U$6:$U$4335)</f>
        <v>1</v>
      </c>
      <c r="O95" s="428">
        <f t="shared" si="45"/>
        <v>1</v>
      </c>
      <c r="P95" s="402">
        <f>SUMIF('Diags Raw Data'!$A$6:$A$4335,"*"&amp;$A95&amp;"*",'Diags Raw Data'!$Z$6:$Z$4335)</f>
        <v>0</v>
      </c>
      <c r="Q95" s="403">
        <f>SUM(SUMIF('Diags Raw Data'!$A$6:$A$4335,"*"&amp;$A95&amp;"*",'Diags Raw Data'!$AA$6:$AA$4335),SUMIF('Diags Raw Data'!$A$6:$A$4335,"*"&amp;$A95&amp;"*",'Diags Raw Data'!$AB$6:$AB$4335))</f>
        <v>0</v>
      </c>
      <c r="R95" s="404">
        <f t="shared" si="46"/>
        <v>0</v>
      </c>
      <c r="S95" s="404">
        <f t="shared" si="47"/>
        <v>0</v>
      </c>
      <c r="T95" s="405">
        <f t="shared" si="48"/>
        <v>0</v>
      </c>
      <c r="U95" s="434" t="s">
        <v>1652</v>
      </c>
      <c r="V95" s="170"/>
    </row>
    <row r="96" spans="1:22" ht="45" x14ac:dyDescent="0.25">
      <c r="A96" s="420" t="s">
        <v>1412</v>
      </c>
      <c r="B96" s="328" t="str">
        <f>VLOOKUP(A96,'Feature Raw Data'!$A$3:$B$4067,2,FALSE)</f>
        <v>GFXHUB:GCUTCL2:VML2 - Common PSP-only default page</v>
      </c>
      <c r="C96" s="271" t="str">
        <f>VLOOKUP(A96,'Feature Raw Data'!$A$3:$C$4067,3,FALSE)</f>
        <v>P2</v>
      </c>
      <c r="D96" s="82" t="str" cm="1">
        <f t="array" ref="D96">_xlfn.TEXTJOIN("",TRUE,IF(ISNUMBER(SEARCH($A96,'Diags Raw Data'!$A$6:$A$4335)),CONCATENATE('Diags Raw Data'!$H$6:$H$4335,", "),""))</f>
        <v xml:space="preserve">mhub291.1-4, mhub291.5-6, </v>
      </c>
      <c r="E96" s="169" t="str">
        <f>VLOOKUP(A96,'Diags Raw Data'!$A$6:$D$4335,4,FALSE)</f>
        <v>GCHUB</v>
      </c>
      <c r="F96" s="169" t="str">
        <f>VLOOKUP(A96,'Feature Raw Data'!$A$3:$E$4067,5,FALSE)</f>
        <v>Legacy</v>
      </c>
      <c r="G96" s="169" t="str">
        <f t="shared" si="39"/>
        <v>Yes</v>
      </c>
      <c r="H96" s="169" t="str">
        <f t="shared" si="40"/>
        <v>Yes</v>
      </c>
      <c r="I96" s="271">
        <f>SUMIF('Diags Raw Data'!$A$6:$A$4335,"*"&amp;$A96&amp;"*",'Diags Raw Data'!$K$6:$K$4335)</f>
        <v>12</v>
      </c>
      <c r="J96" s="179">
        <f>SUMIF('Diags Raw Data'!$A$6:$A$4335,"*"&amp;$A96&amp;"*",'Diags Raw Data'!$L$6:$L$4335)</f>
        <v>6</v>
      </c>
      <c r="K96" s="398" cm="1">
        <f t="array" ref="K96">IF(D96="",0, SUMPRODUCT(--(ISNUMBER(SEARCH($A96,'Diags Raw Data'!$A$6:$A$4335))),'Diags Raw Data'!$L$6:$L$4335,'Diags Raw Data'!$N$6:$N$4335)/J96)</f>
        <v>1</v>
      </c>
      <c r="L96" s="399" cm="1">
        <f t="array" ref="L96">IF(D96="",0, SUMPRODUCT(--(ISNUMBER(SEARCH($A96,'Diags Raw Data'!$A$6:$A$4335))),'Diags Raw Data'!$L$6:$L$4335,'Diags Raw Data'!$P$6:$P$4335)/J96)</f>
        <v>1</v>
      </c>
      <c r="M96" s="400" cm="1">
        <f t="array" ref="M96">SUMPRODUCT(--(ISNUMBER(SEARCH($A96,'Diags Raw Data'!$A$6:$A$4335))),--('Diags Raw Data'!$Q$6:$Q$4335&lt;&gt;"N/A"),'Diags Raw Data'!$R$6:$R$4335)</f>
        <v>6</v>
      </c>
      <c r="N96" s="401" cm="1">
        <f t="array" ref="N96">SUMPRODUCT(--(ISNUMBER(SEARCH($A96,'Diags Raw Data'!$A$6:$A$4335))),--('Diags Raw Data'!$Q$6:$Q$4335&lt;&gt;"N/A"),'Diags Raw Data'!$T$6:$T$4335)+SUMPRODUCT(--(ISNUMBER(SEARCH($A96,'Diags Raw Data'!$A$6:$A$4335))),--('Diags Raw Data'!$Q$6:$Q$4335&lt;&gt;"N/A"),'Diags Raw Data'!$U$6:$U$4335)</f>
        <v>6</v>
      </c>
      <c r="O96" s="428">
        <f t="shared" si="45"/>
        <v>1</v>
      </c>
      <c r="P96" s="402">
        <f>SUMIF('Diags Raw Data'!$A$6:$A$4335,"*"&amp;$A96&amp;"*",'Diags Raw Data'!$Z$6:$Z$4335)</f>
        <v>0</v>
      </c>
      <c r="Q96" s="403">
        <f>SUM(SUMIF('Diags Raw Data'!$A$6:$A$4335,"*"&amp;$A96&amp;"*",'Diags Raw Data'!$AA$6:$AA$4335),SUMIF('Diags Raw Data'!$A$6:$A$4335,"*"&amp;$A96&amp;"*",'Diags Raw Data'!$AB$6:$AB$4335))</f>
        <v>0</v>
      </c>
      <c r="R96" s="404">
        <f t="shared" si="46"/>
        <v>0</v>
      </c>
      <c r="S96" s="404">
        <f t="shared" si="47"/>
        <v>0</v>
      </c>
      <c r="T96" s="405">
        <f t="shared" si="48"/>
        <v>0</v>
      </c>
      <c r="U96" s="434" t="s">
        <v>1659</v>
      </c>
      <c r="V96" s="170"/>
    </row>
    <row r="97" spans="1:22" ht="14.65" customHeight="1" x14ac:dyDescent="0.25">
      <c r="A97" s="420" t="s">
        <v>1413</v>
      </c>
      <c r="B97" s="328" t="str">
        <f>VLOOKUP(A97,'Feature Raw Data'!$A$3:$B$4067,2,FALSE)</f>
        <v>GFXHUB:GCUTCL2:VML2 - GPUVA,VMID translation assist</v>
      </c>
      <c r="C97" s="271" t="str">
        <f>VLOOKUP(A97,'Feature Raw Data'!$A$3:$C$4067,3,FALSE)</f>
        <v>P3</v>
      </c>
      <c r="D97" s="82" t="str" cm="1">
        <f t="array" ref="D97">_xlfn.TEXTJOIN("",TRUE,IF(ISNUMBER(SEARCH($A97,'Diags Raw Data'!$A$6:$A$4335)),CONCATENATE('Diags Raw Data'!$H$6:$H$4335,", "),""))</f>
        <v xml:space="preserve">mhub260.1-16, mhub260.17-32, mhub260.33-46, mhub260.47-60, mhub260.61, mhub260.62, mhub260.63, mhub260.64, mhub260.80, mhub260.81, mhub260.82, mhub260.83, mhub260.84, mhub260.85, mhub260.86, mhub260.87, </v>
      </c>
      <c r="E97" s="169" t="str">
        <f>VLOOKUP(A97,'Diags Raw Data'!$A$6:$D$4335,4,FALSE)</f>
        <v>GCHUB</v>
      </c>
      <c r="F97" s="169" t="str">
        <f>VLOOKUP(A97,'Feature Raw Data'!$A$3:$E$4067,5,FALSE)</f>
        <v>Legacy</v>
      </c>
      <c r="G97" s="169" t="str">
        <f t="shared" si="39"/>
        <v>Yes</v>
      </c>
      <c r="H97" s="169" t="str">
        <f t="shared" si="40"/>
        <v>Yes</v>
      </c>
      <c r="I97" s="271">
        <f>SUMIF('Diags Raw Data'!$A$6:$A$4335,"*"&amp;$A97&amp;"*",'Diags Raw Data'!$K$6:$K$4335)</f>
        <v>16</v>
      </c>
      <c r="J97" s="179">
        <f>SUMIF('Diags Raw Data'!$A$6:$A$4335,"*"&amp;$A97&amp;"*",'Diags Raw Data'!$L$6:$L$4335)</f>
        <v>72</v>
      </c>
      <c r="K97" s="398" cm="1">
        <f t="array" ref="K97">IF(D97="",0, SUMPRODUCT(--(ISNUMBER(SEARCH($A97,'Diags Raw Data'!$A$6:$A$4335))),'Diags Raw Data'!$L$6:$L$4335,'Diags Raw Data'!$N$6:$N$4335)/J97)</f>
        <v>1</v>
      </c>
      <c r="L97" s="399" cm="1">
        <f t="array" ref="L97">IF(D97="",0, SUMPRODUCT(--(ISNUMBER(SEARCH($A97,'Diags Raw Data'!$A$6:$A$4335))),'Diags Raw Data'!$L$6:$L$4335,'Diags Raw Data'!$P$6:$P$4335)/J97)</f>
        <v>0.16666666666666666</v>
      </c>
      <c r="M97" s="400" cm="1">
        <f t="array" ref="M97">SUMPRODUCT(--(ISNUMBER(SEARCH($A97,'Diags Raw Data'!$A$6:$A$4335))),--('Diags Raw Data'!$Q$6:$Q$4335&lt;&gt;"N/A"),'Diags Raw Data'!$R$6:$R$4335)</f>
        <v>72</v>
      </c>
      <c r="N97" s="401" cm="1">
        <f t="array" ref="N97">SUMPRODUCT(--(ISNUMBER(SEARCH($A97,'Diags Raw Data'!$A$6:$A$4335))),--('Diags Raw Data'!$Q$6:$Q$4335&lt;&gt;"N/A"),'Diags Raw Data'!$T$6:$T$4335)+SUMPRODUCT(--(ISNUMBER(SEARCH($A97,'Diags Raw Data'!$A$6:$A$4335))),--('Diags Raw Data'!$Q$6:$Q$4335&lt;&gt;"N/A"),'Diags Raw Data'!$U$6:$U$4335)</f>
        <v>72</v>
      </c>
      <c r="O97" s="428">
        <f t="shared" si="45"/>
        <v>1</v>
      </c>
      <c r="P97" s="402">
        <f>SUMIF('Diags Raw Data'!$A$6:$A$4335,"*"&amp;$A97&amp;"*",'Diags Raw Data'!$Z$6:$Z$4335)</f>
        <v>0</v>
      </c>
      <c r="Q97" s="403">
        <f>SUM(SUMIF('Diags Raw Data'!$A$6:$A$4335,"*"&amp;$A97&amp;"*",'Diags Raw Data'!$AA$6:$AA$4335),SUMIF('Diags Raw Data'!$A$6:$A$4335,"*"&amp;$A97&amp;"*",'Diags Raw Data'!$AB$6:$AB$4335))</f>
        <v>0</v>
      </c>
      <c r="R97" s="404">
        <f t="shared" si="46"/>
        <v>0</v>
      </c>
      <c r="S97" s="404">
        <f t="shared" si="47"/>
        <v>0</v>
      </c>
      <c r="T97" s="405">
        <f t="shared" si="48"/>
        <v>0</v>
      </c>
      <c r="U97" s="434" t="s">
        <v>1662</v>
      </c>
      <c r="V97" s="170"/>
    </row>
    <row r="98" spans="1:22" ht="14.65" customHeight="1" x14ac:dyDescent="0.25">
      <c r="A98" s="420" t="s">
        <v>809</v>
      </c>
      <c r="B98" s="328" t="str">
        <f>VLOOKUP(A98,'Feature Raw Data'!$A$3:$B$4067,2,FALSE)</f>
        <v>GFXHUB:GCUTCL2:VML2 - GPUVM Table Walks to Sysmem</v>
      </c>
      <c r="C98" s="271" t="str">
        <f>VLOOKUP(A98,'Feature Raw Data'!$A$3:$C$4067,3,FALSE)</f>
        <v>P2</v>
      </c>
      <c r="D98" s="82" t="str" cm="1">
        <f t="array" ref="D98">_xlfn.TEXTJOIN("",TRUE,IF(ISNUMBER(SEARCH($A98,'Diags Raw Data'!$A$6:$A$4335)),CONCATENATE('Diags Raw Data'!$H$6:$H$4335,", "),""))</f>
        <v xml:space="preserve">mhub258.1, mhub258.2, mhub258.3, mhub258.4, mhub258.5, mhub258.6, </v>
      </c>
      <c r="E98" s="169" t="str">
        <f>VLOOKUP(A98,'Diags Raw Data'!$A$6:$D$4335,4,FALSE)</f>
        <v>GCHUB</v>
      </c>
      <c r="F98" s="169" t="str">
        <f>VLOOKUP(A98,'Feature Raw Data'!$A$3:$E$4067,5,FALSE)</f>
        <v>Legacy</v>
      </c>
      <c r="G98" s="169" t="str">
        <f t="shared" si="39"/>
        <v>Yes</v>
      </c>
      <c r="H98" s="169" t="str">
        <f t="shared" si="40"/>
        <v>Yes</v>
      </c>
      <c r="I98" s="271">
        <f>SUMIF('Diags Raw Data'!$A$6:$A$4335,"*"&amp;$A98&amp;"*",'Diags Raw Data'!$K$6:$K$4335)</f>
        <v>6</v>
      </c>
      <c r="J98" s="179">
        <f>SUMIF('Diags Raw Data'!$A$6:$A$4335,"*"&amp;$A98&amp;"*",'Diags Raw Data'!$L$6:$L$4335)</f>
        <v>6</v>
      </c>
      <c r="K98" s="398" cm="1">
        <f t="array" ref="K98">IF(D98="",0, SUMPRODUCT(--(ISNUMBER(SEARCH($A98,'Diags Raw Data'!$A$6:$A$4335))),'Diags Raw Data'!$L$6:$L$4335,'Diags Raw Data'!$N$6:$N$4335)/J98)</f>
        <v>1</v>
      </c>
      <c r="L98" s="399" cm="1">
        <f t="array" ref="L98">IF(D98="",0, SUMPRODUCT(--(ISNUMBER(SEARCH($A98,'Diags Raw Data'!$A$6:$A$4335))),'Diags Raw Data'!$L$6:$L$4335,'Diags Raw Data'!$P$6:$P$4335)/J98)</f>
        <v>1</v>
      </c>
      <c r="M98" s="400" cm="1">
        <f t="array" ref="M98">SUMPRODUCT(--(ISNUMBER(SEARCH($A98,'Diags Raw Data'!$A$6:$A$4335))),--('Diags Raw Data'!$Q$6:$Q$4335&lt;&gt;"N/A"),'Diags Raw Data'!$R$6:$R$4335)</f>
        <v>6</v>
      </c>
      <c r="N98" s="401" cm="1">
        <f t="array" ref="N98">SUMPRODUCT(--(ISNUMBER(SEARCH($A98,'Diags Raw Data'!$A$6:$A$4335))),--('Diags Raw Data'!$Q$6:$Q$4335&lt;&gt;"N/A"),'Diags Raw Data'!$T$6:$T$4335)+SUMPRODUCT(--(ISNUMBER(SEARCH($A98,'Diags Raw Data'!$A$6:$A$4335))),--('Diags Raw Data'!$Q$6:$Q$4335&lt;&gt;"N/A"),'Diags Raw Data'!$U$6:$U$4335)</f>
        <v>6</v>
      </c>
      <c r="O98" s="428">
        <f t="shared" si="45"/>
        <v>1</v>
      </c>
      <c r="P98" s="402">
        <f>SUMIF('Diags Raw Data'!$A$6:$A$4335,"*"&amp;$A98&amp;"*",'Diags Raw Data'!$Z$6:$Z$4335)</f>
        <v>0</v>
      </c>
      <c r="Q98" s="403">
        <f>SUM(SUMIF('Diags Raw Data'!$A$6:$A$4335,"*"&amp;$A98&amp;"*",'Diags Raw Data'!$AA$6:$AA$4335),SUMIF('Diags Raw Data'!$A$6:$A$4335,"*"&amp;$A98&amp;"*",'Diags Raw Data'!$AB$6:$AB$4335))</f>
        <v>0</v>
      </c>
      <c r="R98" s="404">
        <f t="shared" si="46"/>
        <v>0</v>
      </c>
      <c r="S98" s="404">
        <f t="shared" si="47"/>
        <v>0</v>
      </c>
      <c r="T98" s="405">
        <f t="shared" si="48"/>
        <v>0</v>
      </c>
      <c r="U98" s="434" t="s">
        <v>1657</v>
      </c>
      <c r="V98" s="170"/>
    </row>
    <row r="99" spans="1:22" ht="75" x14ac:dyDescent="0.25">
      <c r="A99" s="420" t="s">
        <v>783</v>
      </c>
      <c r="B99" s="328" t="str">
        <f>VLOOKUP(A99,'Feature Raw Data'!$A$3:$B$4067,2,FALSE)</f>
        <v>GFXHUB:GCUTCL2:VML2 - Translation bypass by VMID</v>
      </c>
      <c r="C99" s="271" t="str">
        <f>VLOOKUP(A99,'Feature Raw Data'!$A$3:$C$4067,3,FALSE)</f>
        <v>P2</v>
      </c>
      <c r="D99" s="82" t="str" cm="1">
        <f t="array" ref="D99">_xlfn.TEXTJOIN("",TRUE,IF(ISNUMBER(SEARCH($A99,'Diags Raw Data'!$A$6:$A$4335)),CONCATENATE('Diags Raw Data'!$H$6:$H$4335,", "),""))</f>
        <v xml:space="preserve">mhub246.1-8, mhub259.1-32, mhub260.47-60, </v>
      </c>
      <c r="E99" s="169" t="str">
        <f>VLOOKUP(A99,'Diags Raw Data'!$A$6:$D$4335,4,FALSE)</f>
        <v>GCHUB</v>
      </c>
      <c r="F99" s="169" t="str">
        <f>VLOOKUP(A99,'Feature Raw Data'!$A$3:$E$4067,5,FALSE)</f>
        <v>Legacy</v>
      </c>
      <c r="G99" s="169" t="str">
        <f t="shared" si="39"/>
        <v>Yes</v>
      </c>
      <c r="H99" s="169" t="str">
        <f t="shared" si="40"/>
        <v>Yes</v>
      </c>
      <c r="I99" s="271">
        <f>SUMIF('Diags Raw Data'!$A$6:$A$4335,"*"&amp;$A99&amp;"*",'Diags Raw Data'!$K$6:$K$4335)</f>
        <v>3</v>
      </c>
      <c r="J99" s="179">
        <f>SUMIF('Diags Raw Data'!$A$6:$A$4335,"*"&amp;$A99&amp;"*",'Diags Raw Data'!$L$6:$L$4335)</f>
        <v>54</v>
      </c>
      <c r="K99" s="398" cm="1">
        <f t="array" ref="K99">IF(D99="",0, SUMPRODUCT(--(ISNUMBER(SEARCH($A99,'Diags Raw Data'!$A$6:$A$4335))),'Diags Raw Data'!$L$6:$L$4335,'Diags Raw Data'!$N$6:$N$4335)/J99)</f>
        <v>1</v>
      </c>
      <c r="L99" s="399" cm="1">
        <f t="array" ref="L99">IF(D99="",0, SUMPRODUCT(--(ISNUMBER(SEARCH($A99,'Diags Raw Data'!$A$6:$A$4335))),'Diags Raw Data'!$L$6:$L$4335,'Diags Raw Data'!$P$6:$P$4335)/J99)</f>
        <v>0</v>
      </c>
      <c r="M99" s="400" cm="1">
        <f t="array" ref="M99">SUMPRODUCT(--(ISNUMBER(SEARCH($A99,'Diags Raw Data'!$A$6:$A$4335))),--('Diags Raw Data'!$Q$6:$Q$4335&lt;&gt;"N/A"),'Diags Raw Data'!$R$6:$R$4335)</f>
        <v>54</v>
      </c>
      <c r="N99" s="401" cm="1">
        <f t="array" ref="N99">SUMPRODUCT(--(ISNUMBER(SEARCH($A99,'Diags Raw Data'!$A$6:$A$4335))),--('Diags Raw Data'!$Q$6:$Q$4335&lt;&gt;"N/A"),'Diags Raw Data'!$T$6:$T$4335)+SUMPRODUCT(--(ISNUMBER(SEARCH($A99,'Diags Raw Data'!$A$6:$A$4335))),--('Diags Raw Data'!$Q$6:$Q$4335&lt;&gt;"N/A"),'Diags Raw Data'!$U$6:$U$4335)</f>
        <v>54</v>
      </c>
      <c r="O99" s="428">
        <f t="shared" si="45"/>
        <v>1</v>
      </c>
      <c r="P99" s="402">
        <f>SUMIF('Diags Raw Data'!$A$6:$A$4335,"*"&amp;$A99&amp;"*",'Diags Raw Data'!$Z$6:$Z$4335)</f>
        <v>0</v>
      </c>
      <c r="Q99" s="403">
        <f>SUM(SUMIF('Diags Raw Data'!$A$6:$A$4335,"*"&amp;$A99&amp;"*",'Diags Raw Data'!$AA$6:$AA$4335),SUMIF('Diags Raw Data'!$A$6:$A$4335,"*"&amp;$A99&amp;"*",'Diags Raw Data'!$AB$6:$AB$4335))</f>
        <v>0</v>
      </c>
      <c r="R99" s="404">
        <f t="shared" si="46"/>
        <v>0</v>
      </c>
      <c r="S99" s="404">
        <f t="shared" si="47"/>
        <v>0</v>
      </c>
      <c r="T99" s="405">
        <f t="shared" si="48"/>
        <v>0</v>
      </c>
      <c r="U99" s="434" t="s">
        <v>1663</v>
      </c>
      <c r="V99" s="170"/>
    </row>
    <row r="100" spans="1:22" ht="14.65" customHeight="1" x14ac:dyDescent="0.25">
      <c r="A100" s="420" t="s">
        <v>786</v>
      </c>
      <c r="B100" s="328" t="str">
        <f>VLOOKUP(A100,'Feature Raw Data'!$A$3:$B$4067,2,FALSE)</f>
        <v>GFXHUB:GCUTCL2:VML2 - Page Size Optimization</v>
      </c>
      <c r="C100" s="271" t="str">
        <f>VLOOKUP(A100,'Feature Raw Data'!$A$3:$C$4067,3,FALSE)</f>
        <v>P2</v>
      </c>
      <c r="D100" s="82" t="str" cm="1">
        <f t="array" ref="D100">_xlfn.TEXTJOIN("",TRUE,IF(ISNUMBER(SEARCH($A100,'Diags Raw Data'!$A$6:$A$4335)),CONCATENATE('Diags Raw Data'!$H$6:$H$4335,", "),""))</f>
        <v xml:space="preserve">mhub248.1, mhub248.2, mhub248.3, </v>
      </c>
      <c r="E100" s="169" t="str">
        <f>VLOOKUP(A100,'Diags Raw Data'!$A$6:$D$4335,4,FALSE)</f>
        <v>GCHUB</v>
      </c>
      <c r="F100" s="169" t="str">
        <f>VLOOKUP(A100,'Feature Raw Data'!$A$3:$E$4067,5,FALSE)</f>
        <v>Legacy</v>
      </c>
      <c r="G100" s="169" t="str">
        <f t="shared" si="39"/>
        <v>Yes</v>
      </c>
      <c r="H100" s="169" t="str">
        <f t="shared" si="40"/>
        <v>Yes</v>
      </c>
      <c r="I100" s="271">
        <f>SUMIF('Diags Raw Data'!$A$6:$A$4335,"*"&amp;$A100&amp;"*",'Diags Raw Data'!$K$6:$K$4335)</f>
        <v>3</v>
      </c>
      <c r="J100" s="179">
        <f>SUMIF('Diags Raw Data'!$A$6:$A$4335,"*"&amp;$A100&amp;"*",'Diags Raw Data'!$L$6:$L$4335)</f>
        <v>3</v>
      </c>
      <c r="K100" s="398" cm="1">
        <f t="array" ref="K100">IF(D100="",0, SUMPRODUCT(--(ISNUMBER(SEARCH($A100,'Diags Raw Data'!$A$6:$A$4335))),'Diags Raw Data'!$L$6:$L$4335,'Diags Raw Data'!$N$6:$N$4335)/J100)</f>
        <v>1</v>
      </c>
      <c r="L100" s="399" cm="1">
        <f t="array" ref="L100">IF(D100="",0, SUMPRODUCT(--(ISNUMBER(SEARCH($A100,'Diags Raw Data'!$A$6:$A$4335))),'Diags Raw Data'!$L$6:$L$4335,'Diags Raw Data'!$P$6:$P$4335)/J100)</f>
        <v>1</v>
      </c>
      <c r="M100" s="400" cm="1">
        <f t="array" ref="M100">SUMPRODUCT(--(ISNUMBER(SEARCH($A100,'Diags Raw Data'!$A$6:$A$4335))),--('Diags Raw Data'!$Q$6:$Q$4335&lt;&gt;"N/A"),'Diags Raw Data'!$R$6:$R$4335)</f>
        <v>3</v>
      </c>
      <c r="N100" s="401" cm="1">
        <f t="array" ref="N100">SUMPRODUCT(--(ISNUMBER(SEARCH($A100,'Diags Raw Data'!$A$6:$A$4335))),--('Diags Raw Data'!$Q$6:$Q$4335&lt;&gt;"N/A"),'Diags Raw Data'!$T$6:$T$4335)+SUMPRODUCT(--(ISNUMBER(SEARCH($A100,'Diags Raw Data'!$A$6:$A$4335))),--('Diags Raw Data'!$Q$6:$Q$4335&lt;&gt;"N/A"),'Diags Raw Data'!$U$6:$U$4335)</f>
        <v>3</v>
      </c>
      <c r="O100" s="428">
        <f t="shared" si="45"/>
        <v>1</v>
      </c>
      <c r="P100" s="402">
        <f>SUMIF('Diags Raw Data'!$A$6:$A$4335,"*"&amp;$A100&amp;"*",'Diags Raw Data'!$Z$6:$Z$4335)</f>
        <v>0</v>
      </c>
      <c r="Q100" s="403">
        <f>SUM(SUMIF('Diags Raw Data'!$A$6:$A$4335,"*"&amp;$A100&amp;"*",'Diags Raw Data'!$AA$6:$AA$4335),SUMIF('Diags Raw Data'!$A$6:$A$4335,"*"&amp;$A100&amp;"*",'Diags Raw Data'!$AB$6:$AB$4335))</f>
        <v>0</v>
      </c>
      <c r="R100" s="404">
        <f t="shared" si="46"/>
        <v>0</v>
      </c>
      <c r="S100" s="404">
        <f t="shared" si="47"/>
        <v>0</v>
      </c>
      <c r="T100" s="405">
        <f t="shared" si="48"/>
        <v>0</v>
      </c>
      <c r="U100" s="434" t="s">
        <v>1662</v>
      </c>
      <c r="V100" s="170"/>
    </row>
    <row r="101" spans="1:22" ht="30" x14ac:dyDescent="0.25">
      <c r="A101" s="420" t="s">
        <v>1418</v>
      </c>
      <c r="B101" s="328" t="str">
        <f>VLOOKUP(A101,'Feature Raw Data'!$A$3:$B$4067,2,FALSE)</f>
        <v>GFXHUB:GCUTCL2:VML2 - CAM/filter to avoid duplicate table-walk reads</v>
      </c>
      <c r="C101" s="271" t="str">
        <f>VLOOKUP(A101,'Feature Raw Data'!$A$3:$C$4067,3,FALSE)</f>
        <v>P2</v>
      </c>
      <c r="D101" s="82" t="str" cm="1">
        <f t="array" ref="D101">_xlfn.TEXTJOIN("",TRUE,IF(ISNUMBER(SEARCH($A101,'Diags Raw Data'!$A$6:$A$4335)),CONCATENATE('Diags Raw Data'!$H$6:$H$4335,", "),""))</f>
        <v xml:space="preserve">mhub340.1, </v>
      </c>
      <c r="E101" s="169" t="str">
        <f>VLOOKUP(A101,'Diags Raw Data'!$A$6:$D$4335,4,FALSE)</f>
        <v>GCHUB</v>
      </c>
      <c r="F101" s="169" t="str">
        <f>VLOOKUP(A101,'Feature Raw Data'!$A$3:$E$4067,5,FALSE)</f>
        <v>Legacy</v>
      </c>
      <c r="G101" s="169" t="str">
        <f t="shared" ref="G101:G109" si="49">IF(D101="","No","Yes")</f>
        <v>Yes</v>
      </c>
      <c r="H101" s="169" t="str">
        <f t="shared" ref="H101:H109" si="50">IF(D101="","No","Yes")</f>
        <v>Yes</v>
      </c>
      <c r="I101" s="271">
        <f>SUMIF('Diags Raw Data'!$A$6:$A$4335,"*"&amp;$A101&amp;"*",'Diags Raw Data'!$K$6:$K$4335)</f>
        <v>1</v>
      </c>
      <c r="J101" s="179">
        <f>SUMIF('Diags Raw Data'!$A$6:$A$4335,"*"&amp;$A101&amp;"*",'Diags Raw Data'!$L$6:$L$4335)</f>
        <v>1</v>
      </c>
      <c r="K101" s="398" cm="1">
        <f t="array" ref="K101">IF(D101="",0, SUMPRODUCT(--(ISNUMBER(SEARCH($A101,'Diags Raw Data'!$A$6:$A$4335))),'Diags Raw Data'!$L$6:$L$4335,'Diags Raw Data'!$N$6:$N$4335)/J101)</f>
        <v>1</v>
      </c>
      <c r="L101" s="399" cm="1">
        <f t="array" ref="L101">IF(D101="",0, SUMPRODUCT(--(ISNUMBER(SEARCH($A101,'Diags Raw Data'!$A$6:$A$4335))),'Diags Raw Data'!$L$6:$L$4335,'Diags Raw Data'!$P$6:$P$4335)/J101)</f>
        <v>1</v>
      </c>
      <c r="M101" s="400" cm="1">
        <f t="array" ref="M101">SUMPRODUCT(--(ISNUMBER(SEARCH($A101,'Diags Raw Data'!$A$6:$A$4335))),--('Diags Raw Data'!$Q$6:$Q$4335&lt;&gt;"N/A"),'Diags Raw Data'!$R$6:$R$4335)</f>
        <v>1</v>
      </c>
      <c r="N101" s="401" cm="1">
        <f t="array" ref="N101">SUMPRODUCT(--(ISNUMBER(SEARCH($A101,'Diags Raw Data'!$A$6:$A$4335))),--('Diags Raw Data'!$Q$6:$Q$4335&lt;&gt;"N/A"),'Diags Raw Data'!$T$6:$T$4335)+SUMPRODUCT(--(ISNUMBER(SEARCH($A101,'Diags Raw Data'!$A$6:$A$4335))),--('Diags Raw Data'!$Q$6:$Q$4335&lt;&gt;"N/A"),'Diags Raw Data'!$U$6:$U$4335)</f>
        <v>1</v>
      </c>
      <c r="O101" s="428">
        <f t="shared" ref="O101:O109" si="51">IF((M101=0),0,N101/M101)</f>
        <v>1</v>
      </c>
      <c r="P101" s="402">
        <f>SUMIF('Diags Raw Data'!$A$6:$A$4335,"*"&amp;$A101&amp;"*",'Diags Raw Data'!$Z$6:$Z$4335)</f>
        <v>0</v>
      </c>
      <c r="Q101" s="403">
        <f>SUM(SUMIF('Diags Raw Data'!$A$6:$A$4335,"*"&amp;$A101&amp;"*",'Diags Raw Data'!$AA$6:$AA$4335),SUMIF('Diags Raw Data'!$A$6:$A$4335,"*"&amp;$A101&amp;"*",'Diags Raw Data'!$AB$6:$AB$4335))</f>
        <v>0</v>
      </c>
      <c r="R101" s="404">
        <f t="shared" ref="R101:R109" si="52">IF((J101=0),0,P101/J101)</f>
        <v>0</v>
      </c>
      <c r="S101" s="404">
        <f t="shared" ref="S101:S109" si="53">IF((P101=0),0,Q101/P101)</f>
        <v>0</v>
      </c>
      <c r="T101" s="405">
        <f t="shared" ref="T101:T109" si="54">R101*S101</f>
        <v>0</v>
      </c>
      <c r="U101" s="434" t="s">
        <v>1662</v>
      </c>
      <c r="V101" s="170"/>
    </row>
    <row r="102" spans="1:22" s="176" customFormat="1" ht="18.75" customHeight="1" x14ac:dyDescent="0.25">
      <c r="A102" s="420" t="s">
        <v>893</v>
      </c>
      <c r="B102" s="328" t="str">
        <f>VLOOKUP(A102,'Feature Raw Data'!$A$3:$B$4067,2,FALSE)</f>
        <v>GFXHUB:GCUTCL2:VML2 - GPA Mode</v>
      </c>
      <c r="C102" s="271" t="str">
        <f>VLOOKUP(A102,'Feature Raw Data'!$A$3:$C$4067,3,FALSE)</f>
        <v>P2</v>
      </c>
      <c r="D102" s="82" t="str" cm="1">
        <f t="array" ref="D102">_xlfn.TEXTJOIN("",TRUE,IF(ISNUMBER(SEARCH($A102,'Diags Raw Data'!$A$6:$A$4335)),CONCATENATE('Diags Raw Data'!$H$6:$H$4335,", "),""))</f>
        <v xml:space="preserve">mhub344.1,mhub344.2, mhub344.3, </v>
      </c>
      <c r="E102" s="169" t="str">
        <f>VLOOKUP(A102,'Diags Raw Data'!$A$6:$D$4335,4,FALSE)</f>
        <v>GCHUB</v>
      </c>
      <c r="F102" s="169" t="str">
        <f>VLOOKUP(A102,'Feature Raw Data'!$A$3:$E$4067,5,FALSE)</f>
        <v>Legacy</v>
      </c>
      <c r="G102" s="169" t="str">
        <f t="shared" si="49"/>
        <v>Yes</v>
      </c>
      <c r="H102" s="169" t="str">
        <f t="shared" si="50"/>
        <v>Yes</v>
      </c>
      <c r="I102" s="271">
        <f>SUMIF('Diags Raw Data'!$A$6:$A$4335,"*"&amp;$A102&amp;"*",'Diags Raw Data'!$K$6:$K$4335)</f>
        <v>2</v>
      </c>
      <c r="J102" s="179">
        <f>SUMIF('Diags Raw Data'!$A$6:$A$4335,"*"&amp;$A102&amp;"*",'Diags Raw Data'!$L$6:$L$4335)</f>
        <v>3</v>
      </c>
      <c r="K102" s="398" cm="1">
        <f t="array" ref="K102">IF(D102="",0, SUMPRODUCT(--(ISNUMBER(SEARCH($A102,'Diags Raw Data'!$A$6:$A$4335))),'Diags Raw Data'!$L$6:$L$4335,'Diags Raw Data'!$N$6:$N$4335)/J102)</f>
        <v>1</v>
      </c>
      <c r="L102" s="399" cm="1">
        <f t="array" ref="L102">IF(D102="",0, SUMPRODUCT(--(ISNUMBER(SEARCH($A102,'Diags Raw Data'!$A$6:$A$4335))),'Diags Raw Data'!$L$6:$L$4335,'Diags Raw Data'!$P$6:$P$4335)/J102)</f>
        <v>1</v>
      </c>
      <c r="M102" s="400" cm="1">
        <f t="array" ref="M102">SUMPRODUCT(--(ISNUMBER(SEARCH($A102,'Diags Raw Data'!$A$6:$A$4335))),--('Diags Raw Data'!$Q$6:$Q$4335&lt;&gt;"N/A"),'Diags Raw Data'!$R$6:$R$4335)</f>
        <v>3</v>
      </c>
      <c r="N102" s="401" cm="1">
        <f t="array" ref="N102">SUMPRODUCT(--(ISNUMBER(SEARCH($A102,'Diags Raw Data'!$A$6:$A$4335))),--('Diags Raw Data'!$Q$6:$Q$4335&lt;&gt;"N/A"),'Diags Raw Data'!$T$6:$T$4335)+SUMPRODUCT(--(ISNUMBER(SEARCH($A102,'Diags Raw Data'!$A$6:$A$4335))),--('Diags Raw Data'!$Q$6:$Q$4335&lt;&gt;"N/A"),'Diags Raw Data'!$U$6:$U$4335)</f>
        <v>3</v>
      </c>
      <c r="O102" s="428">
        <f t="shared" si="51"/>
        <v>1</v>
      </c>
      <c r="P102" s="402">
        <f>SUMIF('Diags Raw Data'!$A$6:$A$4335,"*"&amp;$A102&amp;"*",'Diags Raw Data'!$Z$6:$Z$4335)</f>
        <v>0</v>
      </c>
      <c r="Q102" s="403">
        <f>SUM(SUMIF('Diags Raw Data'!$A$6:$A$4335,"*"&amp;$A102&amp;"*",'Diags Raw Data'!$AA$6:$AA$4335),SUMIF('Diags Raw Data'!$A$6:$A$4335,"*"&amp;$A102&amp;"*",'Diags Raw Data'!$AB$6:$AB$4335))</f>
        <v>0</v>
      </c>
      <c r="R102" s="404">
        <f t="shared" si="52"/>
        <v>0</v>
      </c>
      <c r="S102" s="404">
        <f t="shared" si="53"/>
        <v>0</v>
      </c>
      <c r="T102" s="405">
        <f t="shared" si="54"/>
        <v>0</v>
      </c>
      <c r="U102" s="434" t="s">
        <v>1659</v>
      </c>
      <c r="V102" s="175"/>
    </row>
    <row r="103" spans="1:22" ht="19.149999999999999" customHeight="1" x14ac:dyDescent="0.25">
      <c r="A103" s="420" t="s">
        <v>1421</v>
      </c>
      <c r="B103" s="328" t="str">
        <f>VLOOKUP(A103,'Feature Raw Data'!$A$3:$B$4067,2,FALSE)</f>
        <v>GFXHUB:GCUTCL2:VML2 - Range-based UTCL1 and VML1 invalidation</v>
      </c>
      <c r="C103" s="271" t="str">
        <f>VLOOKUP(A103,'Feature Raw Data'!$A$3:$C$4067,3,FALSE)</f>
        <v>P2</v>
      </c>
      <c r="D103" s="82" t="str" cm="1">
        <f t="array" ref="D103">_xlfn.TEXTJOIN("",TRUE,IF(ISNUMBER(SEARCH($A103,'Diags Raw Data'!$A$6:$A$4335)),CONCATENATE('Diags Raw Data'!$H$6:$H$4335,", "),""))</f>
        <v xml:space="preserve">mhub254.1,mhub254.3,mhub254.5-8, mhub255.1,mhub255.2, </v>
      </c>
      <c r="E103" s="169" t="str">
        <f>VLOOKUP(A103,'Diags Raw Data'!$A$6:$D$4335,4,FALSE)</f>
        <v>GCHUB</v>
      </c>
      <c r="F103" s="169" t="str">
        <f>VLOOKUP(A103,'Feature Raw Data'!$A$3:$E$4067,5,FALSE)</f>
        <v>Legacy</v>
      </c>
      <c r="G103" s="169" t="str">
        <f t="shared" si="49"/>
        <v>Yes</v>
      </c>
      <c r="H103" s="169" t="str">
        <f t="shared" si="50"/>
        <v>Yes</v>
      </c>
      <c r="I103" s="271">
        <f>SUMIF('Diags Raw Data'!$A$6:$A$4335,"*"&amp;$A103&amp;"*",'Diags Raw Data'!$K$6:$K$4335)</f>
        <v>2</v>
      </c>
      <c r="J103" s="179">
        <f>SUMIF('Diags Raw Data'!$A$6:$A$4335,"*"&amp;$A103&amp;"*",'Diags Raw Data'!$L$6:$L$4335)</f>
        <v>8</v>
      </c>
      <c r="K103" s="398" cm="1">
        <f t="array" ref="K103">IF(D103="",0, SUMPRODUCT(--(ISNUMBER(SEARCH($A103,'Diags Raw Data'!$A$6:$A$4335))),'Diags Raw Data'!$L$6:$L$4335,'Diags Raw Data'!$N$6:$N$4335)/J103)</f>
        <v>1</v>
      </c>
      <c r="L103" s="399" cm="1">
        <f t="array" ref="L103">IF(D103="",0, SUMPRODUCT(--(ISNUMBER(SEARCH($A103,'Diags Raw Data'!$A$6:$A$4335))),'Diags Raw Data'!$L$6:$L$4335,'Diags Raw Data'!$P$6:$P$4335)/J103)</f>
        <v>1</v>
      </c>
      <c r="M103" s="400" cm="1">
        <f t="array" ref="M103">SUMPRODUCT(--(ISNUMBER(SEARCH($A103,'Diags Raw Data'!$A$6:$A$4335))),--('Diags Raw Data'!$Q$6:$Q$4335&lt;&gt;"N/A"),'Diags Raw Data'!$R$6:$R$4335)</f>
        <v>8</v>
      </c>
      <c r="N103" s="401" cm="1">
        <f t="array" ref="N103">SUMPRODUCT(--(ISNUMBER(SEARCH($A103,'Diags Raw Data'!$A$6:$A$4335))),--('Diags Raw Data'!$Q$6:$Q$4335&lt;&gt;"N/A"),'Diags Raw Data'!$T$6:$T$4335)+SUMPRODUCT(--(ISNUMBER(SEARCH($A103,'Diags Raw Data'!$A$6:$A$4335))),--('Diags Raw Data'!$Q$6:$Q$4335&lt;&gt;"N/A"),'Diags Raw Data'!$U$6:$U$4335)</f>
        <v>8</v>
      </c>
      <c r="O103" s="428">
        <f t="shared" si="51"/>
        <v>1</v>
      </c>
      <c r="P103" s="402">
        <f>SUMIF('Diags Raw Data'!$A$6:$A$4335,"*"&amp;$A103&amp;"*",'Diags Raw Data'!$Z$6:$Z$4335)</f>
        <v>0</v>
      </c>
      <c r="Q103" s="403">
        <f>SUM(SUMIF('Diags Raw Data'!$A$6:$A$4335,"*"&amp;$A103&amp;"*",'Diags Raw Data'!$AA$6:$AA$4335),SUMIF('Diags Raw Data'!$A$6:$A$4335,"*"&amp;$A103&amp;"*",'Diags Raw Data'!$AB$6:$AB$4335))</f>
        <v>0</v>
      </c>
      <c r="R103" s="404">
        <f t="shared" si="52"/>
        <v>0</v>
      </c>
      <c r="S103" s="404">
        <f t="shared" si="53"/>
        <v>0</v>
      </c>
      <c r="T103" s="405">
        <f t="shared" si="54"/>
        <v>0</v>
      </c>
      <c r="U103" s="434" t="s">
        <v>1655</v>
      </c>
      <c r="V103" s="170"/>
    </row>
    <row r="104" spans="1:22" ht="18.75" customHeight="1" x14ac:dyDescent="0.25">
      <c r="A104" s="420" t="s">
        <v>1126</v>
      </c>
      <c r="B104" s="328" t="str">
        <f>VLOOKUP(A104,'Feature Raw Data'!$A$3:$B$4067,2,FALSE)</f>
        <v>GFXHUB:GCUTCL2:VML2 - TLBi Support - Invalidation rates of 1TB VA, 32M invalidates/sec</v>
      </c>
      <c r="C104" s="271" t="str">
        <f>VLOOKUP(A104,'Feature Raw Data'!$A$3:$C$4067,3,FALSE)</f>
        <v>P2</v>
      </c>
      <c r="D104" s="82" t="str" cm="1">
        <f t="array" ref="D104">_xlfn.TEXTJOIN("",TRUE,IF(ISNUMBER(SEARCH($A104,'Diags Raw Data'!$A$6:$A$4335)),CONCATENATE('Diags Raw Data'!$H$6:$H$4335,", "),""))</f>
        <v/>
      </c>
      <c r="E104" s="169" t="e">
        <f>VLOOKUP(A104,'Diags Raw Data'!$A$6:$D$4335,4,FALSE)</f>
        <v>#N/A</v>
      </c>
      <c r="F104" s="169" t="str">
        <f>VLOOKUP(A104,'Feature Raw Data'!$A$3:$E$4067,5,FALSE)</f>
        <v>Legacy</v>
      </c>
      <c r="G104" s="169" t="s">
        <v>31</v>
      </c>
      <c r="H104" s="169" t="str">
        <f t="shared" si="50"/>
        <v>No</v>
      </c>
      <c r="I104" s="271">
        <f>SUMIF('Diags Raw Data'!$A$6:$A$4335,"*"&amp;$A104&amp;"*",'Diags Raw Data'!$K$6:$K$4335)</f>
        <v>0</v>
      </c>
      <c r="J104" s="179">
        <f>SUMIF('Diags Raw Data'!$A$6:$A$4335,"*"&amp;$A104&amp;"*",'Diags Raw Data'!$L$6:$L$4335)</f>
        <v>0</v>
      </c>
      <c r="K104" s="398" cm="1">
        <f t="array" ref="K104">IF(D104="",0, SUMPRODUCT(--(ISNUMBER(SEARCH($A104,'Diags Raw Data'!$A$6:$A$4335))),'Diags Raw Data'!$L$6:$L$4335,'Diags Raw Data'!$N$6:$N$4335)/J104)</f>
        <v>0</v>
      </c>
      <c r="L104" s="399" cm="1">
        <f t="array" ref="L104">IF(D104="",0, SUMPRODUCT(--(ISNUMBER(SEARCH($A104,'Diags Raw Data'!$A$6:$A$4335))),'Diags Raw Data'!$L$6:$L$4335,'Diags Raw Data'!$P$6:$P$4335)/J104)</f>
        <v>0</v>
      </c>
      <c r="M104" s="400" cm="1">
        <f t="array" ref="M104">SUMPRODUCT(--(ISNUMBER(SEARCH($A104,'Diags Raw Data'!$A$6:$A$4335))),--('Diags Raw Data'!$Q$6:$Q$4335&lt;&gt;"N/A"),'Diags Raw Data'!$R$6:$R$4335)</f>
        <v>0</v>
      </c>
      <c r="N104" s="401" cm="1">
        <f t="array" ref="N104">SUMPRODUCT(--(ISNUMBER(SEARCH($A104,'Diags Raw Data'!$A$6:$A$4335))),--('Diags Raw Data'!$Q$6:$Q$4335&lt;&gt;"N/A"),'Diags Raw Data'!$T$6:$T$4335)+SUMPRODUCT(--(ISNUMBER(SEARCH($A104,'Diags Raw Data'!$A$6:$A$4335))),--('Diags Raw Data'!$Q$6:$Q$4335&lt;&gt;"N/A"),'Diags Raw Data'!$U$6:$U$4335)</f>
        <v>0</v>
      </c>
      <c r="O104" s="428">
        <f t="shared" si="51"/>
        <v>0</v>
      </c>
      <c r="P104" s="402">
        <f>SUMIF('Diags Raw Data'!$A$6:$A$4335,"*"&amp;$A104&amp;"*",'Diags Raw Data'!$Z$6:$Z$4335)</f>
        <v>0</v>
      </c>
      <c r="Q104" s="403">
        <f>SUM(SUMIF('Diags Raw Data'!$A$6:$A$4335,"*"&amp;$A104&amp;"*",'Diags Raw Data'!$AA$6:$AA$4335),SUMIF('Diags Raw Data'!$A$6:$A$4335,"*"&amp;$A104&amp;"*",'Diags Raw Data'!$AB$6:$AB$4335))</f>
        <v>0</v>
      </c>
      <c r="R104" s="404">
        <f t="shared" si="52"/>
        <v>0</v>
      </c>
      <c r="S104" s="404">
        <f t="shared" si="53"/>
        <v>0</v>
      </c>
      <c r="T104" s="405">
        <f t="shared" si="54"/>
        <v>0</v>
      </c>
      <c r="U104" s="434" t="s">
        <v>44</v>
      </c>
    </row>
    <row r="105" spans="1:22" ht="14.65" customHeight="1" x14ac:dyDescent="0.25">
      <c r="A105" s="420" t="s">
        <v>890</v>
      </c>
      <c r="B105" s="328" t="str">
        <f>VLOOKUP(A105,'Feature Raw Data'!$A$3:$B$4067,2,FALSE)</f>
        <v>GFXHUB:GCUTCL2:VML2 - Page table walker read throttling</v>
      </c>
      <c r="C105" s="271" t="str">
        <f>VLOOKUP(A105,'Feature Raw Data'!$A$3:$C$4067,3,FALSE)</f>
        <v>P2</v>
      </c>
      <c r="D105" s="82" t="str" cm="1">
        <f t="array" ref="D105">_xlfn.TEXTJOIN("",TRUE,IF(ISNUMBER(SEARCH($A105,'Diags Raw Data'!$A$6:$A$4335)),CONCATENATE('Diags Raw Data'!$H$6:$H$4335,", "),""))</f>
        <v xml:space="preserve">mhub340.1, mhub341.1, mhub341.2, </v>
      </c>
      <c r="E105" s="169" t="str">
        <f>VLOOKUP(A105,'Diags Raw Data'!$A$6:$D$4335,4,FALSE)</f>
        <v>GCHUB</v>
      </c>
      <c r="F105" s="169" t="str">
        <f>VLOOKUP(A105,'Feature Raw Data'!$A$3:$E$4067,5,FALSE)</f>
        <v>Legacy</v>
      </c>
      <c r="G105" s="169" t="str">
        <f t="shared" si="49"/>
        <v>Yes</v>
      </c>
      <c r="H105" s="169" t="str">
        <f t="shared" si="50"/>
        <v>Yes</v>
      </c>
      <c r="I105" s="271">
        <f>SUMIF('Diags Raw Data'!$A$6:$A$4335,"*"&amp;$A105&amp;"*",'Diags Raw Data'!$K$6:$K$4335)</f>
        <v>3</v>
      </c>
      <c r="J105" s="179">
        <f>SUMIF('Diags Raw Data'!$A$6:$A$4335,"*"&amp;$A105&amp;"*",'Diags Raw Data'!$L$6:$L$4335)</f>
        <v>3</v>
      </c>
      <c r="K105" s="398" cm="1">
        <f t="array" ref="K105">IF(D105="",0, SUMPRODUCT(--(ISNUMBER(SEARCH($A105,'Diags Raw Data'!$A$6:$A$4335))),'Diags Raw Data'!$L$6:$L$4335,'Diags Raw Data'!$N$6:$N$4335)/J105)</f>
        <v>1</v>
      </c>
      <c r="L105" s="399" cm="1">
        <f t="array" ref="L105">IF(D105="",0, SUMPRODUCT(--(ISNUMBER(SEARCH($A105,'Diags Raw Data'!$A$6:$A$4335))),'Diags Raw Data'!$L$6:$L$4335,'Diags Raw Data'!$P$6:$P$4335)/J105)</f>
        <v>1</v>
      </c>
      <c r="M105" s="400" cm="1">
        <f t="array" ref="M105">SUMPRODUCT(--(ISNUMBER(SEARCH($A105,'Diags Raw Data'!$A$6:$A$4335))),--('Diags Raw Data'!$Q$6:$Q$4335&lt;&gt;"N/A"),'Diags Raw Data'!$R$6:$R$4335)</f>
        <v>3</v>
      </c>
      <c r="N105" s="401" cm="1">
        <f t="array" ref="N105">SUMPRODUCT(--(ISNUMBER(SEARCH($A105,'Diags Raw Data'!$A$6:$A$4335))),--('Diags Raw Data'!$Q$6:$Q$4335&lt;&gt;"N/A"),'Diags Raw Data'!$T$6:$T$4335)+SUMPRODUCT(--(ISNUMBER(SEARCH($A105,'Diags Raw Data'!$A$6:$A$4335))),--('Diags Raw Data'!$Q$6:$Q$4335&lt;&gt;"N/A"),'Diags Raw Data'!$U$6:$U$4335)</f>
        <v>3</v>
      </c>
      <c r="O105" s="428">
        <f t="shared" si="51"/>
        <v>1</v>
      </c>
      <c r="P105" s="402">
        <f>SUMIF('Diags Raw Data'!$A$6:$A$4335,"*"&amp;$A105&amp;"*",'Diags Raw Data'!$Z$6:$Z$4335)</f>
        <v>0</v>
      </c>
      <c r="Q105" s="403">
        <f>SUM(SUMIF('Diags Raw Data'!$A$6:$A$4335,"*"&amp;$A105&amp;"*",'Diags Raw Data'!$AA$6:$AA$4335),SUMIF('Diags Raw Data'!$A$6:$A$4335,"*"&amp;$A105&amp;"*",'Diags Raw Data'!$AB$6:$AB$4335))</f>
        <v>0</v>
      </c>
      <c r="R105" s="404">
        <f t="shared" si="52"/>
        <v>0</v>
      </c>
      <c r="S105" s="404">
        <f t="shared" si="53"/>
        <v>0</v>
      </c>
      <c r="T105" s="405">
        <f t="shared" si="54"/>
        <v>0</v>
      </c>
      <c r="U105" s="434" t="s">
        <v>1662</v>
      </c>
    </row>
    <row r="106" spans="1:22" ht="14.65" customHeight="1" x14ac:dyDescent="0.25">
      <c r="A106" s="420" t="s">
        <v>1427</v>
      </c>
      <c r="B106" s="328" t="str">
        <f>VLOOKUP(A106,'Feature Raw Data'!$A$3:$B$4067,2,FALSE)</f>
        <v>GFXHUB:GCUTCL2:VML2 - Full GCR Support</v>
      </c>
      <c r="C106" s="271" t="str">
        <f>VLOOKUP(A106,'Feature Raw Data'!$A$3:$C$4067,3,FALSE)</f>
        <v>P2</v>
      </c>
      <c r="D106" s="82" t="str" cm="1">
        <f t="array" ref="D106">_xlfn.TEXTJOIN("",TRUE,IF(ISNUMBER(SEARCH($A106,'Diags Raw Data'!$A$6:$A$4335)),CONCATENATE('Diags Raw Data'!$H$6:$H$4335,", "),""))</f>
        <v/>
      </c>
      <c r="E106" s="169" t="e">
        <f>VLOOKUP(A106,'Diags Raw Data'!$A$6:$D$4335,4,FALSE)</f>
        <v>#N/A</v>
      </c>
      <c r="F106" s="169" t="str">
        <f>VLOOKUP(A106,'Feature Raw Data'!$A$3:$E$4067,5,FALSE)</f>
        <v>Legacy</v>
      </c>
      <c r="G106" s="169" t="s">
        <v>31</v>
      </c>
      <c r="H106" s="169" t="str">
        <f t="shared" si="50"/>
        <v>No</v>
      </c>
      <c r="I106" s="271">
        <f>SUMIF('Diags Raw Data'!$A$6:$A$4335,"*"&amp;$A106&amp;"*",'Diags Raw Data'!$K$6:$K$4335)</f>
        <v>0</v>
      </c>
      <c r="J106" s="179">
        <f>SUMIF('Diags Raw Data'!$A$6:$A$4335,"*"&amp;$A106&amp;"*",'Diags Raw Data'!$L$6:$L$4335)</f>
        <v>0</v>
      </c>
      <c r="K106" s="398" cm="1">
        <f t="array" ref="K106">IF(D106="",0, SUMPRODUCT(--(ISNUMBER(SEARCH($A106,'Diags Raw Data'!$A$6:$A$4335))),'Diags Raw Data'!$L$6:$L$4335,'Diags Raw Data'!$N$6:$N$4335)/J106)</f>
        <v>0</v>
      </c>
      <c r="L106" s="399" cm="1">
        <f t="array" ref="L106">IF(D106="",0, SUMPRODUCT(--(ISNUMBER(SEARCH($A106,'Diags Raw Data'!$A$6:$A$4335))),'Diags Raw Data'!$L$6:$L$4335,'Diags Raw Data'!$P$6:$P$4335)/J106)</f>
        <v>0</v>
      </c>
      <c r="M106" s="400" cm="1">
        <f t="array" ref="M106">SUMPRODUCT(--(ISNUMBER(SEARCH($A106,'Diags Raw Data'!$A$6:$A$4335))),--('Diags Raw Data'!$Q$6:$Q$4335&lt;&gt;"N/A"),'Diags Raw Data'!$R$6:$R$4335)</f>
        <v>0</v>
      </c>
      <c r="N106" s="401" cm="1">
        <f t="array" ref="N106">SUMPRODUCT(--(ISNUMBER(SEARCH($A106,'Diags Raw Data'!$A$6:$A$4335))),--('Diags Raw Data'!$Q$6:$Q$4335&lt;&gt;"N/A"),'Diags Raw Data'!$T$6:$T$4335)+SUMPRODUCT(--(ISNUMBER(SEARCH($A106,'Diags Raw Data'!$A$6:$A$4335))),--('Diags Raw Data'!$Q$6:$Q$4335&lt;&gt;"N/A"),'Diags Raw Data'!$U$6:$U$4335)</f>
        <v>0</v>
      </c>
      <c r="O106" s="428">
        <f t="shared" si="51"/>
        <v>0</v>
      </c>
      <c r="P106" s="402">
        <f>SUMIF('Diags Raw Data'!$A$6:$A$4335,"*"&amp;$A106&amp;"*",'Diags Raw Data'!$Z$6:$Z$4335)</f>
        <v>0</v>
      </c>
      <c r="Q106" s="403">
        <f>SUM(SUMIF('Diags Raw Data'!$A$6:$A$4335,"*"&amp;$A106&amp;"*",'Diags Raw Data'!$AA$6:$AA$4335),SUMIF('Diags Raw Data'!$A$6:$A$4335,"*"&amp;$A106&amp;"*",'Diags Raw Data'!$AB$6:$AB$4335))</f>
        <v>0</v>
      </c>
      <c r="R106" s="404">
        <f t="shared" si="52"/>
        <v>0</v>
      </c>
      <c r="S106" s="404">
        <f t="shared" si="53"/>
        <v>0</v>
      </c>
      <c r="T106" s="405">
        <f t="shared" si="54"/>
        <v>0</v>
      </c>
      <c r="U106" s="434" t="s">
        <v>44</v>
      </c>
    </row>
    <row r="107" spans="1:22" ht="14.65" customHeight="1" x14ac:dyDescent="0.25">
      <c r="A107" s="420" t="s">
        <v>1428</v>
      </c>
      <c r="B107" s="328" t="str">
        <f>VLOOKUP(A107,'Feature Raw Data'!$A$3:$B$4067,2,FALSE)</f>
        <v>GFXHUB:GCUTCL2:VML2 - Return invalid V=0 PA to GCR w/o generating an intr</v>
      </c>
      <c r="C107" s="271" t="str">
        <f>VLOOKUP(A107,'Feature Raw Data'!$A$3:$C$4067,3,FALSE)</f>
        <v>P2</v>
      </c>
      <c r="D107" s="82" t="str" cm="1">
        <f t="array" ref="D107">_xlfn.TEXTJOIN("",TRUE,IF(ISNUMBER(SEARCH($A107,'Diags Raw Data'!$A$6:$A$4335)),CONCATENATE('Diags Raw Data'!$H$6:$H$4335,", "),""))</f>
        <v/>
      </c>
      <c r="E107" s="169" t="e">
        <f>VLOOKUP(A107,'Diags Raw Data'!$A$6:$D$4335,4,FALSE)</f>
        <v>#N/A</v>
      </c>
      <c r="F107" s="169" t="str">
        <f>VLOOKUP(A107,'Feature Raw Data'!$A$3:$E$4067,5,FALSE)</f>
        <v>Legacy</v>
      </c>
      <c r="G107" s="169" t="s">
        <v>31</v>
      </c>
      <c r="H107" s="169" t="str">
        <f t="shared" si="50"/>
        <v>No</v>
      </c>
      <c r="I107" s="271">
        <f>SUMIF('Diags Raw Data'!$A$6:$A$4335,"*"&amp;$A107&amp;"*",'Diags Raw Data'!$K$6:$K$4335)</f>
        <v>0</v>
      </c>
      <c r="J107" s="179">
        <f>SUMIF('Diags Raw Data'!$A$6:$A$4335,"*"&amp;$A107&amp;"*",'Diags Raw Data'!$L$6:$L$4335)</f>
        <v>0</v>
      </c>
      <c r="K107" s="398" cm="1">
        <f t="array" ref="K107">IF(D107="",0, SUMPRODUCT(--(ISNUMBER(SEARCH($A107,'Diags Raw Data'!$A$6:$A$4335))),'Diags Raw Data'!$L$6:$L$4335,'Diags Raw Data'!$N$6:$N$4335)/J107)</f>
        <v>0</v>
      </c>
      <c r="L107" s="399" cm="1">
        <f t="array" ref="L107">IF(D107="",0, SUMPRODUCT(--(ISNUMBER(SEARCH($A107,'Diags Raw Data'!$A$6:$A$4335))),'Diags Raw Data'!$L$6:$L$4335,'Diags Raw Data'!$P$6:$P$4335)/J107)</f>
        <v>0</v>
      </c>
      <c r="M107" s="400" cm="1">
        <f t="array" ref="M107">SUMPRODUCT(--(ISNUMBER(SEARCH($A107,'Diags Raw Data'!$A$6:$A$4335))),--('Diags Raw Data'!$Q$6:$Q$4335&lt;&gt;"N/A"),'Diags Raw Data'!$R$6:$R$4335)</f>
        <v>0</v>
      </c>
      <c r="N107" s="401" cm="1">
        <f t="array" ref="N107">SUMPRODUCT(--(ISNUMBER(SEARCH($A107,'Diags Raw Data'!$A$6:$A$4335))),--('Diags Raw Data'!$Q$6:$Q$4335&lt;&gt;"N/A"),'Diags Raw Data'!$T$6:$T$4335)+SUMPRODUCT(--(ISNUMBER(SEARCH($A107,'Diags Raw Data'!$A$6:$A$4335))),--('Diags Raw Data'!$Q$6:$Q$4335&lt;&gt;"N/A"),'Diags Raw Data'!$U$6:$U$4335)</f>
        <v>0</v>
      </c>
      <c r="O107" s="428">
        <f t="shared" si="51"/>
        <v>0</v>
      </c>
      <c r="P107" s="402">
        <f>SUMIF('Diags Raw Data'!$A$6:$A$4335,"*"&amp;$A107&amp;"*",'Diags Raw Data'!$Z$6:$Z$4335)</f>
        <v>0</v>
      </c>
      <c r="Q107" s="403">
        <f>SUM(SUMIF('Diags Raw Data'!$A$6:$A$4335,"*"&amp;$A107&amp;"*",'Diags Raw Data'!$AA$6:$AA$4335),SUMIF('Diags Raw Data'!$A$6:$A$4335,"*"&amp;$A107&amp;"*",'Diags Raw Data'!$AB$6:$AB$4335))</f>
        <v>0</v>
      </c>
      <c r="R107" s="404">
        <f t="shared" si="52"/>
        <v>0</v>
      </c>
      <c r="S107" s="404">
        <f t="shared" si="53"/>
        <v>0</v>
      </c>
      <c r="T107" s="405">
        <f t="shared" si="54"/>
        <v>0</v>
      </c>
      <c r="U107" s="434" t="s">
        <v>44</v>
      </c>
    </row>
    <row r="108" spans="1:22" ht="14.65" customHeight="1" x14ac:dyDescent="0.25">
      <c r="A108" s="420" t="s">
        <v>896</v>
      </c>
      <c r="B108" s="328" t="str">
        <f>VLOOKUP(A108,'Feature Raw Data'!$A$3:$B$4067,2,FALSE)</f>
        <v>GFXHUB:GCUTCL2:VML2 - Register bits that enable software to control hit/miss behaviour on invalid ptes in cache</v>
      </c>
      <c r="C108" s="271" t="str">
        <f>VLOOKUP(A108,'Feature Raw Data'!$A$3:$C$4067,3,FALSE)</f>
        <v>P2</v>
      </c>
      <c r="D108" s="82" t="str" cm="1">
        <f t="array" ref="D108">_xlfn.TEXTJOIN("",TRUE,IF(ISNUMBER(SEARCH($A108,'Diags Raw Data'!$A$6:$A$4335)),CONCATENATE('Diags Raw Data'!$H$6:$H$4335,", "),""))</f>
        <v xml:space="preserve">mhub345.1-2, </v>
      </c>
      <c r="E108" s="169" t="str">
        <f>VLOOKUP(A108,'Diags Raw Data'!$A$6:$D$4335,4,FALSE)</f>
        <v>GCHUB</v>
      </c>
      <c r="F108" s="169" t="str">
        <f>VLOOKUP(A108,'Feature Raw Data'!$A$3:$E$4067,5,FALSE)</f>
        <v>Legacy</v>
      </c>
      <c r="G108" s="169" t="str">
        <f t="shared" si="49"/>
        <v>Yes</v>
      </c>
      <c r="H108" s="169" t="str">
        <f t="shared" si="50"/>
        <v>Yes</v>
      </c>
      <c r="I108" s="271">
        <f>SUMIF('Diags Raw Data'!$A$6:$A$4335,"*"&amp;$A108&amp;"*",'Diags Raw Data'!$K$6:$K$4335)</f>
        <v>1</v>
      </c>
      <c r="J108" s="179">
        <f>SUMIF('Diags Raw Data'!$A$6:$A$4335,"*"&amp;$A108&amp;"*",'Diags Raw Data'!$L$6:$L$4335)</f>
        <v>2</v>
      </c>
      <c r="K108" s="398" cm="1">
        <f t="array" ref="K108">IF(D108="",0, SUMPRODUCT(--(ISNUMBER(SEARCH($A108,'Diags Raw Data'!$A$6:$A$4335))),'Diags Raw Data'!$L$6:$L$4335,'Diags Raw Data'!$N$6:$N$4335)/J108)</f>
        <v>1</v>
      </c>
      <c r="L108" s="399" cm="1">
        <f t="array" ref="L108">IF(D108="",0, SUMPRODUCT(--(ISNUMBER(SEARCH($A108,'Diags Raw Data'!$A$6:$A$4335))),'Diags Raw Data'!$L$6:$L$4335,'Diags Raw Data'!$P$6:$P$4335)/J108)</f>
        <v>1</v>
      </c>
      <c r="M108" s="400" cm="1">
        <f t="array" ref="M108">SUMPRODUCT(--(ISNUMBER(SEARCH($A108,'Diags Raw Data'!$A$6:$A$4335))),--('Diags Raw Data'!$Q$6:$Q$4335&lt;&gt;"N/A"),'Diags Raw Data'!$R$6:$R$4335)</f>
        <v>2</v>
      </c>
      <c r="N108" s="401" cm="1">
        <f t="array" ref="N108">SUMPRODUCT(--(ISNUMBER(SEARCH($A108,'Diags Raw Data'!$A$6:$A$4335))),--('Diags Raw Data'!$Q$6:$Q$4335&lt;&gt;"N/A"),'Diags Raw Data'!$T$6:$T$4335)+SUMPRODUCT(--(ISNUMBER(SEARCH($A108,'Diags Raw Data'!$A$6:$A$4335))),--('Diags Raw Data'!$Q$6:$Q$4335&lt;&gt;"N/A"),'Diags Raw Data'!$U$6:$U$4335)</f>
        <v>2</v>
      </c>
      <c r="O108" s="428">
        <f t="shared" si="51"/>
        <v>1</v>
      </c>
      <c r="P108" s="402">
        <f>SUMIF('Diags Raw Data'!$A$6:$A$4335,"*"&amp;$A108&amp;"*",'Diags Raw Data'!$Z$6:$Z$4335)</f>
        <v>0</v>
      </c>
      <c r="Q108" s="403">
        <f>SUM(SUMIF('Diags Raw Data'!$A$6:$A$4335,"*"&amp;$A108&amp;"*",'Diags Raw Data'!$AA$6:$AA$4335),SUMIF('Diags Raw Data'!$A$6:$A$4335,"*"&amp;$A108&amp;"*",'Diags Raw Data'!$AB$6:$AB$4335))</f>
        <v>0</v>
      </c>
      <c r="R108" s="404">
        <f t="shared" si="52"/>
        <v>0</v>
      </c>
      <c r="S108" s="404">
        <f t="shared" si="53"/>
        <v>0</v>
      </c>
      <c r="T108" s="405">
        <f t="shared" si="54"/>
        <v>0</v>
      </c>
      <c r="U108" s="434" t="s">
        <v>1661</v>
      </c>
    </row>
    <row r="109" spans="1:22" ht="14.65" customHeight="1" x14ac:dyDescent="0.25">
      <c r="A109" s="420" t="s">
        <v>899</v>
      </c>
      <c r="B109" s="328" t="str">
        <f>VLOOKUP(A109,'Feature Raw Data'!$A$3:$B$4067,2,FALSE)</f>
        <v>GFXHUB:GCUTCL2:VML2 - Register bits that enable software to control hit/miss behaviour on permission mismatch in cache</v>
      </c>
      <c r="C109" s="271" t="str">
        <f>VLOOKUP(A109,'Feature Raw Data'!$A$3:$C$4067,3,FALSE)</f>
        <v>P2</v>
      </c>
      <c r="D109" s="82" t="str" cm="1">
        <f t="array" ref="D109">_xlfn.TEXTJOIN("",TRUE,IF(ISNUMBER(SEARCH($A109,'Diags Raw Data'!$A$6:$A$4335)),CONCATENATE('Diags Raw Data'!$H$6:$H$4335,", "),""))</f>
        <v xml:space="preserve">mhub346.1-2, </v>
      </c>
      <c r="E109" s="169" t="str">
        <f>VLOOKUP(A109,'Diags Raw Data'!$A$6:$D$4335,4,FALSE)</f>
        <v>GCHUB</v>
      </c>
      <c r="F109" s="169" t="str">
        <f>VLOOKUP(A109,'Feature Raw Data'!$A$3:$E$4067,5,FALSE)</f>
        <v>Legacy</v>
      </c>
      <c r="G109" s="169" t="str">
        <f t="shared" si="49"/>
        <v>Yes</v>
      </c>
      <c r="H109" s="169" t="str">
        <f t="shared" si="50"/>
        <v>Yes</v>
      </c>
      <c r="I109" s="271">
        <f>SUMIF('Diags Raw Data'!$A$6:$A$4335,"*"&amp;$A109&amp;"*",'Diags Raw Data'!$K$6:$K$4335)</f>
        <v>1</v>
      </c>
      <c r="J109" s="179">
        <f>SUMIF('Diags Raw Data'!$A$6:$A$4335,"*"&amp;$A109&amp;"*",'Diags Raw Data'!$L$6:$L$4335)</f>
        <v>2</v>
      </c>
      <c r="K109" s="398" cm="1">
        <f t="array" ref="K109">IF(D109="",0, SUMPRODUCT(--(ISNUMBER(SEARCH($A109,'Diags Raw Data'!$A$6:$A$4335))),'Diags Raw Data'!$L$6:$L$4335,'Diags Raw Data'!$N$6:$N$4335)/J109)</f>
        <v>1</v>
      </c>
      <c r="L109" s="399" cm="1">
        <f t="array" ref="L109">IF(D109="",0, SUMPRODUCT(--(ISNUMBER(SEARCH($A109,'Diags Raw Data'!$A$6:$A$4335))),'Diags Raw Data'!$L$6:$L$4335,'Diags Raw Data'!$P$6:$P$4335)/J109)</f>
        <v>1</v>
      </c>
      <c r="M109" s="400" cm="1">
        <f t="array" ref="M109">SUMPRODUCT(--(ISNUMBER(SEARCH($A109,'Diags Raw Data'!$A$6:$A$4335))),--('Diags Raw Data'!$Q$6:$Q$4335&lt;&gt;"N/A"),'Diags Raw Data'!$R$6:$R$4335)</f>
        <v>2</v>
      </c>
      <c r="N109" s="401" cm="1">
        <f t="array" ref="N109">SUMPRODUCT(--(ISNUMBER(SEARCH($A109,'Diags Raw Data'!$A$6:$A$4335))),--('Diags Raw Data'!$Q$6:$Q$4335&lt;&gt;"N/A"),'Diags Raw Data'!$T$6:$T$4335)+SUMPRODUCT(--(ISNUMBER(SEARCH($A109,'Diags Raw Data'!$A$6:$A$4335))),--('Diags Raw Data'!$Q$6:$Q$4335&lt;&gt;"N/A"),'Diags Raw Data'!$U$6:$U$4335)</f>
        <v>2</v>
      </c>
      <c r="O109" s="428">
        <f t="shared" si="51"/>
        <v>1</v>
      </c>
      <c r="P109" s="402">
        <f>SUMIF('Diags Raw Data'!$A$6:$A$4335,"*"&amp;$A109&amp;"*",'Diags Raw Data'!$Z$6:$Z$4335)</f>
        <v>0</v>
      </c>
      <c r="Q109" s="403">
        <f>SUM(SUMIF('Diags Raw Data'!$A$6:$A$4335,"*"&amp;$A109&amp;"*",'Diags Raw Data'!$AA$6:$AA$4335),SUMIF('Diags Raw Data'!$A$6:$A$4335,"*"&amp;$A109&amp;"*",'Diags Raw Data'!$AB$6:$AB$4335))</f>
        <v>0</v>
      </c>
      <c r="R109" s="404">
        <f t="shared" si="52"/>
        <v>0</v>
      </c>
      <c r="S109" s="404">
        <f t="shared" si="53"/>
        <v>0</v>
      </c>
      <c r="T109" s="405">
        <f t="shared" si="54"/>
        <v>0</v>
      </c>
      <c r="U109" s="434" t="s">
        <v>1661</v>
      </c>
    </row>
    <row r="110" spans="1:22" ht="45" x14ac:dyDescent="0.25">
      <c r="A110" s="420" t="s">
        <v>1432</v>
      </c>
      <c r="B110" s="328" t="str">
        <f>VLOOKUP(A110,'Feature Raw Data'!$A$3:$B$4067,2,FALSE)</f>
        <v>GFXHUB:GCUTCL2:VML2 - Register bits that enable software to control hit/miss behaviour on page migration(R=W=0) in cache</v>
      </c>
      <c r="C110" s="271" t="str">
        <f>VLOOKUP(A110,'Feature Raw Data'!$A$3:$C$4067,3,FALSE)</f>
        <v>P2</v>
      </c>
      <c r="D110" s="82" t="str" cm="1">
        <f t="array" ref="D110">_xlfn.TEXTJOIN("",TRUE,IF(ISNUMBER(SEARCH($A110,'Diags Raw Data'!$A$6:$A$4335)),CONCATENATE('Diags Raw Data'!$H$6:$H$4335,", "),""))</f>
        <v/>
      </c>
      <c r="E110" s="169" t="e">
        <f>VLOOKUP(A110,'Diags Raw Data'!$A$6:$D$4335,4,FALSE)</f>
        <v>#N/A</v>
      </c>
      <c r="F110" s="169" t="str">
        <f>VLOOKUP(A110,'Feature Raw Data'!$A$3:$E$4067,5,FALSE)</f>
        <v>Legacy</v>
      </c>
      <c r="G110" s="169" t="s">
        <v>31</v>
      </c>
      <c r="H110" s="169" t="str">
        <f t="shared" ref="H110:H118" si="55">IF(D110="","No","Yes")</f>
        <v>No</v>
      </c>
      <c r="I110" s="271">
        <f>SUMIF('Diags Raw Data'!$A$6:$A$4335,"*"&amp;$A110&amp;"*",'Diags Raw Data'!$K$6:$K$4335)</f>
        <v>0</v>
      </c>
      <c r="J110" s="179">
        <f>SUMIF('Diags Raw Data'!$A$6:$A$4335,"*"&amp;$A110&amp;"*",'Diags Raw Data'!$L$6:$L$4335)</f>
        <v>0</v>
      </c>
      <c r="K110" s="398" cm="1">
        <f t="array" ref="K110">IF(D110="",0, SUMPRODUCT(--(ISNUMBER(SEARCH($A110,'Diags Raw Data'!$A$6:$A$4335))),'Diags Raw Data'!$L$6:$L$4335,'Diags Raw Data'!$N$6:$N$4335)/J110)</f>
        <v>0</v>
      </c>
      <c r="L110" s="399" cm="1">
        <f t="array" ref="L110">IF(D110="",0, SUMPRODUCT(--(ISNUMBER(SEARCH($A110,'Diags Raw Data'!$A$6:$A$4335))),'Diags Raw Data'!$L$6:$L$4335,'Diags Raw Data'!$P$6:$P$4335)/J110)</f>
        <v>0</v>
      </c>
      <c r="M110" s="400" cm="1">
        <f t="array" ref="M110">SUMPRODUCT(--(ISNUMBER(SEARCH($A110,'Diags Raw Data'!$A$6:$A$4335))),--('Diags Raw Data'!$Q$6:$Q$4335&lt;&gt;"N/A"),'Diags Raw Data'!$R$6:$R$4335)</f>
        <v>0</v>
      </c>
      <c r="N110" s="401" cm="1">
        <f t="array" ref="N110">SUMPRODUCT(--(ISNUMBER(SEARCH($A110,'Diags Raw Data'!$A$6:$A$4335))),--('Diags Raw Data'!$Q$6:$Q$4335&lt;&gt;"N/A"),'Diags Raw Data'!$T$6:$T$4335)+SUMPRODUCT(--(ISNUMBER(SEARCH($A110,'Diags Raw Data'!$A$6:$A$4335))),--('Diags Raw Data'!$Q$6:$Q$4335&lt;&gt;"N/A"),'Diags Raw Data'!$U$6:$U$4335)</f>
        <v>0</v>
      </c>
      <c r="O110" s="428">
        <f t="shared" ref="O110:O118" si="56">IF((M110=0),0,N110/M110)</f>
        <v>0</v>
      </c>
      <c r="P110" s="402">
        <f>SUMIF('Diags Raw Data'!$A$6:$A$4335,"*"&amp;$A110&amp;"*",'Diags Raw Data'!$Z$6:$Z$4335)</f>
        <v>0</v>
      </c>
      <c r="Q110" s="403">
        <f>SUM(SUMIF('Diags Raw Data'!$A$6:$A$4335,"*"&amp;$A110&amp;"*",'Diags Raw Data'!$AA$6:$AA$4335),SUMIF('Diags Raw Data'!$A$6:$A$4335,"*"&amp;$A110&amp;"*",'Diags Raw Data'!$AB$6:$AB$4335))</f>
        <v>0</v>
      </c>
      <c r="R110" s="404">
        <f t="shared" ref="R110:R118" si="57">IF((J110=0),0,P110/J110)</f>
        <v>0</v>
      </c>
      <c r="S110" s="404">
        <f t="shared" ref="S110:S118" si="58">IF((P110=0),0,Q110/P110)</f>
        <v>0</v>
      </c>
      <c r="T110" s="405">
        <f t="shared" ref="T110:T118" si="59">R110*S110</f>
        <v>0</v>
      </c>
      <c r="U110" s="434" t="s">
        <v>44</v>
      </c>
    </row>
    <row r="111" spans="1:22" ht="105" x14ac:dyDescent="0.25">
      <c r="A111" s="420" t="s">
        <v>733</v>
      </c>
      <c r="B111" s="328" t="str">
        <f>VLOOKUP(A111,'Feature Raw Data'!$A$3:$B$4067,2,FALSE)</f>
        <v>GFXHUB:GCUTCL2:VML2 - Programmable “smallK” size</v>
      </c>
      <c r="C111" s="271" t="str">
        <f>VLOOKUP(A111,'Feature Raw Data'!$A$3:$C$4067,3,FALSE)</f>
        <v>P2</v>
      </c>
      <c r="D111" s="82" t="str" cm="1">
        <f t="array" ref="D111">_xlfn.TEXTJOIN("",TRUE,IF(ISNUMBER(SEARCH($A111,'Diags Raw Data'!$A$6:$A$4335)),CONCATENATE('Diags Raw Data'!$H$6:$H$4335,", "),""))</f>
        <v xml:space="preserve">mhub232.1, mhub232.10, mhub232.11, mhub232.12, mhub234.2, mhub234.3, mhub234.4, </v>
      </c>
      <c r="E111" s="169" t="str">
        <f>VLOOKUP(A111,'Diags Raw Data'!$A$6:$D$4335,4,FALSE)</f>
        <v>GCHUB</v>
      </c>
      <c r="F111" s="169" t="str">
        <f>VLOOKUP(A111,'Feature Raw Data'!$A$3:$E$4067,5,FALSE)</f>
        <v>Legacy</v>
      </c>
      <c r="G111" s="169" t="str">
        <f t="shared" ref="G111:G118" si="60">IF(D111="","No","Yes")</f>
        <v>Yes</v>
      </c>
      <c r="H111" s="169" t="str">
        <f t="shared" si="55"/>
        <v>Yes</v>
      </c>
      <c r="I111" s="271">
        <f>SUMIF('Diags Raw Data'!$A$6:$A$4335,"*"&amp;$A111&amp;"*",'Diags Raw Data'!$K$6:$K$4335)</f>
        <v>7</v>
      </c>
      <c r="J111" s="179">
        <f>SUMIF('Diags Raw Data'!$A$6:$A$4335,"*"&amp;$A111&amp;"*",'Diags Raw Data'!$L$6:$L$4335)</f>
        <v>7</v>
      </c>
      <c r="K111" s="398" cm="1">
        <f t="array" ref="K111">IF(D111="",0, SUMPRODUCT(--(ISNUMBER(SEARCH($A111,'Diags Raw Data'!$A$6:$A$4335))),'Diags Raw Data'!$L$6:$L$4335,'Diags Raw Data'!$N$6:$N$4335)/J111)</f>
        <v>1</v>
      </c>
      <c r="L111" s="399" cm="1">
        <f t="array" ref="L111">IF(D111="",0, SUMPRODUCT(--(ISNUMBER(SEARCH($A111,'Diags Raw Data'!$A$6:$A$4335))),'Diags Raw Data'!$L$6:$L$4335,'Diags Raw Data'!$P$6:$P$4335)/J111)</f>
        <v>1</v>
      </c>
      <c r="M111" s="400" cm="1">
        <f t="array" ref="M111">SUMPRODUCT(--(ISNUMBER(SEARCH($A111,'Diags Raw Data'!$A$6:$A$4335))),--('Diags Raw Data'!$Q$6:$Q$4335&lt;&gt;"N/A"),'Diags Raw Data'!$R$6:$R$4335)</f>
        <v>7</v>
      </c>
      <c r="N111" s="401" cm="1">
        <f t="array" ref="N111">SUMPRODUCT(--(ISNUMBER(SEARCH($A111,'Diags Raw Data'!$A$6:$A$4335))),--('Diags Raw Data'!$Q$6:$Q$4335&lt;&gt;"N/A"),'Diags Raw Data'!$T$6:$T$4335)+SUMPRODUCT(--(ISNUMBER(SEARCH($A111,'Diags Raw Data'!$A$6:$A$4335))),--('Diags Raw Data'!$Q$6:$Q$4335&lt;&gt;"N/A"),'Diags Raw Data'!$U$6:$U$4335)</f>
        <v>7</v>
      </c>
      <c r="O111" s="428">
        <f t="shared" si="56"/>
        <v>1</v>
      </c>
      <c r="P111" s="402">
        <f>SUMIF('Diags Raw Data'!$A$6:$A$4335,"*"&amp;$A111&amp;"*",'Diags Raw Data'!$Z$6:$Z$4335)</f>
        <v>0</v>
      </c>
      <c r="Q111" s="403">
        <f>SUM(SUMIF('Diags Raw Data'!$A$6:$A$4335,"*"&amp;$A111&amp;"*",'Diags Raw Data'!$AA$6:$AA$4335),SUMIF('Diags Raw Data'!$A$6:$A$4335,"*"&amp;$A111&amp;"*",'Diags Raw Data'!$AB$6:$AB$4335))</f>
        <v>0</v>
      </c>
      <c r="R111" s="404">
        <f t="shared" si="57"/>
        <v>0</v>
      </c>
      <c r="S111" s="404">
        <f t="shared" si="58"/>
        <v>0</v>
      </c>
      <c r="T111" s="405">
        <f t="shared" si="59"/>
        <v>0</v>
      </c>
      <c r="U111" s="434" t="s">
        <v>1660</v>
      </c>
    </row>
    <row r="112" spans="1:22" ht="60" x14ac:dyDescent="0.25">
      <c r="A112" s="420" t="s">
        <v>903</v>
      </c>
      <c r="B112" s="328" t="str">
        <f>VLOOKUP(A112,'Feature Raw Data'!$A$3:$B$4067,2,FALSE)</f>
        <v>GFXHUB:GCUTCL2:VML2 - Trusted Memory Zone (TMZ) Secure Filtering</v>
      </c>
      <c r="C112" s="271" t="str">
        <f>VLOOKUP(A112,'Feature Raw Data'!$A$3:$C$4067,3,FALSE)</f>
        <v>P2</v>
      </c>
      <c r="D112" s="82" t="str" cm="1">
        <f t="array" ref="D112">_xlfn.TEXTJOIN("",TRUE,IF(ISNUMBER(SEARCH($A112,'Diags Raw Data'!$A$6:$A$4335)),CONCATENATE('Diags Raw Data'!$H$6:$H$4335,", "),""))</f>
        <v xml:space="preserve">mhub232.2, mhub350.1-8,mhub350.10,mhub350.20,mhub350.30-37, </v>
      </c>
      <c r="E112" s="169" t="str">
        <f>VLOOKUP(A112,'Diags Raw Data'!$A$6:$D$4335,4,FALSE)</f>
        <v>GCHUB</v>
      </c>
      <c r="F112" s="169" t="str">
        <f>VLOOKUP(A112,'Feature Raw Data'!$A$3:$E$4067,5,FALSE)</f>
        <v>Legacy</v>
      </c>
      <c r="G112" s="169" t="str">
        <f t="shared" si="60"/>
        <v>Yes</v>
      </c>
      <c r="H112" s="169" t="str">
        <f t="shared" si="55"/>
        <v>Yes</v>
      </c>
      <c r="I112" s="271">
        <f>SUMIF('Diags Raw Data'!$A$6:$A$4335,"*"&amp;$A112&amp;"*",'Diags Raw Data'!$K$6:$K$4335)</f>
        <v>2</v>
      </c>
      <c r="J112" s="179">
        <f>SUMIF('Diags Raw Data'!$A$6:$A$4335,"*"&amp;$A112&amp;"*",'Diags Raw Data'!$L$6:$L$4335)</f>
        <v>19</v>
      </c>
      <c r="K112" s="398" cm="1">
        <f t="array" ref="K112">IF(D112="",0, SUMPRODUCT(--(ISNUMBER(SEARCH($A112,'Diags Raw Data'!$A$6:$A$4335))),'Diags Raw Data'!$L$6:$L$4335,'Diags Raw Data'!$N$6:$N$4335)/J112)</f>
        <v>1</v>
      </c>
      <c r="L112" s="399" cm="1">
        <f t="array" ref="L112">IF(D112="",0, SUMPRODUCT(--(ISNUMBER(SEARCH($A112,'Diags Raw Data'!$A$6:$A$4335))),'Diags Raw Data'!$L$6:$L$4335,'Diags Raw Data'!$P$6:$P$4335)/J112)</f>
        <v>5.2631578947368418E-2</v>
      </c>
      <c r="M112" s="400" cm="1">
        <f t="array" ref="M112">SUMPRODUCT(--(ISNUMBER(SEARCH($A112,'Diags Raw Data'!$A$6:$A$4335))),--('Diags Raw Data'!$Q$6:$Q$4335&lt;&gt;"N/A"),'Diags Raw Data'!$R$6:$R$4335)</f>
        <v>19</v>
      </c>
      <c r="N112" s="401" cm="1">
        <f t="array" ref="N112">SUMPRODUCT(--(ISNUMBER(SEARCH($A112,'Diags Raw Data'!$A$6:$A$4335))),--('Diags Raw Data'!$Q$6:$Q$4335&lt;&gt;"N/A"),'Diags Raw Data'!$T$6:$T$4335)+SUMPRODUCT(--(ISNUMBER(SEARCH($A112,'Diags Raw Data'!$A$6:$A$4335))),--('Diags Raw Data'!$Q$6:$Q$4335&lt;&gt;"N/A"),'Diags Raw Data'!$U$6:$U$4335)</f>
        <v>19</v>
      </c>
      <c r="O112" s="428">
        <f t="shared" si="56"/>
        <v>1</v>
      </c>
      <c r="P112" s="402">
        <f>SUMIF('Diags Raw Data'!$A$6:$A$4335,"*"&amp;$A112&amp;"*",'Diags Raw Data'!$Z$6:$Z$4335)</f>
        <v>0</v>
      </c>
      <c r="Q112" s="403">
        <f>SUM(SUMIF('Diags Raw Data'!$A$6:$A$4335,"*"&amp;$A112&amp;"*",'Diags Raw Data'!$AA$6:$AA$4335),SUMIF('Diags Raw Data'!$A$6:$A$4335,"*"&amp;$A112&amp;"*",'Diags Raw Data'!$AB$6:$AB$4335))</f>
        <v>0</v>
      </c>
      <c r="R112" s="404">
        <f t="shared" si="57"/>
        <v>0</v>
      </c>
      <c r="S112" s="404">
        <f t="shared" si="58"/>
        <v>0</v>
      </c>
      <c r="T112" s="405">
        <f t="shared" si="59"/>
        <v>0</v>
      </c>
      <c r="U112" s="434" t="s">
        <v>1663</v>
      </c>
    </row>
    <row r="113" spans="1:22" ht="105" x14ac:dyDescent="0.25">
      <c r="A113" s="420" t="s">
        <v>801</v>
      </c>
      <c r="B113" s="328" t="str">
        <f>VLOOKUP(A113,'Feature Raw Data'!$A$3:$B$4067,2,FALSE)</f>
        <v>GFXHUB:GCUTCL2:VML2 - Invalidate by Address Range and VMID aka "Sharpshooting"</v>
      </c>
      <c r="C113" s="271" t="str">
        <f>VLOOKUP(A113,'Feature Raw Data'!$A$3:$C$4067,3,FALSE)</f>
        <v>P2</v>
      </c>
      <c r="D113" s="82" t="str" cm="1">
        <f t="array" ref="D113">_xlfn.TEXTJOIN("",TRUE,IF(ISNUMBER(SEARCH($A113,'Diags Raw Data'!$A$6:$A$4335)),CONCATENATE('Diags Raw Data'!$H$6:$H$4335,", "),""))</f>
        <v xml:space="preserve">mhub232.3, mhub252.1, mhub253.1, mhub254.1,mhub254.3,mhub254.5-8, mhub255.1,mhub255.2, mhub257.6, </v>
      </c>
      <c r="E113" s="169" t="str">
        <f>VLOOKUP(A113,'Diags Raw Data'!$A$6:$D$4335,4,FALSE)</f>
        <v>GCHUB</v>
      </c>
      <c r="F113" s="169" t="str">
        <f>VLOOKUP(A113,'Feature Raw Data'!$A$3:$E$4067,5,FALSE)</f>
        <v>Legacy</v>
      </c>
      <c r="G113" s="169" t="str">
        <f t="shared" si="60"/>
        <v>Yes</v>
      </c>
      <c r="H113" s="169" t="str">
        <f t="shared" si="55"/>
        <v>Yes</v>
      </c>
      <c r="I113" s="271">
        <f>SUMIF('Diags Raw Data'!$A$6:$A$4335,"*"&amp;$A113&amp;"*",'Diags Raw Data'!$K$6:$K$4335)</f>
        <v>6</v>
      </c>
      <c r="J113" s="179">
        <f>SUMIF('Diags Raw Data'!$A$6:$A$4335,"*"&amp;$A113&amp;"*",'Diags Raw Data'!$L$6:$L$4335)</f>
        <v>12</v>
      </c>
      <c r="K113" s="398" cm="1">
        <f t="array" ref="K113">IF(D113="",0, SUMPRODUCT(--(ISNUMBER(SEARCH($A113,'Diags Raw Data'!$A$6:$A$4335))),'Diags Raw Data'!$L$6:$L$4335,'Diags Raw Data'!$N$6:$N$4335)/J113)</f>
        <v>1</v>
      </c>
      <c r="L113" s="399" cm="1">
        <f t="array" ref="L113">IF(D113="",0, SUMPRODUCT(--(ISNUMBER(SEARCH($A113,'Diags Raw Data'!$A$6:$A$4335))),'Diags Raw Data'!$L$6:$L$4335,'Diags Raw Data'!$P$6:$P$4335)/J113)</f>
        <v>1</v>
      </c>
      <c r="M113" s="400" cm="1">
        <f t="array" ref="M113">SUMPRODUCT(--(ISNUMBER(SEARCH($A113,'Diags Raw Data'!$A$6:$A$4335))),--('Diags Raw Data'!$Q$6:$Q$4335&lt;&gt;"N/A"),'Diags Raw Data'!$R$6:$R$4335)</f>
        <v>12</v>
      </c>
      <c r="N113" s="401" cm="1">
        <f t="array" ref="N113">SUMPRODUCT(--(ISNUMBER(SEARCH($A113,'Diags Raw Data'!$A$6:$A$4335))),--('Diags Raw Data'!$Q$6:$Q$4335&lt;&gt;"N/A"),'Diags Raw Data'!$T$6:$T$4335)+SUMPRODUCT(--(ISNUMBER(SEARCH($A113,'Diags Raw Data'!$A$6:$A$4335))),--('Diags Raw Data'!$Q$6:$Q$4335&lt;&gt;"N/A"),'Diags Raw Data'!$U$6:$U$4335)</f>
        <v>12</v>
      </c>
      <c r="O113" s="428">
        <f t="shared" si="56"/>
        <v>1</v>
      </c>
      <c r="P113" s="402">
        <f>SUMIF('Diags Raw Data'!$A$6:$A$4335,"*"&amp;$A113&amp;"*",'Diags Raw Data'!$Z$6:$Z$4335)</f>
        <v>0</v>
      </c>
      <c r="Q113" s="403">
        <f>SUM(SUMIF('Diags Raw Data'!$A$6:$A$4335,"*"&amp;$A113&amp;"*",'Diags Raw Data'!$AA$6:$AA$4335),SUMIF('Diags Raw Data'!$A$6:$A$4335,"*"&amp;$A113&amp;"*",'Diags Raw Data'!$AB$6:$AB$4335))</f>
        <v>0</v>
      </c>
      <c r="R113" s="404">
        <f t="shared" si="57"/>
        <v>0</v>
      </c>
      <c r="S113" s="404">
        <f t="shared" si="58"/>
        <v>0</v>
      </c>
      <c r="T113" s="405">
        <f t="shared" si="59"/>
        <v>0</v>
      </c>
      <c r="U113" s="434" t="s">
        <v>1657</v>
      </c>
    </row>
    <row r="114" spans="1:22" ht="45" x14ac:dyDescent="0.25">
      <c r="A114" s="420" t="s">
        <v>1438</v>
      </c>
      <c r="B114" s="328" t="str">
        <f>VLOOKUP(A114,'Feature Raw Data'!$A$3:$B$4067,2,FALSE)</f>
        <v>GFXHUB:GCUTCL2:VML2 - Lightweight/Heavyweight flush-type invalidation aka GPUVM –ATC like invalidations</v>
      </c>
      <c r="C114" s="271" t="str">
        <f>VLOOKUP(A114,'Feature Raw Data'!$A$3:$C$4067,3,FALSE)</f>
        <v>P2</v>
      </c>
      <c r="D114" s="82" t="str" cm="1">
        <f t="array" ref="D114">_xlfn.TEXTJOIN("",TRUE,IF(ISNUMBER(SEARCH($A114,'Diags Raw Data'!$A$6:$A$4335)),CONCATENATE('Diags Raw Data'!$H$6:$H$4335,", "),""))</f>
        <v xml:space="preserve">mhub232.4, mhub252.1, </v>
      </c>
      <c r="E114" s="169" t="str">
        <f>VLOOKUP(A114,'Diags Raw Data'!$A$6:$D$4335,4,FALSE)</f>
        <v>GCHUB</v>
      </c>
      <c r="F114" s="169" t="str">
        <f>VLOOKUP(A114,'Feature Raw Data'!$A$3:$E$4067,5,FALSE)</f>
        <v>Legacy</v>
      </c>
      <c r="G114" s="169" t="str">
        <f t="shared" si="60"/>
        <v>Yes</v>
      </c>
      <c r="H114" s="169" t="str">
        <f t="shared" si="55"/>
        <v>Yes</v>
      </c>
      <c r="I114" s="271">
        <f>SUMIF('Diags Raw Data'!$A$6:$A$4335,"*"&amp;$A114&amp;"*",'Diags Raw Data'!$K$6:$K$4335)</f>
        <v>2</v>
      </c>
      <c r="J114" s="179">
        <f>SUMIF('Diags Raw Data'!$A$6:$A$4335,"*"&amp;$A114&amp;"*",'Diags Raw Data'!$L$6:$L$4335)</f>
        <v>2</v>
      </c>
      <c r="K114" s="398" cm="1">
        <f t="array" ref="K114">IF(D114="",0, SUMPRODUCT(--(ISNUMBER(SEARCH($A114,'Diags Raw Data'!$A$6:$A$4335))),'Diags Raw Data'!$L$6:$L$4335,'Diags Raw Data'!$N$6:$N$4335)/J114)</f>
        <v>1</v>
      </c>
      <c r="L114" s="399" cm="1">
        <f t="array" ref="L114">IF(D114="",0, SUMPRODUCT(--(ISNUMBER(SEARCH($A114,'Diags Raw Data'!$A$6:$A$4335))),'Diags Raw Data'!$L$6:$L$4335,'Diags Raw Data'!$P$6:$P$4335)/J114)</f>
        <v>1</v>
      </c>
      <c r="M114" s="400" cm="1">
        <f t="array" ref="M114">SUMPRODUCT(--(ISNUMBER(SEARCH($A114,'Diags Raw Data'!$A$6:$A$4335))),--('Diags Raw Data'!$Q$6:$Q$4335&lt;&gt;"N/A"),'Diags Raw Data'!$R$6:$R$4335)</f>
        <v>2</v>
      </c>
      <c r="N114" s="401" cm="1">
        <f t="array" ref="N114">SUMPRODUCT(--(ISNUMBER(SEARCH($A114,'Diags Raw Data'!$A$6:$A$4335))),--('Diags Raw Data'!$Q$6:$Q$4335&lt;&gt;"N/A"),'Diags Raw Data'!$T$6:$T$4335)+SUMPRODUCT(--(ISNUMBER(SEARCH($A114,'Diags Raw Data'!$A$6:$A$4335))),--('Diags Raw Data'!$Q$6:$Q$4335&lt;&gt;"N/A"),'Diags Raw Data'!$U$6:$U$4335)</f>
        <v>2</v>
      </c>
      <c r="O114" s="428">
        <f t="shared" si="56"/>
        <v>1</v>
      </c>
      <c r="P114" s="402">
        <f>SUMIF('Diags Raw Data'!$A$6:$A$4335,"*"&amp;$A114&amp;"*",'Diags Raw Data'!$Z$6:$Z$4335)</f>
        <v>0</v>
      </c>
      <c r="Q114" s="403">
        <f>SUM(SUMIF('Diags Raw Data'!$A$6:$A$4335,"*"&amp;$A114&amp;"*",'Diags Raw Data'!$AA$6:$AA$4335),SUMIF('Diags Raw Data'!$A$6:$A$4335,"*"&amp;$A114&amp;"*",'Diags Raw Data'!$AB$6:$AB$4335))</f>
        <v>0</v>
      </c>
      <c r="R114" s="404">
        <f t="shared" si="57"/>
        <v>0</v>
      </c>
      <c r="S114" s="404">
        <f t="shared" si="58"/>
        <v>0</v>
      </c>
      <c r="T114" s="405">
        <f t="shared" si="59"/>
        <v>0</v>
      </c>
      <c r="U114" s="434" t="s">
        <v>1657</v>
      </c>
    </row>
    <row r="115" spans="1:22" ht="75" x14ac:dyDescent="0.25">
      <c r="A115" s="420" t="s">
        <v>669</v>
      </c>
      <c r="B115" s="328" t="str">
        <f>VLOOKUP(A115,'Feature Raw Data'!$A$3:$B$4067,2,FALSE)</f>
        <v>GFXHUB:GCUTCL2:VML2 - Page Tables Levels</v>
      </c>
      <c r="C115" s="271" t="str">
        <f>VLOOKUP(A115,'Feature Raw Data'!$A$3:$C$4067,3,FALSE)</f>
        <v>P2</v>
      </c>
      <c r="D115" s="82" t="str" cm="1">
        <f t="array" ref="D115">_xlfn.TEXTJOIN("",TRUE,IF(ISNUMBER(SEARCH($A115,'Diags Raw Data'!$A$6:$A$4335)),CONCATENATE('Diags Raw Data'!$H$6:$H$4335,", "),""))</f>
        <v xml:space="preserve">mhub210.1, mhub211.1, mhub211.2, mhub211.4, mhub232.6, </v>
      </c>
      <c r="E115" s="169" t="str">
        <f>VLOOKUP(A115,'Diags Raw Data'!$A$6:$D$4335,4,FALSE)</f>
        <v>GCHUB</v>
      </c>
      <c r="F115" s="169" t="str">
        <f>VLOOKUP(A115,'Feature Raw Data'!$A$3:$E$4067,5,FALSE)</f>
        <v>Legacy</v>
      </c>
      <c r="G115" s="169" t="str">
        <f t="shared" si="60"/>
        <v>Yes</v>
      </c>
      <c r="H115" s="169" t="str">
        <f t="shared" si="55"/>
        <v>Yes</v>
      </c>
      <c r="I115" s="271">
        <f>SUMIF('Diags Raw Data'!$A$6:$A$4335,"*"&amp;$A115&amp;"*",'Diags Raw Data'!$K$6:$K$4335)</f>
        <v>5</v>
      </c>
      <c r="J115" s="179">
        <f>SUMIF('Diags Raw Data'!$A$6:$A$4335,"*"&amp;$A115&amp;"*",'Diags Raw Data'!$L$6:$L$4335)</f>
        <v>5</v>
      </c>
      <c r="K115" s="398" cm="1">
        <f t="array" ref="K115">IF(D115="",0, SUMPRODUCT(--(ISNUMBER(SEARCH($A115,'Diags Raw Data'!$A$6:$A$4335))),'Diags Raw Data'!$L$6:$L$4335,'Diags Raw Data'!$N$6:$N$4335)/J115)</f>
        <v>1</v>
      </c>
      <c r="L115" s="399" cm="1">
        <f t="array" ref="L115">IF(D115="",0, SUMPRODUCT(--(ISNUMBER(SEARCH($A115,'Diags Raw Data'!$A$6:$A$4335))),'Diags Raw Data'!$L$6:$L$4335,'Diags Raw Data'!$P$6:$P$4335)/J115)</f>
        <v>1</v>
      </c>
      <c r="M115" s="400" cm="1">
        <f t="array" ref="M115">SUMPRODUCT(--(ISNUMBER(SEARCH($A115,'Diags Raw Data'!$A$6:$A$4335))),--('Diags Raw Data'!$Q$6:$Q$4335&lt;&gt;"N/A"),'Diags Raw Data'!$R$6:$R$4335)</f>
        <v>5</v>
      </c>
      <c r="N115" s="401" cm="1">
        <f t="array" ref="N115">SUMPRODUCT(--(ISNUMBER(SEARCH($A115,'Diags Raw Data'!$A$6:$A$4335))),--('Diags Raw Data'!$Q$6:$Q$4335&lt;&gt;"N/A"),'Diags Raw Data'!$T$6:$T$4335)+SUMPRODUCT(--(ISNUMBER(SEARCH($A115,'Diags Raw Data'!$A$6:$A$4335))),--('Diags Raw Data'!$Q$6:$Q$4335&lt;&gt;"N/A"),'Diags Raw Data'!$U$6:$U$4335)</f>
        <v>5</v>
      </c>
      <c r="O115" s="428">
        <f t="shared" si="56"/>
        <v>1</v>
      </c>
      <c r="P115" s="402">
        <f>SUMIF('Diags Raw Data'!$A$6:$A$4335,"*"&amp;$A115&amp;"*",'Diags Raw Data'!$Z$6:$Z$4335)</f>
        <v>0</v>
      </c>
      <c r="Q115" s="403">
        <f>SUM(SUMIF('Diags Raw Data'!$A$6:$A$4335,"*"&amp;$A115&amp;"*",'Diags Raw Data'!$AA$6:$AA$4335),SUMIF('Diags Raw Data'!$A$6:$A$4335,"*"&amp;$A115&amp;"*",'Diags Raw Data'!$AB$6:$AB$4335))</f>
        <v>0</v>
      </c>
      <c r="R115" s="404">
        <f t="shared" si="57"/>
        <v>0</v>
      </c>
      <c r="S115" s="404">
        <f t="shared" si="58"/>
        <v>0</v>
      </c>
      <c r="T115" s="405">
        <f t="shared" si="59"/>
        <v>0</v>
      </c>
      <c r="U115" s="434" t="s">
        <v>1653</v>
      </c>
    </row>
    <row r="116" spans="1:22" ht="165" x14ac:dyDescent="0.25">
      <c r="A116" s="420" t="s">
        <v>653</v>
      </c>
      <c r="B116" s="328" t="str">
        <f>VLOOKUP(A116,'Feature Raw Data'!$A$3:$B$4067,2,FALSE)</f>
        <v>GFXHUB:GCUTCL2:VML2 - PDE Attributes</v>
      </c>
      <c r="C116" s="271" t="str">
        <f>VLOOKUP(A116,'Feature Raw Data'!$A$3:$C$4067,3,FALSE)</f>
        <v>P1</v>
      </c>
      <c r="D116" s="82" t="str" cm="1">
        <f t="array" ref="D116">_xlfn.TEXTJOIN("",TRUE,IF(ISNUMBER(SEARCH($A116,'Diags Raw Data'!$A$6:$A$4335)),CONCATENATE('Diags Raw Data'!$H$6:$H$4335,", "),""))</f>
        <v xml:space="preserve">mhub206.1, mhub206.2, mhub206.3, mhub206.4, mhub208.1, mhub208.2, mhub208.3, mhub213.1, mhub213.2, mhub214.1,mhub214.2, </v>
      </c>
      <c r="E116" s="169" t="str">
        <f>VLOOKUP(A116,'Diags Raw Data'!$A$6:$D$4335,4,FALSE)</f>
        <v>GCHUB</v>
      </c>
      <c r="F116" s="169" t="str">
        <f>VLOOKUP(A116,'Feature Raw Data'!$A$3:$E$4067,5,FALSE)</f>
        <v>Delta</v>
      </c>
      <c r="G116" s="169" t="str">
        <f t="shared" si="60"/>
        <v>Yes</v>
      </c>
      <c r="H116" s="169" t="str">
        <f t="shared" si="55"/>
        <v>Yes</v>
      </c>
      <c r="I116" s="271">
        <f>SUMIF('Diags Raw Data'!$A$6:$A$4335,"*"&amp;$A116&amp;"*",'Diags Raw Data'!$K$6:$K$4335)</f>
        <v>10</v>
      </c>
      <c r="J116" s="179">
        <f>SUMIF('Diags Raw Data'!$A$6:$A$4335,"*"&amp;$A116&amp;"*",'Diags Raw Data'!$L$6:$L$4335)</f>
        <v>11</v>
      </c>
      <c r="K116" s="398" cm="1">
        <f t="array" ref="K116">IF(D116="",0, SUMPRODUCT(--(ISNUMBER(SEARCH($A116,'Diags Raw Data'!$A$6:$A$4335))),'Diags Raw Data'!$L$6:$L$4335,'Diags Raw Data'!$N$6:$N$4335)/J116)</f>
        <v>1</v>
      </c>
      <c r="L116" s="399" cm="1">
        <f t="array" ref="L116">IF(D116="",0, SUMPRODUCT(--(ISNUMBER(SEARCH($A116,'Diags Raw Data'!$A$6:$A$4335))),'Diags Raw Data'!$L$6:$L$4335,'Diags Raw Data'!$P$6:$P$4335)/J116)</f>
        <v>1</v>
      </c>
      <c r="M116" s="400" cm="1">
        <f t="array" ref="M116">SUMPRODUCT(--(ISNUMBER(SEARCH($A116,'Diags Raw Data'!$A$6:$A$4335))),--('Diags Raw Data'!$Q$6:$Q$4335&lt;&gt;"N/A"),'Diags Raw Data'!$R$6:$R$4335)</f>
        <v>11</v>
      </c>
      <c r="N116" s="401" cm="1">
        <f t="array" ref="N116">SUMPRODUCT(--(ISNUMBER(SEARCH($A116,'Diags Raw Data'!$A$6:$A$4335))),--('Diags Raw Data'!$Q$6:$Q$4335&lt;&gt;"N/A"),'Diags Raw Data'!$T$6:$T$4335)+SUMPRODUCT(--(ISNUMBER(SEARCH($A116,'Diags Raw Data'!$A$6:$A$4335))),--('Diags Raw Data'!$Q$6:$Q$4335&lt;&gt;"N/A"),'Diags Raw Data'!$U$6:$U$4335)</f>
        <v>11</v>
      </c>
      <c r="O116" s="428">
        <f t="shared" si="56"/>
        <v>1</v>
      </c>
      <c r="P116" s="402">
        <f>SUMIF('Diags Raw Data'!$A$6:$A$4335,"*"&amp;$A116&amp;"*",'Diags Raw Data'!$Z$6:$Z$4335)</f>
        <v>0</v>
      </c>
      <c r="Q116" s="403">
        <f>SUM(SUMIF('Diags Raw Data'!$A$6:$A$4335,"*"&amp;$A116&amp;"*",'Diags Raw Data'!$AA$6:$AA$4335),SUMIF('Diags Raw Data'!$A$6:$A$4335,"*"&amp;$A116&amp;"*",'Diags Raw Data'!$AB$6:$AB$4335))</f>
        <v>0</v>
      </c>
      <c r="R116" s="404">
        <f t="shared" si="57"/>
        <v>0</v>
      </c>
      <c r="S116" s="404">
        <f t="shared" si="58"/>
        <v>0</v>
      </c>
      <c r="T116" s="405">
        <f t="shared" si="59"/>
        <v>0</v>
      </c>
      <c r="U116" s="434" t="s">
        <v>1652</v>
      </c>
    </row>
    <row r="117" spans="1:22" ht="60" x14ac:dyDescent="0.25">
      <c r="A117" s="420" t="s">
        <v>874</v>
      </c>
      <c r="B117" s="328" t="str">
        <f>VLOOKUP(A117,'Feature Raw Data'!$A$3:$B$4067,2,FALSE)</f>
        <v>GFXHUB:GCUTCL2:VML2 - PTE Attributes</v>
      </c>
      <c r="C117" s="271" t="str">
        <f>VLOOKUP(A117,'Feature Raw Data'!$A$3:$C$4067,3,FALSE)</f>
        <v>P2</v>
      </c>
      <c r="D117" s="82" t="str" cm="1">
        <f t="array" ref="D117">_xlfn.TEXTJOIN("",TRUE,IF(ISNUMBER(SEARCH($A117,'Diags Raw Data'!$A$6:$A$4335)),CONCATENATE('Diags Raw Data'!$H$6:$H$4335,", "),""))</f>
        <v xml:space="preserve">mhub281.1,mhub281.2, mhub286.1,mhub286.2, mhub294, </v>
      </c>
      <c r="E117" s="169" t="str">
        <f>VLOOKUP(A117,'Diags Raw Data'!$A$6:$D$4335,4,FALSE)</f>
        <v>GCHUB</v>
      </c>
      <c r="F117" s="169" t="str">
        <f>VLOOKUP(A117,'Feature Raw Data'!$A$3:$E$4067,5,FALSE)</f>
        <v>Legacy</v>
      </c>
      <c r="G117" s="169" t="str">
        <f t="shared" si="60"/>
        <v>Yes</v>
      </c>
      <c r="H117" s="169" t="str">
        <f t="shared" si="55"/>
        <v>Yes</v>
      </c>
      <c r="I117" s="271">
        <f>SUMIF('Diags Raw Data'!$A$6:$A$4335,"*"&amp;$A117&amp;"*",'Diags Raw Data'!$K$6:$K$4335)</f>
        <v>3</v>
      </c>
      <c r="J117" s="179">
        <f>SUMIF('Diags Raw Data'!$A$6:$A$4335,"*"&amp;$A117&amp;"*",'Diags Raw Data'!$L$6:$L$4335)</f>
        <v>5</v>
      </c>
      <c r="K117" s="398" cm="1">
        <f t="array" ref="K117">IF(D117="",0, SUMPRODUCT(--(ISNUMBER(SEARCH($A117,'Diags Raw Data'!$A$6:$A$4335))),'Diags Raw Data'!$L$6:$L$4335,'Diags Raw Data'!$N$6:$N$4335)/J117)</f>
        <v>1</v>
      </c>
      <c r="L117" s="399" cm="1">
        <f t="array" ref="L117">IF(D117="",0, SUMPRODUCT(--(ISNUMBER(SEARCH($A117,'Diags Raw Data'!$A$6:$A$4335))),'Diags Raw Data'!$L$6:$L$4335,'Diags Raw Data'!$P$6:$P$4335)/J117)</f>
        <v>1</v>
      </c>
      <c r="M117" s="400" cm="1">
        <f t="array" ref="M117">SUMPRODUCT(--(ISNUMBER(SEARCH($A117,'Diags Raw Data'!$A$6:$A$4335))),--('Diags Raw Data'!$Q$6:$Q$4335&lt;&gt;"N/A"),'Diags Raw Data'!$R$6:$R$4335)</f>
        <v>5</v>
      </c>
      <c r="N117" s="401" cm="1">
        <f t="array" ref="N117">SUMPRODUCT(--(ISNUMBER(SEARCH($A117,'Diags Raw Data'!$A$6:$A$4335))),--('Diags Raw Data'!$Q$6:$Q$4335&lt;&gt;"N/A"),'Diags Raw Data'!$T$6:$T$4335)+SUMPRODUCT(--(ISNUMBER(SEARCH($A117,'Diags Raw Data'!$A$6:$A$4335))),--('Diags Raw Data'!$Q$6:$Q$4335&lt;&gt;"N/A"),'Diags Raw Data'!$U$6:$U$4335)</f>
        <v>5</v>
      </c>
      <c r="O117" s="428">
        <f t="shared" si="56"/>
        <v>1</v>
      </c>
      <c r="P117" s="402">
        <f>SUMIF('Diags Raw Data'!$A$6:$A$4335,"*"&amp;$A117&amp;"*",'Diags Raw Data'!$Z$6:$Z$4335)</f>
        <v>0</v>
      </c>
      <c r="Q117" s="403">
        <f>SUM(SUMIF('Diags Raw Data'!$A$6:$A$4335,"*"&amp;$A117&amp;"*",'Diags Raw Data'!$AA$6:$AA$4335),SUMIF('Diags Raw Data'!$A$6:$A$4335,"*"&amp;$A117&amp;"*",'Diags Raw Data'!$AB$6:$AB$4335))</f>
        <v>0</v>
      </c>
      <c r="R117" s="404">
        <f t="shared" si="57"/>
        <v>0</v>
      </c>
      <c r="S117" s="404">
        <f t="shared" si="58"/>
        <v>0</v>
      </c>
      <c r="T117" s="405">
        <f t="shared" si="59"/>
        <v>0</v>
      </c>
      <c r="U117" s="434" t="s">
        <v>1658</v>
      </c>
    </row>
    <row r="118" spans="1:22" ht="30" x14ac:dyDescent="0.25">
      <c r="A118" s="420" t="s">
        <v>1443</v>
      </c>
      <c r="B118" s="328" t="str">
        <f>VLOOKUP(A118,'Feature Raw Data'!$A$3:$B$4067,2,FALSE)</f>
        <v>GFXHUB:GCUTCL2:VML2 - PTE permissions returned</v>
      </c>
      <c r="C118" s="271" t="str">
        <f>VLOOKUP(A118,'Feature Raw Data'!$A$3:$C$4067,3,FALSE)</f>
        <v>P2</v>
      </c>
      <c r="D118" s="82" t="str" cm="1">
        <f t="array" ref="D118">_xlfn.TEXTJOIN("",TRUE,IF(ISNUMBER(SEARCH($A118,'Diags Raw Data'!$A$6:$A$4335)),CONCATENATE('Diags Raw Data'!$H$6:$H$4335,", "),""))</f>
        <v xml:space="preserve">mhub341.1, </v>
      </c>
      <c r="E118" s="169" t="str">
        <f>VLOOKUP(A118,'Diags Raw Data'!$A$6:$D$4335,4,FALSE)</f>
        <v>GCHUB</v>
      </c>
      <c r="F118" s="169" t="str">
        <f>VLOOKUP(A118,'Feature Raw Data'!$A$3:$E$4067,5,FALSE)</f>
        <v>Legacy</v>
      </c>
      <c r="G118" s="169" t="str">
        <f t="shared" si="60"/>
        <v>Yes</v>
      </c>
      <c r="H118" s="169" t="str">
        <f t="shared" si="55"/>
        <v>Yes</v>
      </c>
      <c r="I118" s="271">
        <f>SUMIF('Diags Raw Data'!$A$6:$A$4335,"*"&amp;$A118&amp;"*",'Diags Raw Data'!$K$6:$K$4335)</f>
        <v>1</v>
      </c>
      <c r="J118" s="179">
        <f>SUMIF('Diags Raw Data'!$A$6:$A$4335,"*"&amp;$A118&amp;"*",'Diags Raw Data'!$L$6:$L$4335)</f>
        <v>1</v>
      </c>
      <c r="K118" s="398" cm="1">
        <f t="array" ref="K118">IF(D118="",0, SUMPRODUCT(--(ISNUMBER(SEARCH($A118,'Diags Raw Data'!$A$6:$A$4335))),'Diags Raw Data'!$L$6:$L$4335,'Diags Raw Data'!$N$6:$N$4335)/J118)</f>
        <v>1</v>
      </c>
      <c r="L118" s="399" cm="1">
        <f t="array" ref="L118">IF(D118="",0, SUMPRODUCT(--(ISNUMBER(SEARCH($A118,'Diags Raw Data'!$A$6:$A$4335))),'Diags Raw Data'!$L$6:$L$4335,'Diags Raw Data'!$P$6:$P$4335)/J118)</f>
        <v>1</v>
      </c>
      <c r="M118" s="400" cm="1">
        <f t="array" ref="M118">SUMPRODUCT(--(ISNUMBER(SEARCH($A118,'Diags Raw Data'!$A$6:$A$4335))),--('Diags Raw Data'!$Q$6:$Q$4335&lt;&gt;"N/A"),'Diags Raw Data'!$R$6:$R$4335)</f>
        <v>1</v>
      </c>
      <c r="N118" s="401" cm="1">
        <f t="array" ref="N118">SUMPRODUCT(--(ISNUMBER(SEARCH($A118,'Diags Raw Data'!$A$6:$A$4335))),--('Diags Raw Data'!$Q$6:$Q$4335&lt;&gt;"N/A"),'Diags Raw Data'!$T$6:$T$4335)+SUMPRODUCT(--(ISNUMBER(SEARCH($A118,'Diags Raw Data'!$A$6:$A$4335))),--('Diags Raw Data'!$Q$6:$Q$4335&lt;&gt;"N/A"),'Diags Raw Data'!$U$6:$U$4335)</f>
        <v>1</v>
      </c>
      <c r="O118" s="428">
        <f t="shared" si="56"/>
        <v>1</v>
      </c>
      <c r="P118" s="402">
        <f>SUMIF('Diags Raw Data'!$A$6:$A$4335,"*"&amp;$A118&amp;"*",'Diags Raw Data'!$Z$6:$Z$4335)</f>
        <v>0</v>
      </c>
      <c r="Q118" s="403">
        <f>SUM(SUMIF('Diags Raw Data'!$A$6:$A$4335,"*"&amp;$A118&amp;"*",'Diags Raw Data'!$AA$6:$AA$4335),SUMIF('Diags Raw Data'!$A$6:$A$4335,"*"&amp;$A118&amp;"*",'Diags Raw Data'!$AB$6:$AB$4335))</f>
        <v>0</v>
      </c>
      <c r="R118" s="404">
        <f t="shared" si="57"/>
        <v>0</v>
      </c>
      <c r="S118" s="404">
        <f t="shared" si="58"/>
        <v>0</v>
      </c>
      <c r="T118" s="405">
        <f t="shared" si="59"/>
        <v>0</v>
      </c>
      <c r="U118" s="434" t="s">
        <v>1662</v>
      </c>
    </row>
    <row r="119" spans="1:22" ht="409.5" x14ac:dyDescent="0.25">
      <c r="A119" s="420" t="s">
        <v>1445</v>
      </c>
      <c r="B119" s="328" t="str">
        <f>VLOOKUP(A119,'Feature Raw Data'!$A$3:$B$4067,2,FALSE)</f>
        <v>GFXHUB:GCUTCL2:VML2 - Increase MTYPE from 2 to 3 bits</v>
      </c>
      <c r="C119" s="271" t="str">
        <f>VLOOKUP(A119,'Feature Raw Data'!$A$3:$C$4067,3,FALSE)</f>
        <v>P2</v>
      </c>
      <c r="D119" s="82" t="str" cm="1">
        <f t="array" ref="D119">_xlfn.TEXTJOIN("",TRUE,IF(ISNUMBER(SEARCH($A119,'Diags Raw Data'!$A$6:$A$4335)),CONCATENATE('Diags Raw Data'!$H$6:$H$4335,", "),""))</f>
        <v xml:space="preserve">mhub408.1-2, mhub408.7,mhub408.8, mhub408.81, mhub408.87, mhub408.61, mhub408.67, mhub408.71, mhub408.77, mhub408.91, mhub408.97, mhub408.51-52, mhub408.57,mhub408.58, </v>
      </c>
      <c r="E119" s="169" t="str">
        <f>VLOOKUP(A119,'Diags Raw Data'!$A$6:$D$4335,4,FALSE)</f>
        <v>GCHUB</v>
      </c>
      <c r="F119" s="169" t="str">
        <f>VLOOKUP(A119,'Feature Raw Data'!$A$3:$E$4067,5,FALSE)</f>
        <v>Legacy</v>
      </c>
      <c r="G119" s="169" t="str">
        <f t="shared" ref="G119:G126" si="61">IF(D119="","No","Yes")</f>
        <v>Yes</v>
      </c>
      <c r="H119" s="169" t="str">
        <f t="shared" ref="H119:H126" si="62">IF(D119="","No","Yes")</f>
        <v>Yes</v>
      </c>
      <c r="I119" s="271">
        <f>SUMIF('Diags Raw Data'!$A$6:$A$4335,"*"&amp;$A119&amp;"*",'Diags Raw Data'!$K$6:$K$4335)</f>
        <v>12</v>
      </c>
      <c r="J119" s="179">
        <f>SUMIF('Diags Raw Data'!$A$6:$A$4335,"*"&amp;$A119&amp;"*",'Diags Raw Data'!$L$6:$L$4335)</f>
        <v>16</v>
      </c>
      <c r="K119" s="398" cm="1">
        <f t="array" ref="K119">IF(D119="",0, SUMPRODUCT(--(ISNUMBER(SEARCH($A119,'Diags Raw Data'!$A$6:$A$4335))),'Diags Raw Data'!$L$6:$L$4335,'Diags Raw Data'!$N$6:$N$4335)/J119)</f>
        <v>1</v>
      </c>
      <c r="L119" s="399" cm="1">
        <f t="array" ref="L119">IF(D119="",0, SUMPRODUCT(--(ISNUMBER(SEARCH($A119,'Diags Raw Data'!$A$6:$A$4335))),'Diags Raw Data'!$L$6:$L$4335,'Diags Raw Data'!$P$6:$P$4335)/J119)</f>
        <v>1</v>
      </c>
      <c r="M119" s="400" cm="1">
        <f t="array" ref="M119">SUMPRODUCT(--(ISNUMBER(SEARCH($A119,'Diags Raw Data'!$A$6:$A$4335))),--('Diags Raw Data'!$Q$6:$Q$4335&lt;&gt;"N/A"),'Diags Raw Data'!$R$6:$R$4335)</f>
        <v>16</v>
      </c>
      <c r="N119" s="401" cm="1">
        <f t="array" ref="N119">SUMPRODUCT(--(ISNUMBER(SEARCH($A119,'Diags Raw Data'!$A$6:$A$4335))),--('Diags Raw Data'!$Q$6:$Q$4335&lt;&gt;"N/A"),'Diags Raw Data'!$T$6:$T$4335)+SUMPRODUCT(--(ISNUMBER(SEARCH($A119,'Diags Raw Data'!$A$6:$A$4335))),--('Diags Raw Data'!$Q$6:$Q$4335&lt;&gt;"N/A"),'Diags Raw Data'!$U$6:$U$4335)</f>
        <v>16</v>
      </c>
      <c r="O119" s="428">
        <f t="shared" ref="O119:O126" si="63">IF((M119=0),0,N119/M119)</f>
        <v>1</v>
      </c>
      <c r="P119" s="402">
        <f>SUMIF('Diags Raw Data'!$A$6:$A$4335,"*"&amp;$A119&amp;"*",'Diags Raw Data'!$Z$6:$Z$4335)</f>
        <v>0</v>
      </c>
      <c r="Q119" s="403">
        <f>SUM(SUMIF('Diags Raw Data'!$A$6:$A$4335,"*"&amp;$A119&amp;"*",'Diags Raw Data'!$AA$6:$AA$4335),SUMIF('Diags Raw Data'!$A$6:$A$4335,"*"&amp;$A119&amp;"*",'Diags Raw Data'!$AB$6:$AB$4335))</f>
        <v>0</v>
      </c>
      <c r="R119" s="404">
        <f t="shared" ref="R119:R126" si="64">IF((J119=0),0,P119/J119)</f>
        <v>0</v>
      </c>
      <c r="S119" s="404">
        <f t="shared" ref="S119:S126" si="65">IF((P119=0),0,Q119/P119)</f>
        <v>0</v>
      </c>
      <c r="T119" s="405">
        <f t="shared" ref="T119:T126" si="66">R119*S119</f>
        <v>0</v>
      </c>
      <c r="U119" s="434" t="s">
        <v>1656</v>
      </c>
    </row>
    <row r="120" spans="1:22" ht="75" x14ac:dyDescent="0.25">
      <c r="A120" s="420" t="s">
        <v>672</v>
      </c>
      <c r="B120" s="328" t="str">
        <f>VLOOKUP(A120,'Feature Raw Data'!$A$3:$B$4067,2,FALSE)</f>
        <v>GFXHUB:GCUTCL2:VML2 - Translate Further/PTE.F bit</v>
      </c>
      <c r="C120" s="271" t="str">
        <f>VLOOKUP(A120,'Feature Raw Data'!$A$3:$C$4067,3,FALSE)</f>
        <v>P2</v>
      </c>
      <c r="D120" s="82" t="str" cm="1">
        <f t="array" ref="D120">_xlfn.TEXTJOIN("",TRUE,IF(ISNUMBER(SEARCH($A120,'Diags Raw Data'!$A$6:$A$4335)),CONCATENATE('Diags Raw Data'!$H$6:$H$4335,", "),""))</f>
        <v xml:space="preserve">mhub210.2, mhub211.1, mhub211.2, mhub211.4, mhub232.6, </v>
      </c>
      <c r="E120" s="169" t="str">
        <f>VLOOKUP(A120,'Diags Raw Data'!$A$6:$D$4335,4,FALSE)</f>
        <v>GCHUB</v>
      </c>
      <c r="F120" s="169" t="str">
        <f>VLOOKUP(A120,'Feature Raw Data'!$A$3:$E$4067,5,FALSE)</f>
        <v>Legacy</v>
      </c>
      <c r="G120" s="169" t="str">
        <f t="shared" si="61"/>
        <v>Yes</v>
      </c>
      <c r="H120" s="169" t="str">
        <f t="shared" si="62"/>
        <v>Yes</v>
      </c>
      <c r="I120" s="271">
        <f>SUMIF('Diags Raw Data'!$A$6:$A$4335,"*"&amp;$A120&amp;"*",'Diags Raw Data'!$K$6:$K$4335)</f>
        <v>5</v>
      </c>
      <c r="J120" s="179">
        <f>SUMIF('Diags Raw Data'!$A$6:$A$4335,"*"&amp;$A120&amp;"*",'Diags Raw Data'!$L$6:$L$4335)</f>
        <v>5</v>
      </c>
      <c r="K120" s="398" cm="1">
        <f t="array" ref="K120">IF(D120="",0, SUMPRODUCT(--(ISNUMBER(SEARCH($A120,'Diags Raw Data'!$A$6:$A$4335))),'Diags Raw Data'!$L$6:$L$4335,'Diags Raw Data'!$N$6:$N$4335)/J120)</f>
        <v>1</v>
      </c>
      <c r="L120" s="399" cm="1">
        <f t="array" ref="L120">IF(D120="",0, SUMPRODUCT(--(ISNUMBER(SEARCH($A120,'Diags Raw Data'!$A$6:$A$4335))),'Diags Raw Data'!$L$6:$L$4335,'Diags Raw Data'!$P$6:$P$4335)/J120)</f>
        <v>1</v>
      </c>
      <c r="M120" s="400" cm="1">
        <f t="array" ref="M120">SUMPRODUCT(--(ISNUMBER(SEARCH($A120,'Diags Raw Data'!$A$6:$A$4335))),--('Diags Raw Data'!$Q$6:$Q$4335&lt;&gt;"N/A"),'Diags Raw Data'!$R$6:$R$4335)</f>
        <v>5</v>
      </c>
      <c r="N120" s="401" cm="1">
        <f t="array" ref="N120">SUMPRODUCT(--(ISNUMBER(SEARCH($A120,'Diags Raw Data'!$A$6:$A$4335))),--('Diags Raw Data'!$Q$6:$Q$4335&lt;&gt;"N/A"),'Diags Raw Data'!$T$6:$T$4335)+SUMPRODUCT(--(ISNUMBER(SEARCH($A120,'Diags Raw Data'!$A$6:$A$4335))),--('Diags Raw Data'!$Q$6:$Q$4335&lt;&gt;"N/A"),'Diags Raw Data'!$U$6:$U$4335)</f>
        <v>5</v>
      </c>
      <c r="O120" s="428">
        <f t="shared" si="63"/>
        <v>1</v>
      </c>
      <c r="P120" s="402">
        <f>SUMIF('Diags Raw Data'!$A$6:$A$4335,"*"&amp;$A120&amp;"*",'Diags Raw Data'!$Z$6:$Z$4335)</f>
        <v>0</v>
      </c>
      <c r="Q120" s="403">
        <f>SUM(SUMIF('Diags Raw Data'!$A$6:$A$4335,"*"&amp;$A120&amp;"*",'Diags Raw Data'!$AA$6:$AA$4335),SUMIF('Diags Raw Data'!$A$6:$A$4335,"*"&amp;$A120&amp;"*",'Diags Raw Data'!$AB$6:$AB$4335))</f>
        <v>0</v>
      </c>
      <c r="R120" s="404">
        <f t="shared" si="64"/>
        <v>0</v>
      </c>
      <c r="S120" s="404">
        <f t="shared" si="65"/>
        <v>0</v>
      </c>
      <c r="T120" s="405">
        <f t="shared" si="66"/>
        <v>0</v>
      </c>
      <c r="U120" s="434" t="s">
        <v>1658</v>
      </c>
    </row>
    <row r="121" spans="1:22" ht="75" x14ac:dyDescent="0.25">
      <c r="A121" s="420" t="s">
        <v>693</v>
      </c>
      <c r="B121" s="328" t="str">
        <f>VLOOKUP(A121,'Feature Raw Data'!$A$3:$B$4067,2,FALSE)</f>
        <v>GFXHUB:GCUTCL2:VML2 - GPUVM fault with retry/XNACK interface</v>
      </c>
      <c r="C121" s="271" t="str">
        <f>VLOOKUP(A121,'Feature Raw Data'!$A$3:$C$4067,3,FALSE)</f>
        <v>P2</v>
      </c>
      <c r="D121" s="82" t="str" cm="1">
        <f t="array" ref="D121">_xlfn.TEXTJOIN("",TRUE,IF(ISNUMBER(SEARCH($A121,'Diags Raw Data'!$A$6:$A$4335)),CONCATENATE('Diags Raw Data'!$H$6:$H$4335,", "),""))</f>
        <v xml:space="preserve">mhub218.1, mhub219.1, mhub220.1, mhub232.7, mhub293.1, </v>
      </c>
      <c r="E121" s="169" t="str">
        <f>VLOOKUP(A121,'Diags Raw Data'!$A$6:$D$4335,4,FALSE)</f>
        <v>GCHUB</v>
      </c>
      <c r="F121" s="169" t="str">
        <f>VLOOKUP(A121,'Feature Raw Data'!$A$3:$E$4067,5,FALSE)</f>
        <v>Legacy</v>
      </c>
      <c r="G121" s="169" t="str">
        <f t="shared" si="61"/>
        <v>Yes</v>
      </c>
      <c r="H121" s="169" t="str">
        <f t="shared" si="62"/>
        <v>Yes</v>
      </c>
      <c r="I121" s="271">
        <f>SUMIF('Diags Raw Data'!$A$6:$A$4335,"*"&amp;$A121&amp;"*",'Diags Raw Data'!$K$6:$K$4335)</f>
        <v>5</v>
      </c>
      <c r="J121" s="179">
        <f>SUMIF('Diags Raw Data'!$A$6:$A$4335,"*"&amp;$A121&amp;"*",'Diags Raw Data'!$L$6:$L$4335)</f>
        <v>5</v>
      </c>
      <c r="K121" s="398" cm="1">
        <f t="array" ref="K121">IF(D121="",0, SUMPRODUCT(--(ISNUMBER(SEARCH($A121,'Diags Raw Data'!$A$6:$A$4335))),'Diags Raw Data'!$L$6:$L$4335,'Diags Raw Data'!$N$6:$N$4335)/J121)</f>
        <v>1</v>
      </c>
      <c r="L121" s="399" cm="1">
        <f t="array" ref="L121">IF(D121="",0, SUMPRODUCT(--(ISNUMBER(SEARCH($A121,'Diags Raw Data'!$A$6:$A$4335))),'Diags Raw Data'!$L$6:$L$4335,'Diags Raw Data'!$P$6:$P$4335)/J121)</f>
        <v>1</v>
      </c>
      <c r="M121" s="400" cm="1">
        <f t="array" ref="M121">SUMPRODUCT(--(ISNUMBER(SEARCH($A121,'Diags Raw Data'!$A$6:$A$4335))),--('Diags Raw Data'!$Q$6:$Q$4335&lt;&gt;"N/A"),'Diags Raw Data'!$R$6:$R$4335)</f>
        <v>5</v>
      </c>
      <c r="N121" s="401" cm="1">
        <f t="array" ref="N121">SUMPRODUCT(--(ISNUMBER(SEARCH($A121,'Diags Raw Data'!$A$6:$A$4335))),--('Diags Raw Data'!$Q$6:$Q$4335&lt;&gt;"N/A"),'Diags Raw Data'!$T$6:$T$4335)+SUMPRODUCT(--(ISNUMBER(SEARCH($A121,'Diags Raw Data'!$A$6:$A$4335))),--('Diags Raw Data'!$Q$6:$Q$4335&lt;&gt;"N/A"),'Diags Raw Data'!$U$6:$U$4335)</f>
        <v>5</v>
      </c>
      <c r="O121" s="428">
        <f t="shared" si="63"/>
        <v>1</v>
      </c>
      <c r="P121" s="402">
        <f>SUMIF('Diags Raw Data'!$A$6:$A$4335,"*"&amp;$A121&amp;"*",'Diags Raw Data'!$Z$6:$Z$4335)</f>
        <v>0</v>
      </c>
      <c r="Q121" s="403">
        <f>SUM(SUMIF('Diags Raw Data'!$A$6:$A$4335,"*"&amp;$A121&amp;"*",'Diags Raw Data'!$AA$6:$AA$4335),SUMIF('Diags Raw Data'!$A$6:$A$4335,"*"&amp;$A121&amp;"*",'Diags Raw Data'!$AB$6:$AB$4335))</f>
        <v>0</v>
      </c>
      <c r="R121" s="404">
        <f t="shared" si="64"/>
        <v>0</v>
      </c>
      <c r="S121" s="404">
        <f t="shared" si="65"/>
        <v>0</v>
      </c>
      <c r="T121" s="405">
        <f t="shared" si="66"/>
        <v>0</v>
      </c>
      <c r="U121" s="434" t="s">
        <v>1651</v>
      </c>
    </row>
    <row r="122" spans="1:22" ht="30" x14ac:dyDescent="0.25">
      <c r="A122" s="420" t="s">
        <v>683</v>
      </c>
      <c r="B122" s="328" t="str">
        <f>VLOOKUP(A122,'Feature Raw Data'!$A$3:$B$4067,2,FALSE)</f>
        <v>GFXHUB:GCUTCL2:VML2 - Support for 2MB, 1G, 512GB pages aka PDE Block Fragment Size</v>
      </c>
      <c r="C122" s="271" t="str">
        <f>VLOOKUP(A122,'Feature Raw Data'!$A$3:$C$4067,3,FALSE)</f>
        <v>P2</v>
      </c>
      <c r="D122" s="82" t="str" cm="1">
        <f t="array" ref="D122">_xlfn.TEXTJOIN("",TRUE,IF(ISNUMBER(SEARCH($A122,'Diags Raw Data'!$A$6:$A$4335)),CONCATENATE('Diags Raw Data'!$H$6:$H$4335,", "),""))</f>
        <v xml:space="preserve">mhub212, mhub232.8, </v>
      </c>
      <c r="E122" s="169" t="str">
        <f>VLOOKUP(A122,'Diags Raw Data'!$A$6:$D$4335,4,FALSE)</f>
        <v>GCHUB</v>
      </c>
      <c r="F122" s="169" t="str">
        <f>VLOOKUP(A122,'Feature Raw Data'!$A$3:$E$4067,5,FALSE)</f>
        <v>Legacy</v>
      </c>
      <c r="G122" s="169" t="str">
        <f t="shared" si="61"/>
        <v>Yes</v>
      </c>
      <c r="H122" s="169" t="str">
        <f t="shared" si="62"/>
        <v>Yes</v>
      </c>
      <c r="I122" s="271">
        <f>SUMIF('Diags Raw Data'!$A$6:$A$4335,"*"&amp;$A122&amp;"*",'Diags Raw Data'!$K$6:$K$4335)</f>
        <v>2</v>
      </c>
      <c r="J122" s="179">
        <f>SUMIF('Diags Raw Data'!$A$6:$A$4335,"*"&amp;$A122&amp;"*",'Diags Raw Data'!$L$6:$L$4335)</f>
        <v>2</v>
      </c>
      <c r="K122" s="398" cm="1">
        <f t="array" ref="K122">IF(D122="",0, SUMPRODUCT(--(ISNUMBER(SEARCH($A122,'Diags Raw Data'!$A$6:$A$4335))),'Diags Raw Data'!$L$6:$L$4335,'Diags Raw Data'!$N$6:$N$4335)/J122)</f>
        <v>1</v>
      </c>
      <c r="L122" s="399" cm="1">
        <f t="array" ref="L122">IF(D122="",0, SUMPRODUCT(--(ISNUMBER(SEARCH($A122,'Diags Raw Data'!$A$6:$A$4335))),'Diags Raw Data'!$L$6:$L$4335,'Diags Raw Data'!$P$6:$P$4335)/J122)</f>
        <v>1</v>
      </c>
      <c r="M122" s="400" cm="1">
        <f t="array" ref="M122">SUMPRODUCT(--(ISNUMBER(SEARCH($A122,'Diags Raw Data'!$A$6:$A$4335))),--('Diags Raw Data'!$Q$6:$Q$4335&lt;&gt;"N/A"),'Diags Raw Data'!$R$6:$R$4335)</f>
        <v>2</v>
      </c>
      <c r="N122" s="401" cm="1">
        <f t="array" ref="N122">SUMPRODUCT(--(ISNUMBER(SEARCH($A122,'Diags Raw Data'!$A$6:$A$4335))),--('Diags Raw Data'!$Q$6:$Q$4335&lt;&gt;"N/A"),'Diags Raw Data'!$T$6:$T$4335)+SUMPRODUCT(--(ISNUMBER(SEARCH($A122,'Diags Raw Data'!$A$6:$A$4335))),--('Diags Raw Data'!$Q$6:$Q$4335&lt;&gt;"N/A"),'Diags Raw Data'!$U$6:$U$4335)</f>
        <v>2</v>
      </c>
      <c r="O122" s="428">
        <f t="shared" si="63"/>
        <v>1</v>
      </c>
      <c r="P122" s="402">
        <f>SUMIF('Diags Raw Data'!$A$6:$A$4335,"*"&amp;$A122&amp;"*",'Diags Raw Data'!$Z$6:$Z$4335)</f>
        <v>0</v>
      </c>
      <c r="Q122" s="403">
        <f>SUM(SUMIF('Diags Raw Data'!$A$6:$A$4335,"*"&amp;$A122&amp;"*",'Diags Raw Data'!$AA$6:$AA$4335),SUMIF('Diags Raw Data'!$A$6:$A$4335,"*"&amp;$A122&amp;"*",'Diags Raw Data'!$AB$6:$AB$4335))</f>
        <v>0</v>
      </c>
      <c r="R122" s="404">
        <f t="shared" si="64"/>
        <v>0</v>
      </c>
      <c r="S122" s="404">
        <f t="shared" si="65"/>
        <v>0</v>
      </c>
      <c r="T122" s="405">
        <f t="shared" si="66"/>
        <v>0</v>
      </c>
      <c r="U122" s="434" t="s">
        <v>1651</v>
      </c>
    </row>
    <row r="123" spans="1:22" x14ac:dyDescent="0.25">
      <c r="A123" s="420" t="s">
        <v>1449</v>
      </c>
      <c r="B123" s="328" t="str">
        <f>VLOOKUP(A123,'Feature Raw Data'!$A$3:$B$4067,2,FALSE)</f>
        <v>GFXHUB:GCUTCL2:VML2 - 44b PA</v>
      </c>
      <c r="C123" s="271" t="str">
        <f>VLOOKUP(A123,'Feature Raw Data'!$A$3:$C$4067,3,FALSE)</f>
        <v>P2</v>
      </c>
      <c r="D123" s="82" t="str" cm="1">
        <f t="array" ref="D123">_xlfn.TEXTJOIN("",TRUE,IF(ISNUMBER(SEARCH($A123,'Diags Raw Data'!$A$6:$A$4335)),CONCATENATE('Diags Raw Data'!$H$6:$H$4335,", "),""))</f>
        <v/>
      </c>
      <c r="E123" s="169" t="e">
        <f>VLOOKUP(A123,'Diags Raw Data'!$A$6:$D$4335,4,FALSE)</f>
        <v>#N/A</v>
      </c>
      <c r="F123" s="169" t="str">
        <f>VLOOKUP(A123,'Feature Raw Data'!$A$3:$E$4067,5,FALSE)</f>
        <v>Legacy</v>
      </c>
      <c r="G123" s="169" t="str">
        <f t="shared" si="61"/>
        <v>No</v>
      </c>
      <c r="H123" s="169" t="str">
        <f t="shared" si="62"/>
        <v>No</v>
      </c>
      <c r="I123" s="271">
        <f>SUMIF('Diags Raw Data'!$A$6:$A$4335,"*"&amp;$A123&amp;"*",'Diags Raw Data'!$K$6:$K$4335)</f>
        <v>0</v>
      </c>
      <c r="J123" s="179">
        <f>SUMIF('Diags Raw Data'!$A$6:$A$4335,"*"&amp;$A123&amp;"*",'Diags Raw Data'!$L$6:$L$4335)</f>
        <v>0</v>
      </c>
      <c r="K123" s="398" cm="1">
        <f t="array" ref="K123">IF(D123="",0, SUMPRODUCT(--(ISNUMBER(SEARCH($A123,'Diags Raw Data'!$A$6:$A$4335))),'Diags Raw Data'!$L$6:$L$4335,'Diags Raw Data'!$N$6:$N$4335)/J123)</f>
        <v>0</v>
      </c>
      <c r="L123" s="399" cm="1">
        <f t="array" ref="L123">IF(D123="",0, SUMPRODUCT(--(ISNUMBER(SEARCH($A123,'Diags Raw Data'!$A$6:$A$4335))),'Diags Raw Data'!$L$6:$L$4335,'Diags Raw Data'!$P$6:$P$4335)/J123)</f>
        <v>0</v>
      </c>
      <c r="M123" s="400" cm="1">
        <f t="array" ref="M123">SUMPRODUCT(--(ISNUMBER(SEARCH($A123,'Diags Raw Data'!$A$6:$A$4335))),--('Diags Raw Data'!$Q$6:$Q$4335&lt;&gt;"N/A"),'Diags Raw Data'!$R$6:$R$4335)</f>
        <v>0</v>
      </c>
      <c r="N123" s="401" cm="1">
        <f t="array" ref="N123">SUMPRODUCT(--(ISNUMBER(SEARCH($A123,'Diags Raw Data'!$A$6:$A$4335))),--('Diags Raw Data'!$Q$6:$Q$4335&lt;&gt;"N/A"),'Diags Raw Data'!$T$6:$T$4335)+SUMPRODUCT(--(ISNUMBER(SEARCH($A123,'Diags Raw Data'!$A$6:$A$4335))),--('Diags Raw Data'!$Q$6:$Q$4335&lt;&gt;"N/A"),'Diags Raw Data'!$U$6:$U$4335)</f>
        <v>0</v>
      </c>
      <c r="O123" s="428">
        <f t="shared" si="63"/>
        <v>0</v>
      </c>
      <c r="P123" s="402">
        <f>SUMIF('Diags Raw Data'!$A$6:$A$4335,"*"&amp;$A123&amp;"*",'Diags Raw Data'!$Z$6:$Z$4335)</f>
        <v>0</v>
      </c>
      <c r="Q123" s="403">
        <f>SUM(SUMIF('Diags Raw Data'!$A$6:$A$4335,"*"&amp;$A123&amp;"*",'Diags Raw Data'!$AA$6:$AA$4335),SUMIF('Diags Raw Data'!$A$6:$A$4335,"*"&amp;$A123&amp;"*",'Diags Raw Data'!$AB$6:$AB$4335))</f>
        <v>0</v>
      </c>
      <c r="R123" s="404">
        <f t="shared" si="64"/>
        <v>0</v>
      </c>
      <c r="S123" s="404">
        <f t="shared" si="65"/>
        <v>0</v>
      </c>
      <c r="T123" s="405">
        <f t="shared" si="66"/>
        <v>0</v>
      </c>
      <c r="U123" s="434" t="s">
        <v>44</v>
      </c>
    </row>
    <row r="124" spans="1:22" x14ac:dyDescent="0.25">
      <c r="A124" s="420" t="s">
        <v>1451</v>
      </c>
      <c r="B124" s="328" t="str">
        <f>VLOOKUP(A124,'Feature Raw Data'!$A$3:$B$4067,2,FALSE)</f>
        <v>GFXHUB:GCUTCL2:VML2 - L bit in PTE</v>
      </c>
      <c r="C124" s="271" t="str">
        <f>VLOOKUP(A124,'Feature Raw Data'!$A$3:$C$4067,3,FALSE)</f>
        <v>P2</v>
      </c>
      <c r="D124" s="82" t="str" cm="1">
        <f t="array" ref="D124">_xlfn.TEXTJOIN("",TRUE,IF(ISNUMBER(SEARCH($A124,'Diags Raw Data'!$A$6:$A$4335)),CONCATENATE('Diags Raw Data'!$H$6:$H$4335,", "),""))</f>
        <v/>
      </c>
      <c r="E124" s="169" t="e">
        <f>VLOOKUP(A124,'Diags Raw Data'!$A$6:$D$4335,4,FALSE)</f>
        <v>#N/A</v>
      </c>
      <c r="F124" s="169" t="str">
        <f>VLOOKUP(A124,'Feature Raw Data'!$A$3:$E$4067,5,FALSE)</f>
        <v>Legacy</v>
      </c>
      <c r="G124" s="169" t="s">
        <v>36</v>
      </c>
      <c r="H124" s="169" t="str">
        <f t="shared" si="62"/>
        <v>No</v>
      </c>
      <c r="I124" s="271">
        <f>SUMIF('Diags Raw Data'!$A$6:$A$4335,"*"&amp;$A124&amp;"*",'Diags Raw Data'!$K$6:$K$4335)</f>
        <v>0</v>
      </c>
      <c r="J124" s="179">
        <f>SUMIF('Diags Raw Data'!$A$6:$A$4335,"*"&amp;$A124&amp;"*",'Diags Raw Data'!$L$6:$L$4335)</f>
        <v>0</v>
      </c>
      <c r="K124" s="398" cm="1">
        <f t="array" ref="K124">IF(D124="",0, SUMPRODUCT(--(ISNUMBER(SEARCH($A124,'Diags Raw Data'!$A$6:$A$4335))),'Diags Raw Data'!$L$6:$L$4335,'Diags Raw Data'!$N$6:$N$4335)/J124)</f>
        <v>0</v>
      </c>
      <c r="L124" s="399" cm="1">
        <f t="array" ref="L124">IF(D124="",0, SUMPRODUCT(--(ISNUMBER(SEARCH($A124,'Diags Raw Data'!$A$6:$A$4335))),'Diags Raw Data'!$L$6:$L$4335,'Diags Raw Data'!$P$6:$P$4335)/J124)</f>
        <v>0</v>
      </c>
      <c r="M124" s="400" cm="1">
        <f t="array" ref="M124">SUMPRODUCT(--(ISNUMBER(SEARCH($A124,'Diags Raw Data'!$A$6:$A$4335))),--('Diags Raw Data'!$Q$6:$Q$4335&lt;&gt;"N/A"),'Diags Raw Data'!$R$6:$R$4335)</f>
        <v>0</v>
      </c>
      <c r="N124" s="401" cm="1">
        <f t="array" ref="N124">SUMPRODUCT(--(ISNUMBER(SEARCH($A124,'Diags Raw Data'!$A$6:$A$4335))),--('Diags Raw Data'!$Q$6:$Q$4335&lt;&gt;"N/A"),'Diags Raw Data'!$T$6:$T$4335)+SUMPRODUCT(--(ISNUMBER(SEARCH($A124,'Diags Raw Data'!$A$6:$A$4335))),--('Diags Raw Data'!$Q$6:$Q$4335&lt;&gt;"N/A"),'Diags Raw Data'!$U$6:$U$4335)</f>
        <v>0</v>
      </c>
      <c r="O124" s="428">
        <f t="shared" si="63"/>
        <v>0</v>
      </c>
      <c r="P124" s="402">
        <f>SUMIF('Diags Raw Data'!$A$6:$A$4335,"*"&amp;$A124&amp;"*",'Diags Raw Data'!$Z$6:$Z$4335)</f>
        <v>0</v>
      </c>
      <c r="Q124" s="403">
        <f>SUM(SUMIF('Diags Raw Data'!$A$6:$A$4335,"*"&amp;$A124&amp;"*",'Diags Raw Data'!$AA$6:$AA$4335),SUMIF('Diags Raw Data'!$A$6:$A$4335,"*"&amp;$A124&amp;"*",'Diags Raw Data'!$AB$6:$AB$4335))</f>
        <v>0</v>
      </c>
      <c r="R124" s="404">
        <f t="shared" si="64"/>
        <v>0</v>
      </c>
      <c r="S124" s="404">
        <f t="shared" si="65"/>
        <v>0</v>
      </c>
      <c r="T124" s="405">
        <f t="shared" si="66"/>
        <v>0</v>
      </c>
      <c r="U124" s="434" t="s">
        <v>44</v>
      </c>
      <c r="V124" s="171" t="s">
        <v>43</v>
      </c>
    </row>
    <row r="125" spans="1:22" ht="30" x14ac:dyDescent="0.25">
      <c r="A125" s="420" t="s">
        <v>1453</v>
      </c>
      <c r="B125" s="328" t="str">
        <f>VLOOKUP(A125,'Feature Raw Data'!$A$3:$B$4067,2,FALSE)</f>
        <v>GFXHUB:GCUTCL2:VML2 - Page Migration Retry state</v>
      </c>
      <c r="C125" s="271" t="str">
        <f>VLOOKUP(A125,'Feature Raw Data'!$A$3:$C$4067,3,FALSE)</f>
        <v>P2</v>
      </c>
      <c r="D125" s="82" t="str" cm="1">
        <f t="array" ref="D125">_xlfn.TEXTJOIN("",TRUE,IF(ISNUMBER(SEARCH($A125,'Diags Raw Data'!$A$6:$A$4335)),CONCATENATE('Diags Raw Data'!$H$6:$H$4335,", "),""))</f>
        <v/>
      </c>
      <c r="E125" s="169" t="e">
        <f>VLOOKUP(A125,'Diags Raw Data'!$A$6:$D$4335,4,FALSE)</f>
        <v>#N/A</v>
      </c>
      <c r="F125" s="169" t="str">
        <f>VLOOKUP(A125,'Feature Raw Data'!$A$3:$E$4067,5,FALSE)</f>
        <v>Legacy</v>
      </c>
      <c r="G125" s="169" t="s">
        <v>31</v>
      </c>
      <c r="H125" s="169" t="str">
        <f t="shared" si="62"/>
        <v>No</v>
      </c>
      <c r="I125" s="271">
        <f>SUMIF('Diags Raw Data'!$A$6:$A$4335,"*"&amp;$A125&amp;"*",'Diags Raw Data'!$K$6:$K$4335)</f>
        <v>0</v>
      </c>
      <c r="J125" s="179">
        <f>SUMIF('Diags Raw Data'!$A$6:$A$4335,"*"&amp;$A125&amp;"*",'Diags Raw Data'!$L$6:$L$4335)</f>
        <v>0</v>
      </c>
      <c r="K125" s="398" cm="1">
        <f t="array" ref="K125">IF(D125="",0, SUMPRODUCT(--(ISNUMBER(SEARCH($A125,'Diags Raw Data'!$A$6:$A$4335))),'Diags Raw Data'!$L$6:$L$4335,'Diags Raw Data'!$N$6:$N$4335)/J125)</f>
        <v>0</v>
      </c>
      <c r="L125" s="399" cm="1">
        <f t="array" ref="L125">IF(D125="",0, SUMPRODUCT(--(ISNUMBER(SEARCH($A125,'Diags Raw Data'!$A$6:$A$4335))),'Diags Raw Data'!$L$6:$L$4335,'Diags Raw Data'!$P$6:$P$4335)/J125)</f>
        <v>0</v>
      </c>
      <c r="M125" s="400" cm="1">
        <f t="array" ref="M125">SUMPRODUCT(--(ISNUMBER(SEARCH($A125,'Diags Raw Data'!$A$6:$A$4335))),--('Diags Raw Data'!$Q$6:$Q$4335&lt;&gt;"N/A"),'Diags Raw Data'!$R$6:$R$4335)</f>
        <v>0</v>
      </c>
      <c r="N125" s="401" cm="1">
        <f t="array" ref="N125">SUMPRODUCT(--(ISNUMBER(SEARCH($A125,'Diags Raw Data'!$A$6:$A$4335))),--('Diags Raw Data'!$Q$6:$Q$4335&lt;&gt;"N/A"),'Diags Raw Data'!$T$6:$T$4335)+SUMPRODUCT(--(ISNUMBER(SEARCH($A125,'Diags Raw Data'!$A$6:$A$4335))),--('Diags Raw Data'!$Q$6:$Q$4335&lt;&gt;"N/A"),'Diags Raw Data'!$U$6:$U$4335)</f>
        <v>0</v>
      </c>
      <c r="O125" s="428">
        <f t="shared" si="63"/>
        <v>0</v>
      </c>
      <c r="P125" s="402">
        <f>SUMIF('Diags Raw Data'!$A$6:$A$4335,"*"&amp;$A125&amp;"*",'Diags Raw Data'!$Z$6:$Z$4335)</f>
        <v>0</v>
      </c>
      <c r="Q125" s="403">
        <f>SUM(SUMIF('Diags Raw Data'!$A$6:$A$4335,"*"&amp;$A125&amp;"*",'Diags Raw Data'!$AA$6:$AA$4335),SUMIF('Diags Raw Data'!$A$6:$A$4335,"*"&amp;$A125&amp;"*",'Diags Raw Data'!$AB$6:$AB$4335))</f>
        <v>0</v>
      </c>
      <c r="R125" s="404">
        <f t="shared" si="64"/>
        <v>0</v>
      </c>
      <c r="S125" s="404">
        <f t="shared" si="65"/>
        <v>0</v>
      </c>
      <c r="T125" s="405">
        <f t="shared" si="66"/>
        <v>0</v>
      </c>
      <c r="U125" s="434" t="s">
        <v>44</v>
      </c>
    </row>
    <row r="126" spans="1:22" ht="60" x14ac:dyDescent="0.25">
      <c r="A126" s="420" t="s">
        <v>753</v>
      </c>
      <c r="B126" s="328" t="str">
        <f>VLOOKUP(A126,'Feature Raw Data'!$A$3:$B$4067,2,FALSE)</f>
        <v>GFXHUB:GCUTCL2:VML2 - VML2 BigK/4K Cache Swap</v>
      </c>
      <c r="C126" s="271" t="str">
        <f>VLOOKUP(A126,'Feature Raw Data'!$A$3:$C$4067,3,FALSE)</f>
        <v>P2</v>
      </c>
      <c r="D126" s="82" t="str" cm="1">
        <f t="array" ref="D126">_xlfn.TEXTJOIN("",TRUE,IF(ISNUMBER(SEARCH($A126,'Diags Raw Data'!$A$6:$A$4335)),CONCATENATE('Diags Raw Data'!$H$6:$H$4335,", "),""))</f>
        <v xml:space="preserve">mhub234.1, mhub234.2, mhub234.3, mhub234.4, </v>
      </c>
      <c r="E126" s="169" t="str">
        <f>VLOOKUP(A126,'Diags Raw Data'!$A$6:$D$4335,4,FALSE)</f>
        <v>GCHUB</v>
      </c>
      <c r="F126" s="169" t="str">
        <f>VLOOKUP(A126,'Feature Raw Data'!$A$3:$E$4067,5,FALSE)</f>
        <v>Legacy</v>
      </c>
      <c r="G126" s="169" t="str">
        <f t="shared" si="61"/>
        <v>Yes</v>
      </c>
      <c r="H126" s="169" t="str">
        <f t="shared" si="62"/>
        <v>Yes</v>
      </c>
      <c r="I126" s="271">
        <f>SUMIF('Diags Raw Data'!$A$6:$A$4335,"*"&amp;$A126&amp;"*",'Diags Raw Data'!$K$6:$K$4335)</f>
        <v>4</v>
      </c>
      <c r="J126" s="179">
        <f>SUMIF('Diags Raw Data'!$A$6:$A$4335,"*"&amp;$A126&amp;"*",'Diags Raw Data'!$L$6:$L$4335)</f>
        <v>4</v>
      </c>
      <c r="K126" s="398" cm="1">
        <f t="array" ref="K126">IF(D126="",0, SUMPRODUCT(--(ISNUMBER(SEARCH($A126,'Diags Raw Data'!$A$6:$A$4335))),'Diags Raw Data'!$L$6:$L$4335,'Diags Raw Data'!$N$6:$N$4335)/J126)</f>
        <v>1</v>
      </c>
      <c r="L126" s="399" cm="1">
        <f t="array" ref="L126">IF(D126="",0, SUMPRODUCT(--(ISNUMBER(SEARCH($A126,'Diags Raw Data'!$A$6:$A$4335))),'Diags Raw Data'!$L$6:$L$4335,'Diags Raw Data'!$P$6:$P$4335)/J126)</f>
        <v>1</v>
      </c>
      <c r="M126" s="400" cm="1">
        <f t="array" ref="M126">SUMPRODUCT(--(ISNUMBER(SEARCH($A126,'Diags Raw Data'!$A$6:$A$4335))),--('Diags Raw Data'!$Q$6:$Q$4335&lt;&gt;"N/A"),'Diags Raw Data'!$R$6:$R$4335)</f>
        <v>4</v>
      </c>
      <c r="N126" s="401" cm="1">
        <f t="array" ref="N126">SUMPRODUCT(--(ISNUMBER(SEARCH($A126,'Diags Raw Data'!$A$6:$A$4335))),--('Diags Raw Data'!$Q$6:$Q$4335&lt;&gt;"N/A"),'Diags Raw Data'!$T$6:$T$4335)+SUMPRODUCT(--(ISNUMBER(SEARCH($A126,'Diags Raw Data'!$A$6:$A$4335))),--('Diags Raw Data'!$Q$6:$Q$4335&lt;&gt;"N/A"),'Diags Raw Data'!$U$6:$U$4335)</f>
        <v>4</v>
      </c>
      <c r="O126" s="428">
        <f t="shared" si="63"/>
        <v>1</v>
      </c>
      <c r="P126" s="402">
        <f>SUMIF('Diags Raw Data'!$A$6:$A$4335,"*"&amp;$A126&amp;"*",'Diags Raw Data'!$Z$6:$Z$4335)</f>
        <v>0</v>
      </c>
      <c r="Q126" s="403">
        <f>SUM(SUMIF('Diags Raw Data'!$A$6:$A$4335,"*"&amp;$A126&amp;"*",'Diags Raw Data'!$AA$6:$AA$4335),SUMIF('Diags Raw Data'!$A$6:$A$4335,"*"&amp;$A126&amp;"*",'Diags Raw Data'!$AB$6:$AB$4335))</f>
        <v>0</v>
      </c>
      <c r="R126" s="404">
        <f t="shared" si="64"/>
        <v>0</v>
      </c>
      <c r="S126" s="404">
        <f t="shared" si="65"/>
        <v>0</v>
      </c>
      <c r="T126" s="405">
        <f t="shared" si="66"/>
        <v>0</v>
      </c>
      <c r="U126" s="434" t="s">
        <v>1659</v>
      </c>
    </row>
    <row r="127" spans="1:22" ht="30" x14ac:dyDescent="0.25">
      <c r="A127" s="420" t="s">
        <v>1082</v>
      </c>
      <c r="B127" s="328" t="str">
        <f>VLOOKUP(A127,'Feature Raw Data'!$A$3:$B$4067,2,FALSE)</f>
        <v>GFXHUB:GCUTCL2:VML2 - "is_local" enable / disable register</v>
      </c>
      <c r="C127" s="271" t="str">
        <f>VLOOKUP(A127,'Feature Raw Data'!$A$3:$C$4067,3,FALSE)</f>
        <v>P2</v>
      </c>
      <c r="D127" s="82" t="str" cm="1">
        <f t="array" ref="D127">_xlfn.TEXTJOIN("",TRUE,IF(ISNUMBER(SEARCH($A127,'Diags Raw Data'!$A$6:$A$4335)),CONCATENATE('Diags Raw Data'!$H$6:$H$4335,", "),""))</f>
        <v xml:space="preserve">mhub348.1-4, </v>
      </c>
      <c r="E127" s="169" t="str">
        <f>VLOOKUP(A127,'Diags Raw Data'!$A$6:$D$4335,4,FALSE)</f>
        <v>GCHUB</v>
      </c>
      <c r="F127" s="169" t="str">
        <f>VLOOKUP(A127,'Feature Raw Data'!$A$3:$E$4067,5,FALSE)</f>
        <v>Legacy</v>
      </c>
      <c r="G127" s="169" t="str">
        <f t="shared" ref="G127:G134" si="67">IF(D127="","No","Yes")</f>
        <v>Yes</v>
      </c>
      <c r="H127" s="169" t="str">
        <f t="shared" ref="H127:H134" si="68">IF(D127="","No","Yes")</f>
        <v>Yes</v>
      </c>
      <c r="I127" s="271">
        <f>SUMIF('Diags Raw Data'!$A$6:$A$4335,"*"&amp;$A127&amp;"*",'Diags Raw Data'!$K$6:$K$4335)</f>
        <v>1</v>
      </c>
      <c r="J127" s="179">
        <f>SUMIF('Diags Raw Data'!$A$6:$A$4335,"*"&amp;$A127&amp;"*",'Diags Raw Data'!$L$6:$L$4335)</f>
        <v>4</v>
      </c>
      <c r="K127" s="398" cm="1">
        <f t="array" ref="K127">IF(D127="",0, SUMPRODUCT(--(ISNUMBER(SEARCH($A127,'Diags Raw Data'!$A$6:$A$4335))),'Diags Raw Data'!$L$6:$L$4335,'Diags Raw Data'!$N$6:$N$4335)/J127)</f>
        <v>1</v>
      </c>
      <c r="L127" s="399" cm="1">
        <f t="array" ref="L127">IF(D127="",0, SUMPRODUCT(--(ISNUMBER(SEARCH($A127,'Diags Raw Data'!$A$6:$A$4335))),'Diags Raw Data'!$L$6:$L$4335,'Diags Raw Data'!$P$6:$P$4335)/J127)</f>
        <v>1</v>
      </c>
      <c r="M127" s="400" cm="1">
        <f t="array" ref="M127">SUMPRODUCT(--(ISNUMBER(SEARCH($A127,'Diags Raw Data'!$A$6:$A$4335))),--('Diags Raw Data'!$Q$6:$Q$4335&lt;&gt;"N/A"),'Diags Raw Data'!$R$6:$R$4335)</f>
        <v>4</v>
      </c>
      <c r="N127" s="401" cm="1">
        <f t="array" ref="N127">SUMPRODUCT(--(ISNUMBER(SEARCH($A127,'Diags Raw Data'!$A$6:$A$4335))),--('Diags Raw Data'!$Q$6:$Q$4335&lt;&gt;"N/A"),'Diags Raw Data'!$T$6:$T$4335)+SUMPRODUCT(--(ISNUMBER(SEARCH($A127,'Diags Raw Data'!$A$6:$A$4335))),--('Diags Raw Data'!$Q$6:$Q$4335&lt;&gt;"N/A"),'Diags Raw Data'!$U$6:$U$4335)</f>
        <v>4</v>
      </c>
      <c r="O127" s="428">
        <f t="shared" ref="O127:O134" si="69">IF((M127=0),0,N127/M127)</f>
        <v>1</v>
      </c>
      <c r="P127" s="402">
        <f>SUMIF('Diags Raw Data'!$A$6:$A$4335,"*"&amp;$A127&amp;"*",'Diags Raw Data'!$Z$6:$Z$4335)</f>
        <v>0</v>
      </c>
      <c r="Q127" s="403">
        <f>SUM(SUMIF('Diags Raw Data'!$A$6:$A$4335,"*"&amp;$A127&amp;"*",'Diags Raw Data'!$AA$6:$AA$4335),SUMIF('Diags Raw Data'!$A$6:$A$4335,"*"&amp;$A127&amp;"*",'Diags Raw Data'!$AB$6:$AB$4335))</f>
        <v>0</v>
      </c>
      <c r="R127" s="404">
        <f t="shared" ref="R127:R134" si="70">IF((J127=0),0,P127/J127)</f>
        <v>0</v>
      </c>
      <c r="S127" s="404">
        <f t="shared" ref="S127:S134" si="71">IF((P127=0),0,Q127/P127)</f>
        <v>0</v>
      </c>
      <c r="T127" s="405">
        <f t="shared" ref="T127:T134" si="72">R127*S127</f>
        <v>0</v>
      </c>
      <c r="U127" s="434" t="s">
        <v>1654</v>
      </c>
    </row>
    <row r="128" spans="1:22" ht="120" x14ac:dyDescent="0.25">
      <c r="A128" s="420" t="s">
        <v>1464</v>
      </c>
      <c r="B128" s="328" t="str">
        <f>VLOOKUP(A128,'Feature Raw Data'!$A$3:$B$4067,2,FALSE)</f>
        <v>GFXHUB:GCUTCL2:VML2 - Mtype Attribute</v>
      </c>
      <c r="C128" s="271" t="str">
        <f>VLOOKUP(A128,'Feature Raw Data'!$A$3:$C$4067,3,FALSE)</f>
        <v>P2</v>
      </c>
      <c r="D128" s="82" t="str" cm="1">
        <f t="array" ref="D128">_xlfn.TEXTJOIN("",TRUE,IF(ISNUMBER(SEARCH($A128,'Diags Raw Data'!$A$6:$A$4335)),CONCATENATE('Diags Raw Data'!$H$6:$H$4335,", "),""))</f>
        <v xml:space="preserve">mhub408.81, mhub408.87, mhub408.91, mhub408.97, </v>
      </c>
      <c r="E128" s="169" t="str">
        <f>VLOOKUP(A128,'Diags Raw Data'!$A$6:$D$4335,4,FALSE)</f>
        <v>GCHUB</v>
      </c>
      <c r="F128" s="169" t="str">
        <f>VLOOKUP(A128,'Feature Raw Data'!$A$3:$E$4067,5,FALSE)</f>
        <v>Legacy</v>
      </c>
      <c r="G128" s="169" t="str">
        <f t="shared" si="67"/>
        <v>Yes</v>
      </c>
      <c r="H128" s="169" t="str">
        <f t="shared" si="68"/>
        <v>Yes</v>
      </c>
      <c r="I128" s="271">
        <f>SUMIF('Diags Raw Data'!$A$6:$A$4335,"*"&amp;$A128&amp;"*",'Diags Raw Data'!$K$6:$K$4335)</f>
        <v>4</v>
      </c>
      <c r="J128" s="179">
        <f>SUMIF('Diags Raw Data'!$A$6:$A$4335,"*"&amp;$A128&amp;"*",'Diags Raw Data'!$L$6:$L$4335)</f>
        <v>4</v>
      </c>
      <c r="K128" s="398" cm="1">
        <f t="array" ref="K128">IF(D128="",0, SUMPRODUCT(--(ISNUMBER(SEARCH($A128,'Diags Raw Data'!$A$6:$A$4335))),'Diags Raw Data'!$L$6:$L$4335,'Diags Raw Data'!$N$6:$N$4335)/J128)</f>
        <v>1</v>
      </c>
      <c r="L128" s="399" cm="1">
        <f t="array" ref="L128">IF(D128="",0, SUMPRODUCT(--(ISNUMBER(SEARCH($A128,'Diags Raw Data'!$A$6:$A$4335))),'Diags Raw Data'!$L$6:$L$4335,'Diags Raw Data'!$P$6:$P$4335)/J128)</f>
        <v>1</v>
      </c>
      <c r="M128" s="400" cm="1">
        <f t="array" ref="M128">SUMPRODUCT(--(ISNUMBER(SEARCH($A128,'Diags Raw Data'!$A$6:$A$4335))),--('Diags Raw Data'!$Q$6:$Q$4335&lt;&gt;"N/A"),'Diags Raw Data'!$R$6:$R$4335)</f>
        <v>4</v>
      </c>
      <c r="N128" s="401" cm="1">
        <f t="array" ref="N128">SUMPRODUCT(--(ISNUMBER(SEARCH($A128,'Diags Raw Data'!$A$6:$A$4335))),--('Diags Raw Data'!$Q$6:$Q$4335&lt;&gt;"N/A"),'Diags Raw Data'!$T$6:$T$4335)+SUMPRODUCT(--(ISNUMBER(SEARCH($A128,'Diags Raw Data'!$A$6:$A$4335))),--('Diags Raw Data'!$Q$6:$Q$4335&lt;&gt;"N/A"),'Diags Raw Data'!$U$6:$U$4335)</f>
        <v>4</v>
      </c>
      <c r="O128" s="428">
        <f t="shared" si="69"/>
        <v>1</v>
      </c>
      <c r="P128" s="402">
        <f>SUMIF('Diags Raw Data'!$A$6:$A$4335,"*"&amp;$A128&amp;"*",'Diags Raw Data'!$Z$6:$Z$4335)</f>
        <v>0</v>
      </c>
      <c r="Q128" s="403">
        <f>SUM(SUMIF('Diags Raw Data'!$A$6:$A$4335,"*"&amp;$A128&amp;"*",'Diags Raw Data'!$AA$6:$AA$4335),SUMIF('Diags Raw Data'!$A$6:$A$4335,"*"&amp;$A128&amp;"*",'Diags Raw Data'!$AB$6:$AB$4335))</f>
        <v>0</v>
      </c>
      <c r="R128" s="404">
        <f t="shared" si="70"/>
        <v>0</v>
      </c>
      <c r="S128" s="404">
        <f t="shared" si="71"/>
        <v>0</v>
      </c>
      <c r="T128" s="405">
        <f t="shared" si="72"/>
        <v>0</v>
      </c>
      <c r="U128" s="434" t="s">
        <v>1656</v>
      </c>
    </row>
    <row r="129" spans="1:22" ht="30" x14ac:dyDescent="0.25">
      <c r="A129" s="420" t="s">
        <v>1466</v>
      </c>
      <c r="B129" s="328" t="str">
        <f>VLOOKUP(A129,'Feature Raw Data'!$A$3:$B$4067,2,FALSE)</f>
        <v>GFXHUB:GCUTCL2:VML2 - Qualify eXecute bit for gfx clients</v>
      </c>
      <c r="C129" s="271" t="str">
        <f>VLOOKUP(A129,'Feature Raw Data'!$A$3:$C$4067,3,FALSE)</f>
        <v>P2</v>
      </c>
      <c r="D129" s="82" t="str" cm="1">
        <f t="array" ref="D129">_xlfn.TEXTJOIN("",TRUE,IF(ISNUMBER(SEARCH($A129,'Diags Raw Data'!$A$6:$A$4335)),CONCATENATE('Diags Raw Data'!$H$6:$H$4335,", "),""))</f>
        <v xml:space="preserve">mhub208.3, </v>
      </c>
      <c r="E129" s="169" t="str">
        <f>VLOOKUP(A129,'Diags Raw Data'!$A$6:$D$4335,4,FALSE)</f>
        <v>GCHUB</v>
      </c>
      <c r="F129" s="169" t="str">
        <f>VLOOKUP(A129,'Feature Raw Data'!$A$3:$E$4067,5,FALSE)</f>
        <v>Legacy</v>
      </c>
      <c r="G129" s="169" t="str">
        <f t="shared" si="67"/>
        <v>Yes</v>
      </c>
      <c r="H129" s="169" t="str">
        <f t="shared" si="68"/>
        <v>Yes</v>
      </c>
      <c r="I129" s="271">
        <f>SUMIF('Diags Raw Data'!$A$6:$A$4335,"*"&amp;$A129&amp;"*",'Diags Raw Data'!$K$6:$K$4335)</f>
        <v>1</v>
      </c>
      <c r="J129" s="179">
        <f>SUMIF('Diags Raw Data'!$A$6:$A$4335,"*"&amp;$A129&amp;"*",'Diags Raw Data'!$L$6:$L$4335)</f>
        <v>1</v>
      </c>
      <c r="K129" s="398" cm="1">
        <f t="array" ref="K129">IF(D129="",0, SUMPRODUCT(--(ISNUMBER(SEARCH($A129,'Diags Raw Data'!$A$6:$A$4335))),'Diags Raw Data'!$L$6:$L$4335,'Diags Raw Data'!$N$6:$N$4335)/J129)</f>
        <v>1</v>
      </c>
      <c r="L129" s="399" cm="1">
        <f t="array" ref="L129">IF(D129="",0, SUMPRODUCT(--(ISNUMBER(SEARCH($A129,'Diags Raw Data'!$A$6:$A$4335))),'Diags Raw Data'!$L$6:$L$4335,'Diags Raw Data'!$P$6:$P$4335)/J129)</f>
        <v>1</v>
      </c>
      <c r="M129" s="400" cm="1">
        <f t="array" ref="M129">SUMPRODUCT(--(ISNUMBER(SEARCH($A129,'Diags Raw Data'!$A$6:$A$4335))),--('Diags Raw Data'!$Q$6:$Q$4335&lt;&gt;"N/A"),'Diags Raw Data'!$R$6:$R$4335)</f>
        <v>1</v>
      </c>
      <c r="N129" s="401" cm="1">
        <f t="array" ref="N129">SUMPRODUCT(--(ISNUMBER(SEARCH($A129,'Diags Raw Data'!$A$6:$A$4335))),--('Diags Raw Data'!$Q$6:$Q$4335&lt;&gt;"N/A"),'Diags Raw Data'!$T$6:$T$4335)+SUMPRODUCT(--(ISNUMBER(SEARCH($A129,'Diags Raw Data'!$A$6:$A$4335))),--('Diags Raw Data'!$Q$6:$Q$4335&lt;&gt;"N/A"),'Diags Raw Data'!$U$6:$U$4335)</f>
        <v>1</v>
      </c>
      <c r="O129" s="428">
        <f t="shared" si="69"/>
        <v>1</v>
      </c>
      <c r="P129" s="402">
        <f>SUMIF('Diags Raw Data'!$A$6:$A$4335,"*"&amp;$A129&amp;"*",'Diags Raw Data'!$Z$6:$Z$4335)</f>
        <v>0</v>
      </c>
      <c r="Q129" s="403">
        <f>SUM(SUMIF('Diags Raw Data'!$A$6:$A$4335,"*"&amp;$A129&amp;"*",'Diags Raw Data'!$AA$6:$AA$4335),SUMIF('Diags Raw Data'!$A$6:$A$4335,"*"&amp;$A129&amp;"*",'Diags Raw Data'!$AB$6:$AB$4335))</f>
        <v>0</v>
      </c>
      <c r="R129" s="404">
        <f t="shared" si="70"/>
        <v>0</v>
      </c>
      <c r="S129" s="404">
        <f t="shared" si="71"/>
        <v>0</v>
      </c>
      <c r="T129" s="405">
        <f t="shared" si="72"/>
        <v>0</v>
      </c>
      <c r="U129" s="434" t="s">
        <v>1653</v>
      </c>
    </row>
    <row r="130" spans="1:22" ht="30" x14ac:dyDescent="0.25">
      <c r="A130" s="420" t="s">
        <v>1468</v>
      </c>
      <c r="B130" s="328" t="str">
        <f>VLOOKUP(A130,'Feature Raw Data'!$A$3:$B$4067,2,FALSE)</f>
        <v>GFXHUB:GCUTCL2:VML2 - "noalloc" support (MALL)</v>
      </c>
      <c r="C130" s="271" t="str">
        <f>VLOOKUP(A130,'Feature Raw Data'!$A$3:$C$4067,3,FALSE)</f>
        <v>N/A</v>
      </c>
      <c r="D130" s="82" t="str" cm="1">
        <f t="array" ref="D130">_xlfn.TEXTJOIN("",TRUE,IF(ISNUMBER(SEARCH($A130,'Diags Raw Data'!$A$6:$A$4335)),CONCATENATE('Diags Raw Data'!$H$6:$H$4335,", "),""))</f>
        <v/>
      </c>
      <c r="E130" s="169" t="e">
        <f>VLOOKUP(A130,'Diags Raw Data'!$A$6:$D$4335,4,FALSE)</f>
        <v>#N/A</v>
      </c>
      <c r="F130" s="169" t="str">
        <f>VLOOKUP(A130,'Feature Raw Data'!$A$3:$E$4067,5,FALSE)</f>
        <v>Legacy</v>
      </c>
      <c r="G130" s="169" t="s">
        <v>36</v>
      </c>
      <c r="H130" s="169" t="str">
        <f t="shared" si="68"/>
        <v>No</v>
      </c>
      <c r="I130" s="271">
        <f>SUMIF('Diags Raw Data'!$A$6:$A$4335,"*"&amp;$A130&amp;"*",'Diags Raw Data'!$K$6:$K$4335)</f>
        <v>0</v>
      </c>
      <c r="J130" s="179">
        <f>SUMIF('Diags Raw Data'!$A$6:$A$4335,"*"&amp;$A130&amp;"*",'Diags Raw Data'!$L$6:$L$4335)</f>
        <v>0</v>
      </c>
      <c r="K130" s="398" cm="1">
        <f t="array" ref="K130">IF(D130="",0, SUMPRODUCT(--(ISNUMBER(SEARCH($A130,'Diags Raw Data'!$A$6:$A$4335))),'Diags Raw Data'!$L$6:$L$4335,'Diags Raw Data'!$N$6:$N$4335)/J130)</f>
        <v>0</v>
      </c>
      <c r="L130" s="399" cm="1">
        <f t="array" ref="L130">IF(D130="",0, SUMPRODUCT(--(ISNUMBER(SEARCH($A130,'Diags Raw Data'!$A$6:$A$4335))),'Diags Raw Data'!$L$6:$L$4335,'Diags Raw Data'!$P$6:$P$4335)/J130)</f>
        <v>0</v>
      </c>
      <c r="M130" s="400" cm="1">
        <f t="array" ref="M130">SUMPRODUCT(--(ISNUMBER(SEARCH($A130,'Diags Raw Data'!$A$6:$A$4335))),--('Diags Raw Data'!$Q$6:$Q$4335&lt;&gt;"N/A"),'Diags Raw Data'!$R$6:$R$4335)</f>
        <v>0</v>
      </c>
      <c r="N130" s="401" cm="1">
        <f t="array" ref="N130">SUMPRODUCT(--(ISNUMBER(SEARCH($A130,'Diags Raw Data'!$A$6:$A$4335))),--('Diags Raw Data'!$Q$6:$Q$4335&lt;&gt;"N/A"),'Diags Raw Data'!$T$6:$T$4335)+SUMPRODUCT(--(ISNUMBER(SEARCH($A130,'Diags Raw Data'!$A$6:$A$4335))),--('Diags Raw Data'!$Q$6:$Q$4335&lt;&gt;"N/A"),'Diags Raw Data'!$U$6:$U$4335)</f>
        <v>0</v>
      </c>
      <c r="O130" s="428">
        <f t="shared" si="69"/>
        <v>0</v>
      </c>
      <c r="P130" s="402">
        <f>SUMIF('Diags Raw Data'!$A$6:$A$4335,"*"&amp;$A130&amp;"*",'Diags Raw Data'!$Z$6:$Z$4335)</f>
        <v>0</v>
      </c>
      <c r="Q130" s="403">
        <f>SUM(SUMIF('Diags Raw Data'!$A$6:$A$4335,"*"&amp;$A130&amp;"*",'Diags Raw Data'!$AA$6:$AA$4335),SUMIF('Diags Raw Data'!$A$6:$A$4335,"*"&amp;$A130&amp;"*",'Diags Raw Data'!$AB$6:$AB$4335))</f>
        <v>0</v>
      </c>
      <c r="R130" s="404">
        <f t="shared" si="70"/>
        <v>0</v>
      </c>
      <c r="S130" s="404">
        <f t="shared" si="71"/>
        <v>0</v>
      </c>
      <c r="T130" s="405">
        <f t="shared" si="72"/>
        <v>0</v>
      </c>
      <c r="U130" s="434" t="s">
        <v>44</v>
      </c>
    </row>
    <row r="131" spans="1:22" x14ac:dyDescent="0.25">
      <c r="A131" s="420" t="s">
        <v>1470</v>
      </c>
      <c r="B131" s="328" t="str">
        <f>VLOOKUP(A131,'Feature Raw Data'!$A$3:$B$4067,2,FALSE)</f>
        <v>GFXHUB:GCUTCL2:VML2 - SA/SE Harvesting</v>
      </c>
      <c r="C131" s="271" t="str">
        <f>VLOOKUP(A131,'Feature Raw Data'!$A$3:$C$4067,3,FALSE)</f>
        <v>P2</v>
      </c>
      <c r="D131" s="82" t="str" cm="1">
        <f t="array" ref="D131">_xlfn.TEXTJOIN("",TRUE,IF(ISNUMBER(SEARCH($A131,'Diags Raw Data'!$A$6:$A$4335)),CONCATENATE('Diags Raw Data'!$H$6:$H$4335,", "),""))</f>
        <v/>
      </c>
      <c r="E131" s="169" t="e">
        <f>VLOOKUP(A131,'Diags Raw Data'!$A$6:$D$4335,4,FALSE)</f>
        <v>#N/A</v>
      </c>
      <c r="F131" s="169" t="str">
        <f>VLOOKUP(A131,'Feature Raw Data'!$A$3:$E$4067,5,FALSE)</f>
        <v>Legacy</v>
      </c>
      <c r="G131" s="169" t="s">
        <v>36</v>
      </c>
      <c r="H131" s="169" t="str">
        <f t="shared" si="68"/>
        <v>No</v>
      </c>
      <c r="I131" s="271">
        <f>SUMIF('Diags Raw Data'!$A$6:$A$4335,"*"&amp;$A131&amp;"*",'Diags Raw Data'!$K$6:$K$4335)</f>
        <v>0</v>
      </c>
      <c r="J131" s="179">
        <f>SUMIF('Diags Raw Data'!$A$6:$A$4335,"*"&amp;$A131&amp;"*",'Diags Raw Data'!$L$6:$L$4335)</f>
        <v>0</v>
      </c>
      <c r="K131" s="398" cm="1">
        <f t="array" ref="K131">IF(D131="",0, SUMPRODUCT(--(ISNUMBER(SEARCH($A131,'Diags Raw Data'!$A$6:$A$4335))),'Diags Raw Data'!$L$6:$L$4335,'Diags Raw Data'!$N$6:$N$4335)/J131)</f>
        <v>0</v>
      </c>
      <c r="L131" s="399" cm="1">
        <f t="array" ref="L131">IF(D131="",0, SUMPRODUCT(--(ISNUMBER(SEARCH($A131,'Diags Raw Data'!$A$6:$A$4335))),'Diags Raw Data'!$L$6:$L$4335,'Diags Raw Data'!$P$6:$P$4335)/J131)</f>
        <v>0</v>
      </c>
      <c r="M131" s="400" cm="1">
        <f t="array" ref="M131">SUMPRODUCT(--(ISNUMBER(SEARCH($A131,'Diags Raw Data'!$A$6:$A$4335))),--('Diags Raw Data'!$Q$6:$Q$4335&lt;&gt;"N/A"),'Diags Raw Data'!$R$6:$R$4335)</f>
        <v>0</v>
      </c>
      <c r="N131" s="401" cm="1">
        <f t="array" ref="N131">SUMPRODUCT(--(ISNUMBER(SEARCH($A131,'Diags Raw Data'!$A$6:$A$4335))),--('Diags Raw Data'!$Q$6:$Q$4335&lt;&gt;"N/A"),'Diags Raw Data'!$T$6:$T$4335)+SUMPRODUCT(--(ISNUMBER(SEARCH($A131,'Diags Raw Data'!$A$6:$A$4335))),--('Diags Raw Data'!$Q$6:$Q$4335&lt;&gt;"N/A"),'Diags Raw Data'!$U$6:$U$4335)</f>
        <v>0</v>
      </c>
      <c r="O131" s="428">
        <f t="shared" si="69"/>
        <v>0</v>
      </c>
      <c r="P131" s="402">
        <f>SUMIF('Diags Raw Data'!$A$6:$A$4335,"*"&amp;$A131&amp;"*",'Diags Raw Data'!$Z$6:$Z$4335)</f>
        <v>0</v>
      </c>
      <c r="Q131" s="403">
        <f>SUM(SUMIF('Diags Raw Data'!$A$6:$A$4335,"*"&amp;$A131&amp;"*",'Diags Raw Data'!$AA$6:$AA$4335),SUMIF('Diags Raw Data'!$A$6:$A$4335,"*"&amp;$A131&amp;"*",'Diags Raw Data'!$AB$6:$AB$4335))</f>
        <v>0</v>
      </c>
      <c r="R131" s="404">
        <f t="shared" si="70"/>
        <v>0</v>
      </c>
      <c r="S131" s="404">
        <f t="shared" si="71"/>
        <v>0</v>
      </c>
      <c r="T131" s="405">
        <f t="shared" si="72"/>
        <v>0</v>
      </c>
      <c r="U131" s="434" t="s">
        <v>44</v>
      </c>
      <c r="V131" s="171" t="s">
        <v>43</v>
      </c>
    </row>
    <row r="132" spans="1:22" ht="30" x14ac:dyDescent="0.25">
      <c r="A132" s="420" t="s">
        <v>906</v>
      </c>
      <c r="B132" s="328" t="str">
        <f>VLOOKUP(A132,'Feature Raw Data'!$A$3:$B$4067,2,FALSE)</f>
        <v>GFXHUB:GCUTCL2:VML2 - Programmable bank select in UTCL1/UTCL2</v>
      </c>
      <c r="C132" s="271" t="str">
        <f>VLOOKUP(A132,'Feature Raw Data'!$A$3:$C$4067,3,FALSE)</f>
        <v>P2</v>
      </c>
      <c r="D132" s="82" t="str" cm="1">
        <f t="array" ref="D132">_xlfn.TEXTJOIN("",TRUE,IF(ISNUMBER(SEARCH($A132,'Diags Raw Data'!$A$6:$A$4335)),CONCATENATE('Diags Raw Data'!$H$6:$H$4335,", "),""))</f>
        <v xml:space="preserve">mhub354.1,mhub354.2, </v>
      </c>
      <c r="E132" s="169" t="str">
        <f>VLOOKUP(A132,'Diags Raw Data'!$A$6:$D$4335,4,FALSE)</f>
        <v>GCHUB</v>
      </c>
      <c r="F132" s="169" t="str">
        <f>VLOOKUP(A132,'Feature Raw Data'!$A$3:$E$4067,5,FALSE)</f>
        <v>Legacy</v>
      </c>
      <c r="G132" s="169" t="str">
        <f t="shared" si="67"/>
        <v>Yes</v>
      </c>
      <c r="H132" s="169" t="str">
        <f t="shared" si="68"/>
        <v>Yes</v>
      </c>
      <c r="I132" s="271">
        <f>SUMIF('Diags Raw Data'!$A$6:$A$4335,"*"&amp;$A132&amp;"*",'Diags Raw Data'!$K$6:$K$4335)</f>
        <v>6</v>
      </c>
      <c r="J132" s="179">
        <f>SUMIF('Diags Raw Data'!$A$6:$A$4335,"*"&amp;$A132&amp;"*",'Diags Raw Data'!$L$6:$L$4335)</f>
        <v>2</v>
      </c>
      <c r="K132" s="398" cm="1">
        <f t="array" ref="K132">IF(D132="",0, SUMPRODUCT(--(ISNUMBER(SEARCH($A132,'Diags Raw Data'!$A$6:$A$4335))),'Diags Raw Data'!$L$6:$L$4335,'Diags Raw Data'!$N$6:$N$4335)/J132)</f>
        <v>1</v>
      </c>
      <c r="L132" s="399" cm="1">
        <f t="array" ref="L132">IF(D132="",0, SUMPRODUCT(--(ISNUMBER(SEARCH($A132,'Diags Raw Data'!$A$6:$A$4335))),'Diags Raw Data'!$L$6:$L$4335,'Diags Raw Data'!$P$6:$P$4335)/J132)</f>
        <v>1</v>
      </c>
      <c r="M132" s="400" cm="1">
        <f t="array" ref="M132">SUMPRODUCT(--(ISNUMBER(SEARCH($A132,'Diags Raw Data'!$A$6:$A$4335))),--('Diags Raw Data'!$Q$6:$Q$4335&lt;&gt;"N/A"),'Diags Raw Data'!$R$6:$R$4335)</f>
        <v>2</v>
      </c>
      <c r="N132" s="401" cm="1">
        <f t="array" ref="N132">SUMPRODUCT(--(ISNUMBER(SEARCH($A132,'Diags Raw Data'!$A$6:$A$4335))),--('Diags Raw Data'!$Q$6:$Q$4335&lt;&gt;"N/A"),'Diags Raw Data'!$T$6:$T$4335)+SUMPRODUCT(--(ISNUMBER(SEARCH($A132,'Diags Raw Data'!$A$6:$A$4335))),--('Diags Raw Data'!$Q$6:$Q$4335&lt;&gt;"N/A"),'Diags Raw Data'!$U$6:$U$4335)</f>
        <v>2</v>
      </c>
      <c r="O132" s="428">
        <f t="shared" si="69"/>
        <v>1</v>
      </c>
      <c r="P132" s="402">
        <f>SUMIF('Diags Raw Data'!$A$6:$A$4335,"*"&amp;$A132&amp;"*",'Diags Raw Data'!$Z$6:$Z$4335)</f>
        <v>0</v>
      </c>
      <c r="Q132" s="403">
        <f>SUM(SUMIF('Diags Raw Data'!$A$6:$A$4335,"*"&amp;$A132&amp;"*",'Diags Raw Data'!$AA$6:$AA$4335),SUMIF('Diags Raw Data'!$A$6:$A$4335,"*"&amp;$A132&amp;"*",'Diags Raw Data'!$AB$6:$AB$4335))</f>
        <v>0</v>
      </c>
      <c r="R132" s="404">
        <f t="shared" si="70"/>
        <v>0</v>
      </c>
      <c r="S132" s="404">
        <f t="shared" si="71"/>
        <v>0</v>
      </c>
      <c r="T132" s="405">
        <f t="shared" si="72"/>
        <v>0</v>
      </c>
      <c r="U132" s="434" t="s">
        <v>1663</v>
      </c>
    </row>
    <row r="133" spans="1:22" ht="30" x14ac:dyDescent="0.25">
      <c r="A133" s="420" t="s">
        <v>1475</v>
      </c>
      <c r="B133" s="328" t="str">
        <f>VLOOKUP(A133,'Feature Raw Data'!$A$3:$B$4067,2,FALSE)</f>
        <v>GFXHUB:GCUTCL2:VML2 - Per VMID BigK support/SmallK/Bank_Select Support</v>
      </c>
      <c r="C133" s="271" t="str">
        <f>VLOOKUP(A133,'Feature Raw Data'!$A$3:$C$4067,3,FALSE)</f>
        <v>P2</v>
      </c>
      <c r="D133" s="82" t="str" cm="1">
        <f t="array" ref="D133">_xlfn.TEXTJOIN("",TRUE,IF(ISNUMBER(SEARCH($A133,'Diags Raw Data'!$A$6:$A$4335)),CONCATENATE('Diags Raw Data'!$H$6:$H$4335,", "),""))</f>
        <v xml:space="preserve">mhub259.1-32, </v>
      </c>
      <c r="E133" s="169" t="str">
        <f>VLOOKUP(A133,'Diags Raw Data'!$A$6:$D$4335,4,FALSE)</f>
        <v>GCHUB</v>
      </c>
      <c r="F133" s="169" t="str">
        <f>VLOOKUP(A133,'Feature Raw Data'!$A$3:$E$4067,5,FALSE)</f>
        <v>Legacy</v>
      </c>
      <c r="G133" s="169" t="str">
        <f t="shared" si="67"/>
        <v>Yes</v>
      </c>
      <c r="H133" s="169" t="str">
        <f t="shared" si="68"/>
        <v>Yes</v>
      </c>
      <c r="I133" s="271">
        <f>SUMIF('Diags Raw Data'!$A$6:$A$4335,"*"&amp;$A133&amp;"*",'Diags Raw Data'!$K$6:$K$4335)</f>
        <v>1</v>
      </c>
      <c r="J133" s="179">
        <f>SUMIF('Diags Raw Data'!$A$6:$A$4335,"*"&amp;$A133&amp;"*",'Diags Raw Data'!$L$6:$L$4335)</f>
        <v>32</v>
      </c>
      <c r="K133" s="398" cm="1">
        <f t="array" ref="K133">IF(D133="",0, SUMPRODUCT(--(ISNUMBER(SEARCH($A133,'Diags Raw Data'!$A$6:$A$4335))),'Diags Raw Data'!$L$6:$L$4335,'Diags Raw Data'!$N$6:$N$4335)/J133)</f>
        <v>1</v>
      </c>
      <c r="L133" s="399" cm="1">
        <f t="array" ref="L133">IF(D133="",0, SUMPRODUCT(--(ISNUMBER(SEARCH($A133,'Diags Raw Data'!$A$6:$A$4335))),'Diags Raw Data'!$L$6:$L$4335,'Diags Raw Data'!$P$6:$P$4335)/J133)</f>
        <v>0</v>
      </c>
      <c r="M133" s="400" cm="1">
        <f t="array" ref="M133">SUMPRODUCT(--(ISNUMBER(SEARCH($A133,'Diags Raw Data'!$A$6:$A$4335))),--('Diags Raw Data'!$Q$6:$Q$4335&lt;&gt;"N/A"),'Diags Raw Data'!$R$6:$R$4335)</f>
        <v>32</v>
      </c>
      <c r="N133" s="401" cm="1">
        <f t="array" ref="N133">SUMPRODUCT(--(ISNUMBER(SEARCH($A133,'Diags Raw Data'!$A$6:$A$4335))),--('Diags Raw Data'!$Q$6:$Q$4335&lt;&gt;"N/A"),'Diags Raw Data'!$T$6:$T$4335)+SUMPRODUCT(--(ISNUMBER(SEARCH($A133,'Diags Raw Data'!$A$6:$A$4335))),--('Diags Raw Data'!$Q$6:$Q$4335&lt;&gt;"N/A"),'Diags Raw Data'!$U$6:$U$4335)</f>
        <v>32</v>
      </c>
      <c r="O133" s="428">
        <f t="shared" si="69"/>
        <v>1</v>
      </c>
      <c r="P133" s="402">
        <f>SUMIF('Diags Raw Data'!$A$6:$A$4335,"*"&amp;$A133&amp;"*",'Diags Raw Data'!$Z$6:$Z$4335)</f>
        <v>0</v>
      </c>
      <c r="Q133" s="403">
        <f>SUM(SUMIF('Diags Raw Data'!$A$6:$A$4335,"*"&amp;$A133&amp;"*",'Diags Raw Data'!$AA$6:$AA$4335),SUMIF('Diags Raw Data'!$A$6:$A$4335,"*"&amp;$A133&amp;"*",'Diags Raw Data'!$AB$6:$AB$4335))</f>
        <v>0</v>
      </c>
      <c r="R133" s="404">
        <f t="shared" si="70"/>
        <v>0</v>
      </c>
      <c r="S133" s="404">
        <f t="shared" si="71"/>
        <v>0</v>
      </c>
      <c r="T133" s="405">
        <f t="shared" si="72"/>
        <v>0</v>
      </c>
      <c r="U133" s="434" t="s">
        <v>1659</v>
      </c>
    </row>
    <row r="134" spans="1:22" ht="60" x14ac:dyDescent="0.25">
      <c r="A134" s="420" t="s">
        <v>711</v>
      </c>
      <c r="B134" s="328" t="str">
        <f>VLOOKUP(A134,'Feature Raw Data'!$A$3:$B$4067,2,FALSE)</f>
        <v>GFXHUB:GCUTCL2:VML2 - GPUVM L2 cache read/dump capabilities</v>
      </c>
      <c r="C134" s="271" t="str">
        <f>VLOOKUP(A134,'Feature Raw Data'!$A$3:$C$4067,3,FALSE)</f>
        <v>P2</v>
      </c>
      <c r="D134" s="82" t="str" cm="1">
        <f t="array" ref="D134">_xlfn.TEXTJOIN("",TRUE,IF(ISNUMBER(SEARCH($A134,'Diags Raw Data'!$A$6:$A$4335)),CONCATENATE('Diags Raw Data'!$H$6:$H$4335,", "),""))</f>
        <v xml:space="preserve">mhub231.10-11, mhub233.101,mhub233.103, </v>
      </c>
      <c r="E134" s="169" t="str">
        <f>VLOOKUP(A134,'Diags Raw Data'!$A$6:$D$4335,4,FALSE)</f>
        <v>GCHUB</v>
      </c>
      <c r="F134" s="169" t="str">
        <f>VLOOKUP(A134,'Feature Raw Data'!$A$3:$E$4067,5,FALSE)</f>
        <v>Legacy</v>
      </c>
      <c r="G134" s="169" t="str">
        <f t="shared" si="67"/>
        <v>Yes</v>
      </c>
      <c r="H134" s="169" t="str">
        <f t="shared" si="68"/>
        <v>Yes</v>
      </c>
      <c r="I134" s="271">
        <f>SUMIF('Diags Raw Data'!$A$6:$A$4335,"*"&amp;$A134&amp;"*",'Diags Raw Data'!$K$6:$K$4335)</f>
        <v>2</v>
      </c>
      <c r="J134" s="179">
        <f>SUMIF('Diags Raw Data'!$A$6:$A$4335,"*"&amp;$A134&amp;"*",'Diags Raw Data'!$L$6:$L$4335)</f>
        <v>4</v>
      </c>
      <c r="K134" s="398" cm="1">
        <f t="array" ref="K134">IF(D134="",0, SUMPRODUCT(--(ISNUMBER(SEARCH($A134,'Diags Raw Data'!$A$6:$A$4335))),'Diags Raw Data'!$L$6:$L$4335,'Diags Raw Data'!$N$6:$N$4335)/J134)</f>
        <v>1</v>
      </c>
      <c r="L134" s="399" cm="1">
        <f t="array" ref="L134">IF(D134="",0, SUMPRODUCT(--(ISNUMBER(SEARCH($A134,'Diags Raw Data'!$A$6:$A$4335))),'Diags Raw Data'!$L$6:$L$4335,'Diags Raw Data'!$P$6:$P$4335)/J134)</f>
        <v>1</v>
      </c>
      <c r="M134" s="400" cm="1">
        <f t="array" ref="M134">SUMPRODUCT(--(ISNUMBER(SEARCH($A134,'Diags Raw Data'!$A$6:$A$4335))),--('Diags Raw Data'!$Q$6:$Q$4335&lt;&gt;"N/A"),'Diags Raw Data'!$R$6:$R$4335)</f>
        <v>4</v>
      </c>
      <c r="N134" s="401" cm="1">
        <f t="array" ref="N134">SUMPRODUCT(--(ISNUMBER(SEARCH($A134,'Diags Raw Data'!$A$6:$A$4335))),--('Diags Raw Data'!$Q$6:$Q$4335&lt;&gt;"N/A"),'Diags Raw Data'!$T$6:$T$4335)+SUMPRODUCT(--(ISNUMBER(SEARCH($A134,'Diags Raw Data'!$A$6:$A$4335))),--('Diags Raw Data'!$Q$6:$Q$4335&lt;&gt;"N/A"),'Diags Raw Data'!$U$6:$U$4335)</f>
        <v>4</v>
      </c>
      <c r="O134" s="428">
        <f t="shared" si="69"/>
        <v>1</v>
      </c>
      <c r="P134" s="402">
        <f>SUMIF('Diags Raw Data'!$A$6:$A$4335,"*"&amp;$A134&amp;"*",'Diags Raw Data'!$Z$6:$Z$4335)</f>
        <v>0</v>
      </c>
      <c r="Q134" s="403">
        <f>SUM(SUMIF('Diags Raw Data'!$A$6:$A$4335,"*"&amp;$A134&amp;"*",'Diags Raw Data'!$AA$6:$AA$4335),SUMIF('Diags Raw Data'!$A$6:$A$4335,"*"&amp;$A134&amp;"*",'Diags Raw Data'!$AB$6:$AB$4335))</f>
        <v>0</v>
      </c>
      <c r="R134" s="404">
        <f t="shared" si="70"/>
        <v>0</v>
      </c>
      <c r="S134" s="404">
        <f t="shared" si="71"/>
        <v>0</v>
      </c>
      <c r="T134" s="405">
        <f t="shared" si="72"/>
        <v>0</v>
      </c>
      <c r="U134" s="434" t="s">
        <v>1658</v>
      </c>
    </row>
    <row r="135" spans="1:22" ht="30" x14ac:dyDescent="0.25">
      <c r="A135" s="420" t="s">
        <v>1129</v>
      </c>
      <c r="B135" s="328" t="str">
        <f>VLOOKUP(A135,'Feature Raw Data'!$A$3:$B$4067,2,FALSE)</f>
        <v>GFXHUB:GCUTCL2:VML2 - Virtual FIFOs to maximize bank probes</v>
      </c>
      <c r="C135" s="271" t="str">
        <f>VLOOKUP(A135,'Feature Raw Data'!$A$3:$C$4067,3,FALSE)</f>
        <v>P2</v>
      </c>
      <c r="D135" s="82" t="str" cm="1">
        <f t="array" ref="D135">_xlfn.TEXTJOIN("",TRUE,IF(ISNUMBER(SEARCH($A135,'Diags Raw Data'!$A$6:$A$4335)),CONCATENATE('Diags Raw Data'!$H$6:$H$4335,", "),""))</f>
        <v/>
      </c>
      <c r="E135" s="169" t="e">
        <f>VLOOKUP(A135,'Diags Raw Data'!$A$6:$D$4335,4,FALSE)</f>
        <v>#N/A</v>
      </c>
      <c r="F135" s="169" t="str">
        <f>VLOOKUP(A135,'Feature Raw Data'!$A$3:$E$4067,5,FALSE)</f>
        <v>Legacy</v>
      </c>
      <c r="G135" s="169" t="s">
        <v>31</v>
      </c>
      <c r="H135" s="169" t="str">
        <f t="shared" ref="H135:H146" si="73">IF(D135="","No","Yes")</f>
        <v>No</v>
      </c>
      <c r="I135" s="271">
        <f>SUMIF('Diags Raw Data'!$A$6:$A$4335,"*"&amp;$A135&amp;"*",'Diags Raw Data'!$K$6:$K$4335)</f>
        <v>0</v>
      </c>
      <c r="J135" s="179">
        <f>SUMIF('Diags Raw Data'!$A$6:$A$4335,"*"&amp;$A135&amp;"*",'Diags Raw Data'!$L$6:$L$4335)</f>
        <v>0</v>
      </c>
      <c r="K135" s="398" cm="1">
        <f t="array" ref="K135">IF(D135="",0, SUMPRODUCT(--(ISNUMBER(SEARCH($A135,'Diags Raw Data'!$A$6:$A$4335))),'Diags Raw Data'!$L$6:$L$4335,'Diags Raw Data'!$N$6:$N$4335)/J135)</f>
        <v>0</v>
      </c>
      <c r="L135" s="399" cm="1">
        <f t="array" ref="L135">IF(D135="",0, SUMPRODUCT(--(ISNUMBER(SEARCH($A135,'Diags Raw Data'!$A$6:$A$4335))),'Diags Raw Data'!$L$6:$L$4335,'Diags Raw Data'!$P$6:$P$4335)/J135)</f>
        <v>0</v>
      </c>
      <c r="M135" s="400" cm="1">
        <f t="array" ref="M135">SUMPRODUCT(--(ISNUMBER(SEARCH($A135,'Diags Raw Data'!$A$6:$A$4335))),--('Diags Raw Data'!$Q$6:$Q$4335&lt;&gt;"N/A"),'Diags Raw Data'!$R$6:$R$4335)</f>
        <v>0</v>
      </c>
      <c r="N135" s="401" cm="1">
        <f t="array" ref="N135">SUMPRODUCT(--(ISNUMBER(SEARCH($A135,'Diags Raw Data'!$A$6:$A$4335))),--('Diags Raw Data'!$Q$6:$Q$4335&lt;&gt;"N/A"),'Diags Raw Data'!$T$6:$T$4335)+SUMPRODUCT(--(ISNUMBER(SEARCH($A135,'Diags Raw Data'!$A$6:$A$4335))),--('Diags Raw Data'!$Q$6:$Q$4335&lt;&gt;"N/A"),'Diags Raw Data'!$U$6:$U$4335)</f>
        <v>0</v>
      </c>
      <c r="O135" s="428">
        <f t="shared" ref="O135:O146" si="74">IF((M135=0),0,N135/M135)</f>
        <v>0</v>
      </c>
      <c r="P135" s="402">
        <f>SUMIF('Diags Raw Data'!$A$6:$A$4335,"*"&amp;$A135&amp;"*",'Diags Raw Data'!$Z$6:$Z$4335)</f>
        <v>0</v>
      </c>
      <c r="Q135" s="403">
        <f>SUM(SUMIF('Diags Raw Data'!$A$6:$A$4335,"*"&amp;$A135&amp;"*",'Diags Raw Data'!$AA$6:$AA$4335),SUMIF('Diags Raw Data'!$A$6:$A$4335,"*"&amp;$A135&amp;"*",'Diags Raw Data'!$AB$6:$AB$4335))</f>
        <v>0</v>
      </c>
      <c r="R135" s="404">
        <f t="shared" ref="R135:R146" si="75">IF((J135=0),0,P135/J135)</f>
        <v>0</v>
      </c>
      <c r="S135" s="404">
        <f t="shared" ref="S135:S146" si="76">IF((P135=0),0,Q135/P135)</f>
        <v>0</v>
      </c>
      <c r="T135" s="405">
        <f t="shared" ref="T135:T146" si="77">R135*S135</f>
        <v>0</v>
      </c>
      <c r="U135" s="434" t="s">
        <v>44</v>
      </c>
      <c r="V135" s="171" t="s">
        <v>1480</v>
      </c>
    </row>
    <row r="136" spans="1:22" ht="75" x14ac:dyDescent="0.25">
      <c r="A136" s="420" t="s">
        <v>1481</v>
      </c>
      <c r="B136" s="328" t="str">
        <f>VLOOKUP(A136,'Feature Raw Data'!$A$3:$B$4067,2,FALSE)</f>
        <v>GFXHUB:GCUTCL2:ATCL2 - Caches</v>
      </c>
      <c r="C136" s="271" t="str">
        <f>VLOOKUP(A136,'Feature Raw Data'!$A$3:$C$4067,3,FALSE)</f>
        <v>P2</v>
      </c>
      <c r="D136" s="82" t="str" cm="1">
        <f t="array" ref="D136">_xlfn.TEXTJOIN("",TRUE,IF(ISNUMBER(SEARCH($A136,'Diags Raw Data'!$A$6:$A$4335)),CONCATENATE('Diags Raw Data'!$H$6:$H$4335,", "),""))</f>
        <v xml:space="preserve">mhub240.1, mhub240.2, mhub240.3, mhub240.4, mhub240.5, </v>
      </c>
      <c r="E136" s="169" t="str">
        <f>VLOOKUP(A136,'Diags Raw Data'!$A$6:$D$4335,4,FALSE)</f>
        <v>GCHUB</v>
      </c>
      <c r="F136" s="169" t="str">
        <f>VLOOKUP(A136,'Feature Raw Data'!$A$3:$E$4067,5,FALSE)</f>
        <v>Legacy</v>
      </c>
      <c r="G136" s="169" t="str">
        <f t="shared" ref="G136:G146" si="78">IF(D136="","No","Yes")</f>
        <v>Yes</v>
      </c>
      <c r="H136" s="169" t="str">
        <f t="shared" si="73"/>
        <v>Yes</v>
      </c>
      <c r="I136" s="271">
        <f>SUMIF('Diags Raw Data'!$A$6:$A$4335,"*"&amp;$A136&amp;"*",'Diags Raw Data'!$K$6:$K$4335)</f>
        <v>5</v>
      </c>
      <c r="J136" s="179">
        <f>SUMIF('Diags Raw Data'!$A$6:$A$4335,"*"&amp;$A136&amp;"*",'Diags Raw Data'!$L$6:$L$4335)</f>
        <v>5</v>
      </c>
      <c r="K136" s="398" cm="1">
        <f t="array" ref="K136">IF(D136="",0, SUMPRODUCT(--(ISNUMBER(SEARCH($A136,'Diags Raw Data'!$A$6:$A$4335))),'Diags Raw Data'!$L$6:$L$4335,'Diags Raw Data'!$N$6:$N$4335)/J136)</f>
        <v>1</v>
      </c>
      <c r="L136" s="399" cm="1">
        <f t="array" ref="L136">IF(D136="",0, SUMPRODUCT(--(ISNUMBER(SEARCH($A136,'Diags Raw Data'!$A$6:$A$4335))),'Diags Raw Data'!$L$6:$L$4335,'Diags Raw Data'!$P$6:$P$4335)/J136)</f>
        <v>1</v>
      </c>
      <c r="M136" s="400" cm="1">
        <f t="array" ref="M136">SUMPRODUCT(--(ISNUMBER(SEARCH($A136,'Diags Raw Data'!$A$6:$A$4335))),--('Diags Raw Data'!$Q$6:$Q$4335&lt;&gt;"N/A"),'Diags Raw Data'!$R$6:$R$4335)</f>
        <v>5</v>
      </c>
      <c r="N136" s="401" cm="1">
        <f t="array" ref="N136">SUMPRODUCT(--(ISNUMBER(SEARCH($A136,'Diags Raw Data'!$A$6:$A$4335))),--('Diags Raw Data'!$Q$6:$Q$4335&lt;&gt;"N/A"),'Diags Raw Data'!$T$6:$T$4335)+SUMPRODUCT(--(ISNUMBER(SEARCH($A136,'Diags Raw Data'!$A$6:$A$4335))),--('Diags Raw Data'!$Q$6:$Q$4335&lt;&gt;"N/A"),'Diags Raw Data'!$U$6:$U$4335)</f>
        <v>5</v>
      </c>
      <c r="O136" s="428">
        <f t="shared" si="74"/>
        <v>1</v>
      </c>
      <c r="P136" s="402">
        <f>SUMIF('Diags Raw Data'!$A$6:$A$4335,"*"&amp;$A136&amp;"*",'Diags Raw Data'!$Z$6:$Z$4335)</f>
        <v>0</v>
      </c>
      <c r="Q136" s="403">
        <f>SUM(SUMIF('Diags Raw Data'!$A$6:$A$4335,"*"&amp;$A136&amp;"*",'Diags Raw Data'!$AA$6:$AA$4335),SUMIF('Diags Raw Data'!$A$6:$A$4335,"*"&amp;$A136&amp;"*",'Diags Raw Data'!$AB$6:$AB$4335))</f>
        <v>0</v>
      </c>
      <c r="R136" s="404">
        <f t="shared" si="75"/>
        <v>0</v>
      </c>
      <c r="S136" s="404">
        <f t="shared" si="76"/>
        <v>0</v>
      </c>
      <c r="T136" s="405">
        <f t="shared" si="77"/>
        <v>0</v>
      </c>
      <c r="U136" s="434" t="s">
        <v>1660</v>
      </c>
    </row>
    <row r="137" spans="1:22" x14ac:dyDescent="0.25">
      <c r="A137" s="420" t="s">
        <v>1485</v>
      </c>
      <c r="B137" s="328" t="str">
        <f>VLOOKUP(A137,'Feature Raw Data'!$A$3:$B$4067,2,FALSE)</f>
        <v>GFXHUB:GCUTCL2:ATCL2 - Virtual FIFOs</v>
      </c>
      <c r="C137" s="271" t="str">
        <f>VLOOKUP(A137,'Feature Raw Data'!$A$3:$C$4067,3,FALSE)</f>
        <v>P2</v>
      </c>
      <c r="D137" s="82" t="str" cm="1">
        <f t="array" ref="D137">_xlfn.TEXTJOIN("",TRUE,IF(ISNUMBER(SEARCH($A137,'Diags Raw Data'!$A$6:$A$4335)),CONCATENATE('Diags Raw Data'!$H$6:$H$4335,", "),""))</f>
        <v/>
      </c>
      <c r="E137" s="169" t="e">
        <f>VLOOKUP(A137,'Diags Raw Data'!$A$6:$D$4335,4,FALSE)</f>
        <v>#N/A</v>
      </c>
      <c r="F137" s="169" t="str">
        <f>VLOOKUP(A137,'Feature Raw Data'!$A$3:$E$4067,5,FALSE)</f>
        <v>Legacy</v>
      </c>
      <c r="G137" s="169" t="s">
        <v>36</v>
      </c>
      <c r="H137" s="169" t="str">
        <f t="shared" si="73"/>
        <v>No</v>
      </c>
      <c r="I137" s="271">
        <f>SUMIF('Diags Raw Data'!$A$6:$A$4335,"*"&amp;$A137&amp;"*",'Diags Raw Data'!$K$6:$K$4335)</f>
        <v>0</v>
      </c>
      <c r="J137" s="179">
        <f>SUMIF('Diags Raw Data'!$A$6:$A$4335,"*"&amp;$A137&amp;"*",'Diags Raw Data'!$L$6:$L$4335)</f>
        <v>0</v>
      </c>
      <c r="K137" s="398" cm="1">
        <f t="array" ref="K137">IF(D137="",0, SUMPRODUCT(--(ISNUMBER(SEARCH($A137,'Diags Raw Data'!$A$6:$A$4335))),'Diags Raw Data'!$L$6:$L$4335,'Diags Raw Data'!$N$6:$N$4335)/J137)</f>
        <v>0</v>
      </c>
      <c r="L137" s="399" cm="1">
        <f t="array" ref="L137">IF(D137="",0, SUMPRODUCT(--(ISNUMBER(SEARCH($A137,'Diags Raw Data'!$A$6:$A$4335))),'Diags Raw Data'!$L$6:$L$4335,'Diags Raw Data'!$P$6:$P$4335)/J137)</f>
        <v>0</v>
      </c>
      <c r="M137" s="400" cm="1">
        <f t="array" ref="M137">SUMPRODUCT(--(ISNUMBER(SEARCH($A137,'Diags Raw Data'!$A$6:$A$4335))),--('Diags Raw Data'!$Q$6:$Q$4335&lt;&gt;"N/A"),'Diags Raw Data'!$R$6:$R$4335)</f>
        <v>0</v>
      </c>
      <c r="N137" s="401" cm="1">
        <f t="array" ref="N137">SUMPRODUCT(--(ISNUMBER(SEARCH($A137,'Diags Raw Data'!$A$6:$A$4335))),--('Diags Raw Data'!$Q$6:$Q$4335&lt;&gt;"N/A"),'Diags Raw Data'!$T$6:$T$4335)+SUMPRODUCT(--(ISNUMBER(SEARCH($A137,'Diags Raw Data'!$A$6:$A$4335))),--('Diags Raw Data'!$Q$6:$Q$4335&lt;&gt;"N/A"),'Diags Raw Data'!$U$6:$U$4335)</f>
        <v>0</v>
      </c>
      <c r="O137" s="428">
        <f t="shared" si="74"/>
        <v>0</v>
      </c>
      <c r="P137" s="402">
        <f>SUMIF('Diags Raw Data'!$A$6:$A$4335,"*"&amp;$A137&amp;"*",'Diags Raw Data'!$Z$6:$Z$4335)</f>
        <v>0</v>
      </c>
      <c r="Q137" s="403">
        <f>SUM(SUMIF('Diags Raw Data'!$A$6:$A$4335,"*"&amp;$A137&amp;"*",'Diags Raw Data'!$AA$6:$AA$4335),SUMIF('Diags Raw Data'!$A$6:$A$4335,"*"&amp;$A137&amp;"*",'Diags Raw Data'!$AB$6:$AB$4335))</f>
        <v>0</v>
      </c>
      <c r="R137" s="404">
        <f t="shared" si="75"/>
        <v>0</v>
      </c>
      <c r="S137" s="404">
        <f t="shared" si="76"/>
        <v>0</v>
      </c>
      <c r="T137" s="405">
        <f t="shared" si="77"/>
        <v>0</v>
      </c>
      <c r="U137" s="434" t="s">
        <v>44</v>
      </c>
      <c r="V137" s="171" t="s">
        <v>1480</v>
      </c>
    </row>
    <row r="138" spans="1:22" ht="285" x14ac:dyDescent="0.25">
      <c r="A138" s="420" t="s">
        <v>1487</v>
      </c>
      <c r="B138" s="328" t="str">
        <f>VLOOKUP(A138,'Feature Raw Data'!$A$3:$B$4067,2,FALSE)</f>
        <v>GFXHUB:GCUTCL2:ATCL2 - Console IOV (Pseudo-IOV) - Support multiple VMID_VEC for invalidation</v>
      </c>
      <c r="C138" s="271" t="str">
        <f>VLOOKUP(A138,'Feature Raw Data'!$A$3:$C$4067,3,FALSE)</f>
        <v>P2</v>
      </c>
      <c r="D138" s="82" t="str" cm="1">
        <f t="array" ref="D138">_xlfn.TEXTJOIN("",TRUE,IF(ISNUMBER(SEARCH($A138,'Diags Raw Data'!$A$6:$A$4335)),CONCATENATE('Diags Raw Data'!$H$6:$H$4335,", "),""))</f>
        <v xml:space="preserve">mhub414.4, mhub414.8, mhub414.101, mhub414.102, mhub414.103, mhub414.104, mhub414.105, mhub414.106, mhub414.107, mhub414.108, mhub416.1-4, </v>
      </c>
      <c r="E138" s="169" t="str">
        <f>VLOOKUP(A138,'Diags Raw Data'!$A$6:$D$4335,4,FALSE)</f>
        <v>ATHUB</v>
      </c>
      <c r="F138" s="169" t="str">
        <f>VLOOKUP(A138,'Feature Raw Data'!$A$3:$E$4067,5,FALSE)</f>
        <v>Legacy</v>
      </c>
      <c r="G138" s="169" t="str">
        <f t="shared" si="78"/>
        <v>Yes</v>
      </c>
      <c r="H138" s="169" t="str">
        <f t="shared" si="73"/>
        <v>Yes</v>
      </c>
      <c r="I138" s="271">
        <f>SUMIF('Diags Raw Data'!$A$6:$A$4335,"*"&amp;$A138&amp;"*",'Diags Raw Data'!$K$6:$K$4335)</f>
        <v>11</v>
      </c>
      <c r="J138" s="179">
        <f>SUMIF('Diags Raw Data'!$A$6:$A$4335,"*"&amp;$A138&amp;"*",'Diags Raw Data'!$L$6:$L$4335)</f>
        <v>14</v>
      </c>
      <c r="K138" s="398" cm="1">
        <f t="array" ref="K138">IF(D138="",0, SUMPRODUCT(--(ISNUMBER(SEARCH($A138,'Diags Raw Data'!$A$6:$A$4335))),'Diags Raw Data'!$L$6:$L$4335,'Diags Raw Data'!$N$6:$N$4335)/J138)</f>
        <v>1</v>
      </c>
      <c r="L138" s="399" cm="1">
        <f t="array" ref="L138">IF(D138="",0, SUMPRODUCT(--(ISNUMBER(SEARCH($A138,'Diags Raw Data'!$A$6:$A$4335))),'Diags Raw Data'!$L$6:$L$4335,'Diags Raw Data'!$P$6:$P$4335)/J138)</f>
        <v>1</v>
      </c>
      <c r="M138" s="400" cm="1">
        <f t="array" ref="M138">SUMPRODUCT(--(ISNUMBER(SEARCH($A138,'Diags Raw Data'!$A$6:$A$4335))),--('Diags Raw Data'!$Q$6:$Q$4335&lt;&gt;"N/A"),'Diags Raw Data'!$R$6:$R$4335)</f>
        <v>14</v>
      </c>
      <c r="N138" s="401" cm="1">
        <f t="array" ref="N138">SUMPRODUCT(--(ISNUMBER(SEARCH($A138,'Diags Raw Data'!$A$6:$A$4335))),--('Diags Raw Data'!$Q$6:$Q$4335&lt;&gt;"N/A"),'Diags Raw Data'!$T$6:$T$4335)+SUMPRODUCT(--(ISNUMBER(SEARCH($A138,'Diags Raw Data'!$A$6:$A$4335))),--('Diags Raw Data'!$Q$6:$Q$4335&lt;&gt;"N/A"),'Diags Raw Data'!$U$6:$U$4335)</f>
        <v>14</v>
      </c>
      <c r="O138" s="428">
        <f t="shared" si="74"/>
        <v>1</v>
      </c>
      <c r="P138" s="402">
        <f>SUMIF('Diags Raw Data'!$A$6:$A$4335,"*"&amp;$A138&amp;"*",'Diags Raw Data'!$Z$6:$Z$4335)</f>
        <v>0</v>
      </c>
      <c r="Q138" s="403">
        <f>SUM(SUMIF('Diags Raw Data'!$A$6:$A$4335,"*"&amp;$A138&amp;"*",'Diags Raw Data'!$AA$6:$AA$4335),SUMIF('Diags Raw Data'!$A$6:$A$4335,"*"&amp;$A138&amp;"*",'Diags Raw Data'!$AB$6:$AB$4335))</f>
        <v>0</v>
      </c>
      <c r="R138" s="404">
        <f t="shared" si="75"/>
        <v>0</v>
      </c>
      <c r="S138" s="404">
        <f t="shared" si="76"/>
        <v>0</v>
      </c>
      <c r="T138" s="405">
        <f t="shared" si="77"/>
        <v>0</v>
      </c>
      <c r="U138" s="434" t="s">
        <v>1658</v>
      </c>
    </row>
    <row r="139" spans="1:22" x14ac:dyDescent="0.25">
      <c r="A139" s="420" t="s">
        <v>1489</v>
      </c>
      <c r="B139" s="328" t="str">
        <f>VLOOKUP(A139,'Feature Raw Data'!$A$3:$B$4067,2,FALSE)</f>
        <v>GFXHUB:GCUTCL2:ATCL2 - U-bit support</v>
      </c>
      <c r="C139" s="271" t="str">
        <f>VLOOKUP(A139,'Feature Raw Data'!$A$3:$C$4067,3,FALSE)</f>
        <v>P2</v>
      </c>
      <c r="D139" s="82" t="str" cm="1">
        <f t="array" ref="D139">_xlfn.TEXTJOIN("",TRUE,IF(ISNUMBER(SEARCH($A139,'Diags Raw Data'!$A$6:$A$4335)),CONCATENATE('Diags Raw Data'!$H$6:$H$4335,", "),""))</f>
        <v xml:space="preserve">mhub237.5, </v>
      </c>
      <c r="E139" s="169" t="str">
        <f>VLOOKUP(A139,'Diags Raw Data'!$A$6:$D$4335,4,FALSE)</f>
        <v>GCHUB</v>
      </c>
      <c r="F139" s="169" t="str">
        <f>VLOOKUP(A139,'Feature Raw Data'!$A$3:$E$4067,5,FALSE)</f>
        <v>Legacy</v>
      </c>
      <c r="G139" s="169" t="str">
        <f t="shared" si="78"/>
        <v>Yes</v>
      </c>
      <c r="H139" s="169" t="str">
        <f t="shared" si="73"/>
        <v>Yes</v>
      </c>
      <c r="I139" s="271">
        <f>SUMIF('Diags Raw Data'!$A$6:$A$4335,"*"&amp;$A139&amp;"*",'Diags Raw Data'!$K$6:$K$4335)</f>
        <v>1</v>
      </c>
      <c r="J139" s="179">
        <f>SUMIF('Diags Raw Data'!$A$6:$A$4335,"*"&amp;$A139&amp;"*",'Diags Raw Data'!$L$6:$L$4335)</f>
        <v>1</v>
      </c>
      <c r="K139" s="398" cm="1">
        <f t="array" ref="K139">IF(D139="",0, SUMPRODUCT(--(ISNUMBER(SEARCH($A139,'Diags Raw Data'!$A$6:$A$4335))),'Diags Raw Data'!$L$6:$L$4335,'Diags Raw Data'!$N$6:$N$4335)/J139)</f>
        <v>1</v>
      </c>
      <c r="L139" s="399" cm="1">
        <f t="array" ref="L139">IF(D139="",0, SUMPRODUCT(--(ISNUMBER(SEARCH($A139,'Diags Raw Data'!$A$6:$A$4335))),'Diags Raw Data'!$L$6:$L$4335,'Diags Raw Data'!$P$6:$P$4335)/J139)</f>
        <v>1</v>
      </c>
      <c r="M139" s="400" cm="1">
        <f t="array" ref="M139">SUMPRODUCT(--(ISNUMBER(SEARCH($A139,'Diags Raw Data'!$A$6:$A$4335))),--('Diags Raw Data'!$Q$6:$Q$4335&lt;&gt;"N/A"),'Diags Raw Data'!$R$6:$R$4335)</f>
        <v>1</v>
      </c>
      <c r="N139" s="401" cm="1">
        <f t="array" ref="N139">SUMPRODUCT(--(ISNUMBER(SEARCH($A139,'Diags Raw Data'!$A$6:$A$4335))),--('Diags Raw Data'!$Q$6:$Q$4335&lt;&gt;"N/A"),'Diags Raw Data'!$T$6:$T$4335)+SUMPRODUCT(--(ISNUMBER(SEARCH($A139,'Diags Raw Data'!$A$6:$A$4335))),--('Diags Raw Data'!$Q$6:$Q$4335&lt;&gt;"N/A"),'Diags Raw Data'!$U$6:$U$4335)</f>
        <v>1</v>
      </c>
      <c r="O139" s="428">
        <f t="shared" si="74"/>
        <v>1</v>
      </c>
      <c r="P139" s="402">
        <f>SUMIF('Diags Raw Data'!$A$6:$A$4335,"*"&amp;$A139&amp;"*",'Diags Raw Data'!$Z$6:$Z$4335)</f>
        <v>0</v>
      </c>
      <c r="Q139" s="403">
        <f>SUM(SUMIF('Diags Raw Data'!$A$6:$A$4335,"*"&amp;$A139&amp;"*",'Diags Raw Data'!$AA$6:$AA$4335),SUMIF('Diags Raw Data'!$A$6:$A$4335,"*"&amp;$A139&amp;"*",'Diags Raw Data'!$AB$6:$AB$4335))</f>
        <v>0</v>
      </c>
      <c r="R139" s="404">
        <f t="shared" si="75"/>
        <v>0</v>
      </c>
      <c r="S139" s="404">
        <f t="shared" si="76"/>
        <v>0</v>
      </c>
      <c r="T139" s="405">
        <f t="shared" si="77"/>
        <v>0</v>
      </c>
      <c r="U139" s="434" t="s">
        <v>1663</v>
      </c>
    </row>
    <row r="140" spans="1:22" ht="30" x14ac:dyDescent="0.25">
      <c r="A140" s="420" t="s">
        <v>1491</v>
      </c>
      <c r="B140" s="328" t="str">
        <f>VLOOKUP(A140,'Feature Raw Data'!$A$3:$B$4067,2,FALSE)</f>
        <v>GFXHUB:GCUTCL2:ATCL2 - Snoop Override</v>
      </c>
      <c r="C140" s="271" t="str">
        <f>VLOOKUP(A140,'Feature Raw Data'!$A$3:$C$4067,3,FALSE)</f>
        <v>P2</v>
      </c>
      <c r="D140" s="82" t="str" cm="1">
        <f t="array" ref="D140">_xlfn.TEXTJOIN("",TRUE,IF(ISNUMBER(SEARCH($A140,'Diags Raw Data'!$A$6:$A$4335)),CONCATENATE('Diags Raw Data'!$H$6:$H$4335,", "),""))</f>
        <v xml:space="preserve">mhub416.1-4, </v>
      </c>
      <c r="E140" s="169" t="str">
        <f>VLOOKUP(A140,'Diags Raw Data'!$A$6:$D$4335,4,FALSE)</f>
        <v>GCHUB</v>
      </c>
      <c r="F140" s="169" t="str">
        <f>VLOOKUP(A140,'Feature Raw Data'!$A$3:$E$4067,5,FALSE)</f>
        <v>Legacy</v>
      </c>
      <c r="G140" s="169" t="str">
        <f t="shared" si="78"/>
        <v>Yes</v>
      </c>
      <c r="H140" s="169" t="str">
        <f t="shared" si="73"/>
        <v>Yes</v>
      </c>
      <c r="I140" s="271">
        <f>SUMIF('Diags Raw Data'!$A$6:$A$4335,"*"&amp;$A140&amp;"*",'Diags Raw Data'!$K$6:$K$4335)</f>
        <v>1</v>
      </c>
      <c r="J140" s="179">
        <f>SUMIF('Diags Raw Data'!$A$6:$A$4335,"*"&amp;$A140&amp;"*",'Diags Raw Data'!$L$6:$L$4335)</f>
        <v>4</v>
      </c>
      <c r="K140" s="398" cm="1">
        <f t="array" ref="K140">IF(D140="",0, SUMPRODUCT(--(ISNUMBER(SEARCH($A140,'Diags Raw Data'!$A$6:$A$4335))),'Diags Raw Data'!$L$6:$L$4335,'Diags Raw Data'!$N$6:$N$4335)/J140)</f>
        <v>1</v>
      </c>
      <c r="L140" s="399" cm="1">
        <f t="array" ref="L140">IF(D140="",0, SUMPRODUCT(--(ISNUMBER(SEARCH($A140,'Diags Raw Data'!$A$6:$A$4335))),'Diags Raw Data'!$L$6:$L$4335,'Diags Raw Data'!$P$6:$P$4335)/J140)</f>
        <v>1</v>
      </c>
      <c r="M140" s="400" cm="1">
        <f t="array" ref="M140">SUMPRODUCT(--(ISNUMBER(SEARCH($A140,'Diags Raw Data'!$A$6:$A$4335))),--('Diags Raw Data'!$Q$6:$Q$4335&lt;&gt;"N/A"),'Diags Raw Data'!$R$6:$R$4335)</f>
        <v>4</v>
      </c>
      <c r="N140" s="401" cm="1">
        <f t="array" ref="N140">SUMPRODUCT(--(ISNUMBER(SEARCH($A140,'Diags Raw Data'!$A$6:$A$4335))),--('Diags Raw Data'!$Q$6:$Q$4335&lt;&gt;"N/A"),'Diags Raw Data'!$T$6:$T$4335)+SUMPRODUCT(--(ISNUMBER(SEARCH($A140,'Diags Raw Data'!$A$6:$A$4335))),--('Diags Raw Data'!$Q$6:$Q$4335&lt;&gt;"N/A"),'Diags Raw Data'!$U$6:$U$4335)</f>
        <v>4</v>
      </c>
      <c r="O140" s="428">
        <f t="shared" si="74"/>
        <v>1</v>
      </c>
      <c r="P140" s="402">
        <f>SUMIF('Diags Raw Data'!$A$6:$A$4335,"*"&amp;$A140&amp;"*",'Diags Raw Data'!$Z$6:$Z$4335)</f>
        <v>0</v>
      </c>
      <c r="Q140" s="403">
        <f>SUM(SUMIF('Diags Raw Data'!$A$6:$A$4335,"*"&amp;$A140&amp;"*",'Diags Raw Data'!$AA$6:$AA$4335),SUMIF('Diags Raw Data'!$A$6:$A$4335,"*"&amp;$A140&amp;"*",'Diags Raw Data'!$AB$6:$AB$4335))</f>
        <v>0</v>
      </c>
      <c r="R140" s="404">
        <f t="shared" si="75"/>
        <v>0</v>
      </c>
      <c r="S140" s="404">
        <f t="shared" si="76"/>
        <v>0</v>
      </c>
      <c r="T140" s="405">
        <f t="shared" si="77"/>
        <v>0</v>
      </c>
      <c r="U140" s="434" t="s">
        <v>1657</v>
      </c>
    </row>
    <row r="141" spans="1:22" ht="30" x14ac:dyDescent="0.25">
      <c r="A141" s="420" t="s">
        <v>1494</v>
      </c>
      <c r="B141" s="328" t="str">
        <f>VLOOKUP(A141,'Feature Raw Data'!$A$3:$B$4067,2,FALSE)</f>
        <v>GFXHUB:GCUTCL2:ATCL2 - Invalidate by Address Range and VMID aka "Sharpshooting"</v>
      </c>
      <c r="C141" s="271" t="str">
        <f>VLOOKUP(A141,'Feature Raw Data'!$A$3:$C$4067,3,FALSE)</f>
        <v>P2</v>
      </c>
      <c r="D141" s="82" t="str" cm="1">
        <f t="array" ref="D141">_xlfn.TEXTJOIN("",TRUE,IF(ISNUMBER(SEARCH($A141,'Diags Raw Data'!$A$6:$A$4335)),CONCATENATE('Diags Raw Data'!$H$6:$H$4335,", "),""))</f>
        <v xml:space="preserve">mhub269.1-5, </v>
      </c>
      <c r="E141" s="169" t="str">
        <f>VLOOKUP(A141,'Diags Raw Data'!$A$6:$D$4335,4,FALSE)</f>
        <v>GCHUB</v>
      </c>
      <c r="F141" s="169" t="str">
        <f>VLOOKUP(A141,'Feature Raw Data'!$A$3:$E$4067,5,FALSE)</f>
        <v>Legacy</v>
      </c>
      <c r="G141" s="169" t="str">
        <f t="shared" si="78"/>
        <v>Yes</v>
      </c>
      <c r="H141" s="169" t="str">
        <f t="shared" si="73"/>
        <v>Yes</v>
      </c>
      <c r="I141" s="271">
        <f>SUMIF('Diags Raw Data'!$A$6:$A$4335,"*"&amp;$A141&amp;"*",'Diags Raw Data'!$K$6:$K$4335)</f>
        <v>1</v>
      </c>
      <c r="J141" s="179">
        <f>SUMIF('Diags Raw Data'!$A$6:$A$4335,"*"&amp;$A141&amp;"*",'Diags Raw Data'!$L$6:$L$4335)</f>
        <v>5</v>
      </c>
      <c r="K141" s="398" cm="1">
        <f t="array" ref="K141">IF(D141="",0, SUMPRODUCT(--(ISNUMBER(SEARCH($A141,'Diags Raw Data'!$A$6:$A$4335))),'Diags Raw Data'!$L$6:$L$4335,'Diags Raw Data'!$N$6:$N$4335)/J141)</f>
        <v>1</v>
      </c>
      <c r="L141" s="399" cm="1">
        <f t="array" ref="L141">IF(D141="",0, SUMPRODUCT(--(ISNUMBER(SEARCH($A141,'Diags Raw Data'!$A$6:$A$4335))),'Diags Raw Data'!$L$6:$L$4335,'Diags Raw Data'!$P$6:$P$4335)/J141)</f>
        <v>1</v>
      </c>
      <c r="M141" s="400" cm="1">
        <f t="array" ref="M141">SUMPRODUCT(--(ISNUMBER(SEARCH($A141,'Diags Raw Data'!$A$6:$A$4335))),--('Diags Raw Data'!$Q$6:$Q$4335&lt;&gt;"N/A"),'Diags Raw Data'!$R$6:$R$4335)</f>
        <v>5</v>
      </c>
      <c r="N141" s="401" cm="1">
        <f t="array" ref="N141">SUMPRODUCT(--(ISNUMBER(SEARCH($A141,'Diags Raw Data'!$A$6:$A$4335))),--('Diags Raw Data'!$Q$6:$Q$4335&lt;&gt;"N/A"),'Diags Raw Data'!$T$6:$T$4335)+SUMPRODUCT(--(ISNUMBER(SEARCH($A141,'Diags Raw Data'!$A$6:$A$4335))),--('Diags Raw Data'!$Q$6:$Q$4335&lt;&gt;"N/A"),'Diags Raw Data'!$U$6:$U$4335)</f>
        <v>5</v>
      </c>
      <c r="O141" s="428">
        <f t="shared" si="74"/>
        <v>1</v>
      </c>
      <c r="P141" s="402">
        <f>SUMIF('Diags Raw Data'!$A$6:$A$4335,"*"&amp;$A141&amp;"*",'Diags Raw Data'!$Z$6:$Z$4335)</f>
        <v>0</v>
      </c>
      <c r="Q141" s="403">
        <f>SUM(SUMIF('Diags Raw Data'!$A$6:$A$4335,"*"&amp;$A141&amp;"*",'Diags Raw Data'!$AA$6:$AA$4335),SUMIF('Diags Raw Data'!$A$6:$A$4335,"*"&amp;$A141&amp;"*",'Diags Raw Data'!$AB$6:$AB$4335))</f>
        <v>0</v>
      </c>
      <c r="R141" s="404">
        <f t="shared" si="75"/>
        <v>0</v>
      </c>
      <c r="S141" s="404">
        <f t="shared" si="76"/>
        <v>0</v>
      </c>
      <c r="T141" s="405">
        <f t="shared" si="77"/>
        <v>0</v>
      </c>
      <c r="U141" s="434" t="s">
        <v>1659</v>
      </c>
    </row>
    <row r="142" spans="1:22" ht="90" x14ac:dyDescent="0.25">
      <c r="A142" s="420" t="s">
        <v>1496</v>
      </c>
      <c r="B142" s="328" t="str">
        <f>VLOOKUP(A142,'Feature Raw Data'!$A$3:$B$4067,2,FALSE)</f>
        <v>GFXHUB:GCUTCL2:ATCL2 - lightweight/heavyweight flush-type invalidation</v>
      </c>
      <c r="C142" s="271" t="str">
        <f>VLOOKUP(A142,'Feature Raw Data'!$A$3:$C$4067,3,FALSE)</f>
        <v>P2</v>
      </c>
      <c r="D142" s="82" t="str" cm="1">
        <f t="array" ref="D142">_xlfn.TEXTJOIN("",TRUE,IF(ISNUMBER(SEARCH($A142,'Diags Raw Data'!$A$6:$A$4335)),CONCATENATE('Diags Raw Data'!$H$6:$H$4335,", "),""))</f>
        <v xml:space="preserve">mhub264.1,mhub264.3, mhub264.2,mhub264.4, mhub267.1-4, mhub50.1-4, </v>
      </c>
      <c r="E142" s="169" t="str">
        <f>VLOOKUP(A142,'Diags Raw Data'!$A$6:$D$4335,4,FALSE)</f>
        <v>GCHUB</v>
      </c>
      <c r="F142" s="169" t="str">
        <f>VLOOKUP(A142,'Feature Raw Data'!$A$3:$E$4067,5,FALSE)</f>
        <v>Legacy</v>
      </c>
      <c r="G142" s="169" t="str">
        <f t="shared" si="78"/>
        <v>Yes</v>
      </c>
      <c r="H142" s="169" t="str">
        <f t="shared" si="73"/>
        <v>Yes</v>
      </c>
      <c r="I142" s="271">
        <f>SUMIF('Diags Raw Data'!$A$6:$A$4335,"*"&amp;$A142&amp;"*",'Diags Raw Data'!$K$6:$K$4335)</f>
        <v>7</v>
      </c>
      <c r="J142" s="179">
        <f>SUMIF('Diags Raw Data'!$A$6:$A$4335,"*"&amp;$A142&amp;"*",'Diags Raw Data'!$L$6:$L$4335)</f>
        <v>12</v>
      </c>
      <c r="K142" s="398" cm="1">
        <f t="array" ref="K142">IF(D142="",0, SUMPRODUCT(--(ISNUMBER(SEARCH($A142,'Diags Raw Data'!$A$6:$A$4335))),'Diags Raw Data'!$L$6:$L$4335,'Diags Raw Data'!$N$6:$N$4335)/J142)</f>
        <v>1</v>
      </c>
      <c r="L142" s="399" cm="1">
        <f t="array" ref="L142">IF(D142="",0, SUMPRODUCT(--(ISNUMBER(SEARCH($A142,'Diags Raw Data'!$A$6:$A$4335))),'Diags Raw Data'!$L$6:$L$4335,'Diags Raw Data'!$P$6:$P$4335)/J142)</f>
        <v>1</v>
      </c>
      <c r="M142" s="400" cm="1">
        <f t="array" ref="M142">SUMPRODUCT(--(ISNUMBER(SEARCH($A142,'Diags Raw Data'!$A$6:$A$4335))),--('Diags Raw Data'!$Q$6:$Q$4335&lt;&gt;"N/A"),'Diags Raw Data'!$R$6:$R$4335)</f>
        <v>12</v>
      </c>
      <c r="N142" s="401" cm="1">
        <f t="array" ref="N142">SUMPRODUCT(--(ISNUMBER(SEARCH($A142,'Diags Raw Data'!$A$6:$A$4335))),--('Diags Raw Data'!$Q$6:$Q$4335&lt;&gt;"N/A"),'Diags Raw Data'!$T$6:$T$4335)+SUMPRODUCT(--(ISNUMBER(SEARCH($A142,'Diags Raw Data'!$A$6:$A$4335))),--('Diags Raw Data'!$Q$6:$Q$4335&lt;&gt;"N/A"),'Diags Raw Data'!$U$6:$U$4335)</f>
        <v>12</v>
      </c>
      <c r="O142" s="428">
        <f t="shared" si="74"/>
        <v>1</v>
      </c>
      <c r="P142" s="402">
        <f>SUMIF('Diags Raw Data'!$A$6:$A$4335,"*"&amp;$A142&amp;"*",'Diags Raw Data'!$Z$6:$Z$4335)</f>
        <v>0</v>
      </c>
      <c r="Q142" s="403">
        <f>SUM(SUMIF('Diags Raw Data'!$A$6:$A$4335,"*"&amp;$A142&amp;"*",'Diags Raw Data'!$AA$6:$AA$4335),SUMIF('Diags Raw Data'!$A$6:$A$4335,"*"&amp;$A142&amp;"*",'Diags Raw Data'!$AB$6:$AB$4335))</f>
        <v>0</v>
      </c>
      <c r="R142" s="404">
        <f t="shared" si="75"/>
        <v>0</v>
      </c>
      <c r="S142" s="404">
        <f t="shared" si="76"/>
        <v>0</v>
      </c>
      <c r="T142" s="405">
        <f t="shared" si="77"/>
        <v>0</v>
      </c>
      <c r="U142" s="434" t="s">
        <v>1656</v>
      </c>
    </row>
    <row r="143" spans="1:22" ht="120" x14ac:dyDescent="0.25">
      <c r="A143" s="420" t="s">
        <v>1498</v>
      </c>
      <c r="B143" s="328" t="str">
        <f>VLOOKUP(A143,'Feature Raw Data'!$A$3:$B$4067,2,FALSE)</f>
        <v>GFXHUB:GCUTCL2:ATCL2 - Swappable smallK/midk/bigK caches</v>
      </c>
      <c r="C143" s="271" t="str">
        <f>VLOOKUP(A143,'Feature Raw Data'!$A$3:$C$4067,3,FALSE)</f>
        <v>P2</v>
      </c>
      <c r="D143" s="82" t="str" cm="1">
        <f t="array" ref="D143">_xlfn.TEXTJOIN("",TRUE,IF(ISNUMBER(SEARCH($A143,'Diags Raw Data'!$A$6:$A$4335)),CONCATENATE('Diags Raw Data'!$H$6:$H$4335,", "),""))</f>
        <v xml:space="preserve">mhub240.1, mhub240.2, mhub240.3, mhub240.4, mhub240.5, mhub240.6, mhub264.1,mhub264.3, </v>
      </c>
      <c r="E143" s="169" t="str">
        <f>VLOOKUP(A143,'Diags Raw Data'!$A$6:$D$4335,4,FALSE)</f>
        <v>GCHUB</v>
      </c>
      <c r="F143" s="169" t="str">
        <f>VLOOKUP(A143,'Feature Raw Data'!$A$3:$E$4067,5,FALSE)</f>
        <v>Legacy</v>
      </c>
      <c r="G143" s="169" t="str">
        <f t="shared" si="78"/>
        <v>Yes</v>
      </c>
      <c r="H143" s="169" t="str">
        <f t="shared" si="73"/>
        <v>Yes</v>
      </c>
      <c r="I143" s="271">
        <f>SUMIF('Diags Raw Data'!$A$6:$A$4335,"*"&amp;$A143&amp;"*",'Diags Raw Data'!$K$6:$K$4335)</f>
        <v>7</v>
      </c>
      <c r="J143" s="179">
        <f>SUMIF('Diags Raw Data'!$A$6:$A$4335,"*"&amp;$A143&amp;"*",'Diags Raw Data'!$L$6:$L$4335)</f>
        <v>8</v>
      </c>
      <c r="K143" s="398" cm="1">
        <f t="array" ref="K143">IF(D143="",0, SUMPRODUCT(--(ISNUMBER(SEARCH($A143,'Diags Raw Data'!$A$6:$A$4335))),'Diags Raw Data'!$L$6:$L$4335,'Diags Raw Data'!$N$6:$N$4335)/J143)</f>
        <v>1</v>
      </c>
      <c r="L143" s="399" cm="1">
        <f t="array" ref="L143">IF(D143="",0, SUMPRODUCT(--(ISNUMBER(SEARCH($A143,'Diags Raw Data'!$A$6:$A$4335))),'Diags Raw Data'!$L$6:$L$4335,'Diags Raw Data'!$P$6:$P$4335)/J143)</f>
        <v>1</v>
      </c>
      <c r="M143" s="400" cm="1">
        <f t="array" ref="M143">SUMPRODUCT(--(ISNUMBER(SEARCH($A143,'Diags Raw Data'!$A$6:$A$4335))),--('Diags Raw Data'!$Q$6:$Q$4335&lt;&gt;"N/A"),'Diags Raw Data'!$R$6:$R$4335)</f>
        <v>8</v>
      </c>
      <c r="N143" s="401" cm="1">
        <f t="array" ref="N143">SUMPRODUCT(--(ISNUMBER(SEARCH($A143,'Diags Raw Data'!$A$6:$A$4335))),--('Diags Raw Data'!$Q$6:$Q$4335&lt;&gt;"N/A"),'Diags Raw Data'!$T$6:$T$4335)+SUMPRODUCT(--(ISNUMBER(SEARCH($A143,'Diags Raw Data'!$A$6:$A$4335))),--('Diags Raw Data'!$Q$6:$Q$4335&lt;&gt;"N/A"),'Diags Raw Data'!$U$6:$U$4335)</f>
        <v>8</v>
      </c>
      <c r="O143" s="428">
        <f t="shared" si="74"/>
        <v>1</v>
      </c>
      <c r="P143" s="402">
        <f>SUMIF('Diags Raw Data'!$A$6:$A$4335,"*"&amp;$A143&amp;"*",'Diags Raw Data'!$Z$6:$Z$4335)</f>
        <v>0</v>
      </c>
      <c r="Q143" s="403">
        <f>SUM(SUMIF('Diags Raw Data'!$A$6:$A$4335,"*"&amp;$A143&amp;"*",'Diags Raw Data'!$AA$6:$AA$4335),SUMIF('Diags Raw Data'!$A$6:$A$4335,"*"&amp;$A143&amp;"*",'Diags Raw Data'!$AB$6:$AB$4335))</f>
        <v>0</v>
      </c>
      <c r="R143" s="404">
        <f t="shared" si="75"/>
        <v>0</v>
      </c>
      <c r="S143" s="404">
        <f t="shared" si="76"/>
        <v>0</v>
      </c>
      <c r="T143" s="405">
        <f t="shared" si="77"/>
        <v>0</v>
      </c>
      <c r="U143" s="434" t="s">
        <v>1660</v>
      </c>
    </row>
    <row r="144" spans="1:22" x14ac:dyDescent="0.25">
      <c r="A144" s="420" t="s">
        <v>1502</v>
      </c>
      <c r="B144" s="328" t="str">
        <f>VLOOKUP(A144,'Feature Raw Data'!$A$3:$B$4067,2,FALSE)</f>
        <v>GFXHUB:GCUTCL2:ATCL2 - Work queue QoS</v>
      </c>
      <c r="C144" s="271" t="str">
        <f>VLOOKUP(A144,'Feature Raw Data'!$A$3:$C$4067,3,FALSE)</f>
        <v>P2</v>
      </c>
      <c r="D144" s="82" t="str" cm="1">
        <f t="array" ref="D144">_xlfn.TEXTJOIN("",TRUE,IF(ISNUMBER(SEARCH($A144,'Diags Raw Data'!$A$6:$A$4335)),CONCATENATE('Diags Raw Data'!$H$6:$H$4335,", "),""))</f>
        <v xml:space="preserve">mhub340.1, </v>
      </c>
      <c r="E144" s="169" t="str">
        <f>VLOOKUP(A144,'Diags Raw Data'!$A$6:$D$4335,4,FALSE)</f>
        <v>GCHUB</v>
      </c>
      <c r="F144" s="169" t="str">
        <f>VLOOKUP(A144,'Feature Raw Data'!$A$3:$E$4067,5,FALSE)</f>
        <v>Legacy</v>
      </c>
      <c r="G144" s="169" t="str">
        <f t="shared" si="78"/>
        <v>Yes</v>
      </c>
      <c r="H144" s="169" t="str">
        <f t="shared" si="73"/>
        <v>Yes</v>
      </c>
      <c r="I144" s="271">
        <f>SUMIF('Diags Raw Data'!$A$6:$A$4335,"*"&amp;$A144&amp;"*",'Diags Raw Data'!$K$6:$K$4335)</f>
        <v>1</v>
      </c>
      <c r="J144" s="179">
        <f>SUMIF('Diags Raw Data'!$A$6:$A$4335,"*"&amp;$A144&amp;"*",'Diags Raw Data'!$L$6:$L$4335)</f>
        <v>1</v>
      </c>
      <c r="K144" s="398" cm="1">
        <f t="array" ref="K144">IF(D144="",0, SUMPRODUCT(--(ISNUMBER(SEARCH($A144,'Diags Raw Data'!$A$6:$A$4335))),'Diags Raw Data'!$L$6:$L$4335,'Diags Raw Data'!$N$6:$N$4335)/J144)</f>
        <v>1</v>
      </c>
      <c r="L144" s="399" cm="1">
        <f t="array" ref="L144">IF(D144="",0, SUMPRODUCT(--(ISNUMBER(SEARCH($A144,'Diags Raw Data'!$A$6:$A$4335))),'Diags Raw Data'!$L$6:$L$4335,'Diags Raw Data'!$P$6:$P$4335)/J144)</f>
        <v>1</v>
      </c>
      <c r="M144" s="400" cm="1">
        <f t="array" ref="M144">SUMPRODUCT(--(ISNUMBER(SEARCH($A144,'Diags Raw Data'!$A$6:$A$4335))),--('Diags Raw Data'!$Q$6:$Q$4335&lt;&gt;"N/A"),'Diags Raw Data'!$R$6:$R$4335)</f>
        <v>1</v>
      </c>
      <c r="N144" s="401" cm="1">
        <f t="array" ref="N144">SUMPRODUCT(--(ISNUMBER(SEARCH($A144,'Diags Raw Data'!$A$6:$A$4335))),--('Diags Raw Data'!$Q$6:$Q$4335&lt;&gt;"N/A"),'Diags Raw Data'!$T$6:$T$4335)+SUMPRODUCT(--(ISNUMBER(SEARCH($A144,'Diags Raw Data'!$A$6:$A$4335))),--('Diags Raw Data'!$Q$6:$Q$4335&lt;&gt;"N/A"),'Diags Raw Data'!$U$6:$U$4335)</f>
        <v>1</v>
      </c>
      <c r="O144" s="428">
        <f t="shared" si="74"/>
        <v>1</v>
      </c>
      <c r="P144" s="402">
        <f>SUMIF('Diags Raw Data'!$A$6:$A$4335,"*"&amp;$A144&amp;"*",'Diags Raw Data'!$Z$6:$Z$4335)</f>
        <v>0</v>
      </c>
      <c r="Q144" s="403">
        <f>SUM(SUMIF('Diags Raw Data'!$A$6:$A$4335,"*"&amp;$A144&amp;"*",'Diags Raw Data'!$AA$6:$AA$4335),SUMIF('Diags Raw Data'!$A$6:$A$4335,"*"&amp;$A144&amp;"*",'Diags Raw Data'!$AB$6:$AB$4335))</f>
        <v>0</v>
      </c>
      <c r="R144" s="404">
        <f t="shared" si="75"/>
        <v>0</v>
      </c>
      <c r="S144" s="404">
        <f t="shared" si="76"/>
        <v>0</v>
      </c>
      <c r="T144" s="405">
        <f t="shared" si="77"/>
        <v>0</v>
      </c>
      <c r="U144" s="434" t="s">
        <v>1662</v>
      </c>
    </row>
    <row r="145" spans="1:22" ht="45" x14ac:dyDescent="0.25">
      <c r="A145" s="420" t="s">
        <v>1504</v>
      </c>
      <c r="B145" s="328" t="str">
        <f>VLOOKUP(A145,'Feature Raw Data'!$A$3:$B$4067,2,FALSE)</f>
        <v>GFXHUB:GCUTCL2:ATCL2 - Combines both VM and ATC translations into one response</v>
      </c>
      <c r="C145" s="271" t="str">
        <f>VLOOKUP(A145,'Feature Raw Data'!$A$3:$C$4067,3,FALSE)</f>
        <v>P2</v>
      </c>
      <c r="D145" s="82" t="str" cm="1">
        <f t="array" ref="D145">_xlfn.TEXTJOIN("",TRUE,IF(ISNUMBER(SEARCH($A145,'Diags Raw Data'!$A$6:$A$4335)),CONCATENATE('Diags Raw Data'!$H$6:$H$4335,", "),""))</f>
        <v xml:space="preserve">mhub402.1-6,mhub402.11-16,mhub402.21-26, </v>
      </c>
      <c r="E145" s="169" t="str">
        <f>VLOOKUP(A145,'Diags Raw Data'!$A$6:$D$4335,4,FALSE)</f>
        <v>ATHUB</v>
      </c>
      <c r="F145" s="169" t="str">
        <f>VLOOKUP(A145,'Feature Raw Data'!$A$3:$E$4067,5,FALSE)</f>
        <v>Legacy</v>
      </c>
      <c r="G145" s="169" t="str">
        <f t="shared" si="78"/>
        <v>Yes</v>
      </c>
      <c r="H145" s="169" t="str">
        <f t="shared" si="73"/>
        <v>Yes</v>
      </c>
      <c r="I145" s="271">
        <f>SUMIF('Diags Raw Data'!$A$6:$A$4335,"*"&amp;$A145&amp;"*",'Diags Raw Data'!$K$6:$K$4335)</f>
        <v>1</v>
      </c>
      <c r="J145" s="179">
        <f>SUMIF('Diags Raw Data'!$A$6:$A$4335,"*"&amp;$A145&amp;"*",'Diags Raw Data'!$L$6:$L$4335)</f>
        <v>18</v>
      </c>
      <c r="K145" s="398" cm="1">
        <f t="array" ref="K145">IF(D145="",0, SUMPRODUCT(--(ISNUMBER(SEARCH($A145,'Diags Raw Data'!$A$6:$A$4335))),'Diags Raw Data'!$L$6:$L$4335,'Diags Raw Data'!$N$6:$N$4335)/J145)</f>
        <v>1</v>
      </c>
      <c r="L145" s="399" cm="1">
        <f t="array" ref="L145">IF(D145="",0, SUMPRODUCT(--(ISNUMBER(SEARCH($A145,'Diags Raw Data'!$A$6:$A$4335))),'Diags Raw Data'!$L$6:$L$4335,'Diags Raw Data'!$P$6:$P$4335)/J145)</f>
        <v>0</v>
      </c>
      <c r="M145" s="400" cm="1">
        <f t="array" ref="M145">SUMPRODUCT(--(ISNUMBER(SEARCH($A145,'Diags Raw Data'!$A$6:$A$4335))),--('Diags Raw Data'!$Q$6:$Q$4335&lt;&gt;"N/A"),'Diags Raw Data'!$R$6:$R$4335)</f>
        <v>18</v>
      </c>
      <c r="N145" s="401" cm="1">
        <f t="array" ref="N145">SUMPRODUCT(--(ISNUMBER(SEARCH($A145,'Diags Raw Data'!$A$6:$A$4335))),--('Diags Raw Data'!$Q$6:$Q$4335&lt;&gt;"N/A"),'Diags Raw Data'!$T$6:$T$4335)+SUMPRODUCT(--(ISNUMBER(SEARCH($A145,'Diags Raw Data'!$A$6:$A$4335))),--('Diags Raw Data'!$Q$6:$Q$4335&lt;&gt;"N/A"),'Diags Raw Data'!$U$6:$U$4335)</f>
        <v>18</v>
      </c>
      <c r="O145" s="428">
        <f t="shared" si="74"/>
        <v>1</v>
      </c>
      <c r="P145" s="402">
        <f>SUMIF('Diags Raw Data'!$A$6:$A$4335,"*"&amp;$A145&amp;"*",'Diags Raw Data'!$Z$6:$Z$4335)</f>
        <v>0</v>
      </c>
      <c r="Q145" s="403">
        <f>SUM(SUMIF('Diags Raw Data'!$A$6:$A$4335,"*"&amp;$A145&amp;"*",'Diags Raw Data'!$AA$6:$AA$4335),SUMIF('Diags Raw Data'!$A$6:$A$4335,"*"&amp;$A145&amp;"*",'Diags Raw Data'!$AB$6:$AB$4335))</f>
        <v>0</v>
      </c>
      <c r="R145" s="404">
        <f t="shared" si="75"/>
        <v>0</v>
      </c>
      <c r="S145" s="404">
        <f t="shared" si="76"/>
        <v>0</v>
      </c>
      <c r="T145" s="405">
        <f t="shared" si="77"/>
        <v>0</v>
      </c>
      <c r="U145" s="434" t="s">
        <v>1651</v>
      </c>
    </row>
    <row r="146" spans="1:22" ht="30" x14ac:dyDescent="0.25">
      <c r="A146" s="420" t="s">
        <v>1506</v>
      </c>
      <c r="B146" s="328" t="str">
        <f>VLOOKUP(A146,'Feature Raw Data'!$A$3:$B$4067,2,FALSE)</f>
        <v>GFXHUB:GCUTCL2:ATCL2 - PTE permissions returned</v>
      </c>
      <c r="C146" s="271" t="str">
        <f>VLOOKUP(A146,'Feature Raw Data'!$A$3:$C$4067,3,FALSE)</f>
        <v>P2</v>
      </c>
      <c r="D146" s="82" t="str" cm="1">
        <f t="array" ref="D146">_xlfn.TEXTJOIN("",TRUE,IF(ISNUMBER(SEARCH($A146,'Diags Raw Data'!$A$6:$A$4335)),CONCATENATE('Diags Raw Data'!$H$6:$H$4335,", "),""))</f>
        <v xml:space="preserve">mhub341.1, </v>
      </c>
      <c r="E146" s="169" t="str">
        <f>VLOOKUP(A146,'Diags Raw Data'!$A$6:$D$4335,4,FALSE)</f>
        <v>GCHUB</v>
      </c>
      <c r="F146" s="169" t="str">
        <f>VLOOKUP(A146,'Feature Raw Data'!$A$3:$E$4067,5,FALSE)</f>
        <v>Legacy</v>
      </c>
      <c r="G146" s="169" t="str">
        <f t="shared" si="78"/>
        <v>Yes</v>
      </c>
      <c r="H146" s="169" t="str">
        <f t="shared" si="73"/>
        <v>Yes</v>
      </c>
      <c r="I146" s="271">
        <f>SUMIF('Diags Raw Data'!$A$6:$A$4335,"*"&amp;$A146&amp;"*",'Diags Raw Data'!$K$6:$K$4335)</f>
        <v>1</v>
      </c>
      <c r="J146" s="179">
        <f>SUMIF('Diags Raw Data'!$A$6:$A$4335,"*"&amp;$A146&amp;"*",'Diags Raw Data'!$L$6:$L$4335)</f>
        <v>1</v>
      </c>
      <c r="K146" s="398" cm="1">
        <f t="array" ref="K146">IF(D146="",0, SUMPRODUCT(--(ISNUMBER(SEARCH($A146,'Diags Raw Data'!$A$6:$A$4335))),'Diags Raw Data'!$L$6:$L$4335,'Diags Raw Data'!$N$6:$N$4335)/J146)</f>
        <v>1</v>
      </c>
      <c r="L146" s="399" cm="1">
        <f t="array" ref="L146">IF(D146="",0, SUMPRODUCT(--(ISNUMBER(SEARCH($A146,'Diags Raw Data'!$A$6:$A$4335))),'Diags Raw Data'!$L$6:$L$4335,'Diags Raw Data'!$P$6:$P$4335)/J146)</f>
        <v>1</v>
      </c>
      <c r="M146" s="400" cm="1">
        <f t="array" ref="M146">SUMPRODUCT(--(ISNUMBER(SEARCH($A146,'Diags Raw Data'!$A$6:$A$4335))),--('Diags Raw Data'!$Q$6:$Q$4335&lt;&gt;"N/A"),'Diags Raw Data'!$R$6:$R$4335)</f>
        <v>1</v>
      </c>
      <c r="N146" s="401" cm="1">
        <f t="array" ref="N146">SUMPRODUCT(--(ISNUMBER(SEARCH($A146,'Diags Raw Data'!$A$6:$A$4335))),--('Diags Raw Data'!$Q$6:$Q$4335&lt;&gt;"N/A"),'Diags Raw Data'!$T$6:$T$4335)+SUMPRODUCT(--(ISNUMBER(SEARCH($A146,'Diags Raw Data'!$A$6:$A$4335))),--('Diags Raw Data'!$Q$6:$Q$4335&lt;&gt;"N/A"),'Diags Raw Data'!$U$6:$U$4335)</f>
        <v>1</v>
      </c>
      <c r="O146" s="428">
        <f t="shared" si="74"/>
        <v>1</v>
      </c>
      <c r="P146" s="402">
        <f>SUMIF('Diags Raw Data'!$A$6:$A$4335,"*"&amp;$A146&amp;"*",'Diags Raw Data'!$Z$6:$Z$4335)</f>
        <v>0</v>
      </c>
      <c r="Q146" s="403">
        <f>SUM(SUMIF('Diags Raw Data'!$A$6:$A$4335,"*"&amp;$A146&amp;"*",'Diags Raw Data'!$AA$6:$AA$4335),SUMIF('Diags Raw Data'!$A$6:$A$4335,"*"&amp;$A146&amp;"*",'Diags Raw Data'!$AB$6:$AB$4335))</f>
        <v>0</v>
      </c>
      <c r="R146" s="404">
        <f t="shared" si="75"/>
        <v>0</v>
      </c>
      <c r="S146" s="404">
        <f t="shared" si="76"/>
        <v>0</v>
      </c>
      <c r="T146" s="405">
        <f t="shared" si="77"/>
        <v>0</v>
      </c>
      <c r="U146" s="434" t="s">
        <v>1662</v>
      </c>
    </row>
    <row r="147" spans="1:22" ht="45" x14ac:dyDescent="0.25">
      <c r="A147" s="420" t="s">
        <v>1508</v>
      </c>
      <c r="B147" s="328" t="str">
        <f>VLOOKUP(A147,'Feature Raw Data'!$A$3:$B$4067,2,FALSE)</f>
        <v>GFXHUB:GCUTCL2:ATCL2 - Quiesce ATCL2 &lt;-&gt; ATHUB address translation SDP interface (GC and MM</v>
      </c>
      <c r="C147" s="271" t="str">
        <f>VLOOKUP(A147,'Feature Raw Data'!$A$3:$C$4067,3,FALSE)</f>
        <v>P2</v>
      </c>
      <c r="D147" s="82" t="str" cm="1">
        <f t="array" ref="D147">_xlfn.TEXTJOIN("",TRUE,IF(ISNUMBER(SEARCH($A147,'Diags Raw Data'!$A$6:$A$4335)),CONCATENATE('Diags Raw Data'!$H$6:$H$4335,", "),""))</f>
        <v/>
      </c>
      <c r="E147" s="169" t="e">
        <f>VLOOKUP(A147,'Diags Raw Data'!$A$6:$D$4335,4,FALSE)</f>
        <v>#N/A</v>
      </c>
      <c r="F147" s="169" t="str">
        <f>VLOOKUP(A147,'Feature Raw Data'!$A$3:$E$4067,5,FALSE)</f>
        <v>Legacy</v>
      </c>
      <c r="G147" s="169" t="str">
        <f t="shared" ref="G147:G152" si="79">IF(D147="","No","Yes")</f>
        <v>No</v>
      </c>
      <c r="H147" s="169" t="str">
        <f t="shared" ref="H147:H152" si="80">IF(D147="","No","Yes")</f>
        <v>No</v>
      </c>
      <c r="I147" s="271">
        <f>SUMIF('Diags Raw Data'!$A$6:$A$4335,"*"&amp;$A147&amp;"*",'Diags Raw Data'!$K$6:$K$4335)</f>
        <v>0</v>
      </c>
      <c r="J147" s="179">
        <f>SUMIF('Diags Raw Data'!$A$6:$A$4335,"*"&amp;$A147&amp;"*",'Diags Raw Data'!$L$6:$L$4335)</f>
        <v>0</v>
      </c>
      <c r="K147" s="398" cm="1">
        <f t="array" ref="K147">IF(D147="",0, SUMPRODUCT(--(ISNUMBER(SEARCH($A147,'Diags Raw Data'!$A$6:$A$4335))),'Diags Raw Data'!$L$6:$L$4335,'Diags Raw Data'!$N$6:$N$4335)/J147)</f>
        <v>0</v>
      </c>
      <c r="L147" s="399" cm="1">
        <f t="array" ref="L147">IF(D147="",0, SUMPRODUCT(--(ISNUMBER(SEARCH($A147,'Diags Raw Data'!$A$6:$A$4335))),'Diags Raw Data'!$L$6:$L$4335,'Diags Raw Data'!$P$6:$P$4335)/J147)</f>
        <v>0</v>
      </c>
      <c r="M147" s="400" cm="1">
        <f t="array" ref="M147">SUMPRODUCT(--(ISNUMBER(SEARCH($A147,'Diags Raw Data'!$A$6:$A$4335))),--('Diags Raw Data'!$Q$6:$Q$4335&lt;&gt;"N/A"),'Diags Raw Data'!$R$6:$R$4335)</f>
        <v>0</v>
      </c>
      <c r="N147" s="401" cm="1">
        <f t="array" ref="N147">SUMPRODUCT(--(ISNUMBER(SEARCH($A147,'Diags Raw Data'!$A$6:$A$4335))),--('Diags Raw Data'!$Q$6:$Q$4335&lt;&gt;"N/A"),'Diags Raw Data'!$T$6:$T$4335)+SUMPRODUCT(--(ISNUMBER(SEARCH($A147,'Diags Raw Data'!$A$6:$A$4335))),--('Diags Raw Data'!$Q$6:$Q$4335&lt;&gt;"N/A"),'Diags Raw Data'!$U$6:$U$4335)</f>
        <v>0</v>
      </c>
      <c r="O147" s="428">
        <f t="shared" ref="O147:O152" si="81">IF((M147=0),0,N147/M147)</f>
        <v>0</v>
      </c>
      <c r="P147" s="402">
        <f>SUMIF('Diags Raw Data'!$A$6:$A$4335,"*"&amp;$A147&amp;"*",'Diags Raw Data'!$Z$6:$Z$4335)</f>
        <v>0</v>
      </c>
      <c r="Q147" s="403">
        <f>SUM(SUMIF('Diags Raw Data'!$A$6:$A$4335,"*"&amp;$A147&amp;"*",'Diags Raw Data'!$AA$6:$AA$4335),SUMIF('Diags Raw Data'!$A$6:$A$4335,"*"&amp;$A147&amp;"*",'Diags Raw Data'!$AB$6:$AB$4335))</f>
        <v>0</v>
      </c>
      <c r="R147" s="404">
        <f t="shared" ref="R147:R152" si="82">IF((J147=0),0,P147/J147)</f>
        <v>0</v>
      </c>
      <c r="S147" s="404">
        <f t="shared" ref="S147:S152" si="83">IF((P147=0),0,Q147/P147)</f>
        <v>0</v>
      </c>
      <c r="T147" s="405">
        <f t="shared" ref="T147:T152" si="84">R147*S147</f>
        <v>0</v>
      </c>
      <c r="U147" s="434" t="s">
        <v>44</v>
      </c>
      <c r="V147" s="171" t="s">
        <v>43</v>
      </c>
    </row>
    <row r="148" spans="1:22" x14ac:dyDescent="0.25">
      <c r="A148" s="420" t="s">
        <v>1514</v>
      </c>
      <c r="B148" s="328" t="str">
        <f>VLOOKUP(A148,'Feature Raw Data'!$A$3:$B$4067,2,FALSE)</f>
        <v>GFXHUB:MAM - Configuration Registers</v>
      </c>
      <c r="C148" s="271" t="str">
        <f>VLOOKUP(A148,'Feature Raw Data'!$A$3:$C$4067,3,FALSE)</f>
        <v>N/A</v>
      </c>
      <c r="D148" s="82" t="str" cm="1">
        <f t="array" ref="D148">_xlfn.TEXTJOIN("",TRUE,IF(ISNUMBER(SEARCH($A148,'Diags Raw Data'!$A$6:$A$4335)),CONCATENATE('Diags Raw Data'!$H$6:$H$4335,", "),""))</f>
        <v/>
      </c>
      <c r="E148" s="169" t="e">
        <f>VLOOKUP(A148,'Diags Raw Data'!$A$6:$D$4335,4,FALSE)</f>
        <v>#N/A</v>
      </c>
      <c r="F148" s="169" t="str">
        <f>VLOOKUP(A148,'Feature Raw Data'!$A$3:$E$4067,5,FALSE)</f>
        <v>Legacy</v>
      </c>
      <c r="G148" s="169" t="str">
        <f t="shared" si="79"/>
        <v>No</v>
      </c>
      <c r="H148" s="169" t="str">
        <f t="shared" si="80"/>
        <v>No</v>
      </c>
      <c r="I148" s="271">
        <f>SUMIF('Diags Raw Data'!$A$6:$A$4335,"*"&amp;$A148&amp;"*",'Diags Raw Data'!$K$6:$K$4335)</f>
        <v>0</v>
      </c>
      <c r="J148" s="179">
        <f>SUMIF('Diags Raw Data'!$A$6:$A$4335,"*"&amp;$A148&amp;"*",'Diags Raw Data'!$L$6:$L$4335)</f>
        <v>0</v>
      </c>
      <c r="K148" s="398" cm="1">
        <f t="array" ref="K148">IF(D148="",0, SUMPRODUCT(--(ISNUMBER(SEARCH($A148,'Diags Raw Data'!$A$6:$A$4335))),'Diags Raw Data'!$L$6:$L$4335,'Diags Raw Data'!$N$6:$N$4335)/J148)</f>
        <v>0</v>
      </c>
      <c r="L148" s="399" cm="1">
        <f t="array" ref="L148">IF(D148="",0, SUMPRODUCT(--(ISNUMBER(SEARCH($A148,'Diags Raw Data'!$A$6:$A$4335))),'Diags Raw Data'!$L$6:$L$4335,'Diags Raw Data'!$P$6:$P$4335)/J148)</f>
        <v>0</v>
      </c>
      <c r="M148" s="400" cm="1">
        <f t="array" ref="M148">SUMPRODUCT(--(ISNUMBER(SEARCH($A148,'Diags Raw Data'!$A$6:$A$4335))),--('Diags Raw Data'!$Q$6:$Q$4335&lt;&gt;"N/A"),'Diags Raw Data'!$R$6:$R$4335)</f>
        <v>0</v>
      </c>
      <c r="N148" s="401" cm="1">
        <f t="array" ref="N148">SUMPRODUCT(--(ISNUMBER(SEARCH($A148,'Diags Raw Data'!$A$6:$A$4335))),--('Diags Raw Data'!$Q$6:$Q$4335&lt;&gt;"N/A"),'Diags Raw Data'!$T$6:$T$4335)+SUMPRODUCT(--(ISNUMBER(SEARCH($A148,'Diags Raw Data'!$A$6:$A$4335))),--('Diags Raw Data'!$Q$6:$Q$4335&lt;&gt;"N/A"),'Diags Raw Data'!$U$6:$U$4335)</f>
        <v>0</v>
      </c>
      <c r="O148" s="428">
        <f t="shared" si="81"/>
        <v>0</v>
      </c>
      <c r="P148" s="402">
        <f>SUMIF('Diags Raw Data'!$A$6:$A$4335,"*"&amp;$A148&amp;"*",'Diags Raw Data'!$Z$6:$Z$4335)</f>
        <v>0</v>
      </c>
      <c r="Q148" s="403">
        <f>SUM(SUMIF('Diags Raw Data'!$A$6:$A$4335,"*"&amp;$A148&amp;"*",'Diags Raw Data'!$AA$6:$AA$4335),SUMIF('Diags Raw Data'!$A$6:$A$4335,"*"&amp;$A148&amp;"*",'Diags Raw Data'!$AB$6:$AB$4335))</f>
        <v>0</v>
      </c>
      <c r="R148" s="404">
        <f t="shared" si="82"/>
        <v>0</v>
      </c>
      <c r="S148" s="404">
        <f t="shared" si="83"/>
        <v>0</v>
      </c>
      <c r="T148" s="405">
        <f t="shared" si="84"/>
        <v>0</v>
      </c>
      <c r="U148" s="434" t="s">
        <v>44</v>
      </c>
      <c r="V148" s="171" t="s">
        <v>43</v>
      </c>
    </row>
    <row r="149" spans="1:22" x14ac:dyDescent="0.25">
      <c r="A149" s="420" t="s">
        <v>1131</v>
      </c>
      <c r="B149" s="328" t="str">
        <f>VLOOKUP(A149,'Feature Raw Data'!$A$3:$B$4067,2,FALSE)</f>
        <v>GFXHUB:GCEA - Physical Addressing</v>
      </c>
      <c r="C149" s="271" t="str">
        <f>VLOOKUP(A149,'Feature Raw Data'!$A$3:$C$4067,3,FALSE)</f>
        <v>P2</v>
      </c>
      <c r="D149" s="82" t="str" cm="1">
        <f t="array" ref="D149">_xlfn.TEXTJOIN("",TRUE,IF(ISNUMBER(SEARCH($A149,'Diags Raw Data'!$A$6:$A$4335)),CONCATENATE('Diags Raw Data'!$H$6:$H$4335,", "),""))</f>
        <v/>
      </c>
      <c r="E149" s="169" t="e">
        <f>VLOOKUP(A149,'Diags Raw Data'!$A$6:$D$4335,4,FALSE)</f>
        <v>#N/A</v>
      </c>
      <c r="F149" s="169" t="str">
        <f>VLOOKUP(A149,'Feature Raw Data'!$A$3:$E$4067,5,FALSE)</f>
        <v>Legacy</v>
      </c>
      <c r="G149" s="169" t="s">
        <v>31</v>
      </c>
      <c r="H149" s="169" t="str">
        <f>IF(D149="","No","Yes")</f>
        <v>No</v>
      </c>
      <c r="I149" s="271">
        <f>SUMIF('Diags Raw Data'!$A$6:$A$4335,"*"&amp;$A149&amp;"*",'Diags Raw Data'!$K$6:$K$4335)</f>
        <v>0</v>
      </c>
      <c r="J149" s="179">
        <f>SUMIF('Diags Raw Data'!$A$6:$A$4335,"*"&amp;$A149&amp;"*",'Diags Raw Data'!$L$6:$L$4335)</f>
        <v>0</v>
      </c>
      <c r="K149" s="398" cm="1">
        <f t="array" ref="K149">IF(D149="",0, SUMPRODUCT(--(ISNUMBER(SEARCH($A149,'Diags Raw Data'!$A$6:$A$4335))),'Diags Raw Data'!$L$6:$L$4335,'Diags Raw Data'!$N$6:$N$4335)/J149)</f>
        <v>0</v>
      </c>
      <c r="L149" s="399" cm="1">
        <f t="array" ref="L149">IF(D149="",0, SUMPRODUCT(--(ISNUMBER(SEARCH($A149,'Diags Raw Data'!$A$6:$A$4335))),'Diags Raw Data'!$L$6:$L$4335,'Diags Raw Data'!$P$6:$P$4335)/J149)</f>
        <v>0</v>
      </c>
      <c r="M149" s="400" cm="1">
        <f t="array" ref="M149">SUMPRODUCT(--(ISNUMBER(SEARCH($A149,'Diags Raw Data'!$A$6:$A$4335))),--('Diags Raw Data'!$Q$6:$Q$4335&lt;&gt;"N/A"),'Diags Raw Data'!$R$6:$R$4335)</f>
        <v>0</v>
      </c>
      <c r="N149" s="401" cm="1">
        <f t="array" ref="N149">SUMPRODUCT(--(ISNUMBER(SEARCH($A149,'Diags Raw Data'!$A$6:$A$4335))),--('Diags Raw Data'!$Q$6:$Q$4335&lt;&gt;"N/A"),'Diags Raw Data'!$T$6:$T$4335)+SUMPRODUCT(--(ISNUMBER(SEARCH($A149,'Diags Raw Data'!$A$6:$A$4335))),--('Diags Raw Data'!$Q$6:$Q$4335&lt;&gt;"N/A"),'Diags Raw Data'!$U$6:$U$4335)</f>
        <v>0</v>
      </c>
      <c r="O149" s="428">
        <f t="shared" si="81"/>
        <v>0</v>
      </c>
      <c r="P149" s="402">
        <f>SUMIF('Diags Raw Data'!$A$6:$A$4335,"*"&amp;$A149&amp;"*",'Diags Raw Data'!$Z$6:$Z$4335)</f>
        <v>0</v>
      </c>
      <c r="Q149" s="403">
        <f>SUM(SUMIF('Diags Raw Data'!$A$6:$A$4335,"*"&amp;$A149&amp;"*",'Diags Raw Data'!$AA$6:$AA$4335),SUMIF('Diags Raw Data'!$A$6:$A$4335,"*"&amp;$A149&amp;"*",'Diags Raw Data'!$AB$6:$AB$4335))</f>
        <v>0</v>
      </c>
      <c r="R149" s="404">
        <f t="shared" si="82"/>
        <v>0</v>
      </c>
      <c r="S149" s="404">
        <f t="shared" si="83"/>
        <v>0</v>
      </c>
      <c r="T149" s="405">
        <f t="shared" si="84"/>
        <v>0</v>
      </c>
      <c r="U149" s="434" t="s">
        <v>44</v>
      </c>
      <c r="V149" s="171" t="s">
        <v>1520</v>
      </c>
    </row>
    <row r="150" spans="1:22" ht="30" x14ac:dyDescent="0.25">
      <c r="A150" s="420" t="s">
        <v>1521</v>
      </c>
      <c r="B150" s="328" t="str">
        <f>VLOOKUP(A150,'Feature Raw Data'!$A$3:$B$4067,2,FALSE)</f>
        <v>GFXHUB:GCEA - Data bus</v>
      </c>
      <c r="C150" s="271" t="str">
        <f>VLOOKUP(A150,'Feature Raw Data'!$A$3:$C$4067,3,FALSE)</f>
        <v>P2</v>
      </c>
      <c r="D150" s="82" t="str" cm="1">
        <f t="array" ref="D150">_xlfn.TEXTJOIN("",TRUE,IF(ISNUMBER(SEARCH($A150,'Diags Raw Data'!$A$6:$A$4335)),CONCATENATE('Diags Raw Data'!$H$6:$H$4335,", "),""))</f>
        <v xml:space="preserve">mhub311.1-4, </v>
      </c>
      <c r="E150" s="169" t="str">
        <f>VLOOKUP(A150,'Diags Raw Data'!$A$6:$D$4335,4,FALSE)</f>
        <v>GCHUB</v>
      </c>
      <c r="F150" s="169" t="str">
        <f>VLOOKUP(A150,'Feature Raw Data'!$A$3:$E$4067,5,FALSE)</f>
        <v>Legacy</v>
      </c>
      <c r="G150" s="169" t="str">
        <f t="shared" si="79"/>
        <v>Yes</v>
      </c>
      <c r="H150" s="169" t="str">
        <f t="shared" si="80"/>
        <v>Yes</v>
      </c>
      <c r="I150" s="271">
        <f>SUMIF('Diags Raw Data'!$A$6:$A$4335,"*"&amp;$A150&amp;"*",'Diags Raw Data'!$K$6:$K$4335)</f>
        <v>1</v>
      </c>
      <c r="J150" s="179">
        <f>SUMIF('Diags Raw Data'!$A$6:$A$4335,"*"&amp;$A150&amp;"*",'Diags Raw Data'!$L$6:$L$4335)</f>
        <v>4</v>
      </c>
      <c r="K150" s="398" cm="1">
        <f t="array" ref="K150">IF(D150="",0, SUMPRODUCT(--(ISNUMBER(SEARCH($A150,'Diags Raw Data'!$A$6:$A$4335))),'Diags Raw Data'!$L$6:$L$4335,'Diags Raw Data'!$N$6:$N$4335)/J150)</f>
        <v>1</v>
      </c>
      <c r="L150" s="399" cm="1">
        <f t="array" ref="L150">IF(D150="",0, SUMPRODUCT(--(ISNUMBER(SEARCH($A150,'Diags Raw Data'!$A$6:$A$4335))),'Diags Raw Data'!$L$6:$L$4335,'Diags Raw Data'!$P$6:$P$4335)/J150)</f>
        <v>1</v>
      </c>
      <c r="M150" s="400" cm="1">
        <f t="array" ref="M150">SUMPRODUCT(--(ISNUMBER(SEARCH($A150,'Diags Raw Data'!$A$6:$A$4335))),--('Diags Raw Data'!$Q$6:$Q$4335&lt;&gt;"N/A"),'Diags Raw Data'!$R$6:$R$4335)</f>
        <v>4</v>
      </c>
      <c r="N150" s="401" cm="1">
        <f t="array" ref="N150">SUMPRODUCT(--(ISNUMBER(SEARCH($A150,'Diags Raw Data'!$A$6:$A$4335))),--('Diags Raw Data'!$Q$6:$Q$4335&lt;&gt;"N/A"),'Diags Raw Data'!$T$6:$T$4335)+SUMPRODUCT(--(ISNUMBER(SEARCH($A150,'Diags Raw Data'!$A$6:$A$4335))),--('Diags Raw Data'!$Q$6:$Q$4335&lt;&gt;"N/A"),'Diags Raw Data'!$U$6:$U$4335)</f>
        <v>4</v>
      </c>
      <c r="O150" s="428">
        <f t="shared" si="81"/>
        <v>1</v>
      </c>
      <c r="P150" s="402">
        <f>SUMIF('Diags Raw Data'!$A$6:$A$4335,"*"&amp;$A150&amp;"*",'Diags Raw Data'!$Z$6:$Z$4335)</f>
        <v>0</v>
      </c>
      <c r="Q150" s="403">
        <f>SUM(SUMIF('Diags Raw Data'!$A$6:$A$4335,"*"&amp;$A150&amp;"*",'Diags Raw Data'!$AA$6:$AA$4335),SUMIF('Diags Raw Data'!$A$6:$A$4335,"*"&amp;$A150&amp;"*",'Diags Raw Data'!$AB$6:$AB$4335))</f>
        <v>0</v>
      </c>
      <c r="R150" s="404">
        <f t="shared" si="82"/>
        <v>0</v>
      </c>
      <c r="S150" s="404">
        <f t="shared" si="83"/>
        <v>0</v>
      </c>
      <c r="T150" s="405">
        <f t="shared" si="84"/>
        <v>0</v>
      </c>
      <c r="U150" s="434" t="s">
        <v>1655</v>
      </c>
    </row>
    <row r="151" spans="1:22" ht="30" x14ac:dyDescent="0.25">
      <c r="A151" s="420" t="s">
        <v>1523</v>
      </c>
      <c r="B151" s="328" t="str">
        <f>VLOOKUP(A151,'Feature Raw Data'!$A$3:$B$4067,2,FALSE)</f>
        <v>GFXHUB:GCEA - Number of GCEAs Supported</v>
      </c>
      <c r="C151" s="271" t="str">
        <f>VLOOKUP(A151,'Feature Raw Data'!$A$3:$C$4067,3,FALSE)</f>
        <v>P2</v>
      </c>
      <c r="D151" s="82" t="str" cm="1">
        <f t="array" ref="D151">_xlfn.TEXTJOIN("",TRUE,IF(ISNUMBER(SEARCH($A151,'Diags Raw Data'!$A$6:$A$4335)),CONCATENATE('Diags Raw Data'!$H$6:$H$4335,", "),""))</f>
        <v xml:space="preserve">mhub311.1-4, </v>
      </c>
      <c r="E151" s="169" t="str">
        <f>VLOOKUP(A151,'Diags Raw Data'!$A$6:$D$4335,4,FALSE)</f>
        <v>GCHUB</v>
      </c>
      <c r="F151" s="169" t="str">
        <f>VLOOKUP(A151,'Feature Raw Data'!$A$3:$E$4067,5,FALSE)</f>
        <v>Legacy</v>
      </c>
      <c r="G151" s="169" t="str">
        <f t="shared" si="79"/>
        <v>Yes</v>
      </c>
      <c r="H151" s="169" t="str">
        <f t="shared" si="80"/>
        <v>Yes</v>
      </c>
      <c r="I151" s="271">
        <f>SUMIF('Diags Raw Data'!$A$6:$A$4335,"*"&amp;$A151&amp;"*",'Diags Raw Data'!$K$6:$K$4335)</f>
        <v>1</v>
      </c>
      <c r="J151" s="179">
        <f>SUMIF('Diags Raw Data'!$A$6:$A$4335,"*"&amp;$A151&amp;"*",'Diags Raw Data'!$L$6:$L$4335)</f>
        <v>4</v>
      </c>
      <c r="K151" s="398" cm="1">
        <f t="array" ref="K151">IF(D151="",0, SUMPRODUCT(--(ISNUMBER(SEARCH($A151,'Diags Raw Data'!$A$6:$A$4335))),'Diags Raw Data'!$L$6:$L$4335,'Diags Raw Data'!$N$6:$N$4335)/J151)</f>
        <v>1</v>
      </c>
      <c r="L151" s="399" cm="1">
        <f t="array" ref="L151">IF(D151="",0, SUMPRODUCT(--(ISNUMBER(SEARCH($A151,'Diags Raw Data'!$A$6:$A$4335))),'Diags Raw Data'!$L$6:$L$4335,'Diags Raw Data'!$P$6:$P$4335)/J151)</f>
        <v>1</v>
      </c>
      <c r="M151" s="400" cm="1">
        <f t="array" ref="M151">SUMPRODUCT(--(ISNUMBER(SEARCH($A151,'Diags Raw Data'!$A$6:$A$4335))),--('Diags Raw Data'!$Q$6:$Q$4335&lt;&gt;"N/A"),'Diags Raw Data'!$R$6:$R$4335)</f>
        <v>4</v>
      </c>
      <c r="N151" s="401" cm="1">
        <f t="array" ref="N151">SUMPRODUCT(--(ISNUMBER(SEARCH($A151,'Diags Raw Data'!$A$6:$A$4335))),--('Diags Raw Data'!$Q$6:$Q$4335&lt;&gt;"N/A"),'Diags Raw Data'!$T$6:$T$4335)+SUMPRODUCT(--(ISNUMBER(SEARCH($A151,'Diags Raw Data'!$A$6:$A$4335))),--('Diags Raw Data'!$Q$6:$Q$4335&lt;&gt;"N/A"),'Diags Raw Data'!$U$6:$U$4335)</f>
        <v>4</v>
      </c>
      <c r="O151" s="428">
        <f t="shared" si="81"/>
        <v>1</v>
      </c>
      <c r="P151" s="402">
        <f>SUMIF('Diags Raw Data'!$A$6:$A$4335,"*"&amp;$A151&amp;"*",'Diags Raw Data'!$Z$6:$Z$4335)</f>
        <v>0</v>
      </c>
      <c r="Q151" s="403">
        <f>SUM(SUMIF('Diags Raw Data'!$A$6:$A$4335,"*"&amp;$A151&amp;"*",'Diags Raw Data'!$AA$6:$AA$4335),SUMIF('Diags Raw Data'!$A$6:$A$4335,"*"&amp;$A151&amp;"*",'Diags Raw Data'!$AB$6:$AB$4335))</f>
        <v>0</v>
      </c>
      <c r="R151" s="404">
        <f t="shared" si="82"/>
        <v>0</v>
      </c>
      <c r="S151" s="404">
        <f t="shared" si="83"/>
        <v>0</v>
      </c>
      <c r="T151" s="405">
        <f t="shared" si="84"/>
        <v>0</v>
      </c>
      <c r="U151" s="434" t="s">
        <v>1655</v>
      </c>
    </row>
    <row r="152" spans="1:22" x14ac:dyDescent="0.25">
      <c r="A152" s="420" t="s">
        <v>1525</v>
      </c>
      <c r="B152" s="328" t="str">
        <f>VLOOKUP(A152,'Feature Raw Data'!$A$3:$B$4067,2,FALSE)</f>
        <v>GFXHUB:GCEA - Safe TDR</v>
      </c>
      <c r="C152" s="271" t="str">
        <f>VLOOKUP(A152,'Feature Raw Data'!$A$3:$C$4067,3,FALSE)</f>
        <v>P2</v>
      </c>
      <c r="D152" s="82" t="str" cm="1">
        <f t="array" ref="D152">_xlfn.TEXTJOIN("",TRUE,IF(ISNUMBER(SEARCH($A152,'Diags Raw Data'!$A$6:$A$4335)),CONCATENATE('Diags Raw Data'!$H$6:$H$4335,", "),""))</f>
        <v/>
      </c>
      <c r="E152" s="169" t="e">
        <f>VLOOKUP(A152,'Diags Raw Data'!$A$6:$D$4335,4,FALSE)</f>
        <v>#N/A</v>
      </c>
      <c r="F152" s="169" t="str">
        <f>VLOOKUP(A152,'Feature Raw Data'!$A$3:$E$4067,5,FALSE)</f>
        <v>Legacy</v>
      </c>
      <c r="G152" s="169" t="str">
        <f t="shared" si="79"/>
        <v>No</v>
      </c>
      <c r="H152" s="169" t="str">
        <f t="shared" si="80"/>
        <v>No</v>
      </c>
      <c r="I152" s="271">
        <f>SUMIF('Diags Raw Data'!$A$6:$A$4335,"*"&amp;$A152&amp;"*",'Diags Raw Data'!$K$6:$K$4335)</f>
        <v>0</v>
      </c>
      <c r="J152" s="179">
        <f>SUMIF('Diags Raw Data'!$A$6:$A$4335,"*"&amp;$A152&amp;"*",'Diags Raw Data'!$L$6:$L$4335)</f>
        <v>0</v>
      </c>
      <c r="K152" s="398" cm="1">
        <f t="array" ref="K152">IF(D152="",0, SUMPRODUCT(--(ISNUMBER(SEARCH($A152,'Diags Raw Data'!$A$6:$A$4335))),'Diags Raw Data'!$L$6:$L$4335,'Diags Raw Data'!$N$6:$N$4335)/J152)</f>
        <v>0</v>
      </c>
      <c r="L152" s="399" cm="1">
        <f t="array" ref="L152">IF(D152="",0, SUMPRODUCT(--(ISNUMBER(SEARCH($A152,'Diags Raw Data'!$A$6:$A$4335))),'Diags Raw Data'!$L$6:$L$4335,'Diags Raw Data'!$P$6:$P$4335)/J152)</f>
        <v>0</v>
      </c>
      <c r="M152" s="400" cm="1">
        <f t="array" ref="M152">SUMPRODUCT(--(ISNUMBER(SEARCH($A152,'Diags Raw Data'!$A$6:$A$4335))),--('Diags Raw Data'!$Q$6:$Q$4335&lt;&gt;"N/A"),'Diags Raw Data'!$R$6:$R$4335)</f>
        <v>0</v>
      </c>
      <c r="N152" s="401" cm="1">
        <f t="array" ref="N152">SUMPRODUCT(--(ISNUMBER(SEARCH($A152,'Diags Raw Data'!$A$6:$A$4335))),--('Diags Raw Data'!$Q$6:$Q$4335&lt;&gt;"N/A"),'Diags Raw Data'!$T$6:$T$4335)+SUMPRODUCT(--(ISNUMBER(SEARCH($A152,'Diags Raw Data'!$A$6:$A$4335))),--('Diags Raw Data'!$Q$6:$Q$4335&lt;&gt;"N/A"),'Diags Raw Data'!$U$6:$U$4335)</f>
        <v>0</v>
      </c>
      <c r="O152" s="428">
        <f t="shared" si="81"/>
        <v>0</v>
      </c>
      <c r="P152" s="402">
        <f>SUMIF('Diags Raw Data'!$A$6:$A$4335,"*"&amp;$A152&amp;"*",'Diags Raw Data'!$Z$6:$Z$4335)</f>
        <v>0</v>
      </c>
      <c r="Q152" s="403">
        <f>SUM(SUMIF('Diags Raw Data'!$A$6:$A$4335,"*"&amp;$A152&amp;"*",'Diags Raw Data'!$AA$6:$AA$4335),SUMIF('Diags Raw Data'!$A$6:$A$4335,"*"&amp;$A152&amp;"*",'Diags Raw Data'!$AB$6:$AB$4335))</f>
        <v>0</v>
      </c>
      <c r="R152" s="404">
        <f t="shared" si="82"/>
        <v>0</v>
      </c>
      <c r="S152" s="404">
        <f t="shared" si="83"/>
        <v>0</v>
      </c>
      <c r="T152" s="405">
        <f t="shared" si="84"/>
        <v>0</v>
      </c>
      <c r="U152" s="434" t="s">
        <v>44</v>
      </c>
      <c r="V152" s="171" t="s">
        <v>43</v>
      </c>
    </row>
    <row r="153" spans="1:22" ht="30" x14ac:dyDescent="0.25">
      <c r="A153" s="420" t="s">
        <v>1133</v>
      </c>
      <c r="B153" s="328" t="str">
        <f>VLOOKUP(A153,'Feature Raw Data'!$A$3:$B$4067,2,FALSE)</f>
        <v>GFXHUB:GCEA - Programmable security level on SDP per client</v>
      </c>
      <c r="C153" s="271" t="str">
        <f>VLOOKUP(A153,'Feature Raw Data'!$A$3:$C$4067,3,FALSE)</f>
        <v>P2</v>
      </c>
      <c r="D153" s="82" t="str" cm="1">
        <f t="array" ref="D153">_xlfn.TEXTJOIN("",TRUE,IF(ISNUMBER(SEARCH($A153,'Diags Raw Data'!$A$6:$A$4335)),CONCATENATE('Diags Raw Data'!$H$6:$H$4335,", "),""))</f>
        <v/>
      </c>
      <c r="E153" s="169" t="e">
        <f>VLOOKUP(A153,'Diags Raw Data'!$A$6:$D$4335,4,FALSE)</f>
        <v>#N/A</v>
      </c>
      <c r="F153" s="169" t="str">
        <f>VLOOKUP(A153,'Feature Raw Data'!$A$3:$E$4067,5,FALSE)</f>
        <v>Legacy</v>
      </c>
      <c r="G153" s="169" t="s">
        <v>31</v>
      </c>
      <c r="H153" s="169" t="str">
        <f t="shared" ref="H153:H157" si="85">IF(D153="","No","Yes")</f>
        <v>No</v>
      </c>
      <c r="I153" s="271">
        <f>SUMIF('Diags Raw Data'!$A$6:$A$4335,"*"&amp;$A153&amp;"*",'Diags Raw Data'!$K$6:$K$4335)</f>
        <v>0</v>
      </c>
      <c r="J153" s="179">
        <f>SUMIF('Diags Raw Data'!$A$6:$A$4335,"*"&amp;$A153&amp;"*",'Diags Raw Data'!$L$6:$L$4335)</f>
        <v>0</v>
      </c>
      <c r="K153" s="398" cm="1">
        <f t="array" ref="K153">IF(D153="",0, SUMPRODUCT(--(ISNUMBER(SEARCH($A153,'Diags Raw Data'!$A$6:$A$4335))),'Diags Raw Data'!$L$6:$L$4335,'Diags Raw Data'!$N$6:$N$4335)/J153)</f>
        <v>0</v>
      </c>
      <c r="L153" s="399" cm="1">
        <f t="array" ref="L153">IF(D153="",0, SUMPRODUCT(--(ISNUMBER(SEARCH($A153,'Diags Raw Data'!$A$6:$A$4335))),'Diags Raw Data'!$L$6:$L$4335,'Diags Raw Data'!$P$6:$P$4335)/J153)</f>
        <v>0</v>
      </c>
      <c r="M153" s="400" cm="1">
        <f t="array" ref="M153">SUMPRODUCT(--(ISNUMBER(SEARCH($A153,'Diags Raw Data'!$A$6:$A$4335))),--('Diags Raw Data'!$Q$6:$Q$4335&lt;&gt;"N/A"),'Diags Raw Data'!$R$6:$R$4335)</f>
        <v>0</v>
      </c>
      <c r="N153" s="401" cm="1">
        <f t="array" ref="N153">SUMPRODUCT(--(ISNUMBER(SEARCH($A153,'Diags Raw Data'!$A$6:$A$4335))),--('Diags Raw Data'!$Q$6:$Q$4335&lt;&gt;"N/A"),'Diags Raw Data'!$T$6:$T$4335)+SUMPRODUCT(--(ISNUMBER(SEARCH($A153,'Diags Raw Data'!$A$6:$A$4335))),--('Diags Raw Data'!$Q$6:$Q$4335&lt;&gt;"N/A"),'Diags Raw Data'!$U$6:$U$4335)</f>
        <v>0</v>
      </c>
      <c r="O153" s="428">
        <f t="shared" ref="O153:O157" si="86">IF((M153=0),0,N153/M153)</f>
        <v>0</v>
      </c>
      <c r="P153" s="402">
        <f>SUMIF('Diags Raw Data'!$A$6:$A$4335,"*"&amp;$A153&amp;"*",'Diags Raw Data'!$Z$6:$Z$4335)</f>
        <v>0</v>
      </c>
      <c r="Q153" s="403">
        <f>SUM(SUMIF('Diags Raw Data'!$A$6:$A$4335,"*"&amp;$A153&amp;"*",'Diags Raw Data'!$AA$6:$AA$4335),SUMIF('Diags Raw Data'!$A$6:$A$4335,"*"&amp;$A153&amp;"*",'Diags Raw Data'!$AB$6:$AB$4335))</f>
        <v>0</v>
      </c>
      <c r="R153" s="404">
        <f t="shared" ref="R153:R157" si="87">IF((J153=0),0,P153/J153)</f>
        <v>0</v>
      </c>
      <c r="S153" s="404">
        <f t="shared" ref="S153:S157" si="88">IF((P153=0),0,Q153/P153)</f>
        <v>0</v>
      </c>
      <c r="T153" s="405">
        <f t="shared" ref="T153:T157" si="89">R153*S153</f>
        <v>0</v>
      </c>
      <c r="U153" s="434" t="s">
        <v>44</v>
      </c>
      <c r="V153" s="171" t="s">
        <v>1520</v>
      </c>
    </row>
    <row r="154" spans="1:22" x14ac:dyDescent="0.25">
      <c r="A154" s="420" t="s">
        <v>1537</v>
      </c>
      <c r="B154" s="328" t="str">
        <f>VLOOKUP(A154,'Feature Raw Data'!$A$3:$B$4067,2,FALSE)</f>
        <v>GFXHUB:GCEA - Age-based Arbitration</v>
      </c>
      <c r="C154" s="271" t="str">
        <f>VLOOKUP(A154,'Feature Raw Data'!$A$3:$C$4067,3,FALSE)</f>
        <v>P2</v>
      </c>
      <c r="D154" s="82" t="str" cm="1">
        <f t="array" ref="D154">_xlfn.TEXTJOIN("",TRUE,IF(ISNUMBER(SEARCH($A154,'Diags Raw Data'!$A$6:$A$4335)),CONCATENATE('Diags Raw Data'!$H$6:$H$4335,", "),""))</f>
        <v/>
      </c>
      <c r="E154" s="169" t="e">
        <f>VLOOKUP(A154,'Diags Raw Data'!$A$6:$D$4335,4,FALSE)</f>
        <v>#N/A</v>
      </c>
      <c r="F154" s="169" t="str">
        <f>VLOOKUP(A154,'Feature Raw Data'!$A$3:$E$4067,5,FALSE)</f>
        <v>Legacy</v>
      </c>
      <c r="G154" s="169" t="str">
        <f t="shared" ref="G154:G156" si="90">IF(D154="","No","Yes")</f>
        <v>No</v>
      </c>
      <c r="H154" s="169" t="str">
        <f t="shared" si="85"/>
        <v>No</v>
      </c>
      <c r="I154" s="271">
        <f>SUMIF('Diags Raw Data'!$A$6:$A$4335,"*"&amp;$A154&amp;"*",'Diags Raw Data'!$K$6:$K$4335)</f>
        <v>0</v>
      </c>
      <c r="J154" s="179">
        <f>SUMIF('Diags Raw Data'!$A$6:$A$4335,"*"&amp;$A154&amp;"*",'Diags Raw Data'!$L$6:$L$4335)</f>
        <v>0</v>
      </c>
      <c r="K154" s="398" cm="1">
        <f t="array" ref="K154">IF(D154="",0, SUMPRODUCT(--(ISNUMBER(SEARCH($A154,'Diags Raw Data'!$A$6:$A$4335))),'Diags Raw Data'!$L$6:$L$4335,'Diags Raw Data'!$N$6:$N$4335)/J154)</f>
        <v>0</v>
      </c>
      <c r="L154" s="399" cm="1">
        <f t="array" ref="L154">IF(D154="",0, SUMPRODUCT(--(ISNUMBER(SEARCH($A154,'Diags Raw Data'!$A$6:$A$4335))),'Diags Raw Data'!$L$6:$L$4335,'Diags Raw Data'!$P$6:$P$4335)/J154)</f>
        <v>0</v>
      </c>
      <c r="M154" s="400" cm="1">
        <f t="array" ref="M154">SUMPRODUCT(--(ISNUMBER(SEARCH($A154,'Diags Raw Data'!$A$6:$A$4335))),--('Diags Raw Data'!$Q$6:$Q$4335&lt;&gt;"N/A"),'Diags Raw Data'!$R$6:$R$4335)</f>
        <v>0</v>
      </c>
      <c r="N154" s="401" cm="1">
        <f t="array" ref="N154">SUMPRODUCT(--(ISNUMBER(SEARCH($A154,'Diags Raw Data'!$A$6:$A$4335))),--('Diags Raw Data'!$Q$6:$Q$4335&lt;&gt;"N/A"),'Diags Raw Data'!$T$6:$T$4335)+SUMPRODUCT(--(ISNUMBER(SEARCH($A154,'Diags Raw Data'!$A$6:$A$4335))),--('Diags Raw Data'!$Q$6:$Q$4335&lt;&gt;"N/A"),'Diags Raw Data'!$U$6:$U$4335)</f>
        <v>0</v>
      </c>
      <c r="O154" s="428">
        <f t="shared" si="86"/>
        <v>0</v>
      </c>
      <c r="P154" s="402">
        <f>SUMIF('Diags Raw Data'!$A$6:$A$4335,"*"&amp;$A154&amp;"*",'Diags Raw Data'!$Z$6:$Z$4335)</f>
        <v>0</v>
      </c>
      <c r="Q154" s="403">
        <f>SUM(SUMIF('Diags Raw Data'!$A$6:$A$4335,"*"&amp;$A154&amp;"*",'Diags Raw Data'!$AA$6:$AA$4335),SUMIF('Diags Raw Data'!$A$6:$A$4335,"*"&amp;$A154&amp;"*",'Diags Raw Data'!$AB$6:$AB$4335))</f>
        <v>0</v>
      </c>
      <c r="R154" s="404">
        <f t="shared" si="87"/>
        <v>0</v>
      </c>
      <c r="S154" s="404">
        <f t="shared" si="88"/>
        <v>0</v>
      </c>
      <c r="T154" s="405">
        <f t="shared" si="89"/>
        <v>0</v>
      </c>
      <c r="U154" s="434" t="s">
        <v>44</v>
      </c>
      <c r="V154" s="171" t="s">
        <v>43</v>
      </c>
    </row>
    <row r="155" spans="1:22" x14ac:dyDescent="0.25">
      <c r="A155" s="420" t="s">
        <v>1539</v>
      </c>
      <c r="B155" s="328" t="str">
        <f>VLOOKUP(A155,'Feature Raw Data'!$A$3:$B$4067,2,FALSE)</f>
        <v>GFXHUB:GCEA - Write-Request Accumulation</v>
      </c>
      <c r="C155" s="271" t="str">
        <f>VLOOKUP(A155,'Feature Raw Data'!$A$3:$C$4067,3,FALSE)</f>
        <v>P2</v>
      </c>
      <c r="D155" s="82" t="str" cm="1">
        <f t="array" ref="D155">_xlfn.TEXTJOIN("",TRUE,IF(ISNUMBER(SEARCH($A155,'Diags Raw Data'!$A$6:$A$4335)),CONCATENATE('Diags Raw Data'!$H$6:$H$4335,", "),""))</f>
        <v/>
      </c>
      <c r="E155" s="169" t="e">
        <f>VLOOKUP(A155,'Diags Raw Data'!$A$6:$D$4335,4,FALSE)</f>
        <v>#N/A</v>
      </c>
      <c r="F155" s="169" t="str">
        <f>VLOOKUP(A155,'Feature Raw Data'!$A$3:$E$4067,5,FALSE)</f>
        <v>Legacy</v>
      </c>
      <c r="G155" s="169" t="str">
        <f t="shared" si="90"/>
        <v>No</v>
      </c>
      <c r="H155" s="169" t="str">
        <f t="shared" si="85"/>
        <v>No</v>
      </c>
      <c r="I155" s="271">
        <f>SUMIF('Diags Raw Data'!$A$6:$A$4335,"*"&amp;$A155&amp;"*",'Diags Raw Data'!$K$6:$K$4335)</f>
        <v>0</v>
      </c>
      <c r="J155" s="179">
        <f>SUMIF('Diags Raw Data'!$A$6:$A$4335,"*"&amp;$A155&amp;"*",'Diags Raw Data'!$L$6:$L$4335)</f>
        <v>0</v>
      </c>
      <c r="K155" s="398" cm="1">
        <f t="array" ref="K155">IF(D155="",0, SUMPRODUCT(--(ISNUMBER(SEARCH($A155,'Diags Raw Data'!$A$6:$A$4335))),'Diags Raw Data'!$L$6:$L$4335,'Diags Raw Data'!$N$6:$N$4335)/J155)</f>
        <v>0</v>
      </c>
      <c r="L155" s="399" cm="1">
        <f t="array" ref="L155">IF(D155="",0, SUMPRODUCT(--(ISNUMBER(SEARCH($A155,'Diags Raw Data'!$A$6:$A$4335))),'Diags Raw Data'!$L$6:$L$4335,'Diags Raw Data'!$P$6:$P$4335)/J155)</f>
        <v>0</v>
      </c>
      <c r="M155" s="400" cm="1">
        <f t="array" ref="M155">SUMPRODUCT(--(ISNUMBER(SEARCH($A155,'Diags Raw Data'!$A$6:$A$4335))),--('Diags Raw Data'!$Q$6:$Q$4335&lt;&gt;"N/A"),'Diags Raw Data'!$R$6:$R$4335)</f>
        <v>0</v>
      </c>
      <c r="N155" s="401" cm="1">
        <f t="array" ref="N155">SUMPRODUCT(--(ISNUMBER(SEARCH($A155,'Diags Raw Data'!$A$6:$A$4335))),--('Diags Raw Data'!$Q$6:$Q$4335&lt;&gt;"N/A"),'Diags Raw Data'!$T$6:$T$4335)+SUMPRODUCT(--(ISNUMBER(SEARCH($A155,'Diags Raw Data'!$A$6:$A$4335))),--('Diags Raw Data'!$Q$6:$Q$4335&lt;&gt;"N/A"),'Diags Raw Data'!$U$6:$U$4335)</f>
        <v>0</v>
      </c>
      <c r="O155" s="428">
        <f t="shared" si="86"/>
        <v>0</v>
      </c>
      <c r="P155" s="402">
        <f>SUMIF('Diags Raw Data'!$A$6:$A$4335,"*"&amp;$A155&amp;"*",'Diags Raw Data'!$Z$6:$Z$4335)</f>
        <v>0</v>
      </c>
      <c r="Q155" s="403">
        <f>SUM(SUMIF('Diags Raw Data'!$A$6:$A$4335,"*"&amp;$A155&amp;"*",'Diags Raw Data'!$AA$6:$AA$4335),SUMIF('Diags Raw Data'!$A$6:$A$4335,"*"&amp;$A155&amp;"*",'Diags Raw Data'!$AB$6:$AB$4335))</f>
        <v>0</v>
      </c>
      <c r="R155" s="404">
        <f t="shared" si="87"/>
        <v>0</v>
      </c>
      <c r="S155" s="404">
        <f t="shared" si="88"/>
        <v>0</v>
      </c>
      <c r="T155" s="405">
        <f t="shared" si="89"/>
        <v>0</v>
      </c>
      <c r="U155" s="434" t="s">
        <v>44</v>
      </c>
      <c r="V155" s="171" t="s">
        <v>43</v>
      </c>
    </row>
    <row r="156" spans="1:22" ht="30" x14ac:dyDescent="0.25">
      <c r="A156" s="420" t="s">
        <v>1541</v>
      </c>
      <c r="B156" s="328" t="str">
        <f>VLOOKUP(A156,'Feature Raw Data'!$A$3:$B$4067,2,FALSE)</f>
        <v>GFXHUB:GCEA - Arbiters</v>
      </c>
      <c r="C156" s="271" t="str">
        <f>VLOOKUP(A156,'Feature Raw Data'!$A$3:$C$4067,3,FALSE)</f>
        <v>P2</v>
      </c>
      <c r="D156" s="82" t="str" cm="1">
        <f t="array" ref="D156">_xlfn.TEXTJOIN("",TRUE,IF(ISNUMBER(SEARCH($A156,'Diags Raw Data'!$A$6:$A$4335)),CONCATENATE('Diags Raw Data'!$H$6:$H$4335,", "),""))</f>
        <v xml:space="preserve">mhub311.1-4, </v>
      </c>
      <c r="E156" s="169" t="str">
        <f>VLOOKUP(A156,'Diags Raw Data'!$A$6:$D$4335,4,FALSE)</f>
        <v>GCHUB</v>
      </c>
      <c r="F156" s="169" t="str">
        <f>VLOOKUP(A156,'Feature Raw Data'!$A$3:$E$4067,5,FALSE)</f>
        <v>Legacy</v>
      </c>
      <c r="G156" s="169" t="str">
        <f t="shared" si="90"/>
        <v>Yes</v>
      </c>
      <c r="H156" s="169" t="str">
        <f t="shared" si="85"/>
        <v>Yes</v>
      </c>
      <c r="I156" s="271">
        <f>SUMIF('Diags Raw Data'!$A$6:$A$4335,"*"&amp;$A156&amp;"*",'Diags Raw Data'!$K$6:$K$4335)</f>
        <v>1</v>
      </c>
      <c r="J156" s="179">
        <f>SUMIF('Diags Raw Data'!$A$6:$A$4335,"*"&amp;$A156&amp;"*",'Diags Raw Data'!$L$6:$L$4335)</f>
        <v>4</v>
      </c>
      <c r="K156" s="398" cm="1">
        <f t="array" ref="K156">IF(D156="",0, SUMPRODUCT(--(ISNUMBER(SEARCH($A156,'Diags Raw Data'!$A$6:$A$4335))),'Diags Raw Data'!$L$6:$L$4335,'Diags Raw Data'!$N$6:$N$4335)/J156)</f>
        <v>1</v>
      </c>
      <c r="L156" s="399" cm="1">
        <f t="array" ref="L156">IF(D156="",0, SUMPRODUCT(--(ISNUMBER(SEARCH($A156,'Diags Raw Data'!$A$6:$A$4335))),'Diags Raw Data'!$L$6:$L$4335,'Diags Raw Data'!$P$6:$P$4335)/J156)</f>
        <v>1</v>
      </c>
      <c r="M156" s="400" cm="1">
        <f t="array" ref="M156">SUMPRODUCT(--(ISNUMBER(SEARCH($A156,'Diags Raw Data'!$A$6:$A$4335))),--('Diags Raw Data'!$Q$6:$Q$4335&lt;&gt;"N/A"),'Diags Raw Data'!$R$6:$R$4335)</f>
        <v>4</v>
      </c>
      <c r="N156" s="401" cm="1">
        <f t="array" ref="N156">SUMPRODUCT(--(ISNUMBER(SEARCH($A156,'Diags Raw Data'!$A$6:$A$4335))),--('Diags Raw Data'!$Q$6:$Q$4335&lt;&gt;"N/A"),'Diags Raw Data'!$T$6:$T$4335)+SUMPRODUCT(--(ISNUMBER(SEARCH($A156,'Diags Raw Data'!$A$6:$A$4335))),--('Diags Raw Data'!$Q$6:$Q$4335&lt;&gt;"N/A"),'Diags Raw Data'!$U$6:$U$4335)</f>
        <v>4</v>
      </c>
      <c r="O156" s="428">
        <f t="shared" si="86"/>
        <v>1</v>
      </c>
      <c r="P156" s="402">
        <f>SUMIF('Diags Raw Data'!$A$6:$A$4335,"*"&amp;$A156&amp;"*",'Diags Raw Data'!$Z$6:$Z$4335)</f>
        <v>0</v>
      </c>
      <c r="Q156" s="403">
        <f>SUM(SUMIF('Diags Raw Data'!$A$6:$A$4335,"*"&amp;$A156&amp;"*",'Diags Raw Data'!$AA$6:$AA$4335),SUMIF('Diags Raw Data'!$A$6:$A$4335,"*"&amp;$A156&amp;"*",'Diags Raw Data'!$AB$6:$AB$4335))</f>
        <v>0</v>
      </c>
      <c r="R156" s="404">
        <f t="shared" si="87"/>
        <v>0</v>
      </c>
      <c r="S156" s="404">
        <f t="shared" si="88"/>
        <v>0</v>
      </c>
      <c r="T156" s="405">
        <f t="shared" si="89"/>
        <v>0</v>
      </c>
      <c r="U156" s="434" t="s">
        <v>1655</v>
      </c>
    </row>
    <row r="157" spans="1:22" x14ac:dyDescent="0.25">
      <c r="A157" s="420" t="s">
        <v>1543</v>
      </c>
      <c r="B157" s="328" t="str">
        <f>VLOOKUP(A157,'Feature Raw Data'!$A$3:$B$4067,2,FALSE)</f>
        <v>GFXHUB:GCEA - SDP request tags</v>
      </c>
      <c r="C157" s="271" t="str">
        <f>VLOOKUP(A157,'Feature Raw Data'!$A$3:$C$4067,3,FALSE)</f>
        <v>P2</v>
      </c>
      <c r="D157" s="82" t="str" cm="1">
        <f t="array" ref="D157">_xlfn.TEXTJOIN("",TRUE,IF(ISNUMBER(SEARCH($A157,'Diags Raw Data'!$A$6:$A$4335)),CONCATENATE('Diags Raw Data'!$H$6:$H$4335,", "),""))</f>
        <v/>
      </c>
      <c r="E157" s="169" t="e">
        <f>VLOOKUP(A157,'Diags Raw Data'!$A$6:$D$4335,4,FALSE)</f>
        <v>#N/A</v>
      </c>
      <c r="F157" s="169" t="str">
        <f>VLOOKUP(A157,'Feature Raw Data'!$A$3:$E$4067,5,FALSE)</f>
        <v>Legacy</v>
      </c>
      <c r="G157" s="169" t="s">
        <v>36</v>
      </c>
      <c r="H157" s="169" t="str">
        <f t="shared" si="85"/>
        <v>No</v>
      </c>
      <c r="I157" s="271">
        <f>SUMIF('Diags Raw Data'!$A$6:$A$4335,"*"&amp;$A157&amp;"*",'Diags Raw Data'!$K$6:$K$4335)</f>
        <v>0</v>
      </c>
      <c r="J157" s="179">
        <f>SUMIF('Diags Raw Data'!$A$6:$A$4335,"*"&amp;$A157&amp;"*",'Diags Raw Data'!$L$6:$L$4335)</f>
        <v>0</v>
      </c>
      <c r="K157" s="398" cm="1">
        <f t="array" ref="K157">IF(D157="",0, SUMPRODUCT(--(ISNUMBER(SEARCH($A157,'Diags Raw Data'!$A$6:$A$4335))),'Diags Raw Data'!$L$6:$L$4335,'Diags Raw Data'!$N$6:$N$4335)/J157)</f>
        <v>0</v>
      </c>
      <c r="L157" s="399" cm="1">
        <f t="array" ref="L157">IF(D157="",0, SUMPRODUCT(--(ISNUMBER(SEARCH($A157,'Diags Raw Data'!$A$6:$A$4335))),'Diags Raw Data'!$L$6:$L$4335,'Diags Raw Data'!$P$6:$P$4335)/J157)</f>
        <v>0</v>
      </c>
      <c r="M157" s="400" cm="1">
        <f t="array" ref="M157">SUMPRODUCT(--(ISNUMBER(SEARCH($A157,'Diags Raw Data'!$A$6:$A$4335))),--('Diags Raw Data'!$Q$6:$Q$4335&lt;&gt;"N/A"),'Diags Raw Data'!$R$6:$R$4335)</f>
        <v>0</v>
      </c>
      <c r="N157" s="401" cm="1">
        <f t="array" ref="N157">SUMPRODUCT(--(ISNUMBER(SEARCH($A157,'Diags Raw Data'!$A$6:$A$4335))),--('Diags Raw Data'!$Q$6:$Q$4335&lt;&gt;"N/A"),'Diags Raw Data'!$T$6:$T$4335)+SUMPRODUCT(--(ISNUMBER(SEARCH($A157,'Diags Raw Data'!$A$6:$A$4335))),--('Diags Raw Data'!$Q$6:$Q$4335&lt;&gt;"N/A"),'Diags Raw Data'!$U$6:$U$4335)</f>
        <v>0</v>
      </c>
      <c r="O157" s="428">
        <f t="shared" si="86"/>
        <v>0</v>
      </c>
      <c r="P157" s="402">
        <f>SUMIF('Diags Raw Data'!$A$6:$A$4335,"*"&amp;$A157&amp;"*",'Diags Raw Data'!$Z$6:$Z$4335)</f>
        <v>0</v>
      </c>
      <c r="Q157" s="403">
        <f>SUM(SUMIF('Diags Raw Data'!$A$6:$A$4335,"*"&amp;$A157&amp;"*",'Diags Raw Data'!$AA$6:$AA$4335),SUMIF('Diags Raw Data'!$A$6:$A$4335,"*"&amp;$A157&amp;"*",'Diags Raw Data'!$AB$6:$AB$4335))</f>
        <v>0</v>
      </c>
      <c r="R157" s="404">
        <f t="shared" si="87"/>
        <v>0</v>
      </c>
      <c r="S157" s="404">
        <f t="shared" si="88"/>
        <v>0</v>
      </c>
      <c r="T157" s="405">
        <f t="shared" si="89"/>
        <v>0</v>
      </c>
      <c r="U157" s="434" t="s">
        <v>44</v>
      </c>
      <c r="V157" s="171" t="s">
        <v>43</v>
      </c>
    </row>
    <row r="158" spans="1:22" ht="315" x14ac:dyDescent="0.25">
      <c r="A158" s="420" t="s">
        <v>1569</v>
      </c>
      <c r="B158" s="328" t="str">
        <f>VLOOKUP(A158,'Feature Raw Data'!$A$3:$B$4067,2,FALSE)</f>
        <v>ATHUB:SOC - SOC-15 SDP interfaces (SOC-15 baseline)</v>
      </c>
      <c r="C158" s="271" t="str">
        <f>VLOOKUP(A158,'Feature Raw Data'!$A$3:$C$4067,3,FALSE)</f>
        <v>P2</v>
      </c>
      <c r="D158" s="82" t="str" cm="1">
        <f t="array" ref="D158">_xlfn.TEXTJOIN("",TRUE,IF(ISNUMBER(SEARCH($A158,'Diags Raw Data'!$A$6:$A$4335)),CONCATENATE('Diags Raw Data'!$H$6:$H$4335,", "),""))</f>
        <v xml:space="preserve">mhub001.1, mhub001.2, mhub001.3, mhub001.4, mhub001.5, mhub001.6, mhub001.7, mhub001.9, mhub401.1-6,mhub401.11-16,mhub401.21-26, mhub401.34, mhub405.1, mhub405.2, mhub405.3, mhub405.4-5, mhub405.6, mhub405.7, mhub405.8, mhub405.9, </v>
      </c>
      <c r="E158" s="169" t="str">
        <f>VLOOKUP(A158,'Diags Raw Data'!$A$6:$D$4335,4,FALSE)</f>
        <v>MMHUB</v>
      </c>
      <c r="F158" s="169" t="str">
        <f>VLOOKUP(A158,'Feature Raw Data'!$A$3:$E$4067,5,FALSE)</f>
        <v>Legacy</v>
      </c>
      <c r="G158" s="169" t="str">
        <f t="shared" ref="G158:G170" si="91">IF(D158="","No","Yes")</f>
        <v>Yes</v>
      </c>
      <c r="H158" s="169" t="str">
        <f t="shared" ref="H158:H170" si="92">IF(D158="","No","Yes")</f>
        <v>Yes</v>
      </c>
      <c r="I158" s="271">
        <f>SUMIF('Diags Raw Data'!$A$6:$A$4335,"*"&amp;$A158&amp;"*",'Diags Raw Data'!$K$6:$K$4335)</f>
        <v>18</v>
      </c>
      <c r="J158" s="179">
        <f>SUMIF('Diags Raw Data'!$A$6:$A$4335,"*"&amp;$A158&amp;"*",'Diags Raw Data'!$L$6:$L$4335)</f>
        <v>36</v>
      </c>
      <c r="K158" s="398" cm="1">
        <f t="array" ref="K158">IF(D158="",0, SUMPRODUCT(--(ISNUMBER(SEARCH($A158,'Diags Raw Data'!$A$6:$A$4335))),'Diags Raw Data'!$L$6:$L$4335,'Diags Raw Data'!$N$6:$N$4335)/J158)</f>
        <v>1</v>
      </c>
      <c r="L158" s="399" cm="1">
        <f t="array" ref="L158">IF(D158="",0, SUMPRODUCT(--(ISNUMBER(SEARCH($A158,'Diags Raw Data'!$A$6:$A$4335))),'Diags Raw Data'!$L$6:$L$4335,'Diags Raw Data'!$P$6:$P$4335)/J158)</f>
        <v>0.5</v>
      </c>
      <c r="M158" s="400" cm="1">
        <f t="array" ref="M158">SUMPRODUCT(--(ISNUMBER(SEARCH($A158,'Diags Raw Data'!$A$6:$A$4335))),--('Diags Raw Data'!$Q$6:$Q$4335&lt;&gt;"N/A"),'Diags Raw Data'!$R$6:$R$4335)</f>
        <v>36</v>
      </c>
      <c r="N158" s="401" cm="1">
        <f t="array" ref="N158">SUMPRODUCT(--(ISNUMBER(SEARCH($A158,'Diags Raw Data'!$A$6:$A$4335))),--('Diags Raw Data'!$Q$6:$Q$4335&lt;&gt;"N/A"),'Diags Raw Data'!$T$6:$T$4335)+SUMPRODUCT(--(ISNUMBER(SEARCH($A158,'Diags Raw Data'!$A$6:$A$4335))),--('Diags Raw Data'!$Q$6:$Q$4335&lt;&gt;"N/A"),'Diags Raw Data'!$U$6:$U$4335)</f>
        <v>36</v>
      </c>
      <c r="O158" s="428">
        <f t="shared" ref="O158:O170" si="93">IF((M158=0),0,N158/M158)</f>
        <v>1</v>
      </c>
      <c r="P158" s="402">
        <f>SUMIF('Diags Raw Data'!$A$6:$A$4335,"*"&amp;$A158&amp;"*",'Diags Raw Data'!$Z$6:$Z$4335)</f>
        <v>0</v>
      </c>
      <c r="Q158" s="403">
        <f>SUM(SUMIF('Diags Raw Data'!$A$6:$A$4335,"*"&amp;$A158&amp;"*",'Diags Raw Data'!$AA$6:$AA$4335),SUMIF('Diags Raw Data'!$A$6:$A$4335,"*"&amp;$A158&amp;"*",'Diags Raw Data'!$AB$6:$AB$4335))</f>
        <v>0</v>
      </c>
      <c r="R158" s="404">
        <f t="shared" ref="R158:R170" si="94">IF((J158=0),0,P158/J158)</f>
        <v>0</v>
      </c>
      <c r="S158" s="404">
        <f t="shared" ref="S158:S170" si="95">IF((P158=0),0,Q158/P158)</f>
        <v>0</v>
      </c>
      <c r="T158" s="405">
        <f t="shared" ref="T158:T170" si="96">R158*S158</f>
        <v>0</v>
      </c>
      <c r="U158" s="434" t="s">
        <v>1654</v>
      </c>
    </row>
    <row r="159" spans="1:22" ht="30" x14ac:dyDescent="0.25">
      <c r="A159" s="420" t="s">
        <v>1571</v>
      </c>
      <c r="B159" s="328" t="str">
        <f>VLOOKUP(A159,'Feature Raw Data'!$A$3:$B$4067,2,FALSE)</f>
        <v>ATHUB:SOC - SOC-15 SCF interfaces (SOC-15 baseline)</v>
      </c>
      <c r="C159" s="271" t="str">
        <f>VLOOKUP(A159,'Feature Raw Data'!$A$3:$C$4067,3,FALSE)</f>
        <v>P2</v>
      </c>
      <c r="D159" s="82" t="str" cm="1">
        <f t="array" ref="D159">_xlfn.TEXTJOIN("",TRUE,IF(ISNUMBER(SEARCH($A159,'Diags Raw Data'!$A$6:$A$4335)),CONCATENATE('Diags Raw Data'!$H$6:$H$4335,", "),""))</f>
        <v/>
      </c>
      <c r="E159" s="169" t="e">
        <f>VLOOKUP(A159,'Diags Raw Data'!$A$6:$D$4335,4,FALSE)</f>
        <v>#N/A</v>
      </c>
      <c r="F159" s="169" t="str">
        <f>VLOOKUP(A159,'Feature Raw Data'!$A$3:$E$4067,5,FALSE)</f>
        <v>Legacy</v>
      </c>
      <c r="G159" s="169" t="str">
        <f t="shared" si="91"/>
        <v>No</v>
      </c>
      <c r="H159" s="169" t="str">
        <f t="shared" si="92"/>
        <v>No</v>
      </c>
      <c r="I159" s="271">
        <f>SUMIF('Diags Raw Data'!$A$6:$A$4335,"*"&amp;$A159&amp;"*",'Diags Raw Data'!$K$6:$K$4335)</f>
        <v>0</v>
      </c>
      <c r="J159" s="179">
        <f>SUMIF('Diags Raw Data'!$A$6:$A$4335,"*"&amp;$A159&amp;"*",'Diags Raw Data'!$L$6:$L$4335)</f>
        <v>0</v>
      </c>
      <c r="K159" s="398" cm="1">
        <f t="array" ref="K159">IF(D159="",0, SUMPRODUCT(--(ISNUMBER(SEARCH($A159,'Diags Raw Data'!$A$6:$A$4335))),'Diags Raw Data'!$L$6:$L$4335,'Diags Raw Data'!$N$6:$N$4335)/J159)</f>
        <v>0</v>
      </c>
      <c r="L159" s="399" cm="1">
        <f t="array" ref="L159">IF(D159="",0, SUMPRODUCT(--(ISNUMBER(SEARCH($A159,'Diags Raw Data'!$A$6:$A$4335))),'Diags Raw Data'!$L$6:$L$4335,'Diags Raw Data'!$P$6:$P$4335)/J159)</f>
        <v>0</v>
      </c>
      <c r="M159" s="400" cm="1">
        <f t="array" ref="M159">SUMPRODUCT(--(ISNUMBER(SEARCH($A159,'Diags Raw Data'!$A$6:$A$4335))),--('Diags Raw Data'!$Q$6:$Q$4335&lt;&gt;"N/A"),'Diags Raw Data'!$R$6:$R$4335)</f>
        <v>0</v>
      </c>
      <c r="N159" s="401" cm="1">
        <f t="array" ref="N159">SUMPRODUCT(--(ISNUMBER(SEARCH($A159,'Diags Raw Data'!$A$6:$A$4335))),--('Diags Raw Data'!$Q$6:$Q$4335&lt;&gt;"N/A"),'Diags Raw Data'!$T$6:$T$4335)+SUMPRODUCT(--(ISNUMBER(SEARCH($A159,'Diags Raw Data'!$A$6:$A$4335))),--('Diags Raw Data'!$Q$6:$Q$4335&lt;&gt;"N/A"),'Diags Raw Data'!$U$6:$U$4335)</f>
        <v>0</v>
      </c>
      <c r="O159" s="428">
        <f t="shared" si="93"/>
        <v>0</v>
      </c>
      <c r="P159" s="402">
        <f>SUMIF('Diags Raw Data'!$A$6:$A$4335,"*"&amp;$A159&amp;"*",'Diags Raw Data'!$Z$6:$Z$4335)</f>
        <v>0</v>
      </c>
      <c r="Q159" s="403">
        <f>SUM(SUMIF('Diags Raw Data'!$A$6:$A$4335,"*"&amp;$A159&amp;"*",'Diags Raw Data'!$AA$6:$AA$4335),SUMIF('Diags Raw Data'!$A$6:$A$4335,"*"&amp;$A159&amp;"*",'Diags Raw Data'!$AB$6:$AB$4335))</f>
        <v>0</v>
      </c>
      <c r="R159" s="404">
        <f t="shared" si="94"/>
        <v>0</v>
      </c>
      <c r="S159" s="404">
        <f t="shared" si="95"/>
        <v>0</v>
      </c>
      <c r="T159" s="405">
        <f t="shared" si="96"/>
        <v>0</v>
      </c>
      <c r="U159" s="434" t="s">
        <v>44</v>
      </c>
      <c r="V159" s="171" t="s">
        <v>43</v>
      </c>
    </row>
    <row r="160" spans="1:22" ht="60" x14ac:dyDescent="0.25">
      <c r="A160" s="420" t="s">
        <v>1573</v>
      </c>
      <c r="B160" s="328" t="str">
        <f>VLOOKUP(A160,'Feature Raw Data'!$A$3:$B$4067,2,FALSE)</f>
        <v>ATHUB:SOC - VDCI on GFX SDP interfaces</v>
      </c>
      <c r="C160" s="271" t="str">
        <f>VLOOKUP(A160,'Feature Raw Data'!$A$3:$C$4067,3,FALSE)</f>
        <v>P2</v>
      </c>
      <c r="D160" s="82" t="str" cm="1">
        <f t="array" ref="D160">_xlfn.TEXTJOIN("",TRUE,IF(ISNUMBER(SEARCH($A160,'Diags Raw Data'!$A$6:$A$4335)),CONCATENATE('Diags Raw Data'!$H$6:$H$4335,", "),""))</f>
        <v xml:space="preserve">mhub401.1-6,mhub401.11-16,mhub401.21-26, mhub405.1, </v>
      </c>
      <c r="E160" s="169" t="str">
        <f>VLOOKUP(A160,'Diags Raw Data'!$A$6:$D$4335,4,FALSE)</f>
        <v>ATHUB</v>
      </c>
      <c r="F160" s="169" t="str">
        <f>VLOOKUP(A160,'Feature Raw Data'!$A$3:$E$4067,5,FALSE)</f>
        <v>Legacy</v>
      </c>
      <c r="G160" s="169" t="str">
        <f t="shared" si="91"/>
        <v>Yes</v>
      </c>
      <c r="H160" s="169" t="str">
        <f t="shared" si="92"/>
        <v>Yes</v>
      </c>
      <c r="I160" s="271">
        <f>SUMIF('Diags Raw Data'!$A$6:$A$4335,"*"&amp;$A160&amp;"*",'Diags Raw Data'!$K$6:$K$4335)</f>
        <v>2</v>
      </c>
      <c r="J160" s="179">
        <f>SUMIF('Diags Raw Data'!$A$6:$A$4335,"*"&amp;$A160&amp;"*",'Diags Raw Data'!$L$6:$L$4335)</f>
        <v>19</v>
      </c>
      <c r="K160" s="398" cm="1">
        <f t="array" ref="K160">IF(D160="",0, SUMPRODUCT(--(ISNUMBER(SEARCH($A160,'Diags Raw Data'!$A$6:$A$4335))),'Diags Raw Data'!$L$6:$L$4335,'Diags Raw Data'!$N$6:$N$4335)/J160)</f>
        <v>1</v>
      </c>
      <c r="L160" s="399" cm="1">
        <f t="array" ref="L160">IF(D160="",0, SUMPRODUCT(--(ISNUMBER(SEARCH($A160,'Diags Raw Data'!$A$6:$A$4335))),'Diags Raw Data'!$L$6:$L$4335,'Diags Raw Data'!$P$6:$P$4335)/J160)</f>
        <v>5.2631578947368418E-2</v>
      </c>
      <c r="M160" s="400" cm="1">
        <f t="array" ref="M160">SUMPRODUCT(--(ISNUMBER(SEARCH($A160,'Diags Raw Data'!$A$6:$A$4335))),--('Diags Raw Data'!$Q$6:$Q$4335&lt;&gt;"N/A"),'Diags Raw Data'!$R$6:$R$4335)</f>
        <v>19</v>
      </c>
      <c r="N160" s="401" cm="1">
        <f t="array" ref="N160">SUMPRODUCT(--(ISNUMBER(SEARCH($A160,'Diags Raw Data'!$A$6:$A$4335))),--('Diags Raw Data'!$Q$6:$Q$4335&lt;&gt;"N/A"),'Diags Raw Data'!$T$6:$T$4335)+SUMPRODUCT(--(ISNUMBER(SEARCH($A160,'Diags Raw Data'!$A$6:$A$4335))),--('Diags Raw Data'!$Q$6:$Q$4335&lt;&gt;"N/A"),'Diags Raw Data'!$U$6:$U$4335)</f>
        <v>19</v>
      </c>
      <c r="O160" s="428">
        <f t="shared" si="93"/>
        <v>1</v>
      </c>
      <c r="P160" s="402">
        <f>SUMIF('Diags Raw Data'!$A$6:$A$4335,"*"&amp;$A160&amp;"*",'Diags Raw Data'!$Z$6:$Z$4335)</f>
        <v>0</v>
      </c>
      <c r="Q160" s="403">
        <f>SUM(SUMIF('Diags Raw Data'!$A$6:$A$4335,"*"&amp;$A160&amp;"*",'Diags Raw Data'!$AA$6:$AA$4335),SUMIF('Diags Raw Data'!$A$6:$A$4335,"*"&amp;$A160&amp;"*",'Diags Raw Data'!$AB$6:$AB$4335))</f>
        <v>0</v>
      </c>
      <c r="R160" s="404">
        <f t="shared" si="94"/>
        <v>0</v>
      </c>
      <c r="S160" s="404">
        <f t="shared" si="95"/>
        <v>0</v>
      </c>
      <c r="T160" s="405">
        <f t="shared" si="96"/>
        <v>0</v>
      </c>
      <c r="U160" s="434" t="s">
        <v>1651</v>
      </c>
    </row>
    <row r="161" spans="1:22" x14ac:dyDescent="0.25">
      <c r="A161" s="420" t="s">
        <v>1576</v>
      </c>
      <c r="B161" s="328" t="str">
        <f>VLOOKUP(A161,'Feature Raw Data'!$A$3:$B$4067,2,FALSE)</f>
        <v>ATHUB:SOC - VDCI on DF SDP interfaces</v>
      </c>
      <c r="C161" s="271" t="str">
        <f>VLOOKUP(A161,'Feature Raw Data'!$A$3:$C$4067,3,FALSE)</f>
        <v>P2</v>
      </c>
      <c r="D161" s="82" t="str" cm="1">
        <f t="array" ref="D161">_xlfn.TEXTJOIN("",TRUE,IF(ISNUMBER(SEARCH($A161,'Diags Raw Data'!$A$6:$A$4335)),CONCATENATE('Diags Raw Data'!$H$6:$H$4335,", "),""))</f>
        <v xml:space="preserve">mhub201.5, </v>
      </c>
      <c r="E161" s="169" t="str">
        <f>VLOOKUP(A161,'Diags Raw Data'!$A$6:$D$4335,4,FALSE)</f>
        <v>GCHUB</v>
      </c>
      <c r="F161" s="169" t="str">
        <f>VLOOKUP(A161,'Feature Raw Data'!$A$3:$E$4067,5,FALSE)</f>
        <v>Legacy</v>
      </c>
      <c r="G161" s="169" t="str">
        <f t="shared" si="91"/>
        <v>Yes</v>
      </c>
      <c r="H161" s="169" t="str">
        <f t="shared" si="92"/>
        <v>Yes</v>
      </c>
      <c r="I161" s="271">
        <f>SUMIF('Diags Raw Data'!$A$6:$A$4335,"*"&amp;$A161&amp;"*",'Diags Raw Data'!$K$6:$K$4335)</f>
        <v>1</v>
      </c>
      <c r="J161" s="179">
        <f>SUMIF('Diags Raw Data'!$A$6:$A$4335,"*"&amp;$A161&amp;"*",'Diags Raw Data'!$L$6:$L$4335)</f>
        <v>1</v>
      </c>
      <c r="K161" s="398" cm="1">
        <f t="array" ref="K161">IF(D161="",0, SUMPRODUCT(--(ISNUMBER(SEARCH($A161,'Diags Raw Data'!$A$6:$A$4335))),'Diags Raw Data'!$L$6:$L$4335,'Diags Raw Data'!$N$6:$N$4335)/J161)</f>
        <v>1</v>
      </c>
      <c r="L161" s="399" cm="1">
        <f t="array" ref="L161">IF(D161="",0, SUMPRODUCT(--(ISNUMBER(SEARCH($A161,'Diags Raw Data'!$A$6:$A$4335))),'Diags Raw Data'!$L$6:$L$4335,'Diags Raw Data'!$P$6:$P$4335)/J161)</f>
        <v>1</v>
      </c>
      <c r="M161" s="400" cm="1">
        <f t="array" ref="M161">SUMPRODUCT(--(ISNUMBER(SEARCH($A161,'Diags Raw Data'!$A$6:$A$4335))),--('Diags Raw Data'!$Q$6:$Q$4335&lt;&gt;"N/A"),'Diags Raw Data'!$R$6:$R$4335)</f>
        <v>1</v>
      </c>
      <c r="N161" s="401" cm="1">
        <f t="array" ref="N161">SUMPRODUCT(--(ISNUMBER(SEARCH($A161,'Diags Raw Data'!$A$6:$A$4335))),--('Diags Raw Data'!$Q$6:$Q$4335&lt;&gt;"N/A"),'Diags Raw Data'!$T$6:$T$4335)+SUMPRODUCT(--(ISNUMBER(SEARCH($A161,'Diags Raw Data'!$A$6:$A$4335))),--('Diags Raw Data'!$Q$6:$Q$4335&lt;&gt;"N/A"),'Diags Raw Data'!$U$6:$U$4335)</f>
        <v>1</v>
      </c>
      <c r="O161" s="428">
        <f t="shared" si="93"/>
        <v>1</v>
      </c>
      <c r="P161" s="402">
        <f>SUMIF('Diags Raw Data'!$A$6:$A$4335,"*"&amp;$A161&amp;"*",'Diags Raw Data'!$Z$6:$Z$4335)</f>
        <v>0</v>
      </c>
      <c r="Q161" s="403">
        <f>SUM(SUMIF('Diags Raw Data'!$A$6:$A$4335,"*"&amp;$A161&amp;"*",'Diags Raw Data'!$AA$6:$AA$4335),SUMIF('Diags Raw Data'!$A$6:$A$4335,"*"&amp;$A161&amp;"*",'Diags Raw Data'!$AB$6:$AB$4335))</f>
        <v>0</v>
      </c>
      <c r="R161" s="404">
        <f t="shared" si="94"/>
        <v>0</v>
      </c>
      <c r="S161" s="404">
        <f t="shared" si="95"/>
        <v>0</v>
      </c>
      <c r="T161" s="405">
        <f t="shared" si="96"/>
        <v>0</v>
      </c>
      <c r="U161" s="434" t="s">
        <v>1652</v>
      </c>
    </row>
    <row r="162" spans="1:22" x14ac:dyDescent="0.25">
      <c r="A162" s="420" t="s">
        <v>1578</v>
      </c>
      <c r="B162" s="328" t="str">
        <f>VLOOKUP(A162,'Feature Raw Data'!$A$3:$B$4067,2,FALSE)</f>
        <v>ATHUB:SOC - OpenCL Platform Atomics</v>
      </c>
      <c r="C162" s="271" t="str">
        <f>VLOOKUP(A162,'Feature Raw Data'!$A$3:$C$4067,3,FALSE)</f>
        <v>P2</v>
      </c>
      <c r="D162" s="82" t="str" cm="1">
        <f t="array" ref="D162">_xlfn.TEXTJOIN("",TRUE,IF(ISNUMBER(SEARCH($A162,'Diags Raw Data'!$A$6:$A$4335)),CONCATENATE('Diags Raw Data'!$H$6:$H$4335,", "),""))</f>
        <v/>
      </c>
      <c r="E162" s="169" t="e">
        <f>VLOOKUP(A162,'Diags Raw Data'!$A$6:$D$4335,4,FALSE)</f>
        <v>#N/A</v>
      </c>
      <c r="F162" s="169" t="str">
        <f>VLOOKUP(A162,'Feature Raw Data'!$A$3:$E$4067,5,FALSE)</f>
        <v>Legacy</v>
      </c>
      <c r="G162" s="169" t="s">
        <v>31</v>
      </c>
      <c r="H162" s="169" t="str">
        <f t="shared" si="92"/>
        <v>No</v>
      </c>
      <c r="I162" s="271">
        <f>SUMIF('Diags Raw Data'!$A$6:$A$4335,"*"&amp;$A162&amp;"*",'Diags Raw Data'!$K$6:$K$4335)</f>
        <v>0</v>
      </c>
      <c r="J162" s="179">
        <f>SUMIF('Diags Raw Data'!$A$6:$A$4335,"*"&amp;$A162&amp;"*",'Diags Raw Data'!$L$6:$L$4335)</f>
        <v>0</v>
      </c>
      <c r="K162" s="398" cm="1">
        <f t="array" ref="K162">IF(D162="",0, SUMPRODUCT(--(ISNUMBER(SEARCH($A162,'Diags Raw Data'!$A$6:$A$4335))),'Diags Raw Data'!$L$6:$L$4335,'Diags Raw Data'!$N$6:$N$4335)/J162)</f>
        <v>0</v>
      </c>
      <c r="L162" s="399" cm="1">
        <f t="array" ref="L162">IF(D162="",0, SUMPRODUCT(--(ISNUMBER(SEARCH($A162,'Diags Raw Data'!$A$6:$A$4335))),'Diags Raw Data'!$L$6:$L$4335,'Diags Raw Data'!$P$6:$P$4335)/J162)</f>
        <v>0</v>
      </c>
      <c r="M162" s="400" cm="1">
        <f t="array" ref="M162">SUMPRODUCT(--(ISNUMBER(SEARCH($A162,'Diags Raw Data'!$A$6:$A$4335))),--('Diags Raw Data'!$Q$6:$Q$4335&lt;&gt;"N/A"),'Diags Raw Data'!$R$6:$R$4335)</f>
        <v>0</v>
      </c>
      <c r="N162" s="401" cm="1">
        <f t="array" ref="N162">SUMPRODUCT(--(ISNUMBER(SEARCH($A162,'Diags Raw Data'!$A$6:$A$4335))),--('Diags Raw Data'!$Q$6:$Q$4335&lt;&gt;"N/A"),'Diags Raw Data'!$T$6:$T$4335)+SUMPRODUCT(--(ISNUMBER(SEARCH($A162,'Diags Raw Data'!$A$6:$A$4335))),--('Diags Raw Data'!$Q$6:$Q$4335&lt;&gt;"N/A"),'Diags Raw Data'!$U$6:$U$4335)</f>
        <v>0</v>
      </c>
      <c r="O162" s="428">
        <f t="shared" si="93"/>
        <v>0</v>
      </c>
      <c r="P162" s="402">
        <f>SUMIF('Diags Raw Data'!$A$6:$A$4335,"*"&amp;$A162&amp;"*",'Diags Raw Data'!$Z$6:$Z$4335)</f>
        <v>0</v>
      </c>
      <c r="Q162" s="403">
        <f>SUM(SUMIF('Diags Raw Data'!$A$6:$A$4335,"*"&amp;$A162&amp;"*",'Diags Raw Data'!$AA$6:$AA$4335),SUMIF('Diags Raw Data'!$A$6:$A$4335,"*"&amp;$A162&amp;"*",'Diags Raw Data'!$AB$6:$AB$4335))</f>
        <v>0</v>
      </c>
      <c r="R162" s="404">
        <f t="shared" si="94"/>
        <v>0</v>
      </c>
      <c r="S162" s="404">
        <f t="shared" si="95"/>
        <v>0</v>
      </c>
      <c r="T162" s="405">
        <f t="shared" si="96"/>
        <v>0</v>
      </c>
      <c r="U162" s="434" t="s">
        <v>44</v>
      </c>
      <c r="V162" s="171" t="s">
        <v>1520</v>
      </c>
    </row>
    <row r="163" spans="1:22" ht="30" x14ac:dyDescent="0.25">
      <c r="A163" s="420" t="s">
        <v>1583</v>
      </c>
      <c r="B163" s="328" t="str">
        <f>VLOOKUP(A163,'Feature Raw Data'!$A$3:$B$4067,2,FALSE)</f>
        <v>ATHUB:ATS - SOC-15 QoS 1.0 (Qos for mmhub translation)</v>
      </c>
      <c r="C163" s="271" t="str">
        <f>VLOOKUP(A163,'Feature Raw Data'!$A$3:$C$4067,3,FALSE)</f>
        <v>P2</v>
      </c>
      <c r="D163" s="82" t="str" cm="1">
        <f t="array" ref="D163">_xlfn.TEXTJOIN("",TRUE,IF(ISNUMBER(SEARCH($A163,'Diags Raw Data'!$A$6:$A$4335)),CONCATENATE('Diags Raw Data'!$H$6:$H$4335,", "),""))</f>
        <v/>
      </c>
      <c r="E163" s="169" t="e">
        <f>VLOOKUP(A163,'Diags Raw Data'!$A$6:$D$4335,4,FALSE)</f>
        <v>#N/A</v>
      </c>
      <c r="F163" s="169" t="str">
        <f>VLOOKUP(A163,'Feature Raw Data'!$A$3:$E$4067,5,FALSE)</f>
        <v>Legacy</v>
      </c>
      <c r="G163" s="169" t="str">
        <f t="shared" si="91"/>
        <v>No</v>
      </c>
      <c r="H163" s="169" t="str">
        <f t="shared" si="92"/>
        <v>No</v>
      </c>
      <c r="I163" s="271">
        <f>SUMIF('Diags Raw Data'!$A$6:$A$4335,"*"&amp;$A163&amp;"*",'Diags Raw Data'!$K$6:$K$4335)</f>
        <v>0</v>
      </c>
      <c r="J163" s="179">
        <f>SUMIF('Diags Raw Data'!$A$6:$A$4335,"*"&amp;$A163&amp;"*",'Diags Raw Data'!$L$6:$L$4335)</f>
        <v>0</v>
      </c>
      <c r="K163" s="398" cm="1">
        <f t="array" ref="K163">IF(D163="",0, SUMPRODUCT(--(ISNUMBER(SEARCH($A163,'Diags Raw Data'!$A$6:$A$4335))),'Diags Raw Data'!$L$6:$L$4335,'Diags Raw Data'!$N$6:$N$4335)/J163)</f>
        <v>0</v>
      </c>
      <c r="L163" s="399" cm="1">
        <f t="array" ref="L163">IF(D163="",0, SUMPRODUCT(--(ISNUMBER(SEARCH($A163,'Diags Raw Data'!$A$6:$A$4335))),'Diags Raw Data'!$L$6:$L$4335,'Diags Raw Data'!$P$6:$P$4335)/J163)</f>
        <v>0</v>
      </c>
      <c r="M163" s="400" cm="1">
        <f t="array" ref="M163">SUMPRODUCT(--(ISNUMBER(SEARCH($A163,'Diags Raw Data'!$A$6:$A$4335))),--('Diags Raw Data'!$Q$6:$Q$4335&lt;&gt;"N/A"),'Diags Raw Data'!$R$6:$R$4335)</f>
        <v>0</v>
      </c>
      <c r="N163" s="401" cm="1">
        <f t="array" ref="N163">SUMPRODUCT(--(ISNUMBER(SEARCH($A163,'Diags Raw Data'!$A$6:$A$4335))),--('Diags Raw Data'!$Q$6:$Q$4335&lt;&gt;"N/A"),'Diags Raw Data'!$T$6:$T$4335)+SUMPRODUCT(--(ISNUMBER(SEARCH($A163,'Diags Raw Data'!$A$6:$A$4335))),--('Diags Raw Data'!$Q$6:$Q$4335&lt;&gt;"N/A"),'Diags Raw Data'!$U$6:$U$4335)</f>
        <v>0</v>
      </c>
      <c r="O163" s="428">
        <f t="shared" si="93"/>
        <v>0</v>
      </c>
      <c r="P163" s="402">
        <f>SUMIF('Diags Raw Data'!$A$6:$A$4335,"*"&amp;$A163&amp;"*",'Diags Raw Data'!$Z$6:$Z$4335)</f>
        <v>0</v>
      </c>
      <c r="Q163" s="403">
        <f>SUM(SUMIF('Diags Raw Data'!$A$6:$A$4335,"*"&amp;$A163&amp;"*",'Diags Raw Data'!$AA$6:$AA$4335),SUMIF('Diags Raw Data'!$A$6:$A$4335,"*"&amp;$A163&amp;"*",'Diags Raw Data'!$AB$6:$AB$4335))</f>
        <v>0</v>
      </c>
      <c r="R163" s="404">
        <f t="shared" si="94"/>
        <v>0</v>
      </c>
      <c r="S163" s="404">
        <f t="shared" si="95"/>
        <v>0</v>
      </c>
      <c r="T163" s="405">
        <f t="shared" si="96"/>
        <v>0</v>
      </c>
      <c r="U163" s="434" t="s">
        <v>44</v>
      </c>
      <c r="V163" s="171" t="s">
        <v>43</v>
      </c>
    </row>
    <row r="164" spans="1:22" ht="90" x14ac:dyDescent="0.25">
      <c r="A164" s="420" t="s">
        <v>1585</v>
      </c>
      <c r="B164" s="328" t="str">
        <f>VLOOKUP(A164,'Feature Raw Data'!$A$3:$B$4067,2,FALSE)</f>
        <v>ATHUB:ATS - Address Translation Requests and Completions</v>
      </c>
      <c r="C164" s="271" t="str">
        <f>VLOOKUP(A164,'Feature Raw Data'!$A$3:$C$4067,3,FALSE)</f>
        <v>P2</v>
      </c>
      <c r="D164" s="82" t="str" cm="1">
        <f t="array" ref="D164">_xlfn.TEXTJOIN("",TRUE,IF(ISNUMBER(SEARCH($A164,'Diags Raw Data'!$A$6:$A$4335)),CONCATENATE('Diags Raw Data'!$H$6:$H$4335,", "),""))</f>
        <v xml:space="preserve">mhub201.5, mhub401.1-6,mhub401.11-16,mhub401.21-26, mhub401.34, mhub405.1, </v>
      </c>
      <c r="E164" s="169" t="str">
        <f>VLOOKUP(A164,'Diags Raw Data'!$A$6:$D$4335,4,FALSE)</f>
        <v>GCHUB</v>
      </c>
      <c r="F164" s="169" t="str">
        <f>VLOOKUP(A164,'Feature Raw Data'!$A$3:$E$4067,5,FALSE)</f>
        <v>Legacy</v>
      </c>
      <c r="G164" s="169" t="str">
        <f t="shared" si="91"/>
        <v>Yes</v>
      </c>
      <c r="H164" s="169" t="str">
        <f t="shared" si="92"/>
        <v>Yes</v>
      </c>
      <c r="I164" s="271">
        <f>SUMIF('Diags Raw Data'!$A$6:$A$4335,"*"&amp;$A164&amp;"*",'Diags Raw Data'!$K$6:$K$4335)</f>
        <v>4</v>
      </c>
      <c r="J164" s="179">
        <f>SUMIF('Diags Raw Data'!$A$6:$A$4335,"*"&amp;$A164&amp;"*",'Diags Raw Data'!$L$6:$L$4335)</f>
        <v>21</v>
      </c>
      <c r="K164" s="398" cm="1">
        <f t="array" ref="K164">IF(D164="",0, SUMPRODUCT(--(ISNUMBER(SEARCH($A164,'Diags Raw Data'!$A$6:$A$4335))),'Diags Raw Data'!$L$6:$L$4335,'Diags Raw Data'!$N$6:$N$4335)/J164)</f>
        <v>1</v>
      </c>
      <c r="L164" s="399" cm="1">
        <f t="array" ref="L164">IF(D164="",0, SUMPRODUCT(--(ISNUMBER(SEARCH($A164,'Diags Raw Data'!$A$6:$A$4335))),'Diags Raw Data'!$L$6:$L$4335,'Diags Raw Data'!$P$6:$P$4335)/J164)</f>
        <v>0.14285714285714285</v>
      </c>
      <c r="M164" s="400" cm="1">
        <f t="array" ref="M164">SUMPRODUCT(--(ISNUMBER(SEARCH($A164,'Diags Raw Data'!$A$6:$A$4335))),--('Diags Raw Data'!$Q$6:$Q$4335&lt;&gt;"N/A"),'Diags Raw Data'!$R$6:$R$4335)</f>
        <v>21</v>
      </c>
      <c r="N164" s="401" cm="1">
        <f t="array" ref="N164">SUMPRODUCT(--(ISNUMBER(SEARCH($A164,'Diags Raw Data'!$A$6:$A$4335))),--('Diags Raw Data'!$Q$6:$Q$4335&lt;&gt;"N/A"),'Diags Raw Data'!$T$6:$T$4335)+SUMPRODUCT(--(ISNUMBER(SEARCH($A164,'Diags Raw Data'!$A$6:$A$4335))),--('Diags Raw Data'!$Q$6:$Q$4335&lt;&gt;"N/A"),'Diags Raw Data'!$U$6:$U$4335)</f>
        <v>21</v>
      </c>
      <c r="O164" s="428">
        <f t="shared" si="93"/>
        <v>1</v>
      </c>
      <c r="P164" s="402">
        <f>SUMIF('Diags Raw Data'!$A$6:$A$4335,"*"&amp;$A164&amp;"*",'Diags Raw Data'!$Z$6:$Z$4335)</f>
        <v>0</v>
      </c>
      <c r="Q164" s="403">
        <f>SUM(SUMIF('Diags Raw Data'!$A$6:$A$4335,"*"&amp;$A164&amp;"*",'Diags Raw Data'!$AA$6:$AA$4335),SUMIF('Diags Raw Data'!$A$6:$A$4335,"*"&amp;$A164&amp;"*",'Diags Raw Data'!$AB$6:$AB$4335))</f>
        <v>0</v>
      </c>
      <c r="R164" s="404">
        <f t="shared" si="94"/>
        <v>0</v>
      </c>
      <c r="S164" s="404">
        <f t="shared" si="95"/>
        <v>0</v>
      </c>
      <c r="T164" s="405">
        <f t="shared" si="96"/>
        <v>0</v>
      </c>
      <c r="U164" s="434" t="s">
        <v>1654</v>
      </c>
    </row>
    <row r="165" spans="1:22" ht="135" x14ac:dyDescent="0.25">
      <c r="A165" s="420" t="s">
        <v>1587</v>
      </c>
      <c r="B165" s="328" t="str">
        <f>VLOOKUP(A165,'Feature Raw Data'!$A$3:$B$4067,2,FALSE)</f>
        <v>ATHUB:ATS - PRI Page Requests and Responses</v>
      </c>
      <c r="C165" s="271" t="str">
        <f>VLOOKUP(A165,'Feature Raw Data'!$A$3:$C$4067,3,FALSE)</f>
        <v>P2</v>
      </c>
      <c r="D165" s="82" t="str" cm="1">
        <f t="array" ref="D165">_xlfn.TEXTJOIN("",TRUE,IF(ISNUMBER(SEARCH($A165,'Diags Raw Data'!$A$6:$A$4335)),CONCATENATE('Diags Raw Data'!$H$6:$H$4335,", "),""))</f>
        <v xml:space="preserve">mhub405.2, mhub405.3, mhub405.4-5, mhub405.6, mhub406.1, mhub406.2, mhub406.11, mhub406.12, </v>
      </c>
      <c r="E165" s="169" t="str">
        <f>VLOOKUP(A165,'Diags Raw Data'!$A$6:$D$4335,4,FALSE)</f>
        <v>ATHUB</v>
      </c>
      <c r="F165" s="169" t="str">
        <f>VLOOKUP(A165,'Feature Raw Data'!$A$3:$E$4067,5,FALSE)</f>
        <v>Legacy</v>
      </c>
      <c r="G165" s="169" t="str">
        <f t="shared" si="91"/>
        <v>Yes</v>
      </c>
      <c r="H165" s="169" t="str">
        <f t="shared" si="92"/>
        <v>Yes</v>
      </c>
      <c r="I165" s="271">
        <f>SUMIF('Diags Raw Data'!$A$6:$A$4335,"*"&amp;$A165&amp;"*",'Diags Raw Data'!$K$6:$K$4335)</f>
        <v>8</v>
      </c>
      <c r="J165" s="179">
        <f>SUMIF('Diags Raw Data'!$A$6:$A$4335,"*"&amp;$A165&amp;"*",'Diags Raw Data'!$L$6:$L$4335)</f>
        <v>9</v>
      </c>
      <c r="K165" s="398" cm="1">
        <f t="array" ref="K165">IF(D165="",0, SUMPRODUCT(--(ISNUMBER(SEARCH($A165,'Diags Raw Data'!$A$6:$A$4335))),'Diags Raw Data'!$L$6:$L$4335,'Diags Raw Data'!$N$6:$N$4335)/J165)</f>
        <v>1</v>
      </c>
      <c r="L165" s="399" cm="1">
        <f t="array" ref="L165">IF(D165="",0, SUMPRODUCT(--(ISNUMBER(SEARCH($A165,'Diags Raw Data'!$A$6:$A$4335))),'Diags Raw Data'!$L$6:$L$4335,'Diags Raw Data'!$P$6:$P$4335)/J165)</f>
        <v>1</v>
      </c>
      <c r="M165" s="400" cm="1">
        <f t="array" ref="M165">SUMPRODUCT(--(ISNUMBER(SEARCH($A165,'Diags Raw Data'!$A$6:$A$4335))),--('Diags Raw Data'!$Q$6:$Q$4335&lt;&gt;"N/A"),'Diags Raw Data'!$R$6:$R$4335)</f>
        <v>9</v>
      </c>
      <c r="N165" s="401" cm="1">
        <f t="array" ref="N165">SUMPRODUCT(--(ISNUMBER(SEARCH($A165,'Diags Raw Data'!$A$6:$A$4335))),--('Diags Raw Data'!$Q$6:$Q$4335&lt;&gt;"N/A"),'Diags Raw Data'!$T$6:$T$4335)+SUMPRODUCT(--(ISNUMBER(SEARCH($A165,'Diags Raw Data'!$A$6:$A$4335))),--('Diags Raw Data'!$Q$6:$Q$4335&lt;&gt;"N/A"),'Diags Raw Data'!$U$6:$U$4335)</f>
        <v>9</v>
      </c>
      <c r="O165" s="428">
        <f t="shared" si="93"/>
        <v>1</v>
      </c>
      <c r="P165" s="402">
        <f>SUMIF('Diags Raw Data'!$A$6:$A$4335,"*"&amp;$A165&amp;"*",'Diags Raw Data'!$Z$6:$Z$4335)</f>
        <v>0</v>
      </c>
      <c r="Q165" s="403">
        <f>SUM(SUMIF('Diags Raw Data'!$A$6:$A$4335,"*"&amp;$A165&amp;"*",'Diags Raw Data'!$AA$6:$AA$4335),SUMIF('Diags Raw Data'!$A$6:$A$4335,"*"&amp;$A165&amp;"*",'Diags Raw Data'!$AB$6:$AB$4335))</f>
        <v>0</v>
      </c>
      <c r="R165" s="404">
        <f t="shared" si="94"/>
        <v>0</v>
      </c>
      <c r="S165" s="404">
        <f t="shared" si="95"/>
        <v>0</v>
      </c>
      <c r="T165" s="405">
        <f t="shared" si="96"/>
        <v>0</v>
      </c>
      <c r="U165" s="434" t="s">
        <v>1663</v>
      </c>
    </row>
    <row r="166" spans="1:22" ht="45" x14ac:dyDescent="0.25">
      <c r="A166" s="420" t="s">
        <v>1589</v>
      </c>
      <c r="B166" s="328" t="str">
        <f>VLOOKUP(A166,'Feature Raw Data'!$A$3:$B$4067,2,FALSE)</f>
        <v>ATHUB:ATS - Invalidate Requests and Completions</v>
      </c>
      <c r="C166" s="271" t="str">
        <f>VLOOKUP(A166,'Feature Raw Data'!$A$3:$C$4067,3,FALSE)</f>
        <v>P2</v>
      </c>
      <c r="D166" s="82" t="str" cm="1">
        <f t="array" ref="D166">_xlfn.TEXTJOIN("",TRUE,IF(ISNUMBER(SEARCH($A166,'Diags Raw Data'!$A$6:$A$4335)),CONCATENATE('Diags Raw Data'!$H$6:$H$4335,", "),""))</f>
        <v xml:space="preserve">mhub067.1-4, mhub405.3, </v>
      </c>
      <c r="E166" s="169" t="str">
        <f>VLOOKUP(A166,'Diags Raw Data'!$A$6:$D$4335,4,FALSE)</f>
        <v>MMHUB</v>
      </c>
      <c r="F166" s="169" t="str">
        <f>VLOOKUP(A166,'Feature Raw Data'!$A$3:$E$4067,5,FALSE)</f>
        <v>Legacy</v>
      </c>
      <c r="G166" s="169" t="str">
        <f t="shared" si="91"/>
        <v>Yes</v>
      </c>
      <c r="H166" s="169" t="str">
        <f t="shared" si="92"/>
        <v>Yes</v>
      </c>
      <c r="I166" s="271">
        <f>SUMIF('Diags Raw Data'!$A$6:$A$4335,"*"&amp;$A166&amp;"*",'Diags Raw Data'!$K$6:$K$4335)</f>
        <v>2</v>
      </c>
      <c r="J166" s="179">
        <f>SUMIF('Diags Raw Data'!$A$6:$A$4335,"*"&amp;$A166&amp;"*",'Diags Raw Data'!$L$6:$L$4335)</f>
        <v>5</v>
      </c>
      <c r="K166" s="398" cm="1">
        <f t="array" ref="K166">IF(D166="",0, SUMPRODUCT(--(ISNUMBER(SEARCH($A166,'Diags Raw Data'!$A$6:$A$4335))),'Diags Raw Data'!$L$6:$L$4335,'Diags Raw Data'!$N$6:$N$4335)/J166)</f>
        <v>1</v>
      </c>
      <c r="L166" s="399" cm="1">
        <f t="array" ref="L166">IF(D166="",0, SUMPRODUCT(--(ISNUMBER(SEARCH($A166,'Diags Raw Data'!$A$6:$A$4335))),'Diags Raw Data'!$L$6:$L$4335,'Diags Raw Data'!$P$6:$P$4335)/J166)</f>
        <v>1</v>
      </c>
      <c r="M166" s="400" cm="1">
        <f t="array" ref="M166">SUMPRODUCT(--(ISNUMBER(SEARCH($A166,'Diags Raw Data'!$A$6:$A$4335))),--('Diags Raw Data'!$Q$6:$Q$4335&lt;&gt;"N/A"),'Diags Raw Data'!$R$6:$R$4335)</f>
        <v>5</v>
      </c>
      <c r="N166" s="401" cm="1">
        <f t="array" ref="N166">SUMPRODUCT(--(ISNUMBER(SEARCH($A166,'Diags Raw Data'!$A$6:$A$4335))),--('Diags Raw Data'!$Q$6:$Q$4335&lt;&gt;"N/A"),'Diags Raw Data'!$T$6:$T$4335)+SUMPRODUCT(--(ISNUMBER(SEARCH($A166,'Diags Raw Data'!$A$6:$A$4335))),--('Diags Raw Data'!$Q$6:$Q$4335&lt;&gt;"N/A"),'Diags Raw Data'!$U$6:$U$4335)</f>
        <v>5</v>
      </c>
      <c r="O166" s="428">
        <f t="shared" si="93"/>
        <v>1</v>
      </c>
      <c r="P166" s="402">
        <f>SUMIF('Diags Raw Data'!$A$6:$A$4335,"*"&amp;$A166&amp;"*",'Diags Raw Data'!$Z$6:$Z$4335)</f>
        <v>0</v>
      </c>
      <c r="Q166" s="403">
        <f>SUM(SUMIF('Diags Raw Data'!$A$6:$A$4335,"*"&amp;$A166&amp;"*",'Diags Raw Data'!$AA$6:$AA$4335),SUMIF('Diags Raw Data'!$A$6:$A$4335,"*"&amp;$A166&amp;"*",'Diags Raw Data'!$AB$6:$AB$4335))</f>
        <v>0</v>
      </c>
      <c r="R166" s="404">
        <f t="shared" si="94"/>
        <v>0</v>
      </c>
      <c r="S166" s="404">
        <f t="shared" si="95"/>
        <v>0</v>
      </c>
      <c r="T166" s="405">
        <f t="shared" si="96"/>
        <v>0</v>
      </c>
      <c r="U166" s="434" t="s">
        <v>1656</v>
      </c>
    </row>
    <row r="167" spans="1:22" ht="135" x14ac:dyDescent="0.25">
      <c r="A167" s="420" t="s">
        <v>1027</v>
      </c>
      <c r="B167" s="328" t="str">
        <f>VLOOKUP(A167,'Feature Raw Data'!$A$3:$B$4067,2,FALSE)</f>
        <v>ATHUB:ATS - Invalidation Flow Stall</v>
      </c>
      <c r="C167" s="271" t="str">
        <f>VLOOKUP(A167,'Feature Raw Data'!$A$3:$C$4067,3,FALSE)</f>
        <v>P2</v>
      </c>
      <c r="D167" s="82" t="str" cm="1">
        <f t="array" ref="D167">_xlfn.TEXTJOIN("",TRUE,IF(ISNUMBER(SEARCH($A167,'Diags Raw Data'!$A$6:$A$4335)),CONCATENATE('Diags Raw Data'!$H$6:$H$4335,", "),""))</f>
        <v xml:space="preserve">mhub405.4-5, mhub406.1, mhub406.2, mhub406.11, mhub406.12, mhub412.1, mhub412.2, mhub412.3, </v>
      </c>
      <c r="E167" s="169" t="str">
        <f>VLOOKUP(A167,'Diags Raw Data'!$A$6:$D$4335,4,FALSE)</f>
        <v>ATHUB</v>
      </c>
      <c r="F167" s="169" t="str">
        <f>VLOOKUP(A167,'Feature Raw Data'!$A$3:$E$4067,5,FALSE)</f>
        <v>Legacy</v>
      </c>
      <c r="G167" s="169" t="str">
        <f t="shared" si="91"/>
        <v>Yes</v>
      </c>
      <c r="H167" s="169" t="str">
        <f t="shared" si="92"/>
        <v>Yes</v>
      </c>
      <c r="I167" s="271">
        <f>SUMIF('Diags Raw Data'!$A$6:$A$4335,"*"&amp;$A167&amp;"*",'Diags Raw Data'!$K$6:$K$4335)</f>
        <v>8</v>
      </c>
      <c r="J167" s="179">
        <f>SUMIF('Diags Raw Data'!$A$6:$A$4335,"*"&amp;$A167&amp;"*",'Diags Raw Data'!$L$6:$L$4335)</f>
        <v>9</v>
      </c>
      <c r="K167" s="398" cm="1">
        <f t="array" ref="K167">IF(D167="",0, SUMPRODUCT(--(ISNUMBER(SEARCH($A167,'Diags Raw Data'!$A$6:$A$4335))),'Diags Raw Data'!$L$6:$L$4335,'Diags Raw Data'!$N$6:$N$4335)/J167)</f>
        <v>1</v>
      </c>
      <c r="L167" s="399" cm="1">
        <f t="array" ref="L167">IF(D167="",0, SUMPRODUCT(--(ISNUMBER(SEARCH($A167,'Diags Raw Data'!$A$6:$A$4335))),'Diags Raw Data'!$L$6:$L$4335,'Diags Raw Data'!$P$6:$P$4335)/J167)</f>
        <v>1</v>
      </c>
      <c r="M167" s="400" cm="1">
        <f t="array" ref="M167">SUMPRODUCT(--(ISNUMBER(SEARCH($A167,'Diags Raw Data'!$A$6:$A$4335))),--('Diags Raw Data'!$Q$6:$Q$4335&lt;&gt;"N/A"),'Diags Raw Data'!$R$6:$R$4335)</f>
        <v>9</v>
      </c>
      <c r="N167" s="401" cm="1">
        <f t="array" ref="N167">SUMPRODUCT(--(ISNUMBER(SEARCH($A167,'Diags Raw Data'!$A$6:$A$4335))),--('Diags Raw Data'!$Q$6:$Q$4335&lt;&gt;"N/A"),'Diags Raw Data'!$T$6:$T$4335)+SUMPRODUCT(--(ISNUMBER(SEARCH($A167,'Diags Raw Data'!$A$6:$A$4335))),--('Diags Raw Data'!$Q$6:$Q$4335&lt;&gt;"N/A"),'Diags Raw Data'!$U$6:$U$4335)</f>
        <v>9</v>
      </c>
      <c r="O167" s="428">
        <f t="shared" si="93"/>
        <v>1</v>
      </c>
      <c r="P167" s="402">
        <f>SUMIF('Diags Raw Data'!$A$6:$A$4335,"*"&amp;$A167&amp;"*",'Diags Raw Data'!$Z$6:$Z$4335)</f>
        <v>0</v>
      </c>
      <c r="Q167" s="403">
        <f>SUM(SUMIF('Diags Raw Data'!$A$6:$A$4335,"*"&amp;$A167&amp;"*",'Diags Raw Data'!$AA$6:$AA$4335),SUMIF('Diags Raw Data'!$A$6:$A$4335,"*"&amp;$A167&amp;"*",'Diags Raw Data'!$AB$6:$AB$4335))</f>
        <v>0</v>
      </c>
      <c r="R167" s="404">
        <f t="shared" si="94"/>
        <v>0</v>
      </c>
      <c r="S167" s="404">
        <f t="shared" si="95"/>
        <v>0</v>
      </c>
      <c r="T167" s="405">
        <f t="shared" si="96"/>
        <v>0</v>
      </c>
      <c r="U167" s="434" t="s">
        <v>1663</v>
      </c>
    </row>
    <row r="168" spans="1:22" ht="45" x14ac:dyDescent="0.25">
      <c r="A168" s="420" t="s">
        <v>1592</v>
      </c>
      <c r="B168" s="328" t="str">
        <f>VLOOKUP(A168,'Feature Raw Data'!$A$3:$B$4067,2,FALSE)</f>
        <v>ATHUB:ATS - ATC Host Trans Enable Mode</v>
      </c>
      <c r="C168" s="271" t="str">
        <f>VLOOKUP(A168,'Feature Raw Data'!$A$3:$C$4067,3,FALSE)</f>
        <v>P2</v>
      </c>
      <c r="D168" s="82" t="str" cm="1">
        <f t="array" ref="D168">_xlfn.TEXTJOIN("",TRUE,IF(ISNUMBER(SEARCH($A168,'Diags Raw Data'!$A$6:$A$4335)),CONCATENATE('Diags Raw Data'!$H$6:$H$4335,", "),""))</f>
        <v xml:space="preserve">mhub405.6, mhub413.1-3, </v>
      </c>
      <c r="E168" s="169" t="str">
        <f>VLOOKUP(A168,'Diags Raw Data'!$A$6:$D$4335,4,FALSE)</f>
        <v>ATHUB</v>
      </c>
      <c r="F168" s="169" t="str">
        <f>VLOOKUP(A168,'Feature Raw Data'!$A$3:$E$4067,5,FALSE)</f>
        <v>Legacy</v>
      </c>
      <c r="G168" s="169" t="str">
        <f t="shared" si="91"/>
        <v>Yes</v>
      </c>
      <c r="H168" s="169" t="str">
        <f t="shared" si="92"/>
        <v>Yes</v>
      </c>
      <c r="I168" s="271">
        <f>SUMIF('Diags Raw Data'!$A$6:$A$4335,"*"&amp;$A168&amp;"*",'Diags Raw Data'!$K$6:$K$4335)</f>
        <v>2</v>
      </c>
      <c r="J168" s="179">
        <f>SUMIF('Diags Raw Data'!$A$6:$A$4335,"*"&amp;$A168&amp;"*",'Diags Raw Data'!$L$6:$L$4335)</f>
        <v>4</v>
      </c>
      <c r="K168" s="398" cm="1">
        <f t="array" ref="K168">IF(D168="",0, SUMPRODUCT(--(ISNUMBER(SEARCH($A168,'Diags Raw Data'!$A$6:$A$4335))),'Diags Raw Data'!$L$6:$L$4335,'Diags Raw Data'!$N$6:$N$4335)/J168)</f>
        <v>1</v>
      </c>
      <c r="L168" s="399" cm="1">
        <f t="array" ref="L168">IF(D168="",0, SUMPRODUCT(--(ISNUMBER(SEARCH($A168,'Diags Raw Data'!$A$6:$A$4335))),'Diags Raw Data'!$L$6:$L$4335,'Diags Raw Data'!$P$6:$P$4335)/J168)</f>
        <v>1</v>
      </c>
      <c r="M168" s="400" cm="1">
        <f t="array" ref="M168">SUMPRODUCT(--(ISNUMBER(SEARCH($A168,'Diags Raw Data'!$A$6:$A$4335))),--('Diags Raw Data'!$Q$6:$Q$4335&lt;&gt;"N/A"),'Diags Raw Data'!$R$6:$R$4335)</f>
        <v>4</v>
      </c>
      <c r="N168" s="401" cm="1">
        <f t="array" ref="N168">SUMPRODUCT(--(ISNUMBER(SEARCH($A168,'Diags Raw Data'!$A$6:$A$4335))),--('Diags Raw Data'!$Q$6:$Q$4335&lt;&gt;"N/A"),'Diags Raw Data'!$T$6:$T$4335)+SUMPRODUCT(--(ISNUMBER(SEARCH($A168,'Diags Raw Data'!$A$6:$A$4335))),--('Diags Raw Data'!$Q$6:$Q$4335&lt;&gt;"N/A"),'Diags Raw Data'!$U$6:$U$4335)</f>
        <v>4</v>
      </c>
      <c r="O168" s="428">
        <f t="shared" si="93"/>
        <v>1</v>
      </c>
      <c r="P168" s="402">
        <f>SUMIF('Diags Raw Data'!$A$6:$A$4335,"*"&amp;$A168&amp;"*",'Diags Raw Data'!$Z$6:$Z$4335)</f>
        <v>0</v>
      </c>
      <c r="Q168" s="403">
        <f>SUM(SUMIF('Diags Raw Data'!$A$6:$A$4335,"*"&amp;$A168&amp;"*",'Diags Raw Data'!$AA$6:$AA$4335),SUMIF('Diags Raw Data'!$A$6:$A$4335,"*"&amp;$A168&amp;"*",'Diags Raw Data'!$AB$6:$AB$4335))</f>
        <v>0</v>
      </c>
      <c r="R168" s="404">
        <f t="shared" si="94"/>
        <v>0</v>
      </c>
      <c r="S168" s="404">
        <f t="shared" si="95"/>
        <v>0</v>
      </c>
      <c r="T168" s="405">
        <f t="shared" si="96"/>
        <v>0</v>
      </c>
      <c r="U168" s="434" t="s">
        <v>1654</v>
      </c>
    </row>
    <row r="169" spans="1:22" ht="150" x14ac:dyDescent="0.25">
      <c r="A169" s="420" t="s">
        <v>862</v>
      </c>
      <c r="B169" s="328" t="str">
        <f>VLOOKUP(A169,'Feature Raw Data'!$A$3:$B$4067,2,FALSE)</f>
        <v>ATHUB:ATS - Support PASID</v>
      </c>
      <c r="C169" s="271" t="str">
        <f>VLOOKUP(A169,'Feature Raw Data'!$A$3:$C$4067,3,FALSE)</f>
        <v>P2</v>
      </c>
      <c r="D169" s="82" t="str" cm="1">
        <f t="array" ref="D169">_xlfn.TEXTJOIN("",TRUE,IF(ISNUMBER(SEARCH($A169,'Diags Raw Data'!$A$6:$A$4335)),CONCATENATE('Diags Raw Data'!$H$6:$H$4335,", "),""))</f>
        <v xml:space="preserve">mhub263.1, mhub264.2,mhub264.4, mhub266.2,mhub266.4, mhub403.1, mhub403.2, mhub403.3, mhub403.4, mhub403.5, mhub403.6, </v>
      </c>
      <c r="E169" s="169" t="str">
        <f>VLOOKUP(A169,'Diags Raw Data'!$A$6:$D$4335,4,FALSE)</f>
        <v>GCHUB</v>
      </c>
      <c r="F169" s="169" t="str">
        <f>VLOOKUP(A169,'Feature Raw Data'!$A$3:$E$4067,5,FALSE)</f>
        <v>Legacy</v>
      </c>
      <c r="G169" s="169" t="str">
        <f t="shared" si="91"/>
        <v>Yes</v>
      </c>
      <c r="H169" s="169" t="str">
        <f t="shared" si="92"/>
        <v>Yes</v>
      </c>
      <c r="I169" s="271">
        <f>SUMIF('Diags Raw Data'!$A$6:$A$4335,"*"&amp;$A169&amp;"*",'Diags Raw Data'!$K$6:$K$4335)</f>
        <v>9</v>
      </c>
      <c r="J169" s="179">
        <f>SUMIF('Diags Raw Data'!$A$6:$A$4335,"*"&amp;$A169&amp;"*",'Diags Raw Data'!$L$6:$L$4335)</f>
        <v>11</v>
      </c>
      <c r="K169" s="398" cm="1">
        <f t="array" ref="K169">IF(D169="",0, SUMPRODUCT(--(ISNUMBER(SEARCH($A169,'Diags Raw Data'!$A$6:$A$4335))),'Diags Raw Data'!$L$6:$L$4335,'Diags Raw Data'!$N$6:$N$4335)/J169)</f>
        <v>1</v>
      </c>
      <c r="L169" s="399" cm="1">
        <f t="array" ref="L169">IF(D169="",0, SUMPRODUCT(--(ISNUMBER(SEARCH($A169,'Diags Raw Data'!$A$6:$A$4335))),'Diags Raw Data'!$L$6:$L$4335,'Diags Raw Data'!$P$6:$P$4335)/J169)</f>
        <v>1</v>
      </c>
      <c r="M169" s="400" cm="1">
        <f t="array" ref="M169">SUMPRODUCT(--(ISNUMBER(SEARCH($A169,'Diags Raw Data'!$A$6:$A$4335))),--('Diags Raw Data'!$Q$6:$Q$4335&lt;&gt;"N/A"),'Diags Raw Data'!$R$6:$R$4335)</f>
        <v>11</v>
      </c>
      <c r="N169" s="401" cm="1">
        <f t="array" ref="N169">SUMPRODUCT(--(ISNUMBER(SEARCH($A169,'Diags Raw Data'!$A$6:$A$4335))),--('Diags Raw Data'!$Q$6:$Q$4335&lt;&gt;"N/A"),'Diags Raw Data'!$T$6:$T$4335)+SUMPRODUCT(--(ISNUMBER(SEARCH($A169,'Diags Raw Data'!$A$6:$A$4335))),--('Diags Raw Data'!$Q$6:$Q$4335&lt;&gt;"N/A"),'Diags Raw Data'!$U$6:$U$4335)</f>
        <v>11</v>
      </c>
      <c r="O169" s="428">
        <f t="shared" si="93"/>
        <v>1</v>
      </c>
      <c r="P169" s="402">
        <f>SUMIF('Diags Raw Data'!$A$6:$A$4335,"*"&amp;$A169&amp;"*",'Diags Raw Data'!$Z$6:$Z$4335)</f>
        <v>0</v>
      </c>
      <c r="Q169" s="403">
        <f>SUM(SUMIF('Diags Raw Data'!$A$6:$A$4335,"*"&amp;$A169&amp;"*",'Diags Raw Data'!$AA$6:$AA$4335),SUMIF('Diags Raw Data'!$A$6:$A$4335,"*"&amp;$A169&amp;"*",'Diags Raw Data'!$AB$6:$AB$4335))</f>
        <v>0</v>
      </c>
      <c r="R169" s="404">
        <f t="shared" si="94"/>
        <v>0</v>
      </c>
      <c r="S169" s="404">
        <f t="shared" si="95"/>
        <v>0</v>
      </c>
      <c r="T169" s="405">
        <f t="shared" si="96"/>
        <v>0</v>
      </c>
      <c r="U169" s="434" t="s">
        <v>1656</v>
      </c>
    </row>
    <row r="170" spans="1:22" ht="45" x14ac:dyDescent="0.25">
      <c r="A170" s="420" t="s">
        <v>1595</v>
      </c>
      <c r="B170" s="328" t="str">
        <f>VLOOKUP(A170,'Feature Raw Data'!$A$3:$B$4067,2,FALSE)</f>
        <v>ATHUB:ATS - VMID-&gt;PASID table security</v>
      </c>
      <c r="C170" s="271" t="str">
        <f>VLOOKUP(A170,'Feature Raw Data'!$A$3:$C$4067,3,FALSE)</f>
        <v>P2</v>
      </c>
      <c r="D170" s="82" t="str" cm="1">
        <f t="array" ref="D170">_xlfn.TEXTJOIN("",TRUE,IF(ISNUMBER(SEARCH($A170,'Diags Raw Data'!$A$6:$A$4335)),CONCATENATE('Diags Raw Data'!$H$6:$H$4335,", "),""))</f>
        <v xml:space="preserve">mhub405.7, mhub413.1-3, </v>
      </c>
      <c r="E170" s="169" t="str">
        <f>VLOOKUP(A170,'Diags Raw Data'!$A$6:$D$4335,4,FALSE)</f>
        <v>ATHUB</v>
      </c>
      <c r="F170" s="169" t="str">
        <f>VLOOKUP(A170,'Feature Raw Data'!$A$3:$E$4067,5,FALSE)</f>
        <v>Legacy</v>
      </c>
      <c r="G170" s="169" t="str">
        <f t="shared" si="91"/>
        <v>Yes</v>
      </c>
      <c r="H170" s="169" t="str">
        <f t="shared" si="92"/>
        <v>Yes</v>
      </c>
      <c r="I170" s="271">
        <f>SUMIF('Diags Raw Data'!$A$6:$A$4335,"*"&amp;$A170&amp;"*",'Diags Raw Data'!$K$6:$K$4335)</f>
        <v>2</v>
      </c>
      <c r="J170" s="179">
        <f>SUMIF('Diags Raw Data'!$A$6:$A$4335,"*"&amp;$A170&amp;"*",'Diags Raw Data'!$L$6:$L$4335)</f>
        <v>4</v>
      </c>
      <c r="K170" s="398" cm="1">
        <f t="array" ref="K170">IF(D170="",0, SUMPRODUCT(--(ISNUMBER(SEARCH($A170,'Diags Raw Data'!$A$6:$A$4335))),'Diags Raw Data'!$L$6:$L$4335,'Diags Raw Data'!$N$6:$N$4335)/J170)</f>
        <v>1</v>
      </c>
      <c r="L170" s="399" cm="1">
        <f t="array" ref="L170">IF(D170="",0, SUMPRODUCT(--(ISNUMBER(SEARCH($A170,'Diags Raw Data'!$A$6:$A$4335))),'Diags Raw Data'!$L$6:$L$4335,'Diags Raw Data'!$P$6:$P$4335)/J170)</f>
        <v>1</v>
      </c>
      <c r="M170" s="400" cm="1">
        <f t="array" ref="M170">SUMPRODUCT(--(ISNUMBER(SEARCH($A170,'Diags Raw Data'!$A$6:$A$4335))),--('Diags Raw Data'!$Q$6:$Q$4335&lt;&gt;"N/A"),'Diags Raw Data'!$R$6:$R$4335)</f>
        <v>4</v>
      </c>
      <c r="N170" s="401" cm="1">
        <f t="array" ref="N170">SUMPRODUCT(--(ISNUMBER(SEARCH($A170,'Diags Raw Data'!$A$6:$A$4335))),--('Diags Raw Data'!$Q$6:$Q$4335&lt;&gt;"N/A"),'Diags Raw Data'!$T$6:$T$4335)+SUMPRODUCT(--(ISNUMBER(SEARCH($A170,'Diags Raw Data'!$A$6:$A$4335))),--('Diags Raw Data'!$Q$6:$Q$4335&lt;&gt;"N/A"),'Diags Raw Data'!$U$6:$U$4335)</f>
        <v>4</v>
      </c>
      <c r="O170" s="428">
        <f t="shared" si="93"/>
        <v>1</v>
      </c>
      <c r="P170" s="402">
        <f>SUMIF('Diags Raw Data'!$A$6:$A$4335,"*"&amp;$A170&amp;"*",'Diags Raw Data'!$Z$6:$Z$4335)</f>
        <v>0</v>
      </c>
      <c r="Q170" s="403">
        <f>SUM(SUMIF('Diags Raw Data'!$A$6:$A$4335,"*"&amp;$A170&amp;"*",'Diags Raw Data'!$AA$6:$AA$4335),SUMIF('Diags Raw Data'!$A$6:$A$4335,"*"&amp;$A170&amp;"*",'Diags Raw Data'!$AB$6:$AB$4335))</f>
        <v>0</v>
      </c>
      <c r="R170" s="404">
        <f t="shared" si="94"/>
        <v>0</v>
      </c>
      <c r="S170" s="404">
        <f t="shared" si="95"/>
        <v>0</v>
      </c>
      <c r="T170" s="405">
        <f t="shared" si="96"/>
        <v>0</v>
      </c>
      <c r="U170" s="434" t="s">
        <v>1654</v>
      </c>
    </row>
    <row r="171" spans="1:22" ht="360" x14ac:dyDescent="0.25">
      <c r="A171" s="420" t="s">
        <v>932</v>
      </c>
      <c r="B171" s="328" t="str">
        <f>VLOOKUP(A171,'Feature Raw Data'!$A$3:$B$4067,2,FALSE)</f>
        <v>ATHUB:ATS - Fault check and control</v>
      </c>
      <c r="C171" s="271" t="str">
        <f>VLOOKUP(A171,'Feature Raw Data'!$A$3:$C$4067,3,FALSE)</f>
        <v>P2</v>
      </c>
      <c r="D171" s="82" t="str" cm="1">
        <f t="array" ref="D171">_xlfn.TEXTJOIN("",TRUE,IF(ISNUMBER(SEARCH($A171,'Diags Raw Data'!$A$6:$A$4335)),CONCATENATE('Diags Raw Data'!$H$6:$H$4335,",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Data'!$A$6:$D$4335,4,FALSE)</f>
        <v>ATHUB</v>
      </c>
      <c r="F171" s="169" t="str">
        <f>VLOOKUP(A171,'Feature Raw Data'!$A$3:$E$4067,5,FALSE)</f>
        <v>Legacy</v>
      </c>
      <c r="G171" s="169" t="str">
        <f t="shared" ref="G171:G179" si="97">IF(D171="","No","Yes")</f>
        <v>Yes</v>
      </c>
      <c r="H171" s="169" t="str">
        <f t="shared" ref="H171:H181" si="98">IF(D171="","No","Yes")</f>
        <v>Yes</v>
      </c>
      <c r="I171" s="271">
        <f>SUMIF('Diags Raw Data'!$A$6:$A$4335,"*"&amp;$A171&amp;"*",'Diags Raw Data'!$K$6:$K$4335)</f>
        <v>21</v>
      </c>
      <c r="J171" s="179">
        <f>SUMIF('Diags Raw Data'!$A$6:$A$4335,"*"&amp;$A171&amp;"*",'Diags Raw Data'!$L$6:$L$4335)</f>
        <v>27</v>
      </c>
      <c r="K171" s="398" cm="1">
        <f t="array" ref="K171">IF(D171="",0, SUMPRODUCT(--(ISNUMBER(SEARCH($A171,'Diags Raw Data'!$A$6:$A$4335))),'Diags Raw Data'!$L$6:$L$4335,'Diags Raw Data'!$N$6:$N$4335)/J171)</f>
        <v>1</v>
      </c>
      <c r="L171" s="399" cm="1">
        <f t="array" ref="L171">IF(D171="",0, SUMPRODUCT(--(ISNUMBER(SEARCH($A171,'Diags Raw Data'!$A$6:$A$4335))),'Diags Raw Data'!$L$6:$L$4335,'Diags Raw Data'!$P$6:$P$4335)/J171)</f>
        <v>1</v>
      </c>
      <c r="M171" s="400" cm="1">
        <f t="array" ref="M171">SUMPRODUCT(--(ISNUMBER(SEARCH($A171,'Diags Raw Data'!$A$6:$A$4335))),--('Diags Raw Data'!$Q$6:$Q$4335&lt;&gt;"N/A"),'Diags Raw Data'!$R$6:$R$4335)</f>
        <v>27</v>
      </c>
      <c r="N171" s="401" cm="1">
        <f t="array" ref="N171">SUMPRODUCT(--(ISNUMBER(SEARCH($A171,'Diags Raw Data'!$A$6:$A$4335))),--('Diags Raw Data'!$Q$6:$Q$4335&lt;&gt;"N/A"),'Diags Raw Data'!$T$6:$T$4335)+SUMPRODUCT(--(ISNUMBER(SEARCH($A171,'Diags Raw Data'!$A$6:$A$4335))),--('Diags Raw Data'!$Q$6:$Q$4335&lt;&gt;"N/A"),'Diags Raw Data'!$U$6:$U$4335)</f>
        <v>27</v>
      </c>
      <c r="O171" s="428">
        <f t="shared" ref="O171:O181" si="99">IF((M171=0),0,N171/M171)</f>
        <v>1</v>
      </c>
      <c r="P171" s="402">
        <f>SUMIF('Diags Raw Data'!$A$6:$A$4335,"*"&amp;$A171&amp;"*",'Diags Raw Data'!$Z$6:$Z$4335)</f>
        <v>0</v>
      </c>
      <c r="Q171" s="403">
        <f>SUM(SUMIF('Diags Raw Data'!$A$6:$A$4335,"*"&amp;$A171&amp;"*",'Diags Raw Data'!$AA$6:$AA$4335),SUMIF('Diags Raw Data'!$A$6:$A$4335,"*"&amp;$A171&amp;"*",'Diags Raw Data'!$AB$6:$AB$4335))</f>
        <v>0</v>
      </c>
      <c r="R171" s="404">
        <f t="shared" ref="R171:R181" si="100">IF((J171=0),0,P171/J171)</f>
        <v>0</v>
      </c>
      <c r="S171" s="404">
        <f t="shared" ref="S171:S181" si="101">IF((P171=0),0,Q171/P171)</f>
        <v>0</v>
      </c>
      <c r="T171" s="405">
        <f t="shared" ref="T171:T181" si="102">R171*S171</f>
        <v>0</v>
      </c>
      <c r="U171" s="434" t="s">
        <v>1663</v>
      </c>
    </row>
    <row r="172" spans="1:22" ht="135" x14ac:dyDescent="0.25">
      <c r="A172" s="420" t="s">
        <v>1600</v>
      </c>
      <c r="B172" s="328" t="str">
        <f>VLOOKUP(A172,'Feature Raw Data'!$A$3:$B$4067,2,FALSE)</f>
        <v>ATHUB:ATS - Console IOV (Pseudo-IOV) - VMID-&gt;VFID mapping for ATS req to RPB</v>
      </c>
      <c r="C172" s="271" t="str">
        <f>VLOOKUP(A172,'Feature Raw Data'!$A$3:$C$4067,3,FALSE)</f>
        <v>P2</v>
      </c>
      <c r="D172" s="82" t="str" cm="1">
        <f t="array" ref="D172">_xlfn.TEXTJOIN("",TRUE,IF(ISNUMBER(SEARCH($A172,'Diags Raw Data'!$A$6:$A$4335)),CONCATENATE('Diags Raw Data'!$H$6:$H$4335,", "),""))</f>
        <v xml:space="preserve">mhub405.8, mhub414.1, mhub414.2, mhub414.3, mhub414.4, mhub414.5, mhub414.6, mhub414.7, mhub414.8, </v>
      </c>
      <c r="E172" s="169" t="str">
        <f>VLOOKUP(A172,'Diags Raw Data'!$A$6:$D$4335,4,FALSE)</f>
        <v>ATHUB</v>
      </c>
      <c r="F172" s="169" t="str">
        <f>VLOOKUP(A172,'Feature Raw Data'!$A$3:$E$4067,5,FALSE)</f>
        <v>Legacy</v>
      </c>
      <c r="G172" s="169" t="str">
        <f t="shared" si="97"/>
        <v>Yes</v>
      </c>
      <c r="H172" s="169" t="str">
        <f t="shared" si="98"/>
        <v>Yes</v>
      </c>
      <c r="I172" s="271">
        <f>SUMIF('Diags Raw Data'!$A$6:$A$4335,"*"&amp;$A172&amp;"*",'Diags Raw Data'!$K$6:$K$4335)</f>
        <v>9</v>
      </c>
      <c r="J172" s="179">
        <f>SUMIF('Diags Raw Data'!$A$6:$A$4335,"*"&amp;$A172&amp;"*",'Diags Raw Data'!$L$6:$L$4335)</f>
        <v>9</v>
      </c>
      <c r="K172" s="398" cm="1">
        <f t="array" ref="K172">IF(D172="",0, SUMPRODUCT(--(ISNUMBER(SEARCH($A172,'Diags Raw Data'!$A$6:$A$4335))),'Diags Raw Data'!$L$6:$L$4335,'Diags Raw Data'!$N$6:$N$4335)/J172)</f>
        <v>1</v>
      </c>
      <c r="L172" s="399" cm="1">
        <f t="array" ref="L172">IF(D172="",0, SUMPRODUCT(--(ISNUMBER(SEARCH($A172,'Diags Raw Data'!$A$6:$A$4335))),'Diags Raw Data'!$L$6:$L$4335,'Diags Raw Data'!$P$6:$P$4335)/J172)</f>
        <v>1</v>
      </c>
      <c r="M172" s="400" cm="1">
        <f t="array" ref="M172">SUMPRODUCT(--(ISNUMBER(SEARCH($A172,'Diags Raw Data'!$A$6:$A$4335))),--('Diags Raw Data'!$Q$6:$Q$4335&lt;&gt;"N/A"),'Diags Raw Data'!$R$6:$R$4335)</f>
        <v>9</v>
      </c>
      <c r="N172" s="401" cm="1">
        <f t="array" ref="N172">SUMPRODUCT(--(ISNUMBER(SEARCH($A172,'Diags Raw Data'!$A$6:$A$4335))),--('Diags Raw Data'!$Q$6:$Q$4335&lt;&gt;"N/A"),'Diags Raw Data'!$T$6:$T$4335)+SUMPRODUCT(--(ISNUMBER(SEARCH($A172,'Diags Raw Data'!$A$6:$A$4335))),--('Diags Raw Data'!$Q$6:$Q$4335&lt;&gt;"N/A"),'Diags Raw Data'!$U$6:$U$4335)</f>
        <v>9</v>
      </c>
      <c r="O172" s="428">
        <f t="shared" si="99"/>
        <v>1</v>
      </c>
      <c r="P172" s="402">
        <f>SUMIF('Diags Raw Data'!$A$6:$A$4335,"*"&amp;$A172&amp;"*",'Diags Raw Data'!$Z$6:$Z$4335)</f>
        <v>0</v>
      </c>
      <c r="Q172" s="403">
        <f>SUM(SUMIF('Diags Raw Data'!$A$6:$A$4335,"*"&amp;$A172&amp;"*",'Diags Raw Data'!$AA$6:$AA$4335),SUMIF('Diags Raw Data'!$A$6:$A$4335,"*"&amp;$A172&amp;"*",'Diags Raw Data'!$AB$6:$AB$4335))</f>
        <v>0</v>
      </c>
      <c r="R172" s="404">
        <f t="shared" si="100"/>
        <v>0</v>
      </c>
      <c r="S172" s="404">
        <f t="shared" si="101"/>
        <v>0</v>
      </c>
      <c r="T172" s="405">
        <f t="shared" si="102"/>
        <v>0</v>
      </c>
      <c r="U172" s="434" t="s">
        <v>1658</v>
      </c>
    </row>
    <row r="173" spans="1:22" ht="105" x14ac:dyDescent="0.25">
      <c r="A173" s="420" t="s">
        <v>1602</v>
      </c>
      <c r="B173" s="328" t="str">
        <f>VLOOKUP(A173,'Feature Raw Data'!$A$3:$B$4067,2,FALSE)</f>
        <v>ATHUB:ATS - Console IOV (Pseudo-IOV) - VFID-&gt;VMID mapping for invalidation requests to UTCL2</v>
      </c>
      <c r="C173" s="271" t="str">
        <f>VLOOKUP(A173,'Feature Raw Data'!$A$3:$C$4067,3,FALSE)</f>
        <v>P2</v>
      </c>
      <c r="D173" s="82" t="str" cm="1">
        <f t="array" ref="D173">_xlfn.TEXTJOIN("",TRUE,IF(ISNUMBER(SEARCH($A173,'Diags Raw Data'!$A$6:$A$4335)),CONCATENATE('Diags Raw Data'!$H$6:$H$4335,", "),""))</f>
        <v xml:space="preserve">mhub405.9, mhub414.3, mhub414.4, mhub414.5, mhub414.6, mhub414.7, mhub414.8, </v>
      </c>
      <c r="E173" s="169" t="str">
        <f>VLOOKUP(A173,'Diags Raw Data'!$A$6:$D$4335,4,FALSE)</f>
        <v>ATHUB</v>
      </c>
      <c r="F173" s="169" t="str">
        <f>VLOOKUP(A173,'Feature Raw Data'!$A$3:$E$4067,5,FALSE)</f>
        <v>Legacy</v>
      </c>
      <c r="G173" s="169" t="str">
        <f t="shared" si="97"/>
        <v>Yes</v>
      </c>
      <c r="H173" s="169" t="str">
        <f t="shared" si="98"/>
        <v>Yes</v>
      </c>
      <c r="I173" s="271">
        <f>SUMIF('Diags Raw Data'!$A$6:$A$4335,"*"&amp;$A173&amp;"*",'Diags Raw Data'!$K$6:$K$4335)</f>
        <v>7</v>
      </c>
      <c r="J173" s="179">
        <f>SUMIF('Diags Raw Data'!$A$6:$A$4335,"*"&amp;$A173&amp;"*",'Diags Raw Data'!$L$6:$L$4335)</f>
        <v>7</v>
      </c>
      <c r="K173" s="398" cm="1">
        <f t="array" ref="K173">IF(D173="",0, SUMPRODUCT(--(ISNUMBER(SEARCH($A173,'Diags Raw Data'!$A$6:$A$4335))),'Diags Raw Data'!$L$6:$L$4335,'Diags Raw Data'!$N$6:$N$4335)/J173)</f>
        <v>1</v>
      </c>
      <c r="L173" s="399" cm="1">
        <f t="array" ref="L173">IF(D173="",0, SUMPRODUCT(--(ISNUMBER(SEARCH($A173,'Diags Raw Data'!$A$6:$A$4335))),'Diags Raw Data'!$L$6:$L$4335,'Diags Raw Data'!$P$6:$P$4335)/J173)</f>
        <v>1</v>
      </c>
      <c r="M173" s="400" cm="1">
        <f t="array" ref="M173">SUMPRODUCT(--(ISNUMBER(SEARCH($A173,'Diags Raw Data'!$A$6:$A$4335))),--('Diags Raw Data'!$Q$6:$Q$4335&lt;&gt;"N/A"),'Diags Raw Data'!$R$6:$R$4335)</f>
        <v>7</v>
      </c>
      <c r="N173" s="401" cm="1">
        <f t="array" ref="N173">SUMPRODUCT(--(ISNUMBER(SEARCH($A173,'Diags Raw Data'!$A$6:$A$4335))),--('Diags Raw Data'!$Q$6:$Q$4335&lt;&gt;"N/A"),'Diags Raw Data'!$T$6:$T$4335)+SUMPRODUCT(--(ISNUMBER(SEARCH($A173,'Diags Raw Data'!$A$6:$A$4335))),--('Diags Raw Data'!$Q$6:$Q$4335&lt;&gt;"N/A"),'Diags Raw Data'!$U$6:$U$4335)</f>
        <v>7</v>
      </c>
      <c r="O173" s="428">
        <f t="shared" si="99"/>
        <v>1</v>
      </c>
      <c r="P173" s="402">
        <f>SUMIF('Diags Raw Data'!$A$6:$A$4335,"*"&amp;$A173&amp;"*",'Diags Raw Data'!$Z$6:$Z$4335)</f>
        <v>0</v>
      </c>
      <c r="Q173" s="403">
        <f>SUM(SUMIF('Diags Raw Data'!$A$6:$A$4335,"*"&amp;$A173&amp;"*",'Diags Raw Data'!$AA$6:$AA$4335),SUMIF('Diags Raw Data'!$A$6:$A$4335,"*"&amp;$A173&amp;"*",'Diags Raw Data'!$AB$6:$AB$4335))</f>
        <v>0</v>
      </c>
      <c r="R173" s="404">
        <f t="shared" si="100"/>
        <v>0</v>
      </c>
      <c r="S173" s="404">
        <f t="shared" si="101"/>
        <v>0</v>
      </c>
      <c r="T173" s="405">
        <f t="shared" si="102"/>
        <v>0</v>
      </c>
      <c r="U173" s="434" t="s">
        <v>1658</v>
      </c>
    </row>
    <row r="174" spans="1:22" ht="90" x14ac:dyDescent="0.25">
      <c r="A174" s="420" t="s">
        <v>1604</v>
      </c>
      <c r="B174" s="328" t="str">
        <f>VLOOKUP(A174,'Feature Raw Data'!$A$3:$B$4067,2,FALSE)</f>
        <v>ATHUB:ATS - Console IOV (Pseudo-IOV) - address range based host invalidation</v>
      </c>
      <c r="C174" s="271" t="str">
        <f>VLOOKUP(A174,'Feature Raw Data'!$A$3:$C$4067,3,FALSE)</f>
        <v>P2</v>
      </c>
      <c r="D174" s="82" t="str" cm="1">
        <f t="array" ref="D174">_xlfn.TEXTJOIN("",TRUE,IF(ISNUMBER(SEARCH($A174,'Diags Raw Data'!$A$6:$A$4335)),CONCATENATE('Diags Raw Data'!$H$6:$H$4335,", "),""))</f>
        <v xml:space="preserve">mhub414.4, mhub414.8, mhub414.104, mhub414.108, </v>
      </c>
      <c r="E174" s="169" t="str">
        <f>VLOOKUP(A174,'Diags Raw Data'!$A$6:$D$4335,4,FALSE)</f>
        <v>ATHUB</v>
      </c>
      <c r="F174" s="169" t="str">
        <f>VLOOKUP(A174,'Feature Raw Data'!$A$3:$E$4067,5,FALSE)</f>
        <v>Legacy</v>
      </c>
      <c r="G174" s="169" t="str">
        <f t="shared" si="97"/>
        <v>Yes</v>
      </c>
      <c r="H174" s="169" t="str">
        <f t="shared" si="98"/>
        <v>Yes</v>
      </c>
      <c r="I174" s="271">
        <f>SUMIF('Diags Raw Data'!$A$6:$A$4335,"*"&amp;$A174&amp;"*",'Diags Raw Data'!$K$6:$K$4335)</f>
        <v>4</v>
      </c>
      <c r="J174" s="179">
        <f>SUMIF('Diags Raw Data'!$A$6:$A$4335,"*"&amp;$A174&amp;"*",'Diags Raw Data'!$L$6:$L$4335)</f>
        <v>4</v>
      </c>
      <c r="K174" s="398" cm="1">
        <f t="array" ref="K174">IF(D174="",0, SUMPRODUCT(--(ISNUMBER(SEARCH($A174,'Diags Raw Data'!$A$6:$A$4335))),'Diags Raw Data'!$L$6:$L$4335,'Diags Raw Data'!$N$6:$N$4335)/J174)</f>
        <v>1</v>
      </c>
      <c r="L174" s="399" cm="1">
        <f t="array" ref="L174">IF(D174="",0, SUMPRODUCT(--(ISNUMBER(SEARCH($A174,'Diags Raw Data'!$A$6:$A$4335))),'Diags Raw Data'!$L$6:$L$4335,'Diags Raw Data'!$P$6:$P$4335)/J174)</f>
        <v>1</v>
      </c>
      <c r="M174" s="400" cm="1">
        <f t="array" ref="M174">SUMPRODUCT(--(ISNUMBER(SEARCH($A174,'Diags Raw Data'!$A$6:$A$4335))),--('Diags Raw Data'!$Q$6:$Q$4335&lt;&gt;"N/A"),'Diags Raw Data'!$R$6:$R$4335)</f>
        <v>4</v>
      </c>
      <c r="N174" s="401" cm="1">
        <f t="array" ref="N174">SUMPRODUCT(--(ISNUMBER(SEARCH($A174,'Diags Raw Data'!$A$6:$A$4335))),--('Diags Raw Data'!$Q$6:$Q$4335&lt;&gt;"N/A"),'Diags Raw Data'!$T$6:$T$4335)+SUMPRODUCT(--(ISNUMBER(SEARCH($A174,'Diags Raw Data'!$A$6:$A$4335))),--('Diags Raw Data'!$Q$6:$Q$4335&lt;&gt;"N/A"),'Diags Raw Data'!$U$6:$U$4335)</f>
        <v>4</v>
      </c>
      <c r="O174" s="428">
        <f t="shared" si="99"/>
        <v>1</v>
      </c>
      <c r="P174" s="402">
        <f>SUMIF('Diags Raw Data'!$A$6:$A$4335,"*"&amp;$A174&amp;"*",'Diags Raw Data'!$Z$6:$Z$4335)</f>
        <v>0</v>
      </c>
      <c r="Q174" s="403">
        <f>SUM(SUMIF('Diags Raw Data'!$A$6:$A$4335,"*"&amp;$A174&amp;"*",'Diags Raw Data'!$AA$6:$AA$4335),SUMIF('Diags Raw Data'!$A$6:$A$4335,"*"&amp;$A174&amp;"*",'Diags Raw Data'!$AB$6:$AB$4335))</f>
        <v>0</v>
      </c>
      <c r="R174" s="404">
        <f t="shared" si="100"/>
        <v>0</v>
      </c>
      <c r="S174" s="404">
        <f t="shared" si="101"/>
        <v>0</v>
      </c>
      <c r="T174" s="405">
        <f t="shared" si="102"/>
        <v>0</v>
      </c>
      <c r="U174" s="434" t="s">
        <v>1658</v>
      </c>
    </row>
    <row r="175" spans="1:22" ht="30" x14ac:dyDescent="0.25">
      <c r="A175" s="420" t="s">
        <v>1606</v>
      </c>
      <c r="B175" s="328" t="str">
        <f>VLOOKUP(A175,'Feature Raw Data'!$A$3:$B$4067,2,FALSE)</f>
        <v>ATHUB:RPB - Supports multiple VCs (SDP Virtual Channel)</v>
      </c>
      <c r="C175" s="271" t="str">
        <f>VLOOKUP(A175,'Feature Raw Data'!$A$3:$C$4067,3,FALSE)</f>
        <v>P2</v>
      </c>
      <c r="D175" s="82" t="str" cm="1">
        <f t="array" ref="D175">_xlfn.TEXTJOIN("",TRUE,IF(ISNUMBER(SEARCH($A175,'Diags Raw Data'!$A$6:$A$4335)),CONCATENATE('Diags Raw Data'!$H$6:$H$4335,", "),""))</f>
        <v/>
      </c>
      <c r="E175" s="169" t="e">
        <f>VLOOKUP(A175,'Diags Raw Data'!$A$6:$D$4335,4,FALSE)</f>
        <v>#N/A</v>
      </c>
      <c r="F175" s="169" t="str">
        <f>VLOOKUP(A175,'Feature Raw Data'!$A$3:$E$4067,5,FALSE)</f>
        <v>Legacy</v>
      </c>
      <c r="G175" s="169" t="str">
        <f t="shared" si="97"/>
        <v>No</v>
      </c>
      <c r="H175" s="169" t="str">
        <f t="shared" si="98"/>
        <v>No</v>
      </c>
      <c r="I175" s="271">
        <f>SUMIF('Diags Raw Data'!$A$6:$A$4335,"*"&amp;$A175&amp;"*",'Diags Raw Data'!$K$6:$K$4335)</f>
        <v>0</v>
      </c>
      <c r="J175" s="179">
        <f>SUMIF('Diags Raw Data'!$A$6:$A$4335,"*"&amp;$A175&amp;"*",'Diags Raw Data'!$L$6:$L$4335)</f>
        <v>0</v>
      </c>
      <c r="K175" s="398" cm="1">
        <f t="array" ref="K175">IF(D175="",0, SUMPRODUCT(--(ISNUMBER(SEARCH($A175,'Diags Raw Data'!$A$6:$A$4335))),'Diags Raw Data'!$L$6:$L$4335,'Diags Raw Data'!$N$6:$N$4335)/J175)</f>
        <v>0</v>
      </c>
      <c r="L175" s="399" cm="1">
        <f t="array" ref="L175">IF(D175="",0, SUMPRODUCT(--(ISNUMBER(SEARCH($A175,'Diags Raw Data'!$A$6:$A$4335))),'Diags Raw Data'!$L$6:$L$4335,'Diags Raw Data'!$P$6:$P$4335)/J175)</f>
        <v>0</v>
      </c>
      <c r="M175" s="400" cm="1">
        <f t="array" ref="M175">SUMPRODUCT(--(ISNUMBER(SEARCH($A175,'Diags Raw Data'!$A$6:$A$4335))),--('Diags Raw Data'!$Q$6:$Q$4335&lt;&gt;"N/A"),'Diags Raw Data'!$R$6:$R$4335)</f>
        <v>0</v>
      </c>
      <c r="N175" s="401" cm="1">
        <f t="array" ref="N175">SUMPRODUCT(--(ISNUMBER(SEARCH($A175,'Diags Raw Data'!$A$6:$A$4335))),--('Diags Raw Data'!$Q$6:$Q$4335&lt;&gt;"N/A"),'Diags Raw Data'!$T$6:$T$4335)+SUMPRODUCT(--(ISNUMBER(SEARCH($A175,'Diags Raw Data'!$A$6:$A$4335))),--('Diags Raw Data'!$Q$6:$Q$4335&lt;&gt;"N/A"),'Diags Raw Data'!$U$6:$U$4335)</f>
        <v>0</v>
      </c>
      <c r="O175" s="428">
        <f t="shared" si="99"/>
        <v>0</v>
      </c>
      <c r="P175" s="402">
        <f>SUMIF('Diags Raw Data'!$A$6:$A$4335,"*"&amp;$A175&amp;"*",'Diags Raw Data'!$Z$6:$Z$4335)</f>
        <v>0</v>
      </c>
      <c r="Q175" s="403">
        <f>SUM(SUMIF('Diags Raw Data'!$A$6:$A$4335,"*"&amp;$A175&amp;"*",'Diags Raw Data'!$AA$6:$AA$4335),SUMIF('Diags Raw Data'!$A$6:$A$4335,"*"&amp;$A175&amp;"*",'Diags Raw Data'!$AB$6:$AB$4335))</f>
        <v>0</v>
      </c>
      <c r="R175" s="404">
        <f t="shared" si="100"/>
        <v>0</v>
      </c>
      <c r="S175" s="404">
        <f t="shared" si="101"/>
        <v>0</v>
      </c>
      <c r="T175" s="405">
        <f t="shared" si="102"/>
        <v>0</v>
      </c>
      <c r="U175" s="434" t="s">
        <v>44</v>
      </c>
      <c r="V175" s="171" t="s">
        <v>43</v>
      </c>
    </row>
    <row r="176" spans="1:22" ht="120" x14ac:dyDescent="0.25">
      <c r="A176" s="420" t="s">
        <v>917</v>
      </c>
      <c r="B176" s="328" t="str">
        <f>VLOOKUP(A176,'Feature Raw Data'!$A$3:$B$4067,2,FALSE)</f>
        <v>ATHUB:RPB - Supports write grouping (de-interleave ea write stream)
formerly:RPB to reassemble writes (Total GCEA/MMEA/DCE)</v>
      </c>
      <c r="C176" s="271" t="str">
        <f>VLOOKUP(A176,'Feature Raw Data'!$A$3:$C$4067,3,FALSE)</f>
        <v>P2</v>
      </c>
      <c r="D176" s="82" t="str" cm="1">
        <f t="array" ref="D176">_xlfn.TEXTJOIN("",TRUE,IF(ISNUMBER(SEARCH($A176,'Diags Raw Data'!$A$6:$A$4335)),CONCATENATE('Diags Raw Data'!$H$6:$H$4335,", "),""))</f>
        <v xml:space="preserve">mhub401.1-6,mhub401.11-16,mhub401.21-26, mhub401.34, mhub402.1-6,mhub402.11-16,mhub402.21-26, mhub402.34, </v>
      </c>
      <c r="E176" s="169" t="str">
        <f>VLOOKUP(A176,'Diags Raw Data'!$A$6:$D$4335,4,FALSE)</f>
        <v>ATHUB</v>
      </c>
      <c r="F176" s="169" t="str">
        <f>VLOOKUP(A176,'Feature Raw Data'!$A$3:$E$4067,5,FALSE)</f>
        <v>Legacy</v>
      </c>
      <c r="G176" s="169" t="str">
        <f t="shared" ref="G176" si="103">IF(D176="","No","Yes")</f>
        <v>Yes</v>
      </c>
      <c r="H176" s="169" t="str">
        <f t="shared" ref="H176" si="104">IF(D176="","No","Yes")</f>
        <v>Yes</v>
      </c>
      <c r="I176" s="271">
        <f>SUMIF('Diags Raw Data'!$A$6:$A$4335,"*"&amp;$A176&amp;"*",'Diags Raw Data'!$K$6:$K$4335)</f>
        <v>4</v>
      </c>
      <c r="J176" s="179">
        <f>SUMIF('Diags Raw Data'!$A$6:$A$4335,"*"&amp;$A176&amp;"*",'Diags Raw Data'!$L$6:$L$4335)</f>
        <v>38</v>
      </c>
      <c r="K176" s="398" cm="1">
        <f t="array" ref="K176">IF(D176="",0, SUMPRODUCT(--(ISNUMBER(SEARCH($A176,'Diags Raw Data'!$A$6:$A$4335))),'Diags Raw Data'!$L$6:$L$4335,'Diags Raw Data'!$N$6:$N$4335)/J176)</f>
        <v>1</v>
      </c>
      <c r="L176" s="399" cm="1">
        <f t="array" ref="L176">IF(D176="",0, SUMPRODUCT(--(ISNUMBER(SEARCH($A176,'Diags Raw Data'!$A$6:$A$4335))),'Diags Raw Data'!$L$6:$L$4335,'Diags Raw Data'!$P$6:$P$4335)/J176)</f>
        <v>5.2631578947368418E-2</v>
      </c>
      <c r="M176" s="400" cm="1">
        <f t="array" ref="M176">SUMPRODUCT(--(ISNUMBER(SEARCH($A176,'Diags Raw Data'!$A$6:$A$4335))),--('Diags Raw Data'!$Q$6:$Q$4335&lt;&gt;"N/A"),'Diags Raw Data'!$R$6:$R$4335)</f>
        <v>38</v>
      </c>
      <c r="N176" s="401" cm="1">
        <f t="array" ref="N176">SUMPRODUCT(--(ISNUMBER(SEARCH($A176,'Diags Raw Data'!$A$6:$A$4335))),--('Diags Raw Data'!$Q$6:$Q$4335&lt;&gt;"N/A"),'Diags Raw Data'!$T$6:$T$4335)+SUMPRODUCT(--(ISNUMBER(SEARCH($A176,'Diags Raw Data'!$A$6:$A$4335))),--('Diags Raw Data'!$Q$6:$Q$4335&lt;&gt;"N/A"),'Diags Raw Data'!$U$6:$U$4335)</f>
        <v>38</v>
      </c>
      <c r="O176" s="428">
        <f t="shared" ref="O176" si="105">IF((M176=0),0,N176/M176)</f>
        <v>1</v>
      </c>
      <c r="P176" s="402">
        <f>SUMIF('Diags Raw Data'!$A$6:$A$4335,"*"&amp;$A176&amp;"*",'Diags Raw Data'!$Z$6:$Z$4335)</f>
        <v>0</v>
      </c>
      <c r="Q176" s="403">
        <f>SUM(SUMIF('Diags Raw Data'!$A$6:$A$4335,"*"&amp;$A176&amp;"*",'Diags Raw Data'!$AA$6:$AA$4335),SUMIF('Diags Raw Data'!$A$6:$A$4335,"*"&amp;$A176&amp;"*",'Diags Raw Data'!$AB$6:$AB$4335))</f>
        <v>0</v>
      </c>
      <c r="R176" s="404">
        <f t="shared" ref="R176" si="106">IF((J176=0),0,P176/J176)</f>
        <v>0</v>
      </c>
      <c r="S176" s="404">
        <f t="shared" ref="S176" si="107">IF((P176=0),0,Q176/P176)</f>
        <v>0</v>
      </c>
      <c r="T176" s="405">
        <f t="shared" ref="T176" si="108">R176*S176</f>
        <v>0</v>
      </c>
      <c r="U176" s="434" t="s">
        <v>1651</v>
      </c>
    </row>
    <row r="177" spans="1:22" ht="30" x14ac:dyDescent="0.25">
      <c r="A177" s="420" t="s">
        <v>1609</v>
      </c>
      <c r="B177" s="328" t="str">
        <f>VLOOKUP(A177,'Feature Raw Data'!$A$3:$B$4067,2,FALSE)</f>
        <v>ATHUB:RPB - Support configurable tag partition for read/write requests</v>
      </c>
      <c r="C177" s="271" t="str">
        <f>VLOOKUP(A177,'Feature Raw Data'!$A$3:$C$4067,3,FALSE)</f>
        <v>P2</v>
      </c>
      <c r="D177" s="82" t="str" cm="1">
        <f t="array" ref="D177">_xlfn.TEXTJOIN("",TRUE,IF(ISNUMBER(SEARCH($A177,'Diags Raw Data'!$A$6:$A$4335)),CONCATENATE('Diags Raw Data'!$H$6:$H$4335,", "),""))</f>
        <v/>
      </c>
      <c r="E177" s="169" t="e">
        <f>VLOOKUP(A177,'Diags Raw Data'!$A$6:$D$4335,4,FALSE)</f>
        <v>#N/A</v>
      </c>
      <c r="F177" s="169" t="str">
        <f>VLOOKUP(A177,'Feature Raw Data'!$A$3:$E$4067,5,FALSE)</f>
        <v>Legacy</v>
      </c>
      <c r="G177" s="169" t="str">
        <f t="shared" ref="G177:G178" si="109">IF(D177="","No","Yes")</f>
        <v>No</v>
      </c>
      <c r="H177" s="169" t="str">
        <f t="shared" ref="H177:H178" si="110">IF(D177="","No","Yes")</f>
        <v>No</v>
      </c>
      <c r="I177" s="271">
        <f>SUMIF('Diags Raw Data'!$A$6:$A$4335,"*"&amp;$A177&amp;"*",'Diags Raw Data'!$K$6:$K$4335)</f>
        <v>0</v>
      </c>
      <c r="J177" s="179">
        <f>SUMIF('Diags Raw Data'!$A$6:$A$4335,"*"&amp;$A177&amp;"*",'Diags Raw Data'!$L$6:$L$4335)</f>
        <v>0</v>
      </c>
      <c r="K177" s="398" cm="1">
        <f t="array" ref="K177">IF(D177="",0, SUMPRODUCT(--(ISNUMBER(SEARCH($A177,'Diags Raw Data'!$A$6:$A$4335))),'Diags Raw Data'!$L$6:$L$4335,'Diags Raw Data'!$N$6:$N$4335)/J177)</f>
        <v>0</v>
      </c>
      <c r="L177" s="399" cm="1">
        <f t="array" ref="L177">IF(D177="",0, SUMPRODUCT(--(ISNUMBER(SEARCH($A177,'Diags Raw Data'!$A$6:$A$4335))),'Diags Raw Data'!$L$6:$L$4335,'Diags Raw Data'!$P$6:$P$4335)/J177)</f>
        <v>0</v>
      </c>
      <c r="M177" s="400" cm="1">
        <f t="array" ref="M177">SUMPRODUCT(--(ISNUMBER(SEARCH($A177,'Diags Raw Data'!$A$6:$A$4335))),--('Diags Raw Data'!$Q$6:$Q$4335&lt;&gt;"N/A"),'Diags Raw Data'!$R$6:$R$4335)</f>
        <v>0</v>
      </c>
      <c r="N177" s="401" cm="1">
        <f t="array" ref="N177">SUMPRODUCT(--(ISNUMBER(SEARCH($A177,'Diags Raw Data'!$A$6:$A$4335))),--('Diags Raw Data'!$Q$6:$Q$4335&lt;&gt;"N/A"),'Diags Raw Data'!$T$6:$T$4335)+SUMPRODUCT(--(ISNUMBER(SEARCH($A177,'Diags Raw Data'!$A$6:$A$4335))),--('Diags Raw Data'!$Q$6:$Q$4335&lt;&gt;"N/A"),'Diags Raw Data'!$U$6:$U$4335)</f>
        <v>0</v>
      </c>
      <c r="O177" s="428">
        <f t="shared" ref="O177:O178" si="111">IF((M177=0),0,N177/M177)</f>
        <v>0</v>
      </c>
      <c r="P177" s="402">
        <f>SUMIF('Diags Raw Data'!$A$6:$A$4335,"*"&amp;$A177&amp;"*",'Diags Raw Data'!$Z$6:$Z$4335)</f>
        <v>0</v>
      </c>
      <c r="Q177" s="403">
        <f>SUM(SUMIF('Diags Raw Data'!$A$6:$A$4335,"*"&amp;$A177&amp;"*",'Diags Raw Data'!$AA$6:$AA$4335),SUMIF('Diags Raw Data'!$A$6:$A$4335,"*"&amp;$A177&amp;"*",'Diags Raw Data'!$AB$6:$AB$4335))</f>
        <v>0</v>
      </c>
      <c r="R177" s="404">
        <f t="shared" ref="R177:R178" si="112">IF((J177=0),0,P177/J177)</f>
        <v>0</v>
      </c>
      <c r="S177" s="404">
        <f t="shared" ref="S177:S178" si="113">IF((P177=0),0,Q177/P177)</f>
        <v>0</v>
      </c>
      <c r="T177" s="405">
        <f t="shared" ref="T177:T178" si="114">R177*S177</f>
        <v>0</v>
      </c>
      <c r="U177" s="434" t="s">
        <v>44</v>
      </c>
      <c r="V177" s="171" t="s">
        <v>43</v>
      </c>
    </row>
    <row r="178" spans="1:22" ht="30" x14ac:dyDescent="0.25">
      <c r="A178" s="420" t="s">
        <v>1611</v>
      </c>
      <c r="B178" s="328" t="str">
        <f>VLOOKUP(A178,'Feature Raw Data'!$A$3:$B$4067,2,FALSE)</f>
        <v>ATHUB:RPB - Support more arbitration method between different streams and channels</v>
      </c>
      <c r="C178" s="271" t="str">
        <f>VLOOKUP(A178,'Feature Raw Data'!$A$3:$C$4067,3,FALSE)</f>
        <v>P2</v>
      </c>
      <c r="D178" s="82" t="str" cm="1">
        <f t="array" ref="D178">_xlfn.TEXTJOIN("",TRUE,IF(ISNUMBER(SEARCH($A178,'Diags Raw Data'!$A$6:$A$4335)),CONCATENATE('Diags Raw Data'!$H$6:$H$4335,", "),""))</f>
        <v/>
      </c>
      <c r="E178" s="169" t="e">
        <f>VLOOKUP(A178,'Diags Raw Data'!$A$6:$D$4335,4,FALSE)</f>
        <v>#N/A</v>
      </c>
      <c r="F178" s="169" t="str">
        <f>VLOOKUP(A178,'Feature Raw Data'!$A$3:$E$4067,5,FALSE)</f>
        <v>Legacy</v>
      </c>
      <c r="G178" s="169" t="str">
        <f t="shared" si="109"/>
        <v>No</v>
      </c>
      <c r="H178" s="169" t="str">
        <f t="shared" si="110"/>
        <v>No</v>
      </c>
      <c r="I178" s="271">
        <f>SUMIF('Diags Raw Data'!$A$6:$A$4335,"*"&amp;$A178&amp;"*",'Diags Raw Data'!$K$6:$K$4335)</f>
        <v>0</v>
      </c>
      <c r="J178" s="179">
        <f>SUMIF('Diags Raw Data'!$A$6:$A$4335,"*"&amp;$A178&amp;"*",'Diags Raw Data'!$L$6:$L$4335)</f>
        <v>0</v>
      </c>
      <c r="K178" s="398" cm="1">
        <f t="array" ref="K178">IF(D178="",0, SUMPRODUCT(--(ISNUMBER(SEARCH($A178,'Diags Raw Data'!$A$6:$A$4335))),'Diags Raw Data'!$L$6:$L$4335,'Diags Raw Data'!$N$6:$N$4335)/J178)</f>
        <v>0</v>
      </c>
      <c r="L178" s="399" cm="1">
        <f t="array" ref="L178">IF(D178="",0, SUMPRODUCT(--(ISNUMBER(SEARCH($A178,'Diags Raw Data'!$A$6:$A$4335))),'Diags Raw Data'!$L$6:$L$4335,'Diags Raw Data'!$P$6:$P$4335)/J178)</f>
        <v>0</v>
      </c>
      <c r="M178" s="400" cm="1">
        <f t="array" ref="M178">SUMPRODUCT(--(ISNUMBER(SEARCH($A178,'Diags Raw Data'!$A$6:$A$4335))),--('Diags Raw Data'!$Q$6:$Q$4335&lt;&gt;"N/A"),'Diags Raw Data'!$R$6:$R$4335)</f>
        <v>0</v>
      </c>
      <c r="N178" s="401" cm="1">
        <f t="array" ref="N178">SUMPRODUCT(--(ISNUMBER(SEARCH($A178,'Diags Raw Data'!$A$6:$A$4335))),--('Diags Raw Data'!$Q$6:$Q$4335&lt;&gt;"N/A"),'Diags Raw Data'!$T$6:$T$4335)+SUMPRODUCT(--(ISNUMBER(SEARCH($A178,'Diags Raw Data'!$A$6:$A$4335))),--('Diags Raw Data'!$Q$6:$Q$4335&lt;&gt;"N/A"),'Diags Raw Data'!$U$6:$U$4335)</f>
        <v>0</v>
      </c>
      <c r="O178" s="428">
        <f t="shared" si="111"/>
        <v>0</v>
      </c>
      <c r="P178" s="402">
        <f>SUMIF('Diags Raw Data'!$A$6:$A$4335,"*"&amp;$A178&amp;"*",'Diags Raw Data'!$Z$6:$Z$4335)</f>
        <v>0</v>
      </c>
      <c r="Q178" s="403">
        <f>SUM(SUMIF('Diags Raw Data'!$A$6:$A$4335,"*"&amp;$A178&amp;"*",'Diags Raw Data'!$AA$6:$AA$4335),SUMIF('Diags Raw Data'!$A$6:$A$4335,"*"&amp;$A178&amp;"*",'Diags Raw Data'!$AB$6:$AB$4335))</f>
        <v>0</v>
      </c>
      <c r="R178" s="404">
        <f t="shared" si="112"/>
        <v>0</v>
      </c>
      <c r="S178" s="404">
        <f t="shared" si="113"/>
        <v>0</v>
      </c>
      <c r="T178" s="405">
        <f t="shared" si="114"/>
        <v>0</v>
      </c>
      <c r="U178" s="434" t="s">
        <v>44</v>
      </c>
      <c r="V178" s="171" t="s">
        <v>43</v>
      </c>
    </row>
    <row r="179" spans="1:22" x14ac:dyDescent="0.25">
      <c r="A179" s="420" t="s">
        <v>1630</v>
      </c>
      <c r="B179" s="328" t="str">
        <f>VLOOKUP(A179,'Feature Raw Data'!$A$3:$B$4067,2,FALSE)</f>
        <v>ATHUB:Power - Dynamic Clock Gating</v>
      </c>
      <c r="C179" s="271" t="str">
        <f>VLOOKUP(A179,'Feature Raw Data'!$A$3:$C$4067,3,FALSE)</f>
        <v>P2</v>
      </c>
      <c r="D179" s="82" t="str" cm="1">
        <f t="array" ref="D179">_xlfn.TEXTJOIN("",TRUE,IF(ISNUMBER(SEARCH($A179,'Diags Raw Data'!$A$6:$A$4335)),CONCATENATE('Diags Raw Data'!$H$6:$H$4335,", "),""))</f>
        <v/>
      </c>
      <c r="E179" s="169" t="e">
        <f>VLOOKUP(A179,'Diags Raw Data'!$A$6:$D$4335,4,FALSE)</f>
        <v>#N/A</v>
      </c>
      <c r="F179" s="169" t="str">
        <f>VLOOKUP(A179,'Feature Raw Data'!$A$3:$E$4067,5,FALSE)</f>
        <v>Legacy</v>
      </c>
      <c r="G179" s="169" t="str">
        <f t="shared" si="97"/>
        <v>No</v>
      </c>
      <c r="H179" s="169" t="str">
        <f t="shared" si="98"/>
        <v>No</v>
      </c>
      <c r="I179" s="271">
        <f>SUMIF('Diags Raw Data'!$A$6:$A$4335,"*"&amp;$A179&amp;"*",'Diags Raw Data'!$K$6:$K$4335)</f>
        <v>0</v>
      </c>
      <c r="J179" s="179">
        <f>SUMIF('Diags Raw Data'!$A$6:$A$4335,"*"&amp;$A179&amp;"*",'Diags Raw Data'!$L$6:$L$4335)</f>
        <v>0</v>
      </c>
      <c r="K179" s="398" cm="1">
        <f t="array" ref="K179">IF(D179="",0, SUMPRODUCT(--(ISNUMBER(SEARCH($A179,'Diags Raw Data'!$A$6:$A$4335))),'Diags Raw Data'!$L$6:$L$4335,'Diags Raw Data'!$N$6:$N$4335)/J179)</f>
        <v>0</v>
      </c>
      <c r="L179" s="399" cm="1">
        <f t="array" ref="L179">IF(D179="",0, SUMPRODUCT(--(ISNUMBER(SEARCH($A179,'Diags Raw Data'!$A$6:$A$4335))),'Diags Raw Data'!$L$6:$L$4335,'Diags Raw Data'!$P$6:$P$4335)/J179)</f>
        <v>0</v>
      </c>
      <c r="M179" s="400" cm="1">
        <f t="array" ref="M179">SUMPRODUCT(--(ISNUMBER(SEARCH($A179,'Diags Raw Data'!$A$6:$A$4335))),--('Diags Raw Data'!$Q$6:$Q$4335&lt;&gt;"N/A"),'Diags Raw Data'!$R$6:$R$4335)</f>
        <v>0</v>
      </c>
      <c r="N179" s="401" cm="1">
        <f t="array" ref="N179">SUMPRODUCT(--(ISNUMBER(SEARCH($A179,'Diags Raw Data'!$A$6:$A$4335))),--('Diags Raw Data'!$Q$6:$Q$4335&lt;&gt;"N/A"),'Diags Raw Data'!$T$6:$T$4335)+SUMPRODUCT(--(ISNUMBER(SEARCH($A179,'Diags Raw Data'!$A$6:$A$4335))),--('Diags Raw Data'!$Q$6:$Q$4335&lt;&gt;"N/A"),'Diags Raw Data'!$U$6:$U$4335)</f>
        <v>0</v>
      </c>
      <c r="O179" s="428">
        <f t="shared" si="99"/>
        <v>0</v>
      </c>
      <c r="P179" s="402">
        <f>SUMIF('Diags Raw Data'!$A$6:$A$4335,"*"&amp;$A179&amp;"*",'Diags Raw Data'!$Z$6:$Z$4335)</f>
        <v>0</v>
      </c>
      <c r="Q179" s="403">
        <f>SUM(SUMIF('Diags Raw Data'!$A$6:$A$4335,"*"&amp;$A179&amp;"*",'Diags Raw Data'!$AA$6:$AA$4335),SUMIF('Diags Raw Data'!$A$6:$A$4335,"*"&amp;$A179&amp;"*",'Diags Raw Data'!$AB$6:$AB$4335))</f>
        <v>0</v>
      </c>
      <c r="R179" s="404">
        <f t="shared" si="100"/>
        <v>0</v>
      </c>
      <c r="S179" s="404">
        <f t="shared" si="101"/>
        <v>0</v>
      </c>
      <c r="T179" s="405">
        <f t="shared" si="102"/>
        <v>0</v>
      </c>
      <c r="U179" s="434" t="s">
        <v>44</v>
      </c>
      <c r="V179" s="171" t="s">
        <v>43</v>
      </c>
    </row>
    <row r="180" spans="1:22" x14ac:dyDescent="0.25">
      <c r="A180" s="420" t="s">
        <v>1632</v>
      </c>
      <c r="B180" s="328" t="str">
        <f>VLOOKUP(A180,'Feature Raw Data'!$A$3:$B$4067,2,FALSE)</f>
        <v>ATHUB:Power - Dynamic Power Gating</v>
      </c>
      <c r="C180" s="271" t="str">
        <f>VLOOKUP(A180,'Feature Raw Data'!$A$3:$C$4067,3,FALSE)</f>
        <v>P2</v>
      </c>
      <c r="D180" s="82" t="str" cm="1">
        <f t="array" ref="D180">_xlfn.TEXTJOIN("",TRUE,IF(ISNUMBER(SEARCH($A180,'Diags Raw Data'!$A$6:$A$4335)),CONCATENATE('Diags Raw Data'!$H$6:$H$4335,", "),""))</f>
        <v/>
      </c>
      <c r="E180" s="169" t="e">
        <f>VLOOKUP(A180,'Diags Raw Data'!$A$6:$D$4335,4,FALSE)</f>
        <v>#N/A</v>
      </c>
      <c r="F180" s="169" t="str">
        <f>VLOOKUP(A180,'Feature Raw Data'!$A$3:$E$4067,5,FALSE)</f>
        <v>Legacy</v>
      </c>
      <c r="G180" s="169" t="s">
        <v>36</v>
      </c>
      <c r="H180" s="169" t="str">
        <f t="shared" si="98"/>
        <v>No</v>
      </c>
      <c r="I180" s="271">
        <f>SUMIF('Diags Raw Data'!$A$6:$A$4335,"*"&amp;$A180&amp;"*",'Diags Raw Data'!$K$6:$K$4335)</f>
        <v>0</v>
      </c>
      <c r="J180" s="179">
        <f>SUMIF('Diags Raw Data'!$A$6:$A$4335,"*"&amp;$A180&amp;"*",'Diags Raw Data'!$L$6:$L$4335)</f>
        <v>0</v>
      </c>
      <c r="K180" s="398" cm="1">
        <f t="array" ref="K180">IF(D180="",0, SUMPRODUCT(--(ISNUMBER(SEARCH($A180,'Diags Raw Data'!$A$6:$A$4335))),'Diags Raw Data'!$L$6:$L$4335,'Diags Raw Data'!$N$6:$N$4335)/J180)</f>
        <v>0</v>
      </c>
      <c r="L180" s="399" cm="1">
        <f t="array" ref="L180">IF(D180="",0, SUMPRODUCT(--(ISNUMBER(SEARCH($A180,'Diags Raw Data'!$A$6:$A$4335))),'Diags Raw Data'!$L$6:$L$4335,'Diags Raw Data'!$P$6:$P$4335)/J180)</f>
        <v>0</v>
      </c>
      <c r="M180" s="400" cm="1">
        <f t="array" ref="M180">SUMPRODUCT(--(ISNUMBER(SEARCH($A180,'Diags Raw Data'!$A$6:$A$4335))),--('Diags Raw Data'!$Q$6:$Q$4335&lt;&gt;"N/A"),'Diags Raw Data'!$R$6:$R$4335)</f>
        <v>0</v>
      </c>
      <c r="N180" s="401" cm="1">
        <f t="array" ref="N180">SUMPRODUCT(--(ISNUMBER(SEARCH($A180,'Diags Raw Data'!$A$6:$A$4335))),--('Diags Raw Data'!$Q$6:$Q$4335&lt;&gt;"N/A"),'Diags Raw Data'!$T$6:$T$4335)+SUMPRODUCT(--(ISNUMBER(SEARCH($A180,'Diags Raw Data'!$A$6:$A$4335))),--('Diags Raw Data'!$Q$6:$Q$4335&lt;&gt;"N/A"),'Diags Raw Data'!$U$6:$U$4335)</f>
        <v>0</v>
      </c>
      <c r="O180" s="428">
        <f t="shared" si="99"/>
        <v>0</v>
      </c>
      <c r="P180" s="402">
        <f>SUMIF('Diags Raw Data'!$A$6:$A$4335,"*"&amp;$A180&amp;"*",'Diags Raw Data'!$Z$6:$Z$4335)</f>
        <v>0</v>
      </c>
      <c r="Q180" s="403">
        <f>SUM(SUMIF('Diags Raw Data'!$A$6:$A$4335,"*"&amp;$A180&amp;"*",'Diags Raw Data'!$AA$6:$AA$4335),SUMIF('Diags Raw Data'!$A$6:$A$4335,"*"&amp;$A180&amp;"*",'Diags Raw Data'!$AB$6:$AB$4335))</f>
        <v>0</v>
      </c>
      <c r="R180" s="404">
        <f t="shared" si="100"/>
        <v>0</v>
      </c>
      <c r="S180" s="404">
        <f t="shared" si="101"/>
        <v>0</v>
      </c>
      <c r="T180" s="405">
        <f t="shared" si="102"/>
        <v>0</v>
      </c>
      <c r="U180" s="434" t="s">
        <v>44</v>
      </c>
      <c r="V180" s="171" t="s">
        <v>43</v>
      </c>
    </row>
    <row r="181" spans="1:22" x14ac:dyDescent="0.25">
      <c r="A181" s="420" t="s">
        <v>1638</v>
      </c>
      <c r="B181" s="328" t="str">
        <f>VLOOKUP(A181,'Feature Raw Data'!$A$3:$B$4067,2,FALSE)</f>
        <v>ATHUB:Debug - Debug Bus</v>
      </c>
      <c r="C181" s="271" t="str">
        <f>VLOOKUP(A181,'Feature Raw Data'!$A$3:$C$4067,3,FALSE)</f>
        <v>P2</v>
      </c>
      <c r="D181" s="82" t="str" cm="1">
        <f t="array" ref="D181">_xlfn.TEXTJOIN("",TRUE,IF(ISNUMBER(SEARCH($A181,'Diags Raw Data'!$A$6:$A$4335)),CONCATENATE('Diags Raw Data'!$H$6:$H$4335,", "),""))</f>
        <v/>
      </c>
      <c r="E181" s="169" t="e">
        <f>VLOOKUP(A181,'Diags Raw Data'!$A$6:$D$4335,4,FALSE)</f>
        <v>#N/A</v>
      </c>
      <c r="F181" s="169" t="str">
        <f>VLOOKUP(A181,'Feature Raw Data'!$A$3:$E$4067,5,FALSE)</f>
        <v>Legacy</v>
      </c>
      <c r="G181" s="169" t="s">
        <v>36</v>
      </c>
      <c r="H181" s="169" t="str">
        <f t="shared" si="98"/>
        <v>No</v>
      </c>
      <c r="I181" s="271">
        <f>SUMIF('Diags Raw Data'!$A$6:$A$4335,"*"&amp;$A181&amp;"*",'Diags Raw Data'!$K$6:$K$4335)</f>
        <v>0</v>
      </c>
      <c r="J181" s="179">
        <f>SUMIF('Diags Raw Data'!$A$6:$A$4335,"*"&amp;$A181&amp;"*",'Diags Raw Data'!$L$6:$L$4335)</f>
        <v>0</v>
      </c>
      <c r="K181" s="398" cm="1">
        <f t="array" ref="K181">IF(D181="",0, SUMPRODUCT(--(ISNUMBER(SEARCH($A181,'Diags Raw Data'!$A$6:$A$4335))),'Diags Raw Data'!$L$6:$L$4335,'Diags Raw Data'!$N$6:$N$4335)/J181)</f>
        <v>0</v>
      </c>
      <c r="L181" s="399" cm="1">
        <f t="array" ref="L181">IF(D181="",0, SUMPRODUCT(--(ISNUMBER(SEARCH($A181,'Diags Raw Data'!$A$6:$A$4335))),'Diags Raw Data'!$L$6:$L$4335,'Diags Raw Data'!$P$6:$P$4335)/J181)</f>
        <v>0</v>
      </c>
      <c r="M181" s="400" cm="1">
        <f t="array" ref="M181">SUMPRODUCT(--(ISNUMBER(SEARCH($A181,'Diags Raw Data'!$A$6:$A$4335))),--('Diags Raw Data'!$Q$6:$Q$4335&lt;&gt;"N/A"),'Diags Raw Data'!$R$6:$R$4335)</f>
        <v>0</v>
      </c>
      <c r="N181" s="401" cm="1">
        <f t="array" ref="N181">SUMPRODUCT(--(ISNUMBER(SEARCH($A181,'Diags Raw Data'!$A$6:$A$4335))),--('Diags Raw Data'!$Q$6:$Q$4335&lt;&gt;"N/A"),'Diags Raw Data'!$T$6:$T$4335)+SUMPRODUCT(--(ISNUMBER(SEARCH($A181,'Diags Raw Data'!$A$6:$A$4335))),--('Diags Raw Data'!$Q$6:$Q$4335&lt;&gt;"N/A"),'Diags Raw Data'!$U$6:$U$4335)</f>
        <v>0</v>
      </c>
      <c r="O181" s="428">
        <f t="shared" si="99"/>
        <v>0</v>
      </c>
      <c r="P181" s="402">
        <f>SUMIF('Diags Raw Data'!$A$6:$A$4335,"*"&amp;$A181&amp;"*",'Diags Raw Data'!$Z$6:$Z$4335)</f>
        <v>0</v>
      </c>
      <c r="Q181" s="403">
        <f>SUM(SUMIF('Diags Raw Data'!$A$6:$A$4335,"*"&amp;$A181&amp;"*",'Diags Raw Data'!$AA$6:$AA$4335),SUMIF('Diags Raw Data'!$A$6:$A$4335,"*"&amp;$A181&amp;"*",'Diags Raw Data'!$AB$6:$AB$4335))</f>
        <v>0</v>
      </c>
      <c r="R181" s="404">
        <f t="shared" si="100"/>
        <v>0</v>
      </c>
      <c r="S181" s="404">
        <f t="shared" si="101"/>
        <v>0</v>
      </c>
      <c r="T181" s="405">
        <f t="shared" si="102"/>
        <v>0</v>
      </c>
      <c r="U181" s="434" t="s">
        <v>44</v>
      </c>
      <c r="V181" s="171" t="s">
        <v>43</v>
      </c>
    </row>
    <row r="182" spans="1:22" x14ac:dyDescent="0.25">
      <c r="A182" s="420" t="s">
        <v>1640</v>
      </c>
      <c r="B182" s="328" t="str">
        <f>VLOOKUP(A182,'Feature Raw Data'!$A$3:$B$4067,2,FALSE)</f>
        <v>ATHUB:Power - SRAM FGCG</v>
      </c>
      <c r="C182" s="271" t="str">
        <f>VLOOKUP(A182,'Feature Raw Data'!$A$3:$C$4067,3,FALSE)</f>
        <v>P1</v>
      </c>
      <c r="D182" s="82" t="str" cm="1">
        <f t="array" ref="D182">_xlfn.TEXTJOIN("",TRUE,IF(ISNUMBER(SEARCH($A182,'Diags Raw Data'!$A$6:$A$4335)),CONCATENATE('Diags Raw Data'!$H$6:$H$4335,", "),""))</f>
        <v/>
      </c>
      <c r="E182" s="169" t="e">
        <f>VLOOKUP(A182,'Diags Raw Data'!$A$6:$D$4335,4,FALSE)</f>
        <v>#N/A</v>
      </c>
      <c r="F182" s="169" t="str">
        <f>VLOOKUP(A182,'Feature Raw Data'!$A$3:$E$4067,5,FALSE)</f>
        <v>New</v>
      </c>
      <c r="G182" s="169" t="str">
        <f t="shared" ref="G182" si="115">IF(D182="","No","Yes")</f>
        <v>No</v>
      </c>
      <c r="H182" s="169" t="str">
        <f t="shared" ref="H182" si="116">IF(D182="","No","Yes")</f>
        <v>No</v>
      </c>
      <c r="I182" s="271">
        <f>SUMIF('Diags Raw Data'!$A$6:$A$4335,"*"&amp;$A182&amp;"*",'Diags Raw Data'!$K$6:$K$4335)</f>
        <v>0</v>
      </c>
      <c r="J182" s="179">
        <f>SUMIF('Diags Raw Data'!$A$6:$A$4335,"*"&amp;$A182&amp;"*",'Diags Raw Data'!$L$6:$L$4335)</f>
        <v>0</v>
      </c>
      <c r="K182" s="398" cm="1">
        <f t="array" ref="K182">IF(D182="",0, SUMPRODUCT(--(ISNUMBER(SEARCH($A182,'Diags Raw Data'!$A$6:$A$4335))),'Diags Raw Data'!$L$6:$L$4335,'Diags Raw Data'!$N$6:$N$4335)/J182)</f>
        <v>0</v>
      </c>
      <c r="L182" s="399" cm="1">
        <f t="array" ref="L182">IF(D182="",0, SUMPRODUCT(--(ISNUMBER(SEARCH($A182,'Diags Raw Data'!$A$6:$A$4335))),'Diags Raw Data'!$L$6:$L$4335,'Diags Raw Data'!$P$6:$P$4335)/J182)</f>
        <v>0</v>
      </c>
      <c r="M182" s="400" cm="1">
        <f t="array" ref="M182">SUMPRODUCT(--(ISNUMBER(SEARCH($A182,'Diags Raw Data'!$A$6:$A$4335))),--('Diags Raw Data'!$Q$6:$Q$4335&lt;&gt;"N/A"),'Diags Raw Data'!$R$6:$R$4335)</f>
        <v>0</v>
      </c>
      <c r="N182" s="401" cm="1">
        <f t="array" ref="N182">SUMPRODUCT(--(ISNUMBER(SEARCH($A182,'Diags Raw Data'!$A$6:$A$4335))),--('Diags Raw Data'!$Q$6:$Q$4335&lt;&gt;"N/A"),'Diags Raw Data'!$T$6:$T$4335)+SUMPRODUCT(--(ISNUMBER(SEARCH($A182,'Diags Raw Data'!$A$6:$A$4335))),--('Diags Raw Data'!$Q$6:$Q$4335&lt;&gt;"N/A"),'Diags Raw Data'!$U$6:$U$4335)</f>
        <v>0</v>
      </c>
      <c r="O182" s="428">
        <f t="shared" ref="O182" si="117">IF((M182=0),0,N182/M182)</f>
        <v>0</v>
      </c>
      <c r="P182" s="402">
        <f>SUMIF('Diags Raw Data'!$A$6:$A$4335,"*"&amp;$A182&amp;"*",'Diags Raw Data'!$Z$6:$Z$4335)</f>
        <v>0</v>
      </c>
      <c r="Q182" s="403">
        <f>SUM(SUMIF('Diags Raw Data'!$A$6:$A$4335,"*"&amp;$A182&amp;"*",'Diags Raw Data'!$AA$6:$AA$4335),SUMIF('Diags Raw Data'!$A$6:$A$4335,"*"&amp;$A182&amp;"*",'Diags Raw Data'!$AB$6:$AB$4335))</f>
        <v>0</v>
      </c>
      <c r="R182" s="404">
        <f t="shared" ref="R182" si="118">IF((J182=0),0,P182/J182)</f>
        <v>0</v>
      </c>
      <c r="S182" s="404">
        <f t="shared" ref="S182" si="119">IF((P182=0),0,Q182/P182)</f>
        <v>0</v>
      </c>
      <c r="T182" s="405">
        <f t="shared" ref="T182" si="120">R182*S182</f>
        <v>0</v>
      </c>
      <c r="U182" s="434" t="s">
        <v>44</v>
      </c>
      <c r="V182" s="171" t="s">
        <v>43</v>
      </c>
    </row>
    <row r="183" spans="1:22" ht="18.75" x14ac:dyDescent="0.25">
      <c r="A183" s="638" t="s">
        <v>252</v>
      </c>
      <c r="B183" s="639"/>
      <c r="C183" s="639"/>
      <c r="D183" s="639"/>
      <c r="E183" s="639"/>
      <c r="F183" s="640"/>
      <c r="G183" s="504">
        <f>COUNTIF(G7:G182,"Yes")</f>
        <v>133</v>
      </c>
      <c r="H183" s="504">
        <f>COUNTIF(H7:H182,"Yes")</f>
        <v>119</v>
      </c>
      <c r="I183" s="644">
        <f>'Diags Raw Data'!K725</f>
        <v>931</v>
      </c>
      <c r="J183" s="644">
        <f>'Diags Raw Data'!L725</f>
        <v>1691</v>
      </c>
      <c r="K183" s="646">
        <f>'Diags Raw Data'!N725</f>
        <v>1</v>
      </c>
      <c r="L183" s="646">
        <f>'Diags Raw Data'!P725</f>
        <v>0.86680988184747587</v>
      </c>
      <c r="M183" s="654">
        <f>'Diags Raw Data'!R725</f>
        <v>1687</v>
      </c>
      <c r="N183" s="654">
        <f>SUM('Diags Raw Data'!T725+'Diags Raw Data'!U725)</f>
        <v>1687</v>
      </c>
      <c r="O183" s="656">
        <f>IF((M183=0),0,N183/M183)</f>
        <v>1</v>
      </c>
      <c r="P183" s="658">
        <f>'Diags Raw Data'!Z725</f>
        <v>0</v>
      </c>
      <c r="Q183" s="658">
        <f>SUM('Diags Raw Data'!AA725+'Diags Raw Data'!AB725)</f>
        <v>0</v>
      </c>
      <c r="R183" s="648">
        <f>IF((J183=0),0,P183/J183)</f>
        <v>0</v>
      </c>
      <c r="S183" s="648">
        <f>IF((P183=0),0,Q183/P183)</f>
        <v>0</v>
      </c>
      <c r="T183" s="650">
        <f>R183*S183</f>
        <v>0</v>
      </c>
      <c r="U183" s="652"/>
    </row>
    <row r="184" spans="1:22" ht="18.75" x14ac:dyDescent="0.25">
      <c r="A184" s="641"/>
      <c r="B184" s="642"/>
      <c r="C184" s="642"/>
      <c r="D184" s="642"/>
      <c r="E184" s="642"/>
      <c r="F184" s="643"/>
      <c r="G184" s="504">
        <f>COUNTIF(G7:G182,"Yes")/COUNTA(A7:A182)</f>
        <v>0.75568181818181823</v>
      </c>
      <c r="H184" s="504">
        <f>(COUNTIF(H7:H182,"Yes")/G183)</f>
        <v>0.89473684210526316</v>
      </c>
      <c r="I184" s="645"/>
      <c r="J184" s="645"/>
      <c r="K184" s="647"/>
      <c r="L184" s="647"/>
      <c r="M184" s="655"/>
      <c r="N184" s="655"/>
      <c r="O184" s="657"/>
      <c r="P184" s="659"/>
      <c r="Q184" s="659"/>
      <c r="R184" s="649"/>
      <c r="S184" s="649"/>
      <c r="T184" s="651"/>
      <c r="U184" s="653"/>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1664</v>
      </c>
      <c r="C1" s="36" t="s">
        <v>1665</v>
      </c>
      <c r="D1" s="36" t="s">
        <v>1666</v>
      </c>
      <c r="E1" s="36" t="s">
        <v>1667</v>
      </c>
      <c r="F1" s="36" t="s">
        <v>1668</v>
      </c>
      <c r="G1" s="37" t="s">
        <v>1669</v>
      </c>
      <c r="H1" s="12"/>
      <c r="I1" s="12"/>
      <c r="J1" s="12"/>
      <c r="K1" s="12"/>
      <c r="L1" s="13"/>
      <c r="M1" s="1"/>
      <c r="N1" s="11"/>
      <c r="X1" s="11"/>
      <c r="AB1" s="660" t="s">
        <v>1670</v>
      </c>
      <c r="AM1" s="660" t="s">
        <v>1671</v>
      </c>
    </row>
    <row r="2" spans="1:40" s="14" customFormat="1" ht="12" x14ac:dyDescent="0.2">
      <c r="A2" s="35" t="s">
        <v>1672</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1673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1674</v>
      </c>
      <c r="C5" s="47" t="s">
        <v>1675</v>
      </c>
      <c r="D5" s="47" t="s">
        <v>1676</v>
      </c>
      <c r="E5" s="47" t="s">
        <v>1677</v>
      </c>
      <c r="F5" s="47" t="s">
        <v>1678</v>
      </c>
      <c r="G5" s="47" t="s">
        <v>1679</v>
      </c>
      <c r="H5" s="47" t="s">
        <v>1680</v>
      </c>
      <c r="I5" s="47" t="s">
        <v>1681</v>
      </c>
      <c r="J5" s="47" t="s">
        <v>1682</v>
      </c>
      <c r="K5" s="47" t="s">
        <v>1683</v>
      </c>
      <c r="L5" s="47" t="s">
        <v>1684</v>
      </c>
      <c r="M5" s="47" t="s">
        <v>1685</v>
      </c>
      <c r="N5" s="47" t="s">
        <v>1686</v>
      </c>
      <c r="O5" s="47" t="s">
        <v>1687</v>
      </c>
      <c r="P5" s="47" t="s">
        <v>1688</v>
      </c>
      <c r="Q5" s="47" t="s">
        <v>1689</v>
      </c>
      <c r="R5" s="47" t="s">
        <v>1690</v>
      </c>
      <c r="S5" s="47" t="s">
        <v>1691</v>
      </c>
      <c r="T5" s="47" t="s">
        <v>1692</v>
      </c>
      <c r="U5" s="47" t="s">
        <v>1693</v>
      </c>
      <c r="V5" s="47" t="s">
        <v>1694</v>
      </c>
      <c r="W5" s="47" t="s">
        <v>1695</v>
      </c>
      <c r="X5" s="47" t="s">
        <v>1696</v>
      </c>
      <c r="Y5" s="47" t="s">
        <v>1697</v>
      </c>
      <c r="Z5" s="47" t="s">
        <v>1698</v>
      </c>
      <c r="AA5" s="47" t="s">
        <v>1699</v>
      </c>
      <c r="AB5" s="47" t="s">
        <v>1700</v>
      </c>
      <c r="AC5" s="47" t="s">
        <v>1701</v>
      </c>
      <c r="AD5" s="47" t="s">
        <v>1702</v>
      </c>
      <c r="AE5" s="47" t="s">
        <v>1703</v>
      </c>
      <c r="AF5" s="47" t="s">
        <v>1704</v>
      </c>
      <c r="AG5" s="47" t="s">
        <v>1705</v>
      </c>
      <c r="AH5" s="47" t="s">
        <v>1706</v>
      </c>
      <c r="AI5" s="47" t="s">
        <v>1707</v>
      </c>
      <c r="AJ5" s="47" t="s">
        <v>1708</v>
      </c>
      <c r="AK5" s="47" t="s">
        <v>1709</v>
      </c>
      <c r="AL5" s="66" t="s">
        <v>1710</v>
      </c>
      <c r="AM5" s="65" t="s">
        <v>1711</v>
      </c>
      <c r="AN5" s="50"/>
    </row>
    <row r="6" spans="1:40" ht="12" x14ac:dyDescent="0.2">
      <c r="A6" s="48" t="s">
        <v>1712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1713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1714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1674</v>
      </c>
      <c r="C10" s="32" t="s">
        <v>1675</v>
      </c>
      <c r="D10" s="32" t="s">
        <v>1676</v>
      </c>
      <c r="E10" s="32" t="s">
        <v>1677</v>
      </c>
      <c r="F10" s="32" t="s">
        <v>1678</v>
      </c>
      <c r="G10" s="32" t="s">
        <v>1679</v>
      </c>
      <c r="H10" s="32" t="s">
        <v>1680</v>
      </c>
      <c r="I10" s="32" t="s">
        <v>1681</v>
      </c>
      <c r="J10" s="32" t="s">
        <v>1682</v>
      </c>
      <c r="K10" s="32" t="s">
        <v>1683</v>
      </c>
      <c r="L10" s="32" t="s">
        <v>1684</v>
      </c>
      <c r="M10" s="32" t="s">
        <v>1685</v>
      </c>
      <c r="N10" s="32" t="s">
        <v>1686</v>
      </c>
      <c r="O10" s="32" t="s">
        <v>1687</v>
      </c>
      <c r="P10" s="32" t="s">
        <v>1688</v>
      </c>
      <c r="Q10" s="32" t="s">
        <v>1689</v>
      </c>
      <c r="R10" s="32" t="s">
        <v>1690</v>
      </c>
      <c r="S10" s="32" t="s">
        <v>1691</v>
      </c>
      <c r="T10" s="32" t="s">
        <v>1692</v>
      </c>
      <c r="U10" s="32" t="s">
        <v>1693</v>
      </c>
      <c r="V10" s="32" t="s">
        <v>1694</v>
      </c>
      <c r="W10" s="32" t="s">
        <v>1695</v>
      </c>
      <c r="X10" s="32" t="s">
        <v>1696</v>
      </c>
      <c r="Y10" s="32" t="s">
        <v>1697</v>
      </c>
      <c r="Z10" s="32" t="s">
        <v>1698</v>
      </c>
      <c r="AA10" s="32" t="s">
        <v>1699</v>
      </c>
      <c r="AB10" s="32" t="s">
        <v>1700</v>
      </c>
      <c r="AC10" s="32" t="s">
        <v>1701</v>
      </c>
      <c r="AD10" s="32" t="s">
        <v>1702</v>
      </c>
      <c r="AE10" s="32" t="s">
        <v>1703</v>
      </c>
      <c r="AF10" s="32" t="s">
        <v>1704</v>
      </c>
      <c r="AG10" s="32" t="s">
        <v>1705</v>
      </c>
      <c r="AH10" s="32" t="s">
        <v>1706</v>
      </c>
      <c r="AI10" s="32" t="s">
        <v>1707</v>
      </c>
      <c r="AJ10" s="64" t="s">
        <v>1708</v>
      </c>
      <c r="AK10" s="63" t="s">
        <v>1709</v>
      </c>
      <c r="AL10" s="47" t="s">
        <v>1710</v>
      </c>
      <c r="AM10" s="72" t="s">
        <v>1711</v>
      </c>
      <c r="AN10" s="68"/>
    </row>
    <row r="11" spans="1:40" x14ac:dyDescent="0.25">
      <c r="A11" s="42" t="s">
        <v>1712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1713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1715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1716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1717</v>
      </c>
      <c r="B1" s="150" t="s">
        <v>1718</v>
      </c>
      <c r="C1" s="151" t="s">
        <v>1719</v>
      </c>
      <c r="D1" s="151" t="s">
        <v>1720</v>
      </c>
      <c r="E1" s="151" t="s">
        <v>1721</v>
      </c>
      <c r="F1" s="151" t="s">
        <v>1722</v>
      </c>
      <c r="G1" s="151" t="s">
        <v>1723</v>
      </c>
      <c r="H1" s="151" t="s">
        <v>1724</v>
      </c>
      <c r="I1" s="151" t="s">
        <v>1725</v>
      </c>
      <c r="J1" s="151" t="s">
        <v>1726</v>
      </c>
      <c r="K1" s="151" t="s">
        <v>1727</v>
      </c>
      <c r="L1" s="151" t="s">
        <v>1728</v>
      </c>
      <c r="M1" s="151" t="s">
        <v>1729</v>
      </c>
      <c r="N1" s="151" t="s">
        <v>1730</v>
      </c>
      <c r="O1" s="151" t="s">
        <v>1731</v>
      </c>
      <c r="P1" s="151" t="s">
        <v>1732</v>
      </c>
      <c r="Q1" s="151" t="s">
        <v>1733</v>
      </c>
      <c r="R1" s="151" t="s">
        <v>1734</v>
      </c>
      <c r="S1" s="151" t="s">
        <v>1735</v>
      </c>
      <c r="T1" s="151" t="s">
        <v>1736</v>
      </c>
      <c r="U1" s="151" t="s">
        <v>1737</v>
      </c>
      <c r="V1" s="151" t="s">
        <v>1738</v>
      </c>
      <c r="W1" s="151" t="s">
        <v>1739</v>
      </c>
      <c r="X1" s="151" t="s">
        <v>1740</v>
      </c>
      <c r="Y1" s="151" t="s">
        <v>1741</v>
      </c>
      <c r="Z1" s="151" t="s">
        <v>1742</v>
      </c>
      <c r="AA1" s="151" t="s">
        <v>1743</v>
      </c>
      <c r="AB1" s="151" t="s">
        <v>1744</v>
      </c>
      <c r="AC1" s="151" t="s">
        <v>1745</v>
      </c>
      <c r="AD1" s="151" t="s">
        <v>1746</v>
      </c>
      <c r="AE1" s="151" t="s">
        <v>1747</v>
      </c>
      <c r="AF1" s="151" t="s">
        <v>1748</v>
      </c>
      <c r="AG1" s="151" t="s">
        <v>1749</v>
      </c>
      <c r="AH1" s="151" t="s">
        <v>1750</v>
      </c>
      <c r="AI1" s="151" t="s">
        <v>1751</v>
      </c>
      <c r="AJ1" s="151" t="s">
        <v>1752</v>
      </c>
      <c r="AK1" s="151" t="s">
        <v>1753</v>
      </c>
      <c r="AL1" s="151" t="s">
        <v>1754</v>
      </c>
      <c r="AM1" s="151" t="s">
        <v>1755</v>
      </c>
      <c r="AN1" s="151" t="s">
        <v>1756</v>
      </c>
      <c r="AO1" s="151" t="s">
        <v>1757</v>
      </c>
      <c r="AP1" s="151" t="s">
        <v>1758</v>
      </c>
      <c r="AQ1" s="151" t="s">
        <v>1759</v>
      </c>
      <c r="AR1" s="151" t="s">
        <v>1760</v>
      </c>
      <c r="AS1" s="151" t="s">
        <v>1761</v>
      </c>
      <c r="AT1" s="151" t="s">
        <v>1762</v>
      </c>
      <c r="AU1" s="151" t="s">
        <v>1763</v>
      </c>
      <c r="AV1" s="151" t="s">
        <v>1764</v>
      </c>
      <c r="AW1" s="151" t="s">
        <v>1765</v>
      </c>
      <c r="AX1" s="151" t="s">
        <v>1766</v>
      </c>
      <c r="AY1" s="151" t="s">
        <v>1767</v>
      </c>
      <c r="AZ1" s="151" t="s">
        <v>1768</v>
      </c>
      <c r="BA1" s="151" t="s">
        <v>1769</v>
      </c>
      <c r="BB1" s="152" t="s">
        <v>1770</v>
      </c>
    </row>
    <row r="2" spans="1:54" s="134" customFormat="1" x14ac:dyDescent="0.2">
      <c r="A2" s="146" t="s">
        <v>1713</v>
      </c>
      <c r="B2" s="408">
        <v>0.1</v>
      </c>
      <c r="C2" s="409">
        <v>0.15</v>
      </c>
      <c r="D2" s="409">
        <v>0.17</v>
      </c>
      <c r="E2" s="409">
        <v>0.23</v>
      </c>
      <c r="F2" s="409">
        <v>0.28000000000000003</v>
      </c>
      <c r="G2" s="409">
        <v>0.35</v>
      </c>
      <c r="H2" s="409">
        <v>0.4</v>
      </c>
      <c r="I2" s="409">
        <v>0.45</v>
      </c>
      <c r="J2" s="409">
        <v>0.5</v>
      </c>
      <c r="K2" s="409">
        <v>0.57999999999999996</v>
      </c>
      <c r="L2" s="409">
        <v>0.62</v>
      </c>
      <c r="M2" s="409">
        <v>0.68</v>
      </c>
      <c r="N2" s="409">
        <v>0.71000000000000008</v>
      </c>
      <c r="O2" s="409">
        <v>0.7400000000000001</v>
      </c>
      <c r="P2" s="409">
        <v>0.75000000000000011</v>
      </c>
      <c r="Q2" s="409">
        <v>0.76000000000000012</v>
      </c>
      <c r="R2" s="409">
        <v>0.79000000000000015</v>
      </c>
      <c r="S2" s="409">
        <v>0.82000000000000017</v>
      </c>
      <c r="T2" s="409">
        <v>0.8500000000000002</v>
      </c>
      <c r="U2" s="409">
        <v>0.88000000000000023</v>
      </c>
      <c r="V2" s="409">
        <v>0.91000000000000025</v>
      </c>
      <c r="W2" s="409">
        <v>0.94000000000000028</v>
      </c>
      <c r="X2" s="409">
        <v>0.97000000000000031</v>
      </c>
      <c r="Y2" s="409">
        <v>1.0000000000000002</v>
      </c>
      <c r="Z2" s="409"/>
      <c r="AA2" s="409"/>
      <c r="AB2" s="409"/>
      <c r="AC2" s="409"/>
      <c r="AD2" s="409"/>
      <c r="AE2" s="409"/>
      <c r="AF2" s="409"/>
      <c r="AG2" s="409"/>
      <c r="AH2" s="409"/>
      <c r="AI2" s="409"/>
      <c r="AJ2" s="409"/>
      <c r="AK2" s="409"/>
      <c r="AL2" s="409"/>
      <c r="AM2" s="147"/>
      <c r="AN2" s="147"/>
      <c r="AO2" s="147"/>
      <c r="AP2" s="147"/>
      <c r="AQ2" s="147"/>
      <c r="AR2" s="147"/>
      <c r="AS2" s="147"/>
      <c r="AT2" s="147"/>
      <c r="AU2" s="147"/>
      <c r="AV2" s="147"/>
      <c r="AW2" s="147"/>
      <c r="AX2" s="147"/>
      <c r="AY2" s="147"/>
      <c r="AZ2" s="147"/>
      <c r="BA2" s="147"/>
      <c r="BB2" s="148"/>
    </row>
    <row r="3" spans="1:54" s="134" customFormat="1" x14ac:dyDescent="0.2">
      <c r="A3" s="143" t="s">
        <v>1716</v>
      </c>
      <c r="B3" s="410"/>
      <c r="C3" s="411"/>
      <c r="D3" s="411"/>
      <c r="E3" s="411"/>
      <c r="F3" s="411"/>
      <c r="G3" s="411"/>
      <c r="H3" s="411"/>
      <c r="I3" s="411"/>
      <c r="J3" s="411"/>
      <c r="K3" s="411"/>
      <c r="L3" s="411">
        <v>0.1</v>
      </c>
      <c r="M3" s="411">
        <v>0.15</v>
      </c>
      <c r="N3" s="411">
        <v>0.2</v>
      </c>
      <c r="O3" s="411">
        <v>0.3</v>
      </c>
      <c r="P3" s="411">
        <v>0.35</v>
      </c>
      <c r="Q3" s="411">
        <v>0.4</v>
      </c>
      <c r="R3" s="411">
        <v>0.4</v>
      </c>
      <c r="S3" s="411">
        <v>0.4</v>
      </c>
      <c r="T3" s="411">
        <v>0.4</v>
      </c>
      <c r="U3" s="411">
        <v>0.4</v>
      </c>
      <c r="V3" s="411">
        <v>0.5</v>
      </c>
      <c r="W3" s="411">
        <v>0.6</v>
      </c>
      <c r="X3" s="411">
        <v>0.65</v>
      </c>
      <c r="Y3" s="411">
        <v>0.7</v>
      </c>
      <c r="Z3" s="411">
        <v>0.8</v>
      </c>
      <c r="AA3" s="411">
        <v>0.9</v>
      </c>
      <c r="AB3" s="411">
        <v>1</v>
      </c>
      <c r="AC3" s="411"/>
      <c r="AD3" s="411"/>
      <c r="AE3" s="411"/>
      <c r="AF3" s="411"/>
      <c r="AG3" s="411"/>
      <c r="AH3" s="411"/>
      <c r="AI3" s="411"/>
      <c r="AJ3" s="411"/>
      <c r="AK3" s="411"/>
      <c r="AL3" s="411"/>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12"/>
      <c r="C4" s="413"/>
      <c r="D4" s="413"/>
      <c r="E4" s="413"/>
      <c r="F4" s="413"/>
      <c r="G4" s="413"/>
      <c r="H4" s="413"/>
      <c r="I4" s="413"/>
      <c r="J4" s="413"/>
      <c r="K4" s="413"/>
      <c r="L4" s="413"/>
      <c r="M4" s="413"/>
      <c r="N4" s="413"/>
      <c r="O4" s="413"/>
      <c r="P4" s="413"/>
      <c r="Q4" s="413"/>
      <c r="R4" s="413"/>
      <c r="S4" s="413"/>
      <c r="T4" s="413"/>
      <c r="U4" s="413"/>
      <c r="V4" s="413"/>
      <c r="W4" s="413"/>
      <c r="X4" s="413"/>
      <c r="Y4" s="413"/>
      <c r="Z4" s="413"/>
      <c r="AA4" s="413"/>
      <c r="AB4" s="413">
        <v>0.05</v>
      </c>
      <c r="AC4" s="413">
        <v>0.2</v>
      </c>
      <c r="AD4" s="413">
        <v>0.3</v>
      </c>
      <c r="AE4" s="413">
        <v>0.5</v>
      </c>
      <c r="AF4" s="413">
        <v>0.6</v>
      </c>
      <c r="AG4" s="413">
        <v>0.65</v>
      </c>
      <c r="AH4" s="413">
        <v>0.7</v>
      </c>
      <c r="AI4" s="413">
        <v>0.85</v>
      </c>
      <c r="AJ4" s="413">
        <v>0.9</v>
      </c>
      <c r="AK4" s="413">
        <v>0.95</v>
      </c>
      <c r="AL4" s="413">
        <v>1</v>
      </c>
      <c r="AM4" s="138"/>
      <c r="AN4" s="138"/>
      <c r="AO4" s="138"/>
      <c r="AP4" s="138"/>
      <c r="AQ4" s="138"/>
      <c r="AR4" s="138"/>
      <c r="AS4" s="138"/>
      <c r="AT4" s="138"/>
      <c r="AU4" s="138"/>
      <c r="AV4" s="138"/>
      <c r="AW4" s="138"/>
      <c r="AX4" s="138"/>
      <c r="AY4" s="138"/>
      <c r="AZ4" s="138"/>
      <c r="BA4" s="138"/>
      <c r="BB4" s="139"/>
    </row>
    <row r="5" spans="1:54" x14ac:dyDescent="0.2">
      <c r="A5" s="153" t="s">
        <v>1714</v>
      </c>
      <c r="B5" s="414">
        <v>5</v>
      </c>
      <c r="C5" s="415">
        <v>6</v>
      </c>
      <c r="D5" s="415">
        <v>7</v>
      </c>
      <c r="E5" s="415">
        <v>8</v>
      </c>
      <c r="F5" s="415">
        <v>9</v>
      </c>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6"/>
      <c r="AG5" s="417"/>
      <c r="AH5" s="41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1713</v>
      </c>
      <c r="B6" s="410">
        <v>0.08</v>
      </c>
      <c r="C6" s="411">
        <v>0.12</v>
      </c>
      <c r="D6" s="411">
        <v>0.15</v>
      </c>
      <c r="E6" s="411">
        <v>0.18</v>
      </c>
      <c r="F6" s="411">
        <v>0.24</v>
      </c>
      <c r="G6" s="411">
        <v>0.3</v>
      </c>
      <c r="H6" s="411">
        <v>0.35</v>
      </c>
      <c r="I6" s="411">
        <v>0.4</v>
      </c>
      <c r="J6" s="411">
        <v>0.45</v>
      </c>
      <c r="K6" s="411">
        <v>0.5</v>
      </c>
      <c r="L6" s="411">
        <v>0.57999999999999996</v>
      </c>
      <c r="M6" s="411">
        <v>0.59</v>
      </c>
      <c r="N6" s="411">
        <v>0.6</v>
      </c>
      <c r="O6" s="411">
        <v>0.65</v>
      </c>
      <c r="P6" s="411">
        <v>0.68</v>
      </c>
      <c r="Q6" s="411">
        <v>0.7</v>
      </c>
      <c r="R6" s="411">
        <v>0.72</v>
      </c>
      <c r="S6" s="411">
        <v>0.74</v>
      </c>
      <c r="T6" s="411">
        <v>0.76</v>
      </c>
      <c r="U6" s="411">
        <v>0.78</v>
      </c>
      <c r="V6" s="411">
        <v>0.8</v>
      </c>
      <c r="W6" s="411">
        <v>0.85</v>
      </c>
      <c r="X6" s="411">
        <v>0.88</v>
      </c>
      <c r="Y6" s="411">
        <v>0.9</v>
      </c>
      <c r="Z6" s="411"/>
      <c r="AA6" s="411"/>
      <c r="AB6" s="411"/>
      <c r="AC6" s="411"/>
      <c r="AD6" s="411"/>
      <c r="AE6" s="411"/>
      <c r="AF6" s="411"/>
      <c r="AG6" s="411"/>
      <c r="AH6" s="41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1715</v>
      </c>
      <c r="B7" s="410"/>
      <c r="C7" s="411"/>
      <c r="D7" s="411"/>
      <c r="E7" s="411"/>
      <c r="F7" s="411"/>
      <c r="G7" s="411"/>
      <c r="H7" s="411"/>
      <c r="I7" s="411"/>
      <c r="J7" s="411"/>
      <c r="K7" s="411"/>
      <c r="L7" s="411"/>
      <c r="M7" s="411">
        <v>7.0000000000000007E-2</v>
      </c>
      <c r="N7" s="411">
        <v>0.12</v>
      </c>
      <c r="O7" s="411">
        <v>0.17</v>
      </c>
      <c r="P7" s="411">
        <v>0.27</v>
      </c>
      <c r="Q7" s="411">
        <v>0.31999999999999995</v>
      </c>
      <c r="R7" s="411">
        <v>0.37</v>
      </c>
      <c r="S7" s="411">
        <v>0.37</v>
      </c>
      <c r="T7" s="411">
        <v>0.37</v>
      </c>
      <c r="U7" s="411">
        <v>0.37</v>
      </c>
      <c r="V7" s="411">
        <v>0.37</v>
      </c>
      <c r="W7" s="411">
        <v>0.47</v>
      </c>
      <c r="X7" s="411">
        <v>0.56999999999999995</v>
      </c>
      <c r="Y7" s="411">
        <v>0.62</v>
      </c>
      <c r="Z7" s="411">
        <v>0.66999999999999993</v>
      </c>
      <c r="AA7" s="411">
        <v>0.77</v>
      </c>
      <c r="AB7" s="411">
        <v>0.87</v>
      </c>
      <c r="AC7" s="411">
        <v>0.97</v>
      </c>
      <c r="AD7" s="411"/>
      <c r="AE7" s="411"/>
      <c r="AF7" s="418"/>
      <c r="AG7" s="411"/>
      <c r="AH7" s="41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12"/>
      <c r="C8" s="413"/>
      <c r="D8" s="413"/>
      <c r="E8" s="413"/>
      <c r="F8" s="413"/>
      <c r="G8" s="413"/>
      <c r="H8" s="413"/>
      <c r="I8" s="413"/>
      <c r="J8" s="413"/>
      <c r="K8" s="413"/>
      <c r="L8" s="413"/>
      <c r="M8" s="413"/>
      <c r="N8" s="413"/>
      <c r="O8" s="413"/>
      <c r="P8" s="413"/>
      <c r="Q8" s="413"/>
      <c r="R8" s="413"/>
      <c r="S8" s="413"/>
      <c r="T8" s="413"/>
      <c r="U8" s="413"/>
      <c r="V8" s="413"/>
      <c r="W8" s="413"/>
      <c r="X8" s="413"/>
      <c r="Y8" s="413"/>
      <c r="Z8" s="413"/>
      <c r="AA8" s="413"/>
      <c r="AB8" s="413">
        <v>0.08</v>
      </c>
      <c r="AC8" s="413">
        <v>0.15</v>
      </c>
      <c r="AD8" s="413">
        <v>0.26</v>
      </c>
      <c r="AE8" s="413">
        <v>0.4</v>
      </c>
      <c r="AF8" s="413">
        <v>0.5</v>
      </c>
      <c r="AG8" s="413">
        <v>0.55000000000000004</v>
      </c>
      <c r="AH8" s="41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497" t="s">
        <v>1771</v>
      </c>
    </row>
    <row r="3" spans="1:9" x14ac:dyDescent="0.25">
      <c r="A3" s="22"/>
      <c r="B3" s="498" t="s">
        <v>1772</v>
      </c>
      <c r="C3" s="498" t="s">
        <v>463</v>
      </c>
      <c r="D3" s="498" t="s">
        <v>364</v>
      </c>
      <c r="E3" s="498" t="s">
        <v>1773</v>
      </c>
      <c r="F3" s="498" t="s">
        <v>1774</v>
      </c>
      <c r="G3" s="498" t="s">
        <v>315</v>
      </c>
      <c r="H3" s="498" t="s">
        <v>258</v>
      </c>
      <c r="I3" s="498" t="s">
        <v>1775</v>
      </c>
    </row>
    <row r="4" spans="1:9" x14ac:dyDescent="0.25">
      <c r="A4" s="498" t="s">
        <v>1776</v>
      </c>
      <c r="B4" s="208">
        <f>SUMIFS('Diags Raw Data'!$L$6:$L$4580,'Diags Raw Data'!$C$6:$C$4580,B3)</f>
        <v>0</v>
      </c>
      <c r="C4" s="208">
        <f>SUMIFS('Diags Raw Data'!$L$6:$L$4580,'Diags Raw Data'!$C$6:$C$4580,C3)</f>
        <v>384</v>
      </c>
      <c r="D4" s="208">
        <f>SUMIFS('Diags Raw Data'!$L$6:$L$4580,'Diags Raw Data'!$C$6:$C$4580,D3)</f>
        <v>232</v>
      </c>
      <c r="E4" s="208">
        <f>SUMIFS('Diags Raw Data'!$L$6:$L$4580,'Diags Raw Data'!$C$6:$C$4580,E3)</f>
        <v>0</v>
      </c>
      <c r="F4" s="208">
        <f>SUMIFS('Diags Raw Data'!$L$6:$L$4580,'Diags Raw Data'!$C$6:$C$4580,F3)</f>
        <v>0</v>
      </c>
      <c r="G4" s="208">
        <f>SUMIFS('Diags Raw Data'!$L$6:$L$4580,'Diags Raw Data'!$C$6:$C$4580,G3)</f>
        <v>120</v>
      </c>
      <c r="H4" s="208">
        <f>SUMIFS('Diags Raw Data'!$L$6:$L$4580,'Diags Raw Data'!$C$6:$C$4580,H3)</f>
        <v>420</v>
      </c>
      <c r="I4" s="208">
        <f>SUMIFS('Diags Raw Data'!$L$6:$L$4580,'Diags Raw Data'!$C$6:$C$4580,I3)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1777</v>
      </c>
      <c r="B3" s="129" t="s">
        <v>1778</v>
      </c>
      <c r="C3" s="129"/>
      <c r="D3" s="192"/>
      <c r="E3" s="129"/>
    </row>
    <row r="4" spans="1:5" x14ac:dyDescent="0.25">
      <c r="A4" s="79" t="s">
        <v>44</v>
      </c>
      <c r="B4">
        <v>0</v>
      </c>
    </row>
    <row r="5" spans="1:5" x14ac:dyDescent="0.25">
      <c r="A5" s="79" t="s">
        <v>1779</v>
      </c>
      <c r="B5">
        <v>85</v>
      </c>
      <c r="D5" s="130">
        <f>GETPIVOTDATA("#Tests",$A$3,"ETA","wk-1")/GETPIVOTDATA("#Tests",$A$3)</f>
        <v>0.17</v>
      </c>
      <c r="E5" s="131">
        <f>D5</f>
        <v>0.17</v>
      </c>
    </row>
    <row r="6" spans="1:5" x14ac:dyDescent="0.25">
      <c r="A6" s="79" t="s">
        <v>1780</v>
      </c>
      <c r="B6">
        <v>48</v>
      </c>
      <c r="D6" s="130">
        <f>GETPIVOTDATA("#Tests",$A$3,"ETA","wk-2")/GETPIVOTDATA("#Tests",$A$3)</f>
        <v>9.6000000000000002E-2</v>
      </c>
      <c r="E6" s="131">
        <f t="shared" ref="E6:E12" si="0">E5+D6</f>
        <v>0.26600000000000001</v>
      </c>
    </row>
    <row r="7" spans="1:5" x14ac:dyDescent="0.25">
      <c r="A7" s="79" t="s">
        <v>1781</v>
      </c>
      <c r="B7">
        <v>96</v>
      </c>
      <c r="D7" s="130">
        <f>GETPIVOTDATA("#Tests",$A$3,"ETA","wk-3")/GETPIVOTDATA("#Tests",$A$3)</f>
        <v>0.192</v>
      </c>
      <c r="E7" s="131">
        <f t="shared" si="0"/>
        <v>0.45800000000000002</v>
      </c>
    </row>
    <row r="8" spans="1:5" x14ac:dyDescent="0.25">
      <c r="A8" s="79" t="s">
        <v>1782</v>
      </c>
      <c r="B8">
        <v>79</v>
      </c>
      <c r="D8" s="130">
        <f>GETPIVOTDATA("#Tests",$A$3,"ETA","wk-4")/GETPIVOTDATA("#Tests",$A$3)</f>
        <v>0.158</v>
      </c>
      <c r="E8" s="131">
        <f t="shared" si="0"/>
        <v>0.61599999999999999</v>
      </c>
    </row>
    <row r="9" spans="1:5" x14ac:dyDescent="0.25">
      <c r="A9" s="79" t="s">
        <v>1783</v>
      </c>
      <c r="B9">
        <v>82</v>
      </c>
      <c r="D9" s="130">
        <f>GETPIVOTDATA("#Tests",$A$3,"ETA","wk-5")/GETPIVOTDATA("#Tests",$A$3)</f>
        <v>0.16400000000000001</v>
      </c>
      <c r="E9" s="131">
        <f t="shared" si="0"/>
        <v>0.78</v>
      </c>
    </row>
    <row r="10" spans="1:5" x14ac:dyDescent="0.25">
      <c r="A10" s="79" t="s">
        <v>1784</v>
      </c>
      <c r="B10">
        <v>60</v>
      </c>
      <c r="D10" s="130">
        <f>GETPIVOTDATA("#Tests",$A$3,"ETA","wk-6")/GETPIVOTDATA("#Tests",$A$3)</f>
        <v>0.12</v>
      </c>
      <c r="E10" s="131">
        <f t="shared" si="0"/>
        <v>0.9</v>
      </c>
    </row>
    <row r="11" spans="1:5" x14ac:dyDescent="0.25">
      <c r="A11" s="79" t="s">
        <v>1785</v>
      </c>
      <c r="B11">
        <v>30</v>
      </c>
      <c r="D11" s="130">
        <f>GETPIVOTDATA("#Tests",$A$3,"ETA","wk-7")/GETPIVOTDATA("#Tests",$A$3)</f>
        <v>0.06</v>
      </c>
      <c r="E11" s="131">
        <f t="shared" si="0"/>
        <v>0.96</v>
      </c>
    </row>
    <row r="12" spans="1:5" x14ac:dyDescent="0.25">
      <c r="A12" s="79" t="s">
        <v>1786</v>
      </c>
      <c r="B12">
        <v>20</v>
      </c>
      <c r="D12" s="130">
        <f>GETPIVOTDATA("#Tests",$A$3,"ETA","wk-8")/GETPIVOTDATA("#Tests",$A$3)</f>
        <v>0.04</v>
      </c>
      <c r="E12" s="131">
        <f t="shared" si="0"/>
        <v>1</v>
      </c>
    </row>
    <row r="13" spans="1:5" x14ac:dyDescent="0.25">
      <c r="A13" s="79" t="s">
        <v>1138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Props1.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2024-03-25T13:35:26Z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