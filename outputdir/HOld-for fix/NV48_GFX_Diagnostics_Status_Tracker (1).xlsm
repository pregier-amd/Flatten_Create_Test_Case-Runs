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HOld-for fix\"/>
    </mc:Choice>
  </mc:AlternateContent>
  <xr:revisionPtr revIDLastSave="0" documentId="8_{F6377E67-3430-489B-944E-E444B1F1782B}" xr6:coauthVersionLast="47" xr6:coauthVersionMax="47" xr10:uidLastSave="{00000000-0000-0000-0000-000000000000}"/>
  <bookViews>
    <workbookView xWindow="-28590" yWindow="525" windowWidth="28515" windowHeight="1458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Data'!$A$5:$AH$151</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45"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40" i="55" l="1"/>
  <c r="B40" i="55"/>
  <c r="E40" i="55"/>
  <c r="E131"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E42" i="55"/>
  <c r="U7" i="55"/>
  <c r="C174" i="55"/>
  <c r="E239" i="55"/>
  <c r="E20" i="55"/>
  <c r="E251" i="55"/>
  <c r="E252" i="55"/>
  <c r="E243" i="55"/>
  <c r="E174" i="55"/>
  <c r="E238" i="55"/>
  <c r="E240" i="55"/>
  <c r="E241" i="55"/>
  <c r="E242" i="55"/>
  <c r="E244" i="55"/>
  <c r="E245" i="55"/>
  <c r="E246" i="55"/>
  <c r="E247" i="55"/>
  <c r="E248" i="55"/>
  <c r="E249" i="55"/>
  <c r="E250" i="55"/>
  <c r="E253" i="55"/>
  <c r="E254" i="55"/>
  <c r="E255" i="55"/>
  <c r="E256" i="55"/>
  <c r="E257" i="55"/>
  <c r="E258" i="55"/>
  <c r="B238" i="55"/>
  <c r="C238" i="55"/>
  <c r="D238" i="55" a="1"/>
  <c r="D238" i="55" s="1"/>
  <c r="F238" i="55"/>
  <c r="I238" i="55"/>
  <c r="J238" i="55"/>
  <c r="P238" i="55"/>
  <c r="Q238" i="55"/>
  <c r="B239" i="55"/>
  <c r="C239" i="55"/>
  <c r="D239" i="55" a="1"/>
  <c r="D239" i="55" s="1"/>
  <c r="H239" i="55" s="1"/>
  <c r="F239" i="55"/>
  <c r="I239" i="55"/>
  <c r="J239" i="55"/>
  <c r="R239" i="55" s="1"/>
  <c r="P239" i="55"/>
  <c r="S239" i="55" s="1"/>
  <c r="Q239" i="55"/>
  <c r="B240" i="55"/>
  <c r="C240" i="55"/>
  <c r="D240" i="55" a="1"/>
  <c r="D240" i="55" s="1"/>
  <c r="G240" i="55" s="1"/>
  <c r="F240" i="55"/>
  <c r="I240" i="55"/>
  <c r="J240" i="55"/>
  <c r="R240" i="55" s="1"/>
  <c r="P240" i="55"/>
  <c r="S240" i="55" s="1"/>
  <c r="Q240" i="55"/>
  <c r="B241" i="55"/>
  <c r="C241" i="55"/>
  <c r="D241" i="55" a="1"/>
  <c r="D241" i="55" s="1"/>
  <c r="F241" i="55"/>
  <c r="I241" i="55"/>
  <c r="J241" i="55"/>
  <c r="R241" i="55" s="1"/>
  <c r="P241" i="55"/>
  <c r="S241" i="55" s="1"/>
  <c r="Q241" i="55"/>
  <c r="B242" i="55"/>
  <c r="C242" i="55"/>
  <c r="D242" i="55" a="1"/>
  <c r="D242" i="55" s="1"/>
  <c r="G242" i="55" s="1"/>
  <c r="F242" i="55"/>
  <c r="I242" i="55"/>
  <c r="J242" i="55"/>
  <c r="P242" i="55"/>
  <c r="S242" i="55" s="1"/>
  <c r="Q242" i="55"/>
  <c r="B243" i="55"/>
  <c r="C243" i="55"/>
  <c r="D243" i="55" a="1"/>
  <c r="D243" i="55" s="1"/>
  <c r="F243" i="55"/>
  <c r="I243" i="55"/>
  <c r="J243" i="55"/>
  <c r="P243" i="55"/>
  <c r="S243" i="55" s="1"/>
  <c r="Q243" i="55"/>
  <c r="B244" i="55"/>
  <c r="C244" i="55"/>
  <c r="D244" i="55" a="1"/>
  <c r="D244" i="55" s="1"/>
  <c r="H244" i="55" s="1"/>
  <c r="F244" i="55"/>
  <c r="I244" i="55"/>
  <c r="J244" i="55"/>
  <c r="R244" i="55" s="1"/>
  <c r="P244" i="55"/>
  <c r="S244" i="55" s="1"/>
  <c r="Q244" i="55"/>
  <c r="B245" i="55"/>
  <c r="C245" i="55"/>
  <c r="D245" i="55" a="1"/>
  <c r="D245" i="55" s="1"/>
  <c r="H245" i="55" s="1"/>
  <c r="F245" i="55"/>
  <c r="I245" i="55"/>
  <c r="J245" i="55"/>
  <c r="P245" i="55"/>
  <c r="S245" i="55" s="1"/>
  <c r="Q245" i="55"/>
  <c r="B246" i="55"/>
  <c r="C246" i="55"/>
  <c r="D246" i="55" a="1"/>
  <c r="D246" i="55" s="1"/>
  <c r="H246" i="55" s="1"/>
  <c r="F246" i="55"/>
  <c r="I246" i="55"/>
  <c r="J246" i="55"/>
  <c r="R246" i="55" s="1"/>
  <c r="P246" i="55"/>
  <c r="S246" i="55" s="1"/>
  <c r="Q246" i="55"/>
  <c r="B247" i="55"/>
  <c r="C247" i="55"/>
  <c r="D247" i="55" a="1"/>
  <c r="D247" i="55" s="1"/>
  <c r="H247" i="55" s="1"/>
  <c r="F247" i="55"/>
  <c r="I247" i="55"/>
  <c r="J247" i="55"/>
  <c r="R247" i="55" s="1"/>
  <c r="P247" i="55"/>
  <c r="S247" i="55" s="1"/>
  <c r="Q247" i="55"/>
  <c r="B248" i="55"/>
  <c r="C248" i="55"/>
  <c r="D248" i="55" a="1"/>
  <c r="D248" i="55" s="1"/>
  <c r="G248" i="55" s="1"/>
  <c r="F248" i="55"/>
  <c r="I248" i="55"/>
  <c r="J248" i="55"/>
  <c r="R248" i="55" s="1"/>
  <c r="P248" i="55"/>
  <c r="S248" i="55" s="1"/>
  <c r="Q248" i="55"/>
  <c r="B249" i="55"/>
  <c r="C249" i="55"/>
  <c r="D249" i="55" a="1"/>
  <c r="D249" i="55" s="1"/>
  <c r="F249" i="55"/>
  <c r="I249" i="55"/>
  <c r="J249" i="55"/>
  <c r="R249" i="55" s="1"/>
  <c r="P249" i="55"/>
  <c r="S249" i="55" s="1"/>
  <c r="Q249" i="55"/>
  <c r="B250" i="55"/>
  <c r="C250" i="55"/>
  <c r="D250" i="55" a="1"/>
  <c r="D250" i="55" s="1"/>
  <c r="G250" i="55" s="1"/>
  <c r="F250" i="55"/>
  <c r="I250" i="55"/>
  <c r="J250" i="55"/>
  <c r="R250" i="55" s="1"/>
  <c r="P250" i="55"/>
  <c r="S250" i="55" s="1"/>
  <c r="Q250" i="55"/>
  <c r="B251" i="55"/>
  <c r="C251" i="55"/>
  <c r="D251" i="55" a="1"/>
  <c r="D251" i="55" s="1"/>
  <c r="H251" i="55" s="1"/>
  <c r="F251" i="55"/>
  <c r="I251" i="55"/>
  <c r="J251" i="55"/>
  <c r="P251" i="55"/>
  <c r="S251" i="55" s="1"/>
  <c r="Q251" i="55"/>
  <c r="B252" i="55"/>
  <c r="C252" i="55"/>
  <c r="D252" i="55" a="1"/>
  <c r="D252" i="55" s="1"/>
  <c r="G252" i="55" s="1"/>
  <c r="F252" i="55"/>
  <c r="I252" i="55"/>
  <c r="J252" i="55"/>
  <c r="R252" i="55" s="1"/>
  <c r="P252" i="55"/>
  <c r="S252" i="55" s="1"/>
  <c r="Q252" i="55"/>
  <c r="B253" i="55"/>
  <c r="C253" i="55"/>
  <c r="D253" i="55" a="1"/>
  <c r="D253" i="55" s="1"/>
  <c r="F253" i="55"/>
  <c r="I253" i="55"/>
  <c r="J253" i="55"/>
  <c r="R253" i="55" s="1"/>
  <c r="P253" i="55"/>
  <c r="S253" i="55" s="1"/>
  <c r="Q253" i="55"/>
  <c r="B254" i="55"/>
  <c r="C254" i="55"/>
  <c r="D254" i="55" a="1"/>
  <c r="D254" i="55" s="1"/>
  <c r="G254" i="55" s="1"/>
  <c r="F254" i="55"/>
  <c r="I254" i="55"/>
  <c r="J254" i="55"/>
  <c r="R254" i="55" s="1"/>
  <c r="P254" i="55"/>
  <c r="S254" i="55" s="1"/>
  <c r="Q254" i="55"/>
  <c r="B255" i="55"/>
  <c r="C255" i="55"/>
  <c r="D255" i="55" a="1"/>
  <c r="D255" i="55" s="1"/>
  <c r="H255" i="55" s="1"/>
  <c r="F255" i="55"/>
  <c r="I255" i="55"/>
  <c r="J255" i="55"/>
  <c r="R255" i="55" s="1"/>
  <c r="P255" i="55"/>
  <c r="S255" i="55" s="1"/>
  <c r="Q255" i="55"/>
  <c r="B256" i="55"/>
  <c r="C256" i="55"/>
  <c r="D256" i="55" a="1"/>
  <c r="D256" i="55" s="1"/>
  <c r="G256" i="55" s="1"/>
  <c r="F256" i="55"/>
  <c r="I256" i="55"/>
  <c r="J256" i="55"/>
  <c r="R256" i="55" s="1"/>
  <c r="P256" i="55"/>
  <c r="S256" i="55" s="1"/>
  <c r="Q256" i="55"/>
  <c r="B257" i="55"/>
  <c r="C257" i="55"/>
  <c r="D257" i="55" a="1"/>
  <c r="D257" i="55" s="1"/>
  <c r="G257" i="55" s="1"/>
  <c r="F257" i="55"/>
  <c r="I257" i="55"/>
  <c r="J257" i="55"/>
  <c r="P257" i="55"/>
  <c r="S257" i="55" s="1"/>
  <c r="Q257" i="55"/>
  <c r="B258" i="55"/>
  <c r="C258" i="55"/>
  <c r="D258" i="55" a="1"/>
  <c r="D258" i="55" s="1"/>
  <c r="G258" i="55" s="1"/>
  <c r="F258" i="55"/>
  <c r="I258" i="55"/>
  <c r="J258" i="55"/>
  <c r="R258" i="55" s="1"/>
  <c r="P258" i="55"/>
  <c r="S258" i="55" s="1"/>
  <c r="Q258" i="55"/>
  <c r="E12" i="55"/>
  <c r="E13" i="55"/>
  <c r="E14" i="55"/>
  <c r="E15" i="55"/>
  <c r="E16" i="55"/>
  <c r="E17" i="55"/>
  <c r="E18" i="55"/>
  <c r="E21" i="55"/>
  <c r="E22" i="55"/>
  <c r="E23" i="55"/>
  <c r="E24" i="55"/>
  <c r="E25" i="55"/>
  <c r="E26" i="55"/>
  <c r="E27" i="55"/>
  <c r="E28" i="55"/>
  <c r="E29" i="55"/>
  <c r="E30" i="55"/>
  <c r="E31" i="55"/>
  <c r="E32" i="55"/>
  <c r="E33" i="55"/>
  <c r="E34" i="55"/>
  <c r="E35" i="55"/>
  <c r="E36" i="55"/>
  <c r="E37" i="55"/>
  <c r="E38" i="55"/>
  <c r="E39" i="55"/>
  <c r="E41"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8" i="55"/>
  <c r="E169" i="55"/>
  <c r="E170" i="55"/>
  <c r="E171" i="55"/>
  <c r="E172" i="55"/>
  <c r="E173" i="55"/>
  <c r="E175" i="55"/>
  <c r="E176" i="55"/>
  <c r="E177" i="55"/>
  <c r="E178" i="55"/>
  <c r="E179" i="55"/>
  <c r="E180" i="55"/>
  <c r="E181" i="55"/>
  <c r="E182" i="55"/>
  <c r="E183" i="55"/>
  <c r="E184" i="55"/>
  <c r="E185" i="55"/>
  <c r="E186" i="55"/>
  <c r="E187" i="55"/>
  <c r="E188" i="55"/>
  <c r="E189" i="55"/>
  <c r="E190" i="55"/>
  <c r="E191" i="55"/>
  <c r="E192" i="55"/>
  <c r="E193" i="55"/>
  <c r="E194" i="55"/>
  <c r="E195" i="55"/>
  <c r="E196" i="55"/>
  <c r="E197" i="55"/>
  <c r="E198" i="55"/>
  <c r="E199" i="55"/>
  <c r="E200" i="55"/>
  <c r="E201" i="55"/>
  <c r="E202" i="55"/>
  <c r="E203" i="55"/>
  <c r="E204" i="55"/>
  <c r="E205" i="55"/>
  <c r="E206" i="55"/>
  <c r="E207" i="55"/>
  <c r="E208" i="55"/>
  <c r="E209" i="55"/>
  <c r="E210" i="55"/>
  <c r="E211" i="55"/>
  <c r="E212" i="55"/>
  <c r="E213" i="55"/>
  <c r="E214" i="55"/>
  <c r="E215" i="55"/>
  <c r="E216" i="55"/>
  <c r="E217" i="55"/>
  <c r="E218" i="55"/>
  <c r="E219" i="55"/>
  <c r="E220" i="55"/>
  <c r="E221" i="55"/>
  <c r="E222" i="55"/>
  <c r="E223" i="55"/>
  <c r="E224" i="55"/>
  <c r="E225" i="55"/>
  <c r="E226" i="55"/>
  <c r="E227" i="55"/>
  <c r="E228" i="55"/>
  <c r="E229" i="55"/>
  <c r="E230" i="55"/>
  <c r="E231" i="55"/>
  <c r="E232" i="55"/>
  <c r="E233" i="55"/>
  <c r="E234" i="55"/>
  <c r="E235" i="55"/>
  <c r="E236" i="55"/>
  <c r="E237" i="55"/>
  <c r="E9" i="55"/>
  <c r="E10" i="55"/>
  <c r="E8" i="55"/>
  <c r="E7" i="55"/>
  <c r="Q237" i="55"/>
  <c r="P237" i="55"/>
  <c r="S237" i="55" s="1"/>
  <c r="J237" i="55"/>
  <c r="R237" i="55" s="1"/>
  <c r="I237" i="55"/>
  <c r="F237" i="55"/>
  <c r="D237" i="55" a="1"/>
  <c r="D237" i="55" s="1"/>
  <c r="H237" i="55" s="1"/>
  <c r="C237" i="55"/>
  <c r="B237" i="55"/>
  <c r="Q236" i="55"/>
  <c r="P236" i="55"/>
  <c r="S236" i="55" s="1"/>
  <c r="J236" i="55"/>
  <c r="I236" i="55"/>
  <c r="F236" i="55"/>
  <c r="D236" i="55" a="1"/>
  <c r="D236" i="55" s="1"/>
  <c r="C236" i="55"/>
  <c r="B236" i="55"/>
  <c r="Q235" i="55"/>
  <c r="P235" i="55"/>
  <c r="J235" i="55"/>
  <c r="R235" i="55" s="1"/>
  <c r="I235" i="55"/>
  <c r="F235" i="55"/>
  <c r="D235" i="55" a="1"/>
  <c r="D235" i="55" s="1"/>
  <c r="H235" i="55" s="1"/>
  <c r="C235" i="55"/>
  <c r="B235" i="55"/>
  <c r="Q234" i="55"/>
  <c r="P234" i="55"/>
  <c r="J234" i="55"/>
  <c r="I234" i="55"/>
  <c r="F234" i="55"/>
  <c r="D234" i="55" a="1"/>
  <c r="D234" i="55" s="1"/>
  <c r="C234" i="55"/>
  <c r="B234" i="55"/>
  <c r="Q233" i="55"/>
  <c r="P233" i="55"/>
  <c r="S233" i="55" s="1"/>
  <c r="J233" i="55"/>
  <c r="R233" i="55" s="1"/>
  <c r="T233" i="55" s="1"/>
  <c r="I233" i="55"/>
  <c r="F233" i="55"/>
  <c r="D233" i="55" a="1"/>
  <c r="D233" i="55" s="1"/>
  <c r="G233" i="55" s="1"/>
  <c r="C233" i="55"/>
  <c r="B233" i="55"/>
  <c r="Q232" i="55"/>
  <c r="P232" i="55"/>
  <c r="S232" i="55" s="1"/>
  <c r="J232" i="55"/>
  <c r="R232" i="55" s="1"/>
  <c r="I232" i="55"/>
  <c r="F232" i="55"/>
  <c r="D232" i="55" a="1"/>
  <c r="D232" i="55" s="1"/>
  <c r="G232" i="55" s="1"/>
  <c r="C232" i="55"/>
  <c r="B232" i="55"/>
  <c r="Q231" i="55"/>
  <c r="P231" i="55"/>
  <c r="S231" i="55" s="1"/>
  <c r="J231" i="55"/>
  <c r="R231" i="55" s="1"/>
  <c r="I231" i="55"/>
  <c r="F231" i="55"/>
  <c r="D231" i="55" a="1"/>
  <c r="D231" i="55" s="1"/>
  <c r="H231" i="55" s="1"/>
  <c r="L151" i="53"/>
  <c r="J277" i="55" s="1"/>
  <c r="C231" i="55"/>
  <c r="B231" i="55"/>
  <c r="Q230" i="55"/>
  <c r="P230" i="55"/>
  <c r="J230" i="55"/>
  <c r="I230" i="55"/>
  <c r="F230" i="55"/>
  <c r="D230" i="55" a="1"/>
  <c r="D230" i="55" s="1"/>
  <c r="C230" i="55"/>
  <c r="B230" i="55"/>
  <c r="Q229" i="55"/>
  <c r="P229" i="55"/>
  <c r="S229" i="55" s="1"/>
  <c r="J229" i="55"/>
  <c r="R229" i="55" s="1"/>
  <c r="I229" i="55"/>
  <c r="F229" i="55"/>
  <c r="D229" i="55" a="1"/>
  <c r="D229" i="55" s="1"/>
  <c r="C229" i="55"/>
  <c r="B229" i="55"/>
  <c r="Q228" i="55"/>
  <c r="P228" i="55"/>
  <c r="S228" i="55" s="1"/>
  <c r="J228" i="55"/>
  <c r="R228" i="55" s="1"/>
  <c r="I228" i="55"/>
  <c r="F228" i="55"/>
  <c r="D228" i="55" a="1"/>
  <c r="D228" i="55" s="1"/>
  <c r="G228" i="55" s="1"/>
  <c r="C228" i="55"/>
  <c r="B228" i="55"/>
  <c r="Q227" i="55"/>
  <c r="P227" i="55"/>
  <c r="S227" i="55" s="1"/>
  <c r="J227" i="55"/>
  <c r="I227" i="55"/>
  <c r="F227" i="55"/>
  <c r="D227" i="55" a="1"/>
  <c r="D227" i="55" s="1"/>
  <c r="C227" i="55"/>
  <c r="B227" i="55"/>
  <c r="Q226" i="55"/>
  <c r="P226" i="55"/>
  <c r="S226" i="55" s="1"/>
  <c r="J226" i="55"/>
  <c r="I226" i="55"/>
  <c r="F226" i="55"/>
  <c r="D226" i="55" a="1"/>
  <c r="D226" i="55" s="1"/>
  <c r="G226" i="55" s="1"/>
  <c r="C226" i="55"/>
  <c r="B226" i="55"/>
  <c r="Q225" i="55"/>
  <c r="P225" i="55"/>
  <c r="J225" i="55"/>
  <c r="I225" i="55"/>
  <c r="F225" i="55"/>
  <c r="D225" i="55" a="1"/>
  <c r="D225" i="55" s="1"/>
  <c r="G225" i="55" s="1"/>
  <c r="C225" i="55"/>
  <c r="B225" i="55"/>
  <c r="Q224" i="55"/>
  <c r="P224" i="55"/>
  <c r="S224" i="55" s="1"/>
  <c r="J224" i="55"/>
  <c r="R224" i="55" s="1"/>
  <c r="I224" i="55"/>
  <c r="F224" i="55"/>
  <c r="D224" i="55" a="1"/>
  <c r="D224" i="55" s="1"/>
  <c r="G224" i="55" s="1"/>
  <c r="C224" i="55"/>
  <c r="B224" i="55"/>
  <c r="Q223" i="55"/>
  <c r="P223" i="55"/>
  <c r="S223" i="55" s="1"/>
  <c r="J223" i="55"/>
  <c r="R223" i="55" s="1"/>
  <c r="I223" i="55"/>
  <c r="F223" i="55"/>
  <c r="D223" i="55" a="1"/>
  <c r="D223" i="55" s="1"/>
  <c r="H223" i="55" s="1"/>
  <c r="C223" i="55"/>
  <c r="B223" i="55"/>
  <c r="Q222" i="55"/>
  <c r="P222" i="55"/>
  <c r="S222" i="55" s="1"/>
  <c r="J222" i="55"/>
  <c r="R222" i="55" s="1"/>
  <c r="I222" i="55"/>
  <c r="F222" i="55"/>
  <c r="D222" i="55" a="1"/>
  <c r="D222" i="55" s="1"/>
  <c r="G222" i="55" s="1"/>
  <c r="C222" i="55"/>
  <c r="B222" i="55"/>
  <c r="Q221" i="55"/>
  <c r="P221" i="55"/>
  <c r="S221" i="55" s="1"/>
  <c r="J221" i="55"/>
  <c r="I221" i="55"/>
  <c r="F221" i="55"/>
  <c r="D221" i="55" a="1"/>
  <c r="D221" i="55" s="1"/>
  <c r="G221" i="55" s="1"/>
  <c r="C221" i="55"/>
  <c r="B221" i="55"/>
  <c r="Q220" i="55"/>
  <c r="P220" i="55"/>
  <c r="S220" i="55" s="1"/>
  <c r="J220" i="55"/>
  <c r="I220" i="55"/>
  <c r="F220" i="55"/>
  <c r="D220" i="55" a="1"/>
  <c r="D220" i="55" s="1"/>
  <c r="H220" i="55" s="1"/>
  <c r="C220" i="55"/>
  <c r="B220" i="55"/>
  <c r="Q219" i="55"/>
  <c r="P219" i="55"/>
  <c r="S219" i="55" s="1"/>
  <c r="J219" i="55"/>
  <c r="I219" i="55"/>
  <c r="F219" i="55"/>
  <c r="D219" i="55" a="1"/>
  <c r="D219" i="55" s="1"/>
  <c r="H219" i="55" s="1"/>
  <c r="C219" i="55"/>
  <c r="B219" i="55"/>
  <c r="Q218" i="55"/>
  <c r="P218" i="55"/>
  <c r="S218" i="55" s="1"/>
  <c r="J218" i="55"/>
  <c r="R218" i="55" s="1"/>
  <c r="I218" i="55"/>
  <c r="F218" i="55"/>
  <c r="D218" i="55" a="1"/>
  <c r="D218" i="55" s="1"/>
  <c r="H218" i="55" s="1"/>
  <c r="C218" i="55"/>
  <c r="B218" i="55"/>
  <c r="Q217" i="55"/>
  <c r="P217" i="55"/>
  <c r="S217" i="55" s="1"/>
  <c r="J217" i="55"/>
  <c r="I217" i="55"/>
  <c r="F217" i="55"/>
  <c r="D217" i="55" a="1"/>
  <c r="D217" i="55" s="1"/>
  <c r="C217" i="55"/>
  <c r="B217" i="55"/>
  <c r="Q216" i="55"/>
  <c r="P216" i="55"/>
  <c r="S216" i="55" s="1"/>
  <c r="J216" i="55"/>
  <c r="I216" i="55"/>
  <c r="F216" i="55"/>
  <c r="D216" i="55" a="1"/>
  <c r="D216" i="55" s="1"/>
  <c r="H216" i="55" s="1"/>
  <c r="C216" i="55"/>
  <c r="B216" i="55"/>
  <c r="Q215" i="55"/>
  <c r="P215" i="55"/>
  <c r="S215" i="55" s="1"/>
  <c r="J215" i="55"/>
  <c r="I215" i="55"/>
  <c r="F215" i="55"/>
  <c r="D215" i="55" a="1"/>
  <c r="D215" i="55" s="1"/>
  <c r="G215" i="55" s="1"/>
  <c r="C215" i="55"/>
  <c r="B215" i="55"/>
  <c r="Q214" i="55"/>
  <c r="P214" i="55"/>
  <c r="S214" i="55" s="1"/>
  <c r="J214" i="55"/>
  <c r="I214" i="55"/>
  <c r="F214" i="55"/>
  <c r="D214" i="55" a="1"/>
  <c r="D214" i="55" s="1"/>
  <c r="C214" i="55"/>
  <c r="B214" i="55"/>
  <c r="Q213" i="55"/>
  <c r="P213" i="55"/>
  <c r="S213" i="55" s="1"/>
  <c r="T213" i="55" s="1"/>
  <c r="J213" i="55"/>
  <c r="R213" i="55" s="1"/>
  <c r="I213" i="55"/>
  <c r="F213" i="55"/>
  <c r="D213" i="55" a="1"/>
  <c r="D213" i="55" s="1"/>
  <c r="G213" i="55" s="1"/>
  <c r="C213" i="55"/>
  <c r="B213" i="55"/>
  <c r="Q212" i="55"/>
  <c r="P212" i="55"/>
  <c r="S212" i="55" s="1"/>
  <c r="J212" i="55"/>
  <c r="R212" i="55" s="1"/>
  <c r="I212" i="55"/>
  <c r="F212" i="55"/>
  <c r="D212" i="55" a="1"/>
  <c r="D212" i="55" s="1"/>
  <c r="G212" i="55" s="1"/>
  <c r="C212" i="55"/>
  <c r="B212" i="55"/>
  <c r="Q211" i="55"/>
  <c r="P211" i="55"/>
  <c r="J211" i="55"/>
  <c r="I211" i="55"/>
  <c r="F211" i="55"/>
  <c r="D211" i="55" a="1"/>
  <c r="D211" i="55" s="1"/>
  <c r="G211" i="55" s="1"/>
  <c r="C211" i="55"/>
  <c r="B211" i="55"/>
  <c r="Q210" i="55"/>
  <c r="P210" i="55"/>
  <c r="S210" i="55" s="1"/>
  <c r="J210" i="55"/>
  <c r="I210" i="55"/>
  <c r="F210" i="55"/>
  <c r="D210" i="55" a="1"/>
  <c r="D210" i="55" s="1"/>
  <c r="H210" i="55" s="1"/>
  <c r="C210" i="55"/>
  <c r="B210" i="55"/>
  <c r="Q209" i="55"/>
  <c r="P209" i="55"/>
  <c r="S209" i="55" s="1"/>
  <c r="J209" i="55"/>
  <c r="R209" i="55" s="1"/>
  <c r="I209" i="55"/>
  <c r="F209" i="55"/>
  <c r="D209" i="55" a="1"/>
  <c r="D209" i="55" s="1"/>
  <c r="G209" i="55" s="1"/>
  <c r="C209" i="55"/>
  <c r="B209" i="55"/>
  <c r="Q208" i="55"/>
  <c r="P208" i="55"/>
  <c r="S208" i="55" s="1"/>
  <c r="J208" i="55"/>
  <c r="R208" i="55" s="1"/>
  <c r="I208" i="55"/>
  <c r="F208" i="55"/>
  <c r="D208" i="55" a="1"/>
  <c r="D208" i="55" s="1"/>
  <c r="G208" i="55" s="1"/>
  <c r="C208" i="55"/>
  <c r="B208" i="55"/>
  <c r="Q207" i="55"/>
  <c r="P207" i="55"/>
  <c r="J207" i="55"/>
  <c r="I207" i="55"/>
  <c r="F207" i="55"/>
  <c r="D207" i="55" a="1"/>
  <c r="D207" i="55" s="1"/>
  <c r="H207" i="55" s="1"/>
  <c r="C207" i="55"/>
  <c r="B207" i="55"/>
  <c r="Q206" i="55"/>
  <c r="P206" i="55"/>
  <c r="S206" i="55" s="1"/>
  <c r="J206" i="55"/>
  <c r="I206" i="55"/>
  <c r="F206" i="55"/>
  <c r="D206" i="55" a="1"/>
  <c r="D206" i="55" s="1"/>
  <c r="G206" i="55" s="1"/>
  <c r="C206" i="55"/>
  <c r="B206" i="55"/>
  <c r="Q205" i="55"/>
  <c r="P205" i="55"/>
  <c r="S205" i="55" s="1"/>
  <c r="J205" i="55"/>
  <c r="R205" i="55" s="1"/>
  <c r="I205" i="55"/>
  <c r="F205" i="55"/>
  <c r="D205" i="55" a="1"/>
  <c r="D205" i="55" s="1"/>
  <c r="H205" i="55" s="1"/>
  <c r="C205" i="55"/>
  <c r="B205" i="55"/>
  <c r="Q204" i="55"/>
  <c r="P204" i="55"/>
  <c r="S204" i="55" s="1"/>
  <c r="J204" i="55"/>
  <c r="I204" i="55"/>
  <c r="F204" i="55"/>
  <c r="D204" i="55" a="1"/>
  <c r="D204" i="55" s="1"/>
  <c r="G204" i="55" s="1"/>
  <c r="C204" i="55"/>
  <c r="B204" i="55"/>
  <c r="Q203" i="55"/>
  <c r="P203" i="55"/>
  <c r="S203" i="55" s="1"/>
  <c r="J203" i="55"/>
  <c r="I203" i="55"/>
  <c r="F203" i="55"/>
  <c r="D203" i="55" a="1"/>
  <c r="D203" i="55" s="1"/>
  <c r="C203" i="55"/>
  <c r="B203" i="55"/>
  <c r="Q202" i="55"/>
  <c r="P202" i="55"/>
  <c r="S202" i="55" s="1"/>
  <c r="J202" i="55"/>
  <c r="R202" i="55" s="1"/>
  <c r="I202" i="55"/>
  <c r="F202" i="55"/>
  <c r="D202" i="55" a="1"/>
  <c r="D202" i="55" s="1"/>
  <c r="H202" i="55" s="1"/>
  <c r="C202" i="55"/>
  <c r="B202" i="55"/>
  <c r="Q201" i="55"/>
  <c r="P201" i="55"/>
  <c r="S201" i="55" s="1"/>
  <c r="J201" i="55"/>
  <c r="R201" i="55" s="1"/>
  <c r="I201" i="55"/>
  <c r="F201" i="55"/>
  <c r="D201" i="55" a="1"/>
  <c r="D201" i="55" s="1"/>
  <c r="C201" i="55"/>
  <c r="B201" i="55"/>
  <c r="Q200" i="55"/>
  <c r="P200" i="55"/>
  <c r="S200" i="55" s="1"/>
  <c r="J200" i="55"/>
  <c r="R200" i="55" s="1"/>
  <c r="I200" i="55"/>
  <c r="F200" i="55"/>
  <c r="D200" i="55" a="1"/>
  <c r="D200" i="55" s="1"/>
  <c r="G200" i="55" s="1"/>
  <c r="C200" i="55"/>
  <c r="B200" i="55"/>
  <c r="Q199" i="55"/>
  <c r="P199" i="55"/>
  <c r="S199" i="55" s="1"/>
  <c r="J199" i="55"/>
  <c r="I199" i="55"/>
  <c r="F199" i="55"/>
  <c r="D199" i="55" a="1"/>
  <c r="D199" i="55" s="1"/>
  <c r="G199" i="55" s="1"/>
  <c r="C199" i="55"/>
  <c r="B199" i="55"/>
  <c r="Q198" i="55"/>
  <c r="P198" i="55"/>
  <c r="S198" i="55" s="1"/>
  <c r="J198" i="55"/>
  <c r="R198" i="55" s="1"/>
  <c r="I198" i="55"/>
  <c r="F198" i="55"/>
  <c r="D198" i="55" a="1"/>
  <c r="D198" i="55" s="1"/>
  <c r="C198" i="55"/>
  <c r="B198" i="55"/>
  <c r="Q197" i="55"/>
  <c r="P197" i="55"/>
  <c r="S197" i="55" s="1"/>
  <c r="J197" i="55"/>
  <c r="I197" i="55"/>
  <c r="F197" i="55"/>
  <c r="D197" i="55" a="1"/>
  <c r="D197" i="55" s="1"/>
  <c r="H197" i="55" s="1"/>
  <c r="C197" i="55"/>
  <c r="B197" i="55"/>
  <c r="Q196" i="55"/>
  <c r="P196" i="55"/>
  <c r="S196" i="55" s="1"/>
  <c r="J196" i="55"/>
  <c r="R196" i="55" s="1"/>
  <c r="I196" i="55"/>
  <c r="F196" i="55"/>
  <c r="D196" i="55" a="1"/>
  <c r="D196" i="55" s="1"/>
  <c r="C196" i="55"/>
  <c r="B196" i="55"/>
  <c r="Q195" i="55"/>
  <c r="P195" i="55"/>
  <c r="S195" i="55" s="1"/>
  <c r="J195" i="55"/>
  <c r="R195" i="55" s="1"/>
  <c r="I195" i="55"/>
  <c r="F195" i="55"/>
  <c r="D195" i="55" a="1"/>
  <c r="D195" i="55" s="1"/>
  <c r="G195" i="55" s="1"/>
  <c r="C195" i="55"/>
  <c r="B195" i="55"/>
  <c r="Q194" i="55"/>
  <c r="P194" i="55"/>
  <c r="S194" i="55" s="1"/>
  <c r="J194" i="55"/>
  <c r="I194" i="55"/>
  <c r="F194" i="55"/>
  <c r="D194" i="55" a="1"/>
  <c r="D194" i="55" s="1"/>
  <c r="H194" i="55" s="1"/>
  <c r="C194" i="55"/>
  <c r="B194" i="55"/>
  <c r="Q193" i="55"/>
  <c r="P193" i="55"/>
  <c r="S193" i="55" s="1"/>
  <c r="J193" i="55"/>
  <c r="R193" i="55" s="1"/>
  <c r="I193" i="55"/>
  <c r="F193" i="55"/>
  <c r="D193" i="55" a="1"/>
  <c r="D193" i="55" s="1"/>
  <c r="G193" i="55" s="1"/>
  <c r="C193" i="55"/>
  <c r="B193" i="55"/>
  <c r="Q192" i="55"/>
  <c r="P192" i="55"/>
  <c r="S192" i="55" s="1"/>
  <c r="J192" i="55"/>
  <c r="I192" i="55"/>
  <c r="F192" i="55"/>
  <c r="D192" i="55" a="1"/>
  <c r="D192" i="55" s="1"/>
  <c r="G192" i="55" s="1"/>
  <c r="C192" i="55"/>
  <c r="B192" i="55"/>
  <c r="Q191" i="55"/>
  <c r="P191" i="55"/>
  <c r="S191" i="55" s="1"/>
  <c r="J191" i="55"/>
  <c r="R191" i="55" s="1"/>
  <c r="I191" i="55"/>
  <c r="F191" i="55"/>
  <c r="D191" i="55" a="1"/>
  <c r="D191" i="55" s="1"/>
  <c r="C191" i="55"/>
  <c r="B191" i="55"/>
  <c r="Q190" i="55"/>
  <c r="P190" i="55"/>
  <c r="S190" i="55" s="1"/>
  <c r="J190" i="55"/>
  <c r="R190" i="55" s="1"/>
  <c r="I190" i="55"/>
  <c r="F190" i="55"/>
  <c r="D190" i="55" a="1"/>
  <c r="D190" i="55" s="1"/>
  <c r="H190" i="55" s="1"/>
  <c r="C190" i="55"/>
  <c r="B190" i="55"/>
  <c r="Q189" i="55"/>
  <c r="P189" i="55"/>
  <c r="S189" i="55" s="1"/>
  <c r="J189" i="55"/>
  <c r="R189" i="55" s="1"/>
  <c r="I189" i="55"/>
  <c r="F189" i="55"/>
  <c r="D189" i="55" a="1"/>
  <c r="D189" i="55" s="1"/>
  <c r="G189" i="55" s="1"/>
  <c r="C189" i="55"/>
  <c r="B189" i="55"/>
  <c r="Q188" i="55"/>
  <c r="P188" i="55"/>
  <c r="S188" i="55" s="1"/>
  <c r="J188" i="55"/>
  <c r="R188" i="55" s="1"/>
  <c r="I188" i="55"/>
  <c r="F188" i="55"/>
  <c r="D188" i="55" a="1"/>
  <c r="D188" i="55" s="1"/>
  <c r="H188" i="55" s="1"/>
  <c r="C188" i="55"/>
  <c r="B188" i="55"/>
  <c r="Q187" i="55"/>
  <c r="P187" i="55"/>
  <c r="J187" i="55"/>
  <c r="I187" i="55"/>
  <c r="F187" i="55"/>
  <c r="D187" i="55" a="1"/>
  <c r="D187" i="55" s="1"/>
  <c r="H187" i="55" s="1"/>
  <c r="C187" i="55"/>
  <c r="B187" i="55"/>
  <c r="Q186" i="55"/>
  <c r="P186" i="55"/>
  <c r="S186" i="55" s="1"/>
  <c r="J186" i="55"/>
  <c r="R186" i="55" s="1"/>
  <c r="I186" i="55"/>
  <c r="F186" i="55"/>
  <c r="D186" i="55" a="1"/>
  <c r="D186" i="55" s="1"/>
  <c r="G186" i="55" s="1"/>
  <c r="C186" i="55"/>
  <c r="B186" i="55"/>
  <c r="Q185" i="55"/>
  <c r="P185" i="55"/>
  <c r="S185" i="55" s="1"/>
  <c r="J185" i="55"/>
  <c r="R185" i="55" s="1"/>
  <c r="I185" i="55"/>
  <c r="F185" i="55"/>
  <c r="D185" i="55" a="1"/>
  <c r="D185" i="55" s="1"/>
  <c r="G185" i="55" s="1"/>
  <c r="C185" i="55"/>
  <c r="B185" i="55"/>
  <c r="Q184" i="55"/>
  <c r="P184" i="55"/>
  <c r="S184" i="55" s="1"/>
  <c r="J184" i="55"/>
  <c r="R184" i="55" s="1"/>
  <c r="I184" i="55"/>
  <c r="F184" i="55"/>
  <c r="D184" i="55" a="1"/>
  <c r="D184" i="55" s="1"/>
  <c r="C184" i="55"/>
  <c r="B184" i="55"/>
  <c r="Q183" i="55"/>
  <c r="P183" i="55"/>
  <c r="S183" i="55" s="1"/>
  <c r="J183" i="55"/>
  <c r="R183" i="55" s="1"/>
  <c r="I183" i="55"/>
  <c r="F183" i="55"/>
  <c r="D183" i="55" a="1"/>
  <c r="D183" i="55" s="1"/>
  <c r="G183" i="55" s="1"/>
  <c r="C183" i="55"/>
  <c r="B183" i="55"/>
  <c r="Q182" i="55"/>
  <c r="P182" i="55"/>
  <c r="S182" i="55" s="1"/>
  <c r="J182" i="55"/>
  <c r="R182" i="55" s="1"/>
  <c r="I182" i="55"/>
  <c r="F182" i="55"/>
  <c r="D182" i="55" a="1"/>
  <c r="D182" i="55" s="1"/>
  <c r="G182" i="55" s="1"/>
  <c r="C182" i="55"/>
  <c r="B182" i="55"/>
  <c r="Q181" i="55"/>
  <c r="P181" i="55"/>
  <c r="S181" i="55" s="1"/>
  <c r="J181" i="55"/>
  <c r="R181" i="55" s="1"/>
  <c r="I181" i="55"/>
  <c r="F181" i="55"/>
  <c r="D181" i="55" a="1"/>
  <c r="D181" i="55" s="1"/>
  <c r="G181" i="55" s="1"/>
  <c r="C181" i="55"/>
  <c r="B181" i="55"/>
  <c r="Q180" i="55"/>
  <c r="P180" i="55"/>
  <c r="S180" i="55" s="1"/>
  <c r="J180" i="55"/>
  <c r="R180" i="55" s="1"/>
  <c r="I180" i="55"/>
  <c r="F180" i="55"/>
  <c r="D180" i="55" a="1"/>
  <c r="D180" i="55" s="1"/>
  <c r="G180" i="55" s="1"/>
  <c r="C180" i="55"/>
  <c r="B180" i="55"/>
  <c r="Q179" i="55"/>
  <c r="P179" i="55"/>
  <c r="S179" i="55" s="1"/>
  <c r="J179" i="55"/>
  <c r="R179" i="55" s="1"/>
  <c r="I179" i="55"/>
  <c r="F179" i="55"/>
  <c r="D179" i="55" a="1"/>
  <c r="D179" i="55" s="1"/>
  <c r="G179" i="55" s="1"/>
  <c r="C179" i="55"/>
  <c r="B179" i="55"/>
  <c r="Q178" i="55"/>
  <c r="P178" i="55"/>
  <c r="S178" i="55" s="1"/>
  <c r="J178" i="55"/>
  <c r="R178" i="55" s="1"/>
  <c r="I178" i="55"/>
  <c r="F178" i="55"/>
  <c r="D178" i="55" a="1"/>
  <c r="D178" i="55" s="1"/>
  <c r="G178" i="55" s="1"/>
  <c r="C178" i="55"/>
  <c r="B178" i="55"/>
  <c r="Q177" i="55"/>
  <c r="P177" i="55"/>
  <c r="S177" i="55" s="1"/>
  <c r="J177" i="55"/>
  <c r="R177" i="55" s="1"/>
  <c r="I177" i="55"/>
  <c r="F177" i="55"/>
  <c r="D177" i="55" a="1"/>
  <c r="D177" i="55" s="1"/>
  <c r="C177" i="55"/>
  <c r="B177" i="55"/>
  <c r="Q176" i="55"/>
  <c r="P176" i="55"/>
  <c r="J176" i="55"/>
  <c r="I176" i="55"/>
  <c r="F176" i="55"/>
  <c r="D176" i="55" a="1"/>
  <c r="D176" i="55" s="1"/>
  <c r="C176" i="55"/>
  <c r="B176" i="55"/>
  <c r="Q175" i="55"/>
  <c r="P175" i="55"/>
  <c r="J175" i="55"/>
  <c r="I175" i="55"/>
  <c r="F175" i="55"/>
  <c r="D175" i="55" a="1"/>
  <c r="D175" i="55" s="1"/>
  <c r="H175" i="55" s="1"/>
  <c r="C175" i="55"/>
  <c r="B175" i="55"/>
  <c r="Q174" i="55"/>
  <c r="P174" i="55"/>
  <c r="S174" i="55" s="1"/>
  <c r="J174" i="55"/>
  <c r="R174" i="55" s="1"/>
  <c r="I174" i="55"/>
  <c r="F174" i="55"/>
  <c r="D174" i="55" a="1"/>
  <c r="D174" i="55" s="1"/>
  <c r="B174" i="55"/>
  <c r="Q173" i="55"/>
  <c r="P173" i="55"/>
  <c r="S173" i="55" s="1"/>
  <c r="J173" i="55"/>
  <c r="I173" i="55"/>
  <c r="F173" i="55"/>
  <c r="D173" i="55" a="1"/>
  <c r="D173" i="55" s="1"/>
  <c r="H173" i="55" s="1"/>
  <c r="C173" i="55"/>
  <c r="B173" i="55"/>
  <c r="Q172" i="55"/>
  <c r="P172" i="55"/>
  <c r="S172" i="55" s="1"/>
  <c r="J172" i="55"/>
  <c r="I172" i="55"/>
  <c r="F172" i="55"/>
  <c r="D172" i="55" a="1"/>
  <c r="D172" i="55" s="1"/>
  <c r="C172" i="55"/>
  <c r="B172" i="55"/>
  <c r="Q171" i="55"/>
  <c r="P171" i="55"/>
  <c r="S171" i="55" s="1"/>
  <c r="J171" i="55"/>
  <c r="I171" i="55"/>
  <c r="F171" i="55"/>
  <c r="D171" i="55" a="1"/>
  <c r="D171" i="55" s="1"/>
  <c r="H171" i="55" s="1"/>
  <c r="C171" i="55"/>
  <c r="B171" i="55"/>
  <c r="Q170" i="55"/>
  <c r="P170" i="55"/>
  <c r="S170" i="55" s="1"/>
  <c r="J170" i="55"/>
  <c r="R170" i="55" s="1"/>
  <c r="I170" i="55"/>
  <c r="F170" i="55"/>
  <c r="D170" i="55" a="1"/>
  <c r="D170" i="55" s="1"/>
  <c r="G170" i="55" s="1"/>
  <c r="C170" i="55"/>
  <c r="B170" i="55"/>
  <c r="Q169" i="55"/>
  <c r="P169" i="55"/>
  <c r="S169" i="55" s="1"/>
  <c r="J169" i="55"/>
  <c r="I169" i="55"/>
  <c r="F169" i="55"/>
  <c r="D169" i="55" a="1"/>
  <c r="D169" i="55" s="1"/>
  <c r="H169" i="55" s="1"/>
  <c r="C169" i="55"/>
  <c r="B169" i="55"/>
  <c r="Q168" i="55"/>
  <c r="P168" i="55"/>
  <c r="S168" i="55" s="1"/>
  <c r="J168" i="55"/>
  <c r="R168" i="55" s="1"/>
  <c r="I168" i="55"/>
  <c r="F168" i="55"/>
  <c r="D168" i="55" a="1"/>
  <c r="D168" i="55" s="1"/>
  <c r="C168" i="55"/>
  <c r="B168" i="55"/>
  <c r="Q167" i="55"/>
  <c r="P167" i="55"/>
  <c r="S167" i="55" s="1"/>
  <c r="J167" i="55"/>
  <c r="R167" i="55" s="1"/>
  <c r="I167" i="55"/>
  <c r="F167" i="55"/>
  <c r="D167" i="55" a="1"/>
  <c r="D167" i="55" s="1"/>
  <c r="C167" i="55"/>
  <c r="B167" i="55"/>
  <c r="Q166" i="55"/>
  <c r="P166" i="55"/>
  <c r="S166" i="55" s="1"/>
  <c r="J166" i="55"/>
  <c r="I166" i="55"/>
  <c r="F166" i="55"/>
  <c r="D166" i="55" a="1"/>
  <c r="D166" i="55" s="1"/>
  <c r="H166" i="55" s="1"/>
  <c r="C166" i="55"/>
  <c r="B166" i="55"/>
  <c r="Q165" i="55"/>
  <c r="P165" i="55"/>
  <c r="S165" i="55" s="1"/>
  <c r="J165" i="55"/>
  <c r="R165" i="55" s="1"/>
  <c r="I165" i="55"/>
  <c r="F165" i="55"/>
  <c r="D165" i="55" a="1"/>
  <c r="D165" i="55" s="1"/>
  <c r="C165" i="55"/>
  <c r="B165" i="55"/>
  <c r="Q164" i="55"/>
  <c r="P164" i="55"/>
  <c r="S164" i="55" s="1"/>
  <c r="J164" i="55"/>
  <c r="I164" i="55"/>
  <c r="F164" i="55"/>
  <c r="D164" i="55" a="1"/>
  <c r="D164" i="55" s="1"/>
  <c r="H164" i="55" s="1"/>
  <c r="C164" i="55"/>
  <c r="B164" i="55"/>
  <c r="Q163" i="55"/>
  <c r="P163" i="55"/>
  <c r="S163" i="55" s="1"/>
  <c r="J163" i="55"/>
  <c r="R163" i="55" s="1"/>
  <c r="I163" i="55"/>
  <c r="F163" i="55"/>
  <c r="D163" i="55" a="1"/>
  <c r="D163" i="55" s="1"/>
  <c r="G163" i="55" s="1"/>
  <c r="C163" i="55"/>
  <c r="B163" i="55"/>
  <c r="Q162" i="55"/>
  <c r="P162" i="55"/>
  <c r="S162" i="55" s="1"/>
  <c r="J162" i="55"/>
  <c r="R162" i="55" s="1"/>
  <c r="I162" i="55"/>
  <c r="F162" i="55"/>
  <c r="D162" i="55" a="1"/>
  <c r="D162" i="55" s="1"/>
  <c r="H162" i="55" s="1"/>
  <c r="C162" i="55"/>
  <c r="B162" i="55"/>
  <c r="Q161" i="55"/>
  <c r="P161" i="55"/>
  <c r="S161" i="55" s="1"/>
  <c r="J161" i="55"/>
  <c r="I161" i="55"/>
  <c r="F161" i="55"/>
  <c r="D161" i="55" a="1"/>
  <c r="D161" i="55" s="1"/>
  <c r="H161" i="55" s="1"/>
  <c r="C161" i="55"/>
  <c r="B161" i="55"/>
  <c r="Q160" i="55"/>
  <c r="P160" i="55"/>
  <c r="S160" i="55" s="1"/>
  <c r="J160" i="55"/>
  <c r="R160" i="55" s="1"/>
  <c r="I160" i="55"/>
  <c r="F160" i="55"/>
  <c r="D160" i="55" a="1"/>
  <c r="D160" i="55" s="1"/>
  <c r="C160" i="55"/>
  <c r="B160" i="55"/>
  <c r="Q159" i="55"/>
  <c r="P159" i="55"/>
  <c r="S159" i="55" s="1"/>
  <c r="J159" i="55"/>
  <c r="R159" i="55" s="1"/>
  <c r="I159" i="55"/>
  <c r="F159" i="55"/>
  <c r="D159" i="55" a="1"/>
  <c r="D159" i="55" s="1"/>
  <c r="G159" i="55" s="1"/>
  <c r="C159" i="55"/>
  <c r="B159" i="55"/>
  <c r="Q158" i="55"/>
  <c r="P158" i="55"/>
  <c r="S158" i="55" s="1"/>
  <c r="J158" i="55"/>
  <c r="R158" i="55" s="1"/>
  <c r="I158" i="55"/>
  <c r="F158" i="55"/>
  <c r="D158" i="55" a="1"/>
  <c r="D158" i="55" s="1"/>
  <c r="G158" i="55" s="1"/>
  <c r="C158" i="55"/>
  <c r="B158" i="55"/>
  <c r="Q157" i="55"/>
  <c r="P157" i="55"/>
  <c r="S157" i="55" s="1"/>
  <c r="J157" i="55"/>
  <c r="R157" i="55" s="1"/>
  <c r="I157" i="55"/>
  <c r="F157" i="55"/>
  <c r="D157" i="55" a="1"/>
  <c r="D157" i="55" s="1"/>
  <c r="C157" i="55"/>
  <c r="B157" i="55"/>
  <c r="Q156" i="55"/>
  <c r="P156" i="55"/>
  <c r="S156" i="55" s="1"/>
  <c r="J156" i="55"/>
  <c r="R156" i="55" s="1"/>
  <c r="I156" i="55"/>
  <c r="F156" i="55"/>
  <c r="D156" i="55" a="1"/>
  <c r="D156" i="55" s="1"/>
  <c r="C156" i="55"/>
  <c r="B156" i="55"/>
  <c r="Q155" i="55"/>
  <c r="P155" i="55"/>
  <c r="S155" i="55" s="1"/>
  <c r="J155" i="55"/>
  <c r="R155" i="55" s="1"/>
  <c r="I155" i="55"/>
  <c r="F155" i="55"/>
  <c r="D155" i="55" a="1"/>
  <c r="D155" i="55" s="1"/>
  <c r="H155" i="55" s="1"/>
  <c r="C155" i="55"/>
  <c r="B155" i="55"/>
  <c r="Q154" i="55"/>
  <c r="P154" i="55"/>
  <c r="S154" i="55" s="1"/>
  <c r="J154" i="55"/>
  <c r="I154" i="55"/>
  <c r="F154" i="55"/>
  <c r="D154" i="55" a="1"/>
  <c r="D154" i="55" s="1"/>
  <c r="C154" i="55"/>
  <c r="B154" i="55"/>
  <c r="Q153" i="55"/>
  <c r="P153" i="55"/>
  <c r="S153" i="55" s="1"/>
  <c r="J153" i="55"/>
  <c r="R153" i="55" s="1"/>
  <c r="I153" i="55"/>
  <c r="F153" i="55"/>
  <c r="D153" i="55" a="1"/>
  <c r="D153" i="55" s="1"/>
  <c r="H153" i="55" s="1"/>
  <c r="C153" i="55"/>
  <c r="B153" i="55"/>
  <c r="Q152" i="55"/>
  <c r="P152" i="55"/>
  <c r="S152" i="55" s="1"/>
  <c r="J152" i="55"/>
  <c r="R152" i="55" s="1"/>
  <c r="I152" i="55"/>
  <c r="F152" i="55"/>
  <c r="D152" i="55" a="1"/>
  <c r="D152" i="55" s="1"/>
  <c r="C152" i="55"/>
  <c r="B152" i="55"/>
  <c r="Q151" i="55"/>
  <c r="P151" i="55"/>
  <c r="S151" i="55" s="1"/>
  <c r="J151" i="55"/>
  <c r="I151" i="55"/>
  <c r="F151" i="55"/>
  <c r="D151" i="55" a="1"/>
  <c r="D151" i="55" s="1"/>
  <c r="H151" i="55" s="1"/>
  <c r="C151" i="55"/>
  <c r="B151" i="55"/>
  <c r="Q150" i="55"/>
  <c r="P150" i="55"/>
  <c r="S150" i="55" s="1"/>
  <c r="J150" i="55"/>
  <c r="I150" i="55"/>
  <c r="F150" i="55"/>
  <c r="D150" i="55" a="1"/>
  <c r="D150" i="55" s="1"/>
  <c r="H150" i="55" s="1"/>
  <c r="C150" i="55"/>
  <c r="B150" i="55"/>
  <c r="Q149" i="55"/>
  <c r="P149" i="55"/>
  <c r="S149" i="55" s="1"/>
  <c r="J149" i="55"/>
  <c r="R149" i="55" s="1"/>
  <c r="I149" i="55"/>
  <c r="F149" i="55"/>
  <c r="D149" i="55" a="1"/>
  <c r="D149" i="55" s="1"/>
  <c r="H149" i="55" s="1"/>
  <c r="C149" i="55"/>
  <c r="B149" i="55"/>
  <c r="Q148" i="55"/>
  <c r="P148" i="55"/>
  <c r="S148" i="55" s="1"/>
  <c r="J148" i="55"/>
  <c r="R148" i="55" s="1"/>
  <c r="I148" i="55"/>
  <c r="F148" i="55"/>
  <c r="D148" i="55" a="1"/>
  <c r="D148" i="55" s="1"/>
  <c r="G148" i="55" s="1"/>
  <c r="C148" i="55"/>
  <c r="B148" i="55"/>
  <c r="Q147" i="55"/>
  <c r="P147" i="55"/>
  <c r="S147" i="55" s="1"/>
  <c r="J147" i="55"/>
  <c r="I147" i="55"/>
  <c r="F147" i="55"/>
  <c r="D147" i="55" a="1"/>
  <c r="D147" i="55" s="1"/>
  <c r="C147" i="55"/>
  <c r="B147" i="55"/>
  <c r="Q146" i="55"/>
  <c r="P146" i="55"/>
  <c r="S146" i="55" s="1"/>
  <c r="J146" i="55"/>
  <c r="I146" i="55"/>
  <c r="F146" i="55"/>
  <c r="D146" i="55" a="1"/>
  <c r="D146" i="55" s="1"/>
  <c r="G146" i="55" s="1"/>
  <c r="C146" i="55"/>
  <c r="B146" i="55"/>
  <c r="Q145" i="55"/>
  <c r="P145" i="55"/>
  <c r="S145" i="55" s="1"/>
  <c r="J145" i="55"/>
  <c r="R145" i="55" s="1"/>
  <c r="I145" i="55"/>
  <c r="F145" i="55"/>
  <c r="D145" i="55" a="1"/>
  <c r="D145" i="55" s="1"/>
  <c r="H145" i="55" s="1"/>
  <c r="C145" i="55"/>
  <c r="B145" i="55"/>
  <c r="Q144" i="55"/>
  <c r="P144" i="55"/>
  <c r="S144" i="55" s="1"/>
  <c r="J144" i="55"/>
  <c r="I144" i="55"/>
  <c r="F144" i="55"/>
  <c r="D144" i="55" a="1"/>
  <c r="D144" i="55" s="1"/>
  <c r="G144" i="55" s="1"/>
  <c r="C144" i="55"/>
  <c r="B144" i="55"/>
  <c r="Q143" i="55"/>
  <c r="P143" i="55"/>
  <c r="S143" i="55" s="1"/>
  <c r="J143" i="55"/>
  <c r="I143" i="55"/>
  <c r="F143" i="55"/>
  <c r="D143" i="55" a="1"/>
  <c r="D143" i="55" s="1"/>
  <c r="G143" i="55" s="1"/>
  <c r="C143" i="55"/>
  <c r="B143" i="55"/>
  <c r="Q142" i="55"/>
  <c r="P142" i="55"/>
  <c r="S142" i="55" s="1"/>
  <c r="J142" i="55"/>
  <c r="R142" i="55" s="1"/>
  <c r="I142" i="55"/>
  <c r="F142" i="55"/>
  <c r="D142" i="55" a="1"/>
  <c r="D142" i="55" s="1"/>
  <c r="H142" i="55" s="1"/>
  <c r="C142" i="55"/>
  <c r="B142" i="55"/>
  <c r="Q141" i="55"/>
  <c r="P141" i="55"/>
  <c r="S141" i="55" s="1"/>
  <c r="J141" i="55"/>
  <c r="R141" i="55" s="1"/>
  <c r="I141" i="55"/>
  <c r="F141" i="55"/>
  <c r="D141" i="55" a="1"/>
  <c r="D141" i="55" s="1"/>
  <c r="H141" i="55" s="1"/>
  <c r="C141" i="55"/>
  <c r="B141" i="55"/>
  <c r="Q140" i="55"/>
  <c r="P140" i="55"/>
  <c r="S140" i="55" s="1"/>
  <c r="J140" i="55"/>
  <c r="R140" i="55" s="1"/>
  <c r="I140" i="55"/>
  <c r="F140" i="55"/>
  <c r="D140" i="55" a="1"/>
  <c r="D140" i="55" s="1"/>
  <c r="H140" i="55" s="1"/>
  <c r="C140" i="55"/>
  <c r="B140" i="55"/>
  <c r="Q139" i="55"/>
  <c r="P139" i="55"/>
  <c r="S139" i="55" s="1"/>
  <c r="J139" i="55"/>
  <c r="R139" i="55" s="1"/>
  <c r="I139" i="55"/>
  <c r="F139" i="55"/>
  <c r="D139" i="55" a="1"/>
  <c r="D139" i="55" s="1"/>
  <c r="C139" i="55"/>
  <c r="B139" i="55"/>
  <c r="Q138" i="55"/>
  <c r="P138" i="55"/>
  <c r="S138" i="55" s="1"/>
  <c r="J138" i="55"/>
  <c r="R138" i="55" s="1"/>
  <c r="I138" i="55"/>
  <c r="F138" i="55"/>
  <c r="D138" i="55" a="1"/>
  <c r="D138" i="55" s="1"/>
  <c r="C138" i="55"/>
  <c r="B138" i="55"/>
  <c r="Q137" i="55"/>
  <c r="P137" i="55"/>
  <c r="S137" i="55" s="1"/>
  <c r="J137" i="55"/>
  <c r="I137" i="55"/>
  <c r="F137" i="55"/>
  <c r="D137" i="55" a="1"/>
  <c r="D137" i="55" s="1"/>
  <c r="G137" i="55" s="1"/>
  <c r="C137" i="55"/>
  <c r="B137" i="55"/>
  <c r="Q136" i="55"/>
  <c r="P136" i="55"/>
  <c r="S136" i="55" s="1"/>
  <c r="J136" i="55"/>
  <c r="I136" i="55"/>
  <c r="F136" i="55"/>
  <c r="D136" i="55" a="1"/>
  <c r="D136" i="55" s="1"/>
  <c r="G136" i="55" s="1"/>
  <c r="C136" i="55"/>
  <c r="B136" i="55"/>
  <c r="Q135" i="55"/>
  <c r="P135" i="55"/>
  <c r="S135" i="55" s="1"/>
  <c r="J135" i="55"/>
  <c r="I135" i="55"/>
  <c r="F135" i="55"/>
  <c r="D135" i="55" a="1"/>
  <c r="D135" i="55" s="1"/>
  <c r="H135" i="55" s="1"/>
  <c r="C135" i="55"/>
  <c r="B135" i="55"/>
  <c r="Q134" i="55"/>
  <c r="P134" i="55"/>
  <c r="S134" i="55" s="1"/>
  <c r="J134" i="55"/>
  <c r="I134" i="55"/>
  <c r="F134" i="55"/>
  <c r="D134" i="55" a="1"/>
  <c r="D134" i="55" s="1"/>
  <c r="G134" i="55" s="1"/>
  <c r="C134" i="55"/>
  <c r="B134" i="55"/>
  <c r="Q133" i="55"/>
  <c r="P133" i="55"/>
  <c r="S133" i="55" s="1"/>
  <c r="J133" i="55"/>
  <c r="I133" i="55"/>
  <c r="F133" i="55"/>
  <c r="D133" i="55" a="1"/>
  <c r="D133" i="55" s="1"/>
  <c r="C133" i="55"/>
  <c r="B133" i="55"/>
  <c r="Q132" i="55"/>
  <c r="P132" i="55"/>
  <c r="S132" i="55" s="1"/>
  <c r="J132" i="55"/>
  <c r="I132" i="55"/>
  <c r="F132" i="55"/>
  <c r="D132" i="55" a="1"/>
  <c r="D132" i="55" s="1"/>
  <c r="G132" i="55" s="1"/>
  <c r="C132" i="55"/>
  <c r="B132" i="55"/>
  <c r="Q131" i="55"/>
  <c r="P131" i="55"/>
  <c r="S131" i="55" s="1"/>
  <c r="J131" i="55"/>
  <c r="I131" i="55"/>
  <c r="F131" i="55"/>
  <c r="D131" i="55" a="1"/>
  <c r="D131" i="55" s="1"/>
  <c r="H131" i="55" s="1"/>
  <c r="C131" i="55"/>
  <c r="B131" i="55"/>
  <c r="Q130" i="55"/>
  <c r="P130" i="55"/>
  <c r="S130" i="55" s="1"/>
  <c r="J130" i="55"/>
  <c r="I130" i="55"/>
  <c r="F130" i="55"/>
  <c r="D130" i="55" a="1"/>
  <c r="D130" i="55" s="1"/>
  <c r="C130" i="55"/>
  <c r="B130" i="55"/>
  <c r="Q129" i="55"/>
  <c r="P129" i="55"/>
  <c r="S129" i="55" s="1"/>
  <c r="J129" i="55"/>
  <c r="R129" i="55" s="1"/>
  <c r="I129" i="55"/>
  <c r="F129" i="55"/>
  <c r="D129" i="55" a="1"/>
  <c r="D129" i="55" s="1"/>
  <c r="H129" i="55" s="1"/>
  <c r="C129" i="55"/>
  <c r="B129" i="55"/>
  <c r="Q128" i="55"/>
  <c r="P128" i="55"/>
  <c r="S128" i="55" s="1"/>
  <c r="J128" i="55"/>
  <c r="R128" i="55" s="1"/>
  <c r="I128" i="55"/>
  <c r="F128" i="55"/>
  <c r="D128" i="55" a="1"/>
  <c r="D128" i="55" s="1"/>
  <c r="G128" i="55" s="1"/>
  <c r="C128" i="55"/>
  <c r="B128" i="55"/>
  <c r="Q127" i="55"/>
  <c r="P127" i="55"/>
  <c r="S127" i="55" s="1"/>
  <c r="J127" i="55"/>
  <c r="R127" i="55" s="1"/>
  <c r="I127" i="55"/>
  <c r="F127" i="55"/>
  <c r="D127" i="55" a="1"/>
  <c r="D127" i="55" s="1"/>
  <c r="H127" i="55" s="1"/>
  <c r="C127" i="55"/>
  <c r="B127" i="55"/>
  <c r="Q126" i="55"/>
  <c r="P126" i="55"/>
  <c r="S126" i="55" s="1"/>
  <c r="J126" i="55"/>
  <c r="I126" i="55"/>
  <c r="F126" i="55"/>
  <c r="D126" i="55" a="1"/>
  <c r="D126" i="55" s="1"/>
  <c r="H126" i="55" s="1"/>
  <c r="C126" i="55"/>
  <c r="B126" i="55"/>
  <c r="Q125" i="55"/>
  <c r="P125" i="55"/>
  <c r="S125" i="55" s="1"/>
  <c r="J125" i="55"/>
  <c r="R125" i="55" s="1"/>
  <c r="I125" i="55"/>
  <c r="F125" i="55"/>
  <c r="D125" i="55" a="1"/>
  <c r="D125" i="55" s="1"/>
  <c r="C125" i="55"/>
  <c r="B125" i="55"/>
  <c r="Q124" i="55"/>
  <c r="P124" i="55"/>
  <c r="S124" i="55" s="1"/>
  <c r="J124" i="55"/>
  <c r="R124" i="55" s="1"/>
  <c r="I124" i="55"/>
  <c r="F124" i="55"/>
  <c r="D124" i="55" a="1"/>
  <c r="D124" i="55" s="1"/>
  <c r="G124" i="55" s="1"/>
  <c r="C124" i="55"/>
  <c r="B124" i="55"/>
  <c r="Q123" i="55"/>
  <c r="P123" i="55"/>
  <c r="S123" i="55" s="1"/>
  <c r="J123" i="55"/>
  <c r="R123" i="55" s="1"/>
  <c r="I123" i="55"/>
  <c r="F123" i="55"/>
  <c r="D123" i="55" a="1"/>
  <c r="D123" i="55" s="1"/>
  <c r="G123" i="55" s="1"/>
  <c r="C123" i="55"/>
  <c r="B123" i="55"/>
  <c r="Q122" i="55"/>
  <c r="P122" i="55"/>
  <c r="S122" i="55" s="1"/>
  <c r="J122" i="55"/>
  <c r="R122" i="55" s="1"/>
  <c r="I122" i="55"/>
  <c r="F122" i="55"/>
  <c r="D122" i="55" a="1"/>
  <c r="D122" i="55" s="1"/>
  <c r="C122" i="55"/>
  <c r="B122" i="55"/>
  <c r="Q121" i="55"/>
  <c r="P121" i="55"/>
  <c r="S121" i="55" s="1"/>
  <c r="J121" i="55"/>
  <c r="I121" i="55"/>
  <c r="F121" i="55"/>
  <c r="D121" i="55" a="1"/>
  <c r="D121" i="55" s="1"/>
  <c r="G121" i="55" s="1"/>
  <c r="C121" i="55"/>
  <c r="B121" i="55"/>
  <c r="Q120" i="55"/>
  <c r="P120" i="55"/>
  <c r="S120" i="55" s="1"/>
  <c r="J120" i="55"/>
  <c r="R120" i="55" s="1"/>
  <c r="I120" i="55"/>
  <c r="F120" i="55"/>
  <c r="D120" i="55" a="1"/>
  <c r="D120" i="55" s="1"/>
  <c r="G120" i="55" s="1"/>
  <c r="C120" i="55"/>
  <c r="B120" i="55"/>
  <c r="Q119" i="55"/>
  <c r="P119" i="55"/>
  <c r="S119" i="55" s="1"/>
  <c r="J119" i="55"/>
  <c r="I119" i="55"/>
  <c r="F119" i="55"/>
  <c r="D119" i="55" a="1"/>
  <c r="D119" i="55" s="1"/>
  <c r="H119" i="55" s="1"/>
  <c r="C119" i="55"/>
  <c r="B119" i="55"/>
  <c r="Q118" i="55"/>
  <c r="P118" i="55"/>
  <c r="S118" i="55" s="1"/>
  <c r="J118" i="55"/>
  <c r="R118" i="55" s="1"/>
  <c r="I118" i="55"/>
  <c r="F118" i="55"/>
  <c r="D118" i="55" a="1"/>
  <c r="D118" i="55" s="1"/>
  <c r="H118" i="55" s="1"/>
  <c r="C118" i="55"/>
  <c r="B118" i="55"/>
  <c r="Q117" i="55"/>
  <c r="P117" i="55"/>
  <c r="S117" i="55" s="1"/>
  <c r="J117" i="55"/>
  <c r="I117" i="55"/>
  <c r="F117" i="55"/>
  <c r="D117" i="55" a="1"/>
  <c r="D117" i="55" s="1"/>
  <c r="C117" i="55"/>
  <c r="B117" i="55"/>
  <c r="Q116" i="55"/>
  <c r="P116" i="55"/>
  <c r="S116" i="55" s="1"/>
  <c r="J116" i="55"/>
  <c r="I116" i="55"/>
  <c r="F116" i="55"/>
  <c r="D116" i="55" a="1"/>
  <c r="D116" i="55" s="1"/>
  <c r="C116" i="55"/>
  <c r="B116" i="55"/>
  <c r="Q115" i="55"/>
  <c r="P115" i="55"/>
  <c r="S115" i="55" s="1"/>
  <c r="J115" i="55"/>
  <c r="R115" i="55" s="1"/>
  <c r="I115" i="55"/>
  <c r="F115" i="55"/>
  <c r="D115" i="55" a="1"/>
  <c r="D115" i="55" s="1"/>
  <c r="H115" i="55" s="1"/>
  <c r="C115" i="55"/>
  <c r="B115" i="55"/>
  <c r="Q114" i="55"/>
  <c r="P114" i="55"/>
  <c r="S114" i="55" s="1"/>
  <c r="J114" i="55"/>
  <c r="R114" i="55" s="1"/>
  <c r="I114" i="55"/>
  <c r="F114" i="55"/>
  <c r="D114" i="55" a="1"/>
  <c r="D114" i="55" s="1"/>
  <c r="G114" i="55" s="1"/>
  <c r="C114" i="55"/>
  <c r="B114" i="55"/>
  <c r="Q113" i="55"/>
  <c r="P113" i="55"/>
  <c r="S113" i="55" s="1"/>
  <c r="J113" i="55"/>
  <c r="R113" i="55" s="1"/>
  <c r="I113" i="55"/>
  <c r="F113" i="55"/>
  <c r="D113" i="55" a="1"/>
  <c r="D113" i="55" s="1"/>
  <c r="H113" i="55" s="1"/>
  <c r="C113" i="55"/>
  <c r="B113" i="55"/>
  <c r="Q112" i="55"/>
  <c r="P112" i="55"/>
  <c r="S112" i="55" s="1"/>
  <c r="J112" i="55"/>
  <c r="R112" i="55" s="1"/>
  <c r="I112" i="55"/>
  <c r="F112" i="55"/>
  <c r="D112" i="55" a="1"/>
  <c r="D112" i="55" s="1"/>
  <c r="H112" i="55" s="1"/>
  <c r="C112" i="55"/>
  <c r="B112" i="55"/>
  <c r="Q111" i="55"/>
  <c r="P111" i="55"/>
  <c r="S111" i="55" s="1"/>
  <c r="J111" i="55"/>
  <c r="I111" i="55"/>
  <c r="F111" i="55"/>
  <c r="D111" i="55" a="1"/>
  <c r="D111" i="55" s="1"/>
  <c r="H111" i="55" s="1"/>
  <c r="C111" i="55"/>
  <c r="B111" i="55"/>
  <c r="Q110" i="55"/>
  <c r="P110" i="55"/>
  <c r="S110" i="55" s="1"/>
  <c r="J110" i="55"/>
  <c r="I110" i="55"/>
  <c r="F110" i="55"/>
  <c r="D110" i="55" a="1"/>
  <c r="D110" i="55" s="1"/>
  <c r="C110" i="55"/>
  <c r="B110" i="55"/>
  <c r="Q109" i="55"/>
  <c r="P109" i="55"/>
  <c r="S109" i="55" s="1"/>
  <c r="J109" i="55"/>
  <c r="I109" i="55"/>
  <c r="F109" i="55"/>
  <c r="D109" i="55" a="1"/>
  <c r="D109" i="55" s="1"/>
  <c r="H109" i="55" s="1"/>
  <c r="C109" i="55"/>
  <c r="B109" i="55"/>
  <c r="Q108" i="55"/>
  <c r="P108" i="55"/>
  <c r="S108" i="55" s="1"/>
  <c r="J108" i="55"/>
  <c r="R108" i="55" s="1"/>
  <c r="I108" i="55"/>
  <c r="F108" i="55"/>
  <c r="D108" i="55" a="1"/>
  <c r="D108" i="55" s="1"/>
  <c r="G108" i="55" s="1"/>
  <c r="C108" i="55"/>
  <c r="B108" i="55"/>
  <c r="Q107" i="55"/>
  <c r="P107" i="55"/>
  <c r="S107" i="55" s="1"/>
  <c r="J107" i="55"/>
  <c r="I107" i="55"/>
  <c r="F107" i="55"/>
  <c r="D107" i="55" a="1"/>
  <c r="D107" i="55" s="1"/>
  <c r="G107" i="55" s="1"/>
  <c r="C107" i="55"/>
  <c r="B107" i="55"/>
  <c r="Q106" i="55"/>
  <c r="P106" i="55"/>
  <c r="S106" i="55" s="1"/>
  <c r="J106" i="55"/>
  <c r="I106" i="55"/>
  <c r="F106" i="55"/>
  <c r="D106" i="55" a="1"/>
  <c r="D106" i="55" s="1"/>
  <c r="G106" i="55" s="1"/>
  <c r="C106" i="55"/>
  <c r="B106" i="55"/>
  <c r="D86" i="55" a="1"/>
  <c r="D86" i="55" s="1"/>
  <c r="G86" i="55" s="1"/>
  <c r="J86" i="55"/>
  <c r="R86" i="55" s="1"/>
  <c r="B7" i="55"/>
  <c r="T2" i="53"/>
  <c r="R151" i="53"/>
  <c r="M203" i="55" s="1" a="1"/>
  <c r="M203" i="55" s="1"/>
  <c r="O151" i="53"/>
  <c r="K2" i="53"/>
  <c r="I7" i="55"/>
  <c r="I8" i="55"/>
  <c r="AD2" i="53"/>
  <c r="AC2" i="53"/>
  <c r="AB2" i="53"/>
  <c r="AA2" i="53"/>
  <c r="W2" i="53"/>
  <c r="V2" i="53"/>
  <c r="U2" i="53"/>
  <c r="R2" i="53"/>
  <c r="O2" i="53"/>
  <c r="L2" i="53"/>
  <c r="I46" i="55"/>
  <c r="I98" i="55"/>
  <c r="J16" i="55"/>
  <c r="R16" i="55" s="1"/>
  <c r="J17" i="55"/>
  <c r="R17" i="55" s="1"/>
  <c r="D16" i="55" a="1"/>
  <c r="D16" i="55" s="1"/>
  <c r="D17" i="55" a="1"/>
  <c r="D17" i="55" s="1"/>
  <c r="H17" i="55" s="1"/>
  <c r="D9" i="55" a="1"/>
  <c r="D9" i="55" s="1"/>
  <c r="D10" i="55" a="1"/>
  <c r="D10" i="55" s="1"/>
  <c r="H10" i="55" s="1"/>
  <c r="D11" i="55" a="1"/>
  <c r="D11" i="55" s="1"/>
  <c r="D12" i="55" a="1"/>
  <c r="D12" i="55" s="1"/>
  <c r="D13" i="55" a="1"/>
  <c r="D13" i="55" s="1"/>
  <c r="H13" i="55" s="1"/>
  <c r="D14" i="55" a="1"/>
  <c r="D14" i="55" s="1"/>
  <c r="D15" i="55" a="1"/>
  <c r="D15" i="55" s="1"/>
  <c r="H15" i="55" s="1"/>
  <c r="D18" i="55" a="1"/>
  <c r="D18" i="55" s="1"/>
  <c r="D19" i="55" a="1"/>
  <c r="D19" i="55" s="1"/>
  <c r="G19" i="55" s="1"/>
  <c r="D20" i="55" a="1"/>
  <c r="D20" i="55" s="1"/>
  <c r="H20" i="55" s="1"/>
  <c r="D21" i="55" a="1"/>
  <c r="D21" i="55" s="1"/>
  <c r="G21" i="55" s="1"/>
  <c r="D22" i="55" a="1"/>
  <c r="D22" i="55" s="1"/>
  <c r="G22" i="55" s="1"/>
  <c r="D23" i="55" a="1"/>
  <c r="D23" i="55" s="1"/>
  <c r="D24" i="55" a="1"/>
  <c r="D24" i="55" s="1"/>
  <c r="H24" i="55" s="1"/>
  <c r="D25" i="55" a="1"/>
  <c r="D25" i="55" s="1"/>
  <c r="D26" i="55" a="1"/>
  <c r="D26" i="55" s="1"/>
  <c r="D27" i="55" a="1"/>
  <c r="D27" i="55" s="1"/>
  <c r="J27" i="55"/>
  <c r="D28" i="55" a="1"/>
  <c r="D28" i="55" s="1"/>
  <c r="D29" i="55" a="1"/>
  <c r="D29" i="55" s="1"/>
  <c r="G29" i="55" s="1"/>
  <c r="D30" i="55" a="1"/>
  <c r="D30" i="55" s="1"/>
  <c r="D31" i="55" a="1"/>
  <c r="D31" i="55" s="1"/>
  <c r="D32" i="55" a="1"/>
  <c r="D32" i="55" s="1"/>
  <c r="H32" i="55" s="1"/>
  <c r="D33" i="55" a="1"/>
  <c r="D33" i="55" s="1"/>
  <c r="G33" i="55" s="1"/>
  <c r="D34" i="55" a="1"/>
  <c r="D34" i="55" s="1"/>
  <c r="G34" i="55" s="1"/>
  <c r="D35" i="55" a="1"/>
  <c r="D35" i="55" s="1"/>
  <c r="G35" i="55" s="1"/>
  <c r="D36" i="55" a="1"/>
  <c r="D36" i="55" s="1"/>
  <c r="G36" i="55" s="1"/>
  <c r="D37" i="55" a="1"/>
  <c r="D37" i="55" s="1"/>
  <c r="G37" i="55" s="1"/>
  <c r="D38" i="55" a="1"/>
  <c r="D38" i="55" s="1"/>
  <c r="G38" i="55" s="1"/>
  <c r="J38" i="55"/>
  <c r="D39" i="55" a="1"/>
  <c r="D39" i="55" s="1"/>
  <c r="H39" i="55" s="1"/>
  <c r="D40" i="55" a="1"/>
  <c r="D40" i="55" s="1"/>
  <c r="H40" i="55" s="1"/>
  <c r="D41" i="55" a="1"/>
  <c r="D41" i="55" s="1"/>
  <c r="H41" i="55" s="1"/>
  <c r="J41" i="55"/>
  <c r="R41" i="55" s="1"/>
  <c r="P41" i="55"/>
  <c r="S41" i="55" s="1"/>
  <c r="D42" i="55" a="1"/>
  <c r="D42" i="55" s="1"/>
  <c r="D43" i="55" a="1"/>
  <c r="D43" i="55" s="1"/>
  <c r="H43" i="55" s="1"/>
  <c r="D44" i="55" a="1"/>
  <c r="D44" i="55" s="1"/>
  <c r="H44" i="55" s="1"/>
  <c r="D45" i="55" a="1"/>
  <c r="D45" i="55" s="1"/>
  <c r="J45" i="55"/>
  <c r="D46" i="55" a="1"/>
  <c r="D46" i="55" s="1"/>
  <c r="D47" i="55" a="1"/>
  <c r="D47" i="55" s="1"/>
  <c r="H47" i="55" s="1"/>
  <c r="J47" i="55"/>
  <c r="D48" i="55" a="1"/>
  <c r="D48" i="55" s="1"/>
  <c r="G48" i="55" s="1"/>
  <c r="J48" i="55"/>
  <c r="D49" i="55" a="1"/>
  <c r="D49" i="55" s="1"/>
  <c r="G49" i="55" s="1"/>
  <c r="D50" i="55" a="1"/>
  <c r="D50" i="55" s="1"/>
  <c r="H50" i="55" s="1"/>
  <c r="J50" i="55"/>
  <c r="D51" i="55" a="1"/>
  <c r="D51" i="55" s="1"/>
  <c r="H51" i="55" s="1"/>
  <c r="D52" i="55" a="1"/>
  <c r="D52" i="55" s="1"/>
  <c r="J52" i="55"/>
  <c r="D53" i="55" a="1"/>
  <c r="D53" i="55" s="1"/>
  <c r="J53" i="55"/>
  <c r="D54" i="55" a="1"/>
  <c r="D54" i="55" s="1"/>
  <c r="H54" i="55" s="1"/>
  <c r="J54" i="55"/>
  <c r="D55" i="55" a="1"/>
  <c r="D55" i="55" s="1"/>
  <c r="H55" i="55" s="1"/>
  <c r="J55" i="55"/>
  <c r="R55" i="55" s="1"/>
  <c r="D56" i="55" a="1"/>
  <c r="D56" i="55" s="1"/>
  <c r="H56" i="55" s="1"/>
  <c r="D57" i="55" a="1"/>
  <c r="D57" i="55" s="1"/>
  <c r="J57" i="55"/>
  <c r="R57" i="55" s="1"/>
  <c r="D58" i="55" a="1"/>
  <c r="D58" i="55" s="1"/>
  <c r="H58" i="55" s="1"/>
  <c r="D59" i="55" a="1"/>
  <c r="D59" i="55" s="1"/>
  <c r="G59" i="55" s="1"/>
  <c r="D60" i="55" a="1"/>
  <c r="D60" i="55" s="1"/>
  <c r="D61" i="55" a="1"/>
  <c r="D61" i="55" s="1"/>
  <c r="D62" i="55" a="1"/>
  <c r="D62" i="55" s="1"/>
  <c r="G62" i="55" s="1"/>
  <c r="D63" i="55" a="1"/>
  <c r="D63" i="55" s="1"/>
  <c r="G63" i="55" s="1"/>
  <c r="J63" i="55"/>
  <c r="R63" i="55" s="1"/>
  <c r="D64" i="55" a="1"/>
  <c r="D64" i="55" s="1"/>
  <c r="G64" i="55" s="1"/>
  <c r="D65" i="55" a="1"/>
  <c r="D65" i="55" s="1"/>
  <c r="H65" i="55" s="1"/>
  <c r="D66" i="55" a="1"/>
  <c r="D66" i="55" s="1"/>
  <c r="D67" i="55" a="1"/>
  <c r="D67" i="55" s="1"/>
  <c r="H67" i="55" s="1"/>
  <c r="D68" i="55" a="1"/>
  <c r="D68" i="55" s="1"/>
  <c r="D69" i="55" a="1"/>
  <c r="D69" i="55" s="1"/>
  <c r="H69" i="55" s="1"/>
  <c r="D70" i="55" a="1"/>
  <c r="D70" i="55" s="1"/>
  <c r="J70" i="55"/>
  <c r="D71" i="55" a="1"/>
  <c r="D71" i="55" s="1"/>
  <c r="D72" i="55" a="1"/>
  <c r="D72" i="55" s="1"/>
  <c r="H72" i="55" s="1"/>
  <c r="D73" i="55" a="1"/>
  <c r="D73" i="55" s="1"/>
  <c r="D74" i="55" a="1"/>
  <c r="D74" i="55" s="1"/>
  <c r="D75" i="55" a="1"/>
  <c r="D75" i="55" s="1"/>
  <c r="G75" i="55" s="1"/>
  <c r="D76" i="55" a="1"/>
  <c r="D76" i="55" s="1"/>
  <c r="H76" i="55" s="1"/>
  <c r="D77" i="55" a="1"/>
  <c r="D77" i="55" s="1"/>
  <c r="J77" i="55"/>
  <c r="D78" i="55" a="1"/>
  <c r="D78" i="55" s="1"/>
  <c r="D79" i="55" a="1"/>
  <c r="D79" i="55" s="1"/>
  <c r="D80" i="55" a="1"/>
  <c r="D80" i="55" s="1"/>
  <c r="G80" i="55" s="1"/>
  <c r="D81" i="55" a="1"/>
  <c r="D81" i="55" s="1"/>
  <c r="G81" i="55" s="1"/>
  <c r="D82" i="55" a="1"/>
  <c r="D82" i="55" s="1"/>
  <c r="D83" i="55" a="1"/>
  <c r="D83" i="55" s="1"/>
  <c r="G83" i="55" s="1"/>
  <c r="D84" i="55" a="1"/>
  <c r="D84" i="55" s="1"/>
  <c r="H84" i="55" s="1"/>
  <c r="D85" i="55" a="1"/>
  <c r="D85" i="55" s="1"/>
  <c r="G85" i="55" s="1"/>
  <c r="D87" i="55" a="1"/>
  <c r="D87" i="55" s="1"/>
  <c r="H87" i="55" s="1"/>
  <c r="D88" i="55" a="1"/>
  <c r="D88" i="55" s="1"/>
  <c r="G88" i="55" s="1"/>
  <c r="D89" i="55" a="1"/>
  <c r="D89" i="55" s="1"/>
  <c r="G89" i="55" s="1"/>
  <c r="D90" i="55" a="1"/>
  <c r="D90" i="55" s="1"/>
  <c r="G90" i="55" s="1"/>
  <c r="D91" i="55" a="1"/>
  <c r="D91" i="55" s="1"/>
  <c r="H91" i="55" s="1"/>
  <c r="D92" i="55" a="1"/>
  <c r="D92" i="55" s="1"/>
  <c r="D93" i="55" a="1"/>
  <c r="D93" i="55" s="1"/>
  <c r="G93" i="55" s="1"/>
  <c r="D94" i="55" a="1"/>
  <c r="D94" i="55" s="1"/>
  <c r="G94" i="55" s="1"/>
  <c r="D95" i="55" a="1"/>
  <c r="D95" i="55" s="1"/>
  <c r="D96" i="55" a="1"/>
  <c r="D96" i="55" s="1"/>
  <c r="H96" i="55" s="1"/>
  <c r="D97" i="55" a="1"/>
  <c r="D97" i="55" s="1"/>
  <c r="H97" i="55" s="1"/>
  <c r="D98" i="55" a="1"/>
  <c r="D98" i="55" s="1"/>
  <c r="H98" i="55" s="1"/>
  <c r="D99" i="55" a="1"/>
  <c r="D99" i="55" s="1"/>
  <c r="D100" i="55" a="1"/>
  <c r="D100" i="55" s="1"/>
  <c r="D101" i="55" a="1"/>
  <c r="D101" i="55" s="1"/>
  <c r="H101" i="55" s="1"/>
  <c r="D102" i="55" a="1"/>
  <c r="D102" i="55" s="1"/>
  <c r="J102" i="55"/>
  <c r="D103" i="55" a="1"/>
  <c r="D103" i="55" s="1"/>
  <c r="H103" i="55" s="1"/>
  <c r="D104" i="55" a="1"/>
  <c r="D104" i="55" s="1"/>
  <c r="J104" i="55"/>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R19" i="55" s="1"/>
  <c r="P20" i="55"/>
  <c r="S20" i="55" s="1"/>
  <c r="J20" i="55"/>
  <c r="R20" i="55" s="1"/>
  <c r="P21" i="55"/>
  <c r="S21" i="55" s="1"/>
  <c r="J21" i="55"/>
  <c r="R21" i="55" s="1"/>
  <c r="P22" i="55"/>
  <c r="S22" i="55" s="1"/>
  <c r="P32" i="55"/>
  <c r="S32" i="55" s="1"/>
  <c r="P35" i="55"/>
  <c r="S35" i="55" s="1"/>
  <c r="P39" i="55"/>
  <c r="S39" i="55" s="1"/>
  <c r="P42" i="55"/>
  <c r="S42" i="55" s="1"/>
  <c r="P51" i="55"/>
  <c r="J51" i="55"/>
  <c r="P55" i="55"/>
  <c r="S55" i="55" s="1"/>
  <c r="P60" i="55"/>
  <c r="S60" i="55" s="1"/>
  <c r="P64" i="55"/>
  <c r="S64" i="55" s="1"/>
  <c r="J64" i="55"/>
  <c r="R64" i="55" s="1"/>
  <c r="P80" i="55"/>
  <c r="S80" i="55" s="1"/>
  <c r="J9" i="55"/>
  <c r="J10" i="55"/>
  <c r="R10" i="55" s="1"/>
  <c r="J11" i="55"/>
  <c r="R11" i="55" s="1"/>
  <c r="P11" i="55"/>
  <c r="S11" i="55" s="1"/>
  <c r="J12" i="55"/>
  <c r="R12" i="55" s="1"/>
  <c r="J14" i="55"/>
  <c r="R14" i="55" s="1"/>
  <c r="J15" i="55"/>
  <c r="J18" i="55"/>
  <c r="J22" i="55"/>
  <c r="R22" i="55" s="1"/>
  <c r="J23" i="55"/>
  <c r="R23" i="55" s="1"/>
  <c r="J24" i="55"/>
  <c r="J25" i="55"/>
  <c r="J26" i="55"/>
  <c r="R26" i="55" s="1"/>
  <c r="P26" i="55"/>
  <c r="S26" i="55" s="1"/>
  <c r="J28" i="55"/>
  <c r="R28" i="55" s="1"/>
  <c r="J29" i="55"/>
  <c r="R29" i="55" s="1"/>
  <c r="J30" i="55"/>
  <c r="R30" i="55" s="1"/>
  <c r="J31" i="55"/>
  <c r="R31" i="55" s="1"/>
  <c r="J32" i="55"/>
  <c r="J33" i="55"/>
  <c r="P33" i="55"/>
  <c r="S33" i="55" s="1"/>
  <c r="J34" i="55"/>
  <c r="J35" i="55"/>
  <c r="R35" i="55" s="1"/>
  <c r="J36" i="55"/>
  <c r="R36" i="55" s="1"/>
  <c r="J37" i="55"/>
  <c r="R37" i="55" s="1"/>
  <c r="J39" i="55"/>
  <c r="R39" i="55" s="1"/>
  <c r="J40" i="55"/>
  <c r="J42" i="55"/>
  <c r="J43" i="55"/>
  <c r="R43" i="55" s="1"/>
  <c r="J44" i="55"/>
  <c r="R44" i="55" s="1"/>
  <c r="J46" i="55"/>
  <c r="J49" i="55"/>
  <c r="P52" i="55"/>
  <c r="P53" i="55"/>
  <c r="S53" i="55" s="1"/>
  <c r="J56" i="55"/>
  <c r="R56" i="55" s="1"/>
  <c r="P57" i="55"/>
  <c r="S57" i="55" s="1"/>
  <c r="T57" i="55" s="1"/>
  <c r="J58" i="55"/>
  <c r="R58" i="55" s="1"/>
  <c r="J59" i="55"/>
  <c r="R59" i="55" s="1"/>
  <c r="P59" i="55"/>
  <c r="S59" i="55" s="1"/>
  <c r="J60" i="55"/>
  <c r="R60" i="55" s="1"/>
  <c r="J61" i="55"/>
  <c r="R61" i="55" s="1"/>
  <c r="J62" i="55"/>
  <c r="R62" i="55" s="1"/>
  <c r="P62" i="55"/>
  <c r="S62" i="55" s="1"/>
  <c r="J65" i="55"/>
  <c r="R65" i="55" s="1"/>
  <c r="J66" i="55"/>
  <c r="P66" i="55"/>
  <c r="S66" i="55" s="1"/>
  <c r="J67" i="55"/>
  <c r="R67" i="55" s="1"/>
  <c r="J68" i="55"/>
  <c r="R68" i="55" s="1"/>
  <c r="J69" i="55"/>
  <c r="J71" i="55"/>
  <c r="R71" i="55" s="1"/>
  <c r="J72" i="55"/>
  <c r="J73" i="55"/>
  <c r="J74" i="55"/>
  <c r="R74" i="55" s="1"/>
  <c r="J75" i="55"/>
  <c r="R75" i="55" s="1"/>
  <c r="J76" i="55"/>
  <c r="R76" i="55" s="1"/>
  <c r="J78" i="55"/>
  <c r="J79" i="55"/>
  <c r="R79" i="55" s="1"/>
  <c r="J80" i="55"/>
  <c r="R80" i="55" s="1"/>
  <c r="J81" i="55"/>
  <c r="J82" i="55"/>
  <c r="R82" i="55" s="1"/>
  <c r="J83" i="55"/>
  <c r="P83" i="55"/>
  <c r="S83" i="55" s="1"/>
  <c r="J84" i="55"/>
  <c r="J85" i="55"/>
  <c r="J87" i="55"/>
  <c r="J88" i="55"/>
  <c r="J89" i="55"/>
  <c r="J90" i="55"/>
  <c r="P90" i="55"/>
  <c r="S90" i="55" s="1"/>
  <c r="J91" i="55"/>
  <c r="J92" i="55"/>
  <c r="P92" i="55"/>
  <c r="J93" i="55"/>
  <c r="P93" i="55"/>
  <c r="S93" i="55" s="1"/>
  <c r="J94" i="55"/>
  <c r="J95" i="55"/>
  <c r="R95" i="55" s="1"/>
  <c r="J96" i="55"/>
  <c r="R96" i="55" s="1"/>
  <c r="J97" i="55"/>
  <c r="J98" i="55"/>
  <c r="J99" i="55"/>
  <c r="J100" i="55"/>
  <c r="P100" i="55"/>
  <c r="J101" i="55"/>
  <c r="J103" i="55"/>
  <c r="R103" i="55" s="1"/>
  <c r="J105" i="55"/>
  <c r="R105" i="55" s="1"/>
  <c r="J8" i="55"/>
  <c r="P8" i="55"/>
  <c r="S8" i="55" s="1"/>
  <c r="J7" i="55"/>
  <c r="D8" i="55" a="1"/>
  <c r="D8" i="55" s="1"/>
  <c r="D7" i="55" a="1"/>
  <c r="D7" i="55" s="1"/>
  <c r="G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151" i="53"/>
  <c r="K151" i="53"/>
  <c r="N151" i="53" s="1"/>
  <c r="F105" i="55"/>
  <c r="C105" i="55"/>
  <c r="F104" i="55"/>
  <c r="C104" i="55"/>
  <c r="C7" i="55"/>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9" i="55"/>
  <c r="C10" i="55"/>
  <c r="C11" i="55"/>
  <c r="C12" i="55"/>
  <c r="C13" i="55"/>
  <c r="C14" i="55"/>
  <c r="C8" i="55"/>
  <c r="M13" i="52"/>
  <c r="M12" i="52"/>
  <c r="M11" i="52"/>
  <c r="M10" i="52"/>
  <c r="M9" i="52"/>
  <c r="M8" i="52"/>
  <c r="M7" i="52"/>
  <c r="M6" i="52"/>
  <c r="M5" i="52"/>
  <c r="M4" i="52"/>
  <c r="AD151" i="53"/>
  <c r="AC151" i="53"/>
  <c r="AB151" i="53"/>
  <c r="AA151" i="53"/>
  <c r="W151" i="53"/>
  <c r="V151" i="53"/>
  <c r="U151" i="53"/>
  <c r="G37" i="59"/>
  <c r="M37" i="59" s="1"/>
  <c r="P94" i="55"/>
  <c r="S94" i="55" s="1"/>
  <c r="P56" i="55"/>
  <c r="S56" i="55" s="1"/>
  <c r="P54" i="55"/>
  <c r="P38" i="55"/>
  <c r="S38" i="55" s="1"/>
  <c r="P31" i="55"/>
  <c r="S31" i="55" s="1"/>
  <c r="P99" i="55"/>
  <c r="S99" i="55" s="1"/>
  <c r="P58" i="55"/>
  <c r="P9" i="55"/>
  <c r="S9" i="55" s="1"/>
  <c r="P95" i="55"/>
  <c r="S95" i="55" s="1"/>
  <c r="O37" i="59"/>
  <c r="U37" i="59" s="1"/>
  <c r="P70" i="55"/>
  <c r="S70" i="55" s="1"/>
  <c r="P24" i="55"/>
  <c r="S24" i="55" s="1"/>
  <c r="P82" i="55"/>
  <c r="S82" i="55" s="1"/>
  <c r="P81" i="55"/>
  <c r="P46" i="55"/>
  <c r="S46" i="55" s="1"/>
  <c r="P14" i="55"/>
  <c r="S14" i="55" s="1"/>
  <c r="C7" i="26"/>
  <c r="D7" i="26"/>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X14" i="26" s="1"/>
  <c r="F7" i="55"/>
  <c r="P88" i="55"/>
  <c r="P73" i="55"/>
  <c r="S73" i="55" s="1"/>
  <c r="P34" i="55"/>
  <c r="S34" i="55" s="1"/>
  <c r="P102" i="55"/>
  <c r="P105" i="55"/>
  <c r="S105" i="55" s="1"/>
  <c r="P63" i="55"/>
  <c r="S63" i="55" s="1"/>
  <c r="P67" i="55"/>
  <c r="S67" i="55" s="1"/>
  <c r="P79" i="55"/>
  <c r="S79" i="55" s="1"/>
  <c r="P37" i="55"/>
  <c r="S37" i="55" s="1"/>
  <c r="P71" i="55"/>
  <c r="S71" i="55" s="1"/>
  <c r="P69" i="55"/>
  <c r="P40" i="55"/>
  <c r="S40" i="55" s="1"/>
  <c r="P49" i="55"/>
  <c r="P65" i="55"/>
  <c r="S65" i="55" s="1"/>
  <c r="P50" i="55"/>
  <c r="S50" i="55" s="1"/>
  <c r="P15" i="55"/>
  <c r="S15" i="55" s="1"/>
  <c r="P87" i="55"/>
  <c r="P48" i="55"/>
  <c r="S48" i="55" s="1"/>
  <c r="P74" i="55"/>
  <c r="S74" i="55" s="1"/>
  <c r="P61" i="55"/>
  <c r="S61" i="55" s="1"/>
  <c r="P10" i="55"/>
  <c r="S10" i="55" s="1"/>
  <c r="P78" i="55"/>
  <c r="S78" i="55" s="1"/>
  <c r="P27" i="55"/>
  <c r="S27" i="55" s="1"/>
  <c r="P28" i="55"/>
  <c r="S28" i="55" s="1"/>
  <c r="P104" i="55"/>
  <c r="S104" i="55" s="1"/>
  <c r="P97" i="55"/>
  <c r="S97" i="55" s="1"/>
  <c r="P23" i="55"/>
  <c r="S23" i="55" s="1"/>
  <c r="P44" i="55"/>
  <c r="S44" i="55" s="1"/>
  <c r="P7" i="55"/>
  <c r="P103" i="55"/>
  <c r="S103" i="55" s="1"/>
  <c r="P77" i="55"/>
  <c r="S77" i="55" s="1"/>
  <c r="P96" i="55"/>
  <c r="S96" i="55" s="1"/>
  <c r="P30" i="55"/>
  <c r="S30" i="55" s="1"/>
  <c r="P89" i="55"/>
  <c r="P45" i="55"/>
  <c r="P68" i="55"/>
  <c r="S68" i="55" s="1"/>
  <c r="P86" i="55"/>
  <c r="S86" i="55" s="1"/>
  <c r="P36" i="55"/>
  <c r="S36" i="55" s="1"/>
  <c r="P47" i="55"/>
  <c r="S47" i="55" s="1"/>
  <c r="P25" i="55"/>
  <c r="P91" i="55"/>
  <c r="S91" i="55" s="1"/>
  <c r="P17" i="55"/>
  <c r="S17" i="55" s="1"/>
  <c r="P16" i="55"/>
  <c r="S16" i="55" s="1"/>
  <c r="P29" i="55"/>
  <c r="S29" i="55" s="1"/>
  <c r="P76" i="55"/>
  <c r="S76" i="55" s="1"/>
  <c r="P72" i="55"/>
  <c r="S72" i="55" s="1"/>
  <c r="P101" i="55"/>
  <c r="S101" i="55" s="1"/>
  <c r="P98" i="55"/>
  <c r="S98" i="55" s="1"/>
  <c r="P43" i="55"/>
  <c r="S43" i="55" s="1"/>
  <c r="P85" i="55"/>
  <c r="P84" i="55"/>
  <c r="P75" i="55"/>
  <c r="S75" i="55" s="1"/>
  <c r="P12" i="55"/>
  <c r="S12" i="55" s="1"/>
  <c r="AK14" i="26"/>
  <c r="M30" i="55" a="1"/>
  <c r="M30" i="55" s="1"/>
  <c r="O30" i="55" s="1"/>
  <c r="M32" i="55" a="1"/>
  <c r="M32" i="55" s="1"/>
  <c r="M215" i="55" a="1"/>
  <c r="M215" i="55" s="1"/>
  <c r="M27" i="55" a="1"/>
  <c r="M27" i="55" s="1"/>
  <c r="H238" i="55"/>
  <c r="G238" i="55"/>
  <c r="E19" i="55"/>
  <c r="J2" i="55"/>
  <c r="M191" i="55" a="1"/>
  <c r="M191" i="55" s="1"/>
  <c r="O191" i="55" s="1"/>
  <c r="M218" i="55" a="1"/>
  <c r="M218" i="55" s="1"/>
  <c r="O218" i="55" s="1"/>
  <c r="M53" i="55" a="1"/>
  <c r="M53" i="55" s="1"/>
  <c r="M124" i="55" a="1"/>
  <c r="M124" i="55" s="1"/>
  <c r="O124" i="55" s="1"/>
  <c r="M10" i="55" a="1"/>
  <c r="M10" i="55" s="1"/>
  <c r="M62" i="55" a="1"/>
  <c r="M62" i="55" s="1"/>
  <c r="O62" i="55" s="1"/>
  <c r="M48" i="55" a="1"/>
  <c r="M48" i="55" s="1"/>
  <c r="M199" i="55" a="1"/>
  <c r="M199" i="55" s="1"/>
  <c r="G255" i="55"/>
  <c r="S14" i="26"/>
  <c r="J14" i="26"/>
  <c r="AI12" i="26"/>
  <c r="AG14" i="26"/>
  <c r="Y12" i="26"/>
  <c r="O14" i="26"/>
  <c r="W14" i="26"/>
  <c r="B12" i="26"/>
  <c r="S12" i="26"/>
  <c r="AE14" i="26"/>
  <c r="V14" i="26"/>
  <c r="X12" i="26"/>
  <c r="M67" i="55" a="1"/>
  <c r="M67" i="55" s="1"/>
  <c r="O67" i="55" s="1"/>
  <c r="M141" i="55" a="1"/>
  <c r="M141" i="55" s="1"/>
  <c r="O141" i="55" s="1"/>
  <c r="M128" i="55" a="1"/>
  <c r="M128" i="55" s="1"/>
  <c r="O128" i="55" s="1"/>
  <c r="M193" i="55" a="1"/>
  <c r="M193" i="55" s="1"/>
  <c r="O193" i="55" s="1"/>
  <c r="M160" i="55" a="1"/>
  <c r="M160" i="55" s="1"/>
  <c r="O160" i="55" s="1"/>
  <c r="M46" i="55" a="1"/>
  <c r="M46" i="55" s="1"/>
  <c r="M233" i="55" a="1"/>
  <c r="M233" i="55" s="1"/>
  <c r="O233" i="55" s="1"/>
  <c r="M184" i="55" a="1"/>
  <c r="M184" i="55" s="1"/>
  <c r="O184" i="55" s="1"/>
  <c r="M228" i="55" a="1"/>
  <c r="M228" i="55" s="1"/>
  <c r="O228" i="55" s="1"/>
  <c r="M243" i="55" a="1"/>
  <c r="M243" i="55" s="1"/>
  <c r="M142" i="55" a="1"/>
  <c r="M142" i="55" s="1"/>
  <c r="O142" i="55" s="1"/>
  <c r="M175" i="55" a="1"/>
  <c r="M175" i="55" s="1"/>
  <c r="M162" i="55" a="1"/>
  <c r="M162" i="55" s="1"/>
  <c r="M95" i="55" a="1"/>
  <c r="M95" i="55" s="1"/>
  <c r="O95" i="55" s="1"/>
  <c r="M159" i="55" a="1"/>
  <c r="M159" i="55" s="1"/>
  <c r="O159" i="55" s="1"/>
  <c r="M157" i="55" a="1"/>
  <c r="M157" i="55" s="1"/>
  <c r="O157" i="55" s="1"/>
  <c r="M137" i="55" a="1"/>
  <c r="M137" i="55" s="1"/>
  <c r="M140" i="55" a="1"/>
  <c r="M140" i="55" s="1"/>
  <c r="O140" i="55" s="1"/>
  <c r="M177" i="55" a="1"/>
  <c r="M177" i="55" s="1"/>
  <c r="O177" i="55" s="1"/>
  <c r="M64" i="55" a="1"/>
  <c r="M64" i="55" s="1"/>
  <c r="O64" i="55" s="1"/>
  <c r="M8" i="55" a="1"/>
  <c r="M8" i="55" s="1"/>
  <c r="M115" i="55" a="1"/>
  <c r="M115" i="55" s="1"/>
  <c r="O115" i="55" s="1"/>
  <c r="M135" i="55" a="1"/>
  <c r="M135" i="55" s="1"/>
  <c r="R251" i="55"/>
  <c r="M226" i="55" a="1"/>
  <c r="M226" i="55" s="1"/>
  <c r="M81" i="55" a="1"/>
  <c r="M81" i="55" s="1"/>
  <c r="M86" i="55" a="1"/>
  <c r="M86" i="55" s="1"/>
  <c r="O86" i="55" s="1"/>
  <c r="M7" i="55" a="1"/>
  <c r="M7" i="55" s="1"/>
  <c r="M241" i="55" a="1"/>
  <c r="M241" i="55" s="1"/>
  <c r="O241" i="55" s="1"/>
  <c r="M112" i="55" a="1"/>
  <c r="M112" i="55" s="1"/>
  <c r="O112" i="55" s="1"/>
  <c r="M214" i="55" a="1"/>
  <c r="M214" i="55" s="1"/>
  <c r="M106" i="55" a="1"/>
  <c r="M106" i="55" s="1"/>
  <c r="M192" i="55" a="1"/>
  <c r="M192" i="55" s="1"/>
  <c r="M107" i="55" a="1"/>
  <c r="M107" i="55" s="1"/>
  <c r="G243" i="55"/>
  <c r="H243" i="55"/>
  <c r="M52" i="55" a="1"/>
  <c r="M52" i="55" s="1"/>
  <c r="M98" i="55" a="1"/>
  <c r="M98" i="55" s="1"/>
  <c r="M164" i="55" a="1"/>
  <c r="M164" i="55" s="1"/>
  <c r="M36" i="55" a="1"/>
  <c r="M36" i="55" s="1"/>
  <c r="M207" i="55" a="1"/>
  <c r="M207" i="55" s="1"/>
  <c r="M253" i="55" a="1"/>
  <c r="M253" i="55" s="1"/>
  <c r="O253" i="55" s="1"/>
  <c r="M158" i="55" a="1"/>
  <c r="M158" i="55" s="1"/>
  <c r="O158" i="55" s="1"/>
  <c r="M11" i="55" a="1"/>
  <c r="M11" i="55" s="1"/>
  <c r="M96" i="55" a="1"/>
  <c r="M96" i="55" s="1"/>
  <c r="O96" i="55" s="1"/>
  <c r="M33" i="55" a="1"/>
  <c r="M33" i="55" s="1"/>
  <c r="M150" i="55" a="1"/>
  <c r="M150" i="55" s="1"/>
  <c r="M153" i="55" a="1"/>
  <c r="M153" i="55" s="1"/>
  <c r="O153" i="55" s="1"/>
  <c r="M223" i="55" a="1"/>
  <c r="M223" i="55" s="1"/>
  <c r="O223" i="55" s="1"/>
  <c r="M180" i="55" a="1"/>
  <c r="M180" i="55" s="1"/>
  <c r="O180" i="55" s="1"/>
  <c r="M51" i="55" a="1"/>
  <c r="M51" i="55" s="1"/>
  <c r="M251" i="55" a="1"/>
  <c r="M251" i="55" s="1"/>
  <c r="M246" i="55" a="1"/>
  <c r="M246" i="55" s="1"/>
  <c r="O246" i="55" s="1"/>
  <c r="M75" i="55" a="1"/>
  <c r="M75" i="55" s="1"/>
  <c r="M58" i="55" a="1"/>
  <c r="M58" i="55" s="1"/>
  <c r="M244" i="55" a="1"/>
  <c r="M244" i="55" s="1"/>
  <c r="O244" i="55" s="1"/>
  <c r="M54" i="55" a="1"/>
  <c r="M54" i="55" s="1"/>
  <c r="M66" i="55" a="1"/>
  <c r="M66" i="55" s="1"/>
  <c r="M82" i="55" a="1"/>
  <c r="M82" i="55" s="1"/>
  <c r="O82" i="55" s="1"/>
  <c r="M229" i="55" a="1"/>
  <c r="M229" i="55" s="1"/>
  <c r="O229" i="55" s="1"/>
  <c r="M72" i="55" a="1"/>
  <c r="M72" i="55" s="1"/>
  <c r="M89" i="55" a="1"/>
  <c r="M89" i="55" s="1"/>
  <c r="M79" i="55" a="1"/>
  <c r="M79" i="55" s="1"/>
  <c r="AH12" i="26"/>
  <c r="M94" i="55" a="1"/>
  <c r="M94" i="55" s="1"/>
  <c r="M174" i="55" a="1"/>
  <c r="M174" i="55" s="1"/>
  <c r="O174" i="55" s="1"/>
  <c r="M134" i="55" a="1"/>
  <c r="M134" i="55" s="1"/>
  <c r="M143" i="55" a="1"/>
  <c r="M143" i="55" s="1"/>
  <c r="M216" i="55" a="1"/>
  <c r="M216" i="55" s="1"/>
  <c r="M56" i="55" a="1"/>
  <c r="M56" i="55" s="1"/>
  <c r="O56" i="55" s="1"/>
  <c r="M122" i="55" a="1"/>
  <c r="M122" i="55" s="1"/>
  <c r="O122" i="55" s="1"/>
  <c r="M181" i="55" a="1"/>
  <c r="M181" i="55" s="1"/>
  <c r="O181" i="55" s="1"/>
  <c r="M105" i="55" a="1"/>
  <c r="M105" i="55" s="1"/>
  <c r="M161" i="55" a="1"/>
  <c r="M161" i="55" s="1"/>
  <c r="M245" i="55" a="1"/>
  <c r="M245" i="55" s="1"/>
  <c r="M169" i="55" a="1"/>
  <c r="M169" i="55" s="1"/>
  <c r="M224" i="55" a="1"/>
  <c r="M224" i="55" s="1"/>
  <c r="O224" i="55" s="1"/>
  <c r="M189" i="55" a="1"/>
  <c r="M189" i="55" s="1"/>
  <c r="O189" i="55" s="1"/>
  <c r="M210" i="55" a="1"/>
  <c r="M210" i="55" s="1"/>
  <c r="M12" i="55" a="1"/>
  <c r="M12" i="55" s="1"/>
  <c r="M88" i="55" a="1"/>
  <c r="M88" i="55" s="1"/>
  <c r="M119" i="55" a="1"/>
  <c r="M119" i="55" s="1"/>
  <c r="M57" i="55" a="1"/>
  <c r="M57" i="55" s="1"/>
  <c r="M196" i="55" a="1"/>
  <c r="M196" i="55" s="1"/>
  <c r="O196" i="55" s="1"/>
  <c r="M242" i="55" a="1"/>
  <c r="M242" i="55" s="1"/>
  <c r="M237" i="55" a="1"/>
  <c r="M237" i="55" s="1"/>
  <c r="M34" i="55" a="1"/>
  <c r="M34" i="55" s="1"/>
  <c r="M144" i="55" a="1"/>
  <c r="M144" i="55" s="1"/>
  <c r="M31" i="55" a="1"/>
  <c r="M31" i="55" s="1"/>
  <c r="M166" i="55" a="1"/>
  <c r="M166" i="55" s="1"/>
  <c r="M50" i="55" a="1"/>
  <c r="M50" i="55" s="1"/>
  <c r="M20" i="55" a="1"/>
  <c r="M20" i="55" s="1"/>
  <c r="M47" i="55" a="1"/>
  <c r="M47" i="55" s="1"/>
  <c r="M231" i="55" a="1"/>
  <c r="M231" i="55" s="1"/>
  <c r="M188" i="55" a="1"/>
  <c r="M188" i="55" s="1"/>
  <c r="O188" i="55" s="1"/>
  <c r="M225" i="55" a="1"/>
  <c r="M225" i="55" s="1"/>
  <c r="M178" i="55" a="1"/>
  <c r="M178" i="55" s="1"/>
  <c r="O178" i="55" s="1"/>
  <c r="M156" i="55" a="1"/>
  <c r="M156" i="55" s="1"/>
  <c r="O156" i="55" s="1"/>
  <c r="M236" i="55" a="1"/>
  <c r="M236" i="55" s="1"/>
  <c r="M217" i="55" a="1"/>
  <c r="M217" i="55" s="1"/>
  <c r="M221" i="55" a="1"/>
  <c r="M221" i="55" s="1"/>
  <c r="M172" i="55" a="1"/>
  <c r="M172" i="55" s="1"/>
  <c r="M118" i="55" a="1"/>
  <c r="M118" i="55" s="1"/>
  <c r="O118" i="55" s="1"/>
  <c r="M73" i="55" a="1"/>
  <c r="M73" i="55" s="1"/>
  <c r="M65" i="55" a="1"/>
  <c r="M65" i="55" s="1"/>
  <c r="O65" i="55" s="1"/>
  <c r="M17" i="55" a="1"/>
  <c r="M17" i="55" s="1"/>
  <c r="AJ14" i="26"/>
  <c r="R12" i="26"/>
  <c r="G2" i="26"/>
  <c r="Z12" i="26"/>
  <c r="T12" i="26"/>
  <c r="AF12" i="26"/>
  <c r="G12" i="26"/>
  <c r="F14" i="26"/>
  <c r="J12" i="26"/>
  <c r="C6" i="26"/>
  <c r="P12" i="26"/>
  <c r="K12" i="26"/>
  <c r="M12" i="26"/>
  <c r="I12" i="26"/>
  <c r="M234" i="55" a="1"/>
  <c r="M234" i="55" s="1"/>
  <c r="M179" i="55" a="1"/>
  <c r="M179" i="55" s="1"/>
  <c r="O179" i="55" s="1"/>
  <c r="H228" i="55"/>
  <c r="G246" i="55"/>
  <c r="H240" i="55"/>
  <c r="M15" i="55" a="1"/>
  <c r="M15" i="55" s="1"/>
  <c r="M84" i="55" a="1"/>
  <c r="M84" i="55" s="1"/>
  <c r="H12" i="59"/>
  <c r="H35" i="59"/>
  <c r="C41" i="59"/>
  <c r="N41" i="59" s="1"/>
  <c r="E34" i="59"/>
  <c r="D24" i="59"/>
  <c r="C33" i="59"/>
  <c r="N33" i="59" s="1"/>
  <c r="R9" i="59"/>
  <c r="Q33" i="59"/>
  <c r="B27" i="59"/>
  <c r="F27" i="59" s="1"/>
  <c r="J32" i="59"/>
  <c r="S6" i="59"/>
  <c r="H226" i="55"/>
  <c r="R7" i="59"/>
  <c r="E20" i="59"/>
  <c r="K35" i="59"/>
  <c r="J4" i="59"/>
  <c r="I12" i="59"/>
  <c r="O35" i="59"/>
  <c r="U35" i="59" s="1"/>
  <c r="Q8" i="59"/>
  <c r="G247" i="55"/>
  <c r="K6" i="59"/>
  <c r="E11" i="59"/>
  <c r="H20" i="59"/>
  <c r="K23" i="59"/>
  <c r="D22" i="59"/>
  <c r="K40" i="59"/>
  <c r="D13" i="59"/>
  <c r="S18" i="59"/>
  <c r="O39" i="59"/>
  <c r="U39" i="59" s="1"/>
  <c r="H26" i="59"/>
  <c r="B24" i="59"/>
  <c r="C39" i="59"/>
  <c r="L39" i="59" s="1"/>
  <c r="Q5" i="59"/>
  <c r="E37" i="59"/>
  <c r="K18" i="59"/>
  <c r="C26" i="59"/>
  <c r="B13" i="59"/>
  <c r="F13" i="59" s="1"/>
  <c r="Q38" i="59"/>
  <c r="D19" i="59"/>
  <c r="Q35" i="59"/>
  <c r="D27" i="59"/>
  <c r="G40" i="59"/>
  <c r="M40" i="59" s="1"/>
  <c r="D21" i="59"/>
  <c r="E11" i="55"/>
  <c r="R11" i="59"/>
  <c r="R4" i="59"/>
  <c r="S39" i="59"/>
  <c r="R33" i="59"/>
  <c r="O33" i="59"/>
  <c r="U33" i="59" s="1"/>
  <c r="Q37" i="59"/>
  <c r="C7" i="59"/>
  <c r="E24" i="59"/>
  <c r="G41" i="59"/>
  <c r="M41" i="59" s="1"/>
  <c r="K38" i="59"/>
  <c r="B37" i="59"/>
  <c r="V37" i="59" s="1"/>
  <c r="Q6" i="59"/>
  <c r="R25" i="59"/>
  <c r="J12" i="59"/>
  <c r="R12" i="59"/>
  <c r="J7" i="59"/>
  <c r="Q22" i="59"/>
  <c r="Q25" i="59"/>
  <c r="R13" i="59"/>
  <c r="C27" i="59"/>
  <c r="N27" i="59" s="1"/>
  <c r="J13" i="59"/>
  <c r="H19" i="59"/>
  <c r="R6" i="59"/>
  <c r="S7" i="59"/>
  <c r="D10" i="59"/>
  <c r="C25" i="59"/>
  <c r="E13" i="59"/>
  <c r="P21" i="59"/>
  <c r="P41" i="59"/>
  <c r="K22" i="59"/>
  <c r="B22" i="59"/>
  <c r="E12" i="59"/>
  <c r="C5" i="59"/>
  <c r="R37" i="59"/>
  <c r="C22" i="59"/>
  <c r="H41" i="59"/>
  <c r="H24" i="59"/>
  <c r="H21" i="59"/>
  <c r="Q11" i="59"/>
  <c r="E18" i="59"/>
  <c r="Q10" i="59"/>
  <c r="D23" i="59"/>
  <c r="C40" i="59"/>
  <c r="L40" i="59" s="1"/>
  <c r="Q19" i="59"/>
  <c r="I40" i="59"/>
  <c r="E32" i="59"/>
  <c r="P38" i="59"/>
  <c r="E26" i="59"/>
  <c r="D26" i="59"/>
  <c r="E27" i="59"/>
  <c r="B9" i="59"/>
  <c r="B33" i="59"/>
  <c r="F33" i="59" s="1"/>
  <c r="H13" i="59"/>
  <c r="I22" i="59"/>
  <c r="Q36" i="59"/>
  <c r="I13" i="59"/>
  <c r="I10" i="59"/>
  <c r="D9" i="59"/>
  <c r="S9" i="59"/>
  <c r="J27" i="59"/>
  <c r="P12" i="59"/>
  <c r="K10" i="59"/>
  <c r="I11" i="59"/>
  <c r="C32" i="59"/>
  <c r="L32" i="59" s="1"/>
  <c r="B12" i="59"/>
  <c r="B7" i="59"/>
  <c r="H18" i="59"/>
  <c r="P9" i="59"/>
  <c r="P10" i="59"/>
  <c r="K7" i="59"/>
  <c r="E41" i="59"/>
  <c r="I4" i="59"/>
  <c r="D18" i="59"/>
  <c r="K20" i="59"/>
  <c r="K39" i="59"/>
  <c r="P22" i="59"/>
  <c r="P35" i="59"/>
  <c r="K41" i="59"/>
  <c r="Q39" i="59"/>
  <c r="R20" i="59"/>
  <c r="H9" i="59"/>
  <c r="C13" i="59"/>
  <c r="L13" i="59" s="1"/>
  <c r="R39" i="59"/>
  <c r="I5" i="59"/>
  <c r="B41" i="59"/>
  <c r="T41" i="59" s="1"/>
  <c r="O41" i="59"/>
  <c r="U41" i="59" s="1"/>
  <c r="Q13" i="59"/>
  <c r="I39" i="59"/>
  <c r="B23" i="59"/>
  <c r="B35" i="59"/>
  <c r="F35" i="59" s="1"/>
  <c r="G33" i="59"/>
  <c r="M33" i="59" s="1"/>
  <c r="J20" i="59"/>
  <c r="H40" i="59"/>
  <c r="K12" i="59"/>
  <c r="D25" i="59"/>
  <c r="Q26" i="59"/>
  <c r="J8" i="59"/>
  <c r="J10" i="59"/>
  <c r="P6" i="59"/>
  <c r="H7" i="59"/>
  <c r="E6" i="59"/>
  <c r="B6" i="59"/>
  <c r="S27" i="59"/>
  <c r="G38" i="59"/>
  <c r="M38" i="59" s="1"/>
  <c r="P13" i="59"/>
  <c r="R35" i="59"/>
  <c r="B8" i="59"/>
  <c r="D6" i="59"/>
  <c r="P25" i="59"/>
  <c r="R21" i="59"/>
  <c r="P32" i="59"/>
  <c r="C21" i="59"/>
  <c r="I9" i="59"/>
  <c r="J34" i="59"/>
  <c r="R36" i="59"/>
  <c r="H6" i="59"/>
  <c r="D39" i="59"/>
  <c r="S5" i="59"/>
  <c r="C23" i="59"/>
  <c r="S12" i="59"/>
  <c r="B5" i="59"/>
  <c r="I8" i="59"/>
  <c r="Q4" i="59"/>
  <c r="D11" i="59"/>
  <c r="E39" i="59"/>
  <c r="I26" i="59"/>
  <c r="R41" i="59"/>
  <c r="Q27" i="59"/>
  <c r="D35" i="59"/>
  <c r="B40" i="59"/>
  <c r="T40" i="59" s="1"/>
  <c r="C19" i="59"/>
  <c r="P34" i="59"/>
  <c r="I20" i="59"/>
  <c r="I19" i="59"/>
  <c r="G36" i="59"/>
  <c r="M36" i="59" s="1"/>
  <c r="I36" i="59"/>
  <c r="S23" i="59"/>
  <c r="Q18" i="59"/>
  <c r="C37" i="59"/>
  <c r="N37" i="59" s="1"/>
  <c r="P27" i="59"/>
  <c r="C34" i="59"/>
  <c r="N34" i="59" s="1"/>
  <c r="P39" i="59"/>
  <c r="S19" i="59"/>
  <c r="C24" i="59"/>
  <c r="I38" i="59"/>
  <c r="C35" i="59"/>
  <c r="L35" i="59" s="1"/>
  <c r="J37" i="59"/>
  <c r="E7" i="59"/>
  <c r="J36" i="59"/>
  <c r="Q34" i="59"/>
  <c r="H39" i="59"/>
  <c r="S38" i="59"/>
  <c r="D40" i="59"/>
  <c r="P20" i="59"/>
  <c r="H241" i="55"/>
  <c r="G241" i="55"/>
  <c r="O34" i="59"/>
  <c r="U34" i="59" s="1"/>
  <c r="Q7" i="59"/>
  <c r="K32" i="59"/>
  <c r="G39" i="59"/>
  <c r="M39" i="59" s="1"/>
  <c r="R40" i="59"/>
  <c r="Q20" i="59"/>
  <c r="S22" i="59"/>
  <c r="S13" i="59"/>
  <c r="R24" i="59"/>
  <c r="O40" i="59"/>
  <c r="U40" i="59" s="1"/>
  <c r="Q21" i="59"/>
  <c r="J40" i="59"/>
  <c r="J25" i="59"/>
  <c r="E35" i="59"/>
  <c r="J35" i="59"/>
  <c r="B20" i="59"/>
  <c r="H4" i="59"/>
  <c r="C9" i="59"/>
  <c r="I25" i="59"/>
  <c r="Q41" i="59"/>
  <c r="K13" i="59"/>
  <c r="E22" i="59"/>
  <c r="S33" i="59"/>
  <c r="H34" i="59"/>
  <c r="I37" i="59"/>
  <c r="K21" i="59"/>
  <c r="S34" i="59"/>
  <c r="D33" i="59"/>
  <c r="E19" i="59"/>
  <c r="K5" i="59"/>
  <c r="P18" i="59"/>
  <c r="I23" i="59"/>
  <c r="D38" i="59"/>
  <c r="D34" i="59"/>
  <c r="I18" i="59"/>
  <c r="S41" i="59"/>
  <c r="R27" i="59"/>
  <c r="C12" i="59"/>
  <c r="S24" i="59"/>
  <c r="C10" i="59"/>
  <c r="E9" i="59"/>
  <c r="K26" i="59"/>
  <c r="E4" i="59"/>
  <c r="B18" i="59"/>
  <c r="E40" i="59"/>
  <c r="S26" i="59"/>
  <c r="B10" i="59"/>
  <c r="K4" i="59"/>
  <c r="H11" i="59"/>
  <c r="J38" i="59"/>
  <c r="H23" i="59"/>
  <c r="I27" i="59"/>
  <c r="C6" i="59"/>
  <c r="D5" i="59"/>
  <c r="S10" i="59"/>
  <c r="K37" i="59"/>
  <c r="C38" i="59"/>
  <c r="L38" i="59" s="1"/>
  <c r="H32" i="59"/>
  <c r="R26" i="59"/>
  <c r="P7" i="59"/>
  <c r="K19" i="59"/>
  <c r="K11" i="59"/>
  <c r="D36" i="59"/>
  <c r="J39" i="59"/>
  <c r="C20" i="59"/>
  <c r="J6" i="59"/>
  <c r="E10" i="59"/>
  <c r="H38" i="59"/>
  <c r="G35" i="59"/>
  <c r="M35" i="59" s="1"/>
  <c r="P33" i="59"/>
  <c r="P11" i="59"/>
  <c r="H8" i="59"/>
  <c r="I34" i="59"/>
  <c r="Q12" i="59"/>
  <c r="B38" i="59"/>
  <c r="T38" i="59" s="1"/>
  <c r="Q40" i="59"/>
  <c r="O32" i="59"/>
  <c r="U32" i="59" s="1"/>
  <c r="R18" i="59"/>
  <c r="H10" i="59"/>
  <c r="C18" i="59"/>
  <c r="Q23" i="59"/>
  <c r="E36" i="59"/>
  <c r="B36" i="59"/>
  <c r="V36" i="59" s="1"/>
  <c r="K34" i="59"/>
  <c r="O38" i="59"/>
  <c r="U38" i="59" s="1"/>
  <c r="R19" i="59"/>
  <c r="E23" i="59"/>
  <c r="K9" i="59"/>
  <c r="S32" i="59"/>
  <c r="B11" i="59"/>
  <c r="Q32" i="59"/>
  <c r="I33" i="59"/>
  <c r="C11" i="59"/>
  <c r="S4" i="59"/>
  <c r="J9" i="59"/>
  <c r="R23" i="59"/>
  <c r="B32" i="59"/>
  <c r="V32" i="59" s="1"/>
  <c r="B26" i="59"/>
  <c r="E25" i="59"/>
  <c r="H36" i="59"/>
  <c r="R197" i="55"/>
  <c r="J21" i="59"/>
  <c r="O36" i="59"/>
  <c r="U36" i="59" s="1"/>
  <c r="K24" i="59"/>
  <c r="Q9" i="59"/>
  <c r="I21" i="59"/>
  <c r="D8" i="59"/>
  <c r="K36" i="59"/>
  <c r="E33" i="59"/>
  <c r="D32" i="59"/>
  <c r="I24" i="59"/>
  <c r="D4" i="59"/>
  <c r="J23" i="59"/>
  <c r="J26" i="59"/>
  <c r="J41" i="59"/>
  <c r="R5" i="59"/>
  <c r="J22" i="59"/>
  <c r="D37" i="59"/>
  <c r="R10" i="59"/>
  <c r="I6" i="59"/>
  <c r="H5" i="59"/>
  <c r="B21" i="59"/>
  <c r="E7" i="26"/>
  <c r="D6" i="26"/>
  <c r="L14" i="26"/>
  <c r="H12" i="26"/>
  <c r="E12" i="26"/>
  <c r="AA12" i="26"/>
  <c r="AH14" i="26"/>
  <c r="C12" i="26"/>
  <c r="U12" i="26"/>
  <c r="K14" i="26"/>
  <c r="AB12" i="26"/>
  <c r="F12" i="26"/>
  <c r="H14" i="26"/>
  <c r="AA14" i="26"/>
  <c r="T14" i="26"/>
  <c r="AD12" i="26"/>
  <c r="G14" i="26"/>
  <c r="Q14" i="26"/>
  <c r="N14" i="26"/>
  <c r="AG12" i="26"/>
  <c r="H229" i="55"/>
  <c r="F7" i="26"/>
  <c r="G7" i="26" s="1"/>
  <c r="E6" i="26"/>
  <c r="F6" i="26"/>
  <c r="D11" i="57"/>
  <c r="D10" i="57"/>
  <c r="D5" i="57"/>
  <c r="D8" i="57"/>
  <c r="D9" i="57"/>
  <c r="D6" i="57"/>
  <c r="D7" i="57"/>
  <c r="D12" i="57"/>
  <c r="G231" i="55" l="1"/>
  <c r="H225" i="55"/>
  <c r="H221" i="55"/>
  <c r="H248" i="55"/>
  <c r="G166" i="55"/>
  <c r="G162" i="55"/>
  <c r="G218" i="55"/>
  <c r="G171" i="55"/>
  <c r="G245" i="55"/>
  <c r="G169" i="55"/>
  <c r="H257" i="55"/>
  <c r="G244" i="55"/>
  <c r="G207" i="55"/>
  <c r="G153" i="55"/>
  <c r="G223" i="55"/>
  <c r="H170" i="55"/>
  <c r="H209" i="55"/>
  <c r="G126" i="55"/>
  <c r="G151" i="55"/>
  <c r="G190" i="55"/>
  <c r="G149" i="55"/>
  <c r="H159" i="55"/>
  <c r="G175" i="55"/>
  <c r="R242" i="55"/>
  <c r="R83" i="55"/>
  <c r="G164" i="55"/>
  <c r="G140" i="55"/>
  <c r="G216" i="55"/>
  <c r="H256" i="55"/>
  <c r="R42" i="55"/>
  <c r="R25" i="55"/>
  <c r="H254" i="55"/>
  <c r="G142" i="55"/>
  <c r="H180" i="55"/>
  <c r="H258" i="55"/>
  <c r="R94" i="55"/>
  <c r="R51" i="55"/>
  <c r="R77" i="55"/>
  <c r="R52" i="55"/>
  <c r="R176" i="55"/>
  <c r="R192" i="55"/>
  <c r="R204" i="55"/>
  <c r="R216" i="55"/>
  <c r="R220" i="55"/>
  <c r="R230" i="55"/>
  <c r="R66" i="55"/>
  <c r="T66" i="55" s="1"/>
  <c r="S69" i="55"/>
  <c r="H186" i="55"/>
  <c r="R93" i="55"/>
  <c r="H182" i="55"/>
  <c r="G194" i="55"/>
  <c r="G187" i="55"/>
  <c r="H185" i="55"/>
  <c r="H193" i="55"/>
  <c r="H206" i="55"/>
  <c r="R92" i="55"/>
  <c r="R104" i="55"/>
  <c r="H204" i="55"/>
  <c r="R102" i="55"/>
  <c r="H148" i="55"/>
  <c r="H128" i="55"/>
  <c r="H189" i="55"/>
  <c r="R187" i="55"/>
  <c r="R199" i="55"/>
  <c r="T199" i="55" s="1"/>
  <c r="R207" i="55"/>
  <c r="R211" i="55"/>
  <c r="R215" i="55"/>
  <c r="R217" i="55"/>
  <c r="R221" i="55"/>
  <c r="T221" i="55" s="1"/>
  <c r="R225" i="55"/>
  <c r="H178" i="55"/>
  <c r="H195" i="55"/>
  <c r="S85" i="55"/>
  <c r="S89" i="55"/>
  <c r="S81" i="55"/>
  <c r="R69" i="55"/>
  <c r="S235" i="55"/>
  <c r="T235" i="55" s="1"/>
  <c r="H146" i="55"/>
  <c r="H199" i="55"/>
  <c r="S87" i="55"/>
  <c r="S88" i="55"/>
  <c r="S45" i="55"/>
  <c r="H132" i="55"/>
  <c r="R203" i="55"/>
  <c r="R214" i="55"/>
  <c r="T214" i="55" s="1"/>
  <c r="R257" i="55"/>
  <c r="R81" i="55"/>
  <c r="R40" i="55"/>
  <c r="R24" i="55"/>
  <c r="S54" i="55"/>
  <c r="S51" i="55"/>
  <c r="R27" i="55"/>
  <c r="R106" i="55"/>
  <c r="R110" i="55"/>
  <c r="R116" i="55"/>
  <c r="R126" i="55"/>
  <c r="R130" i="55"/>
  <c r="R132" i="55"/>
  <c r="R134" i="55"/>
  <c r="R136" i="55"/>
  <c r="R144" i="55"/>
  <c r="R146" i="55"/>
  <c r="T146" i="55" s="1"/>
  <c r="R161" i="55"/>
  <c r="S238" i="55"/>
  <c r="R238" i="55"/>
  <c r="S7" i="55"/>
  <c r="S49" i="55"/>
  <c r="R7" i="55"/>
  <c r="S92" i="55"/>
  <c r="R78" i="55"/>
  <c r="R18" i="55"/>
  <c r="R50" i="55"/>
  <c r="R150" i="55"/>
  <c r="S207" i="55"/>
  <c r="R226" i="55"/>
  <c r="R15" i="55"/>
  <c r="G115" i="55"/>
  <c r="R8" i="55"/>
  <c r="R91" i="55"/>
  <c r="R34" i="55"/>
  <c r="R38" i="55"/>
  <c r="R154" i="55"/>
  <c r="R169" i="55"/>
  <c r="T169" i="55" s="1"/>
  <c r="R171" i="55"/>
  <c r="R175" i="55"/>
  <c r="R194" i="55"/>
  <c r="T194" i="55" s="1"/>
  <c r="R48" i="55"/>
  <c r="R173" i="55"/>
  <c r="S175" i="55"/>
  <c r="S211" i="55"/>
  <c r="S230" i="55"/>
  <c r="R245" i="55"/>
  <c r="R90" i="55"/>
  <c r="R73" i="55"/>
  <c r="R33" i="55"/>
  <c r="R243" i="55"/>
  <c r="S25" i="55"/>
  <c r="R101" i="55"/>
  <c r="R89" i="55"/>
  <c r="R72" i="55"/>
  <c r="R32" i="55"/>
  <c r="R70" i="55"/>
  <c r="R47" i="55"/>
  <c r="S100" i="55"/>
  <c r="R88" i="55"/>
  <c r="R107" i="55"/>
  <c r="R109" i="55"/>
  <c r="R111" i="55"/>
  <c r="R117" i="55"/>
  <c r="R119" i="55"/>
  <c r="R121" i="55"/>
  <c r="R131" i="55"/>
  <c r="R133" i="55"/>
  <c r="R135" i="55"/>
  <c r="R137" i="55"/>
  <c r="R143" i="55"/>
  <c r="R147" i="55"/>
  <c r="R206" i="55"/>
  <c r="R219" i="55"/>
  <c r="R234" i="55"/>
  <c r="R100" i="55"/>
  <c r="R87" i="55"/>
  <c r="S52" i="55"/>
  <c r="R9" i="55"/>
  <c r="S234" i="55"/>
  <c r="R236" i="55"/>
  <c r="H108" i="55"/>
  <c r="R99" i="55"/>
  <c r="R85" i="55"/>
  <c r="R49" i="55"/>
  <c r="R45" i="55"/>
  <c r="S187" i="55"/>
  <c r="G127" i="55"/>
  <c r="S102" i="55"/>
  <c r="R98" i="55"/>
  <c r="R84" i="55"/>
  <c r="R46" i="55"/>
  <c r="R54" i="55"/>
  <c r="R151" i="55"/>
  <c r="R164" i="55"/>
  <c r="R166" i="55"/>
  <c r="R210" i="55"/>
  <c r="S225" i="55"/>
  <c r="S84" i="55"/>
  <c r="S58" i="55"/>
  <c r="R97" i="55"/>
  <c r="R172" i="55"/>
  <c r="T172" i="55" s="1"/>
  <c r="S176" i="55"/>
  <c r="G119" i="55"/>
  <c r="H136" i="55"/>
  <c r="G118" i="55"/>
  <c r="K169" i="55" a="1"/>
  <c r="K169" i="55" s="1"/>
  <c r="H34" i="55"/>
  <c r="H252" i="55"/>
  <c r="G239" i="55"/>
  <c r="H200" i="55"/>
  <c r="H215" i="55"/>
  <c r="H19" i="55"/>
  <c r="G202" i="55"/>
  <c r="G113" i="55"/>
  <c r="G173" i="55"/>
  <c r="G135" i="55"/>
  <c r="T231" i="55"/>
  <c r="T162" i="55"/>
  <c r="T197" i="55"/>
  <c r="T185" i="55"/>
  <c r="T181" i="55"/>
  <c r="T223" i="55"/>
  <c r="T250" i="55"/>
  <c r="T183" i="55"/>
  <c r="T232" i="55"/>
  <c r="T186" i="55"/>
  <c r="N61" i="55" a="1"/>
  <c r="N61" i="55" s="1"/>
  <c r="H183" i="55"/>
  <c r="G141" i="55"/>
  <c r="H232" i="55"/>
  <c r="H250" i="55"/>
  <c r="G41" i="55"/>
  <c r="H143" i="55"/>
  <c r="G40" i="55"/>
  <c r="H22" i="55"/>
  <c r="H137" i="55"/>
  <c r="G65" i="55"/>
  <c r="N247" i="55" a="1"/>
  <c r="N247" i="55" s="1"/>
  <c r="K159" i="55" a="1"/>
  <c r="K159" i="55" s="1"/>
  <c r="H94" i="55"/>
  <c r="T35" i="55"/>
  <c r="T246" i="55"/>
  <c r="T179" i="55"/>
  <c r="G111" i="55"/>
  <c r="G20" i="55"/>
  <c r="H48" i="55"/>
  <c r="G13" i="59"/>
  <c r="M13" i="59" s="1"/>
  <c r="T253" i="55"/>
  <c r="K128" i="55" a="1"/>
  <c r="K128" i="55" s="1"/>
  <c r="O27" i="59"/>
  <c r="U27" i="59" s="1"/>
  <c r="G55" i="55"/>
  <c r="K98" i="55" a="1"/>
  <c r="K98" i="55" s="1"/>
  <c r="K244" i="55" a="1"/>
  <c r="K244" i="55" s="1"/>
  <c r="K238" i="55" a="1"/>
  <c r="K238" i="55" s="1"/>
  <c r="H49" i="55"/>
  <c r="G235" i="55"/>
  <c r="H59" i="55"/>
  <c r="K199" i="55" a="1"/>
  <c r="K199" i="55" s="1"/>
  <c r="K142" i="55" a="1"/>
  <c r="K142" i="55" s="1"/>
  <c r="K197" i="55" a="1"/>
  <c r="K197" i="55" s="1"/>
  <c r="H80" i="55"/>
  <c r="N109" i="55" a="1"/>
  <c r="N109" i="55" s="1"/>
  <c r="H114" i="55"/>
  <c r="K254" i="55" a="1"/>
  <c r="K254" i="55" s="1"/>
  <c r="K235" i="55" a="1"/>
  <c r="K235" i="55" s="1"/>
  <c r="G188" i="55"/>
  <c r="K202" i="55" a="1"/>
  <c r="K202" i="55" s="1"/>
  <c r="H33" i="55"/>
  <c r="H163" i="55"/>
  <c r="G220" i="55"/>
  <c r="K215" i="55" a="1"/>
  <c r="K215" i="55" s="1"/>
  <c r="N200" i="55" a="1"/>
  <c r="N200" i="55" s="1"/>
  <c r="G27" i="59"/>
  <c r="M27" i="59" s="1"/>
  <c r="K209" i="55" a="1"/>
  <c r="K209" i="55" s="1"/>
  <c r="N220" i="55" a="1"/>
  <c r="N220" i="55" s="1"/>
  <c r="K17" i="55" a="1"/>
  <c r="K17" i="55" s="1"/>
  <c r="K146" i="55" a="1"/>
  <c r="K146" i="55" s="1"/>
  <c r="N114" i="55" a="1"/>
  <c r="N114" i="55" s="1"/>
  <c r="K34" i="55" a="1"/>
  <c r="K34" i="55" s="1"/>
  <c r="K216" i="55" a="1"/>
  <c r="K216" i="55" s="1"/>
  <c r="K237" i="55" a="1"/>
  <c r="K237" i="55" s="1"/>
  <c r="K115" i="55" a="1"/>
  <c r="K115" i="55" s="1"/>
  <c r="K173" i="55" a="1"/>
  <c r="K173" i="55" s="1"/>
  <c r="K89" i="55" a="1"/>
  <c r="K89" i="55" s="1"/>
  <c r="K109" i="55" a="1"/>
  <c r="K109" i="55" s="1"/>
  <c r="K245" i="55" a="1"/>
  <c r="K245" i="55" s="1"/>
  <c r="K193" i="55" a="1"/>
  <c r="K193" i="55" s="1"/>
  <c r="K126" i="55" a="1"/>
  <c r="K126" i="55" s="1"/>
  <c r="K242" i="55" a="1"/>
  <c r="K242" i="55" s="1"/>
  <c r="T171" i="55"/>
  <c r="T228" i="55"/>
  <c r="K228" i="55" a="1"/>
  <c r="K228" i="55" s="1"/>
  <c r="K164" i="55" a="1"/>
  <c r="K164" i="55" s="1"/>
  <c r="K41" i="55" a="1"/>
  <c r="K41" i="55" s="1"/>
  <c r="K166" i="55" a="1"/>
  <c r="K166" i="55" s="1"/>
  <c r="G43" i="55"/>
  <c r="K21" i="55" a="1"/>
  <c r="K21" i="55" s="1"/>
  <c r="K182" i="55" a="1"/>
  <c r="K182" i="55" s="1"/>
  <c r="N145" i="55" a="1"/>
  <c r="N145" i="55" s="1"/>
  <c r="N139" i="55" a="1"/>
  <c r="N139" i="55" s="1"/>
  <c r="K111" i="55" a="1"/>
  <c r="K111" i="55" s="1"/>
  <c r="K40" i="55" a="1"/>
  <c r="K40" i="55" s="1"/>
  <c r="K86" i="55" a="1"/>
  <c r="K86" i="55" s="1"/>
  <c r="K221" i="55" a="1"/>
  <c r="K221" i="55" s="1"/>
  <c r="K64" i="55" a="1"/>
  <c r="K64" i="55" s="1"/>
  <c r="K175" i="55" a="1"/>
  <c r="K175" i="55" s="1"/>
  <c r="K167" i="55" a="1"/>
  <c r="K167" i="55" s="1"/>
  <c r="K35" i="55" a="1"/>
  <c r="K35" i="55" s="1"/>
  <c r="K230" i="55" a="1"/>
  <c r="K230" i="55" s="1"/>
  <c r="K247" i="55" a="1"/>
  <c r="K247" i="55" s="1"/>
  <c r="K240" i="55" a="1"/>
  <c r="K240" i="55" s="1"/>
  <c r="K85" i="55" a="1"/>
  <c r="K85" i="55" s="1"/>
  <c r="G96" i="55"/>
  <c r="K144" i="55" a="1"/>
  <c r="K144" i="55" s="1"/>
  <c r="K171" i="55" a="1"/>
  <c r="K171" i="55" s="1"/>
  <c r="K140" i="55" a="1"/>
  <c r="K140" i="55" s="1"/>
  <c r="K153" i="55" a="1"/>
  <c r="K153" i="55" s="1"/>
  <c r="K225" i="55" a="1"/>
  <c r="K225" i="55" s="1"/>
  <c r="K33" i="55" a="1"/>
  <c r="K33" i="55" s="1"/>
  <c r="K137" i="55" a="1"/>
  <c r="K137" i="55" s="1"/>
  <c r="K198" i="55" a="1"/>
  <c r="K198" i="55" s="1"/>
  <c r="K151" i="55" a="1"/>
  <c r="K151" i="55" s="1"/>
  <c r="K207" i="55" a="1"/>
  <c r="K207" i="55" s="1"/>
  <c r="T52" i="55"/>
  <c r="N223" i="55" a="1"/>
  <c r="N223" i="55" s="1"/>
  <c r="N96" i="55" a="1"/>
  <c r="N96" i="55" s="1"/>
  <c r="N75" i="55" a="1"/>
  <c r="N75" i="55" s="1"/>
  <c r="N254" i="55" a="1"/>
  <c r="N254" i="55" s="1"/>
  <c r="N78" i="55" a="1"/>
  <c r="N78" i="55" s="1"/>
  <c r="N224" i="55" a="1"/>
  <c r="N224" i="55" s="1"/>
  <c r="N175" i="55" a="1"/>
  <c r="N175" i="55" s="1"/>
  <c r="O175" i="55" s="1"/>
  <c r="N215" i="55" a="1"/>
  <c r="N215" i="55" s="1"/>
  <c r="O215" i="55" s="1"/>
  <c r="T243" i="55"/>
  <c r="F22" i="59"/>
  <c r="N236" i="55" a="1"/>
  <c r="N236" i="55" s="1"/>
  <c r="N173" i="55" a="1"/>
  <c r="N173" i="55" s="1"/>
  <c r="T71" i="55"/>
  <c r="N37" i="55" a="1"/>
  <c r="N37" i="55" s="1"/>
  <c r="N32" i="55" a="1"/>
  <c r="N32" i="55" s="1"/>
  <c r="M59" i="55" a="1"/>
  <c r="M59" i="55" s="1"/>
  <c r="M186" i="55" a="1"/>
  <c r="M186" i="55" s="1"/>
  <c r="O186" i="55" s="1"/>
  <c r="M2" i="55"/>
  <c r="M103" i="55" a="1"/>
  <c r="M103" i="55" s="1"/>
  <c r="O103" i="55" s="1"/>
  <c r="M127" i="55" a="1"/>
  <c r="M127" i="55" s="1"/>
  <c r="O127" i="55" s="1"/>
  <c r="F6" i="59"/>
  <c r="F9" i="59"/>
  <c r="N14" i="55" a="1"/>
  <c r="N14" i="55" s="1"/>
  <c r="N256" i="55" a="1"/>
  <c r="N256" i="55" s="1"/>
  <c r="N30" i="55" a="1"/>
  <c r="N30" i="55" s="1"/>
  <c r="N111" i="55" a="1"/>
  <c r="N111" i="55" s="1"/>
  <c r="N198" i="55" a="1"/>
  <c r="N198" i="55" s="1"/>
  <c r="O20" i="59"/>
  <c r="U20" i="59" s="1"/>
  <c r="N106" i="55" a="1"/>
  <c r="N106" i="55" s="1"/>
  <c r="N104" i="55" a="1"/>
  <c r="N104" i="55" s="1"/>
  <c r="T76" i="55"/>
  <c r="G11" i="59"/>
  <c r="L11" i="59" s="1"/>
  <c r="N81" i="55" a="1"/>
  <c r="N81" i="55" s="1"/>
  <c r="O81" i="55" s="1"/>
  <c r="N11" i="59"/>
  <c r="N113" i="55" a="1"/>
  <c r="N113" i="55" s="1"/>
  <c r="F38" i="59"/>
  <c r="T74" i="55"/>
  <c r="V38" i="59"/>
  <c r="K180" i="55" a="1"/>
  <c r="K180" i="55" s="1"/>
  <c r="K47" i="55" a="1"/>
  <c r="K47" i="55" s="1"/>
  <c r="K121" i="55" a="1"/>
  <c r="K121" i="55" s="1"/>
  <c r="K246" i="55" a="1"/>
  <c r="K246" i="55" s="1"/>
  <c r="N74" i="55" a="1"/>
  <c r="N74" i="55" s="1"/>
  <c r="G97" i="55"/>
  <c r="N17" i="55" a="1"/>
  <c r="N17" i="55" s="1"/>
  <c r="O17" i="55" s="1"/>
  <c r="M173" i="55" a="1"/>
  <c r="M173" i="55" s="1"/>
  <c r="M63" i="55" a="1"/>
  <c r="M63" i="55" s="1"/>
  <c r="O63" i="55" s="1"/>
  <c r="M200" i="55" a="1"/>
  <c r="M200" i="55" s="1"/>
  <c r="O200" i="55" s="1"/>
  <c r="N38" i="59"/>
  <c r="N144" i="55" a="1"/>
  <c r="N144" i="55" s="1"/>
  <c r="T147" i="55"/>
  <c r="N24" i="59"/>
  <c r="F26" i="59"/>
  <c r="K60" i="55" a="1"/>
  <c r="K60" i="55" s="1"/>
  <c r="N189" i="55" a="1"/>
  <c r="N189" i="55" s="1"/>
  <c r="K127" i="55" a="1"/>
  <c r="K127" i="55" s="1"/>
  <c r="K13" i="55" a="1"/>
  <c r="K13" i="55" s="1"/>
  <c r="N240" i="55" a="1"/>
  <c r="N240" i="55" s="1"/>
  <c r="N73" i="55" a="1"/>
  <c r="N73" i="55" s="1"/>
  <c r="O73" i="55" s="1"/>
  <c r="M110" i="55" a="1"/>
  <c r="M110" i="55" s="1"/>
  <c r="M42" i="55" a="1"/>
  <c r="M42" i="55" s="1"/>
  <c r="M209" i="55" a="1"/>
  <c r="M209" i="55" s="1"/>
  <c r="O209" i="55" s="1"/>
  <c r="M277" i="55"/>
  <c r="M22" i="55" a="1"/>
  <c r="M22" i="55" s="1"/>
  <c r="F32" i="59"/>
  <c r="G5" i="59"/>
  <c r="K114" i="55" a="1"/>
  <c r="K114" i="55" s="1"/>
  <c r="N128" i="55" a="1"/>
  <c r="N128" i="55" s="1"/>
  <c r="T219" i="55"/>
  <c r="K22" i="55" a="1"/>
  <c r="K22" i="55" s="1"/>
  <c r="T164" i="55"/>
  <c r="G21" i="59"/>
  <c r="L21" i="59" s="1"/>
  <c r="T21" i="55"/>
  <c r="G9" i="59"/>
  <c r="M9" i="59" s="1"/>
  <c r="F10" i="59"/>
  <c r="N27" i="55" a="1"/>
  <c r="N27" i="55" s="1"/>
  <c r="O27" i="55" s="1"/>
  <c r="T237" i="55"/>
  <c r="K119" i="55" a="1"/>
  <c r="K119" i="55" s="1"/>
  <c r="K65" i="55" a="1"/>
  <c r="K65" i="55" s="1"/>
  <c r="K49" i="55" a="1"/>
  <c r="K49" i="55" s="1"/>
  <c r="H7" i="55"/>
  <c r="G51" i="55"/>
  <c r="H93" i="55"/>
  <c r="K83" i="55" a="1"/>
  <c r="K83" i="55" s="1"/>
  <c r="H123" i="55"/>
  <c r="G13" i="55"/>
  <c r="K123" i="55" a="1"/>
  <c r="K123" i="55" s="1"/>
  <c r="K124" i="55" a="1"/>
  <c r="K124" i="55" s="1"/>
  <c r="H121" i="55"/>
  <c r="K84" i="55" a="1"/>
  <c r="K84" i="55" s="1"/>
  <c r="K76" i="55" a="1"/>
  <c r="K76" i="55" s="1"/>
  <c r="H21" i="55"/>
  <c r="K62" i="55" a="1"/>
  <c r="K62" i="55" s="1"/>
  <c r="G72" i="55"/>
  <c r="H89" i="55"/>
  <c r="K101" i="55" a="1"/>
  <c r="K101" i="55" s="1"/>
  <c r="H29" i="55"/>
  <c r="K108" i="55" a="1"/>
  <c r="K108" i="55" s="1"/>
  <c r="H106" i="55"/>
  <c r="K93" i="55" a="1"/>
  <c r="K93" i="55" s="1"/>
  <c r="K59" i="55" a="1"/>
  <c r="K59" i="55" s="1"/>
  <c r="T208" i="55"/>
  <c r="T110" i="55"/>
  <c r="T138" i="55"/>
  <c r="T174" i="55"/>
  <c r="K91" i="55" a="1"/>
  <c r="K91" i="55" s="1"/>
  <c r="M19" i="55" a="1"/>
  <c r="M19" i="55" s="1"/>
  <c r="K58" i="55" a="1"/>
  <c r="K58" i="55" s="1"/>
  <c r="M213" i="55" a="1"/>
  <c r="M213" i="55" s="1"/>
  <c r="O213" i="55" s="1"/>
  <c r="M29" i="55" a="1"/>
  <c r="M29" i="55" s="1"/>
  <c r="M257" i="55" a="1"/>
  <c r="M257" i="55" s="1"/>
  <c r="M138" i="55" a="1"/>
  <c r="M138" i="55" s="1"/>
  <c r="O138" i="55" s="1"/>
  <c r="M249" i="55" a="1"/>
  <c r="M249" i="55" s="1"/>
  <c r="M147" i="55" a="1"/>
  <c r="M147" i="55" s="1"/>
  <c r="M197" i="55" a="1"/>
  <c r="M197" i="55" s="1"/>
  <c r="O197" i="55" s="1"/>
  <c r="G23" i="59"/>
  <c r="M23" i="59" s="1"/>
  <c r="N20" i="59"/>
  <c r="K88" i="55" a="1"/>
  <c r="K88" i="55" s="1"/>
  <c r="H88" i="55"/>
  <c r="F36" i="59"/>
  <c r="T36" i="59"/>
  <c r="T55" i="55"/>
  <c r="T156" i="55"/>
  <c r="N23" i="59"/>
  <c r="M39" i="55" a="1"/>
  <c r="M39" i="55" s="1"/>
  <c r="K36" i="55" a="1"/>
  <c r="K36" i="55" s="1"/>
  <c r="T188" i="55"/>
  <c r="T83" i="55"/>
  <c r="G152" i="55"/>
  <c r="H152" i="55"/>
  <c r="K152" i="55" a="1"/>
  <c r="K152" i="55" s="1"/>
  <c r="G66" i="55"/>
  <c r="H66" i="55"/>
  <c r="K66" i="55" a="1"/>
  <c r="K66" i="55" s="1"/>
  <c r="L37" i="59"/>
  <c r="T25" i="55"/>
  <c r="O22" i="59"/>
  <c r="U22" i="59" s="1"/>
  <c r="T38" i="55"/>
  <c r="K162" i="55" a="1"/>
  <c r="K162" i="55" s="1"/>
  <c r="N13" i="55" a="1"/>
  <c r="N13" i="55" s="1"/>
  <c r="N51" i="55" a="1"/>
  <c r="N51" i="55" s="1"/>
  <c r="O51" i="55" s="1"/>
  <c r="T67" i="55"/>
  <c r="T130" i="55"/>
  <c r="L33" i="59"/>
  <c r="G84" i="55"/>
  <c r="F11" i="59"/>
  <c r="K188" i="55" a="1"/>
  <c r="K188" i="55" s="1"/>
  <c r="N56" i="55" a="1"/>
  <c r="N56" i="55" s="1"/>
  <c r="N227" i="55" a="1"/>
  <c r="N227" i="55" s="1"/>
  <c r="K194" i="55" a="1"/>
  <c r="K194" i="55" s="1"/>
  <c r="N160" i="55" a="1"/>
  <c r="N160" i="55" s="1"/>
  <c r="K243" i="55" a="1"/>
  <c r="K243" i="55" s="1"/>
  <c r="N35" i="59"/>
  <c r="T27" i="59"/>
  <c r="F18" i="59"/>
  <c r="K20" i="55" a="1"/>
  <c r="K20" i="55" s="1"/>
  <c r="N103" i="55" a="1"/>
  <c r="N103" i="55" s="1"/>
  <c r="N22" i="55" a="1"/>
  <c r="N22" i="55" s="1"/>
  <c r="K132" i="55" a="1"/>
  <c r="K132" i="55" s="1"/>
  <c r="V21" i="59"/>
  <c r="N19" i="59"/>
  <c r="F24" i="59"/>
  <c r="N13" i="59"/>
  <c r="H85" i="55"/>
  <c r="F7" i="59"/>
  <c r="K248" i="55" a="1"/>
  <c r="K248" i="55" s="1"/>
  <c r="K200" i="55" a="1"/>
  <c r="K200" i="55" s="1"/>
  <c r="K80" i="55" a="1"/>
  <c r="K80" i="55" s="1"/>
  <c r="K208" i="55" a="1"/>
  <c r="K208" i="55" s="1"/>
  <c r="N233" i="55" a="1"/>
  <c r="N233" i="55" s="1"/>
  <c r="N50" i="55" a="1"/>
  <c r="N50" i="55" s="1"/>
  <c r="O50" i="55" s="1"/>
  <c r="K55" i="55" a="1"/>
  <c r="K55" i="55" s="1"/>
  <c r="N250" i="55" a="1"/>
  <c r="N250" i="55" s="1"/>
  <c r="T98" i="55"/>
  <c r="T96" i="55"/>
  <c r="N18" i="55" a="1"/>
  <c r="N18" i="55" s="1"/>
  <c r="T64" i="55"/>
  <c r="V27" i="59"/>
  <c r="F40" i="59"/>
  <c r="N127" i="55" a="1"/>
  <c r="N127" i="55" s="1"/>
  <c r="K106" i="55" a="1"/>
  <c r="K106" i="55" s="1"/>
  <c r="P2" i="53"/>
  <c r="N185" i="55" a="1"/>
  <c r="N185" i="55" s="1"/>
  <c r="V33" i="59"/>
  <c r="T148" i="55"/>
  <c r="T33" i="59"/>
  <c r="T82" i="55"/>
  <c r="L27" i="59"/>
  <c r="G44" i="55"/>
  <c r="N148" i="55" a="1"/>
  <c r="N148" i="55" s="1"/>
  <c r="K149" i="55" a="1"/>
  <c r="K149" i="55" s="1"/>
  <c r="K204" i="55" a="1"/>
  <c r="K204" i="55" s="1"/>
  <c r="K118" i="55" a="1"/>
  <c r="K118" i="55" s="1"/>
  <c r="N11" i="55" a="1"/>
  <c r="N11" i="55" s="1"/>
  <c r="O11" i="55" s="1"/>
  <c r="N165" i="55" a="1"/>
  <c r="N165" i="55" s="1"/>
  <c r="T99" i="55"/>
  <c r="P151" i="53"/>
  <c r="L68" i="55" s="1" a="1"/>
  <c r="L68" i="55" s="1"/>
  <c r="K223" i="55" a="1"/>
  <c r="K223" i="55" s="1"/>
  <c r="N221" i="55" a="1"/>
  <c r="N221" i="55" s="1"/>
  <c r="O221" i="55" s="1"/>
  <c r="O4" i="59"/>
  <c r="O19" i="59"/>
  <c r="T72" i="55"/>
  <c r="T33" i="55"/>
  <c r="T200" i="55"/>
  <c r="T202" i="55"/>
  <c r="T32" i="55"/>
  <c r="T75" i="55"/>
  <c r="T127" i="55"/>
  <c r="T114" i="55"/>
  <c r="T210" i="55"/>
  <c r="T81" i="55"/>
  <c r="T51" i="55"/>
  <c r="T120" i="55"/>
  <c r="T126" i="55"/>
  <c r="T128" i="55"/>
  <c r="T248" i="55"/>
  <c r="G99" i="55"/>
  <c r="H57" i="55"/>
  <c r="G57" i="55"/>
  <c r="G227" i="55"/>
  <c r="H227" i="55"/>
  <c r="H45" i="55"/>
  <c r="K45" i="55" a="1"/>
  <c r="K45" i="55" s="1"/>
  <c r="K77" i="55" a="1"/>
  <c r="K77" i="55" s="1"/>
  <c r="G77" i="55"/>
  <c r="H77" i="55"/>
  <c r="G104" i="55"/>
  <c r="H28" i="55"/>
  <c r="O24" i="59"/>
  <c r="T24" i="59" s="1"/>
  <c r="V13" i="59"/>
  <c r="T13" i="59"/>
  <c r="N10" i="59"/>
  <c r="N12" i="59"/>
  <c r="T69" i="55"/>
  <c r="O12" i="59"/>
  <c r="U12" i="59" s="1"/>
  <c r="O18" i="59"/>
  <c r="T18" i="59" s="1"/>
  <c r="O8" i="59"/>
  <c r="U8" i="59" s="1"/>
  <c r="T41" i="55"/>
  <c r="O7" i="59"/>
  <c r="T7" i="59" s="1"/>
  <c r="T168" i="55"/>
  <c r="T135" i="55"/>
  <c r="V11" i="59"/>
  <c r="V18" i="59"/>
  <c r="G98" i="55"/>
  <c r="T27" i="55"/>
  <c r="T90" i="55"/>
  <c r="T152" i="55"/>
  <c r="V9" i="59"/>
  <c r="T70" i="55"/>
  <c r="T143" i="55"/>
  <c r="O75" i="55"/>
  <c r="T18" i="55"/>
  <c r="T212" i="55"/>
  <c r="T236" i="55"/>
  <c r="T256" i="55"/>
  <c r="T254" i="55"/>
  <c r="V40" i="59"/>
  <c r="T89" i="55"/>
  <c r="T39" i="55"/>
  <c r="T167" i="55"/>
  <c r="T203" i="55"/>
  <c r="T48" i="55"/>
  <c r="T158" i="55"/>
  <c r="N18" i="59"/>
  <c r="I28" i="59"/>
  <c r="T173" i="55"/>
  <c r="T101" i="55"/>
  <c r="S151" i="53"/>
  <c r="G26" i="59"/>
  <c r="L26" i="59" s="1"/>
  <c r="G6" i="59"/>
  <c r="L6" i="59" s="1"/>
  <c r="T31" i="55"/>
  <c r="T22" i="55"/>
  <c r="T125" i="55"/>
  <c r="T68" i="55"/>
  <c r="T153" i="55"/>
  <c r="T160" i="55"/>
  <c r="V20" i="59"/>
  <c r="V22" i="59"/>
  <c r="G19" i="59"/>
  <c r="M19" i="59" s="1"/>
  <c r="AE151" i="53"/>
  <c r="T140" i="55"/>
  <c r="Q14" i="59"/>
  <c r="Q42" i="59"/>
  <c r="T257" i="55"/>
  <c r="T84" i="55"/>
  <c r="T87" i="55"/>
  <c r="T13" i="55"/>
  <c r="AE2" i="53"/>
  <c r="T108" i="55"/>
  <c r="T242" i="55"/>
  <c r="T240" i="55"/>
  <c r="T88" i="55"/>
  <c r="T15" i="55"/>
  <c r="T154" i="55"/>
  <c r="T182" i="55"/>
  <c r="T184" i="55"/>
  <c r="T249" i="55"/>
  <c r="Q2" i="55"/>
  <c r="T56" i="55"/>
  <c r="T12" i="55"/>
  <c r="T201" i="55"/>
  <c r="T234" i="55"/>
  <c r="T91" i="55"/>
  <c r="T85" i="55"/>
  <c r="T116" i="55"/>
  <c r="T63" i="55"/>
  <c r="T136" i="55"/>
  <c r="O10" i="59"/>
  <c r="U10" i="59" s="1"/>
  <c r="T10" i="55"/>
  <c r="T175" i="55"/>
  <c r="T229" i="55"/>
  <c r="T28" i="55"/>
  <c r="T109" i="55"/>
  <c r="T8" i="55"/>
  <c r="T93" i="55"/>
  <c r="T44" i="55"/>
  <c r="T78" i="55"/>
  <c r="T105" i="55"/>
  <c r="T65" i="55"/>
  <c r="T26" i="55"/>
  <c r="T122" i="55"/>
  <c r="T144" i="55"/>
  <c r="T239" i="55"/>
  <c r="T103" i="55"/>
  <c r="T92" i="55"/>
  <c r="T60" i="55"/>
  <c r="T19" i="55"/>
  <c r="T150" i="55"/>
  <c r="T255" i="55"/>
  <c r="T244" i="55"/>
  <c r="H68" i="55"/>
  <c r="K68" i="55" a="1"/>
  <c r="K68" i="55" s="1"/>
  <c r="G68" i="55"/>
  <c r="H156" i="55"/>
  <c r="K156" i="55" a="1"/>
  <c r="K156" i="55" s="1"/>
  <c r="G156" i="55"/>
  <c r="G125" i="55"/>
  <c r="K125" i="55" a="1"/>
  <c r="K125" i="55" s="1"/>
  <c r="H125" i="55"/>
  <c r="K46" i="55" a="1"/>
  <c r="K46" i="55" s="1"/>
  <c r="G46" i="55"/>
  <c r="H46" i="55"/>
  <c r="H74" i="55"/>
  <c r="G74" i="55"/>
  <c r="G30" i="55"/>
  <c r="K30" i="55" a="1"/>
  <c r="K30" i="55" s="1"/>
  <c r="H30" i="55"/>
  <c r="H11" i="55"/>
  <c r="G11" i="55"/>
  <c r="H82" i="55"/>
  <c r="G27" i="55"/>
  <c r="H9" i="55"/>
  <c r="K9" i="55" a="1"/>
  <c r="K9" i="55" s="1"/>
  <c r="G9" i="55"/>
  <c r="N181" i="55" a="1"/>
  <c r="N181" i="55" s="1"/>
  <c r="N40" i="59"/>
  <c r="S2" i="53"/>
  <c r="N34" i="55" a="1"/>
  <c r="N34" i="55" s="1"/>
  <c r="O34" i="55" s="1"/>
  <c r="N20" i="55" a="1"/>
  <c r="N20" i="55" s="1"/>
  <c r="O20" i="55" s="1"/>
  <c r="N44" i="55" a="1"/>
  <c r="N44" i="55" s="1"/>
  <c r="N225" i="55" a="1"/>
  <c r="N225" i="55" s="1"/>
  <c r="O225" i="55" s="1"/>
  <c r="N205" i="55" a="1"/>
  <c r="N205" i="55" s="1"/>
  <c r="N88" i="55" a="1"/>
  <c r="N88" i="55" s="1"/>
  <c r="O88" i="55" s="1"/>
  <c r="N211" i="55" a="1"/>
  <c r="N211" i="55" s="1"/>
  <c r="N196" i="55" a="1"/>
  <c r="N196" i="55" s="1"/>
  <c r="N85" i="55" a="1"/>
  <c r="N85" i="55" s="1"/>
  <c r="N159" i="55" a="1"/>
  <c r="N159" i="55" s="1"/>
  <c r="N242" i="55" a="1"/>
  <c r="N242" i="55" s="1"/>
  <c r="N209" i="55" a="1"/>
  <c r="N209" i="55" s="1"/>
  <c r="N141" i="55" a="1"/>
  <c r="N141" i="55" s="1"/>
  <c r="K250" i="55" a="1"/>
  <c r="K250" i="55" s="1"/>
  <c r="O9" i="59"/>
  <c r="O23" i="59"/>
  <c r="T23" i="59" s="1"/>
  <c r="O26" i="59"/>
  <c r="U26" i="59" s="1"/>
  <c r="G12" i="59"/>
  <c r="M12" i="59" s="1"/>
  <c r="G25" i="59"/>
  <c r="L25" i="59" s="1"/>
  <c r="T62" i="55"/>
  <c r="T43" i="55"/>
  <c r="T119" i="55"/>
  <c r="T142" i="55"/>
  <c r="T151" i="55"/>
  <c r="N26" i="59"/>
  <c r="N219" i="55" a="1"/>
  <c r="N219" i="55" s="1"/>
  <c r="N72" i="55" a="1"/>
  <c r="N72" i="55" s="1"/>
  <c r="O72" i="55" s="1"/>
  <c r="N161" i="55" a="1"/>
  <c r="N161" i="55" s="1"/>
  <c r="O161" i="55" s="1"/>
  <c r="N232" i="55" a="1"/>
  <c r="N232" i="55" s="1"/>
  <c r="N68" i="55" a="1"/>
  <c r="N68" i="55" s="1"/>
  <c r="N177" i="55" a="1"/>
  <c r="N177" i="55" s="1"/>
  <c r="H104" i="55"/>
  <c r="G54" i="55"/>
  <c r="N84" i="55" a="1"/>
  <c r="N84" i="55" s="1"/>
  <c r="O84" i="55" s="1"/>
  <c r="N82" i="55" a="1"/>
  <c r="N82" i="55" s="1"/>
  <c r="N166" i="55" a="1"/>
  <c r="N166" i="55" s="1"/>
  <c r="O166" i="55" s="1"/>
  <c r="N170" i="55" a="1"/>
  <c r="N170" i="55" s="1"/>
  <c r="N186" i="55" a="1"/>
  <c r="N186" i="55" s="1"/>
  <c r="N239" i="55" a="1"/>
  <c r="N239" i="55" s="1"/>
  <c r="N12" i="55" a="1"/>
  <c r="N12" i="55" s="1"/>
  <c r="O12" i="55" s="1"/>
  <c r="N180" i="55" a="1"/>
  <c r="N180" i="55" s="1"/>
  <c r="N69" i="55" a="1"/>
  <c r="N69" i="55" s="1"/>
  <c r="N210" i="55" a="1"/>
  <c r="N210" i="55" s="1"/>
  <c r="O210" i="55" s="1"/>
  <c r="N178" i="55" a="1"/>
  <c r="N178" i="55" s="1"/>
  <c r="N179" i="55" a="1"/>
  <c r="N179" i="55" s="1"/>
  <c r="T133" i="55"/>
  <c r="T196" i="55"/>
  <c r="T198" i="55"/>
  <c r="T209" i="55"/>
  <c r="T216" i="55"/>
  <c r="T258" i="55"/>
  <c r="K87" i="55" a="1"/>
  <c r="K87" i="55" s="1"/>
  <c r="N182" i="55" a="1"/>
  <c r="N182" i="55" s="1"/>
  <c r="N246" i="55" a="1"/>
  <c r="N246" i="55" s="1"/>
  <c r="N238" i="55" a="1"/>
  <c r="N238" i="55" s="1"/>
  <c r="N203" i="55" a="1"/>
  <c r="N203" i="55" s="1"/>
  <c r="O203" i="55" s="1"/>
  <c r="N230" i="55" a="1"/>
  <c r="N230" i="55" s="1"/>
  <c r="N231" i="55" a="1"/>
  <c r="N231" i="55" s="1"/>
  <c r="O231" i="55" s="1"/>
  <c r="N33" i="55" a="1"/>
  <c r="N33" i="55" s="1"/>
  <c r="O33" i="55" s="1"/>
  <c r="N97" i="55" a="1"/>
  <c r="N97" i="55" s="1"/>
  <c r="Q277" i="55"/>
  <c r="N28" i="55" a="1"/>
  <c r="N28" i="55" s="1"/>
  <c r="N47" i="55" a="1"/>
  <c r="N47" i="55" s="1"/>
  <c r="O47" i="55" s="1"/>
  <c r="N192" i="55" a="1"/>
  <c r="N192" i="55" s="1"/>
  <c r="N48" i="55" a="1"/>
  <c r="N48" i="55" s="1"/>
  <c r="O48" i="55" s="1"/>
  <c r="N188" i="55" a="1"/>
  <c r="N188" i="55" s="1"/>
  <c r="N237" i="55" a="1"/>
  <c r="N237" i="55" s="1"/>
  <c r="O237" i="55" s="1"/>
  <c r="I2" i="55"/>
  <c r="T163" i="55"/>
  <c r="T165" i="55"/>
  <c r="T176" i="55"/>
  <c r="T187" i="55"/>
  <c r="T189" i="55"/>
  <c r="T204" i="55"/>
  <c r="T238" i="55"/>
  <c r="N80" i="55" a="1"/>
  <c r="N80" i="55" s="1"/>
  <c r="N163" i="55" a="1"/>
  <c r="N163" i="55" s="1"/>
  <c r="N206" i="55" a="1"/>
  <c r="N206" i="55" s="1"/>
  <c r="N64" i="55" a="1"/>
  <c r="N64" i="55" s="1"/>
  <c r="N191" i="55" a="1"/>
  <c r="N191" i="55" s="1"/>
  <c r="N8" i="55" a="1"/>
  <c r="N8" i="55" s="1"/>
  <c r="O8" i="55" s="1"/>
  <c r="N244" i="55" a="1"/>
  <c r="N244" i="55" s="1"/>
  <c r="N190" i="55" a="1"/>
  <c r="N190" i="55" s="1"/>
  <c r="T59" i="55"/>
  <c r="G87" i="55"/>
  <c r="H37" i="55"/>
  <c r="T218" i="55"/>
  <c r="K251" i="55" a="1"/>
  <c r="K251" i="55" s="1"/>
  <c r="K249" i="55" a="1"/>
  <c r="K249" i="55" s="1"/>
  <c r="K141" i="55" a="1"/>
  <c r="K141" i="55" s="1"/>
  <c r="T155" i="55"/>
  <c r="T180" i="55"/>
  <c r="T191" i="55"/>
  <c r="T206" i="55"/>
  <c r="T220" i="55"/>
  <c r="K222" i="55" a="1"/>
  <c r="K222" i="55" s="1"/>
  <c r="T247" i="55"/>
  <c r="T32" i="59"/>
  <c r="N147" i="55" a="1"/>
  <c r="N147" i="55" s="1"/>
  <c r="N152" i="55" a="1"/>
  <c r="N152" i="55" s="1"/>
  <c r="N143" i="55" a="1"/>
  <c r="N143" i="55" s="1"/>
  <c r="O143" i="55" s="1"/>
  <c r="X2" i="53"/>
  <c r="N93" i="55" a="1"/>
  <c r="N93" i="55" s="1"/>
  <c r="N208" i="55" a="1"/>
  <c r="N208" i="55" s="1"/>
  <c r="N26" i="55" a="1"/>
  <c r="N26" i="55" s="1"/>
  <c r="G45" i="55"/>
  <c r="N41" i="55" a="1"/>
  <c r="N41" i="55" s="1"/>
  <c r="N118" i="55" a="1"/>
  <c r="N118" i="55" s="1"/>
  <c r="N187" i="55" a="1"/>
  <c r="N187" i="55" s="1"/>
  <c r="N92" i="55" a="1"/>
  <c r="N92" i="55" s="1"/>
  <c r="N154" i="55" a="1"/>
  <c r="N154" i="55" s="1"/>
  <c r="N229" i="55" a="1"/>
  <c r="N229" i="55" s="1"/>
  <c r="N120" i="55" a="1"/>
  <c r="N120" i="55" s="1"/>
  <c r="N53" i="55" a="1"/>
  <c r="N53" i="55" s="1"/>
  <c r="O53" i="55" s="1"/>
  <c r="N10" i="55" a="1"/>
  <c r="N10" i="55" s="1"/>
  <c r="O10" i="55" s="1"/>
  <c r="N2" i="53"/>
  <c r="T30" i="55"/>
  <c r="Z151" i="53"/>
  <c r="P2" i="55" s="1"/>
  <c r="T36" i="55"/>
  <c r="T24" i="55"/>
  <c r="T193" i="55"/>
  <c r="K203" i="55" a="1"/>
  <c r="K203" i="55" s="1"/>
  <c r="O236" i="55"/>
  <c r="T35" i="59"/>
  <c r="V7" i="59"/>
  <c r="N86" i="55" a="1"/>
  <c r="N86" i="55" s="1"/>
  <c r="N168" i="55" a="1"/>
  <c r="N168" i="55" s="1"/>
  <c r="N136" i="55" a="1"/>
  <c r="N136" i="55" s="1"/>
  <c r="N95" i="55" a="1"/>
  <c r="N95" i="55" s="1"/>
  <c r="N245" i="55" a="1"/>
  <c r="N245" i="55" s="1"/>
  <c r="O245" i="55" s="1"/>
  <c r="N16" i="55" a="1"/>
  <c r="N16" i="55" s="1"/>
  <c r="N105" i="55" a="1"/>
  <c r="N105" i="55" s="1"/>
  <c r="N140" i="55" a="1"/>
  <c r="N140" i="55" s="1"/>
  <c r="N24" i="55" a="1"/>
  <c r="N24" i="55" s="1"/>
  <c r="N58" i="55" a="1"/>
  <c r="N58" i="55" s="1"/>
  <c r="O58" i="55" s="1"/>
  <c r="N124" i="55" a="1"/>
  <c r="N124" i="55" s="1"/>
  <c r="N212" i="55" a="1"/>
  <c r="N212" i="55" s="1"/>
  <c r="N235" i="55" a="1"/>
  <c r="N235" i="55" s="1"/>
  <c r="N36" i="55" a="1"/>
  <c r="N36" i="55" s="1"/>
  <c r="O36" i="55" s="1"/>
  <c r="N123" i="55" a="1"/>
  <c r="N123" i="55" s="1"/>
  <c r="N60" i="55" a="1"/>
  <c r="N60" i="55" s="1"/>
  <c r="N258" i="55" a="1"/>
  <c r="N258" i="55" s="1"/>
  <c r="N122" i="55" a="1"/>
  <c r="N122" i="55" s="1"/>
  <c r="T111" i="55"/>
  <c r="T132" i="55"/>
  <c r="T137" i="55"/>
  <c r="T139" i="55"/>
  <c r="T141" i="55"/>
  <c r="T195" i="55"/>
  <c r="T215" i="55"/>
  <c r="T224" i="55"/>
  <c r="T226" i="55"/>
  <c r="T241" i="55"/>
  <c r="N70" i="55" a="1"/>
  <c r="N70" i="55" s="1"/>
  <c r="N216" i="55" a="1"/>
  <c r="N216" i="55" s="1"/>
  <c r="O216" i="55" s="1"/>
  <c r="N119" i="55" a="1"/>
  <c r="N119" i="55" s="1"/>
  <c r="O119" i="55" s="1"/>
  <c r="N174" i="55" a="1"/>
  <c r="N174" i="55" s="1"/>
  <c r="N66" i="55" a="1"/>
  <c r="N66" i="55" s="1"/>
  <c r="O66" i="55" s="1"/>
  <c r="N134" i="55" a="1"/>
  <c r="N134" i="55" s="1"/>
  <c r="O134" i="55" s="1"/>
  <c r="G91" i="55"/>
  <c r="N172" i="55" a="1"/>
  <c r="N172" i="55" s="1"/>
  <c r="N207" i="55" a="1"/>
  <c r="N207" i="55" s="1"/>
  <c r="O207" i="55" s="1"/>
  <c r="N129" i="55" a="1"/>
  <c r="N129" i="55" s="1"/>
  <c r="N194" i="55" a="1"/>
  <c r="N194" i="55" s="1"/>
  <c r="N130" i="55" a="1"/>
  <c r="N130" i="55" s="1"/>
  <c r="N248" i="55" a="1"/>
  <c r="N248" i="55" s="1"/>
  <c r="N228" i="55" a="1"/>
  <c r="N228" i="55" s="1"/>
  <c r="N251" i="55" a="1"/>
  <c r="N251" i="55" s="1"/>
  <c r="O251" i="55" s="1"/>
  <c r="N201" i="55" a="1"/>
  <c r="N201" i="55" s="1"/>
  <c r="N255" i="55" a="1"/>
  <c r="N255" i="55" s="1"/>
  <c r="N54" i="55" a="1"/>
  <c r="N54" i="55" s="1"/>
  <c r="O54" i="55" s="1"/>
  <c r="G10" i="55"/>
  <c r="T118" i="55"/>
  <c r="K147" i="55" a="1"/>
  <c r="K147" i="55" s="1"/>
  <c r="T157" i="55"/>
  <c r="V35" i="59"/>
  <c r="N5" i="59"/>
  <c r="N9" i="59"/>
  <c r="N77" i="55" a="1"/>
  <c r="N77" i="55" s="1"/>
  <c r="N184" i="55" a="1"/>
  <c r="N184" i="55" s="1"/>
  <c r="N101" i="55" a="1"/>
  <c r="N101" i="55" s="1"/>
  <c r="N243" i="55" a="1"/>
  <c r="N243" i="55" s="1"/>
  <c r="O243" i="55" s="1"/>
  <c r="N76" i="55" a="1"/>
  <c r="N76" i="55" s="1"/>
  <c r="N110" i="55" a="1"/>
  <c r="N110" i="55" s="1"/>
  <c r="O110" i="55" s="1"/>
  <c r="N29" i="55" a="1"/>
  <c r="N29" i="55" s="1"/>
  <c r="K19" i="55" a="1"/>
  <c r="K19" i="55" s="1"/>
  <c r="N241" i="55" a="1"/>
  <c r="N241" i="55" s="1"/>
  <c r="N31" i="55" a="1"/>
  <c r="N31" i="55" s="1"/>
  <c r="O31" i="55" s="1"/>
  <c r="N98" i="55" a="1"/>
  <c r="N98" i="55" s="1"/>
  <c r="O98" i="55" s="1"/>
  <c r="N142" i="55" a="1"/>
  <c r="N142" i="55" s="1"/>
  <c r="N2" i="55"/>
  <c r="N162" i="55" a="1"/>
  <c r="N162" i="55" s="1"/>
  <c r="O162" i="55" s="1"/>
  <c r="N150" i="55" a="1"/>
  <c r="N150" i="55" s="1"/>
  <c r="O150" i="55" s="1"/>
  <c r="N156" i="55" a="1"/>
  <c r="N156" i="55" s="1"/>
  <c r="N65" i="55" a="1"/>
  <c r="N65" i="55" s="1"/>
  <c r="T17" i="55"/>
  <c r="T106" i="55"/>
  <c r="T113" i="55"/>
  <c r="T134" i="55"/>
  <c r="V10" i="59"/>
  <c r="K96" i="55" a="1"/>
  <c r="K96" i="55" s="1"/>
  <c r="N112" i="55" a="1"/>
  <c r="N112" i="55" s="1"/>
  <c r="N117" i="55" a="1"/>
  <c r="N117" i="55" s="1"/>
  <c r="N131" i="55" a="1"/>
  <c r="N131" i="55" s="1"/>
  <c r="N135" i="55" a="1"/>
  <c r="N135" i="55" s="1"/>
  <c r="O135" i="55" s="1"/>
  <c r="N89" i="55" a="1"/>
  <c r="N89" i="55" s="1"/>
  <c r="O89" i="55" s="1"/>
  <c r="N149" i="55" a="1"/>
  <c r="N149" i="55" s="1"/>
  <c r="N253" i="55" a="1"/>
  <c r="N253" i="55" s="1"/>
  <c r="N146" i="55" a="1"/>
  <c r="N146" i="55" s="1"/>
  <c r="K72" i="55" a="1"/>
  <c r="K72" i="55" s="1"/>
  <c r="N164" i="55" a="1"/>
  <c r="N164" i="55" s="1"/>
  <c r="O164" i="55" s="1"/>
  <c r="N40" i="55" a="1"/>
  <c r="N40" i="55" s="1"/>
  <c r="N15" i="55" a="1"/>
  <c r="N15" i="55" s="1"/>
  <c r="O15" i="55" s="1"/>
  <c r="N39" i="55" a="1"/>
  <c r="N39" i="55" s="1"/>
  <c r="O39" i="55" s="1"/>
  <c r="N55" i="55" a="1"/>
  <c r="N55" i="55" s="1"/>
  <c r="N195" i="55" a="1"/>
  <c r="N195" i="55" s="1"/>
  <c r="T50" i="55"/>
  <c r="T115" i="55"/>
  <c r="T145" i="55"/>
  <c r="T177" i="55"/>
  <c r="K181" i="55" a="1"/>
  <c r="K181" i="55" s="1"/>
  <c r="L34" i="59"/>
  <c r="V6" i="59"/>
  <c r="N91" i="55" a="1"/>
  <c r="N91" i="55" s="1"/>
  <c r="N125" i="55" a="1"/>
  <c r="N125" i="55" s="1"/>
  <c r="N71" i="55" a="1"/>
  <c r="N71" i="55" s="1"/>
  <c r="N169" i="55" a="1"/>
  <c r="N169" i="55" s="1"/>
  <c r="O169" i="55" s="1"/>
  <c r="N99" i="55" a="1"/>
  <c r="N99" i="55" s="1"/>
  <c r="N9" i="55" a="1"/>
  <c r="N9" i="55" s="1"/>
  <c r="N21" i="55" a="1"/>
  <c r="N21" i="55" s="1"/>
  <c r="N42" i="55" a="1"/>
  <c r="N42" i="55" s="1"/>
  <c r="N249" i="55" a="1"/>
  <c r="N249" i="55" s="1"/>
  <c r="N204" i="55" a="1"/>
  <c r="N204" i="55" s="1"/>
  <c r="N46" i="55" a="1"/>
  <c r="N46" i="55" s="1"/>
  <c r="O46" i="55" s="1"/>
  <c r="N176" i="55" a="1"/>
  <c r="N176" i="55" s="1"/>
  <c r="N23" i="55" a="1"/>
  <c r="N23" i="55" s="1"/>
  <c r="N171" i="55" a="1"/>
  <c r="N171" i="55" s="1"/>
  <c r="N234" i="55" a="1"/>
  <c r="N234" i="55" s="1"/>
  <c r="O234" i="55" s="1"/>
  <c r="N158" i="55" a="1"/>
  <c r="N158" i="55" s="1"/>
  <c r="I277" i="55"/>
  <c r="N100" i="55" a="1"/>
  <c r="N100" i="55" s="1"/>
  <c r="K50" i="55" a="1"/>
  <c r="K50" i="55" s="1"/>
  <c r="K241" i="55" a="1"/>
  <c r="K241" i="55" s="1"/>
  <c r="L41" i="59"/>
  <c r="N222" i="55" a="1"/>
  <c r="N222" i="55" s="1"/>
  <c r="N132" i="55" a="1"/>
  <c r="N132" i="55" s="1"/>
  <c r="N115" i="55" a="1"/>
  <c r="N115" i="55" s="1"/>
  <c r="N116" i="55" a="1"/>
  <c r="N116" i="55" s="1"/>
  <c r="N7" i="55" a="1"/>
  <c r="N7" i="55" s="1"/>
  <c r="O7" i="55" s="1"/>
  <c r="N107" i="55" a="1"/>
  <c r="N107" i="55" s="1"/>
  <c r="O107" i="55" s="1"/>
  <c r="N83" i="55" a="1"/>
  <c r="N83" i="55" s="1"/>
  <c r="K99" i="55" a="1"/>
  <c r="K99" i="55" s="1"/>
  <c r="H99" i="55"/>
  <c r="N218" i="55" a="1"/>
  <c r="N218" i="55" s="1"/>
  <c r="N155" i="55" a="1"/>
  <c r="N155" i="55" s="1"/>
  <c r="N45" i="55" a="1"/>
  <c r="N45" i="55" s="1"/>
  <c r="N108" i="55" a="1"/>
  <c r="N108" i="55" s="1"/>
  <c r="N38" i="55" a="1"/>
  <c r="N38" i="55" s="1"/>
  <c r="N49" i="55" a="1"/>
  <c r="N49" i="55" s="1"/>
  <c r="N213" i="55" a="1"/>
  <c r="N213" i="55" s="1"/>
  <c r="N79" i="55" a="1"/>
  <c r="N79" i="55" s="1"/>
  <c r="O79" i="55" s="1"/>
  <c r="N202" i="55" a="1"/>
  <c r="N202" i="55" s="1"/>
  <c r="T54" i="55"/>
  <c r="K174" i="55" a="1"/>
  <c r="K174" i="55" s="1"/>
  <c r="T190" i="55"/>
  <c r="N39" i="59"/>
  <c r="N32" i="59"/>
  <c r="N138" i="55" a="1"/>
  <c r="N138" i="55" s="1"/>
  <c r="N87" i="55" a="1"/>
  <c r="N87" i="55" s="1"/>
  <c r="N277" i="55"/>
  <c r="N25" i="55" a="1"/>
  <c r="N25" i="55" s="1"/>
  <c r="N157" i="55" a="1"/>
  <c r="N157" i="55" s="1"/>
  <c r="N197" i="55" a="1"/>
  <c r="N197" i="55" s="1"/>
  <c r="N43" i="55" a="1"/>
  <c r="N43" i="55" s="1"/>
  <c r="N67" i="55" a="1"/>
  <c r="N67" i="55" s="1"/>
  <c r="N94" i="55" a="1"/>
  <c r="N94" i="55" s="1"/>
  <c r="O94" i="55" s="1"/>
  <c r="N226" i="55" a="1"/>
  <c r="N226" i="55" s="1"/>
  <c r="O226" i="55" s="1"/>
  <c r="N133" i="55" a="1"/>
  <c r="N133" i="55" s="1"/>
  <c r="N252" i="55" a="1"/>
  <c r="N252" i="55" s="1"/>
  <c r="N217" i="55" a="1"/>
  <c r="N217" i="55" s="1"/>
  <c r="O217" i="55" s="1"/>
  <c r="N102" i="55" a="1"/>
  <c r="N102" i="55" s="1"/>
  <c r="N62" i="55" a="1"/>
  <c r="N62" i="55" s="1"/>
  <c r="T97" i="55"/>
  <c r="K18" i="55" a="1"/>
  <c r="K18" i="55" s="1"/>
  <c r="T131" i="55"/>
  <c r="K239" i="55" a="1"/>
  <c r="K239" i="55" s="1"/>
  <c r="K44" i="55" a="1"/>
  <c r="K44" i="55" s="1"/>
  <c r="N121" i="55" a="1"/>
  <c r="N121" i="55" s="1"/>
  <c r="N52" i="55" a="1"/>
  <c r="N52" i="55" s="1"/>
  <c r="O52" i="55" s="1"/>
  <c r="N57" i="55" a="1"/>
  <c r="N57" i="55" s="1"/>
  <c r="O57" i="55" s="1"/>
  <c r="N63" i="55" a="1"/>
  <c r="N63" i="55" s="1"/>
  <c r="N153" i="55" a="1"/>
  <c r="N153" i="55" s="1"/>
  <c r="N199" i="55" a="1"/>
  <c r="N199" i="55" s="1"/>
  <c r="O199" i="55" s="1"/>
  <c r="N151" i="55" a="1"/>
  <c r="N151" i="55" s="1"/>
  <c r="N126" i="55" a="1"/>
  <c r="N126" i="55" s="1"/>
  <c r="N35" i="55" a="1"/>
  <c r="N35" i="55" s="1"/>
  <c r="N193" i="55" a="1"/>
  <c r="N193" i="55" s="1"/>
  <c r="N183" i="55" a="1"/>
  <c r="N183" i="55" s="1"/>
  <c r="N90" i="55" a="1"/>
  <c r="N90" i="55" s="1"/>
  <c r="N214" i="55" a="1"/>
  <c r="N214" i="55" s="1"/>
  <c r="O214" i="55" s="1"/>
  <c r="N137" i="55" a="1"/>
  <c r="N137" i="55" s="1"/>
  <c r="O137" i="55" s="1"/>
  <c r="T80" i="55"/>
  <c r="T46" i="55"/>
  <c r="T29" i="55"/>
  <c r="T11" i="55"/>
  <c r="T104" i="55"/>
  <c r="T124" i="55"/>
  <c r="T159" i="55"/>
  <c r="T192" i="55"/>
  <c r="L5" i="59"/>
  <c r="T94" i="55"/>
  <c r="G22" i="59"/>
  <c r="L22" i="59" s="1"/>
  <c r="G18" i="59"/>
  <c r="M18" i="59" s="1"/>
  <c r="T79" i="55"/>
  <c r="T251" i="55"/>
  <c r="T16" i="55"/>
  <c r="T252" i="55"/>
  <c r="T86" i="55"/>
  <c r="T100" i="55"/>
  <c r="T9" i="55"/>
  <c r="T47" i="55"/>
  <c r="T222" i="55"/>
  <c r="V12" i="59"/>
  <c r="T14" i="55"/>
  <c r="T107" i="55"/>
  <c r="T112" i="55"/>
  <c r="T149" i="55"/>
  <c r="T129" i="55"/>
  <c r="O42" i="59"/>
  <c r="U42" i="59" s="1"/>
  <c r="O21" i="59"/>
  <c r="U21" i="59" s="1"/>
  <c r="T45" i="55"/>
  <c r="T20" i="55"/>
  <c r="T102" i="55"/>
  <c r="T217" i="55"/>
  <c r="T73" i="55"/>
  <c r="T37" i="55"/>
  <c r="T205" i="55"/>
  <c r="T230" i="55"/>
  <c r="T95" i="55"/>
  <c r="T61" i="55"/>
  <c r="T23" i="55"/>
  <c r="T245" i="55"/>
  <c r="T123" i="55"/>
  <c r="T170" i="55"/>
  <c r="T77" i="55"/>
  <c r="H70" i="55"/>
  <c r="G70" i="55"/>
  <c r="K70" i="55" a="1"/>
  <c r="K70" i="55" s="1"/>
  <c r="K31" i="55" a="1"/>
  <c r="K31" i="55" s="1"/>
  <c r="G31" i="55"/>
  <c r="H31" i="55"/>
  <c r="G160" i="55"/>
  <c r="K160" i="55" a="1"/>
  <c r="K160" i="55" s="1"/>
  <c r="H160" i="55"/>
  <c r="H157" i="55"/>
  <c r="G157" i="55"/>
  <c r="H122" i="55"/>
  <c r="G122" i="55"/>
  <c r="K122" i="55" a="1"/>
  <c r="K122" i="55" s="1"/>
  <c r="K138" i="55" a="1"/>
  <c r="K138" i="55" s="1"/>
  <c r="H138" i="55"/>
  <c r="G138" i="55"/>
  <c r="G92" i="55"/>
  <c r="K92" i="55" a="1"/>
  <c r="K92" i="55" s="1"/>
  <c r="H92" i="55"/>
  <c r="H154" i="55"/>
  <c r="G154" i="55"/>
  <c r="K154" i="55" a="1"/>
  <c r="K154" i="55" s="1"/>
  <c r="H177" i="55"/>
  <c r="K177" i="55" a="1"/>
  <c r="K177" i="55" s="1"/>
  <c r="G177" i="55"/>
  <c r="K95" i="55" a="1"/>
  <c r="K95" i="55" s="1"/>
  <c r="H95" i="55"/>
  <c r="G95" i="55"/>
  <c r="G12" i="55"/>
  <c r="H12" i="55"/>
  <c r="K12" i="55" a="1"/>
  <c r="K12" i="55" s="1"/>
  <c r="G168" i="55"/>
  <c r="K168" i="55" a="1"/>
  <c r="K168" i="55" s="1"/>
  <c r="H168" i="55"/>
  <c r="H26" i="55"/>
  <c r="G26" i="55"/>
  <c r="K26" i="55" a="1"/>
  <c r="K26" i="55" s="1"/>
  <c r="H214" i="55"/>
  <c r="G214" i="55"/>
  <c r="H79" i="55"/>
  <c r="G79" i="55"/>
  <c r="G100" i="55"/>
  <c r="K100" i="55" a="1"/>
  <c r="K100" i="55" s="1"/>
  <c r="H100" i="55"/>
  <c r="H73" i="55"/>
  <c r="G73" i="55"/>
  <c r="K73" i="55" a="1"/>
  <c r="K73" i="55" s="1"/>
  <c r="G139" i="55"/>
  <c r="H139" i="55"/>
  <c r="K139" i="55" a="1"/>
  <c r="K139" i="55" s="1"/>
  <c r="G176" i="55"/>
  <c r="K176" i="55" a="1"/>
  <c r="K176" i="55" s="1"/>
  <c r="H176" i="55"/>
  <c r="G53" i="55"/>
  <c r="H53" i="55"/>
  <c r="G52" i="55"/>
  <c r="H52" i="55"/>
  <c r="K52" i="55" a="1"/>
  <c r="K52" i="55" s="1"/>
  <c r="H191" i="55"/>
  <c r="G155" i="55"/>
  <c r="K94" i="55" a="1"/>
  <c r="K94" i="55" s="1"/>
  <c r="K82" i="55" a="1"/>
  <c r="K82" i="55" s="1"/>
  <c r="G8" i="55"/>
  <c r="H181" i="55"/>
  <c r="H63" i="55"/>
  <c r="K63" i="55" a="1"/>
  <c r="K63" i="55" s="1"/>
  <c r="H64" i="55"/>
  <c r="K67" i="55" a="1"/>
  <c r="K67" i="55" s="1"/>
  <c r="G50" i="55"/>
  <c r="H233" i="55"/>
  <c r="K170" i="55" a="1"/>
  <c r="K170" i="55" s="1"/>
  <c r="H158" i="55"/>
  <c r="K71" i="55" a="1"/>
  <c r="K71" i="55" s="1"/>
  <c r="H90" i="55"/>
  <c r="K103" i="55" a="1"/>
  <c r="K103" i="55" s="1"/>
  <c r="K233" i="55" a="1"/>
  <c r="K233" i="55" s="1"/>
  <c r="G101" i="55"/>
  <c r="G105" i="55"/>
  <c r="K28" i="55" a="1"/>
  <c r="K28" i="55" s="1"/>
  <c r="H144" i="55"/>
  <c r="G150" i="55"/>
  <c r="G210" i="55"/>
  <c r="H86" i="55"/>
  <c r="G28" i="55"/>
  <c r="K105" i="55" a="1"/>
  <c r="K105" i="55" s="1"/>
  <c r="H81" i="55"/>
  <c r="K48" i="55" a="1"/>
  <c r="K48" i="55" s="1"/>
  <c r="H75" i="55"/>
  <c r="K155" i="55" a="1"/>
  <c r="K155" i="55" s="1"/>
  <c r="H249" i="55"/>
  <c r="K54" i="55" a="1"/>
  <c r="K54" i="55" s="1"/>
  <c r="G47" i="55"/>
  <c r="K104" i="55" a="1"/>
  <c r="K104" i="55" s="1"/>
  <c r="G109" i="55"/>
  <c r="G17" i="55"/>
  <c r="G161" i="55"/>
  <c r="G249" i="55"/>
  <c r="K107" i="55" a="1"/>
  <c r="K107" i="55" s="1"/>
  <c r="K90" i="55" a="1"/>
  <c r="K90" i="55" s="1"/>
  <c r="H242" i="55"/>
  <c r="H83" i="55"/>
  <c r="H222" i="55"/>
  <c r="G197" i="55"/>
  <c r="K81" i="55" a="1"/>
  <c r="K81" i="55" s="1"/>
  <c r="H134" i="55"/>
  <c r="G67" i="55"/>
  <c r="K75" i="55" a="1"/>
  <c r="K75" i="55" s="1"/>
  <c r="G251" i="55"/>
  <c r="K129" i="55" a="1"/>
  <c r="K129" i="55" s="1"/>
  <c r="G58" i="55"/>
  <c r="H38" i="55"/>
  <c r="K38" i="55" a="1"/>
  <c r="K38" i="55" s="1"/>
  <c r="G129" i="55"/>
  <c r="K134" i="55" a="1"/>
  <c r="K134" i="55" s="1"/>
  <c r="G76" i="55"/>
  <c r="H62" i="55"/>
  <c r="H124" i="55"/>
  <c r="H36" i="55"/>
  <c r="G39" i="55"/>
  <c r="H224" i="55"/>
  <c r="H179" i="55"/>
  <c r="H208" i="55"/>
  <c r="G133" i="55"/>
  <c r="G82" i="55"/>
  <c r="H107" i="55"/>
  <c r="H35" i="55"/>
  <c r="K113" i="55" a="1"/>
  <c r="K113" i="55" s="1"/>
  <c r="H213" i="55"/>
  <c r="G131" i="55"/>
  <c r="H18" i="55"/>
  <c r="G18" i="55"/>
  <c r="T49" i="55"/>
  <c r="H117" i="55"/>
  <c r="G117" i="55"/>
  <c r="K117" i="55" a="1"/>
  <c r="K117" i="55" s="1"/>
  <c r="H201" i="55"/>
  <c r="G201" i="55"/>
  <c r="K201" i="55" a="1"/>
  <c r="K201" i="55" s="1"/>
  <c r="R53" i="55"/>
  <c r="T53" i="55" s="1"/>
  <c r="K53" i="55" a="1"/>
  <c r="K53" i="55" s="1"/>
  <c r="G10" i="59"/>
  <c r="M10" i="59" s="1"/>
  <c r="G24" i="59"/>
  <c r="G172" i="55"/>
  <c r="K172" i="55" a="1"/>
  <c r="K172" i="55" s="1"/>
  <c r="H172" i="55"/>
  <c r="G174" i="55"/>
  <c r="H174" i="55"/>
  <c r="F12" i="59"/>
  <c r="F23" i="59"/>
  <c r="T37" i="59"/>
  <c r="K61" i="55" a="1"/>
  <c r="K61" i="55" s="1"/>
  <c r="H61" i="55"/>
  <c r="G61" i="55"/>
  <c r="H165" i="55"/>
  <c r="G165" i="55"/>
  <c r="K165" i="55" a="1"/>
  <c r="K165" i="55" s="1"/>
  <c r="G217" i="55"/>
  <c r="H217" i="55"/>
  <c r="K217" i="55" a="1"/>
  <c r="K217" i="55" s="1"/>
  <c r="M5" i="59"/>
  <c r="F37" i="59"/>
  <c r="K78" i="55" a="1"/>
  <c r="K78" i="55" s="1"/>
  <c r="G78" i="55"/>
  <c r="H78" i="55"/>
  <c r="G60" i="55"/>
  <c r="H60" i="55"/>
  <c r="H102" i="55"/>
  <c r="K102" i="55" a="1"/>
  <c r="K102" i="55" s="1"/>
  <c r="G102" i="55"/>
  <c r="H25" i="55"/>
  <c r="K25" i="55" a="1"/>
  <c r="K25" i="55" s="1"/>
  <c r="G25" i="55"/>
  <c r="G116" i="55"/>
  <c r="H116" i="55"/>
  <c r="K116" i="55" a="1"/>
  <c r="K116" i="55" s="1"/>
  <c r="K24" i="55" a="1"/>
  <c r="K24" i="55" s="1"/>
  <c r="G24" i="55"/>
  <c r="G32" i="55"/>
  <c r="K32" i="55" a="1"/>
  <c r="K32" i="55" s="1"/>
  <c r="H14" i="59"/>
  <c r="H8" i="55"/>
  <c r="K8" i="55" a="1"/>
  <c r="K8" i="55" s="1"/>
  <c r="G42" i="55"/>
  <c r="K42" i="55" a="1"/>
  <c r="K42" i="55" s="1"/>
  <c r="H42" i="55"/>
  <c r="F20" i="59"/>
  <c r="G130" i="55"/>
  <c r="K130" i="55" a="1"/>
  <c r="K130" i="55" s="1"/>
  <c r="H130" i="55"/>
  <c r="N6" i="59"/>
  <c r="G56" i="55"/>
  <c r="K56" i="55" a="1"/>
  <c r="K56" i="55" s="1"/>
  <c r="K120" i="55" a="1"/>
  <c r="K120" i="55" s="1"/>
  <c r="H120" i="55"/>
  <c r="K229" i="55" a="1"/>
  <c r="K229" i="55" s="1"/>
  <c r="G229" i="55"/>
  <c r="G236" i="55"/>
  <c r="K236" i="55" a="1"/>
  <c r="K236" i="55" s="1"/>
  <c r="H236" i="55"/>
  <c r="V41" i="59"/>
  <c r="F41" i="59"/>
  <c r="G110" i="55"/>
  <c r="H110" i="55"/>
  <c r="K110" i="55" a="1"/>
  <c r="K110" i="55" s="1"/>
  <c r="R227" i="55"/>
  <c r="T227" i="55" s="1"/>
  <c r="K227" i="55" a="1"/>
  <c r="K227" i="55" s="1"/>
  <c r="S37" i="59"/>
  <c r="O13" i="59"/>
  <c r="U13" i="59" s="1"/>
  <c r="S40" i="59"/>
  <c r="S25" i="59"/>
  <c r="P37" i="59"/>
  <c r="P40" i="59"/>
  <c r="D41" i="59"/>
  <c r="D42" i="59" s="1"/>
  <c r="G32" i="59"/>
  <c r="E21" i="59"/>
  <c r="B4" i="59"/>
  <c r="B14" i="59" s="1"/>
  <c r="B25" i="59"/>
  <c r="H33" i="59"/>
  <c r="K33" i="59"/>
  <c r="K42" i="59" s="1"/>
  <c r="D20" i="59"/>
  <c r="D28" i="59" s="1"/>
  <c r="S8" i="59"/>
  <c r="P19" i="59"/>
  <c r="H22" i="59"/>
  <c r="N22" i="59" s="1"/>
  <c r="S11" i="59"/>
  <c r="H27" i="59"/>
  <c r="P24" i="59"/>
  <c r="G8" i="59"/>
  <c r="I7" i="59"/>
  <c r="N7" i="59" s="1"/>
  <c r="S35" i="59"/>
  <c r="G34" i="59"/>
  <c r="M34" i="59" s="1"/>
  <c r="O25" i="59"/>
  <c r="K226" i="55" a="1"/>
  <c r="K226" i="55" s="1"/>
  <c r="K206" i="55" a="1"/>
  <c r="K206" i="55" s="1"/>
  <c r="K195" i="55" a="1"/>
  <c r="K195" i="55" s="1"/>
  <c r="T121" i="55"/>
  <c r="G253" i="55"/>
  <c r="H253" i="55"/>
  <c r="K253" i="55" a="1"/>
  <c r="K253" i="55" s="1"/>
  <c r="K219" i="55" a="1"/>
  <c r="K219" i="55" s="1"/>
  <c r="G219" i="55"/>
  <c r="H196" i="55"/>
  <c r="G196" i="55"/>
  <c r="K196" i="55" a="1"/>
  <c r="K196" i="55" s="1"/>
  <c r="G198" i="55"/>
  <c r="H198" i="55"/>
  <c r="P8" i="59"/>
  <c r="V8" i="59" s="1"/>
  <c r="J33" i="59"/>
  <c r="J42" i="59" s="1"/>
  <c r="K224" i="55" a="1"/>
  <c r="K224" i="55" s="1"/>
  <c r="G69" i="55"/>
  <c r="K69" i="55" a="1"/>
  <c r="K69" i="55" s="1"/>
  <c r="T178" i="55"/>
  <c r="G230" i="55"/>
  <c r="H230" i="55"/>
  <c r="J19" i="59"/>
  <c r="Z2" i="53"/>
  <c r="S36" i="59"/>
  <c r="D7" i="59"/>
  <c r="K27" i="59"/>
  <c r="R34" i="59"/>
  <c r="R32" i="59"/>
  <c r="H25" i="59"/>
  <c r="C4" i="59"/>
  <c r="J5" i="59"/>
  <c r="C36" i="59"/>
  <c r="K8" i="59"/>
  <c r="K14" i="59" s="1"/>
  <c r="P36" i="59"/>
  <c r="P26" i="59"/>
  <c r="V26" i="59" s="1"/>
  <c r="S20" i="59"/>
  <c r="P4" i="59"/>
  <c r="P23" i="59"/>
  <c r="B34" i="59"/>
  <c r="I41" i="59"/>
  <c r="J11" i="59"/>
  <c r="C8" i="59"/>
  <c r="N8" i="59" s="1"/>
  <c r="R8" i="59"/>
  <c r="R14" i="59" s="1"/>
  <c r="I35" i="59"/>
  <c r="E38" i="59"/>
  <c r="E42" i="59" s="1"/>
  <c r="E8" i="59"/>
  <c r="F8" i="59" s="1"/>
  <c r="O6" i="59"/>
  <c r="K43" i="55" a="1"/>
  <c r="K43" i="55" s="1"/>
  <c r="G15" i="55"/>
  <c r="K15" i="55" a="1"/>
  <c r="K15" i="55" s="1"/>
  <c r="G184" i="55"/>
  <c r="K184" i="55" a="1"/>
  <c r="K184" i="55" s="1"/>
  <c r="H184" i="55"/>
  <c r="G191" i="55"/>
  <c r="K191" i="55" a="1"/>
  <c r="K191" i="55" s="1"/>
  <c r="H27" i="55"/>
  <c r="K27" i="55" a="1"/>
  <c r="K27" i="55" s="1"/>
  <c r="G14" i="55"/>
  <c r="H14" i="55"/>
  <c r="K14" i="55" a="1"/>
  <c r="K14" i="55" s="1"/>
  <c r="K136" i="55" a="1"/>
  <c r="K136" i="55" s="1"/>
  <c r="H211" i="55"/>
  <c r="K211" i="55" a="1"/>
  <c r="K211" i="55" s="1"/>
  <c r="G237" i="55"/>
  <c r="O11" i="59"/>
  <c r="I32" i="59"/>
  <c r="B19" i="59"/>
  <c r="P5" i="59"/>
  <c r="V5" i="59" s="1"/>
  <c r="Q24" i="59"/>
  <c r="Q28" i="59" s="1"/>
  <c r="J24" i="59"/>
  <c r="J18" i="59"/>
  <c r="H37" i="59"/>
  <c r="R22" i="59"/>
  <c r="R28" i="59" s="1"/>
  <c r="E5" i="59"/>
  <c r="K25" i="59"/>
  <c r="D12" i="59"/>
  <c r="B39" i="59"/>
  <c r="O5" i="59"/>
  <c r="S21" i="59"/>
  <c r="G20" i="59"/>
  <c r="L20" i="59" s="1"/>
  <c r="T117" i="55"/>
  <c r="T166" i="55"/>
  <c r="G4" i="59"/>
  <c r="K179" i="55" a="1"/>
  <c r="K179" i="55" s="1"/>
  <c r="H234" i="55"/>
  <c r="K234" i="55" a="1"/>
  <c r="K234" i="55" s="1"/>
  <c r="G234" i="55"/>
  <c r="R38" i="59"/>
  <c r="G7" i="59"/>
  <c r="T161" i="55"/>
  <c r="H147" i="55"/>
  <c r="G147" i="55"/>
  <c r="G203" i="55"/>
  <c r="H203" i="55"/>
  <c r="K133" i="55" a="1"/>
  <c r="K133" i="55" s="1"/>
  <c r="H133" i="55"/>
  <c r="G167" i="55"/>
  <c r="H167" i="55"/>
  <c r="K185" i="55" a="1"/>
  <c r="K185" i="55" s="1"/>
  <c r="K157" i="55" a="1"/>
  <c r="K157" i="55" s="1"/>
  <c r="K205" i="55" a="1"/>
  <c r="K205" i="55" s="1"/>
  <c r="K23" i="55" a="1"/>
  <c r="K23" i="55" s="1"/>
  <c r="K220" i="55" a="1"/>
  <c r="K220" i="55" s="1"/>
  <c r="K187" i="55" a="1"/>
  <c r="K187" i="55" s="1"/>
  <c r="K145" i="55" a="1"/>
  <c r="K145" i="55" s="1"/>
  <c r="K37" i="55" a="1"/>
  <c r="K37" i="55" s="1"/>
  <c r="K158" i="55" a="1"/>
  <c r="K158" i="55" s="1"/>
  <c r="K214" i="55" a="1"/>
  <c r="K214" i="55" s="1"/>
  <c r="K189" i="55" a="1"/>
  <c r="K189" i="55" s="1"/>
  <c r="K256" i="55" a="1"/>
  <c r="K256" i="55" s="1"/>
  <c r="K213" i="55" a="1"/>
  <c r="K213" i="55" s="1"/>
  <c r="K11" i="55" a="1"/>
  <c r="K11" i="55" s="1"/>
  <c r="K178" i="55" a="1"/>
  <c r="K178" i="55" s="1"/>
  <c r="K29" i="55" a="1"/>
  <c r="K29" i="55" s="1"/>
  <c r="K51" i="55" a="1"/>
  <c r="K51" i="55" s="1"/>
  <c r="K7" i="55" a="1"/>
  <c r="K7" i="55" s="1"/>
  <c r="K57" i="55" a="1"/>
  <c r="K57" i="55" s="1"/>
  <c r="K257" i="55" a="1"/>
  <c r="K257" i="55" s="1"/>
  <c r="K131" i="55" a="1"/>
  <c r="K131" i="55" s="1"/>
  <c r="K148" i="55" a="1"/>
  <c r="K148" i="55" s="1"/>
  <c r="K150" i="55" a="1"/>
  <c r="K150" i="55" s="1"/>
  <c r="K252" i="55" a="1"/>
  <c r="K252" i="55" s="1"/>
  <c r="K258" i="55" a="1"/>
  <c r="K258" i="55" s="1"/>
  <c r="K39" i="55" a="1"/>
  <c r="K39" i="55" s="1"/>
  <c r="K232" i="55" a="1"/>
  <c r="K232" i="55" s="1"/>
  <c r="K163" i="55" a="1"/>
  <c r="K163" i="55" s="1"/>
  <c r="K218" i="55" a="1"/>
  <c r="K218" i="55" s="1"/>
  <c r="K255" i="55" a="1"/>
  <c r="K255" i="55" s="1"/>
  <c r="K135" i="55" a="1"/>
  <c r="K135" i="55" s="1"/>
  <c r="K143" i="55" a="1"/>
  <c r="K143" i="55" s="1"/>
  <c r="K210" i="55" a="1"/>
  <c r="K210" i="55" s="1"/>
  <c r="K183" i="55" a="1"/>
  <c r="K183" i="55" s="1"/>
  <c r="K190" i="55" a="1"/>
  <c r="K190" i="55" s="1"/>
  <c r="K161" i="55" a="1"/>
  <c r="K161" i="55" s="1"/>
  <c r="K74" i="55" a="1"/>
  <c r="K74" i="55" s="1"/>
  <c r="K10" i="55" a="1"/>
  <c r="K10" i="55" s="1"/>
  <c r="K79" i="55" a="1"/>
  <c r="K79" i="55" s="1"/>
  <c r="K97" i="55" a="1"/>
  <c r="K97" i="55" s="1"/>
  <c r="K186" i="55" a="1"/>
  <c r="K186" i="55" s="1"/>
  <c r="K231" i="55" a="1"/>
  <c r="K231" i="55" s="1"/>
  <c r="N21" i="59"/>
  <c r="O192" i="55"/>
  <c r="H71" i="55"/>
  <c r="G71" i="55"/>
  <c r="H192" i="55"/>
  <c r="K192" i="55" a="1"/>
  <c r="K192" i="55" s="1"/>
  <c r="K277" i="55"/>
  <c r="K2" i="55"/>
  <c r="G16" i="55"/>
  <c r="H16" i="55"/>
  <c r="K16" i="55" a="1"/>
  <c r="K16" i="55" s="1"/>
  <c r="H212" i="55"/>
  <c r="K212" i="55" a="1"/>
  <c r="K212" i="55" s="1"/>
  <c r="G103" i="55"/>
  <c r="T42" i="55"/>
  <c r="T40" i="55"/>
  <c r="O172" i="55"/>
  <c r="O106" i="55"/>
  <c r="X151" i="53"/>
  <c r="O242" i="55"/>
  <c r="O32" i="55"/>
  <c r="T58" i="55"/>
  <c r="O105" i="55"/>
  <c r="D13" i="57"/>
  <c r="E5" i="57"/>
  <c r="E6" i="57" s="1"/>
  <c r="E7" i="57" s="1"/>
  <c r="E8" i="57" s="1"/>
  <c r="E9" i="57" s="1"/>
  <c r="E10" i="57" s="1"/>
  <c r="E11" i="57" s="1"/>
  <c r="E12" i="57" s="1"/>
  <c r="G6" i="26"/>
  <c r="H7" i="26"/>
  <c r="M21" i="59"/>
  <c r="C28" i="59"/>
  <c r="O144" i="55"/>
  <c r="K112" i="55" a="1"/>
  <c r="K112" i="55" s="1"/>
  <c r="G112" i="55"/>
  <c r="N167" i="55" a="1"/>
  <c r="N167" i="55" s="1"/>
  <c r="N257" i="55" a="1"/>
  <c r="N257" i="55" s="1"/>
  <c r="O257" i="55" s="1"/>
  <c r="N19" i="55" a="1"/>
  <c r="N19" i="55" s="1"/>
  <c r="O19" i="55" s="1"/>
  <c r="N59" i="55" a="1"/>
  <c r="N59" i="55" s="1"/>
  <c r="O59" i="55" s="1"/>
  <c r="H23" i="55"/>
  <c r="G23" i="55"/>
  <c r="T34" i="55"/>
  <c r="M37" i="55" a="1"/>
  <c r="M37" i="55" s="1"/>
  <c r="M55" i="55" a="1"/>
  <c r="M55" i="55" s="1"/>
  <c r="M70" i="55" a="1"/>
  <c r="M70" i="55" s="1"/>
  <c r="M170" i="55" a="1"/>
  <c r="M170" i="55" s="1"/>
  <c r="O170" i="55" s="1"/>
  <c r="M44" i="55" a="1"/>
  <c r="M44" i="55" s="1"/>
  <c r="M123" i="55" a="1"/>
  <c r="M123" i="55" s="1"/>
  <c r="O123" i="55" s="1"/>
  <c r="O12" i="26"/>
  <c r="D12" i="26"/>
  <c r="M60" i="55" a="1"/>
  <c r="M60" i="55" s="1"/>
  <c r="O60" i="55" s="1"/>
  <c r="M35" i="55" a="1"/>
  <c r="M35" i="55" s="1"/>
  <c r="M167" i="55" a="1"/>
  <c r="M167" i="55" s="1"/>
  <c r="M18" i="55" a="1"/>
  <c r="M18" i="55" s="1"/>
  <c r="O18" i="55" s="1"/>
  <c r="M24" i="55" a="1"/>
  <c r="M24" i="55" s="1"/>
  <c r="M195" i="55" a="1"/>
  <c r="M195" i="55" s="1"/>
  <c r="M111" i="55" a="1"/>
  <c r="M111" i="55" s="1"/>
  <c r="O111" i="55" s="1"/>
  <c r="M92" i="55" a="1"/>
  <c r="M92" i="55" s="1"/>
  <c r="O92" i="55" s="1"/>
  <c r="M102" i="55" a="1"/>
  <c r="M102" i="55" s="1"/>
  <c r="M121" i="55" a="1"/>
  <c r="M121" i="55" s="1"/>
  <c r="M239" i="55" a="1"/>
  <c r="M239" i="55" s="1"/>
  <c r="O239" i="55" s="1"/>
  <c r="M132" i="55" a="1"/>
  <c r="M132" i="55" s="1"/>
  <c r="M16" i="55" a="1"/>
  <c r="M16" i="55" s="1"/>
  <c r="W12" i="26"/>
  <c r="AE12" i="26"/>
  <c r="M148" i="55" a="1"/>
  <c r="M148" i="55" s="1"/>
  <c r="O148" i="55" s="1"/>
  <c r="M133" i="55" a="1"/>
  <c r="M133" i="55" s="1"/>
  <c r="M198" i="55" a="1"/>
  <c r="M198" i="55" s="1"/>
  <c r="O198" i="55" s="1"/>
  <c r="M49" i="55" a="1"/>
  <c r="M49" i="55" s="1"/>
  <c r="M26" i="55" a="1"/>
  <c r="M26" i="55" s="1"/>
  <c r="M43" i="55" a="1"/>
  <c r="M43" i="55" s="1"/>
  <c r="M136" i="55" a="1"/>
  <c r="M136" i="55" s="1"/>
  <c r="G145" i="55"/>
  <c r="M232" i="55" a="1"/>
  <c r="M232" i="55" s="1"/>
  <c r="M212" i="55" a="1"/>
  <c r="M212" i="55" s="1"/>
  <c r="O212" i="55" s="1"/>
  <c r="M130" i="55" a="1"/>
  <c r="M130" i="55" s="1"/>
  <c r="M85" i="55" a="1"/>
  <c r="M85" i="55" s="1"/>
  <c r="M208" i="55" a="1"/>
  <c r="M208" i="55" s="1"/>
  <c r="O208" i="55" s="1"/>
  <c r="M183" i="55" a="1"/>
  <c r="M183" i="55" s="1"/>
  <c r="O183" i="55" s="1"/>
  <c r="M194" i="55" a="1"/>
  <c r="M194" i="55" s="1"/>
  <c r="O194" i="55" s="1"/>
  <c r="M68" i="55" a="1"/>
  <c r="M68" i="55" s="1"/>
  <c r="O68" i="55" s="1"/>
  <c r="M97" i="55" a="1"/>
  <c r="M97" i="55" s="1"/>
  <c r="M211" i="55" a="1"/>
  <c r="M211" i="55" s="1"/>
  <c r="M125" i="55" a="1"/>
  <c r="M125" i="55" s="1"/>
  <c r="O125" i="55" s="1"/>
  <c r="I14" i="26"/>
  <c r="R14" i="26"/>
  <c r="M101" i="55" a="1"/>
  <c r="M101" i="55" s="1"/>
  <c r="M116" i="55" a="1"/>
  <c r="M116" i="55" s="1"/>
  <c r="G205" i="55"/>
  <c r="AJ12" i="26"/>
  <c r="M248" i="55" a="1"/>
  <c r="M248" i="55" s="1"/>
  <c r="O248" i="55" s="1"/>
  <c r="M120" i="55" a="1"/>
  <c r="M120" i="55" s="1"/>
  <c r="O120" i="55" s="1"/>
  <c r="M185" i="55" a="1"/>
  <c r="M185" i="55" s="1"/>
  <c r="O185" i="55" s="1"/>
  <c r="M187" i="55" a="1"/>
  <c r="M187" i="55" s="1"/>
  <c r="M41" i="55" a="1"/>
  <c r="M41" i="55" s="1"/>
  <c r="M220" i="55" a="1"/>
  <c r="M220" i="55" s="1"/>
  <c r="O220" i="55" s="1"/>
  <c r="M152" i="55" a="1"/>
  <c r="M152" i="55" s="1"/>
  <c r="O152" i="55" s="1"/>
  <c r="M145" i="55" a="1"/>
  <c r="M145" i="55" s="1"/>
  <c r="O145" i="55" s="1"/>
  <c r="N12" i="26"/>
  <c r="Y14" i="26"/>
  <c r="M71" i="55" a="1"/>
  <c r="M71" i="55" s="1"/>
  <c r="O71" i="55" s="1"/>
  <c r="M254" i="55" a="1"/>
  <c r="M254" i="55" s="1"/>
  <c r="O254" i="55" s="1"/>
  <c r="M126" i="55" a="1"/>
  <c r="M126" i="55" s="1"/>
  <c r="M222" i="55" a="1"/>
  <c r="M222" i="55" s="1"/>
  <c r="O222" i="55" s="1"/>
  <c r="M129" i="55" a="1"/>
  <c r="M129" i="55" s="1"/>
  <c r="O129" i="55" s="1"/>
  <c r="M13" i="55" a="1"/>
  <c r="M13" i="55" s="1"/>
  <c r="M201" i="55" a="1"/>
  <c r="M201" i="55" s="1"/>
  <c r="O201" i="55" s="1"/>
  <c r="M219" i="55" a="1"/>
  <c r="M219" i="55" s="1"/>
  <c r="O219" i="55" s="1"/>
  <c r="M117" i="55" a="1"/>
  <c r="M117" i="55" s="1"/>
  <c r="M83" i="55" a="1"/>
  <c r="M83" i="55" s="1"/>
  <c r="M104" i="55" a="1"/>
  <c r="M104" i="55" s="1"/>
  <c r="O104" i="55" s="1"/>
  <c r="M255" i="55" a="1"/>
  <c r="M255" i="55" s="1"/>
  <c r="O255" i="55" s="1"/>
  <c r="M38" i="55" a="1"/>
  <c r="M38" i="55" s="1"/>
  <c r="M252" i="55" a="1"/>
  <c r="M252" i="55" s="1"/>
  <c r="O252" i="55" s="1"/>
  <c r="M78" i="55" a="1"/>
  <c r="M78" i="55" s="1"/>
  <c r="O78" i="55" s="1"/>
  <c r="AK12" i="26"/>
  <c r="AC14" i="26"/>
  <c r="Q12" i="26"/>
  <c r="M151" i="55" a="1"/>
  <c r="M151" i="55" s="1"/>
  <c r="M23" i="55" a="1"/>
  <c r="M23" i="55" s="1"/>
  <c r="O23" i="55" s="1"/>
  <c r="M256" i="55" a="1"/>
  <c r="M256" i="55" s="1"/>
  <c r="O256" i="55" s="1"/>
  <c r="M108" i="55" a="1"/>
  <c r="M108" i="55" s="1"/>
  <c r="O108" i="55" s="1"/>
  <c r="M258" i="55" a="1"/>
  <c r="M258" i="55" s="1"/>
  <c r="O258" i="55" s="1"/>
  <c r="AC12" i="26"/>
  <c r="AF14" i="26"/>
  <c r="AL14" i="26"/>
  <c r="M14" i="55" a="1"/>
  <c r="M14" i="55" s="1"/>
  <c r="O14" i="55" s="1"/>
  <c r="M154" i="55" a="1"/>
  <c r="M154" i="55" s="1"/>
  <c r="M238" i="55" a="1"/>
  <c r="M238" i="55" s="1"/>
  <c r="O238" i="55" s="1"/>
  <c r="M165" i="55" a="1"/>
  <c r="M165" i="55" s="1"/>
  <c r="O165" i="55" s="1"/>
  <c r="M114" i="55" a="1"/>
  <c r="M114" i="55" s="1"/>
  <c r="O114" i="55" s="1"/>
  <c r="M109" i="55" a="1"/>
  <c r="M109" i="55" s="1"/>
  <c r="O109" i="55" s="1"/>
  <c r="M230" i="55" a="1"/>
  <c r="M230" i="55" s="1"/>
  <c r="M205" i="55" a="1"/>
  <c r="M205" i="55" s="1"/>
  <c r="O205" i="55" s="1"/>
  <c r="M93" i="55" a="1"/>
  <c r="M93" i="55" s="1"/>
  <c r="O93" i="55" s="1"/>
  <c r="M149" i="55" a="1"/>
  <c r="M149" i="55" s="1"/>
  <c r="O149" i="55" s="1"/>
  <c r="M204" i="55" a="1"/>
  <c r="M204" i="55" s="1"/>
  <c r="M90" i="55" a="1"/>
  <c r="M90" i="55" s="1"/>
  <c r="M202" i="55" a="1"/>
  <c r="M202" i="55" s="1"/>
  <c r="O202" i="55" s="1"/>
  <c r="M69" i="55" a="1"/>
  <c r="M69" i="55" s="1"/>
  <c r="O69" i="55" s="1"/>
  <c r="AI14" i="26"/>
  <c r="AL12" i="26"/>
  <c r="M14" i="26"/>
  <c r="M25" i="55" a="1"/>
  <c r="M25" i="55" s="1"/>
  <c r="M190" i="55" a="1"/>
  <c r="M190" i="55" s="1"/>
  <c r="O190" i="55" s="1"/>
  <c r="M182" i="55" a="1"/>
  <c r="M182" i="55" s="1"/>
  <c r="O182" i="55" s="1"/>
  <c r="M139" i="55" a="1"/>
  <c r="M139" i="55" s="1"/>
  <c r="O139" i="55" s="1"/>
  <c r="M80" i="55" a="1"/>
  <c r="M80" i="55" s="1"/>
  <c r="O80" i="55" s="1"/>
  <c r="M240" i="55" a="1"/>
  <c r="M240" i="55" s="1"/>
  <c r="O240" i="55" s="1"/>
  <c r="M171" i="55" a="1"/>
  <c r="M171" i="55" s="1"/>
  <c r="O171" i="55" s="1"/>
  <c r="M247" i="55" a="1"/>
  <c r="M247" i="55" s="1"/>
  <c r="O247" i="55" s="1"/>
  <c r="M76" i="55" a="1"/>
  <c r="M76" i="55" s="1"/>
  <c r="M21" i="55" a="1"/>
  <c r="M21" i="55" s="1"/>
  <c r="M61" i="55" a="1"/>
  <c r="M61" i="55" s="1"/>
  <c r="O61" i="55" s="1"/>
  <c r="M28" i="55" a="1"/>
  <c r="M28" i="55" s="1"/>
  <c r="O28" i="55" s="1"/>
  <c r="M100" i="55" a="1"/>
  <c r="M100" i="55" s="1"/>
  <c r="Z14" i="26"/>
  <c r="L12" i="26"/>
  <c r="U14" i="26"/>
  <c r="M163" i="55" a="1"/>
  <c r="M163" i="55" s="1"/>
  <c r="O163" i="55" s="1"/>
  <c r="M99" i="55" a="1"/>
  <c r="M99" i="55" s="1"/>
  <c r="M87" i="55" a="1"/>
  <c r="M87" i="55" s="1"/>
  <c r="AB14" i="26"/>
  <c r="M168" i="55" a="1"/>
  <c r="M168" i="55" s="1"/>
  <c r="M91" i="55" a="1"/>
  <c r="M91" i="55" s="1"/>
  <c r="M77" i="55" a="1"/>
  <c r="M77" i="55" s="1"/>
  <c r="M206" i="55" a="1"/>
  <c r="M206" i="55" s="1"/>
  <c r="M227" i="55" a="1"/>
  <c r="M227" i="55" s="1"/>
  <c r="O227" i="55" s="1"/>
  <c r="M9" i="55" a="1"/>
  <c r="M9" i="55" s="1"/>
  <c r="O9" i="55" s="1"/>
  <c r="M113" i="55" a="1"/>
  <c r="M113" i="55" s="1"/>
  <c r="O113" i="55" s="1"/>
  <c r="M176" i="55" a="1"/>
  <c r="M176" i="55" s="1"/>
  <c r="M155" i="55" a="1"/>
  <c r="M155" i="55" s="1"/>
  <c r="P14" i="26"/>
  <c r="B6" i="26"/>
  <c r="AD14" i="26"/>
  <c r="M45" i="55" a="1"/>
  <c r="M45" i="55" s="1"/>
  <c r="M250" i="55" a="1"/>
  <c r="M250" i="55" s="1"/>
  <c r="O250" i="55" s="1"/>
  <c r="M235" i="55" a="1"/>
  <c r="M235" i="55" s="1"/>
  <c r="M131" i="55" a="1"/>
  <c r="M131" i="55" s="1"/>
  <c r="M40" i="55" a="1"/>
  <c r="M40" i="55" s="1"/>
  <c r="O40" i="55" s="1"/>
  <c r="M74" i="55" a="1"/>
  <c r="M74" i="55" s="1"/>
  <c r="O74" i="55" s="1"/>
  <c r="V12" i="26"/>
  <c r="M146" i="55" a="1"/>
  <c r="M146" i="55" s="1"/>
  <c r="O146" i="55" s="1"/>
  <c r="O21" i="55" l="1"/>
  <c r="T225" i="55"/>
  <c r="O117" i="55"/>
  <c r="T207" i="55"/>
  <c r="T211" i="55"/>
  <c r="O131" i="55"/>
  <c r="O16" i="55"/>
  <c r="O42" i="55"/>
  <c r="T7" i="55"/>
  <c r="O155" i="55"/>
  <c r="O22" i="55"/>
  <c r="O211" i="55"/>
  <c r="M11" i="59"/>
  <c r="O85" i="55"/>
  <c r="O102" i="55"/>
  <c r="O230" i="55"/>
  <c r="O168" i="55"/>
  <c r="L23" i="59"/>
  <c r="O25" i="55"/>
  <c r="O176" i="55"/>
  <c r="O147" i="55"/>
  <c r="O132" i="55"/>
  <c r="O83" i="55"/>
  <c r="O136" i="55"/>
  <c r="L174" i="55" a="1"/>
  <c r="L174" i="55" s="1"/>
  <c r="L172" i="55" a="1"/>
  <c r="L172" i="55" s="1"/>
  <c r="L136" i="55" a="1"/>
  <c r="L136" i="55" s="1"/>
  <c r="O154" i="55"/>
  <c r="L9" i="59"/>
  <c r="L53" i="55" a="1"/>
  <c r="L53" i="55" s="1"/>
  <c r="L144" i="55" a="1"/>
  <c r="L144" i="55" s="1"/>
  <c r="F28" i="59" a="1"/>
  <c r="F28" i="59" s="1"/>
  <c r="L25" i="55" a="1"/>
  <c r="L25" i="55" s="1"/>
  <c r="L120" i="55" a="1"/>
  <c r="L120" i="55" s="1"/>
  <c r="L18" i="59"/>
  <c r="L107" i="55" a="1"/>
  <c r="L107" i="55" s="1"/>
  <c r="L64" i="55" a="1"/>
  <c r="L64" i="55" s="1"/>
  <c r="L157" i="55" a="1"/>
  <c r="L157" i="55" s="1"/>
  <c r="L234" i="55" a="1"/>
  <c r="L234" i="55" s="1"/>
  <c r="L100" i="55" a="1"/>
  <c r="L100" i="55" s="1"/>
  <c r="L83" i="55" a="1"/>
  <c r="L83" i="55" s="1"/>
  <c r="L129" i="55" a="1"/>
  <c r="L129" i="55" s="1"/>
  <c r="O235" i="55"/>
  <c r="L197" i="55" a="1"/>
  <c r="L197" i="55" s="1"/>
  <c r="O70" i="55"/>
  <c r="L226" i="55" a="1"/>
  <c r="L226" i="55" s="1"/>
  <c r="L113" i="55" a="1"/>
  <c r="L113" i="55" s="1"/>
  <c r="L31" i="55" a="1"/>
  <c r="L31" i="55" s="1"/>
  <c r="O90" i="55"/>
  <c r="L11" i="55" a="1"/>
  <c r="L11" i="55" s="1"/>
  <c r="L72" i="55" a="1"/>
  <c r="L72" i="55" s="1"/>
  <c r="L181" i="55" a="1"/>
  <c r="L181" i="55" s="1"/>
  <c r="L210" i="55" a="1"/>
  <c r="L210" i="55" s="1"/>
  <c r="L117" i="55" a="1"/>
  <c r="L117" i="55" s="1"/>
  <c r="L155" i="55" a="1"/>
  <c r="L155" i="55" s="1"/>
  <c r="L191" i="55" a="1"/>
  <c r="L191" i="55" s="1"/>
  <c r="L201" i="55" a="1"/>
  <c r="L201" i="55" s="1"/>
  <c r="L60" i="55" a="1"/>
  <c r="L60" i="55" s="1"/>
  <c r="L12" i="55" a="1"/>
  <c r="L12" i="55" s="1"/>
  <c r="L12" i="59"/>
  <c r="L227" i="55" a="1"/>
  <c r="L227" i="55" s="1"/>
  <c r="L122" i="55" a="1"/>
  <c r="L122" i="55" s="1"/>
  <c r="O26" i="55"/>
  <c r="L56" i="55" a="1"/>
  <c r="L56" i="55" s="1"/>
  <c r="L101" i="55" a="1"/>
  <c r="L101" i="55" s="1"/>
  <c r="L251" i="55" a="1"/>
  <c r="L251" i="55" s="1"/>
  <c r="L79" i="55" a="1"/>
  <c r="L79" i="55" s="1"/>
  <c r="L70" i="55" a="1"/>
  <c r="L70" i="55" s="1"/>
  <c r="L24" i="55" a="1"/>
  <c r="L24" i="55" s="1"/>
  <c r="L17" i="55" a="1"/>
  <c r="L17" i="55" s="1"/>
  <c r="L208" i="55" a="1"/>
  <c r="L208" i="55" s="1"/>
  <c r="L76" i="55" a="1"/>
  <c r="L76" i="55" s="1"/>
  <c r="L110" i="55" a="1"/>
  <c r="L110" i="55" s="1"/>
  <c r="L62" i="55" a="1"/>
  <c r="L62" i="55" s="1"/>
  <c r="L182" i="55" a="1"/>
  <c r="L182" i="55" s="1"/>
  <c r="L176" i="55" a="1"/>
  <c r="L176" i="55" s="1"/>
  <c r="L214" i="55" a="1"/>
  <c r="L214" i="55" s="1"/>
  <c r="L57" i="55" a="1"/>
  <c r="L57" i="55" s="1"/>
  <c r="L71" i="55" a="1"/>
  <c r="L71" i="55" s="1"/>
  <c r="L130" i="55" a="1"/>
  <c r="L130" i="55" s="1"/>
  <c r="L103" i="55" a="1"/>
  <c r="L103" i="55" s="1"/>
  <c r="L15" i="55" a="1"/>
  <c r="L15" i="55" s="1"/>
  <c r="L105" i="55" a="1"/>
  <c r="L105" i="55" s="1"/>
  <c r="L37" i="55" a="1"/>
  <c r="L37" i="55" s="1"/>
  <c r="O173" i="55"/>
  <c r="L203" i="55" a="1"/>
  <c r="L203" i="55" s="1"/>
  <c r="L94" i="55" a="1"/>
  <c r="L94" i="55" s="1"/>
  <c r="L26" i="55" a="1"/>
  <c r="L26" i="55" s="1"/>
  <c r="L133" i="55" a="1"/>
  <c r="L133" i="55" s="1"/>
  <c r="L96" i="55" a="1"/>
  <c r="L96" i="55" s="1"/>
  <c r="F42" i="59" a="1"/>
  <c r="F42" i="59" s="1"/>
  <c r="L42" i="55" a="1"/>
  <c r="L42" i="55" s="1"/>
  <c r="L18" i="55" a="1"/>
  <c r="L18" i="55" s="1"/>
  <c r="L190" i="55" a="1"/>
  <c r="L190" i="55" s="1"/>
  <c r="L73" i="55" a="1"/>
  <c r="L73" i="55" s="1"/>
  <c r="L160" i="55" a="1"/>
  <c r="L160" i="55" s="1"/>
  <c r="O35" i="55"/>
  <c r="L233" i="55" a="1"/>
  <c r="L233" i="55" s="1"/>
  <c r="L168" i="55" a="1"/>
  <c r="L168" i="55" s="1"/>
  <c r="L92" i="55" a="1"/>
  <c r="L92" i="55" s="1"/>
  <c r="L32" i="55" a="1"/>
  <c r="L32" i="55" s="1"/>
  <c r="L139" i="55" a="1"/>
  <c r="L139" i="55" s="1"/>
  <c r="L14" i="55" a="1"/>
  <c r="L14" i="55" s="1"/>
  <c r="L177" i="55" a="1"/>
  <c r="L177" i="55" s="1"/>
  <c r="L52" i="55" a="1"/>
  <c r="L52" i="55" s="1"/>
  <c r="L61" i="55" a="1"/>
  <c r="L61" i="55" s="1"/>
  <c r="L95" i="55" a="1"/>
  <c r="L95" i="55" s="1"/>
  <c r="L138" i="55" a="1"/>
  <c r="L138" i="55" s="1"/>
  <c r="L158" i="55" a="1"/>
  <c r="L158" i="55" s="1"/>
  <c r="L154" i="55" a="1"/>
  <c r="L154" i="55" s="1"/>
  <c r="O232" i="55"/>
  <c r="O195" i="55"/>
  <c r="O44" i="55"/>
  <c r="O187" i="55"/>
  <c r="O126" i="55"/>
  <c r="O76" i="55"/>
  <c r="O206" i="55"/>
  <c r="O99" i="55"/>
  <c r="U23" i="59"/>
  <c r="T20" i="59"/>
  <c r="T8" i="59"/>
  <c r="O24" i="55"/>
  <c r="O77" i="55"/>
  <c r="L99" i="55" a="1"/>
  <c r="L99" i="55" s="1"/>
  <c r="O91" i="55"/>
  <c r="L156" i="55" a="1"/>
  <c r="L156" i="55" s="1"/>
  <c r="O133" i="55"/>
  <c r="L82" i="55" a="1"/>
  <c r="L82" i="55" s="1"/>
  <c r="O97" i="55"/>
  <c r="L135" i="55" a="1"/>
  <c r="L135" i="55" s="1"/>
  <c r="L66" i="55" a="1"/>
  <c r="L66" i="55" s="1"/>
  <c r="O29" i="55"/>
  <c r="O37" i="55"/>
  <c r="O45" i="55"/>
  <c r="O13" i="55"/>
  <c r="T12" i="59"/>
  <c r="L77" i="55" a="1"/>
  <c r="L77" i="55" s="1"/>
  <c r="L9" i="55" a="1"/>
  <c r="L9" i="55" s="1"/>
  <c r="L46" i="55" a="1"/>
  <c r="L46" i="55" s="1"/>
  <c r="L8" i="55" a="1"/>
  <c r="L8" i="55" s="1"/>
  <c r="L45" i="55" a="1"/>
  <c r="L45" i="55" s="1"/>
  <c r="O87" i="55"/>
  <c r="L27" i="55" a="1"/>
  <c r="L27" i="55" s="1"/>
  <c r="L125" i="55" a="1"/>
  <c r="L125" i="55" s="1"/>
  <c r="M6" i="59"/>
  <c r="L28" i="55" a="1"/>
  <c r="L28" i="55" s="1"/>
  <c r="L84" i="55" a="1"/>
  <c r="L84" i="55" s="1"/>
  <c r="L74" i="55" a="1"/>
  <c r="L74" i="55" s="1"/>
  <c r="O38" i="55"/>
  <c r="O41" i="55"/>
  <c r="L10" i="59"/>
  <c r="L104" i="55" a="1"/>
  <c r="L104" i="55" s="1"/>
  <c r="O55" i="55"/>
  <c r="L93" i="55" a="1"/>
  <c r="L93" i="55" s="1"/>
  <c r="O249" i="55"/>
  <c r="O101" i="55"/>
  <c r="P277" i="55"/>
  <c r="S277" i="55" s="1"/>
  <c r="O204" i="55"/>
  <c r="O151" i="55"/>
  <c r="U7" i="59"/>
  <c r="T22" i="59"/>
  <c r="L209" i="55" a="1"/>
  <c r="L209" i="55" s="1"/>
  <c r="L164" i="55" a="1"/>
  <c r="L164" i="55" s="1"/>
  <c r="L171" i="55" a="1"/>
  <c r="L171" i="55" s="1"/>
  <c r="L114" i="55" a="1"/>
  <c r="L114" i="55" s="1"/>
  <c r="L118" i="55" a="1"/>
  <c r="L118" i="55" s="1"/>
  <c r="L97" i="55" a="1"/>
  <c r="L97" i="55" s="1"/>
  <c r="L206" i="55" a="1"/>
  <c r="L206" i="55" s="1"/>
  <c r="L123" i="55" a="1"/>
  <c r="L123" i="55" s="1"/>
  <c r="L213" i="55" a="1"/>
  <c r="L213" i="55" s="1"/>
  <c r="L185" i="55" a="1"/>
  <c r="L185" i="55" s="1"/>
  <c r="L163" i="55" a="1"/>
  <c r="L163" i="55" s="1"/>
  <c r="L87" i="55" a="1"/>
  <c r="L87" i="55" s="1"/>
  <c r="L140" i="55" a="1"/>
  <c r="L140" i="55" s="1"/>
  <c r="L51" i="55" a="1"/>
  <c r="L51" i="55" s="1"/>
  <c r="L106" i="55" a="1"/>
  <c r="L106" i="55" s="1"/>
  <c r="L34" i="55" a="1"/>
  <c r="L34" i="55" s="1"/>
  <c r="L223" i="55" a="1"/>
  <c r="L223" i="55" s="1"/>
  <c r="L216" i="55" a="1"/>
  <c r="L216" i="55" s="1"/>
  <c r="L236" i="55" a="1"/>
  <c r="L236" i="55" s="1"/>
  <c r="L142" i="55" a="1"/>
  <c r="L142" i="55" s="1"/>
  <c r="L115" i="55" a="1"/>
  <c r="L115" i="55" s="1"/>
  <c r="L23" i="55" a="1"/>
  <c r="L23" i="55" s="1"/>
  <c r="L10" i="55" a="1"/>
  <c r="L10" i="55" s="1"/>
  <c r="L242" i="55" a="1"/>
  <c r="L242" i="55" s="1"/>
  <c r="L146" i="55" a="1"/>
  <c r="L146" i="55" s="1"/>
  <c r="L54" i="55" a="1"/>
  <c r="L54" i="55" s="1"/>
  <c r="L65" i="55" a="1"/>
  <c r="L65" i="55" s="1"/>
  <c r="L29" i="55" a="1"/>
  <c r="L29" i="55" s="1"/>
  <c r="L204" i="55" a="1"/>
  <c r="L204" i="55" s="1"/>
  <c r="L48" i="55" a="1"/>
  <c r="L48" i="55" s="1"/>
  <c r="L108" i="55" a="1"/>
  <c r="L108" i="55" s="1"/>
  <c r="L198" i="55" a="1"/>
  <c r="L198" i="55" s="1"/>
  <c r="L19" i="55" a="1"/>
  <c r="L19" i="55" s="1"/>
  <c r="L229" i="55" a="1"/>
  <c r="L229" i="55" s="1"/>
  <c r="L124" i="55" a="1"/>
  <c r="L124" i="55" s="1"/>
  <c r="L33" i="55" a="1"/>
  <c r="L33" i="55" s="1"/>
  <c r="L240" i="55" a="1"/>
  <c r="L240" i="55" s="1"/>
  <c r="L38" i="55" a="1"/>
  <c r="L38" i="55" s="1"/>
  <c r="L218" i="55" a="1"/>
  <c r="L218" i="55" s="1"/>
  <c r="L121" i="55" a="1"/>
  <c r="L121" i="55" s="1"/>
  <c r="L189" i="55" a="1"/>
  <c r="L189" i="55" s="1"/>
  <c r="L131" i="55" a="1"/>
  <c r="L131" i="55" s="1"/>
  <c r="L39" i="55" a="1"/>
  <c r="L39" i="55" s="1"/>
  <c r="L173" i="55" a="1"/>
  <c r="L173" i="55" s="1"/>
  <c r="L128" i="55" a="1"/>
  <c r="L128" i="55" s="1"/>
  <c r="L85" i="55" a="1"/>
  <c r="L85" i="55" s="1"/>
  <c r="L170" i="55" a="1"/>
  <c r="L170" i="55" s="1"/>
  <c r="L228" i="55" a="1"/>
  <c r="L228" i="55" s="1"/>
  <c r="L200" i="55" a="1"/>
  <c r="L200" i="55" s="1"/>
  <c r="L221" i="55" a="1"/>
  <c r="L221" i="55" s="1"/>
  <c r="L148" i="55" a="1"/>
  <c r="L148" i="55" s="1"/>
  <c r="L127" i="55" a="1"/>
  <c r="L127" i="55" s="1"/>
  <c r="L80" i="55" a="1"/>
  <c r="L80" i="55" s="1"/>
  <c r="L20" i="55" a="1"/>
  <c r="L20" i="55" s="1"/>
  <c r="L91" i="55" a="1"/>
  <c r="L91" i="55" s="1"/>
  <c r="L90" i="55" a="1"/>
  <c r="L90" i="55" s="1"/>
  <c r="L50" i="55" a="1"/>
  <c r="L50" i="55" s="1"/>
  <c r="L166" i="55" a="1"/>
  <c r="L166" i="55" s="1"/>
  <c r="L116" i="55" a="1"/>
  <c r="L116" i="55" s="1"/>
  <c r="L250" i="55" a="1"/>
  <c r="L250" i="55" s="1"/>
  <c r="L69" i="55" a="1"/>
  <c r="L69" i="55" s="1"/>
  <c r="L81" i="55" a="1"/>
  <c r="L81" i="55" s="1"/>
  <c r="L238" i="55" a="1"/>
  <c r="L238" i="55" s="1"/>
  <c r="L224" i="55" a="1"/>
  <c r="L224" i="55" s="1"/>
  <c r="L119" i="55" a="1"/>
  <c r="L119" i="55" s="1"/>
  <c r="L41" i="55" a="1"/>
  <c r="L41" i="55" s="1"/>
  <c r="L16" i="55" a="1"/>
  <c r="L16" i="55" s="1"/>
  <c r="L230" i="55" a="1"/>
  <c r="L230" i="55" s="1"/>
  <c r="L22" i="55" a="1"/>
  <c r="L22" i="55" s="1"/>
  <c r="L188" i="55" a="1"/>
  <c r="L188" i="55" s="1"/>
  <c r="L252" i="55" a="1"/>
  <c r="L252" i="55" s="1"/>
  <c r="L248" i="55" a="1"/>
  <c r="L248" i="55" s="1"/>
  <c r="L47" i="55" a="1"/>
  <c r="L47" i="55" s="1"/>
  <c r="L21" i="55" a="1"/>
  <c r="L21" i="55" s="1"/>
  <c r="L231" i="55" a="1"/>
  <c r="L231" i="55" s="1"/>
  <c r="L132" i="55" a="1"/>
  <c r="L132" i="55" s="1"/>
  <c r="L112" i="55" a="1"/>
  <c r="L112" i="55" s="1"/>
  <c r="L256" i="55" a="1"/>
  <c r="L256" i="55" s="1"/>
  <c r="L217" i="55" a="1"/>
  <c r="L217" i="55" s="1"/>
  <c r="L58" i="55" a="1"/>
  <c r="L58" i="55" s="1"/>
  <c r="L35" i="55" a="1"/>
  <c r="L35" i="55" s="1"/>
  <c r="L194" i="55" a="1"/>
  <c r="L194" i="55" s="1"/>
  <c r="L277" i="55"/>
  <c r="L159" i="55" a="1"/>
  <c r="L159" i="55" s="1"/>
  <c r="L165" i="55" a="1"/>
  <c r="L165" i="55" s="1"/>
  <c r="L184" i="55" a="1"/>
  <c r="L184" i="55" s="1"/>
  <c r="L169" i="55" a="1"/>
  <c r="L169" i="55" s="1"/>
  <c r="L245" i="55" a="1"/>
  <c r="L245" i="55" s="1"/>
  <c r="L44" i="55" a="1"/>
  <c r="L44" i="55" s="1"/>
  <c r="L13" i="55" a="1"/>
  <c r="L13" i="55" s="1"/>
  <c r="L244" i="55" a="1"/>
  <c r="L244" i="55" s="1"/>
  <c r="L207" i="55" a="1"/>
  <c r="L207" i="55" s="1"/>
  <c r="L102" i="55" a="1"/>
  <c r="L102" i="55" s="1"/>
  <c r="L257" i="55" a="1"/>
  <c r="L257" i="55" s="1"/>
  <c r="L67" i="55" a="1"/>
  <c r="L67" i="55" s="1"/>
  <c r="L75" i="55" a="1"/>
  <c r="L75" i="55" s="1"/>
  <c r="L89" i="55" a="1"/>
  <c r="L89" i="55" s="1"/>
  <c r="L219" i="55" a="1"/>
  <c r="L219" i="55" s="1"/>
  <c r="L88" i="55" a="1"/>
  <c r="L88" i="55" s="1"/>
  <c r="L195" i="55" a="1"/>
  <c r="L195" i="55" s="1"/>
  <c r="L249" i="55" a="1"/>
  <c r="L249" i="55" s="1"/>
  <c r="L161" i="55" a="1"/>
  <c r="L161" i="55" s="1"/>
  <c r="L98" i="55" a="1"/>
  <c r="L98" i="55" s="1"/>
  <c r="L141" i="55" a="1"/>
  <c r="L141" i="55" s="1"/>
  <c r="L126" i="55" a="1"/>
  <c r="L126" i="55" s="1"/>
  <c r="L241" i="55" a="1"/>
  <c r="L241" i="55" s="1"/>
  <c r="L255" i="55" a="1"/>
  <c r="L255" i="55" s="1"/>
  <c r="L220" i="55" a="1"/>
  <c r="L220" i="55" s="1"/>
  <c r="L137" i="55" a="1"/>
  <c r="L137" i="55" s="1"/>
  <c r="L222" i="55" a="1"/>
  <c r="L222" i="55" s="1"/>
  <c r="L237" i="55" a="1"/>
  <c r="L237" i="55" s="1"/>
  <c r="L247" i="55" a="1"/>
  <c r="L247" i="55" s="1"/>
  <c r="L205" i="55" a="1"/>
  <c r="L205" i="55" s="1"/>
  <c r="L40" i="55" a="1"/>
  <c r="L40" i="55" s="1"/>
  <c r="L145" i="55" a="1"/>
  <c r="L145" i="55" s="1"/>
  <c r="L109" i="55" a="1"/>
  <c r="L109" i="55" s="1"/>
  <c r="L192" i="55" a="1"/>
  <c r="L192" i="55" s="1"/>
  <c r="L134" i="55" a="1"/>
  <c r="L134" i="55" s="1"/>
  <c r="L235" i="55" a="1"/>
  <c r="L235" i="55" s="1"/>
  <c r="L225" i="55" a="1"/>
  <c r="L225" i="55" s="1"/>
  <c r="L143" i="55" a="1"/>
  <c r="L143" i="55" s="1"/>
  <c r="L212" i="55" a="1"/>
  <c r="L212" i="55" s="1"/>
  <c r="L7" i="55" a="1"/>
  <c r="L7" i="55" s="1"/>
  <c r="L215" i="55" a="1"/>
  <c r="L215" i="55" s="1"/>
  <c r="L147" i="55" a="1"/>
  <c r="L147" i="55" s="1"/>
  <c r="L59" i="55" a="1"/>
  <c r="L59" i="55" s="1"/>
  <c r="L63" i="55" a="1"/>
  <c r="L63" i="55" s="1"/>
  <c r="L175" i="55" a="1"/>
  <c r="L175" i="55" s="1"/>
  <c r="L254" i="55" a="1"/>
  <c r="L254" i="55" s="1"/>
  <c r="L246" i="55" a="1"/>
  <c r="L246" i="55" s="1"/>
  <c r="L243" i="55" a="1"/>
  <c r="L243" i="55" s="1"/>
  <c r="L258" i="55" a="1"/>
  <c r="L258" i="55" s="1"/>
  <c r="L2" i="55"/>
  <c r="L55" i="55" a="1"/>
  <c r="L55" i="55" s="1"/>
  <c r="L111" i="55" a="1"/>
  <c r="L111" i="55" s="1"/>
  <c r="L211" i="55" a="1"/>
  <c r="L211" i="55" s="1"/>
  <c r="L167" i="55" a="1"/>
  <c r="L167" i="55" s="1"/>
  <c r="L149" i="55" a="1"/>
  <c r="L149" i="55" s="1"/>
  <c r="L179" i="55" a="1"/>
  <c r="L179" i="55" s="1"/>
  <c r="L199" i="55" a="1"/>
  <c r="L199" i="55" s="1"/>
  <c r="L187" i="55" a="1"/>
  <c r="L187" i="55" s="1"/>
  <c r="L150" i="55" a="1"/>
  <c r="L150" i="55" s="1"/>
  <c r="L151" i="55" a="1"/>
  <c r="L151" i="55" s="1"/>
  <c r="L86" i="55" a="1"/>
  <c r="L86" i="55" s="1"/>
  <c r="L202" i="55" a="1"/>
  <c r="L202" i="55" s="1"/>
  <c r="L180" i="55" a="1"/>
  <c r="L180" i="55" s="1"/>
  <c r="L232" i="55" a="1"/>
  <c r="L232" i="55" s="1"/>
  <c r="L36" i="55" a="1"/>
  <c r="L36" i="55" s="1"/>
  <c r="L196" i="55" a="1"/>
  <c r="L196" i="55" s="1"/>
  <c r="L49" i="55" a="1"/>
  <c r="L49" i="55" s="1"/>
  <c r="L193" i="55" a="1"/>
  <c r="L193" i="55" s="1"/>
  <c r="L239" i="55" a="1"/>
  <c r="L239" i="55" s="1"/>
  <c r="L78" i="55" a="1"/>
  <c r="L78" i="55" s="1"/>
  <c r="L253" i="55" a="1"/>
  <c r="L253" i="55" s="1"/>
  <c r="L178" i="55" a="1"/>
  <c r="L178" i="55" s="1"/>
  <c r="L162" i="55" a="1"/>
  <c r="L162" i="55" s="1"/>
  <c r="L153" i="55" a="1"/>
  <c r="L153" i="55" s="1"/>
  <c r="L43" i="55" a="1"/>
  <c r="L43" i="55" s="1"/>
  <c r="L183" i="55" a="1"/>
  <c r="L183" i="55" s="1"/>
  <c r="L186" i="55" a="1"/>
  <c r="L186" i="55" s="1"/>
  <c r="L30" i="55" a="1"/>
  <c r="L30" i="55" s="1"/>
  <c r="O100" i="55"/>
  <c r="O130" i="55"/>
  <c r="L152" i="55" a="1"/>
  <c r="L152" i="55" s="1"/>
  <c r="U18" i="59"/>
  <c r="O116" i="55"/>
  <c r="I42" i="59"/>
  <c r="S14" i="59"/>
  <c r="L19" i="59"/>
  <c r="J14" i="59"/>
  <c r="M26" i="59"/>
  <c r="T26" i="59"/>
  <c r="T10" i="59"/>
  <c r="O121" i="55"/>
  <c r="M7" i="59"/>
  <c r="K28" i="59"/>
  <c r="R42" i="59"/>
  <c r="T21" i="59"/>
  <c r="U9" i="59"/>
  <c r="T9" i="59"/>
  <c r="O277" i="55"/>
  <c r="O2" i="55"/>
  <c r="D14" i="59"/>
  <c r="F14" i="59" s="1" a="1"/>
  <c r="F14" i="59" s="1"/>
  <c r="O43" i="55"/>
  <c r="O49" i="55"/>
  <c r="H28" i="59"/>
  <c r="N28" i="59" s="1"/>
  <c r="S28" i="59"/>
  <c r="P42" i="59"/>
  <c r="M4" i="59"/>
  <c r="G14" i="59"/>
  <c r="P14" i="59"/>
  <c r="V14" i="59" s="1"/>
  <c r="U4" i="59"/>
  <c r="L7" i="59"/>
  <c r="T19" i="59"/>
  <c r="V19" i="59"/>
  <c r="F19" i="59"/>
  <c r="B28" i="59"/>
  <c r="P28" i="59"/>
  <c r="U19" i="59"/>
  <c r="U11" i="59"/>
  <c r="T11" i="59"/>
  <c r="G28" i="59"/>
  <c r="M20" i="59"/>
  <c r="L36" i="59"/>
  <c r="N36" i="59"/>
  <c r="H42" i="59"/>
  <c r="U5" i="59"/>
  <c r="O14" i="59"/>
  <c r="T14" i="59" s="1"/>
  <c r="U6" i="59"/>
  <c r="T6" i="59"/>
  <c r="V25" i="59"/>
  <c r="T25" i="59"/>
  <c r="F25" i="59"/>
  <c r="F39" i="59"/>
  <c r="V39" i="59"/>
  <c r="T39" i="59"/>
  <c r="C14" i="59"/>
  <c r="L4" i="59"/>
  <c r="N4" i="59"/>
  <c r="V4" i="59"/>
  <c r="F4" i="59"/>
  <c r="T4" i="59"/>
  <c r="M22" i="59"/>
  <c r="M25" i="59"/>
  <c r="N25" i="59"/>
  <c r="U25" i="59"/>
  <c r="O28" i="59"/>
  <c r="E28" i="59"/>
  <c r="F21" i="59"/>
  <c r="L24" i="59"/>
  <c r="M24" i="59"/>
  <c r="M32" i="59"/>
  <c r="G42" i="59"/>
  <c r="M42" i="59" s="1"/>
  <c r="E14" i="59"/>
  <c r="F5" i="59"/>
  <c r="S42" i="59"/>
  <c r="V23" i="59"/>
  <c r="O167" i="55"/>
  <c r="T5" i="59"/>
  <c r="L8" i="59"/>
  <c r="M8" i="59"/>
  <c r="J28" i="59"/>
  <c r="U24" i="59"/>
  <c r="V24" i="59"/>
  <c r="I14" i="59"/>
  <c r="B42" i="59"/>
  <c r="T34" i="59"/>
  <c r="V34" i="59"/>
  <c r="F34" i="59"/>
  <c r="C42" i="59"/>
  <c r="H2" i="55"/>
  <c r="H277" i="55"/>
  <c r="I7" i="26"/>
  <c r="H6" i="26"/>
  <c r="G277" i="55"/>
  <c r="G278" i="55"/>
  <c r="G3" i="55"/>
  <c r="G2" i="55"/>
  <c r="R2" i="55" l="1"/>
  <c r="R277" i="55"/>
  <c r="T2" i="55" s="1"/>
  <c r="S2" i="55"/>
  <c r="M28" i="59"/>
  <c r="M14" i="59"/>
  <c r="U14" i="59"/>
  <c r="T28" i="59"/>
  <c r="U28" i="59"/>
  <c r="L42" i="59"/>
  <c r="N42" i="59"/>
  <c r="L14" i="59"/>
  <c r="N14" i="59"/>
  <c r="V42" i="59"/>
  <c r="T42" i="59"/>
  <c r="V28" i="59"/>
  <c r="L28" i="59"/>
  <c r="H3" i="55"/>
  <c r="H278" i="55"/>
  <c r="I6" i="26"/>
  <c r="J7" i="26"/>
  <c r="T277" i="55" l="1"/>
  <c r="J6" i="26"/>
  <c r="K7" i="26"/>
  <c r="K6" i="26" l="1"/>
  <c r="L7" i="26"/>
  <c r="M7" i="26" l="1"/>
  <c r="L6" i="26"/>
  <c r="N7" i="26" l="1"/>
  <c r="M6" i="26"/>
  <c r="N6" i="26" l="1"/>
  <c r="O7" i="26"/>
  <c r="P7" i="26" l="1"/>
  <c r="O6" i="26"/>
  <c r="Q7" i="26" l="1"/>
  <c r="P6" i="26"/>
  <c r="R7" i="26" l="1"/>
  <c r="Q6" i="26"/>
  <c r="R6" i="26" l="1"/>
  <c r="S7" i="26"/>
  <c r="S6" i="26" l="1"/>
  <c r="T7" i="26"/>
  <c r="U7" i="26" l="1"/>
  <c r="T6" i="26"/>
  <c r="V7" i="26" l="1"/>
  <c r="U6" i="26"/>
  <c r="W7" i="26" l="1"/>
  <c r="V6" i="26"/>
  <c r="X7" i="26" l="1"/>
  <c r="W6" i="26"/>
  <c r="Y7" i="26" l="1"/>
  <c r="X6" i="26"/>
  <c r="Y6" i="26" l="1"/>
  <c r="Z7" i="26"/>
  <c r="AA7" i="26" l="1"/>
  <c r="Z6" i="26"/>
  <c r="AA6" i="26" l="1"/>
  <c r="AB7" i="26"/>
  <c r="AC7" i="26" l="1"/>
  <c r="AB6" i="26"/>
  <c r="AC6" i="26" l="1"/>
  <c r="AD7" i="26"/>
  <c r="AD6" i="26" l="1"/>
  <c r="AE7" i="26"/>
  <c r="AF7" i="26" l="1"/>
  <c r="AE6" i="26"/>
  <c r="AF6" i="26" l="1"/>
  <c r="AG7" i="26"/>
  <c r="AG6" i="26" l="1"/>
  <c r="AH7" i="26"/>
  <c r="AH6" i="26" l="1"/>
  <c r="AI7"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<sst xmlns="http://schemas.openxmlformats.org/spreadsheetml/2006/main" count="5505" uniqueCount="974">
  <si>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</si>
  <si>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</si>
  <si>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</si>
  <si>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</si>
  <si>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</si>
  <si>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</si>
  <si>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</si>
  <si>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</si>
  <si>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</si>
  <si>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</si>
  <si>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</si>
  <si>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</si>
  <si>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</si>
  <si>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</si>
  <si>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</si>
  <si>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</si>
  <si>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</si>
  <si>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</si>
  <si>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</si>
  <si>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</si>
  <si>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</si>
  <si>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</si>
  <si>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</si>
  <si>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</si>
  <si>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</si>
  <si>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</si>
  <si>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</si>
  <si>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</si>
  <si>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</si>
  <si>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</si>
  <si>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</si>
  <si>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</si>
  <si>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</si>
  <si>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</si>
  <si>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</si>
  <si>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</si>
  <si>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</si>
  <si>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</si>
  <si>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</si>
  <si>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</si>
  <si>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</si>
  <si>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</si>
  <si>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</si>
  <si>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</si>
  <si>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</si>
  <si>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</si>
  <si>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</si>
  <si>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</si>
  <si>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</si>
  <si>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</si>
  <si>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</si>
  <si>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</si>
  <si>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</si>
  <si>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</si>
  <si>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</si>
  <si>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</si>
  <si>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</si>
  <si>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</si>
  <si>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</si>
  <si>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</si>
  <si>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</si>
  <si>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</si>
  <si>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</si>
  <si>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</si>
  <si>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</si>
  <si>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</si>
  <si>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</si>
  <si>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</si>
  <si>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</si>
  <si>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</si>
  <si>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</si>
  <si>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</si>
  <si>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</si>
  <si>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</si>
  <si>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</si>
  <si>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</si>
  <si>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</si>
  <si>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</si>
  <si>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</si>
  <si>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</si>
  <si>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</si>
  <si>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</si>
  <si>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</si>
  <si>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</si>
  <si>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</si>
  <si>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</si>
  <si>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</si>
  <si>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</si>
  <si>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</si>
  <si>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</si>
  <si>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</si>
  <si>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</si>
  <si>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</si>
  <si>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</si>
  <si>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</si>
  <si>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</si>
  <si>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</si>
  <si>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</si>
  <si>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</si>
  <si>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</si>
  <si>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</si>
  <si>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</si>
  <si>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</si>
  <si>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</si>
  <si>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</si>
  <si>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</si>
  <si>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</si>
  <si>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</si>
  <si>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</si>
  <si>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</si>
  <si>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</si>
  <si>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</si>
  <si>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</si>
  <si>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</si>
  <si>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</si>
  <si>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</si>
  <si>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</si>
  <si>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</si>
  <si>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</si>
  <si>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</si>
  <si>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</si>
  <si>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</si>
  <si>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</si>
  <si>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</si>
  <si>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</si>
  <si>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</si>
  <si>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</si>
  <si>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</si>
  <si>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</si>
  <si>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</si>
  <si>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</si>
  <si>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</si>
  <si>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</si>
  <si>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</si>
  <si>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</si>
  <si>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</si>
  <si>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</si>
  <si>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</si>
  <si>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</si>
  <si>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</si>
  <si>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</si>
  <si>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</si>
  <si>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</si>
  <si>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</si>
  <si>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</si>
  <si>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</si>
  <si>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</si>
  <si>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</si>
  <si>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</si>
  <si>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</si>
  <si>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</si>
  <si>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</si>
  <si>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</si>
  <si>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</si>
  <si>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</si>
  <si>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</si>
  <si>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</si>
  <si>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</si>
  <si>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</si>
  <si>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</si>
  <si>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</si>
  <si>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</si>
  <si>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</si>
  <si>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</si>
  <si>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</si>
  <si>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</si>
  <si>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</si>
  <si>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</si>
  <si>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</si>
  <si>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</si>
  <si>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</si>
  <si>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</si>
  <si>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</si>
  <si>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</si>
  <si>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</si>
  <si>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</si>
  <si>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</si>
  <si>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</si>
  <si>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</si>
  <si>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</si>
  <si>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</si>
  <si>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</si>
  <si>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</si>
  <si>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</si>
  <si>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</si>
  <si>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</si>
  <si>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</si>
  <si>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</si>
  <si>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</si>
  <si>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</si>
  <si>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</si>
  <si>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</si>
  <si>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</si>
  <si>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</si>
  <si>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</si>
  <si>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</si>
  <si>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</si>
  <si>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</si>
  <si>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</si>
  <si>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</si>
  <si>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</si>
  <si>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</si>
  <si>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</si>
  <si>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</si>
  <si>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</si>
  <si>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</si>
  <si>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</si>
  <si>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</si>
  <si>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</si>
  <si>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</si>
  <si>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</si>
  <si>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</si>
  <si>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</si>
  <si>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</si>
  <si>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</si>
  <si>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</si>
  <si>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</si>
  <si>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</si>
  <si>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</si>
  <si>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</si>
  <si>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</si>
  <si>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</si>
  <si>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</si>
  <si>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</si>
  <si>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</si>
  <si>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</si>
  <si>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</si>
  <si>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</si>
  <si>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</si>
  <si>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</si>
  <si>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</si>
  <si>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</si>
  <si>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</si>
  <si>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</si>
  <si>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</si>
  <si>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</si>
  <si>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</si>
  <si>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</si>
  <si>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</si>
  <si>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</si>
  <si>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</si>
  <si>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</si>
  <si>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</si>
  <si>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</si>
  <si>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</si>
  <si>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</si>
  <si>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</si>
  <si>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</si>
  <si>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</si>
  <si>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</si>
  <si>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</si>
  <si>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</si>
  <si>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</si>
  <si>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</si>
  <si>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</si>
  <si>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</si>
  <si>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</si>
  <si>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</si>
  <si>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</si>
  <si>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</si>
  <si>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</si>
  <si>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</si>
  <si>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</si>
  <si>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</si>
  <si>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</si>
  <si>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</si>
  <si>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</si>
  <si>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</si>
  <si>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</si>
  <si>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</si>
  <si>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</si>
  <si>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</si>
  <si>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</si>
  <si>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</si>
  <si>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</si>
  <si>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</si>
  <si>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</si>
  <si>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</si>
  <si>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</si>
  <si>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</si>
  <si>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</si>
  <si>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</si>
  <si>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</si>
  <si>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</si>
  <si>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</si>
  <si>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</si>
  <si>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</si>
  <si>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</si>
  <si>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</si>
  <si>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</si>
  <si>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</si>
  <si>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</si>
  <si>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</si>
  <si>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</si>
  <si>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</si>
  <si>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</si>
  <si>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</si>
  <si>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</si>
  <si>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</si>
  <si>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</si>
  <si>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</si>
  <si>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</si>
  <si>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</si>
  <si>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</si>
  <si>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</si>
  <si>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</si>
  <si>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</si>
  <si>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</si>
  <si>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</si>
  <si>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</si>
  <si>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</si>
  <si>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</si>
  <si>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</si>
  <si>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</si>
  <si>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</si>
  <si>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</si>
  <si>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</si>
  <si>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WK3</t>
  </si>
  <si>
    <t>Yu Xuan</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</si>
  <si>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</si>
  <si>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</si>
  <si>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</si>
  <si>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</si>
  <si>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Xiaojing</t>
  </si>
  <si>
    <t>gfx.sr_stat</t>
  </si>
  <si>
    <t>ppi41.2,ppi41.22,ppi41.42,ppi41.52</t>
  </si>
  <si>
    <t>Faez/Frank</t>
  </si>
  <si>
    <t>txi91.0-1</t>
  </si>
  <si>
    <t>logged into jira. Will check on silicon.</t>
  </si>
  <si>
    <t>Frank</t>
  </si>
  <si>
    <t>txi90.0-5</t>
  </si>
  <si>
    <t>Glenn/Javad</t>
  </si>
  <si>
    <t>Botao</t>
  </si>
  <si>
    <t>gfx_inst/atomic_denorm can only run in GopherPlus env.
Verify if single variation pass on gopher+ good enough</t>
  </si>
  <si>
    <t>ppi302.3,ppi302.5</t>
  </si>
  <si>
    <t>WK9</t>
  </si>
  <si>
    <t>rt1.320</t>
  </si>
  <si>
    <t>WK2</t>
  </si>
  <si>
    <t>rt1.330</t>
  </si>
  <si>
    <t>rt1.302</t>
  </si>
  <si>
    <t>gfx.cmm_sa_policy_monolithic_gfx12</t>
  </si>
  <si>
    <t>Glenn/Javad/JJ/Anthony</t>
  </si>
  <si>
    <t>-c +/diag/gpu/vml2/global/mode=On -c +/diag/gpu/vml2/context/0/mode=On -c +/diag/gpu/allocationRerouting=NoDeviceMemory</t>
  </si>
  <si>
    <t>Javad</t>
  </si>
  <si>
    <t>gfx.cmm_cache_last_use_policy_monolithic</t>
  </si>
  <si>
    <t>WK8</t>
  </si>
  <si>
    <t>glxi60.1-3</t>
  </si>
  <si>
    <t xml:space="preserve"> -vm</t>
  </si>
  <si>
    <t>gci1301.0</t>
  </si>
  <si>
    <t>gci1304.0</t>
  </si>
  <si>
    <t>-pv_proxy=true -counter=SQC_PERF_SEL_ICACHE_PREFETCH_REQ_CACHELINES,SQC_PERF_SEL_ICACHE_PREFETCH_MISSES -countertemp=counterfile</t>
  </si>
  <si>
    <t>gci1305.2</t>
  </si>
  <si>
    <t>Shuhui</t>
  </si>
  <si>
    <t>https://ontrack-internal.amd.com/browse/TNG-8400</t>
  </si>
  <si>
    <t>gci1303.0</t>
  </si>
  <si>
    <t>-tt_enable=true -tt_config=tt.ini</t>
  </si>
  <si>
    <t>Indirect coverage: Can be covered by any test with thread trace enabled</t>
  </si>
  <si>
    <t>gfx.inst_perf/vglobal_signed_offset</t>
  </si>
  <si>
    <t>WK1</t>
  </si>
  <si>
    <t>Steven</t>
  </si>
  <si>
    <t>Not a feature, the MAS to be delivered by the DE team</t>
  </si>
  <si>
    <t>Removal feature, not visible to diags</t>
  </si>
  <si>
    <t>Waived from gfx coverage by IPSE</t>
  </si>
  <si>
    <t>glxi82.1-6</t>
  </si>
  <si>
    <t>IPSE team will cover this</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</si>
  <si>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</si>
  <si>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gci1300.0,gci1300.1,gci1300.2,gci1300.3</t>
  </si>
  <si>
    <t>spi124.0,spi124.1</t>
  </si>
  <si>
    <t>spi125</t>
  </si>
  <si>
    <t>Issues in gfx_pm4_packets</t>
  </si>
  <si>
    <t>Pierce</t>
  </si>
  <si>
    <t>Daniel G</t>
  </si>
  <si>
    <t>cpi400.0</t>
  </si>
  <si>
    <t>cpi410.0</t>
  </si>
  <si>
    <t>spi1390,spi1391</t>
  </si>
  <si>
    <t>https://ontrack-internal.amd.com/browse/TNG-7782</t>
  </si>
  <si>
    <t>Driver team will verify this</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</si>
  <si>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</si>
  <si>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</si>
  <si>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gfx.inst_perf/v_s_.*</t>
  </si>
  <si>
    <t>https://ontrack-internal.amd.com/browse/TNG-8507</t>
  </si>
  <si>
    <t>shci2041</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</si>
  <si>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</si>
  <si>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may need write in TNG</t>
  </si>
  <si>
    <t>std5.9</t>
  </si>
  <si>
    <t>run with -tZTileBuffer=0 and 1</t>
  </si>
  <si>
    <t>https://ontrack-internal.amd.com/browse/TNG-8491</t>
  </si>
  <si>
    <t>For gci1305.3 only, "-vm -tc_ulVidmemFragmentSize=0"</t>
  </si>
  <si>
    <t>Steven/JJ/Anthony</t>
  </si>
  <si>
    <t>gfx.cmm_sax_utcl1_monolithic/utcl0_disable</t>
  </si>
  <si>
    <t>spi197</t>
  </si>
  <si>
    <t>spi2010,spi2011</t>
  </si>
  <si>
    <t>spi2020,spi2021</t>
  </si>
  <si>
    <t>Indirect</t>
  </si>
  <si>
    <t>https://ontrack-internal.amd.com/browse/TNG-8760</t>
  </si>
  <si>
    <t>Claire/Meiru</t>
  </si>
  <si>
    <t>gci669.1-12</t>
  </si>
  <si>
    <t>Deprecated, not visible to diags</t>
  </si>
  <si>
    <t>Not visible to diags, will be tested by IPSE team</t>
  </si>
  <si>
    <t>gfx.red_triangle_draw_composite</t>
  </si>
  <si>
    <t>navi48.gfx.ge.register_access</t>
  </si>
  <si>
    <t>IPSE team will cover this, with RLC FW team support</t>
  </si>
  <si>
    <t>Indirect covered by regular clock stretch, not directly covered by diag</t>
  </si>
  <si>
    <t>food_store,mountain_range,navi48.gfx.ge.register_access</t>
  </si>
  <si>
    <t>IMU team will cover this</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</si>
  <si>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</si>
  <si>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</si>
  <si>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gci820.0</t>
  </si>
  <si>
    <t>Partially covered by 12.030 and in tserver gci1307 test.
https://ontrack-internal.amd.com/browse/TNG-8541</t>
  </si>
  <si>
    <t>glxi60.7</t>
  </si>
  <si>
    <t>Will be covered by any DCC tests</t>
  </si>
  <si>
    <t>glxi60.5</t>
  </si>
  <si>
    <t>glxi60.6</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</si>
  <si>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</si>
  <si>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</si>
  <si>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gfx.ieee_min_max</t>
  </si>
  <si>
    <t>https://ontrack-internal.amd.com/browse/TNG-7987</t>
  </si>
  <si>
    <t>Invisible to diags, workload cross the original die interface will cover</t>
  </si>
  <si>
    <t>glxi29.8</t>
  </si>
  <si>
    <t>gfx.cmm_sax_utcl0_invalidation_monolithic/utcl0_enable</t>
  </si>
  <si>
    <t>Sid</t>
  </si>
  <si>
    <t>glxi86.1-2</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</si>
  <si>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</si>
  <si>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</si>
  <si>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</si>
  <si>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gfx.inst_perf/global_load_tr.*</t>
  </si>
  <si>
    <t>https://ontrack-internal.amd.com/browse/TNG-8759</t>
  </si>
  <si>
    <t>Requires thread trace viewer</t>
  </si>
  <si>
    <t>GFX IPSE will cover the Perfmon related features</t>
  </si>
  <si>
    <t>gfx.inst_perf/v_dual_mov_b32</t>
  </si>
  <si>
    <t>https://ontrack-internal.amd.com/browse/TNG-8273</t>
  </si>
  <si>
    <t xml:space="preserve">Not a feature </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</si>
  <si>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</si>
  <si>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</si>
  <si>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</si>
  <si>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Removed, DEGFX12-10852</t>
  </si>
  <si>
    <t>WGS dependent</t>
  </si>
  <si>
    <t>OSS diag will provide coverage</t>
  </si>
  <si>
    <t>Not POR for NV48/44</t>
  </si>
  <si>
    <t>Xiaojing/Botao</t>
  </si>
  <si>
    <t>gci1311</t>
  </si>
  <si>
    <t xml:space="preserve">The feature is not applicable to Navi44/48.   Please remove this from your feature list. </t>
  </si>
  <si>
    <t>Tserver</t>
  </si>
  <si>
    <t>de-featured</t>
  </si>
  <si>
    <t>Faez</t>
  </si>
  <si>
    <t>rt1.400-401</t>
  </si>
  <si>
    <t>This is a removal, and no direct coverage is required.   Makhan/Wanshou to check with Arch and waive from PostSi coverage.</t>
  </si>
  <si>
    <t>Steven/Glenn</t>
  </si>
  <si>
    <t>utci16.1</t>
  </si>
  <si>
    <t>IPSE confirmed chiplet only</t>
  </si>
  <si>
    <t>shci2039.0-3</t>
  </si>
  <si>
    <t>"-tt_enable=1 -vm -tt_config=traceSe=0"</t>
  </si>
  <si>
    <t>rt33.0</t>
  </si>
  <si>
    <t>rt33.1-2</t>
  </si>
  <si>
    <t>gci1307.4-7</t>
  </si>
  <si>
    <t>Tested on gopher+
Partially addresses by 12.030</t>
  </si>
  <si>
    <t>tested on GopherLite</t>
  </si>
  <si>
    <t>spi453</t>
  </si>
  <si>
    <t>glxi61.1-2</t>
  </si>
  <si>
    <t>gfx.linpack_gfx_compute</t>
  </si>
  <si>
    <t xml:space="preserve">PPA team will enable this, IPSE team will verify </t>
  </si>
  <si>
    <t>gci1310</t>
  </si>
  <si>
    <t>cpi415</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</si>
  <si>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</si>
  <si>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</si>
  <si>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</si>
  <si>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</si>
  <si>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</si>
  <si>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Partially covered by 12.209. Checked cycles by using thread trace WMMA8/WMMA16 tokens</t>
  </si>
  <si>
    <t>Confirmed ownership has been passed to SDMA team for perf verfication</t>
  </si>
  <si>
    <t>Steven/Frank</t>
  </si>
  <si>
    <t>txi83</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</si>
  <si>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</si>
  <si>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</si>
  <si>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</si>
  <si>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</si>
  <si>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</si>
  <si>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</si>
  <si>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</si>
  <si>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</si>
  <si>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</si>
  <si>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</si>
  <si>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</si>
  <si>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</si>
  <si>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</si>
  <si>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</si>
  <si>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</si>
  <si>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</si>
  <si>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</si>
  <si>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</si>
  <si>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</si>
  <si>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</si>
  <si>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</si>
  <si>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</si>
  <si>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</si>
  <si>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</si>
  <si>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</si>
  <si>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</si>
  <si>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</si>
  <si>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</si>
  <si>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</si>
  <si>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</si>
  <si>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</si>
  <si>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</si>
  <si>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</si>
  <si>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</si>
  <si>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</si>
  <si>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</si>
  <si>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</si>
  <si>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</si>
  <si>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</si>
  <si>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</si>
  <si>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</si>
  <si>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</si>
  <si>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</si>
  <si>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</si>
  <si>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</si>
  <si>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</si>
  <si>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</si>
  <si>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</si>
  <si>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</si>
  <si>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</si>
  <si>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</si>
  <si>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</si>
  <si>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</si>
  <si>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</si>
  <si>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</si>
  <si>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</si>
  <si>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</si>
  <si>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</si>
  <si>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</si>
  <si>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</si>
  <si>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</si>
  <si>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</si>
  <si>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</si>
  <si>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</si>
  <si>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</si>
  <si>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</si>
  <si>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</si>
  <si>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</si>
  <si>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</si>
  <si>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</si>
  <si>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</si>
  <si>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</si>
  <si>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</si>
  <si>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</si>
  <si>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</si>
  <si>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</si>
  <si>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</si>
  <si>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</si>
  <si>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</si>
  <si>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</si>
  <si>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</si>
  <si>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</si>
  <si>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</si>
  <si>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</si>
  <si>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</si>
  <si>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</si>
  <si>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</si>
  <si>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</si>
  <si>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</si>
  <si>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</si>
  <si>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</si>
  <si>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</si>
  <si>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</si>
  <si>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</si>
  <si>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</si>
  <si>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</si>
  <si>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</si>
  <si>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</si>
  <si>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</si>
  <si>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</si>
  <si>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</si>
  <si>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</si>
  <si>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</si>
  <si>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</si>
  <si>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</si>
  <si>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</si>
  <si>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</si>
  <si>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</si>
  <si>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</si>
  <si>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</si>
  <si>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</si>
  <si>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</si>
  <si>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</si>
  <si>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</si>
  <si>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</si>
  <si>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</si>
  <si>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</si>
  <si>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</si>
  <si>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</si>
  <si>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</si>
  <si>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</si>
  <si>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</si>
  <si>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</si>
  <si>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</si>
  <si>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</si>
  <si>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</si>
  <si>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</si>
  <si>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</si>
  <si>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</si>
  <si>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</si>
  <si>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</si>
  <si>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</si>
  <si>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</si>
  <si>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</si>
  <si>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</si>
  <si>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</si>
  <si>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</si>
  <si>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</si>
  <si>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</si>
  <si>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</si>
  <si>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</si>
  <si>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</si>
  <si>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</si>
  <si>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</si>
  <si>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</si>
  <si>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</si>
  <si>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</si>
  <si>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</si>
  <si>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</si>
  <si>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</si>
  <si>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</si>
  <si>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</si>
  <si>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</si>
  <si>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</si>
  <si>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</si>
  <si>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</si>
  <si>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</si>
  <si>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</si>
  <si>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</si>
  <si>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</si>
  <si>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</si>
  <si>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</si>
  <si>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</si>
  <si>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</si>
  <si>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</si>
  <si>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</si>
  <si>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</si>
  <si>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</si>
  <si>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</si>
  <si>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</si>
  <si>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</si>
  <si>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</si>
  <si>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</si>
  <si>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</si>
  <si>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</si>
  <si>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</si>
  <si>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</si>
  <si>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</si>
  <si>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</si>
  <si>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</si>
  <si>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</si>
  <si>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</si>
  <si>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</si>
  <si>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</si>
  <si>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</si>
  <si>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</si>
  <si>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</si>
  <si>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</si>
  <si>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</si>
  <si>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</si>
  <si>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</si>
  <si>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</si>
  <si>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</si>
  <si>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</si>
  <si>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</si>
  <si>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</si>
  <si>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</si>
  <si>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</si>
  <si>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</si>
  <si>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</si>
  <si>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</si>
  <si>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</si>
  <si>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</si>
  <si>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</si>
  <si>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</si>
  <si>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</si>
  <si>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</si>
  <si>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</si>
  <si>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</si>
  <si>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</si>
  <si>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</si>
  <si>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</si>
  <si>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</si>
  <si>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</si>
  <si>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</si>
  <si>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</si>
  <si>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</si>
  <si>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</si>
  <si>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</si>
  <si>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</si>
  <si>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</si>
  <si>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</si>
  <si>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</si>
  <si>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</si>
  <si>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</si>
  <si>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</si>
  <si>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</si>
  <si>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</si>
  <si>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</si>
  <si>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</si>
  <si>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</si>
  <si>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</si>
  <si>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</si>
  <si>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</si>
  <si>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</si>
  <si>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</si>
  <si>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</si>
  <si>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</si>
  <si>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</si>
  <si>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</si>
  <si>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</si>
  <si>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</si>
  <si>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</si>
  <si>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</si>
  <si>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</si>
  <si>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</si>
  <si>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</si>
  <si>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</si>
  <si>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</si>
  <si>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</si>
  <si>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</si>
  <si>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</si>
  <si>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</si>
  <si>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</si>
  <si>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</si>
  <si>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</si>
  <si>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</si>
  <si>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</si>
  <si>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</si>
  <si>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</si>
  <si>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</si>
  <si>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</si>
  <si>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</si>
  <si>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</si>
  <si>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</si>
  <si>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</si>
  <si>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</si>
  <si>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</si>
  <si>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</si>
  <si>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</si>
  <si>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</si>
  <si>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</si>
  <si>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</si>
  <si>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</si>
  <si>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</si>
  <si>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</si>
  <si>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</si>
  <si>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</si>
  <si>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</si>
  <si>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</si>
  <si>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</si>
  <si>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</si>
  <si>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</si>
  <si>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</si>
  <si>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</si>
  <si>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</si>
  <si>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</si>
  <si>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</si>
  <si>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</si>
  <si>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</si>
  <si>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</si>
  <si>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</si>
  <si>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</si>
  <si>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</si>
  <si>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</si>
  <si>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</si>
  <si>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</si>
  <si>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</si>
  <si>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</si>
  <si>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</si>
  <si>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</si>
  <si>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</si>
  <si>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</si>
  <si>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</si>
  <si>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</si>
  <si>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</si>
  <si>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</si>
  <si>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</si>
  <si>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</si>
  <si>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</si>
  <si>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</si>
  <si>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</si>
  <si>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</si>
  <si>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</si>
  <si>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</si>
  <si>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</si>
  <si>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</si>
  <si>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</si>
  <si>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</si>
  <si>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</si>
  <si>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</si>
  <si>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</si>
  <si>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</si>
  <si>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</si>
  <si>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</si>
  <si>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</si>
  <si>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</si>
  <si>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</si>
  <si>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</si>
  <si>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</si>
  <si>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</si>
  <si>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</si>
  <si>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</si>
  <si>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</si>
  <si>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</si>
  <si>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</si>
  <si>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</si>
  <si>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</si>
  <si>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</si>
  <si>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</si>
  <si>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</si>
  <si>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</si>
  <si>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</si>
  <si>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</si>
  <si>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</si>
  <si>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</si>
  <si>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</si>
  <si>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</si>
  <si>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</si>
  <si>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</si>
  <si>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</si>
  <si>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</si>
  <si>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</si>
  <si>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</si>
  <si>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</si>
  <si>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</si>
  <si>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</si>
  <si>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</si>
  <si>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</si>
  <si>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</si>
  <si>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</si>
  <si>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</si>
  <si>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</si>
  <si>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</si>
  <si>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</si>
  <si>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</si>
  <si>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</si>
  <si>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</si>
  <si>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</si>
  <si>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</si>
  <si>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</si>
  <si>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</si>
  <si>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</si>
  <si>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</si>
  <si>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</si>
  <si>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</si>
  <si>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</si>
  <si>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</si>
  <si>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</si>
  <si>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</si>
  <si>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</si>
  <si>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</si>
  <si>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</si>
  <si>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</si>
  <si>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</si>
  <si>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</si>
  <si>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</si>
  <si>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</si>
  <si>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</si>
  <si>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</si>
  <si>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</si>
  <si>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</si>
  <si>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</si>
  <si>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</si>
  <si>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</si>
  <si>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</si>
  <si>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</si>
  <si>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</si>
  <si>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</si>
  <si>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</si>
  <si>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</si>
  <si>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</si>
  <si>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</si>
  <si>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</si>
  <si>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</si>
  <si>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</si>
  <si>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</si>
  <si>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</si>
  <si>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</si>
  <si>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</si>
  <si>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</si>
  <si>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</si>
  <si>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</si>
  <si>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</si>
  <si>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</si>
  <si>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</si>
  <si>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</si>
  <si>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</si>
  <si>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</si>
  <si>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</si>
  <si>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</si>
  <si>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</si>
  <si>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</si>
  <si>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std1.6,2.6,3.6,4.6</t>
  </si>
  <si>
    <t>"-tt_enable=1 -vm -tt_config=tracese=0,stall_all_simds=0,wavestart_mode=wg_id"</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</si>
  <si>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</si>
  <si>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GCI28.3</t>
  </si>
  <si>
    <t>./tserverlite -cf=tserver-soclfb-frontdoor.cf -test=gci28.3 -d=1</t>
  </si>
  <si>
    <t>placeholder_a.1-108</t>
  </si>
  <si>
    <t>placeholder_b.1</t>
  </si>
  <si>
    <t>placeholder_c.1</t>
  </si>
  <si>
    <t>placeholder_d.1</t>
  </si>
  <si>
    <t>placeholder_e.1</t>
  </si>
  <si>
    <t>placeholder_o.1</t>
  </si>
  <si>
    <t>placeholder_t.1</t>
  </si>
  <si>
    <t>placeholder_n.1</t>
  </si>
  <si>
    <t>placeholder_f.1</t>
  </si>
  <si>
    <t>placeholder_g.1-8</t>
  </si>
  <si>
    <t>placeholder_h.1</t>
  </si>
  <si>
    <t>placeholder_i.1</t>
  </si>
  <si>
    <t>placeholder_j.1</t>
  </si>
  <si>
    <t>placeholder_k.1-2</t>
  </si>
  <si>
    <t>placeholder_l.1-8</t>
  </si>
  <si>
    <t>placeholder_p.1</t>
  </si>
  <si>
    <t>placeholder_q.1</t>
  </si>
  <si>
    <t>placeholder_r.1</t>
  </si>
  <si>
    <t>placeholder_s.1</t>
  </si>
  <si>
    <t>Total Run.1</t>
  </si>
  <si>
    <t>Pass.1</t>
  </si>
  <si>
    <t>Waived.1</t>
  </si>
  <si>
    <t>Fail.1</t>
  </si>
  <si>
    <t>Skip.1</t>
  </si>
  <si>
    <t>% Pass Rate.1</t>
  </si>
  <si>
    <t/>
  </si>
  <si>
    <t>std1.6,with,pv_proxy,library</t>
  </si>
  <si>
    <t>PPI39,PPI100.65</t>
  </si>
  <si>
    <t>ge1.0,ge1.1</t>
  </si>
  <si>
    <t>STD1.6,-tglEnableSCBinning=0</t>
  </si>
  <si>
    <t>sc42.2,sc42.3,sc26.9,sc26.10,sc26.11,sc26.12</t>
  </si>
  <si>
    <t>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t>
  </si>
  <si>
    <t>gfx.cmm_cp_access_order_monolithic,gfx.cmm_sa_gl2_access_order_monolithic,gfx.cmm_sa_gl2_same_address_monolithic</t>
  </si>
  <si>
    <t>gfx.inst_perf/sched_mode_dep_mode1,gfx.inst_perf/sched_mode_dep_mode2</t>
  </si>
  <si>
    <t>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t>
  </si>
  <si>
    <t>gfx.inst_perf/global_load_block,gfx.inst_perf/global_store_block,gfx.inst_perf/scratch_load_block,gfx.inst_perf/scratch_store_block</t>
  </si>
  <si>
    <t>gci1305.0,gci1305.1</t>
  </si>
  <si>
    <t>gfx.inst_perf/ds_permute_b32_w64,gfx.inst_perf/ds_bpermute_b32_w64</t>
  </si>
  <si>
    <t>gfx.inst_perf/v_permlanex16_var_b32,gfx.inst_perf/v_permlane16_var_b32</t>
  </si>
  <si>
    <t>gfx.inst_perf/s_sleep_var,gfx.inst_perf/s_sleep,gfx.inst_perf/s_add_nc_u64,gfx.inst_perf/s_sub_nc_u64,gfx.inst_perf/s_mul_u64,gfx.inst_perf/s_mul_i32</t>
  </si>
  <si>
    <t>gci1303.0,gci1303.1,gci1303.2</t>
  </si>
  <si>
    <t>gci1302.0,/,gci1302.1</t>
  </si>
  <si>
    <t>gfx.inst_perf/v_add_f64,gfx.inst_perf/v_mul_f64,gfx.inst_perf/v_lshlrev_b64</t>
  </si>
  <si>
    <t>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t>
  </si>
  <si>
    <t>ge2.0,ge2.1,std1.6</t>
  </si>
  <si>
    <t>glxi85.1,+,std,test,+,glxi85.2</t>
  </si>
  <si>
    <t>gfx.inst_perf/v_dot4_i32_iu8,gfx.inst_perf/v_dot4_u32_u8,gfx.inst_perf/v_dot8_i32_iu4,gfx.inst_perf/v_dot8_u32_u4,gfx.inst_perf/v_wmma_i32_16x16x16_iu4,gfx.inst_perf/v_wmma_i32_16x16x32_iu4,gfx.inst_perf/v_wmma_i32_16x16x16_iu8</t>
  </si>
  <si>
    <t>std1.1,gci30.4</t>
  </si>
  <si>
    <t>shci2038.0-3,shci2038.104</t>
  </si>
  <si>
    <t>std1.1,std3.1,std4.1,rt1.300,rt1.320,gci1304,gci1305,gci1308,shci2033,shci2036,gssi212.10</t>
  </si>
  <si>
    <t>sh1630,sh1631</t>
  </si>
  <si>
    <t>PPI406.1-8,PPI406.11-18,PPI406.21-28,PPI406.31-38,PPI406.41-48</t>
  </si>
  <si>
    <t>Same,to,12.164</t>
  </si>
  <si>
    <t>gci30.3,with,aql</t>
  </si>
  <si>
    <t>gfx.cmm_cp_ch_access_size_monolithic_gfx12,gfx.cmm_sdma_access_size_monolithic</t>
  </si>
  <si>
    <t>gfx.inst_perf/v_wmma.*,gfx.inst_perf/v_cvt.*,gfx.inst_perf/v_dot4_f32.*</t>
  </si>
  <si>
    <t>gci1306.0-2,gssi212.11</t>
  </si>
  <si>
    <t>gci1305.0,gci1305.3,gci1305.4,gci1305.5,gci1305.6</t>
  </si>
  <si>
    <t>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t>
  </si>
  <si>
    <t>gci950-960.0,for,wave32,.1,for,wave64</t>
  </si>
  <si>
    <t>STD1.6,GCI30.3</t>
  </si>
  <si>
    <t>gfx.inst_perf/flat_atomic_cond_sub_u32_global,gfx.inst_perf/flat_atomic_sub_clamp_u32_global,gfx.inst_perf/ds_cond_sub_rtn_u32,gfx.inst_perf/ds_sub_clamp_rtn_u32,gci1307.0-3</t>
  </si>
  <si>
    <t>ge3.0,std4.34</t>
  </si>
  <si>
    <t>spi2940,spi2941</t>
  </si>
  <si>
    <t>std1.6,with,tgre,spm,&amp;,sqtt</t>
  </si>
  <si>
    <t>std1.6,with,tgre,spm,cp,test,with,spm</t>
  </si>
  <si>
    <t>std1.1,with,legacy,pv_proxy</t>
  </si>
  <si>
    <t>rlc1.0,rlc1.1</t>
  </si>
  <si>
    <t>shci2039.4,shci2039.5</t>
  </si>
  <si>
    <t>cs16.0,wgs_gpa3_disable_dispatch_pm4_01</t>
  </si>
  <si>
    <t>gfx.inst_perf/v_wmma_f32_16x16x.*,gfx.inst_perf/v_wmma_i32_16x16x32_iu4,gci39.1-6</t>
  </si>
  <si>
    <t>STD1.6</t>
  </si>
  <si>
    <t>rlci9.1,rlc_firewall_40bit_address,rlci10.1,cp_firewall_40bit_address</t>
  </si>
  <si>
    <t>wgs.6,wgs_dispatch_sanity_pm4_01,wgs.8,wgs_dispatch_two_pipes_pm4_01,wgs.1,wgs_ace_cwsr_pm4_01,wgs.100,wgs_dispatch_sanity_tacl_01,wgs.12,wgs_gl1_ret_xnack_pm4_01,gci30.3,::linpack_wgs,wgs_interrrupt_tacl,gci22.11,shader_memory_copy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</si>
</sst>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0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51" fillId="0" borderId="10" xfId="0" applyFont="1" applyBorder="1" applyAlignment="1">
      <alignment horizontal="center" vertical="top"/>
    </xf>
    <xf numFmtId="167" fontId="51" fillId="0" borderId="10" xfId="0" applyNumberFormat="1" applyFont="1" applyBorder="1" applyAlignment="1">
      <alignment horizontal="center" vertical="top"/>
    </xf>
    <xf numFmtId="167" fontId="0" fillId="0" borderId="0" xfId="0" applyNumberFormat="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4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562" t="s">
        <v>54</v>
      </c>
      <c r="C1" s="563"/>
      <c r="D1" s="563"/>
      <c r="E1" s="167" t="s">
        <v>55</v>
      </c>
      <c r="F1" s="167" t="s">
        <v>56</v>
      </c>
      <c r="G1" s="110" t="s">
        <v>57</v>
      </c>
    </row>
    <row r="2" spans="1:7" x14ac:dyDescent="0.25">
      <c r="A2" s="116" t="s">
        <v>58</v>
      </c>
      <c r="B2" s="564" t="s">
        <v>59</v>
      </c>
      <c r="C2" s="565"/>
      <c r="D2" s="565"/>
      <c r="E2" s="295" t="s">
        <v>60</v>
      </c>
      <c r="F2" s="295" t="s">
        <v>61</v>
      </c>
      <c r="G2" s="327" t="s">
        <v>62</v>
      </c>
    </row>
    <row r="3" spans="1:7" s="81" customFormat="1" x14ac:dyDescent="0.25">
      <c r="A3" s="203" t="s">
        <v>63</v>
      </c>
      <c r="B3" s="571" t="s">
        <v>64</v>
      </c>
      <c r="C3" s="572"/>
      <c r="D3" s="573"/>
      <c r="E3" s="80" t="s">
        <v>60</v>
      </c>
      <c r="F3" s="80" t="s">
        <v>61</v>
      </c>
      <c r="G3" s="328" t="s">
        <v>62</v>
      </c>
    </row>
    <row r="4" spans="1:7" x14ac:dyDescent="0.25">
      <c r="A4" s="203" t="s">
        <v>65</v>
      </c>
      <c r="B4" s="568" t="s">
        <v>66</v>
      </c>
      <c r="C4" s="569"/>
      <c r="D4" s="570"/>
      <c r="E4" s="80" t="s">
        <v>67</v>
      </c>
      <c r="F4" s="80" t="s">
        <v>61</v>
      </c>
      <c r="G4" s="328" t="s">
        <v>62</v>
      </c>
    </row>
    <row r="5" spans="1:7" x14ac:dyDescent="0.25">
      <c r="A5" s="117" t="s">
        <v>68</v>
      </c>
      <c r="B5" s="568" t="s">
        <v>69</v>
      </c>
      <c r="C5" s="569"/>
      <c r="D5" s="570"/>
      <c r="E5" s="80" t="s">
        <v>67</v>
      </c>
      <c r="F5" s="80" t="s">
        <v>61</v>
      </c>
      <c r="G5" s="328" t="s">
        <v>62</v>
      </c>
    </row>
    <row r="6" spans="1:7" x14ac:dyDescent="0.25">
      <c r="A6" s="117" t="s">
        <v>70</v>
      </c>
      <c r="B6" s="568" t="s">
        <v>71</v>
      </c>
      <c r="C6" s="569"/>
      <c r="D6" s="570"/>
      <c r="E6" s="80" t="s">
        <v>72</v>
      </c>
      <c r="F6" s="80" t="s">
        <v>61</v>
      </c>
      <c r="G6" s="85"/>
    </row>
    <row r="7" spans="1:7" ht="15.75" thickBot="1" x14ac:dyDescent="0.3">
      <c r="A7" s="118" t="s">
        <v>73</v>
      </c>
      <c r="B7" s="566" t="s">
        <v>74</v>
      </c>
      <c r="C7" s="567"/>
      <c r="D7" s="567"/>
      <c r="E7" s="86" t="s">
        <v>72</v>
      </c>
      <c r="F7" s="86"/>
      <c r="G7" s="87"/>
    </row>
    <row r="8" spans="1:7" s="84" customFormat="1" ht="30.75" thickBot="1" x14ac:dyDescent="0.3">
      <c r="A8" s="115" t="s">
        <v>53</v>
      </c>
      <c r="B8" s="401" t="s">
        <v>1</v>
      </c>
      <c r="C8" s="167" t="s">
        <v>75</v>
      </c>
      <c r="D8" s="167" t="s">
        <v>54</v>
      </c>
      <c r="E8" s="167" t="s">
        <v>55</v>
      </c>
      <c r="F8" s="167" t="s">
        <v>56</v>
      </c>
      <c r="G8" s="110" t="s">
        <v>57</v>
      </c>
    </row>
    <row r="9" spans="1:7" ht="105" x14ac:dyDescent="0.25">
      <c r="A9" s="539" t="s">
        <v>58</v>
      </c>
      <c r="B9" s="536" t="s">
        <v>76</v>
      </c>
      <c r="C9" s="334" t="s">
        <v>77</v>
      </c>
      <c r="D9" s="94" t="s">
        <v>78</v>
      </c>
      <c r="E9" s="94" t="s">
        <v>60</v>
      </c>
      <c r="F9" s="94" t="s">
        <v>79</v>
      </c>
      <c r="G9" s="402" t="s">
        <v>80</v>
      </c>
    </row>
    <row r="10" spans="1:7" ht="75" x14ac:dyDescent="0.25">
      <c r="A10" s="540"/>
      <c r="B10" s="537"/>
      <c r="C10" s="330" t="s">
        <v>81</v>
      </c>
      <c r="D10" s="82" t="s">
        <v>82</v>
      </c>
      <c r="E10" s="82" t="s">
        <v>60</v>
      </c>
      <c r="F10" s="82" t="s">
        <v>79</v>
      </c>
      <c r="G10" s="322" t="s">
        <v>83</v>
      </c>
    </row>
    <row r="11" spans="1:7" ht="45" x14ac:dyDescent="0.25">
      <c r="A11" s="540"/>
      <c r="B11" s="537"/>
      <c r="C11" s="330" t="s">
        <v>84</v>
      </c>
      <c r="D11" s="82" t="s">
        <v>85</v>
      </c>
      <c r="E11" s="82" t="s">
        <v>86</v>
      </c>
      <c r="F11" s="82" t="s">
        <v>79</v>
      </c>
      <c r="G11" s="95" t="s">
        <v>87</v>
      </c>
    </row>
    <row r="12" spans="1:7" ht="120" x14ac:dyDescent="0.25">
      <c r="A12" s="540"/>
      <c r="B12" s="537"/>
      <c r="C12" s="330" t="s">
        <v>88</v>
      </c>
      <c r="D12" s="349" t="s">
        <v>89</v>
      </c>
      <c r="E12" s="82" t="s">
        <v>86</v>
      </c>
      <c r="F12" s="82" t="s">
        <v>79</v>
      </c>
      <c r="G12" s="322" t="s">
        <v>90</v>
      </c>
    </row>
    <row r="13" spans="1:7" ht="30" x14ac:dyDescent="0.25">
      <c r="A13" s="540"/>
      <c r="B13" s="537"/>
      <c r="C13" s="330" t="s">
        <v>91</v>
      </c>
      <c r="D13" s="82" t="s">
        <v>92</v>
      </c>
      <c r="E13" s="82" t="s">
        <v>86</v>
      </c>
      <c r="F13" s="82" t="s">
        <v>79</v>
      </c>
      <c r="G13" s="95" t="s">
        <v>93</v>
      </c>
    </row>
    <row r="14" spans="1:7" ht="30" x14ac:dyDescent="0.25">
      <c r="A14" s="540"/>
      <c r="B14" s="537"/>
      <c r="C14" s="330" t="s">
        <v>94</v>
      </c>
      <c r="D14" s="82" t="s">
        <v>95</v>
      </c>
      <c r="E14" s="82" t="s">
        <v>86</v>
      </c>
      <c r="F14" s="82" t="s">
        <v>79</v>
      </c>
      <c r="G14" s="95" t="s">
        <v>93</v>
      </c>
    </row>
    <row r="15" spans="1:7" ht="30" x14ac:dyDescent="0.25">
      <c r="A15" s="540"/>
      <c r="B15" s="537"/>
      <c r="C15" s="121" t="s">
        <v>96</v>
      </c>
      <c r="D15" s="82" t="s">
        <v>97</v>
      </c>
      <c r="E15" s="82" t="s">
        <v>60</v>
      </c>
      <c r="F15" s="82" t="s">
        <v>79</v>
      </c>
      <c r="G15" s="95" t="s">
        <v>98</v>
      </c>
    </row>
    <row r="16" spans="1:7" ht="60" x14ac:dyDescent="0.25">
      <c r="A16" s="540"/>
      <c r="B16" s="537"/>
      <c r="C16" s="330" t="s">
        <v>99</v>
      </c>
      <c r="D16" s="349" t="s">
        <v>100</v>
      </c>
      <c r="E16" s="82" t="s">
        <v>86</v>
      </c>
      <c r="F16" s="82" t="s">
        <v>79</v>
      </c>
      <c r="G16" s="322" t="s">
        <v>101</v>
      </c>
    </row>
    <row r="17" spans="1:7" ht="30" x14ac:dyDescent="0.25">
      <c r="A17" s="540"/>
      <c r="B17" s="537"/>
      <c r="C17" s="330" t="s">
        <v>102</v>
      </c>
      <c r="D17" s="82" t="s">
        <v>103</v>
      </c>
      <c r="E17" s="82" t="s">
        <v>86</v>
      </c>
      <c r="F17" s="82" t="s">
        <v>79</v>
      </c>
      <c r="G17" s="95" t="s">
        <v>104</v>
      </c>
    </row>
    <row r="18" spans="1:7" ht="45" x14ac:dyDescent="0.25">
      <c r="A18" s="540"/>
      <c r="B18" s="537"/>
      <c r="C18" s="330" t="s">
        <v>105</v>
      </c>
      <c r="D18" s="82" t="s">
        <v>106</v>
      </c>
      <c r="E18" s="82" t="s">
        <v>86</v>
      </c>
      <c r="F18" s="82" t="s">
        <v>79</v>
      </c>
      <c r="G18" s="95" t="s">
        <v>107</v>
      </c>
    </row>
    <row r="19" spans="1:7" x14ac:dyDescent="0.25">
      <c r="A19" s="540"/>
      <c r="B19" s="537"/>
      <c r="C19" s="330" t="s">
        <v>108</v>
      </c>
      <c r="D19" s="82" t="s">
        <v>109</v>
      </c>
      <c r="E19" s="82" t="s">
        <v>86</v>
      </c>
      <c r="F19" s="82" t="s">
        <v>79</v>
      </c>
      <c r="G19" s="95" t="s">
        <v>110</v>
      </c>
    </row>
    <row r="20" spans="1:7" ht="105.75" thickBot="1" x14ac:dyDescent="0.3">
      <c r="A20" s="540"/>
      <c r="B20" s="538"/>
      <c r="C20" s="403" t="s">
        <v>1</v>
      </c>
      <c r="D20" s="503" t="s">
        <v>111</v>
      </c>
      <c r="E20" s="372" t="s">
        <v>86</v>
      </c>
      <c r="F20" s="372" t="s">
        <v>79</v>
      </c>
      <c r="G20" s="404" t="s">
        <v>112</v>
      </c>
    </row>
    <row r="21" spans="1:7" ht="45" x14ac:dyDescent="0.25">
      <c r="A21" s="540"/>
      <c r="B21" s="553" t="s">
        <v>113</v>
      </c>
      <c r="C21" s="331" t="s">
        <v>114</v>
      </c>
      <c r="D21" s="105" t="s">
        <v>115</v>
      </c>
      <c r="E21" s="105" t="s">
        <v>86</v>
      </c>
      <c r="F21" s="105" t="s">
        <v>116</v>
      </c>
      <c r="G21" s="168" t="s">
        <v>117</v>
      </c>
    </row>
    <row r="22" spans="1:7" ht="30" x14ac:dyDescent="0.25">
      <c r="A22" s="540"/>
      <c r="B22" s="554"/>
      <c r="C22" s="332" t="s">
        <v>118</v>
      </c>
      <c r="D22" s="408" t="s">
        <v>119</v>
      </c>
      <c r="E22" s="408" t="s">
        <v>86</v>
      </c>
      <c r="F22" s="408" t="s">
        <v>116</v>
      </c>
      <c r="G22" s="409" t="s">
        <v>120</v>
      </c>
    </row>
    <row r="23" spans="1:7" ht="15.75" thickBot="1" x14ac:dyDescent="0.3">
      <c r="A23" s="540"/>
      <c r="B23" s="555"/>
      <c r="C23" s="410" t="s">
        <v>121</v>
      </c>
      <c r="D23" s="107" t="s">
        <v>122</v>
      </c>
      <c r="E23" s="107" t="s">
        <v>86</v>
      </c>
      <c r="F23" s="107" t="s">
        <v>116</v>
      </c>
      <c r="G23" s="108" t="s">
        <v>123</v>
      </c>
    </row>
    <row r="24" spans="1:7" ht="30" customHeight="1" x14ac:dyDescent="0.25">
      <c r="A24" s="540"/>
      <c r="B24" s="556" t="s">
        <v>124</v>
      </c>
      <c r="C24" s="405" t="s">
        <v>125</v>
      </c>
      <c r="D24" s="406" t="s">
        <v>126</v>
      </c>
      <c r="E24" s="406" t="s">
        <v>86</v>
      </c>
      <c r="F24" s="406" t="s">
        <v>79</v>
      </c>
      <c r="G24" s="407" t="s">
        <v>127</v>
      </c>
    </row>
    <row r="25" spans="1:7" ht="30" customHeight="1" x14ac:dyDescent="0.25">
      <c r="A25" s="540"/>
      <c r="B25" s="557"/>
      <c r="C25" s="332" t="s">
        <v>128</v>
      </c>
      <c r="D25" s="109" t="s">
        <v>129</v>
      </c>
      <c r="E25" s="109" t="s">
        <v>86</v>
      </c>
      <c r="F25" s="109" t="s">
        <v>130</v>
      </c>
      <c r="G25" s="574" t="s">
        <v>131</v>
      </c>
    </row>
    <row r="26" spans="1:7" ht="30" x14ac:dyDescent="0.25">
      <c r="A26" s="540"/>
      <c r="B26" s="557"/>
      <c r="C26" s="276" t="s">
        <v>132</v>
      </c>
      <c r="D26" s="109" t="s">
        <v>133</v>
      </c>
      <c r="E26" s="109" t="s">
        <v>86</v>
      </c>
      <c r="F26" s="109" t="s">
        <v>130</v>
      </c>
      <c r="G26" s="575"/>
    </row>
    <row r="27" spans="1:7" x14ac:dyDescent="0.25">
      <c r="A27" s="540"/>
      <c r="B27" s="557"/>
      <c r="C27" s="332" t="s">
        <v>30</v>
      </c>
      <c r="D27" s="109" t="s">
        <v>134</v>
      </c>
      <c r="E27" s="109" t="s">
        <v>86</v>
      </c>
      <c r="F27" s="109" t="s">
        <v>130</v>
      </c>
      <c r="G27" s="575"/>
    </row>
    <row r="28" spans="1:7" x14ac:dyDescent="0.25">
      <c r="A28" s="540"/>
      <c r="B28" s="557"/>
      <c r="C28" s="332" t="s">
        <v>135</v>
      </c>
      <c r="D28" s="109" t="s">
        <v>136</v>
      </c>
      <c r="E28" s="109" t="s">
        <v>86</v>
      </c>
      <c r="F28" s="109" t="s">
        <v>130</v>
      </c>
      <c r="G28" s="575"/>
    </row>
    <row r="29" spans="1:7" x14ac:dyDescent="0.25">
      <c r="A29" s="540"/>
      <c r="B29" s="557"/>
      <c r="C29" s="332" t="s">
        <v>36</v>
      </c>
      <c r="D29" s="109" t="s">
        <v>137</v>
      </c>
      <c r="E29" s="109" t="s">
        <v>86</v>
      </c>
      <c r="F29" s="109" t="s">
        <v>130</v>
      </c>
      <c r="G29" s="575"/>
    </row>
    <row r="30" spans="1:7" x14ac:dyDescent="0.25">
      <c r="A30" s="540"/>
      <c r="B30" s="557"/>
      <c r="C30" s="332" t="s">
        <v>138</v>
      </c>
      <c r="D30" s="109" t="s">
        <v>139</v>
      </c>
      <c r="E30" s="109" t="s">
        <v>86</v>
      </c>
      <c r="F30" s="109" t="s">
        <v>130</v>
      </c>
      <c r="G30" s="575"/>
    </row>
    <row r="31" spans="1:7" x14ac:dyDescent="0.25">
      <c r="A31" s="540"/>
      <c r="B31" s="557"/>
      <c r="C31" s="276" t="s">
        <v>140</v>
      </c>
      <c r="D31" s="109" t="s">
        <v>141</v>
      </c>
      <c r="E31" s="109" t="s">
        <v>86</v>
      </c>
      <c r="F31" s="109" t="s">
        <v>130</v>
      </c>
      <c r="G31" s="575"/>
    </row>
    <row r="32" spans="1:7" ht="30.75" thickBot="1" x14ac:dyDescent="0.3">
      <c r="A32" s="540"/>
      <c r="B32" s="558"/>
      <c r="C32" s="333" t="s">
        <v>142</v>
      </c>
      <c r="D32" s="104" t="s">
        <v>143</v>
      </c>
      <c r="E32" s="104" t="s">
        <v>86</v>
      </c>
      <c r="F32" s="104" t="s">
        <v>130</v>
      </c>
      <c r="G32" s="576"/>
    </row>
    <row r="33" spans="1:7" ht="30" x14ac:dyDescent="0.25">
      <c r="A33" s="540"/>
      <c r="B33" s="559" t="s">
        <v>144</v>
      </c>
      <c r="C33" s="311" t="s">
        <v>132</v>
      </c>
      <c r="D33" s="274" t="s">
        <v>145</v>
      </c>
      <c r="E33" s="274" t="s">
        <v>86</v>
      </c>
      <c r="F33" s="274" t="s">
        <v>146</v>
      </c>
      <c r="G33" s="275" t="s">
        <v>147</v>
      </c>
    </row>
    <row r="34" spans="1:7" x14ac:dyDescent="0.25">
      <c r="A34" s="540"/>
      <c r="B34" s="560"/>
      <c r="C34" s="330" t="s">
        <v>30</v>
      </c>
      <c r="D34" s="83" t="s">
        <v>148</v>
      </c>
      <c r="E34" s="83" t="s">
        <v>86</v>
      </c>
      <c r="F34" s="83" t="s">
        <v>146</v>
      </c>
      <c r="G34" s="99"/>
    </row>
    <row r="35" spans="1:7" x14ac:dyDescent="0.25">
      <c r="A35" s="540"/>
      <c r="B35" s="560"/>
      <c r="C35" s="330" t="s">
        <v>135</v>
      </c>
      <c r="D35" s="83" t="s">
        <v>149</v>
      </c>
      <c r="E35" s="83" t="s">
        <v>86</v>
      </c>
      <c r="F35" s="83" t="s">
        <v>146</v>
      </c>
      <c r="G35" s="99" t="s">
        <v>150</v>
      </c>
    </row>
    <row r="36" spans="1:7" x14ac:dyDescent="0.25">
      <c r="A36" s="540"/>
      <c r="B36" s="560"/>
      <c r="C36" s="330" t="s">
        <v>36</v>
      </c>
      <c r="D36" s="83" t="s">
        <v>151</v>
      </c>
      <c r="E36" s="83" t="s">
        <v>86</v>
      </c>
      <c r="F36" s="83" t="s">
        <v>146</v>
      </c>
      <c r="G36" s="113"/>
    </row>
    <row r="37" spans="1:7" x14ac:dyDescent="0.25">
      <c r="A37" s="540"/>
      <c r="B37" s="560"/>
      <c r="C37" s="330" t="s">
        <v>138</v>
      </c>
      <c r="D37" s="83" t="s">
        <v>152</v>
      </c>
      <c r="E37" s="83" t="s">
        <v>86</v>
      </c>
      <c r="F37" s="83" t="s">
        <v>146</v>
      </c>
      <c r="G37" s="99" t="s">
        <v>153</v>
      </c>
    </row>
    <row r="38" spans="1:7" x14ac:dyDescent="0.25">
      <c r="A38" s="540"/>
      <c r="B38" s="560"/>
      <c r="C38" s="277" t="s">
        <v>140</v>
      </c>
      <c r="D38" s="83" t="s">
        <v>154</v>
      </c>
      <c r="E38" s="83" t="s">
        <v>86</v>
      </c>
      <c r="F38" s="83" t="s">
        <v>146</v>
      </c>
      <c r="G38" s="99"/>
    </row>
    <row r="39" spans="1:7" ht="30" x14ac:dyDescent="0.25">
      <c r="A39" s="540"/>
      <c r="B39" s="560"/>
      <c r="C39" s="332" t="s">
        <v>155</v>
      </c>
      <c r="D39" s="83" t="s">
        <v>156</v>
      </c>
      <c r="E39" s="83" t="s">
        <v>86</v>
      </c>
      <c r="F39" s="83" t="s">
        <v>146</v>
      </c>
      <c r="G39" s="99"/>
    </row>
    <row r="40" spans="1:7" ht="30" x14ac:dyDescent="0.25">
      <c r="A40" s="540"/>
      <c r="B40" s="560"/>
      <c r="C40" s="277" t="s">
        <v>157</v>
      </c>
      <c r="D40" s="83" t="s">
        <v>158</v>
      </c>
      <c r="E40" s="83" t="s">
        <v>60</v>
      </c>
      <c r="F40" s="83" t="s">
        <v>146</v>
      </c>
      <c r="G40" s="99" t="s">
        <v>159</v>
      </c>
    </row>
    <row r="41" spans="1:7" ht="45.75" thickBot="1" x14ac:dyDescent="0.3">
      <c r="A41" s="540"/>
      <c r="B41" s="561"/>
      <c r="C41" s="329" t="s">
        <v>160</v>
      </c>
      <c r="D41" s="100" t="s">
        <v>161</v>
      </c>
      <c r="E41" s="100" t="s">
        <v>86</v>
      </c>
      <c r="F41" s="100" t="s">
        <v>146</v>
      </c>
      <c r="G41" s="101" t="s">
        <v>162</v>
      </c>
    </row>
    <row r="42" spans="1:7" ht="135.75" thickBot="1" x14ac:dyDescent="0.3">
      <c r="A42" s="539" t="s">
        <v>63</v>
      </c>
      <c r="B42" s="411" t="s">
        <v>163</v>
      </c>
      <c r="C42" s="334" t="s">
        <v>88</v>
      </c>
      <c r="D42" s="412" t="s">
        <v>164</v>
      </c>
      <c r="E42" s="412" t="s">
        <v>86</v>
      </c>
      <c r="F42" s="412" t="s">
        <v>79</v>
      </c>
      <c r="G42" s="413" t="s">
        <v>165</v>
      </c>
    </row>
    <row r="43" spans="1:7" ht="15" customHeight="1" x14ac:dyDescent="0.25">
      <c r="A43" s="540"/>
      <c r="B43" s="544" t="s">
        <v>166</v>
      </c>
      <c r="C43" s="308" t="s">
        <v>167</v>
      </c>
      <c r="D43" s="296" t="s">
        <v>168</v>
      </c>
      <c r="E43" s="296" t="s">
        <v>67</v>
      </c>
      <c r="F43" s="296" t="s">
        <v>79</v>
      </c>
      <c r="G43" s="279" t="s">
        <v>169</v>
      </c>
    </row>
    <row r="44" spans="1:7" ht="30" x14ac:dyDescent="0.25">
      <c r="A44" s="540"/>
      <c r="B44" s="545"/>
      <c r="C44" s="309" t="s">
        <v>128</v>
      </c>
      <c r="D44" s="297" t="s">
        <v>170</v>
      </c>
      <c r="E44" s="297" t="s">
        <v>67</v>
      </c>
      <c r="F44" s="297" t="s">
        <v>79</v>
      </c>
      <c r="G44" s="280" t="s">
        <v>169</v>
      </c>
    </row>
    <row r="45" spans="1:7" ht="30" x14ac:dyDescent="0.25">
      <c r="A45" s="540"/>
      <c r="B45" s="545"/>
      <c r="C45" s="309" t="s">
        <v>105</v>
      </c>
      <c r="D45" s="297" t="s">
        <v>171</v>
      </c>
      <c r="E45" s="297" t="s">
        <v>67</v>
      </c>
      <c r="F45" s="297" t="s">
        <v>79</v>
      </c>
      <c r="G45" s="280" t="s">
        <v>172</v>
      </c>
    </row>
    <row r="46" spans="1:7" x14ac:dyDescent="0.25">
      <c r="A46" s="540"/>
      <c r="B46" s="545"/>
      <c r="C46" s="309" t="s">
        <v>173</v>
      </c>
      <c r="D46" s="297" t="s">
        <v>174</v>
      </c>
      <c r="E46" s="297" t="s">
        <v>67</v>
      </c>
      <c r="F46" s="297" t="s">
        <v>79</v>
      </c>
      <c r="G46" s="280" t="s">
        <v>169</v>
      </c>
    </row>
    <row r="47" spans="1:7" ht="15.75" thickBot="1" x14ac:dyDescent="0.3">
      <c r="A47" s="540"/>
      <c r="B47" s="546"/>
      <c r="C47" s="310" t="s">
        <v>175</v>
      </c>
      <c r="D47" s="298" t="s">
        <v>176</v>
      </c>
      <c r="E47" s="297" t="s">
        <v>67</v>
      </c>
      <c r="F47" s="298" t="s">
        <v>79</v>
      </c>
      <c r="G47" s="281" t="s">
        <v>169</v>
      </c>
    </row>
    <row r="48" spans="1:7" ht="30" x14ac:dyDescent="0.25">
      <c r="A48" s="540"/>
      <c r="B48" s="547" t="s">
        <v>177</v>
      </c>
      <c r="C48" s="305" t="s">
        <v>132</v>
      </c>
      <c r="D48" s="299" t="s">
        <v>178</v>
      </c>
      <c r="E48" s="299" t="s">
        <v>67</v>
      </c>
      <c r="F48" s="299" t="s">
        <v>130</v>
      </c>
      <c r="G48" s="577" t="s">
        <v>179</v>
      </c>
    </row>
    <row r="49" spans="1:7" ht="30" x14ac:dyDescent="0.25">
      <c r="A49" s="540"/>
      <c r="B49" s="547"/>
      <c r="C49" s="306" t="s">
        <v>30</v>
      </c>
      <c r="D49" s="282" t="s">
        <v>180</v>
      </c>
      <c r="E49" s="282" t="s">
        <v>67</v>
      </c>
      <c r="F49" s="282" t="s">
        <v>130</v>
      </c>
      <c r="G49" s="578"/>
    </row>
    <row r="50" spans="1:7" ht="30" x14ac:dyDescent="0.25">
      <c r="A50" s="540"/>
      <c r="B50" s="547"/>
      <c r="C50" s="306" t="s">
        <v>135</v>
      </c>
      <c r="D50" s="282" t="s">
        <v>181</v>
      </c>
      <c r="E50" s="282" t="s">
        <v>67</v>
      </c>
      <c r="F50" s="282" t="s">
        <v>130</v>
      </c>
      <c r="G50" s="578"/>
    </row>
    <row r="51" spans="1:7" ht="30" x14ac:dyDescent="0.25">
      <c r="A51" s="540"/>
      <c r="B51" s="547"/>
      <c r="C51" s="306" t="s">
        <v>36</v>
      </c>
      <c r="D51" s="282" t="s">
        <v>182</v>
      </c>
      <c r="E51" s="282" t="s">
        <v>67</v>
      </c>
      <c r="F51" s="282" t="s">
        <v>130</v>
      </c>
      <c r="G51" s="578"/>
    </row>
    <row r="52" spans="1:7" ht="30" x14ac:dyDescent="0.25">
      <c r="A52" s="540"/>
      <c r="B52" s="547"/>
      <c r="C52" s="306" t="s">
        <v>138</v>
      </c>
      <c r="D52" s="282" t="s">
        <v>183</v>
      </c>
      <c r="E52" s="282" t="s">
        <v>67</v>
      </c>
      <c r="F52" s="282" t="s">
        <v>130</v>
      </c>
      <c r="G52" s="578"/>
    </row>
    <row r="53" spans="1:7" ht="30" x14ac:dyDescent="0.25">
      <c r="A53" s="540"/>
      <c r="B53" s="547"/>
      <c r="C53" s="306" t="s">
        <v>184</v>
      </c>
      <c r="D53" s="282" t="s">
        <v>185</v>
      </c>
      <c r="E53" s="282" t="s">
        <v>67</v>
      </c>
      <c r="F53" s="282" t="s">
        <v>130</v>
      </c>
      <c r="G53" s="578"/>
    </row>
    <row r="54" spans="1:7" x14ac:dyDescent="0.25">
      <c r="A54" s="540"/>
      <c r="B54" s="547"/>
      <c r="C54" s="306" t="s">
        <v>140</v>
      </c>
      <c r="D54" s="282" t="s">
        <v>186</v>
      </c>
      <c r="E54" s="282" t="s">
        <v>67</v>
      </c>
      <c r="F54" s="282" t="s">
        <v>130</v>
      </c>
      <c r="G54" s="578"/>
    </row>
    <row r="55" spans="1:7" ht="30.75" thickBot="1" x14ac:dyDescent="0.3">
      <c r="A55" s="540"/>
      <c r="B55" s="548"/>
      <c r="C55" s="307" t="s">
        <v>187</v>
      </c>
      <c r="D55" s="300" t="s">
        <v>188</v>
      </c>
      <c r="E55" s="300" t="s">
        <v>67</v>
      </c>
      <c r="F55" s="300" t="s">
        <v>130</v>
      </c>
      <c r="G55" s="579"/>
    </row>
    <row r="56" spans="1:7" ht="30" x14ac:dyDescent="0.25">
      <c r="A56" s="540"/>
      <c r="B56" s="549" t="s">
        <v>144</v>
      </c>
      <c r="C56" s="398" t="s">
        <v>132</v>
      </c>
      <c r="D56" s="399" t="s">
        <v>189</v>
      </c>
      <c r="E56" s="399" t="s">
        <v>67</v>
      </c>
      <c r="F56" s="399" t="s">
        <v>146</v>
      </c>
      <c r="G56" s="400" t="s">
        <v>169</v>
      </c>
    </row>
    <row r="57" spans="1:7" ht="30" x14ac:dyDescent="0.25">
      <c r="A57" s="540"/>
      <c r="B57" s="550"/>
      <c r="C57" s="303" t="s">
        <v>30</v>
      </c>
      <c r="D57" s="301" t="s">
        <v>190</v>
      </c>
      <c r="E57" s="301" t="s">
        <v>67</v>
      </c>
      <c r="F57" s="301" t="s">
        <v>146</v>
      </c>
      <c r="G57" s="278" t="s">
        <v>169</v>
      </c>
    </row>
    <row r="58" spans="1:7" ht="30" x14ac:dyDescent="0.25">
      <c r="A58" s="540"/>
      <c r="B58" s="550"/>
      <c r="C58" s="303" t="s">
        <v>135</v>
      </c>
      <c r="D58" s="301" t="s">
        <v>191</v>
      </c>
      <c r="E58" s="301" t="s">
        <v>67</v>
      </c>
      <c r="F58" s="301" t="s">
        <v>146</v>
      </c>
      <c r="G58" s="278" t="s">
        <v>169</v>
      </c>
    </row>
    <row r="59" spans="1:7" x14ac:dyDescent="0.25">
      <c r="A59" s="540"/>
      <c r="B59" s="550"/>
      <c r="C59" s="303" t="s">
        <v>36</v>
      </c>
      <c r="D59" s="301" t="s">
        <v>192</v>
      </c>
      <c r="E59" s="301" t="s">
        <v>67</v>
      </c>
      <c r="F59" s="301" t="s">
        <v>146</v>
      </c>
      <c r="G59" s="278" t="s">
        <v>169</v>
      </c>
    </row>
    <row r="60" spans="1:7" ht="30" x14ac:dyDescent="0.25">
      <c r="A60" s="540"/>
      <c r="B60" s="550"/>
      <c r="C60" s="303" t="s">
        <v>138</v>
      </c>
      <c r="D60" s="301" t="s">
        <v>193</v>
      </c>
      <c r="E60" s="301" t="s">
        <v>67</v>
      </c>
      <c r="F60" s="301" t="s">
        <v>146</v>
      </c>
      <c r="G60" s="278" t="s">
        <v>169</v>
      </c>
    </row>
    <row r="61" spans="1:7" x14ac:dyDescent="0.25">
      <c r="A61" s="540"/>
      <c r="B61" s="550"/>
      <c r="C61" s="303" t="s">
        <v>184</v>
      </c>
      <c r="D61" s="301" t="s">
        <v>194</v>
      </c>
      <c r="E61" s="301" t="s">
        <v>67</v>
      </c>
      <c r="F61" s="301" t="s">
        <v>146</v>
      </c>
      <c r="G61" s="278" t="s">
        <v>169</v>
      </c>
    </row>
    <row r="62" spans="1:7" x14ac:dyDescent="0.25">
      <c r="A62" s="540"/>
      <c r="B62" s="550"/>
      <c r="C62" s="303" t="s">
        <v>140</v>
      </c>
      <c r="D62" s="301" t="s">
        <v>195</v>
      </c>
      <c r="E62" s="301" t="s">
        <v>67</v>
      </c>
      <c r="F62" s="301" t="s">
        <v>146</v>
      </c>
      <c r="G62" s="278" t="s">
        <v>169</v>
      </c>
    </row>
    <row r="63" spans="1:7" ht="15.75" thickBot="1" x14ac:dyDescent="0.3">
      <c r="A63" s="552"/>
      <c r="B63" s="551"/>
      <c r="C63" s="304" t="s">
        <v>187</v>
      </c>
      <c r="D63" s="302" t="s">
        <v>196</v>
      </c>
      <c r="E63" s="302" t="s">
        <v>67</v>
      </c>
      <c r="F63" s="302" t="s">
        <v>146</v>
      </c>
      <c r="G63" s="283" t="s">
        <v>169</v>
      </c>
    </row>
    <row r="64" spans="1:7" ht="120" x14ac:dyDescent="0.25">
      <c r="A64" s="540" t="s">
        <v>65</v>
      </c>
      <c r="B64" s="541" t="s">
        <v>197</v>
      </c>
      <c r="C64" s="331" t="s">
        <v>77</v>
      </c>
      <c r="D64" s="285" t="s">
        <v>198</v>
      </c>
      <c r="E64" s="285" t="s">
        <v>60</v>
      </c>
      <c r="F64" s="285" t="s">
        <v>79</v>
      </c>
      <c r="G64" s="414" t="s">
        <v>199</v>
      </c>
    </row>
    <row r="65" spans="1:7" ht="60" x14ac:dyDescent="0.25">
      <c r="A65" s="540"/>
      <c r="B65" s="542"/>
      <c r="C65" s="332" t="s">
        <v>81</v>
      </c>
      <c r="D65" s="286" t="s">
        <v>82</v>
      </c>
      <c r="E65" s="286" t="s">
        <v>60</v>
      </c>
      <c r="F65" s="286" t="s">
        <v>79</v>
      </c>
      <c r="G65" s="416" t="s">
        <v>200</v>
      </c>
    </row>
    <row r="66" spans="1:7" ht="30" x14ac:dyDescent="0.25">
      <c r="A66" s="540"/>
      <c r="B66" s="542"/>
      <c r="C66" s="332" t="s">
        <v>96</v>
      </c>
      <c r="D66" s="286" t="s">
        <v>97</v>
      </c>
      <c r="E66" s="286" t="s">
        <v>60</v>
      </c>
      <c r="F66" s="286" t="s">
        <v>79</v>
      </c>
      <c r="G66" s="287" t="s">
        <v>201</v>
      </c>
    </row>
    <row r="67" spans="1:7" ht="30" x14ac:dyDescent="0.25">
      <c r="A67" s="540"/>
      <c r="B67" s="542"/>
      <c r="C67" s="332" t="s">
        <v>202</v>
      </c>
      <c r="D67" s="286" t="s">
        <v>203</v>
      </c>
      <c r="E67" s="286" t="s">
        <v>60</v>
      </c>
      <c r="F67" s="286" t="s">
        <v>79</v>
      </c>
      <c r="G67" s="287" t="s">
        <v>204</v>
      </c>
    </row>
    <row r="68" spans="1:7" x14ac:dyDescent="0.25">
      <c r="A68" s="540"/>
      <c r="B68" s="542"/>
      <c r="C68" s="332" t="s">
        <v>1</v>
      </c>
      <c r="D68" s="286" t="s">
        <v>205</v>
      </c>
      <c r="E68" s="286" t="s">
        <v>60</v>
      </c>
      <c r="F68" s="286" t="s">
        <v>79</v>
      </c>
      <c r="G68" s="287" t="s">
        <v>206</v>
      </c>
    </row>
    <row r="69" spans="1:7" ht="15.75" thickBot="1" x14ac:dyDescent="0.3">
      <c r="A69" s="540"/>
      <c r="B69" s="543"/>
      <c r="C69" s="333" t="s">
        <v>207</v>
      </c>
      <c r="D69" s="288" t="s">
        <v>208</v>
      </c>
      <c r="E69" s="288" t="s">
        <v>60</v>
      </c>
      <c r="F69" s="288" t="s">
        <v>79</v>
      </c>
      <c r="G69" s="289"/>
    </row>
    <row r="70" spans="1:7" ht="150" x14ac:dyDescent="0.25">
      <c r="A70" s="539" t="s">
        <v>68</v>
      </c>
      <c r="B70" s="536" t="s">
        <v>76</v>
      </c>
      <c r="C70" s="341" t="s">
        <v>77</v>
      </c>
      <c r="D70" s="284" t="s">
        <v>209</v>
      </c>
      <c r="E70" s="284" t="s">
        <v>60</v>
      </c>
      <c r="F70" s="284" t="s">
        <v>79</v>
      </c>
      <c r="G70" s="415" t="s">
        <v>210</v>
      </c>
    </row>
    <row r="71" spans="1:7" x14ac:dyDescent="0.25">
      <c r="A71" s="540"/>
      <c r="B71" s="537"/>
      <c r="C71" s="121" t="s">
        <v>81</v>
      </c>
      <c r="D71" s="82" t="s">
        <v>82</v>
      </c>
      <c r="E71" s="82" t="s">
        <v>60</v>
      </c>
      <c r="F71" s="82" t="s">
        <v>79</v>
      </c>
      <c r="G71" s="95" t="s">
        <v>169</v>
      </c>
    </row>
    <row r="72" spans="1:7" ht="30" x14ac:dyDescent="0.25">
      <c r="A72" s="540"/>
      <c r="B72" s="537"/>
      <c r="C72" s="121" t="s">
        <v>96</v>
      </c>
      <c r="D72" s="82" t="s">
        <v>97</v>
      </c>
      <c r="E72" s="82" t="s">
        <v>60</v>
      </c>
      <c r="F72" s="82" t="s">
        <v>79</v>
      </c>
      <c r="G72" s="95" t="s">
        <v>211</v>
      </c>
    </row>
    <row r="73" spans="1:7" x14ac:dyDescent="0.25">
      <c r="A73" s="540"/>
      <c r="B73" s="537"/>
      <c r="C73" s="121" t="s">
        <v>212</v>
      </c>
      <c r="D73" s="82" t="s">
        <v>213</v>
      </c>
      <c r="E73" s="82" t="s">
        <v>86</v>
      </c>
      <c r="F73" s="82" t="s">
        <v>79</v>
      </c>
      <c r="G73" s="95" t="s">
        <v>169</v>
      </c>
    </row>
    <row r="74" spans="1:7" ht="60" customHeight="1" x14ac:dyDescent="0.25">
      <c r="A74" s="540"/>
      <c r="B74" s="537"/>
      <c r="C74" s="121" t="s">
        <v>88</v>
      </c>
      <c r="D74" s="82" t="s">
        <v>214</v>
      </c>
      <c r="E74" s="82" t="s">
        <v>86</v>
      </c>
      <c r="F74" s="82" t="s">
        <v>79</v>
      </c>
      <c r="G74" s="95" t="s">
        <v>169</v>
      </c>
    </row>
    <row r="75" spans="1:7" x14ac:dyDescent="0.25">
      <c r="A75" s="540"/>
      <c r="B75" s="537"/>
      <c r="C75" s="121" t="s">
        <v>1</v>
      </c>
      <c r="D75" s="82" t="s">
        <v>205</v>
      </c>
      <c r="E75" s="82" t="s">
        <v>86</v>
      </c>
      <c r="F75" s="82" t="s">
        <v>79</v>
      </c>
      <c r="G75" s="95" t="s">
        <v>169</v>
      </c>
    </row>
    <row r="76" spans="1:7" ht="105" x14ac:dyDescent="0.25">
      <c r="A76" s="540"/>
      <c r="B76" s="537"/>
      <c r="C76" s="121" t="s">
        <v>215</v>
      </c>
      <c r="D76" s="82" t="s">
        <v>216</v>
      </c>
      <c r="E76" s="82" t="s">
        <v>60</v>
      </c>
      <c r="F76" s="82" t="s">
        <v>79</v>
      </c>
      <c r="G76" s="322" t="s">
        <v>217</v>
      </c>
    </row>
    <row r="77" spans="1:7" ht="105" x14ac:dyDescent="0.25">
      <c r="A77" s="540"/>
      <c r="B77" s="537"/>
      <c r="C77" s="121" t="s">
        <v>218</v>
      </c>
      <c r="D77" s="82" t="s">
        <v>219</v>
      </c>
      <c r="E77" s="82" t="s">
        <v>60</v>
      </c>
      <c r="F77" s="82" t="s">
        <v>79</v>
      </c>
      <c r="G77" s="322" t="s">
        <v>220</v>
      </c>
    </row>
    <row r="78" spans="1:7" ht="30" x14ac:dyDescent="0.25">
      <c r="A78" s="540"/>
      <c r="B78" s="537"/>
      <c r="C78" s="121" t="s">
        <v>105</v>
      </c>
      <c r="D78" s="82" t="s">
        <v>171</v>
      </c>
      <c r="E78" s="82" t="s">
        <v>86</v>
      </c>
      <c r="F78" s="82" t="s">
        <v>79</v>
      </c>
      <c r="G78" s="95" t="s">
        <v>172</v>
      </c>
    </row>
    <row r="79" spans="1:7" ht="30.75" thickBot="1" x14ac:dyDescent="0.3">
      <c r="A79" s="540"/>
      <c r="B79" s="538"/>
      <c r="C79" s="122" t="s">
        <v>221</v>
      </c>
      <c r="D79" s="96" t="s">
        <v>222</v>
      </c>
      <c r="E79" s="96" t="s">
        <v>60</v>
      </c>
      <c r="F79" s="96" t="s">
        <v>79</v>
      </c>
      <c r="G79" s="97" t="s">
        <v>223</v>
      </c>
    </row>
    <row r="80" spans="1:7" ht="30" x14ac:dyDescent="0.25">
      <c r="A80" s="540"/>
      <c r="B80" s="580" t="s">
        <v>113</v>
      </c>
      <c r="C80" s="123" t="s">
        <v>114</v>
      </c>
      <c r="D80" s="105" t="s">
        <v>224</v>
      </c>
      <c r="E80" s="105" t="s">
        <v>60</v>
      </c>
      <c r="F80" s="105" t="s">
        <v>225</v>
      </c>
      <c r="G80" s="106" t="s">
        <v>223</v>
      </c>
    </row>
    <row r="81" spans="1:7" ht="30.75" thickBot="1" x14ac:dyDescent="0.3">
      <c r="A81" s="540"/>
      <c r="B81" s="581"/>
      <c r="C81" s="124" t="s">
        <v>121</v>
      </c>
      <c r="D81" s="107" t="s">
        <v>226</v>
      </c>
      <c r="E81" s="107" t="s">
        <v>60</v>
      </c>
      <c r="F81" s="107" t="s">
        <v>225</v>
      </c>
      <c r="G81" s="108" t="s">
        <v>223</v>
      </c>
    </row>
    <row r="82" spans="1:7" ht="30" x14ac:dyDescent="0.25">
      <c r="A82" s="540"/>
      <c r="B82" s="582" t="s">
        <v>124</v>
      </c>
      <c r="C82" s="125" t="s">
        <v>227</v>
      </c>
      <c r="D82" s="102" t="s">
        <v>228</v>
      </c>
      <c r="E82" s="102" t="s">
        <v>60</v>
      </c>
      <c r="F82" s="102" t="s">
        <v>79</v>
      </c>
      <c r="G82" s="103" t="s">
        <v>223</v>
      </c>
    </row>
    <row r="83" spans="1:7" ht="30" x14ac:dyDescent="0.25">
      <c r="A83" s="540"/>
      <c r="B83" s="583"/>
      <c r="C83" s="127" t="s">
        <v>229</v>
      </c>
      <c r="D83" s="109" t="s">
        <v>230</v>
      </c>
      <c r="E83" s="109" t="s">
        <v>60</v>
      </c>
      <c r="F83" s="109" t="s">
        <v>225</v>
      </c>
      <c r="G83" s="114" t="s">
        <v>223</v>
      </c>
    </row>
    <row r="84" spans="1:7" ht="30.75" thickBot="1" x14ac:dyDescent="0.3">
      <c r="A84" s="540"/>
      <c r="B84" s="584"/>
      <c r="C84" s="128" t="s">
        <v>187</v>
      </c>
      <c r="D84" s="119" t="s">
        <v>231</v>
      </c>
      <c r="E84" s="119" t="s">
        <v>60</v>
      </c>
      <c r="F84" s="119" t="s">
        <v>225</v>
      </c>
      <c r="G84" s="120" t="s">
        <v>223</v>
      </c>
    </row>
    <row r="85" spans="1:7" ht="30" x14ac:dyDescent="0.25">
      <c r="A85" s="540"/>
      <c r="B85" s="585" t="s">
        <v>144</v>
      </c>
      <c r="C85" s="126" t="s">
        <v>232</v>
      </c>
      <c r="D85" s="111" t="s">
        <v>233</v>
      </c>
      <c r="E85" s="111" t="s">
        <v>60</v>
      </c>
      <c r="F85" s="111" t="s">
        <v>225</v>
      </c>
      <c r="G85" s="112" t="s">
        <v>223</v>
      </c>
    </row>
    <row r="86" spans="1:7" ht="30" x14ac:dyDescent="0.25">
      <c r="A86" s="540"/>
      <c r="B86" s="586"/>
      <c r="C86" s="98" t="s">
        <v>229</v>
      </c>
      <c r="D86" s="83" t="s">
        <v>234</v>
      </c>
      <c r="E86" s="83" t="s">
        <v>60</v>
      </c>
      <c r="F86" s="83" t="s">
        <v>225</v>
      </c>
      <c r="G86" s="99" t="s">
        <v>223</v>
      </c>
    </row>
    <row r="87" spans="1:7" ht="30" x14ac:dyDescent="0.25">
      <c r="A87" s="540"/>
      <c r="B87" s="586"/>
      <c r="C87" s="98" t="s">
        <v>184</v>
      </c>
      <c r="D87" s="83" t="s">
        <v>235</v>
      </c>
      <c r="E87" s="83" t="s">
        <v>60</v>
      </c>
      <c r="F87" s="83" t="s">
        <v>225</v>
      </c>
      <c r="G87" s="99" t="s">
        <v>223</v>
      </c>
    </row>
    <row r="88" spans="1:7" ht="30" x14ac:dyDescent="0.25">
      <c r="A88" s="540"/>
      <c r="B88" s="586"/>
      <c r="C88" s="98" t="s">
        <v>140</v>
      </c>
      <c r="D88" s="83" t="s">
        <v>236</v>
      </c>
      <c r="E88" s="83" t="s">
        <v>60</v>
      </c>
      <c r="F88" s="83" t="s">
        <v>225</v>
      </c>
      <c r="G88" s="99" t="s">
        <v>223</v>
      </c>
    </row>
    <row r="89" spans="1:7" ht="45" customHeight="1" x14ac:dyDescent="0.25">
      <c r="A89" s="540"/>
      <c r="B89" s="586"/>
      <c r="C89" s="98" t="s">
        <v>187</v>
      </c>
      <c r="D89" s="83" t="s">
        <v>237</v>
      </c>
      <c r="E89" s="83" t="s">
        <v>60</v>
      </c>
      <c r="F89" s="83" t="s">
        <v>225</v>
      </c>
      <c r="G89" s="99" t="s">
        <v>223</v>
      </c>
    </row>
    <row r="90" spans="1:7" ht="30.75" thickBot="1" x14ac:dyDescent="0.3">
      <c r="A90" s="552"/>
      <c r="B90" s="587"/>
      <c r="C90" s="329"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588" t="s">
        <v>240</v>
      </c>
      <c r="B2" s="588"/>
      <c r="C2" s="588"/>
      <c r="D2" s="588"/>
      <c r="E2" s="588"/>
      <c r="F2" s="89"/>
      <c r="G2" s="89"/>
      <c r="H2" s="89"/>
      <c r="I2" s="89"/>
      <c r="J2" s="89"/>
      <c r="K2" s="89"/>
      <c r="L2" s="89"/>
      <c r="M2" s="89"/>
      <c r="N2" s="89"/>
      <c r="O2" s="89"/>
      <c r="P2" s="89"/>
      <c r="Q2" s="89"/>
      <c r="R2" s="89"/>
    </row>
    <row r="3" spans="1:19" ht="45" x14ac:dyDescent="0.25">
      <c r="A3" s="504" t="s">
        <v>241</v>
      </c>
      <c r="B3" s="504" t="s">
        <v>242</v>
      </c>
      <c r="C3" s="504" t="s">
        <v>243</v>
      </c>
      <c r="D3" s="504" t="s">
        <v>244</v>
      </c>
      <c r="E3" s="504" t="s">
        <v>245</v>
      </c>
    </row>
    <row r="4" spans="1:19" x14ac:dyDescent="0.25">
      <c r="A4" s="505" t="s">
        <v>246</v>
      </c>
      <c r="B4" s="505" t="s">
        <v>247</v>
      </c>
      <c r="C4" s="505" t="s">
        <v>248</v>
      </c>
      <c r="D4" s="505" t="s">
        <v>249</v>
      </c>
      <c r="E4" s="505" t="s">
        <v>248</v>
      </c>
    </row>
    <row r="5" spans="1:19" x14ac:dyDescent="0.25">
      <c r="A5" s="505" t="s">
        <v>250</v>
      </c>
      <c r="B5" s="505" t="s">
        <v>251</v>
      </c>
      <c r="C5" s="505" t="s">
        <v>252</v>
      </c>
      <c r="D5" s="505" t="s">
        <v>249</v>
      </c>
      <c r="E5" s="505" t="s">
        <v>248</v>
      </c>
    </row>
    <row r="6" spans="1:19" x14ac:dyDescent="0.25">
      <c r="A6" s="81"/>
    </row>
    <row r="7" spans="1:19" ht="59.25" customHeight="1" x14ac:dyDescent="0.25">
      <c r="A7" s="588" t="s">
        <v>253</v>
      </c>
      <c r="B7" s="589"/>
      <c r="C7" s="589"/>
      <c r="D7" s="589"/>
      <c r="E7" s="589"/>
      <c r="F7" s="589"/>
      <c r="G7" s="589"/>
      <c r="H7" s="589"/>
      <c r="I7" s="589"/>
      <c r="J7" s="589"/>
      <c r="K7" s="589"/>
      <c r="L7" s="589"/>
      <c r="M7" s="89"/>
      <c r="N7" s="89"/>
      <c r="O7" s="89"/>
      <c r="P7" s="89"/>
      <c r="Q7" s="89"/>
      <c r="R7" s="89"/>
      <c r="S7" s="89"/>
    </row>
    <row r="8" spans="1:19" x14ac:dyDescent="0.25">
      <c r="A8" s="506" t="s">
        <v>254</v>
      </c>
      <c r="B8" s="507"/>
      <c r="C8" s="507"/>
      <c r="D8" s="507"/>
      <c r="E8" s="507"/>
      <c r="F8" s="507"/>
      <c r="G8" s="507"/>
      <c r="H8" s="507"/>
      <c r="I8" s="507"/>
      <c r="J8" s="507"/>
      <c r="K8" s="507"/>
      <c r="L8" s="507"/>
      <c r="M8" s="89"/>
      <c r="N8" s="89"/>
      <c r="O8" s="89"/>
      <c r="P8" s="89"/>
      <c r="Q8" s="89"/>
      <c r="R8" s="89"/>
      <c r="S8" s="89"/>
    </row>
    <row r="9" spans="1:19" x14ac:dyDescent="0.25">
      <c r="A9" s="508" t="s">
        <v>77</v>
      </c>
      <c r="B9" s="509" t="s">
        <v>81</v>
      </c>
      <c r="C9" s="509" t="s">
        <v>84</v>
      </c>
      <c r="D9" s="510" t="s">
        <v>88</v>
      </c>
      <c r="E9" s="509" t="s">
        <v>91</v>
      </c>
      <c r="F9" s="509" t="s">
        <v>94</v>
      </c>
      <c r="G9" s="509" t="s">
        <v>96</v>
      </c>
      <c r="H9" s="509" t="s">
        <v>99</v>
      </c>
      <c r="I9" s="509" t="s">
        <v>102</v>
      </c>
      <c r="J9" s="511" t="s">
        <v>105</v>
      </c>
      <c r="K9" s="511" t="s">
        <v>108</v>
      </c>
      <c r="L9" s="512" t="s">
        <v>1</v>
      </c>
    </row>
    <row r="10" spans="1:19" x14ac:dyDescent="0.25">
      <c r="A10" s="513" t="s">
        <v>255</v>
      </c>
      <c r="B10" s="514" t="s">
        <v>256</v>
      </c>
      <c r="C10" s="514"/>
      <c r="D10" s="515" t="s">
        <v>257</v>
      </c>
      <c r="E10" s="516"/>
      <c r="F10" s="514" t="s">
        <v>258</v>
      </c>
      <c r="G10" s="515" t="s">
        <v>259</v>
      </c>
      <c r="H10" s="514" t="s">
        <v>260</v>
      </c>
      <c r="I10" s="514"/>
      <c r="J10" s="515">
        <v>1</v>
      </c>
      <c r="K10" s="515">
        <v>1</v>
      </c>
      <c r="L10" s="515" t="s">
        <v>261</v>
      </c>
    </row>
    <row r="11" spans="1:19" x14ac:dyDescent="0.25">
      <c r="A11" s="513" t="s">
        <v>262</v>
      </c>
      <c r="B11" s="514" t="s">
        <v>263</v>
      </c>
      <c r="C11" s="514"/>
      <c r="D11" s="515" t="s">
        <v>264</v>
      </c>
      <c r="E11" s="516"/>
      <c r="F11" s="514" t="s">
        <v>265</v>
      </c>
      <c r="G11" s="515" t="s">
        <v>259</v>
      </c>
      <c r="H11" s="514" t="s">
        <v>266</v>
      </c>
      <c r="I11" s="514"/>
      <c r="J11" s="515">
        <v>1</v>
      </c>
      <c r="K11" s="515">
        <v>1</v>
      </c>
      <c r="L11" s="515" t="s">
        <v>267</v>
      </c>
    </row>
    <row r="12" spans="1:19" ht="45" x14ac:dyDescent="0.25">
      <c r="A12" s="513" t="s">
        <v>268</v>
      </c>
      <c r="B12" s="513" t="s">
        <v>269</v>
      </c>
      <c r="C12" s="514"/>
      <c r="D12" s="515" t="s">
        <v>247</v>
      </c>
      <c r="E12" s="516"/>
      <c r="F12" s="514" t="s">
        <v>270</v>
      </c>
      <c r="G12" s="515" t="e">
        <v>#N/A</v>
      </c>
      <c r="H12" s="514" t="s">
        <v>249</v>
      </c>
      <c r="I12" s="514"/>
      <c r="J12" s="515">
        <v>1</v>
      </c>
      <c r="K12" s="515">
        <v>1</v>
      </c>
      <c r="L12" s="515" t="s">
        <v>261</v>
      </c>
    </row>
    <row r="13" spans="1:19" x14ac:dyDescent="0.25">
      <c r="A13" s="517" t="s">
        <v>271</v>
      </c>
    </row>
    <row r="14" spans="1:19" x14ac:dyDescent="0.25">
      <c r="A14" s="508" t="s">
        <v>77</v>
      </c>
      <c r="B14" s="509" t="s">
        <v>81</v>
      </c>
      <c r="C14" s="509" t="s">
        <v>84</v>
      </c>
      <c r="D14" s="510" t="s">
        <v>88</v>
      </c>
      <c r="E14" s="509" t="s">
        <v>91</v>
      </c>
      <c r="F14" s="509" t="s">
        <v>94</v>
      </c>
      <c r="G14" s="509" t="s">
        <v>96</v>
      </c>
      <c r="H14" s="509" t="s">
        <v>99</v>
      </c>
      <c r="I14" s="509" t="s">
        <v>102</v>
      </c>
      <c r="J14" s="511" t="s">
        <v>105</v>
      </c>
      <c r="K14" s="511" t="s">
        <v>108</v>
      </c>
      <c r="L14" s="518" t="s">
        <v>1</v>
      </c>
      <c r="M14" s="511" t="s">
        <v>114</v>
      </c>
      <c r="N14" s="511" t="s">
        <v>118</v>
      </c>
      <c r="O14" s="511" t="s">
        <v>121</v>
      </c>
      <c r="P14" s="511" t="s">
        <v>125</v>
      </c>
      <c r="Q14" s="511" t="s">
        <v>128</v>
      </c>
      <c r="R14" s="511" t="s">
        <v>132</v>
      </c>
      <c r="S14" s="511" t="s">
        <v>157</v>
      </c>
    </row>
    <row r="15" spans="1:19" x14ac:dyDescent="0.25">
      <c r="A15" s="513" t="s">
        <v>272</v>
      </c>
      <c r="B15" s="514" t="s">
        <v>273</v>
      </c>
      <c r="C15" s="514"/>
      <c r="D15" s="515" t="s">
        <v>252</v>
      </c>
      <c r="E15" s="514"/>
      <c r="F15" s="514" t="s">
        <v>274</v>
      </c>
      <c r="G15" s="515" t="s">
        <v>259</v>
      </c>
      <c r="H15" s="514" t="s">
        <v>275</v>
      </c>
      <c r="I15" s="514"/>
      <c r="J15" s="515">
        <v>1</v>
      </c>
      <c r="K15" s="515">
        <v>1</v>
      </c>
      <c r="L15" s="515" t="s">
        <v>276</v>
      </c>
      <c r="M15" s="519">
        <v>0</v>
      </c>
      <c r="N15" s="515"/>
      <c r="O15" s="519">
        <v>0</v>
      </c>
      <c r="P15" s="514" t="s">
        <v>48</v>
      </c>
      <c r="Q15" s="515">
        <v>1</v>
      </c>
      <c r="R15" s="515">
        <v>0</v>
      </c>
      <c r="S15" s="514" t="s">
        <v>277</v>
      </c>
    </row>
    <row r="16" spans="1:19" x14ac:dyDescent="0.25">
      <c r="A16" s="513" t="s">
        <v>250</v>
      </c>
      <c r="B16" s="514" t="s">
        <v>278</v>
      </c>
      <c r="C16" s="514"/>
      <c r="D16" s="520" t="s">
        <v>247</v>
      </c>
      <c r="E16" s="514"/>
      <c r="F16" s="514" t="s">
        <v>279</v>
      </c>
      <c r="G16" s="515" t="s">
        <v>280</v>
      </c>
      <c r="H16" s="521" t="s">
        <v>249</v>
      </c>
      <c r="I16" s="514"/>
      <c r="J16" s="515">
        <v>1</v>
      </c>
      <c r="K16" s="515">
        <v>1</v>
      </c>
      <c r="L16" s="515" t="s">
        <v>261</v>
      </c>
      <c r="M16" s="519">
        <v>0</v>
      </c>
      <c r="N16" s="515"/>
      <c r="O16" s="519">
        <v>0</v>
      </c>
      <c r="P16" s="514" t="s">
        <v>48</v>
      </c>
      <c r="Q16" s="515">
        <v>1</v>
      </c>
      <c r="R16" s="515">
        <v>0</v>
      </c>
      <c r="S16" s="514" t="s">
        <v>277</v>
      </c>
    </row>
    <row r="17" spans="1:19" x14ac:dyDescent="0.25">
      <c r="A17" s="513" t="s">
        <v>281</v>
      </c>
      <c r="B17" s="514" t="s">
        <v>282</v>
      </c>
      <c r="C17" s="514"/>
      <c r="D17" s="515" t="s">
        <v>252</v>
      </c>
      <c r="E17" s="514"/>
      <c r="F17" s="514" t="s">
        <v>283</v>
      </c>
      <c r="G17" s="515" t="s">
        <v>284</v>
      </c>
      <c r="H17" s="514" t="s">
        <v>285</v>
      </c>
      <c r="I17" s="514"/>
      <c r="J17" s="515">
        <v>1</v>
      </c>
      <c r="K17" s="515">
        <v>1</v>
      </c>
      <c r="L17" s="515" t="s">
        <v>276</v>
      </c>
      <c r="M17" s="519">
        <v>0</v>
      </c>
      <c r="N17" s="515"/>
      <c r="O17" s="519">
        <v>0</v>
      </c>
      <c r="P17" s="514" t="s">
        <v>48</v>
      </c>
      <c r="Q17" s="515">
        <v>1</v>
      </c>
      <c r="R17" s="515">
        <v>0</v>
      </c>
      <c r="S17" s="514"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22" t="s">
        <v>0</v>
      </c>
      <c r="B1" s="523" t="s">
        <v>287</v>
      </c>
      <c r="C1" s="523" t="s">
        <v>288</v>
      </c>
    </row>
    <row r="2" spans="1:3" x14ac:dyDescent="0.25">
      <c r="A2" s="524">
        <v>43807</v>
      </c>
      <c r="B2" s="525" t="s">
        <v>289</v>
      </c>
      <c r="C2" s="525" t="s">
        <v>11</v>
      </c>
    </row>
    <row r="3" spans="1:3" ht="30" x14ac:dyDescent="0.25">
      <c r="A3" s="524">
        <v>43937</v>
      </c>
      <c r="B3" s="80" t="s">
        <v>290</v>
      </c>
      <c r="C3" s="525" t="s">
        <v>11</v>
      </c>
    </row>
    <row r="4" spans="1:3" x14ac:dyDescent="0.25">
      <c r="A4" s="524">
        <v>43941</v>
      </c>
      <c r="B4" s="525" t="s">
        <v>291</v>
      </c>
      <c r="C4" s="525" t="s">
        <v>11</v>
      </c>
    </row>
    <row r="5" spans="1:3" x14ac:dyDescent="0.25">
      <c r="A5" s="524">
        <v>43942</v>
      </c>
      <c r="B5" s="525" t="s">
        <v>292</v>
      </c>
      <c r="C5" s="525" t="s">
        <v>11</v>
      </c>
    </row>
    <row r="6" spans="1:3" x14ac:dyDescent="0.25">
      <c r="A6" s="524">
        <v>43963</v>
      </c>
      <c r="B6" s="525" t="s">
        <v>293</v>
      </c>
      <c r="C6" s="525" t="s">
        <v>11</v>
      </c>
    </row>
    <row r="7" spans="1:3" x14ac:dyDescent="0.25">
      <c r="A7" s="524">
        <v>43990</v>
      </c>
      <c r="B7" s="525" t="s">
        <v>294</v>
      </c>
      <c r="C7" s="525" t="s">
        <v>11</v>
      </c>
    </row>
    <row r="8" spans="1:3" ht="30" x14ac:dyDescent="0.25">
      <c r="A8" s="524">
        <v>44104</v>
      </c>
      <c r="B8" s="80" t="s">
        <v>295</v>
      </c>
      <c r="C8" s="525" t="s">
        <v>296</v>
      </c>
    </row>
    <row r="9" spans="1:3" ht="150" x14ac:dyDescent="0.25">
      <c r="A9" s="524">
        <v>44128</v>
      </c>
      <c r="B9" s="80" t="s">
        <v>297</v>
      </c>
      <c r="C9" s="525" t="s">
        <v>296</v>
      </c>
    </row>
    <row r="10" spans="1:3" x14ac:dyDescent="0.25">
      <c r="A10" s="524">
        <v>44361</v>
      </c>
      <c r="B10" s="525" t="s">
        <v>298</v>
      </c>
      <c r="C10" s="525" t="s">
        <v>299</v>
      </c>
    </row>
    <row r="11" spans="1:3" x14ac:dyDescent="0.25">
      <c r="A11" s="524">
        <v>44813</v>
      </c>
      <c r="B11" s="525" t="s">
        <v>300</v>
      </c>
      <c r="C11" s="525"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53"/>
  <sheetViews>
    <sheetView tabSelected="1" zoomScaleNormal="100" workbookViewId="0">
      <pane xSplit="2" ySplit="5" topLeftCell="C129" activePane="bottomRight" state="frozen"/>
      <selection pane="topRight" activeCell="C1" sqref="C1"/>
      <selection pane="bottomLeft" activeCell="A4" sqref="A4"/>
      <selection pane="bottomRight" activeCell="L151" sqref="L151"/>
    </sheetView>
  </sheetViews>
  <sheetFormatPr defaultColWidth="9.42578125" defaultRowHeight="15" x14ac:dyDescent="0.25"/>
  <cols>
    <col min="1" max="1" width="12.42578125" style="172" customWidth="1"/>
    <col min="2" max="2" width="63" style="170" customWidth="1"/>
    <col min="3" max="3" width="17.5703125" style="170" customWidth="1"/>
    <col min="4" max="4" width="7" style="173" hidden="1" customWidth="1"/>
    <col min="5" max="5" width="7.42578125" style="170" hidden="1" customWidth="1"/>
    <col min="6" max="6" width="7" style="170" hidden="1" customWidth="1"/>
    <col min="7" max="7" width="9.5703125" style="170" bestFit="1" customWidth="1"/>
    <col min="8" max="8" width="83" style="173" customWidth="1"/>
    <col min="9" max="9" width="13.42578125" style="173"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5" hidden="1" customWidth="1"/>
    <col min="19" max="19" width="11.42578125" style="175" hidden="1" customWidth="1"/>
    <col min="20" max="20" width="7.42578125" style="174" hidden="1" customWidth="1"/>
    <col min="21" max="23" width="6.42578125" style="174" hidden="1" customWidth="1"/>
    <col min="24" max="24" width="13.42578125" style="174" hidden="1" customWidth="1"/>
    <col min="25" max="25" width="49.5703125" style="175" hidden="1" customWidth="1"/>
    <col min="26" max="26" width="11.42578125" style="175" bestFit="1" customWidth="1"/>
    <col min="27" max="27" width="7.42578125" style="174" bestFit="1" customWidth="1"/>
    <col min="28" max="28" width="10.42578125" style="174" bestFit="1" customWidth="1"/>
    <col min="29" max="29" width="6.42578125" style="174" bestFit="1" customWidth="1"/>
    <col min="30" max="30" width="7" style="174" bestFit="1" customWidth="1"/>
    <col min="31" max="31" width="13.42578125" style="174"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596" t="s">
        <v>301</v>
      </c>
      <c r="B1" s="597"/>
      <c r="C1" s="597"/>
      <c r="D1" s="597"/>
      <c r="E1" s="597"/>
      <c r="F1" s="597"/>
      <c r="G1" s="597"/>
      <c r="H1" s="597"/>
      <c r="I1" s="597"/>
      <c r="J1" s="597"/>
      <c r="K1" s="597"/>
      <c r="L1" s="597"/>
      <c r="M1" s="597"/>
      <c r="N1" s="597"/>
      <c r="O1" s="597"/>
      <c r="P1" s="597"/>
      <c r="Q1" s="597"/>
      <c r="R1" s="597"/>
      <c r="S1" s="597"/>
      <c r="T1" s="597"/>
      <c r="U1" s="597"/>
      <c r="V1" s="597"/>
      <c r="W1" s="597"/>
      <c r="X1" s="597"/>
      <c r="Y1" s="598"/>
      <c r="Z1" s="597"/>
      <c r="AA1" s="597"/>
      <c r="AB1" s="597"/>
      <c r="AC1" s="597"/>
      <c r="AD1" s="597"/>
      <c r="AE1" s="597"/>
      <c r="AF1" s="597"/>
      <c r="AG1" s="597"/>
      <c r="AH1" s="599"/>
    </row>
    <row r="2" spans="1:34" ht="18.75" x14ac:dyDescent="0.25">
      <c r="A2" s="600" t="s">
        <v>302</v>
      </c>
      <c r="B2" s="601"/>
      <c r="C2" s="601"/>
      <c r="D2" s="601"/>
      <c r="E2" s="601"/>
      <c r="F2" s="601"/>
      <c r="G2" s="601"/>
      <c r="H2" s="601"/>
      <c r="I2" s="601"/>
      <c r="J2" s="602"/>
      <c r="K2" s="377">
        <f>SUM(K6:K148)</f>
        <v>142</v>
      </c>
      <c r="L2" s="377">
        <f>SUM(L6:L148)</f>
        <v>718</v>
      </c>
      <c r="M2" s="378"/>
      <c r="N2" s="438">
        <f>SUMPRODUCT(K6:K148,N6:N148)/K151</f>
        <v>1</v>
      </c>
      <c r="O2" s="439">
        <f>SUM(O6:O148)</f>
        <v>707.09999999999991</v>
      </c>
      <c r="P2" s="440">
        <f>SUMPRODUCT(K6:K148,P6:P148)/K151</f>
        <v>0.93978873239436633</v>
      </c>
      <c r="Q2" s="379"/>
      <c r="R2" s="380">
        <f>SUM(R6:R148)</f>
        <v>525</v>
      </c>
      <c r="S2" s="441">
        <f>SUM(S6:S148)</f>
        <v>445</v>
      </c>
      <c r="T2" s="441">
        <f>SUM(T6:T148)</f>
        <v>433</v>
      </c>
      <c r="U2" s="441">
        <f>SUM(U6:U148)</f>
        <v>0</v>
      </c>
      <c r="V2" s="441">
        <f>SUM(V6:V148)</f>
        <v>12</v>
      </c>
      <c r="W2" s="441">
        <f>SUM(W6:W148)</f>
        <v>0</v>
      </c>
      <c r="X2" s="442">
        <f>IF((R151=0),1,((T151+U151)/R151*100%))</f>
        <v>0.82476190476190481</v>
      </c>
      <c r="Y2" s="381"/>
      <c r="Z2" s="452">
        <f>SUM(Z6:Z148)</f>
        <v>240</v>
      </c>
      <c r="AA2" s="453">
        <f>SUM(AA6:AA148)</f>
        <v>238</v>
      </c>
      <c r="AB2" s="453">
        <f>SUM(AB6:AB148)</f>
        <v>0</v>
      </c>
      <c r="AC2" s="453">
        <f>SUM(AC6:AC148)</f>
        <v>2</v>
      </c>
      <c r="AD2" s="453">
        <f>SUM(AD6:AD148)</f>
        <v>0</v>
      </c>
      <c r="AE2" s="445">
        <f>IF((L151=0),1,((AA151+AB151)/L151*100%))</f>
        <v>0.33147632311977715</v>
      </c>
      <c r="AF2" s="382"/>
      <c r="AG2" s="382"/>
      <c r="AH2" s="383"/>
    </row>
    <row r="3" spans="1:34" ht="19.5" customHeight="1" thickBot="1" x14ac:dyDescent="0.3">
      <c r="A3" s="596" t="s">
        <v>303</v>
      </c>
      <c r="B3" s="597"/>
      <c r="C3" s="597"/>
      <c r="D3" s="597"/>
      <c r="E3" s="597"/>
      <c r="F3" s="597"/>
      <c r="G3" s="597"/>
      <c r="H3" s="597"/>
      <c r="I3" s="597"/>
      <c r="J3" s="597"/>
      <c r="K3" s="597"/>
      <c r="L3" s="597"/>
      <c r="M3" s="597"/>
      <c r="N3" s="597"/>
      <c r="O3" s="597"/>
      <c r="P3" s="597"/>
      <c r="Q3" s="597"/>
      <c r="R3" s="597"/>
      <c r="S3" s="597"/>
      <c r="T3" s="597"/>
      <c r="U3" s="597"/>
      <c r="V3" s="597"/>
      <c r="W3" s="597"/>
      <c r="X3" s="597"/>
      <c r="Y3" s="598"/>
      <c r="Z3" s="597"/>
      <c r="AA3" s="597"/>
      <c r="AB3" s="597"/>
      <c r="AC3" s="597"/>
      <c r="AD3" s="597"/>
      <c r="AE3" s="597"/>
      <c r="AF3" s="597"/>
      <c r="AG3" s="597"/>
      <c r="AH3" s="599"/>
    </row>
    <row r="4" spans="1:34" ht="31.5" customHeight="1" x14ac:dyDescent="0.25">
      <c r="A4" s="603" t="s">
        <v>76</v>
      </c>
      <c r="B4" s="604"/>
      <c r="C4" s="604"/>
      <c r="D4" s="604"/>
      <c r="E4" s="604"/>
      <c r="F4" s="604"/>
      <c r="G4" s="604"/>
      <c r="H4" s="604"/>
      <c r="I4" s="604"/>
      <c r="J4" s="604"/>
      <c r="K4" s="604"/>
      <c r="L4" s="604"/>
      <c r="M4" s="605"/>
      <c r="N4" s="606" t="s">
        <v>304</v>
      </c>
      <c r="O4" s="607"/>
      <c r="P4" s="608"/>
      <c r="Q4" s="613" t="s">
        <v>305</v>
      </c>
      <c r="R4" s="614"/>
      <c r="S4" s="614"/>
      <c r="T4" s="614"/>
      <c r="U4" s="614"/>
      <c r="V4" s="614"/>
      <c r="W4" s="614"/>
      <c r="X4" s="614"/>
      <c r="Y4" s="615"/>
      <c r="Z4" s="609" t="s">
        <v>306</v>
      </c>
      <c r="AA4" s="610"/>
      <c r="AB4" s="610"/>
      <c r="AC4" s="610"/>
      <c r="AD4" s="610"/>
      <c r="AE4" s="611"/>
      <c r="AF4" s="611"/>
      <c r="AG4" s="611"/>
      <c r="AH4" s="612"/>
    </row>
    <row r="5" spans="1:34" s="171" customFormat="1" ht="15.75" customHeight="1" x14ac:dyDescent="0.25">
      <c r="A5" s="701" t="s">
        <v>77</v>
      </c>
      <c r="B5" s="700" t="s">
        <v>81</v>
      </c>
      <c r="C5" s="700" t="s">
        <v>84</v>
      </c>
      <c r="D5" s="700" t="s">
        <v>88</v>
      </c>
      <c r="E5" s="700" t="s">
        <v>91</v>
      </c>
      <c r="F5" s="700" t="s">
        <v>94</v>
      </c>
      <c r="G5" s="700" t="s">
        <v>96</v>
      </c>
      <c r="H5" s="700" t="s">
        <v>99</v>
      </c>
      <c r="I5" s="700" t="s">
        <v>307</v>
      </c>
      <c r="J5" s="700" t="s">
        <v>102</v>
      </c>
      <c r="K5" s="700" t="s">
        <v>105</v>
      </c>
      <c r="L5" s="700" t="s">
        <v>108</v>
      </c>
      <c r="M5" s="700" t="s">
        <v>1</v>
      </c>
      <c r="N5" s="700" t="s">
        <v>114</v>
      </c>
      <c r="O5" s="700" t="s">
        <v>118</v>
      </c>
      <c r="P5" s="700" t="s">
        <v>121</v>
      </c>
      <c r="Q5" s="700" t="s">
        <v>125</v>
      </c>
      <c r="R5" s="700" t="s">
        <v>128</v>
      </c>
      <c r="S5" s="700" t="s">
        <v>132</v>
      </c>
      <c r="T5" s="700" t="s">
        <v>30</v>
      </c>
      <c r="U5" s="700" t="s">
        <v>135</v>
      </c>
      <c r="V5" s="700" t="s">
        <v>36</v>
      </c>
      <c r="W5" s="700" t="s">
        <v>138</v>
      </c>
      <c r="X5" s="700" t="s">
        <v>140</v>
      </c>
      <c r="Y5" s="700" t="s">
        <v>142</v>
      </c>
      <c r="Z5" s="700" t="s">
        <v>919</v>
      </c>
      <c r="AA5" s="700" t="s">
        <v>920</v>
      </c>
      <c r="AB5" s="700" t="s">
        <v>921</v>
      </c>
      <c r="AC5" s="700" t="s">
        <v>922</v>
      </c>
      <c r="AD5" s="700" t="s">
        <v>923</v>
      </c>
      <c r="AE5" s="700" t="s">
        <v>924</v>
      </c>
      <c r="AF5" s="700" t="s">
        <v>155</v>
      </c>
      <c r="AG5" s="700" t="s">
        <v>157</v>
      </c>
      <c r="AH5" s="700" t="s">
        <v>160</v>
      </c>
    </row>
    <row r="6" spans="1:34" x14ac:dyDescent="0.25">
      <c r="A6" s="702">
        <v>12</v>
      </c>
      <c r="B6" t="s">
        <v>494</v>
      </c>
      <c r="C6" t="s">
        <v>308</v>
      </c>
      <c r="D6" t="s">
        <v>481</v>
      </c>
      <c r="E6" t="s">
        <v>925</v>
      </c>
      <c r="F6" t="s">
        <v>925</v>
      </c>
      <c r="G6" t="s">
        <v>259</v>
      </c>
      <c r="H6" t="s">
        <v>926</v>
      </c>
      <c r="I6" t="s">
        <v>41</v>
      </c>
      <c r="J6" t="s">
        <v>925</v>
      </c>
      <c r="K6">
        <v>1</v>
      </c>
      <c r="L6">
        <v>1</v>
      </c>
      <c r="M6" t="s">
        <v>44</v>
      </c>
      <c r="N6">
        <v>1</v>
      </c>
      <c r="O6">
        <v>1</v>
      </c>
      <c r="P6">
        <v>1</v>
      </c>
      <c r="Q6" t="s">
        <v>32</v>
      </c>
      <c r="R6">
        <v>1</v>
      </c>
      <c r="S6">
        <v>1</v>
      </c>
      <c r="T6">
        <v>1</v>
      </c>
      <c r="U6" t="s">
        <v>925</v>
      </c>
      <c r="V6" t="s">
        <v>925</v>
      </c>
      <c r="W6" t="s">
        <v>925</v>
      </c>
      <c r="X6">
        <v>1</v>
      </c>
      <c r="Y6" t="s">
        <v>925</v>
      </c>
      <c r="Z6">
        <v>0</v>
      </c>
      <c r="AA6" t="s">
        <v>925</v>
      </c>
      <c r="AB6" t="s">
        <v>925</v>
      </c>
      <c r="AC6" t="s">
        <v>925</v>
      </c>
      <c r="AD6" t="s">
        <v>925</v>
      </c>
      <c r="AE6">
        <v>0</v>
      </c>
      <c r="AF6" t="s">
        <v>925</v>
      </c>
      <c r="AG6" t="s">
        <v>309</v>
      </c>
      <c r="AH6" t="s">
        <v>925</v>
      </c>
    </row>
    <row r="7" spans="1:34" x14ac:dyDescent="0.25">
      <c r="A7" s="702">
        <v>12.000999999999999</v>
      </c>
      <c r="B7" t="s">
        <v>496</v>
      </c>
      <c r="C7" t="s">
        <v>310</v>
      </c>
      <c r="D7" t="s">
        <v>482</v>
      </c>
      <c r="E7" t="s">
        <v>925</v>
      </c>
      <c r="F7" t="s">
        <v>925</v>
      </c>
      <c r="G7" t="s">
        <v>259</v>
      </c>
      <c r="H7" t="s">
        <v>311</v>
      </c>
      <c r="I7" t="s">
        <v>41</v>
      </c>
      <c r="J7" t="s">
        <v>925</v>
      </c>
      <c r="K7">
        <v>1</v>
      </c>
      <c r="L7">
        <v>1</v>
      </c>
      <c r="M7" t="s">
        <v>44</v>
      </c>
      <c r="N7">
        <v>1</v>
      </c>
      <c r="O7">
        <v>1</v>
      </c>
      <c r="P7">
        <v>1</v>
      </c>
      <c r="Q7" t="s">
        <v>32</v>
      </c>
      <c r="R7">
        <v>1</v>
      </c>
      <c r="S7">
        <v>0</v>
      </c>
      <c r="T7" t="s">
        <v>925</v>
      </c>
      <c r="U7" t="s">
        <v>925</v>
      </c>
      <c r="V7" t="s">
        <v>925</v>
      </c>
      <c r="W7" t="s">
        <v>925</v>
      </c>
      <c r="X7">
        <v>0</v>
      </c>
      <c r="Y7" t="s">
        <v>925</v>
      </c>
      <c r="Z7">
        <v>0</v>
      </c>
      <c r="AA7" t="s">
        <v>925</v>
      </c>
      <c r="AB7" t="s">
        <v>925</v>
      </c>
      <c r="AC7" t="s">
        <v>925</v>
      </c>
      <c r="AD7" t="s">
        <v>925</v>
      </c>
      <c r="AE7">
        <v>0</v>
      </c>
      <c r="AF7" t="s">
        <v>925</v>
      </c>
      <c r="AG7" t="s">
        <v>312</v>
      </c>
      <c r="AH7" t="s">
        <v>925</v>
      </c>
    </row>
    <row r="8" spans="1:34" x14ac:dyDescent="0.25">
      <c r="A8" s="702">
        <v>12.001999999999899</v>
      </c>
      <c r="B8" t="s">
        <v>498</v>
      </c>
      <c r="C8" t="s">
        <v>313</v>
      </c>
      <c r="D8" t="s">
        <v>484</v>
      </c>
      <c r="E8" t="s">
        <v>925</v>
      </c>
      <c r="F8" t="s">
        <v>925</v>
      </c>
      <c r="G8" t="s">
        <v>259</v>
      </c>
      <c r="H8" t="s">
        <v>314</v>
      </c>
      <c r="I8" t="s">
        <v>41</v>
      </c>
      <c r="J8" t="s">
        <v>925</v>
      </c>
      <c r="K8">
        <v>1</v>
      </c>
      <c r="L8">
        <v>2</v>
      </c>
      <c r="M8" t="s">
        <v>44</v>
      </c>
      <c r="N8">
        <v>1</v>
      </c>
      <c r="O8">
        <v>2</v>
      </c>
      <c r="P8">
        <v>1</v>
      </c>
      <c r="Q8" t="s">
        <v>32</v>
      </c>
      <c r="R8">
        <v>2</v>
      </c>
      <c r="S8">
        <v>2</v>
      </c>
      <c r="T8">
        <v>2</v>
      </c>
      <c r="U8" t="s">
        <v>925</v>
      </c>
      <c r="V8" t="s">
        <v>925</v>
      </c>
      <c r="W8" t="s">
        <v>925</v>
      </c>
      <c r="X8">
        <v>1</v>
      </c>
      <c r="Y8" t="s">
        <v>925</v>
      </c>
      <c r="Z8">
        <v>0</v>
      </c>
      <c r="AA8" t="s">
        <v>925</v>
      </c>
      <c r="AB8" t="s">
        <v>925</v>
      </c>
      <c r="AC8" t="s">
        <v>925</v>
      </c>
      <c r="AD8" t="s">
        <v>925</v>
      </c>
      <c r="AE8">
        <v>0</v>
      </c>
      <c r="AF8" t="s">
        <v>925</v>
      </c>
      <c r="AG8" t="s">
        <v>312</v>
      </c>
      <c r="AH8" t="s">
        <v>925</v>
      </c>
    </row>
    <row r="9" spans="1:34" x14ac:dyDescent="0.25">
      <c r="A9" s="702">
        <v>12.002999999999901</v>
      </c>
      <c r="B9" t="s">
        <v>500</v>
      </c>
      <c r="C9" t="s">
        <v>310</v>
      </c>
      <c r="D9" t="s">
        <v>482</v>
      </c>
      <c r="E9" t="s">
        <v>925</v>
      </c>
      <c r="F9" t="s">
        <v>925</v>
      </c>
      <c r="G9" t="s">
        <v>259</v>
      </c>
      <c r="H9" t="s">
        <v>315</v>
      </c>
      <c r="I9" t="s">
        <v>41</v>
      </c>
      <c r="J9" t="s">
        <v>925</v>
      </c>
      <c r="K9">
        <v>1</v>
      </c>
      <c r="L9">
        <v>1</v>
      </c>
      <c r="M9" t="s">
        <v>44</v>
      </c>
      <c r="N9">
        <v>1</v>
      </c>
      <c r="O9">
        <v>1</v>
      </c>
      <c r="P9">
        <v>1</v>
      </c>
      <c r="Q9" t="s">
        <v>32</v>
      </c>
      <c r="R9">
        <v>1</v>
      </c>
      <c r="S9">
        <v>0</v>
      </c>
      <c r="T9" t="s">
        <v>925</v>
      </c>
      <c r="U9" t="s">
        <v>925</v>
      </c>
      <c r="V9" t="s">
        <v>925</v>
      </c>
      <c r="W9" t="s">
        <v>925</v>
      </c>
      <c r="X9">
        <v>0</v>
      </c>
      <c r="Y9" t="s">
        <v>925</v>
      </c>
      <c r="Z9">
        <v>0</v>
      </c>
      <c r="AA9" t="s">
        <v>925</v>
      </c>
      <c r="AB9" t="s">
        <v>925</v>
      </c>
      <c r="AC9" t="s">
        <v>925</v>
      </c>
      <c r="AD9" t="s">
        <v>925</v>
      </c>
      <c r="AE9">
        <v>0</v>
      </c>
      <c r="AF9" t="s">
        <v>925</v>
      </c>
      <c r="AG9" t="s">
        <v>309</v>
      </c>
      <c r="AH9" t="s">
        <v>925</v>
      </c>
    </row>
    <row r="10" spans="1:34" ht="13.5" customHeight="1" x14ac:dyDescent="0.25">
      <c r="A10" s="702">
        <v>12.0039999999999</v>
      </c>
      <c r="B10" t="s">
        <v>502</v>
      </c>
      <c r="C10" t="s">
        <v>316</v>
      </c>
      <c r="D10" t="s">
        <v>482</v>
      </c>
      <c r="E10" t="s">
        <v>925</v>
      </c>
      <c r="F10" t="s">
        <v>925</v>
      </c>
      <c r="G10" t="s">
        <v>259</v>
      </c>
      <c r="H10" t="s">
        <v>927</v>
      </c>
      <c r="I10" t="s">
        <v>41</v>
      </c>
      <c r="J10" t="s">
        <v>925</v>
      </c>
      <c r="K10">
        <v>1</v>
      </c>
      <c r="L10">
        <v>2</v>
      </c>
      <c r="M10" t="s">
        <v>44</v>
      </c>
      <c r="N10">
        <v>1</v>
      </c>
      <c r="O10">
        <v>2</v>
      </c>
      <c r="P10">
        <v>1</v>
      </c>
      <c r="Q10" t="s">
        <v>32</v>
      </c>
      <c r="R10">
        <v>1</v>
      </c>
      <c r="S10">
        <v>0</v>
      </c>
      <c r="T10" t="s">
        <v>925</v>
      </c>
      <c r="U10" t="s">
        <v>925</v>
      </c>
      <c r="V10" t="s">
        <v>925</v>
      </c>
      <c r="W10" t="s">
        <v>925</v>
      </c>
      <c r="X10">
        <v>0</v>
      </c>
      <c r="Y10" t="s">
        <v>925</v>
      </c>
      <c r="Z10">
        <v>0</v>
      </c>
      <c r="AA10" t="s">
        <v>925</v>
      </c>
      <c r="AB10" t="s">
        <v>925</v>
      </c>
      <c r="AC10" t="s">
        <v>925</v>
      </c>
      <c r="AD10" t="s">
        <v>925</v>
      </c>
      <c r="AE10">
        <v>0</v>
      </c>
      <c r="AF10" t="s">
        <v>925</v>
      </c>
      <c r="AG10" t="s">
        <v>317</v>
      </c>
      <c r="AH10" t="s">
        <v>925</v>
      </c>
    </row>
    <row r="11" spans="1:34" ht="20.25" customHeight="1" x14ac:dyDescent="0.25">
      <c r="A11" s="702">
        <v>12.005999999999901</v>
      </c>
      <c r="B11" t="s">
        <v>504</v>
      </c>
      <c r="C11" t="s">
        <v>318</v>
      </c>
      <c r="D11" t="s">
        <v>480</v>
      </c>
      <c r="E11" t="s">
        <v>925</v>
      </c>
      <c r="F11" t="s">
        <v>925</v>
      </c>
      <c r="G11" t="s">
        <v>259</v>
      </c>
      <c r="H11" t="s">
        <v>928</v>
      </c>
      <c r="I11" t="s">
        <v>41</v>
      </c>
      <c r="J11" t="s">
        <v>925</v>
      </c>
      <c r="K11">
        <v>1</v>
      </c>
      <c r="L11">
        <v>2</v>
      </c>
      <c r="M11" t="s">
        <v>44</v>
      </c>
      <c r="N11">
        <v>1</v>
      </c>
      <c r="O11">
        <v>2</v>
      </c>
      <c r="P11">
        <v>1</v>
      </c>
      <c r="Q11" t="s">
        <v>32</v>
      </c>
      <c r="R11">
        <v>2</v>
      </c>
      <c r="S11">
        <v>2</v>
      </c>
      <c r="T11">
        <v>2</v>
      </c>
      <c r="U11" t="s">
        <v>925</v>
      </c>
      <c r="V11" t="s">
        <v>925</v>
      </c>
      <c r="W11" t="s">
        <v>925</v>
      </c>
      <c r="X11">
        <v>1</v>
      </c>
      <c r="Y11" t="s">
        <v>319</v>
      </c>
      <c r="Z11">
        <v>0</v>
      </c>
      <c r="AA11" t="s">
        <v>925</v>
      </c>
      <c r="AB11" t="s">
        <v>925</v>
      </c>
      <c r="AC11" t="s">
        <v>925</v>
      </c>
      <c r="AD11" t="s">
        <v>925</v>
      </c>
      <c r="AE11">
        <v>0</v>
      </c>
      <c r="AF11" t="s">
        <v>925</v>
      </c>
      <c r="AG11" t="s">
        <v>309</v>
      </c>
      <c r="AH11" t="s">
        <v>925</v>
      </c>
    </row>
    <row r="12" spans="1:34" x14ac:dyDescent="0.25">
      <c r="A12" s="702">
        <v>12.0069999999999</v>
      </c>
      <c r="B12" t="s">
        <v>506</v>
      </c>
      <c r="C12" t="s">
        <v>320</v>
      </c>
      <c r="D12" t="s">
        <v>482</v>
      </c>
      <c r="E12" t="s">
        <v>925</v>
      </c>
      <c r="F12" t="s">
        <v>925</v>
      </c>
      <c r="G12" t="s">
        <v>259</v>
      </c>
      <c r="H12" t="s">
        <v>321</v>
      </c>
      <c r="I12" t="s">
        <v>41</v>
      </c>
      <c r="J12" t="s">
        <v>925</v>
      </c>
      <c r="K12">
        <v>1</v>
      </c>
      <c r="L12">
        <v>1</v>
      </c>
      <c r="M12" t="s">
        <v>39</v>
      </c>
      <c r="N12">
        <v>1</v>
      </c>
      <c r="O12">
        <v>1</v>
      </c>
      <c r="P12">
        <v>1</v>
      </c>
      <c r="Q12" t="s">
        <v>32</v>
      </c>
      <c r="R12">
        <v>1</v>
      </c>
      <c r="S12">
        <v>0</v>
      </c>
      <c r="T12" t="s">
        <v>925</v>
      </c>
      <c r="U12" t="s">
        <v>925</v>
      </c>
      <c r="V12" t="s">
        <v>925</v>
      </c>
      <c r="W12" t="s">
        <v>925</v>
      </c>
      <c r="X12">
        <v>0</v>
      </c>
      <c r="Y12" t="s">
        <v>925</v>
      </c>
      <c r="Z12">
        <v>0</v>
      </c>
      <c r="AA12" t="s">
        <v>925</v>
      </c>
      <c r="AB12" t="s">
        <v>925</v>
      </c>
      <c r="AC12" t="s">
        <v>925</v>
      </c>
      <c r="AD12" t="s">
        <v>925</v>
      </c>
      <c r="AE12">
        <v>0</v>
      </c>
      <c r="AF12" t="s">
        <v>925</v>
      </c>
      <c r="AG12" t="s">
        <v>317</v>
      </c>
      <c r="AH12" t="s">
        <v>925</v>
      </c>
    </row>
    <row r="13" spans="1:34" x14ac:dyDescent="0.25">
      <c r="A13" s="702">
        <v>12.0079999999999</v>
      </c>
      <c r="B13" t="s">
        <v>508</v>
      </c>
      <c r="C13" t="s">
        <v>320</v>
      </c>
      <c r="D13" t="s">
        <v>482</v>
      </c>
      <c r="E13" t="s">
        <v>925</v>
      </c>
      <c r="F13" t="s">
        <v>925</v>
      </c>
      <c r="G13" t="s">
        <v>259</v>
      </c>
      <c r="H13" t="s">
        <v>322</v>
      </c>
      <c r="I13" t="s">
        <v>41</v>
      </c>
      <c r="J13" t="s">
        <v>925</v>
      </c>
      <c r="K13">
        <v>1</v>
      </c>
      <c r="L13">
        <v>1</v>
      </c>
      <c r="M13" t="s">
        <v>39</v>
      </c>
      <c r="N13">
        <v>1</v>
      </c>
      <c r="O13">
        <v>1</v>
      </c>
      <c r="P13">
        <v>1</v>
      </c>
      <c r="Q13" t="s">
        <v>32</v>
      </c>
      <c r="R13">
        <v>1</v>
      </c>
      <c r="S13">
        <v>0</v>
      </c>
      <c r="T13" t="s">
        <v>925</v>
      </c>
      <c r="U13" t="s">
        <v>925</v>
      </c>
      <c r="V13" t="s">
        <v>925</v>
      </c>
      <c r="W13" t="s">
        <v>925</v>
      </c>
      <c r="X13">
        <v>0</v>
      </c>
      <c r="Y13" t="s">
        <v>925</v>
      </c>
      <c r="Z13">
        <v>0</v>
      </c>
      <c r="AA13" t="s">
        <v>925</v>
      </c>
      <c r="AB13" t="s">
        <v>925</v>
      </c>
      <c r="AC13" t="s">
        <v>925</v>
      </c>
      <c r="AD13" t="s">
        <v>925</v>
      </c>
      <c r="AE13">
        <v>0</v>
      </c>
      <c r="AF13" t="s">
        <v>925</v>
      </c>
      <c r="AG13" t="s">
        <v>317</v>
      </c>
      <c r="AH13" t="s">
        <v>925</v>
      </c>
    </row>
    <row r="14" spans="1:34" x14ac:dyDescent="0.25">
      <c r="A14" s="702">
        <v>12.008999999999901</v>
      </c>
      <c r="B14" t="s">
        <v>510</v>
      </c>
      <c r="C14" t="s">
        <v>320</v>
      </c>
      <c r="D14" t="s">
        <v>482</v>
      </c>
      <c r="E14" t="s">
        <v>925</v>
      </c>
      <c r="F14" t="s">
        <v>925</v>
      </c>
      <c r="G14" t="s">
        <v>259</v>
      </c>
      <c r="H14" t="s">
        <v>929</v>
      </c>
      <c r="I14" t="s">
        <v>41</v>
      </c>
      <c r="J14" t="s">
        <v>925</v>
      </c>
      <c r="K14">
        <v>1</v>
      </c>
      <c r="L14">
        <v>1</v>
      </c>
      <c r="M14" t="s">
        <v>44</v>
      </c>
      <c r="N14">
        <v>1</v>
      </c>
      <c r="O14">
        <v>1</v>
      </c>
      <c r="P14">
        <v>1</v>
      </c>
      <c r="Q14" t="s">
        <v>32</v>
      </c>
      <c r="R14">
        <v>1</v>
      </c>
      <c r="S14">
        <v>0</v>
      </c>
      <c r="T14" t="s">
        <v>925</v>
      </c>
      <c r="U14" t="s">
        <v>925</v>
      </c>
      <c r="V14" t="s">
        <v>925</v>
      </c>
      <c r="W14" t="s">
        <v>925</v>
      </c>
      <c r="X14">
        <v>0</v>
      </c>
      <c r="Y14" t="s">
        <v>925</v>
      </c>
      <c r="Z14">
        <v>0</v>
      </c>
      <c r="AA14" t="s">
        <v>925</v>
      </c>
      <c r="AB14" t="s">
        <v>925</v>
      </c>
      <c r="AC14" t="s">
        <v>925</v>
      </c>
      <c r="AD14" t="s">
        <v>925</v>
      </c>
      <c r="AE14">
        <v>0</v>
      </c>
      <c r="AF14" t="s">
        <v>925</v>
      </c>
      <c r="AG14" t="s">
        <v>317</v>
      </c>
      <c r="AH14" t="s">
        <v>925</v>
      </c>
    </row>
    <row r="15" spans="1:34" ht="24.75" customHeight="1" x14ac:dyDescent="0.25">
      <c r="A15" s="702">
        <v>12.0099999999999</v>
      </c>
      <c r="B15" t="s">
        <v>512</v>
      </c>
      <c r="C15" t="s">
        <v>320</v>
      </c>
      <c r="D15" t="s">
        <v>482</v>
      </c>
      <c r="E15" t="s">
        <v>925</v>
      </c>
      <c r="F15" t="s">
        <v>925</v>
      </c>
      <c r="G15" t="s">
        <v>259</v>
      </c>
      <c r="H15" t="s">
        <v>907</v>
      </c>
      <c r="I15" t="s">
        <v>41</v>
      </c>
      <c r="J15" t="s">
        <v>925</v>
      </c>
      <c r="K15">
        <v>1</v>
      </c>
      <c r="L15">
        <v>1</v>
      </c>
      <c r="M15" t="s">
        <v>44</v>
      </c>
      <c r="N15">
        <v>1</v>
      </c>
      <c r="O15">
        <v>0</v>
      </c>
      <c r="P15">
        <v>0</v>
      </c>
      <c r="Q15" t="s">
        <v>32</v>
      </c>
      <c r="R15">
        <v>1</v>
      </c>
      <c r="S15">
        <v>0</v>
      </c>
      <c r="T15" t="s">
        <v>925</v>
      </c>
      <c r="U15" t="s">
        <v>925</v>
      </c>
      <c r="V15" t="s">
        <v>925</v>
      </c>
      <c r="W15" t="s">
        <v>925</v>
      </c>
      <c r="X15">
        <v>0</v>
      </c>
      <c r="Y15" t="s">
        <v>925</v>
      </c>
      <c r="Z15">
        <v>0</v>
      </c>
      <c r="AA15" t="s">
        <v>925</v>
      </c>
      <c r="AB15" t="s">
        <v>925</v>
      </c>
      <c r="AC15" t="s">
        <v>925</v>
      </c>
      <c r="AD15" t="s">
        <v>925</v>
      </c>
      <c r="AE15">
        <v>0</v>
      </c>
      <c r="AF15" t="s">
        <v>925</v>
      </c>
      <c r="AG15" t="s">
        <v>317</v>
      </c>
      <c r="AH15" t="s">
        <v>925</v>
      </c>
    </row>
    <row r="16" spans="1:34" ht="21" customHeight="1" x14ac:dyDescent="0.25">
      <c r="A16" s="702">
        <v>12.0109999999999</v>
      </c>
      <c r="B16" t="s">
        <v>514</v>
      </c>
      <c r="C16" t="s">
        <v>320</v>
      </c>
      <c r="D16" t="s">
        <v>482</v>
      </c>
      <c r="E16" t="s">
        <v>925</v>
      </c>
      <c r="F16" t="s">
        <v>925</v>
      </c>
      <c r="G16" t="s">
        <v>259</v>
      </c>
      <c r="H16" t="s">
        <v>930</v>
      </c>
      <c r="I16" t="s">
        <v>41</v>
      </c>
      <c r="J16" t="s">
        <v>925</v>
      </c>
      <c r="K16">
        <v>1</v>
      </c>
      <c r="L16">
        <v>7</v>
      </c>
      <c r="M16" t="s">
        <v>44</v>
      </c>
      <c r="N16">
        <v>1</v>
      </c>
      <c r="O16">
        <v>7</v>
      </c>
      <c r="P16">
        <v>1</v>
      </c>
      <c r="Q16" t="s">
        <v>32</v>
      </c>
      <c r="R16">
        <v>6</v>
      </c>
      <c r="S16">
        <v>2</v>
      </c>
      <c r="T16">
        <v>2</v>
      </c>
      <c r="U16" t="s">
        <v>925</v>
      </c>
      <c r="V16" t="s">
        <v>925</v>
      </c>
      <c r="W16" t="s">
        <v>925</v>
      </c>
      <c r="X16">
        <v>0.33333333333333331</v>
      </c>
      <c r="Y16" t="s">
        <v>925</v>
      </c>
      <c r="Z16">
        <v>0</v>
      </c>
      <c r="AA16" t="s">
        <v>925</v>
      </c>
      <c r="AB16" t="s">
        <v>925</v>
      </c>
      <c r="AC16" t="s">
        <v>925</v>
      </c>
      <c r="AD16" t="s">
        <v>925</v>
      </c>
      <c r="AE16">
        <v>0</v>
      </c>
      <c r="AF16" t="s">
        <v>925</v>
      </c>
      <c r="AG16" t="s">
        <v>312</v>
      </c>
      <c r="AH16" t="s">
        <v>925</v>
      </c>
    </row>
    <row r="17" spans="1:34" x14ac:dyDescent="0.25">
      <c r="A17" s="702">
        <v>12.0129999999999</v>
      </c>
      <c r="B17" t="s">
        <v>517</v>
      </c>
      <c r="C17" t="s">
        <v>323</v>
      </c>
      <c r="D17" t="s">
        <v>484</v>
      </c>
      <c r="E17" t="s">
        <v>925</v>
      </c>
      <c r="F17" t="s">
        <v>925</v>
      </c>
      <c r="G17" t="s">
        <v>280</v>
      </c>
      <c r="H17" t="s">
        <v>324</v>
      </c>
      <c r="I17" t="s">
        <v>35</v>
      </c>
      <c r="J17" t="s">
        <v>925</v>
      </c>
      <c r="K17">
        <v>1</v>
      </c>
      <c r="L17">
        <v>2</v>
      </c>
      <c r="M17" t="s">
        <v>44</v>
      </c>
      <c r="N17">
        <v>1</v>
      </c>
      <c r="O17">
        <v>1.8</v>
      </c>
      <c r="P17">
        <v>0.9</v>
      </c>
      <c r="Q17" t="s">
        <v>32</v>
      </c>
      <c r="R17">
        <v>1</v>
      </c>
      <c r="S17">
        <v>1</v>
      </c>
      <c r="T17">
        <v>1</v>
      </c>
      <c r="U17" t="s">
        <v>925</v>
      </c>
      <c r="V17" t="s">
        <v>925</v>
      </c>
      <c r="W17" t="s">
        <v>925</v>
      </c>
      <c r="X17">
        <v>1</v>
      </c>
      <c r="Y17" t="s">
        <v>925</v>
      </c>
      <c r="Z17">
        <v>0</v>
      </c>
      <c r="AA17" t="s">
        <v>925</v>
      </c>
      <c r="AB17" t="s">
        <v>925</v>
      </c>
      <c r="AC17" t="s">
        <v>925</v>
      </c>
      <c r="AD17" t="s">
        <v>925</v>
      </c>
      <c r="AE17">
        <v>0</v>
      </c>
      <c r="AF17" t="s">
        <v>925</v>
      </c>
      <c r="AG17" t="s">
        <v>277</v>
      </c>
      <c r="AH17" t="s">
        <v>925</v>
      </c>
    </row>
    <row r="18" spans="1:34" x14ac:dyDescent="0.25">
      <c r="A18" s="702">
        <v>12.0139999999999</v>
      </c>
      <c r="B18" t="s">
        <v>518</v>
      </c>
      <c r="C18" t="s">
        <v>320</v>
      </c>
      <c r="D18" t="s">
        <v>482</v>
      </c>
      <c r="E18" t="s">
        <v>925</v>
      </c>
      <c r="F18" t="s">
        <v>925</v>
      </c>
      <c r="G18" t="s">
        <v>259</v>
      </c>
      <c r="H18" t="s">
        <v>905</v>
      </c>
      <c r="I18" t="s">
        <v>41</v>
      </c>
      <c r="J18" t="s">
        <v>925</v>
      </c>
      <c r="K18">
        <v>1</v>
      </c>
      <c r="L18">
        <v>1</v>
      </c>
      <c r="M18" t="s">
        <v>44</v>
      </c>
      <c r="N18">
        <v>1</v>
      </c>
      <c r="O18">
        <v>0</v>
      </c>
      <c r="P18">
        <v>0</v>
      </c>
      <c r="Q18" t="s">
        <v>32</v>
      </c>
      <c r="R18">
        <v>1</v>
      </c>
      <c r="S18">
        <v>0</v>
      </c>
      <c r="T18" t="s">
        <v>925</v>
      </c>
      <c r="U18" t="s">
        <v>925</v>
      </c>
      <c r="V18" t="s">
        <v>925</v>
      </c>
      <c r="W18" t="s">
        <v>925</v>
      </c>
      <c r="X18">
        <v>0</v>
      </c>
      <c r="Y18" t="s">
        <v>925</v>
      </c>
      <c r="Z18">
        <v>0</v>
      </c>
      <c r="AA18" t="s">
        <v>925</v>
      </c>
      <c r="AB18" t="s">
        <v>925</v>
      </c>
      <c r="AC18" t="s">
        <v>925</v>
      </c>
      <c r="AD18" t="s">
        <v>925</v>
      </c>
      <c r="AE18">
        <v>0</v>
      </c>
      <c r="AF18" t="s">
        <v>925</v>
      </c>
      <c r="AG18" t="s">
        <v>312</v>
      </c>
      <c r="AH18" t="s">
        <v>925</v>
      </c>
    </row>
    <row r="19" spans="1:34" x14ac:dyDescent="0.25">
      <c r="A19" s="702">
        <v>12.014999999999899</v>
      </c>
      <c r="B19" t="s">
        <v>519</v>
      </c>
      <c r="C19" t="s">
        <v>320</v>
      </c>
      <c r="D19" t="s">
        <v>482</v>
      </c>
      <c r="E19" t="s">
        <v>925</v>
      </c>
      <c r="F19" t="s">
        <v>925</v>
      </c>
      <c r="G19" t="s">
        <v>259</v>
      </c>
      <c r="H19" t="s">
        <v>915</v>
      </c>
      <c r="I19" t="s">
        <v>41</v>
      </c>
      <c r="J19" t="s">
        <v>925</v>
      </c>
      <c r="K19">
        <v>1</v>
      </c>
      <c r="L19">
        <v>1</v>
      </c>
      <c r="M19" t="s">
        <v>39</v>
      </c>
      <c r="N19">
        <v>1</v>
      </c>
      <c r="O19">
        <v>0</v>
      </c>
      <c r="P19">
        <v>0</v>
      </c>
      <c r="Q19" t="s">
        <v>32</v>
      </c>
      <c r="R19">
        <v>1</v>
      </c>
      <c r="S19">
        <v>0</v>
      </c>
      <c r="T19" t="s">
        <v>925</v>
      </c>
      <c r="U19" t="s">
        <v>925</v>
      </c>
      <c r="V19" t="s">
        <v>925</v>
      </c>
      <c r="W19" t="s">
        <v>925</v>
      </c>
      <c r="X19">
        <v>0</v>
      </c>
      <c r="Y19" t="s">
        <v>925</v>
      </c>
      <c r="Z19">
        <v>0</v>
      </c>
      <c r="AA19" t="s">
        <v>925</v>
      </c>
      <c r="AB19" t="s">
        <v>925</v>
      </c>
      <c r="AC19" t="s">
        <v>925</v>
      </c>
      <c r="AD19" t="s">
        <v>925</v>
      </c>
      <c r="AE19">
        <v>0</v>
      </c>
      <c r="AF19" t="s">
        <v>925</v>
      </c>
      <c r="AG19" t="s">
        <v>312</v>
      </c>
      <c r="AH19" t="s">
        <v>925</v>
      </c>
    </row>
    <row r="20" spans="1:34" x14ac:dyDescent="0.25">
      <c r="A20" s="702">
        <v>12.015999999999901</v>
      </c>
      <c r="B20" t="s">
        <v>520</v>
      </c>
      <c r="C20" t="s">
        <v>310</v>
      </c>
      <c r="D20" t="s">
        <v>482</v>
      </c>
      <c r="E20" t="s">
        <v>925</v>
      </c>
      <c r="F20" t="s">
        <v>925</v>
      </c>
      <c r="G20" t="s">
        <v>259</v>
      </c>
      <c r="H20" t="s">
        <v>325</v>
      </c>
      <c r="I20" t="s">
        <v>41</v>
      </c>
      <c r="J20" t="s">
        <v>925</v>
      </c>
      <c r="K20">
        <v>1</v>
      </c>
      <c r="L20">
        <v>4</v>
      </c>
      <c r="M20" t="s">
        <v>44</v>
      </c>
      <c r="N20">
        <v>1</v>
      </c>
      <c r="O20">
        <v>4</v>
      </c>
      <c r="P20">
        <v>1</v>
      </c>
      <c r="Q20" t="s">
        <v>32</v>
      </c>
      <c r="R20">
        <v>1</v>
      </c>
      <c r="S20">
        <v>0</v>
      </c>
      <c r="T20" t="s">
        <v>925</v>
      </c>
      <c r="U20" t="s">
        <v>925</v>
      </c>
      <c r="V20" t="s">
        <v>925</v>
      </c>
      <c r="W20" t="s">
        <v>925</v>
      </c>
      <c r="X20">
        <v>0</v>
      </c>
      <c r="Y20" t="s">
        <v>925</v>
      </c>
      <c r="Z20">
        <v>0</v>
      </c>
      <c r="AA20" t="s">
        <v>925</v>
      </c>
      <c r="AB20" t="s">
        <v>925</v>
      </c>
      <c r="AC20" t="s">
        <v>925</v>
      </c>
      <c r="AD20" t="s">
        <v>925</v>
      </c>
      <c r="AE20">
        <v>0</v>
      </c>
      <c r="AF20" t="s">
        <v>925</v>
      </c>
      <c r="AG20" t="s">
        <v>309</v>
      </c>
      <c r="AH20" t="s">
        <v>925</v>
      </c>
    </row>
    <row r="21" spans="1:34" x14ac:dyDescent="0.25">
      <c r="A21" s="702">
        <v>12.018999999999901</v>
      </c>
      <c r="B21" t="s">
        <v>522</v>
      </c>
      <c r="C21" t="s">
        <v>326</v>
      </c>
      <c r="D21" t="s">
        <v>485</v>
      </c>
      <c r="E21" t="s">
        <v>925</v>
      </c>
      <c r="F21" t="s">
        <v>925</v>
      </c>
      <c r="G21" t="s">
        <v>259</v>
      </c>
      <c r="H21" t="s">
        <v>327</v>
      </c>
      <c r="I21" t="s">
        <v>41</v>
      </c>
      <c r="J21" t="s">
        <v>925</v>
      </c>
      <c r="K21">
        <v>1</v>
      </c>
      <c r="L21">
        <v>2</v>
      </c>
      <c r="M21" t="s">
        <v>44</v>
      </c>
      <c r="N21">
        <v>1</v>
      </c>
      <c r="O21">
        <v>2</v>
      </c>
      <c r="P21">
        <v>1</v>
      </c>
      <c r="Q21" t="s">
        <v>43</v>
      </c>
      <c r="R21">
        <v>2</v>
      </c>
      <c r="S21">
        <v>2</v>
      </c>
      <c r="T21">
        <v>1</v>
      </c>
      <c r="U21" t="s">
        <v>925</v>
      </c>
      <c r="V21">
        <v>1</v>
      </c>
      <c r="W21" t="s">
        <v>925</v>
      </c>
      <c r="X21">
        <v>0.5</v>
      </c>
      <c r="Y21" t="s">
        <v>328</v>
      </c>
      <c r="Z21">
        <v>0</v>
      </c>
      <c r="AA21" t="s">
        <v>925</v>
      </c>
      <c r="AB21" t="s">
        <v>925</v>
      </c>
      <c r="AC21" t="s">
        <v>925</v>
      </c>
      <c r="AD21" t="s">
        <v>925</v>
      </c>
      <c r="AE21">
        <v>0</v>
      </c>
      <c r="AF21" t="s">
        <v>925</v>
      </c>
      <c r="AG21" t="s">
        <v>309</v>
      </c>
      <c r="AH21" t="s">
        <v>925</v>
      </c>
    </row>
    <row r="22" spans="1:34" x14ac:dyDescent="0.25">
      <c r="A22" s="702">
        <v>12.0199999999999</v>
      </c>
      <c r="B22" t="s">
        <v>523</v>
      </c>
      <c r="C22" t="s">
        <v>329</v>
      </c>
      <c r="D22" t="s">
        <v>485</v>
      </c>
      <c r="E22" t="s">
        <v>925</v>
      </c>
      <c r="F22" t="s">
        <v>925</v>
      </c>
      <c r="G22" t="s">
        <v>259</v>
      </c>
      <c r="H22" t="s">
        <v>330</v>
      </c>
      <c r="I22" t="s">
        <v>41</v>
      </c>
      <c r="J22" t="s">
        <v>925</v>
      </c>
      <c r="K22">
        <v>1</v>
      </c>
      <c r="L22">
        <v>6</v>
      </c>
      <c r="M22" t="s">
        <v>44</v>
      </c>
      <c r="N22">
        <v>1</v>
      </c>
      <c r="O22">
        <v>6</v>
      </c>
      <c r="P22">
        <v>1</v>
      </c>
      <c r="Q22" t="s">
        <v>43</v>
      </c>
      <c r="R22">
        <v>6</v>
      </c>
      <c r="S22">
        <v>6</v>
      </c>
      <c r="T22">
        <v>6</v>
      </c>
      <c r="U22" t="s">
        <v>925</v>
      </c>
      <c r="V22" t="s">
        <v>925</v>
      </c>
      <c r="W22" t="s">
        <v>925</v>
      </c>
      <c r="X22">
        <v>1</v>
      </c>
      <c r="Y22" t="s">
        <v>925</v>
      </c>
      <c r="Z22">
        <v>0</v>
      </c>
      <c r="AA22" t="s">
        <v>925</v>
      </c>
      <c r="AB22" t="s">
        <v>925</v>
      </c>
      <c r="AC22" t="s">
        <v>925</v>
      </c>
      <c r="AD22" t="s">
        <v>925</v>
      </c>
      <c r="AE22">
        <v>0</v>
      </c>
      <c r="AF22" t="s">
        <v>925</v>
      </c>
      <c r="AG22" t="s">
        <v>317</v>
      </c>
      <c r="AH22" t="s">
        <v>925</v>
      </c>
    </row>
    <row r="23" spans="1:34" ht="21" customHeight="1" x14ac:dyDescent="0.25">
      <c r="A23" s="702">
        <v>12.0299999999999</v>
      </c>
      <c r="B23" t="s">
        <v>526</v>
      </c>
      <c r="C23" t="s">
        <v>332</v>
      </c>
      <c r="D23" t="s">
        <v>483</v>
      </c>
      <c r="E23" t="s">
        <v>925</v>
      </c>
      <c r="F23" t="s">
        <v>925</v>
      </c>
      <c r="G23" t="s">
        <v>259</v>
      </c>
      <c r="H23" t="s">
        <v>931</v>
      </c>
      <c r="I23" t="s">
        <v>35</v>
      </c>
      <c r="J23" t="s">
        <v>925</v>
      </c>
      <c r="K23">
        <v>1</v>
      </c>
      <c r="L23">
        <v>18</v>
      </c>
      <c r="M23" t="s">
        <v>44</v>
      </c>
      <c r="N23">
        <v>1</v>
      </c>
      <c r="O23">
        <v>18</v>
      </c>
      <c r="P23">
        <v>1</v>
      </c>
      <c r="Q23" t="s">
        <v>32</v>
      </c>
      <c r="R23">
        <v>18</v>
      </c>
      <c r="S23">
        <v>18</v>
      </c>
      <c r="T23">
        <v>18</v>
      </c>
      <c r="U23" t="s">
        <v>925</v>
      </c>
      <c r="V23" t="s">
        <v>925</v>
      </c>
      <c r="W23" t="s">
        <v>925</v>
      </c>
      <c r="X23">
        <v>1</v>
      </c>
      <c r="Y23" t="s">
        <v>333</v>
      </c>
      <c r="Z23">
        <v>18</v>
      </c>
      <c r="AA23">
        <v>18</v>
      </c>
      <c r="AB23" t="s">
        <v>925</v>
      </c>
      <c r="AC23" t="s">
        <v>925</v>
      </c>
      <c r="AD23" t="s">
        <v>925</v>
      </c>
      <c r="AE23">
        <v>1</v>
      </c>
      <c r="AF23" t="s">
        <v>925</v>
      </c>
      <c r="AG23" t="s">
        <v>309</v>
      </c>
      <c r="AH23" t="s">
        <v>925</v>
      </c>
    </row>
    <row r="24" spans="1:34" x14ac:dyDescent="0.25">
      <c r="A24" s="702">
        <v>12.030999999999899</v>
      </c>
      <c r="B24" t="s">
        <v>527</v>
      </c>
      <c r="C24" t="s">
        <v>310</v>
      </c>
      <c r="D24" t="s">
        <v>482</v>
      </c>
      <c r="E24" t="s">
        <v>925</v>
      </c>
      <c r="F24" t="s">
        <v>925</v>
      </c>
      <c r="G24" t="s">
        <v>259</v>
      </c>
      <c r="H24" t="s">
        <v>334</v>
      </c>
      <c r="I24" t="s">
        <v>41</v>
      </c>
      <c r="J24" t="s">
        <v>925</v>
      </c>
      <c r="K24">
        <v>1</v>
      </c>
      <c r="L24">
        <v>2</v>
      </c>
      <c r="M24" t="s">
        <v>44</v>
      </c>
      <c r="N24">
        <v>1</v>
      </c>
      <c r="O24">
        <v>2</v>
      </c>
      <c r="P24">
        <v>1</v>
      </c>
      <c r="Q24" t="s">
        <v>43</v>
      </c>
      <c r="R24">
        <v>2</v>
      </c>
      <c r="S24">
        <v>2</v>
      </c>
      <c r="T24">
        <v>2</v>
      </c>
      <c r="U24" t="s">
        <v>925</v>
      </c>
      <c r="V24" t="s">
        <v>925</v>
      </c>
      <c r="W24" t="s">
        <v>925</v>
      </c>
      <c r="X24">
        <v>1</v>
      </c>
      <c r="Y24" t="s">
        <v>925</v>
      </c>
      <c r="Z24">
        <v>0</v>
      </c>
      <c r="AA24" t="s">
        <v>925</v>
      </c>
      <c r="AB24" t="s">
        <v>925</v>
      </c>
      <c r="AC24" t="s">
        <v>925</v>
      </c>
      <c r="AD24" t="s">
        <v>925</v>
      </c>
      <c r="AE24">
        <v>0</v>
      </c>
      <c r="AF24" t="s">
        <v>925</v>
      </c>
      <c r="AG24" t="s">
        <v>317</v>
      </c>
      <c r="AH24" t="s">
        <v>925</v>
      </c>
    </row>
    <row r="25" spans="1:34" x14ac:dyDescent="0.25">
      <c r="A25" s="702">
        <v>12.0329999999999</v>
      </c>
      <c r="B25" t="s">
        <v>528</v>
      </c>
      <c r="C25" t="s">
        <v>329</v>
      </c>
      <c r="D25" t="s">
        <v>485</v>
      </c>
      <c r="E25" t="s">
        <v>925</v>
      </c>
      <c r="F25" t="s">
        <v>925</v>
      </c>
      <c r="G25" t="s">
        <v>280</v>
      </c>
      <c r="H25" t="s">
        <v>916</v>
      </c>
      <c r="I25" t="s">
        <v>35</v>
      </c>
      <c r="J25" t="s">
        <v>925</v>
      </c>
      <c r="K25">
        <v>1</v>
      </c>
      <c r="L25">
        <v>1</v>
      </c>
      <c r="M25" t="s">
        <v>44</v>
      </c>
      <c r="N25">
        <v>1</v>
      </c>
      <c r="O25">
        <v>0</v>
      </c>
      <c r="P25">
        <v>0</v>
      </c>
      <c r="Q25" t="s">
        <v>32</v>
      </c>
      <c r="R25">
        <v>1</v>
      </c>
      <c r="S25">
        <v>0</v>
      </c>
      <c r="T25" t="s">
        <v>925</v>
      </c>
      <c r="U25" t="s">
        <v>925</v>
      </c>
      <c r="V25" t="s">
        <v>925</v>
      </c>
      <c r="W25" t="s">
        <v>925</v>
      </c>
      <c r="X25">
        <v>0</v>
      </c>
      <c r="Y25" t="s">
        <v>925</v>
      </c>
      <c r="Z25">
        <v>0</v>
      </c>
      <c r="AA25" t="s">
        <v>925</v>
      </c>
      <c r="AB25" t="s">
        <v>925</v>
      </c>
      <c r="AC25" t="s">
        <v>925</v>
      </c>
      <c r="AD25" t="s">
        <v>925</v>
      </c>
      <c r="AE25">
        <v>0</v>
      </c>
      <c r="AF25" t="s">
        <v>925</v>
      </c>
      <c r="AG25" t="s">
        <v>335</v>
      </c>
      <c r="AH25" t="s">
        <v>925</v>
      </c>
    </row>
    <row r="26" spans="1:34" ht="30" customHeight="1" x14ac:dyDescent="0.25">
      <c r="A26" s="702">
        <v>12.0359999999999</v>
      </c>
      <c r="B26" t="s">
        <v>530</v>
      </c>
      <c r="C26" t="s">
        <v>329</v>
      </c>
      <c r="D26" t="s">
        <v>485</v>
      </c>
      <c r="E26" t="s">
        <v>925</v>
      </c>
      <c r="F26" t="s">
        <v>925</v>
      </c>
      <c r="G26" t="s">
        <v>259</v>
      </c>
      <c r="H26" t="s">
        <v>336</v>
      </c>
      <c r="I26" t="s">
        <v>41</v>
      </c>
      <c r="J26" t="s">
        <v>925</v>
      </c>
      <c r="K26">
        <v>1</v>
      </c>
      <c r="L26">
        <v>1</v>
      </c>
      <c r="M26" t="s">
        <v>44</v>
      </c>
      <c r="N26">
        <v>1</v>
      </c>
      <c r="O26">
        <v>1</v>
      </c>
      <c r="P26">
        <v>1</v>
      </c>
      <c r="Q26" t="s">
        <v>43</v>
      </c>
      <c r="R26">
        <v>1</v>
      </c>
      <c r="S26">
        <v>1</v>
      </c>
      <c r="T26">
        <v>1</v>
      </c>
      <c r="U26" t="s">
        <v>925</v>
      </c>
      <c r="V26" t="s">
        <v>925</v>
      </c>
      <c r="W26" t="s">
        <v>925</v>
      </c>
      <c r="X26">
        <v>1</v>
      </c>
      <c r="Y26" t="s">
        <v>925</v>
      </c>
      <c r="Z26">
        <v>0</v>
      </c>
      <c r="AA26" t="s">
        <v>925</v>
      </c>
      <c r="AB26" t="s">
        <v>925</v>
      </c>
      <c r="AC26" t="s">
        <v>925</v>
      </c>
      <c r="AD26" t="s">
        <v>925</v>
      </c>
      <c r="AE26">
        <v>0</v>
      </c>
      <c r="AF26" t="s">
        <v>925</v>
      </c>
      <c r="AG26" t="s">
        <v>337</v>
      </c>
      <c r="AH26" t="s">
        <v>925</v>
      </c>
    </row>
    <row r="27" spans="1:34" x14ac:dyDescent="0.25">
      <c r="A27" s="702">
        <v>12.037000000000001</v>
      </c>
      <c r="B27" t="s">
        <v>531</v>
      </c>
      <c r="C27" t="s">
        <v>329</v>
      </c>
      <c r="D27" t="s">
        <v>485</v>
      </c>
      <c r="E27" t="s">
        <v>925</v>
      </c>
      <c r="F27" t="s">
        <v>925</v>
      </c>
      <c r="G27" t="s">
        <v>259</v>
      </c>
      <c r="H27" t="s">
        <v>338</v>
      </c>
      <c r="I27" t="s">
        <v>41</v>
      </c>
      <c r="J27" t="s">
        <v>925</v>
      </c>
      <c r="K27">
        <v>1</v>
      </c>
      <c r="L27">
        <v>1</v>
      </c>
      <c r="M27" t="s">
        <v>44</v>
      </c>
      <c r="N27">
        <v>1</v>
      </c>
      <c r="O27">
        <v>1</v>
      </c>
      <c r="P27">
        <v>1</v>
      </c>
      <c r="Q27" t="s">
        <v>43</v>
      </c>
      <c r="R27">
        <v>1</v>
      </c>
      <c r="S27">
        <v>1</v>
      </c>
      <c r="T27">
        <v>1</v>
      </c>
      <c r="U27" t="s">
        <v>925</v>
      </c>
      <c r="V27" t="s">
        <v>925</v>
      </c>
      <c r="W27" t="s">
        <v>925</v>
      </c>
      <c r="X27">
        <v>1</v>
      </c>
      <c r="Y27" t="s">
        <v>925</v>
      </c>
      <c r="Z27">
        <v>0</v>
      </c>
      <c r="AA27" t="s">
        <v>925</v>
      </c>
      <c r="AB27" t="s">
        <v>925</v>
      </c>
      <c r="AC27" t="s">
        <v>925</v>
      </c>
      <c r="AD27" t="s">
        <v>925</v>
      </c>
      <c r="AE27">
        <v>0</v>
      </c>
      <c r="AF27" t="s">
        <v>925</v>
      </c>
      <c r="AG27" t="s">
        <v>317</v>
      </c>
      <c r="AH27" t="s">
        <v>925</v>
      </c>
    </row>
    <row r="28" spans="1:34" x14ac:dyDescent="0.25">
      <c r="A28" s="702">
        <v>12.0399999999999</v>
      </c>
      <c r="B28" t="s">
        <v>532</v>
      </c>
      <c r="C28" t="s">
        <v>329</v>
      </c>
      <c r="D28" t="s">
        <v>485</v>
      </c>
      <c r="E28" t="s">
        <v>925</v>
      </c>
      <c r="F28" t="s">
        <v>925</v>
      </c>
      <c r="G28" t="s">
        <v>259</v>
      </c>
      <c r="H28" t="s">
        <v>339</v>
      </c>
      <c r="I28" t="s">
        <v>41</v>
      </c>
      <c r="J28" t="s">
        <v>925</v>
      </c>
      <c r="K28">
        <v>1</v>
      </c>
      <c r="L28">
        <v>1</v>
      </c>
      <c r="M28" t="s">
        <v>44</v>
      </c>
      <c r="N28">
        <v>1</v>
      </c>
      <c r="O28">
        <v>1</v>
      </c>
      <c r="P28">
        <v>1</v>
      </c>
      <c r="Q28" t="s">
        <v>43</v>
      </c>
      <c r="R28">
        <v>1</v>
      </c>
      <c r="S28">
        <v>1</v>
      </c>
      <c r="T28">
        <v>1</v>
      </c>
      <c r="U28" t="s">
        <v>925</v>
      </c>
      <c r="V28" t="s">
        <v>925</v>
      </c>
      <c r="W28" t="s">
        <v>925</v>
      </c>
      <c r="X28">
        <v>1</v>
      </c>
      <c r="Y28" t="s">
        <v>925</v>
      </c>
      <c r="Z28">
        <v>0</v>
      </c>
      <c r="AA28" t="s">
        <v>925</v>
      </c>
      <c r="AB28" t="s">
        <v>925</v>
      </c>
      <c r="AC28" t="s">
        <v>925</v>
      </c>
      <c r="AD28" t="s">
        <v>925</v>
      </c>
      <c r="AE28">
        <v>0</v>
      </c>
      <c r="AF28" t="s">
        <v>925</v>
      </c>
      <c r="AG28" t="s">
        <v>337</v>
      </c>
      <c r="AH28" t="s">
        <v>925</v>
      </c>
    </row>
    <row r="29" spans="1:34" x14ac:dyDescent="0.25">
      <c r="A29" s="702">
        <v>12.041</v>
      </c>
      <c r="B29" t="s">
        <v>533</v>
      </c>
      <c r="C29" t="s">
        <v>331</v>
      </c>
      <c r="D29" t="s">
        <v>477</v>
      </c>
      <c r="E29" t="s">
        <v>925</v>
      </c>
      <c r="F29" t="s">
        <v>925</v>
      </c>
      <c r="G29" t="s">
        <v>259</v>
      </c>
      <c r="H29" t="s">
        <v>340</v>
      </c>
      <c r="I29" t="s">
        <v>35</v>
      </c>
      <c r="J29" t="s">
        <v>925</v>
      </c>
      <c r="K29">
        <v>1</v>
      </c>
      <c r="L29">
        <v>23</v>
      </c>
      <c r="M29" t="s">
        <v>44</v>
      </c>
      <c r="N29">
        <v>1</v>
      </c>
      <c r="O29">
        <v>23</v>
      </c>
      <c r="P29">
        <v>1</v>
      </c>
      <c r="Q29" t="s">
        <v>43</v>
      </c>
      <c r="R29">
        <v>18</v>
      </c>
      <c r="S29">
        <v>18</v>
      </c>
      <c r="T29">
        <v>18</v>
      </c>
      <c r="U29" t="s">
        <v>925</v>
      </c>
      <c r="V29" t="s">
        <v>925</v>
      </c>
      <c r="W29" t="s">
        <v>925</v>
      </c>
      <c r="X29">
        <v>1</v>
      </c>
      <c r="Y29" t="s">
        <v>925</v>
      </c>
      <c r="Z29">
        <v>0</v>
      </c>
      <c r="AA29" t="s">
        <v>925</v>
      </c>
      <c r="AB29" t="s">
        <v>925</v>
      </c>
      <c r="AC29" t="s">
        <v>925</v>
      </c>
      <c r="AD29" t="s">
        <v>925</v>
      </c>
      <c r="AE29">
        <v>0</v>
      </c>
      <c r="AF29" t="s">
        <v>925</v>
      </c>
      <c r="AG29" t="s">
        <v>312</v>
      </c>
      <c r="AH29" t="s">
        <v>925</v>
      </c>
    </row>
    <row r="30" spans="1:34" x14ac:dyDescent="0.25">
      <c r="A30" s="702">
        <v>12.0419999999999</v>
      </c>
      <c r="B30" t="s">
        <v>534</v>
      </c>
      <c r="C30" t="s">
        <v>341</v>
      </c>
      <c r="D30" t="s">
        <v>477</v>
      </c>
      <c r="E30" t="s">
        <v>925</v>
      </c>
      <c r="F30" t="s">
        <v>925</v>
      </c>
      <c r="G30" t="s">
        <v>259</v>
      </c>
      <c r="H30" t="s">
        <v>932</v>
      </c>
      <c r="I30" t="s">
        <v>35</v>
      </c>
      <c r="J30" t="s">
        <v>342</v>
      </c>
      <c r="K30">
        <v>1</v>
      </c>
      <c r="L30">
        <v>8</v>
      </c>
      <c r="M30" t="s">
        <v>44</v>
      </c>
      <c r="N30">
        <v>1</v>
      </c>
      <c r="O30">
        <v>8</v>
      </c>
      <c r="P30">
        <v>1</v>
      </c>
      <c r="Q30" t="s">
        <v>32</v>
      </c>
      <c r="R30">
        <v>1</v>
      </c>
      <c r="S30">
        <v>0</v>
      </c>
      <c r="T30" t="s">
        <v>925</v>
      </c>
      <c r="U30" t="s">
        <v>925</v>
      </c>
      <c r="V30" t="s">
        <v>925</v>
      </c>
      <c r="W30" t="s">
        <v>925</v>
      </c>
      <c r="X30">
        <v>0</v>
      </c>
      <c r="Y30" t="s">
        <v>925</v>
      </c>
      <c r="Z30">
        <v>0</v>
      </c>
      <c r="AA30" t="s">
        <v>925</v>
      </c>
      <c r="AB30" t="s">
        <v>925</v>
      </c>
      <c r="AC30" t="s">
        <v>925</v>
      </c>
      <c r="AD30" t="s">
        <v>925</v>
      </c>
      <c r="AE30">
        <v>0</v>
      </c>
      <c r="AF30" t="s">
        <v>925</v>
      </c>
      <c r="AG30" t="s">
        <v>309</v>
      </c>
      <c r="AH30" t="s">
        <v>925</v>
      </c>
    </row>
    <row r="31" spans="1:34" x14ac:dyDescent="0.25">
      <c r="A31" s="702">
        <v>12.043999999999899</v>
      </c>
      <c r="B31" t="s">
        <v>535</v>
      </c>
      <c r="C31" t="s">
        <v>341</v>
      </c>
      <c r="D31" t="s">
        <v>477</v>
      </c>
      <c r="E31" t="s">
        <v>925</v>
      </c>
      <c r="F31" t="s">
        <v>925</v>
      </c>
      <c r="G31" t="s">
        <v>259</v>
      </c>
      <c r="H31" t="s">
        <v>932</v>
      </c>
      <c r="I31" t="s">
        <v>35</v>
      </c>
      <c r="J31" t="s">
        <v>925</v>
      </c>
      <c r="K31">
        <v>1</v>
      </c>
      <c r="L31">
        <v>8</v>
      </c>
      <c r="M31" t="s">
        <v>44</v>
      </c>
      <c r="N31">
        <v>1</v>
      </c>
      <c r="O31">
        <v>8</v>
      </c>
      <c r="P31">
        <v>1</v>
      </c>
      <c r="Q31" t="s">
        <v>32</v>
      </c>
      <c r="R31">
        <v>1</v>
      </c>
      <c r="S31">
        <v>0</v>
      </c>
      <c r="T31" t="s">
        <v>925</v>
      </c>
      <c r="U31" t="s">
        <v>925</v>
      </c>
      <c r="V31" t="s">
        <v>925</v>
      </c>
      <c r="W31" t="s">
        <v>925</v>
      </c>
      <c r="X31">
        <v>0</v>
      </c>
      <c r="Y31" t="s">
        <v>925</v>
      </c>
      <c r="Z31">
        <v>0</v>
      </c>
      <c r="AA31" t="s">
        <v>925</v>
      </c>
      <c r="AB31" t="s">
        <v>925</v>
      </c>
      <c r="AC31" t="s">
        <v>925</v>
      </c>
      <c r="AD31" t="s">
        <v>925</v>
      </c>
      <c r="AE31">
        <v>0</v>
      </c>
      <c r="AF31" t="s">
        <v>925</v>
      </c>
      <c r="AG31" t="s">
        <v>309</v>
      </c>
      <c r="AH31" t="s">
        <v>925</v>
      </c>
    </row>
    <row r="32" spans="1:34" x14ac:dyDescent="0.25">
      <c r="A32" s="702">
        <v>12.047999999999901</v>
      </c>
      <c r="B32" t="s">
        <v>537</v>
      </c>
      <c r="C32" t="s">
        <v>331</v>
      </c>
      <c r="D32" t="s">
        <v>477</v>
      </c>
      <c r="E32" t="s">
        <v>925</v>
      </c>
      <c r="F32" t="s">
        <v>925</v>
      </c>
      <c r="G32" t="s">
        <v>280</v>
      </c>
      <c r="H32" t="s">
        <v>903</v>
      </c>
      <c r="I32" t="s">
        <v>35</v>
      </c>
      <c r="J32" t="s">
        <v>925</v>
      </c>
      <c r="K32">
        <v>1</v>
      </c>
      <c r="L32">
        <v>1</v>
      </c>
      <c r="M32" t="s">
        <v>44</v>
      </c>
      <c r="N32">
        <v>1</v>
      </c>
      <c r="O32">
        <v>1</v>
      </c>
      <c r="P32">
        <v>1</v>
      </c>
      <c r="Q32" t="s">
        <v>32</v>
      </c>
      <c r="R32">
        <v>1</v>
      </c>
      <c r="S32">
        <v>1</v>
      </c>
      <c r="T32">
        <v>1</v>
      </c>
      <c r="U32" t="s">
        <v>925</v>
      </c>
      <c r="V32" t="s">
        <v>925</v>
      </c>
      <c r="W32" t="s">
        <v>925</v>
      </c>
      <c r="X32">
        <v>1</v>
      </c>
      <c r="Y32" t="s">
        <v>925</v>
      </c>
      <c r="Z32">
        <v>0</v>
      </c>
      <c r="AA32" t="s">
        <v>925</v>
      </c>
      <c r="AB32" t="s">
        <v>925</v>
      </c>
      <c r="AC32" t="s">
        <v>925</v>
      </c>
      <c r="AD32" t="s">
        <v>925</v>
      </c>
      <c r="AE32">
        <v>0</v>
      </c>
      <c r="AF32" t="s">
        <v>925</v>
      </c>
      <c r="AG32" t="s">
        <v>277</v>
      </c>
      <c r="AH32" t="s">
        <v>925</v>
      </c>
    </row>
    <row r="33" spans="1:34" x14ac:dyDescent="0.25">
      <c r="A33" s="702">
        <v>12.0489999999999</v>
      </c>
      <c r="B33" t="s">
        <v>538</v>
      </c>
      <c r="C33" t="s">
        <v>331</v>
      </c>
      <c r="D33" t="s">
        <v>477</v>
      </c>
      <c r="E33" t="s">
        <v>925</v>
      </c>
      <c r="F33" t="s">
        <v>925</v>
      </c>
      <c r="G33" t="s">
        <v>259</v>
      </c>
      <c r="H33" t="s">
        <v>904</v>
      </c>
      <c r="I33" t="s">
        <v>35</v>
      </c>
      <c r="J33" t="s">
        <v>925</v>
      </c>
      <c r="K33">
        <v>1</v>
      </c>
      <c r="L33">
        <v>1</v>
      </c>
      <c r="M33" t="s">
        <v>44</v>
      </c>
      <c r="N33">
        <v>1</v>
      </c>
      <c r="O33">
        <v>1</v>
      </c>
      <c r="P33">
        <v>1</v>
      </c>
      <c r="Q33" t="s">
        <v>32</v>
      </c>
      <c r="R33">
        <v>1</v>
      </c>
      <c r="S33">
        <v>1</v>
      </c>
      <c r="T33">
        <v>1</v>
      </c>
      <c r="U33" t="s">
        <v>925</v>
      </c>
      <c r="V33" t="s">
        <v>925</v>
      </c>
      <c r="W33" t="s">
        <v>925</v>
      </c>
      <c r="X33">
        <v>1</v>
      </c>
      <c r="Y33" t="s">
        <v>925</v>
      </c>
      <c r="Z33">
        <v>0</v>
      </c>
      <c r="AA33" t="s">
        <v>925</v>
      </c>
      <c r="AB33" t="s">
        <v>925</v>
      </c>
      <c r="AC33" t="s">
        <v>925</v>
      </c>
      <c r="AD33" t="s">
        <v>925</v>
      </c>
      <c r="AE33">
        <v>0</v>
      </c>
      <c r="AF33" t="s">
        <v>925</v>
      </c>
      <c r="AG33" t="s">
        <v>337</v>
      </c>
      <c r="AH33" t="s">
        <v>925</v>
      </c>
    </row>
    <row r="34" spans="1:34" x14ac:dyDescent="0.25">
      <c r="A34" s="702">
        <v>12.051</v>
      </c>
      <c r="B34" t="s">
        <v>539</v>
      </c>
      <c r="C34" t="s">
        <v>343</v>
      </c>
      <c r="D34" t="s">
        <v>477</v>
      </c>
      <c r="E34" t="s">
        <v>925</v>
      </c>
      <c r="F34" t="s">
        <v>925</v>
      </c>
      <c r="G34" t="s">
        <v>280</v>
      </c>
      <c r="H34" t="s">
        <v>344</v>
      </c>
      <c r="I34" t="s">
        <v>35</v>
      </c>
      <c r="J34" t="s">
        <v>925</v>
      </c>
      <c r="K34">
        <v>1</v>
      </c>
      <c r="L34">
        <v>1</v>
      </c>
      <c r="M34" t="s">
        <v>44</v>
      </c>
      <c r="N34">
        <v>1</v>
      </c>
      <c r="O34">
        <v>1</v>
      </c>
      <c r="P34">
        <v>1</v>
      </c>
      <c r="Q34" t="s">
        <v>32</v>
      </c>
      <c r="R34">
        <v>0</v>
      </c>
      <c r="S34">
        <v>0</v>
      </c>
      <c r="T34" t="s">
        <v>925</v>
      </c>
      <c r="U34" t="s">
        <v>925</v>
      </c>
      <c r="V34" t="s">
        <v>925</v>
      </c>
      <c r="W34" t="s">
        <v>925</v>
      </c>
      <c r="X34">
        <v>1</v>
      </c>
      <c r="Y34" t="s">
        <v>925</v>
      </c>
      <c r="Z34">
        <v>0</v>
      </c>
      <c r="AA34" t="s">
        <v>925</v>
      </c>
      <c r="AB34" t="s">
        <v>925</v>
      </c>
      <c r="AC34" t="s">
        <v>925</v>
      </c>
      <c r="AD34" t="s">
        <v>925</v>
      </c>
      <c r="AE34">
        <v>0</v>
      </c>
      <c r="AF34" t="s">
        <v>925</v>
      </c>
      <c r="AG34" t="s">
        <v>345</v>
      </c>
      <c r="AH34" t="s">
        <v>925</v>
      </c>
    </row>
    <row r="35" spans="1:34" x14ac:dyDescent="0.25">
      <c r="A35" s="702">
        <v>12.0529999999999</v>
      </c>
      <c r="B35" t="s">
        <v>540</v>
      </c>
      <c r="C35" t="s">
        <v>331</v>
      </c>
      <c r="D35" t="s">
        <v>477</v>
      </c>
      <c r="E35" t="s">
        <v>925</v>
      </c>
      <c r="F35" t="s">
        <v>925</v>
      </c>
      <c r="G35" t="s">
        <v>259</v>
      </c>
      <c r="H35" t="s">
        <v>346</v>
      </c>
      <c r="I35" t="s">
        <v>41</v>
      </c>
      <c r="J35" t="s">
        <v>347</v>
      </c>
      <c r="K35">
        <v>1</v>
      </c>
      <c r="L35">
        <v>3</v>
      </c>
      <c r="M35" t="s">
        <v>44</v>
      </c>
      <c r="N35">
        <v>1</v>
      </c>
      <c r="O35">
        <v>3</v>
      </c>
      <c r="P35">
        <v>1</v>
      </c>
      <c r="Q35" t="s">
        <v>43</v>
      </c>
      <c r="R35">
        <v>1</v>
      </c>
      <c r="S35">
        <v>1</v>
      </c>
      <c r="T35">
        <v>1</v>
      </c>
      <c r="U35" t="s">
        <v>925</v>
      </c>
      <c r="V35" t="s">
        <v>925</v>
      </c>
      <c r="W35" t="s">
        <v>925</v>
      </c>
      <c r="X35">
        <v>1</v>
      </c>
      <c r="Y35" t="s">
        <v>925</v>
      </c>
      <c r="Z35">
        <v>3</v>
      </c>
      <c r="AA35">
        <v>3</v>
      </c>
      <c r="AB35" t="s">
        <v>925</v>
      </c>
      <c r="AC35" t="s">
        <v>925</v>
      </c>
      <c r="AD35" t="s">
        <v>925</v>
      </c>
      <c r="AE35">
        <v>1</v>
      </c>
      <c r="AF35" t="s">
        <v>925</v>
      </c>
      <c r="AG35" t="s">
        <v>309</v>
      </c>
      <c r="AH35" t="s">
        <v>925</v>
      </c>
    </row>
    <row r="36" spans="1:34" x14ac:dyDescent="0.25">
      <c r="A36" s="702">
        <v>12.0549999999999</v>
      </c>
      <c r="B36" t="s">
        <v>542</v>
      </c>
      <c r="C36" t="s">
        <v>332</v>
      </c>
      <c r="D36" t="s">
        <v>483</v>
      </c>
      <c r="E36" t="s">
        <v>925</v>
      </c>
      <c r="F36" t="s">
        <v>925</v>
      </c>
      <c r="G36" t="s">
        <v>259</v>
      </c>
      <c r="H36" t="s">
        <v>348</v>
      </c>
      <c r="I36" t="s">
        <v>41</v>
      </c>
      <c r="J36" t="s">
        <v>925</v>
      </c>
      <c r="K36">
        <v>1</v>
      </c>
      <c r="L36">
        <v>1</v>
      </c>
      <c r="M36" t="s">
        <v>44</v>
      </c>
      <c r="N36">
        <v>1</v>
      </c>
      <c r="O36">
        <v>1</v>
      </c>
      <c r="P36">
        <v>1</v>
      </c>
      <c r="Q36" t="s">
        <v>32</v>
      </c>
      <c r="R36">
        <v>1</v>
      </c>
      <c r="S36">
        <v>1</v>
      </c>
      <c r="T36">
        <v>1</v>
      </c>
      <c r="U36" t="s">
        <v>925</v>
      </c>
      <c r="V36" t="s">
        <v>925</v>
      </c>
      <c r="W36" t="s">
        <v>925</v>
      </c>
      <c r="X36">
        <v>1</v>
      </c>
      <c r="Y36" t="s">
        <v>925</v>
      </c>
      <c r="Z36">
        <v>1</v>
      </c>
      <c r="AA36">
        <v>1</v>
      </c>
      <c r="AB36" t="s">
        <v>925</v>
      </c>
      <c r="AC36" t="s">
        <v>925</v>
      </c>
      <c r="AD36" t="s">
        <v>925</v>
      </c>
      <c r="AE36">
        <v>1</v>
      </c>
      <c r="AF36" t="s">
        <v>925</v>
      </c>
      <c r="AG36" t="s">
        <v>309</v>
      </c>
      <c r="AH36" t="s">
        <v>925</v>
      </c>
    </row>
    <row r="37" spans="1:34" x14ac:dyDescent="0.25">
      <c r="A37" s="702">
        <v>12.0559999999999</v>
      </c>
      <c r="B37" t="s">
        <v>543</v>
      </c>
      <c r="C37" t="s">
        <v>332</v>
      </c>
      <c r="D37" t="s">
        <v>483</v>
      </c>
      <c r="E37" t="s">
        <v>925</v>
      </c>
      <c r="F37" t="s">
        <v>925</v>
      </c>
      <c r="G37" t="s">
        <v>259</v>
      </c>
      <c r="H37" t="s">
        <v>349</v>
      </c>
      <c r="I37" t="s">
        <v>41</v>
      </c>
      <c r="J37" t="s">
        <v>350</v>
      </c>
      <c r="K37">
        <v>1</v>
      </c>
      <c r="L37">
        <v>1</v>
      </c>
      <c r="M37" t="s">
        <v>44</v>
      </c>
      <c r="N37">
        <v>1</v>
      </c>
      <c r="O37">
        <v>1</v>
      </c>
      <c r="P37">
        <v>1</v>
      </c>
      <c r="Q37" t="s">
        <v>32</v>
      </c>
      <c r="R37">
        <v>1</v>
      </c>
      <c r="S37">
        <v>1</v>
      </c>
      <c r="T37">
        <v>1</v>
      </c>
      <c r="U37" t="s">
        <v>925</v>
      </c>
      <c r="V37" t="s">
        <v>925</v>
      </c>
      <c r="W37" t="s">
        <v>925</v>
      </c>
      <c r="X37">
        <v>1</v>
      </c>
      <c r="Y37" t="s">
        <v>925</v>
      </c>
      <c r="Z37">
        <v>1</v>
      </c>
      <c r="AA37">
        <v>1</v>
      </c>
      <c r="AB37" t="s">
        <v>925</v>
      </c>
      <c r="AC37" t="s">
        <v>925</v>
      </c>
      <c r="AD37" t="s">
        <v>925</v>
      </c>
      <c r="AE37">
        <v>1</v>
      </c>
      <c r="AF37" t="s">
        <v>925</v>
      </c>
      <c r="AG37" t="s">
        <v>309</v>
      </c>
      <c r="AH37" t="s">
        <v>925</v>
      </c>
    </row>
    <row r="38" spans="1:34" x14ac:dyDescent="0.25">
      <c r="A38" s="702">
        <v>12.057</v>
      </c>
      <c r="B38" t="s">
        <v>544</v>
      </c>
      <c r="C38" t="s">
        <v>332</v>
      </c>
      <c r="D38" t="s">
        <v>483</v>
      </c>
      <c r="E38" t="s">
        <v>925</v>
      </c>
      <c r="F38" t="s">
        <v>925</v>
      </c>
      <c r="G38" t="s">
        <v>280</v>
      </c>
      <c r="H38" t="s">
        <v>933</v>
      </c>
      <c r="I38" t="s">
        <v>35</v>
      </c>
      <c r="J38" t="s">
        <v>925</v>
      </c>
      <c r="K38">
        <v>1</v>
      </c>
      <c r="L38">
        <v>2</v>
      </c>
      <c r="M38" t="s">
        <v>44</v>
      </c>
      <c r="N38">
        <v>1</v>
      </c>
      <c r="O38">
        <v>2</v>
      </c>
      <c r="P38">
        <v>1</v>
      </c>
      <c r="Q38" t="s">
        <v>32</v>
      </c>
      <c r="R38">
        <v>2</v>
      </c>
      <c r="S38">
        <v>2</v>
      </c>
      <c r="T38">
        <v>2</v>
      </c>
      <c r="U38" t="s">
        <v>925</v>
      </c>
      <c r="V38" t="s">
        <v>925</v>
      </c>
      <c r="W38" t="s">
        <v>925</v>
      </c>
      <c r="X38">
        <v>1</v>
      </c>
      <c r="Y38" t="s">
        <v>925</v>
      </c>
      <c r="Z38">
        <v>2</v>
      </c>
      <c r="AA38">
        <v>2</v>
      </c>
      <c r="AB38" t="s">
        <v>925</v>
      </c>
      <c r="AC38" t="s">
        <v>925</v>
      </c>
      <c r="AD38" t="s">
        <v>925</v>
      </c>
      <c r="AE38">
        <v>1</v>
      </c>
      <c r="AF38" t="s">
        <v>925</v>
      </c>
      <c r="AG38" t="s">
        <v>345</v>
      </c>
      <c r="AH38" t="s">
        <v>925</v>
      </c>
    </row>
    <row r="39" spans="1:34" x14ac:dyDescent="0.25">
      <c r="A39" s="702">
        <v>12.0589999999999</v>
      </c>
      <c r="B39" t="s">
        <v>545</v>
      </c>
      <c r="C39" t="s">
        <v>332</v>
      </c>
      <c r="D39" t="s">
        <v>483</v>
      </c>
      <c r="E39" t="s">
        <v>925</v>
      </c>
      <c r="F39" t="s">
        <v>925</v>
      </c>
      <c r="G39" t="s">
        <v>259</v>
      </c>
      <c r="H39" t="s">
        <v>934</v>
      </c>
      <c r="I39" t="s">
        <v>35</v>
      </c>
      <c r="J39" t="s">
        <v>925</v>
      </c>
      <c r="K39">
        <v>1</v>
      </c>
      <c r="L39">
        <v>62</v>
      </c>
      <c r="M39" t="s">
        <v>44</v>
      </c>
      <c r="N39">
        <v>1</v>
      </c>
      <c r="O39">
        <v>62</v>
      </c>
      <c r="P39">
        <v>1</v>
      </c>
      <c r="Q39" t="s">
        <v>32</v>
      </c>
      <c r="R39">
        <v>62</v>
      </c>
      <c r="S39">
        <v>62</v>
      </c>
      <c r="T39">
        <v>62</v>
      </c>
      <c r="U39" t="s">
        <v>925</v>
      </c>
      <c r="V39" t="s">
        <v>925</v>
      </c>
      <c r="W39" t="s">
        <v>925</v>
      </c>
      <c r="X39">
        <v>1</v>
      </c>
      <c r="Y39" t="s">
        <v>925</v>
      </c>
      <c r="Z39">
        <v>62</v>
      </c>
      <c r="AA39">
        <v>62</v>
      </c>
      <c r="AB39" t="s">
        <v>925</v>
      </c>
      <c r="AC39" t="s">
        <v>925</v>
      </c>
      <c r="AD39" t="s">
        <v>925</v>
      </c>
      <c r="AE39">
        <v>1</v>
      </c>
      <c r="AF39" t="s">
        <v>925</v>
      </c>
      <c r="AG39" t="s">
        <v>309</v>
      </c>
      <c r="AH39" t="s">
        <v>925</v>
      </c>
    </row>
    <row r="40" spans="1:34" x14ac:dyDescent="0.25">
      <c r="A40" s="702">
        <v>12.059999999999899</v>
      </c>
      <c r="B40" t="s">
        <v>546</v>
      </c>
      <c r="C40" t="s">
        <v>332</v>
      </c>
      <c r="D40" t="s">
        <v>483</v>
      </c>
      <c r="E40" t="s">
        <v>925</v>
      </c>
      <c r="F40" t="s">
        <v>925</v>
      </c>
      <c r="G40" t="s">
        <v>259</v>
      </c>
      <c r="H40" t="s">
        <v>935</v>
      </c>
      <c r="I40" t="s">
        <v>35</v>
      </c>
      <c r="J40" t="s">
        <v>925</v>
      </c>
      <c r="K40">
        <v>1</v>
      </c>
      <c r="L40">
        <v>4</v>
      </c>
      <c r="M40" t="s">
        <v>44</v>
      </c>
      <c r="N40">
        <v>1</v>
      </c>
      <c r="O40">
        <v>4</v>
      </c>
      <c r="P40">
        <v>1</v>
      </c>
      <c r="Q40" t="s">
        <v>43</v>
      </c>
      <c r="R40">
        <v>4</v>
      </c>
      <c r="S40">
        <v>4</v>
      </c>
      <c r="T40">
        <v>4</v>
      </c>
      <c r="U40" t="s">
        <v>925</v>
      </c>
      <c r="V40" t="s">
        <v>925</v>
      </c>
      <c r="W40" t="s">
        <v>925</v>
      </c>
      <c r="X40">
        <v>1</v>
      </c>
      <c r="Y40" t="s">
        <v>925</v>
      </c>
      <c r="Z40">
        <v>4</v>
      </c>
      <c r="AA40">
        <v>4</v>
      </c>
      <c r="AB40" t="s">
        <v>925</v>
      </c>
      <c r="AC40" t="s">
        <v>925</v>
      </c>
      <c r="AD40" t="s">
        <v>925</v>
      </c>
      <c r="AE40">
        <v>1</v>
      </c>
      <c r="AF40" t="s">
        <v>925</v>
      </c>
      <c r="AG40" t="s">
        <v>309</v>
      </c>
      <c r="AH40" t="s">
        <v>925</v>
      </c>
    </row>
    <row r="41" spans="1:34" x14ac:dyDescent="0.25">
      <c r="A41" s="702">
        <v>12.0619999999999</v>
      </c>
      <c r="B41" t="s">
        <v>547</v>
      </c>
      <c r="C41" t="s">
        <v>332</v>
      </c>
      <c r="D41" t="s">
        <v>483</v>
      </c>
      <c r="E41" t="s">
        <v>925</v>
      </c>
      <c r="F41" t="s">
        <v>925</v>
      </c>
      <c r="G41" t="s">
        <v>259</v>
      </c>
      <c r="H41" t="s">
        <v>936</v>
      </c>
      <c r="I41" t="s">
        <v>41</v>
      </c>
      <c r="J41" t="s">
        <v>925</v>
      </c>
      <c r="K41">
        <v>1</v>
      </c>
      <c r="L41">
        <v>2</v>
      </c>
      <c r="M41" t="s">
        <v>44</v>
      </c>
      <c r="N41">
        <v>1</v>
      </c>
      <c r="O41">
        <v>2</v>
      </c>
      <c r="P41">
        <v>1</v>
      </c>
      <c r="Q41" t="s">
        <v>32</v>
      </c>
      <c r="R41">
        <v>2</v>
      </c>
      <c r="S41">
        <v>2</v>
      </c>
      <c r="T41">
        <v>2</v>
      </c>
      <c r="U41" t="s">
        <v>925</v>
      </c>
      <c r="V41" t="s">
        <v>925</v>
      </c>
      <c r="W41" t="s">
        <v>925</v>
      </c>
      <c r="X41">
        <v>1</v>
      </c>
      <c r="Y41" t="s">
        <v>925</v>
      </c>
      <c r="Z41">
        <v>2</v>
      </c>
      <c r="AA41">
        <v>2</v>
      </c>
      <c r="AB41" t="s">
        <v>925</v>
      </c>
      <c r="AC41" t="s">
        <v>925</v>
      </c>
      <c r="AD41" t="s">
        <v>925</v>
      </c>
      <c r="AE41">
        <v>1</v>
      </c>
      <c r="AF41" t="s">
        <v>925</v>
      </c>
      <c r="AG41" t="s">
        <v>309</v>
      </c>
      <c r="AH41" t="s">
        <v>925</v>
      </c>
    </row>
    <row r="42" spans="1:34" x14ac:dyDescent="0.25">
      <c r="A42" s="702">
        <v>12.062999999999899</v>
      </c>
      <c r="B42" t="s">
        <v>548</v>
      </c>
      <c r="C42" t="s">
        <v>332</v>
      </c>
      <c r="D42" t="s">
        <v>483</v>
      </c>
      <c r="E42" t="s">
        <v>925</v>
      </c>
      <c r="F42" t="s">
        <v>925</v>
      </c>
      <c r="G42" t="s">
        <v>280</v>
      </c>
      <c r="H42" t="s">
        <v>351</v>
      </c>
      <c r="I42" t="s">
        <v>41</v>
      </c>
      <c r="J42" t="s">
        <v>925</v>
      </c>
      <c r="K42">
        <v>1</v>
      </c>
      <c r="L42">
        <v>1</v>
      </c>
      <c r="M42" t="s">
        <v>39</v>
      </c>
      <c r="N42">
        <v>1</v>
      </c>
      <c r="O42">
        <v>1</v>
      </c>
      <c r="P42">
        <v>1</v>
      </c>
      <c r="Q42" t="s">
        <v>32</v>
      </c>
      <c r="R42">
        <v>1</v>
      </c>
      <c r="S42">
        <v>1</v>
      </c>
      <c r="T42">
        <v>1</v>
      </c>
      <c r="U42" t="s">
        <v>925</v>
      </c>
      <c r="V42" t="s">
        <v>925</v>
      </c>
      <c r="W42" t="s">
        <v>925</v>
      </c>
      <c r="X42">
        <v>1</v>
      </c>
      <c r="Y42" t="s">
        <v>925</v>
      </c>
      <c r="Z42">
        <v>1</v>
      </c>
      <c r="AA42">
        <v>1</v>
      </c>
      <c r="AB42" t="s">
        <v>925</v>
      </c>
      <c r="AC42" t="s">
        <v>925</v>
      </c>
      <c r="AD42" t="s">
        <v>925</v>
      </c>
      <c r="AE42">
        <v>1</v>
      </c>
      <c r="AF42" t="s">
        <v>925</v>
      </c>
      <c r="AG42" t="s">
        <v>345</v>
      </c>
      <c r="AH42" t="s">
        <v>925</v>
      </c>
    </row>
    <row r="43" spans="1:34" x14ac:dyDescent="0.25">
      <c r="A43" s="702">
        <v>12.063999999999901</v>
      </c>
      <c r="B43" t="s">
        <v>549</v>
      </c>
      <c r="C43" t="s">
        <v>332</v>
      </c>
      <c r="D43" t="s">
        <v>483</v>
      </c>
      <c r="E43" t="s">
        <v>925</v>
      </c>
      <c r="F43" t="s">
        <v>925</v>
      </c>
      <c r="G43" t="s">
        <v>280</v>
      </c>
      <c r="H43" t="s">
        <v>937</v>
      </c>
      <c r="I43" t="s">
        <v>35</v>
      </c>
      <c r="J43" t="s">
        <v>925</v>
      </c>
      <c r="K43">
        <v>1</v>
      </c>
      <c r="L43">
        <v>2</v>
      </c>
      <c r="M43" t="s">
        <v>39</v>
      </c>
      <c r="N43">
        <v>1</v>
      </c>
      <c r="O43">
        <v>2</v>
      </c>
      <c r="P43">
        <v>1</v>
      </c>
      <c r="Q43" t="s">
        <v>32</v>
      </c>
      <c r="R43">
        <v>2</v>
      </c>
      <c r="S43">
        <v>2</v>
      </c>
      <c r="T43">
        <v>2</v>
      </c>
      <c r="U43" t="s">
        <v>925</v>
      </c>
      <c r="V43" t="s">
        <v>925</v>
      </c>
      <c r="W43" t="s">
        <v>925</v>
      </c>
      <c r="X43">
        <v>1</v>
      </c>
      <c r="Y43" t="s">
        <v>925</v>
      </c>
      <c r="Z43">
        <v>2</v>
      </c>
      <c r="AA43">
        <v>2</v>
      </c>
      <c r="AB43" t="s">
        <v>925</v>
      </c>
      <c r="AC43" t="s">
        <v>925</v>
      </c>
      <c r="AD43" t="s">
        <v>925</v>
      </c>
      <c r="AE43">
        <v>1</v>
      </c>
      <c r="AF43" t="s">
        <v>925</v>
      </c>
      <c r="AG43" t="s">
        <v>345</v>
      </c>
      <c r="AH43" t="s">
        <v>925</v>
      </c>
    </row>
    <row r="44" spans="1:34" x14ac:dyDescent="0.25">
      <c r="A44" s="702">
        <v>12.0649999999999</v>
      </c>
      <c r="B44" t="s">
        <v>550</v>
      </c>
      <c r="C44" t="s">
        <v>352</v>
      </c>
      <c r="D44" t="s">
        <v>483</v>
      </c>
      <c r="E44" t="s">
        <v>925</v>
      </c>
      <c r="F44" t="s">
        <v>925</v>
      </c>
      <c r="G44" t="s">
        <v>259</v>
      </c>
      <c r="H44" t="s">
        <v>938</v>
      </c>
      <c r="I44" t="s">
        <v>35</v>
      </c>
      <c r="J44" t="s">
        <v>925</v>
      </c>
      <c r="K44">
        <v>1</v>
      </c>
      <c r="L44">
        <v>2</v>
      </c>
      <c r="M44" t="s">
        <v>39</v>
      </c>
      <c r="N44">
        <v>1</v>
      </c>
      <c r="O44">
        <v>2</v>
      </c>
      <c r="P44">
        <v>1</v>
      </c>
      <c r="Q44" t="s">
        <v>32</v>
      </c>
      <c r="R44">
        <v>2</v>
      </c>
      <c r="S44">
        <v>2</v>
      </c>
      <c r="T44">
        <v>2</v>
      </c>
      <c r="U44" t="s">
        <v>925</v>
      </c>
      <c r="V44" t="s">
        <v>925</v>
      </c>
      <c r="W44" t="s">
        <v>925</v>
      </c>
      <c r="X44">
        <v>1</v>
      </c>
      <c r="Y44" t="s">
        <v>353</v>
      </c>
      <c r="Z44">
        <v>2</v>
      </c>
      <c r="AA44">
        <v>2</v>
      </c>
      <c r="AB44" t="s">
        <v>925</v>
      </c>
      <c r="AC44" t="s">
        <v>925</v>
      </c>
      <c r="AD44" t="s">
        <v>925</v>
      </c>
      <c r="AE44">
        <v>1</v>
      </c>
      <c r="AF44" t="s">
        <v>925</v>
      </c>
      <c r="AG44" t="s">
        <v>337</v>
      </c>
      <c r="AH44" t="s">
        <v>925</v>
      </c>
    </row>
    <row r="45" spans="1:34" ht="69" customHeight="1" x14ac:dyDescent="0.25">
      <c r="A45" s="702">
        <v>12.065999999999899</v>
      </c>
      <c r="B45" t="s">
        <v>552</v>
      </c>
      <c r="C45" t="s">
        <v>332</v>
      </c>
      <c r="D45" t="s">
        <v>483</v>
      </c>
      <c r="E45" t="s">
        <v>925</v>
      </c>
      <c r="F45" t="s">
        <v>925</v>
      </c>
      <c r="G45" t="s">
        <v>280</v>
      </c>
      <c r="H45" t="s">
        <v>939</v>
      </c>
      <c r="I45" t="s">
        <v>35</v>
      </c>
      <c r="J45" t="s">
        <v>925</v>
      </c>
      <c r="K45">
        <v>1</v>
      </c>
      <c r="L45">
        <v>6</v>
      </c>
      <c r="M45" t="s">
        <v>39</v>
      </c>
      <c r="N45">
        <v>1</v>
      </c>
      <c r="O45">
        <v>6</v>
      </c>
      <c r="P45">
        <v>1</v>
      </c>
      <c r="Q45" t="s">
        <v>32</v>
      </c>
      <c r="R45">
        <v>6</v>
      </c>
      <c r="S45">
        <v>6</v>
      </c>
      <c r="T45">
        <v>6</v>
      </c>
      <c r="U45" t="s">
        <v>925</v>
      </c>
      <c r="V45" t="s">
        <v>925</v>
      </c>
      <c r="W45" t="s">
        <v>925</v>
      </c>
      <c r="X45">
        <v>1</v>
      </c>
      <c r="Y45" t="s">
        <v>925</v>
      </c>
      <c r="Z45">
        <v>6</v>
      </c>
      <c r="AA45">
        <v>6</v>
      </c>
      <c r="AB45" t="s">
        <v>925</v>
      </c>
      <c r="AC45" t="s">
        <v>925</v>
      </c>
      <c r="AD45" t="s">
        <v>925</v>
      </c>
      <c r="AE45">
        <v>1</v>
      </c>
      <c r="AF45" t="s">
        <v>925</v>
      </c>
      <c r="AG45" t="s">
        <v>345</v>
      </c>
      <c r="AH45" t="s">
        <v>925</v>
      </c>
    </row>
    <row r="46" spans="1:34" x14ac:dyDescent="0.25">
      <c r="A46" s="702">
        <v>12.066999999999901</v>
      </c>
      <c r="B46" t="s">
        <v>553</v>
      </c>
      <c r="C46" t="s">
        <v>332</v>
      </c>
      <c r="D46" t="s">
        <v>483</v>
      </c>
      <c r="E46" t="s">
        <v>925</v>
      </c>
      <c r="F46" t="s">
        <v>925</v>
      </c>
      <c r="G46" t="s">
        <v>259</v>
      </c>
      <c r="H46" t="s">
        <v>354</v>
      </c>
      <c r="I46" t="s">
        <v>41</v>
      </c>
      <c r="J46" t="s">
        <v>355</v>
      </c>
      <c r="K46">
        <v>1</v>
      </c>
      <c r="L46">
        <v>1</v>
      </c>
      <c r="M46" t="s">
        <v>39</v>
      </c>
      <c r="N46">
        <v>1</v>
      </c>
      <c r="O46">
        <v>1</v>
      </c>
      <c r="P46">
        <v>1</v>
      </c>
      <c r="Q46" t="s">
        <v>43</v>
      </c>
      <c r="R46">
        <v>1</v>
      </c>
      <c r="S46">
        <v>1</v>
      </c>
      <c r="T46">
        <v>1</v>
      </c>
      <c r="U46" t="s">
        <v>925</v>
      </c>
      <c r="V46" t="s">
        <v>925</v>
      </c>
      <c r="W46" t="s">
        <v>925</v>
      </c>
      <c r="X46">
        <v>1</v>
      </c>
      <c r="Y46" t="s">
        <v>356</v>
      </c>
      <c r="Z46">
        <v>1</v>
      </c>
      <c r="AA46">
        <v>1</v>
      </c>
      <c r="AB46" t="s">
        <v>925</v>
      </c>
      <c r="AC46" t="s">
        <v>925</v>
      </c>
      <c r="AD46" t="s">
        <v>925</v>
      </c>
      <c r="AE46">
        <v>1</v>
      </c>
      <c r="AF46" t="s">
        <v>925</v>
      </c>
      <c r="AG46" t="s">
        <v>309</v>
      </c>
      <c r="AH46" t="s">
        <v>925</v>
      </c>
    </row>
    <row r="47" spans="1:34" x14ac:dyDescent="0.25">
      <c r="A47" s="702">
        <v>12.0689999999999</v>
      </c>
      <c r="B47" t="s">
        <v>555</v>
      </c>
      <c r="C47" t="s">
        <v>332</v>
      </c>
      <c r="D47" t="s">
        <v>483</v>
      </c>
      <c r="E47" t="s">
        <v>925</v>
      </c>
      <c r="F47" t="s">
        <v>925</v>
      </c>
      <c r="G47" t="s">
        <v>259</v>
      </c>
      <c r="H47" t="s">
        <v>940</v>
      </c>
      <c r="I47" t="s">
        <v>41</v>
      </c>
      <c r="J47" t="s">
        <v>925</v>
      </c>
      <c r="K47">
        <v>1</v>
      </c>
      <c r="L47">
        <v>3</v>
      </c>
      <c r="M47" t="s">
        <v>44</v>
      </c>
      <c r="N47">
        <v>1</v>
      </c>
      <c r="O47">
        <v>3</v>
      </c>
      <c r="P47">
        <v>1</v>
      </c>
      <c r="Q47" t="s">
        <v>32</v>
      </c>
      <c r="R47">
        <v>3</v>
      </c>
      <c r="S47">
        <v>3</v>
      </c>
      <c r="T47">
        <v>3</v>
      </c>
      <c r="U47" t="s">
        <v>925</v>
      </c>
      <c r="V47" t="s">
        <v>925</v>
      </c>
      <c r="W47" t="s">
        <v>925</v>
      </c>
      <c r="X47">
        <v>1</v>
      </c>
      <c r="Y47" t="s">
        <v>925</v>
      </c>
      <c r="Z47">
        <v>3</v>
      </c>
      <c r="AA47">
        <v>3</v>
      </c>
      <c r="AB47" t="s">
        <v>925</v>
      </c>
      <c r="AC47" t="s">
        <v>925</v>
      </c>
      <c r="AD47" t="s">
        <v>925</v>
      </c>
      <c r="AE47">
        <v>1</v>
      </c>
      <c r="AF47" t="s">
        <v>925</v>
      </c>
      <c r="AG47" t="s">
        <v>309</v>
      </c>
      <c r="AH47" t="s">
        <v>925</v>
      </c>
    </row>
    <row r="48" spans="1:34" x14ac:dyDescent="0.25">
      <c r="A48" s="702">
        <v>12.072999999999899</v>
      </c>
      <c r="B48" t="s">
        <v>557</v>
      </c>
      <c r="C48" t="s">
        <v>332</v>
      </c>
      <c r="D48" t="s">
        <v>483</v>
      </c>
      <c r="E48" t="s">
        <v>925</v>
      </c>
      <c r="F48" t="s">
        <v>925</v>
      </c>
      <c r="G48" t="s">
        <v>280</v>
      </c>
      <c r="H48" t="s">
        <v>357</v>
      </c>
      <c r="I48" t="s">
        <v>35</v>
      </c>
      <c r="J48" t="s">
        <v>925</v>
      </c>
      <c r="K48">
        <v>1</v>
      </c>
      <c r="L48">
        <v>1</v>
      </c>
      <c r="M48" t="s">
        <v>44</v>
      </c>
      <c r="N48">
        <v>1</v>
      </c>
      <c r="O48">
        <v>1</v>
      </c>
      <c r="P48">
        <v>1</v>
      </c>
      <c r="Q48" t="s">
        <v>32</v>
      </c>
      <c r="R48">
        <v>1</v>
      </c>
      <c r="S48">
        <v>1</v>
      </c>
      <c r="T48">
        <v>1</v>
      </c>
      <c r="U48" t="s">
        <v>925</v>
      </c>
      <c r="V48" t="s">
        <v>925</v>
      </c>
      <c r="W48" t="s">
        <v>925</v>
      </c>
      <c r="X48">
        <v>1</v>
      </c>
      <c r="Y48" t="s">
        <v>925</v>
      </c>
      <c r="Z48">
        <v>1</v>
      </c>
      <c r="AA48">
        <v>1</v>
      </c>
      <c r="AB48" t="s">
        <v>925</v>
      </c>
      <c r="AC48" t="s">
        <v>925</v>
      </c>
      <c r="AD48" t="s">
        <v>925</v>
      </c>
      <c r="AE48">
        <v>1</v>
      </c>
      <c r="AF48" t="s">
        <v>925</v>
      </c>
      <c r="AG48" t="s">
        <v>345</v>
      </c>
      <c r="AH48" t="s">
        <v>925</v>
      </c>
    </row>
    <row r="49" spans="1:34" x14ac:dyDescent="0.25">
      <c r="A49" s="702">
        <v>12.078999999999899</v>
      </c>
      <c r="B49" t="s">
        <v>559</v>
      </c>
      <c r="C49" t="s">
        <v>352</v>
      </c>
      <c r="D49" t="s">
        <v>483</v>
      </c>
      <c r="E49" t="s">
        <v>925</v>
      </c>
      <c r="F49" t="s">
        <v>925</v>
      </c>
      <c r="G49" t="s">
        <v>259</v>
      </c>
      <c r="H49" t="s">
        <v>941</v>
      </c>
      <c r="I49" t="s">
        <v>41</v>
      </c>
      <c r="J49" t="s">
        <v>925</v>
      </c>
      <c r="K49">
        <v>1</v>
      </c>
      <c r="L49">
        <v>2</v>
      </c>
      <c r="M49" t="s">
        <v>44</v>
      </c>
      <c r="N49">
        <v>1</v>
      </c>
      <c r="O49">
        <v>2</v>
      </c>
      <c r="P49">
        <v>1</v>
      </c>
      <c r="Q49" t="s">
        <v>32</v>
      </c>
      <c r="R49">
        <v>2</v>
      </c>
      <c r="S49">
        <v>2</v>
      </c>
      <c r="T49">
        <v>2</v>
      </c>
      <c r="U49" t="s">
        <v>925</v>
      </c>
      <c r="V49" t="s">
        <v>925</v>
      </c>
      <c r="W49" t="s">
        <v>925</v>
      </c>
      <c r="X49">
        <v>1</v>
      </c>
      <c r="Y49" t="s">
        <v>925</v>
      </c>
      <c r="Z49">
        <v>2</v>
      </c>
      <c r="AA49">
        <v>2</v>
      </c>
      <c r="AB49" t="s">
        <v>925</v>
      </c>
      <c r="AC49" t="s">
        <v>925</v>
      </c>
      <c r="AD49" t="s">
        <v>925</v>
      </c>
      <c r="AE49">
        <v>1</v>
      </c>
      <c r="AF49" t="s">
        <v>925</v>
      </c>
      <c r="AG49" t="s">
        <v>358</v>
      </c>
      <c r="AH49" t="s">
        <v>925</v>
      </c>
    </row>
    <row r="50" spans="1:34" x14ac:dyDescent="0.25">
      <c r="A50" s="702">
        <v>12.0839999999999</v>
      </c>
      <c r="B50" t="s">
        <v>560</v>
      </c>
      <c r="C50" t="s">
        <v>332</v>
      </c>
      <c r="D50" t="s">
        <v>483</v>
      </c>
      <c r="E50" t="s">
        <v>925</v>
      </c>
      <c r="F50" t="s">
        <v>925</v>
      </c>
      <c r="G50" t="s">
        <v>280</v>
      </c>
      <c r="H50" t="s">
        <v>942</v>
      </c>
      <c r="I50" t="s">
        <v>35</v>
      </c>
      <c r="J50" t="s">
        <v>925</v>
      </c>
      <c r="K50">
        <v>1</v>
      </c>
      <c r="L50">
        <v>3</v>
      </c>
      <c r="M50" t="s">
        <v>44</v>
      </c>
      <c r="N50">
        <v>1</v>
      </c>
      <c r="O50">
        <v>3</v>
      </c>
      <c r="P50">
        <v>1</v>
      </c>
      <c r="Q50" t="s">
        <v>32</v>
      </c>
      <c r="R50">
        <v>3</v>
      </c>
      <c r="S50">
        <v>3</v>
      </c>
      <c r="T50">
        <v>3</v>
      </c>
      <c r="U50" t="s">
        <v>925</v>
      </c>
      <c r="V50" t="s">
        <v>925</v>
      </c>
      <c r="W50" t="s">
        <v>925</v>
      </c>
      <c r="X50">
        <v>1</v>
      </c>
      <c r="Y50" t="s">
        <v>925</v>
      </c>
      <c r="Z50">
        <v>3</v>
      </c>
      <c r="AA50">
        <v>3</v>
      </c>
      <c r="AB50" t="s">
        <v>925</v>
      </c>
      <c r="AC50" t="s">
        <v>925</v>
      </c>
      <c r="AD50" t="s">
        <v>925</v>
      </c>
      <c r="AE50">
        <v>1</v>
      </c>
      <c r="AF50" t="s">
        <v>925</v>
      </c>
      <c r="AG50" t="s">
        <v>345</v>
      </c>
      <c r="AH50" t="s">
        <v>925</v>
      </c>
    </row>
    <row r="51" spans="1:34" x14ac:dyDescent="0.25">
      <c r="A51" s="702">
        <v>12.112</v>
      </c>
      <c r="B51" t="s">
        <v>566</v>
      </c>
      <c r="C51" t="s">
        <v>359</v>
      </c>
      <c r="D51" t="s">
        <v>477</v>
      </c>
      <c r="E51" t="s">
        <v>925</v>
      </c>
      <c r="F51" t="s">
        <v>925</v>
      </c>
      <c r="G51" t="s">
        <v>280</v>
      </c>
      <c r="H51" t="s">
        <v>363</v>
      </c>
      <c r="I51" t="s">
        <v>41</v>
      </c>
      <c r="J51" t="s">
        <v>925</v>
      </c>
      <c r="K51">
        <v>1</v>
      </c>
      <c r="L51">
        <v>1</v>
      </c>
      <c r="M51" t="s">
        <v>44</v>
      </c>
      <c r="N51">
        <v>1</v>
      </c>
      <c r="O51">
        <v>1</v>
      </c>
      <c r="P51">
        <v>1</v>
      </c>
      <c r="Q51" t="s">
        <v>32</v>
      </c>
      <c r="R51">
        <v>1</v>
      </c>
      <c r="S51">
        <v>0</v>
      </c>
      <c r="T51" t="s">
        <v>925</v>
      </c>
      <c r="U51" t="s">
        <v>925</v>
      </c>
      <c r="V51" t="s">
        <v>925</v>
      </c>
      <c r="W51" t="s">
        <v>925</v>
      </c>
      <c r="X51">
        <v>0</v>
      </c>
      <c r="Y51" t="s">
        <v>925</v>
      </c>
      <c r="Z51">
        <v>0</v>
      </c>
      <c r="AA51" t="s">
        <v>925</v>
      </c>
      <c r="AB51" t="s">
        <v>925</v>
      </c>
      <c r="AC51" t="s">
        <v>925</v>
      </c>
      <c r="AD51" t="s">
        <v>925</v>
      </c>
      <c r="AE51">
        <v>0</v>
      </c>
      <c r="AF51" t="s">
        <v>925</v>
      </c>
      <c r="AG51" t="s">
        <v>345</v>
      </c>
      <c r="AH51" t="s">
        <v>925</v>
      </c>
    </row>
    <row r="52" spans="1:34" x14ac:dyDescent="0.25">
      <c r="A52" s="702">
        <v>12.115</v>
      </c>
      <c r="B52" t="s">
        <v>569</v>
      </c>
      <c r="C52" t="s">
        <v>332</v>
      </c>
      <c r="D52" t="s">
        <v>483</v>
      </c>
      <c r="E52" t="s">
        <v>925</v>
      </c>
      <c r="F52" t="s">
        <v>925</v>
      </c>
      <c r="G52" t="s">
        <v>259</v>
      </c>
      <c r="H52" t="s">
        <v>943</v>
      </c>
      <c r="I52" t="s">
        <v>35</v>
      </c>
      <c r="J52" t="s">
        <v>925</v>
      </c>
      <c r="K52">
        <v>1</v>
      </c>
      <c r="L52">
        <v>14</v>
      </c>
      <c r="M52" t="s">
        <v>44</v>
      </c>
      <c r="N52">
        <v>1</v>
      </c>
      <c r="O52">
        <v>14</v>
      </c>
      <c r="P52">
        <v>1</v>
      </c>
      <c r="Q52" t="s">
        <v>32</v>
      </c>
      <c r="R52">
        <v>14</v>
      </c>
      <c r="S52">
        <v>14</v>
      </c>
      <c r="T52">
        <v>14</v>
      </c>
      <c r="U52" t="s">
        <v>925</v>
      </c>
      <c r="V52" t="s">
        <v>925</v>
      </c>
      <c r="W52" t="s">
        <v>925</v>
      </c>
      <c r="X52">
        <v>1</v>
      </c>
      <c r="Y52" t="s">
        <v>925</v>
      </c>
      <c r="Z52">
        <v>14</v>
      </c>
      <c r="AA52">
        <v>14</v>
      </c>
      <c r="AB52" t="s">
        <v>925</v>
      </c>
      <c r="AC52" t="s">
        <v>925</v>
      </c>
      <c r="AD52" t="s">
        <v>925</v>
      </c>
      <c r="AE52">
        <v>1</v>
      </c>
      <c r="AF52" t="s">
        <v>925</v>
      </c>
      <c r="AG52" t="s">
        <v>309</v>
      </c>
      <c r="AH52" t="s">
        <v>925</v>
      </c>
    </row>
    <row r="53" spans="1:34" x14ac:dyDescent="0.25">
      <c r="A53" s="702">
        <v>12.118</v>
      </c>
      <c r="B53" t="s">
        <v>570</v>
      </c>
      <c r="C53" t="s">
        <v>318</v>
      </c>
      <c r="D53" t="s">
        <v>480</v>
      </c>
      <c r="E53" t="s">
        <v>925</v>
      </c>
      <c r="F53" t="s">
        <v>925</v>
      </c>
      <c r="G53" t="s">
        <v>259</v>
      </c>
      <c r="H53" t="s">
        <v>944</v>
      </c>
      <c r="I53" t="s">
        <v>41</v>
      </c>
      <c r="J53" t="s">
        <v>925</v>
      </c>
      <c r="K53">
        <v>1</v>
      </c>
      <c r="L53">
        <v>3</v>
      </c>
      <c r="M53" t="s">
        <v>44</v>
      </c>
      <c r="N53">
        <v>1</v>
      </c>
      <c r="O53">
        <v>3</v>
      </c>
      <c r="P53">
        <v>1</v>
      </c>
      <c r="Q53" t="s">
        <v>43</v>
      </c>
      <c r="R53">
        <v>3</v>
      </c>
      <c r="S53">
        <v>3</v>
      </c>
      <c r="T53">
        <v>3</v>
      </c>
      <c r="U53" t="s">
        <v>925</v>
      </c>
      <c r="V53" t="s">
        <v>925</v>
      </c>
      <c r="W53" t="s">
        <v>925</v>
      </c>
      <c r="X53">
        <v>1</v>
      </c>
      <c r="Y53" t="s">
        <v>365</v>
      </c>
      <c r="Z53">
        <v>0</v>
      </c>
      <c r="AA53" t="s">
        <v>925</v>
      </c>
      <c r="AB53" t="s">
        <v>925</v>
      </c>
      <c r="AC53" t="s">
        <v>925</v>
      </c>
      <c r="AD53" t="s">
        <v>925</v>
      </c>
      <c r="AE53">
        <v>0</v>
      </c>
      <c r="AF53" t="s">
        <v>925</v>
      </c>
      <c r="AG53" t="s">
        <v>309</v>
      </c>
      <c r="AH53" t="s">
        <v>925</v>
      </c>
    </row>
    <row r="54" spans="1:34" x14ac:dyDescent="0.25">
      <c r="A54" s="702">
        <v>12.12</v>
      </c>
      <c r="B54" t="s">
        <v>572</v>
      </c>
      <c r="C54" t="s">
        <v>323</v>
      </c>
      <c r="D54" t="s">
        <v>478</v>
      </c>
      <c r="E54" t="s">
        <v>925</v>
      </c>
      <c r="F54" t="s">
        <v>925</v>
      </c>
      <c r="G54" t="s">
        <v>259</v>
      </c>
      <c r="H54" t="s">
        <v>366</v>
      </c>
      <c r="I54" t="s">
        <v>41</v>
      </c>
      <c r="J54" t="s">
        <v>925</v>
      </c>
      <c r="K54">
        <v>1</v>
      </c>
      <c r="L54">
        <v>4</v>
      </c>
      <c r="M54" t="s">
        <v>44</v>
      </c>
      <c r="N54">
        <v>1</v>
      </c>
      <c r="O54">
        <v>4</v>
      </c>
      <c r="P54">
        <v>1</v>
      </c>
      <c r="Q54" t="s">
        <v>43</v>
      </c>
      <c r="R54">
        <v>4</v>
      </c>
      <c r="S54">
        <v>4</v>
      </c>
      <c r="T54">
        <v>4</v>
      </c>
      <c r="U54" t="s">
        <v>925</v>
      </c>
      <c r="V54" t="s">
        <v>925</v>
      </c>
      <c r="W54" t="s">
        <v>925</v>
      </c>
      <c r="X54">
        <v>1</v>
      </c>
      <c r="Y54" t="s">
        <v>925</v>
      </c>
      <c r="Z54">
        <v>0</v>
      </c>
      <c r="AA54" t="s">
        <v>925</v>
      </c>
      <c r="AB54" t="s">
        <v>925</v>
      </c>
      <c r="AC54" t="s">
        <v>925</v>
      </c>
      <c r="AD54" t="s">
        <v>925</v>
      </c>
      <c r="AE54">
        <v>0</v>
      </c>
      <c r="AF54" t="s">
        <v>925</v>
      </c>
      <c r="AG54" t="s">
        <v>309</v>
      </c>
      <c r="AH54" t="s">
        <v>925</v>
      </c>
    </row>
    <row r="55" spans="1:34" x14ac:dyDescent="0.25">
      <c r="A55" s="702">
        <v>12.124000000000001</v>
      </c>
      <c r="B55" t="s">
        <v>573</v>
      </c>
      <c r="C55" t="s">
        <v>313</v>
      </c>
      <c r="D55" t="s">
        <v>484</v>
      </c>
      <c r="E55" t="s">
        <v>925</v>
      </c>
      <c r="F55" t="s">
        <v>925</v>
      </c>
      <c r="G55" t="s">
        <v>280</v>
      </c>
      <c r="H55" t="s">
        <v>367</v>
      </c>
      <c r="I55" t="s">
        <v>41</v>
      </c>
      <c r="J55" t="s">
        <v>925</v>
      </c>
      <c r="K55">
        <v>1</v>
      </c>
      <c r="L55">
        <v>2</v>
      </c>
      <c r="M55" t="s">
        <v>44</v>
      </c>
      <c r="N55">
        <v>1</v>
      </c>
      <c r="O55">
        <v>2</v>
      </c>
      <c r="P55">
        <v>1</v>
      </c>
      <c r="Q55" t="s">
        <v>32</v>
      </c>
      <c r="R55">
        <v>2</v>
      </c>
      <c r="S55">
        <v>2</v>
      </c>
      <c r="T55">
        <v>2</v>
      </c>
      <c r="U55" t="s">
        <v>925</v>
      </c>
      <c r="V55" t="s">
        <v>925</v>
      </c>
      <c r="W55" t="s">
        <v>925</v>
      </c>
      <c r="X55">
        <v>1</v>
      </c>
      <c r="Y55" t="s">
        <v>925</v>
      </c>
      <c r="Z55">
        <v>0</v>
      </c>
      <c r="AA55" t="s">
        <v>925</v>
      </c>
      <c r="AB55" t="s">
        <v>925</v>
      </c>
      <c r="AC55" t="s">
        <v>925</v>
      </c>
      <c r="AD55" t="s">
        <v>925</v>
      </c>
      <c r="AE55">
        <v>0</v>
      </c>
      <c r="AF55" t="s">
        <v>925</v>
      </c>
      <c r="AG55" t="s">
        <v>277</v>
      </c>
      <c r="AH55" t="s">
        <v>925</v>
      </c>
    </row>
    <row r="56" spans="1:34" x14ac:dyDescent="0.25">
      <c r="A56" s="702">
        <v>12.125</v>
      </c>
      <c r="B56" t="s">
        <v>574</v>
      </c>
      <c r="C56" t="s">
        <v>313</v>
      </c>
      <c r="D56" t="s">
        <v>484</v>
      </c>
      <c r="E56" t="s">
        <v>925</v>
      </c>
      <c r="F56" t="s">
        <v>925</v>
      </c>
      <c r="G56" t="s">
        <v>280</v>
      </c>
      <c r="H56" t="s">
        <v>368</v>
      </c>
      <c r="I56" t="s">
        <v>41</v>
      </c>
      <c r="J56" t="s">
        <v>925</v>
      </c>
      <c r="K56">
        <v>1</v>
      </c>
      <c r="L56">
        <v>1</v>
      </c>
      <c r="M56" t="s">
        <v>44</v>
      </c>
      <c r="N56">
        <v>1</v>
      </c>
      <c r="O56">
        <v>1</v>
      </c>
      <c r="P56">
        <v>1</v>
      </c>
      <c r="Q56" t="s">
        <v>32</v>
      </c>
      <c r="R56">
        <v>1</v>
      </c>
      <c r="S56">
        <v>1</v>
      </c>
      <c r="T56">
        <v>1</v>
      </c>
      <c r="U56" t="s">
        <v>925</v>
      </c>
      <c r="V56" t="s">
        <v>925</v>
      </c>
      <c r="W56" t="s">
        <v>925</v>
      </c>
      <c r="X56">
        <v>1</v>
      </c>
      <c r="Y56" t="s">
        <v>369</v>
      </c>
      <c r="Z56">
        <v>0</v>
      </c>
      <c r="AA56" t="s">
        <v>925</v>
      </c>
      <c r="AB56" t="s">
        <v>925</v>
      </c>
      <c r="AC56" t="s">
        <v>925</v>
      </c>
      <c r="AD56" t="s">
        <v>925</v>
      </c>
      <c r="AE56">
        <v>0</v>
      </c>
      <c r="AF56" t="s">
        <v>925</v>
      </c>
      <c r="AG56" t="s">
        <v>286</v>
      </c>
      <c r="AH56" t="s">
        <v>925</v>
      </c>
    </row>
    <row r="57" spans="1:34" x14ac:dyDescent="0.25">
      <c r="A57" s="702">
        <v>12.128</v>
      </c>
      <c r="B57" t="s">
        <v>575</v>
      </c>
      <c r="C57" t="s">
        <v>370</v>
      </c>
      <c r="D57" t="s">
        <v>478</v>
      </c>
      <c r="E57" t="s">
        <v>925</v>
      </c>
      <c r="F57" t="s">
        <v>925</v>
      </c>
      <c r="G57" t="s">
        <v>259</v>
      </c>
      <c r="H57" t="s">
        <v>908</v>
      </c>
      <c r="I57" t="s">
        <v>35</v>
      </c>
      <c r="J57" t="s">
        <v>925</v>
      </c>
      <c r="K57">
        <v>1</v>
      </c>
      <c r="L57">
        <v>1</v>
      </c>
      <c r="M57" t="s">
        <v>44</v>
      </c>
      <c r="N57">
        <v>1</v>
      </c>
      <c r="O57">
        <v>1</v>
      </c>
      <c r="P57">
        <v>1</v>
      </c>
      <c r="Q57" t="s">
        <v>32</v>
      </c>
      <c r="R57">
        <v>1</v>
      </c>
      <c r="S57">
        <v>0</v>
      </c>
      <c r="T57" t="s">
        <v>925</v>
      </c>
      <c r="U57" t="s">
        <v>925</v>
      </c>
      <c r="V57" t="s">
        <v>925</v>
      </c>
      <c r="W57" t="s">
        <v>925</v>
      </c>
      <c r="X57">
        <v>0</v>
      </c>
      <c r="Y57" t="s">
        <v>925</v>
      </c>
      <c r="Z57">
        <v>0</v>
      </c>
      <c r="AA57" t="s">
        <v>925</v>
      </c>
      <c r="AB57" t="s">
        <v>925</v>
      </c>
      <c r="AC57" t="s">
        <v>925</v>
      </c>
      <c r="AD57" t="s">
        <v>925</v>
      </c>
      <c r="AE57">
        <v>0</v>
      </c>
      <c r="AF57" t="s">
        <v>925</v>
      </c>
      <c r="AG57" t="s">
        <v>309</v>
      </c>
      <c r="AH57" t="s">
        <v>925</v>
      </c>
    </row>
    <row r="58" spans="1:34" x14ac:dyDescent="0.25">
      <c r="A58" s="702">
        <v>12.13</v>
      </c>
      <c r="B58" t="s">
        <v>576</v>
      </c>
      <c r="C58" t="s">
        <v>359</v>
      </c>
      <c r="D58" t="s">
        <v>477</v>
      </c>
      <c r="E58" t="s">
        <v>925</v>
      </c>
      <c r="F58" t="s">
        <v>925</v>
      </c>
      <c r="G58" t="s">
        <v>259</v>
      </c>
      <c r="H58" t="s">
        <v>945</v>
      </c>
      <c r="I58" t="s">
        <v>41</v>
      </c>
      <c r="J58" t="s">
        <v>925</v>
      </c>
      <c r="K58">
        <v>1</v>
      </c>
      <c r="L58">
        <v>2</v>
      </c>
      <c r="M58" t="s">
        <v>44</v>
      </c>
      <c r="N58">
        <v>1</v>
      </c>
      <c r="O58">
        <v>2</v>
      </c>
      <c r="P58">
        <v>1</v>
      </c>
      <c r="Q58" t="s">
        <v>32</v>
      </c>
      <c r="R58">
        <v>1</v>
      </c>
      <c r="S58">
        <v>0</v>
      </c>
      <c r="T58" t="s">
        <v>925</v>
      </c>
      <c r="U58" t="s">
        <v>925</v>
      </c>
      <c r="V58" t="s">
        <v>925</v>
      </c>
      <c r="W58" t="s">
        <v>925</v>
      </c>
      <c r="X58">
        <v>0</v>
      </c>
      <c r="Y58" t="s">
        <v>925</v>
      </c>
      <c r="Z58">
        <v>0</v>
      </c>
      <c r="AA58" t="s">
        <v>925</v>
      </c>
      <c r="AB58" t="s">
        <v>925</v>
      </c>
      <c r="AC58" t="s">
        <v>925</v>
      </c>
      <c r="AD58" t="s">
        <v>925</v>
      </c>
      <c r="AE58">
        <v>0</v>
      </c>
      <c r="AF58" t="s">
        <v>925</v>
      </c>
      <c r="AG58" t="s">
        <v>312</v>
      </c>
      <c r="AH58" t="s">
        <v>925</v>
      </c>
    </row>
    <row r="59" spans="1:34" x14ac:dyDescent="0.25">
      <c r="A59" s="702">
        <v>12.132</v>
      </c>
      <c r="B59" t="s">
        <v>577</v>
      </c>
      <c r="C59" t="s">
        <v>371</v>
      </c>
      <c r="D59" t="s">
        <v>478</v>
      </c>
      <c r="E59" t="s">
        <v>925</v>
      </c>
      <c r="F59" t="s">
        <v>925</v>
      </c>
      <c r="G59" t="s">
        <v>259</v>
      </c>
      <c r="H59" t="s">
        <v>372</v>
      </c>
      <c r="I59" t="s">
        <v>41</v>
      </c>
      <c r="J59" t="s">
        <v>925</v>
      </c>
      <c r="K59">
        <v>1</v>
      </c>
      <c r="L59">
        <v>2</v>
      </c>
      <c r="M59" t="s">
        <v>44</v>
      </c>
      <c r="N59">
        <v>1</v>
      </c>
      <c r="O59">
        <v>2</v>
      </c>
      <c r="P59">
        <v>1</v>
      </c>
      <c r="Q59" t="s">
        <v>43</v>
      </c>
      <c r="R59">
        <v>2</v>
      </c>
      <c r="S59">
        <v>0</v>
      </c>
      <c r="T59" t="s">
        <v>925</v>
      </c>
      <c r="U59" t="s">
        <v>925</v>
      </c>
      <c r="V59" t="s">
        <v>925</v>
      </c>
      <c r="W59" t="s">
        <v>925</v>
      </c>
      <c r="X59">
        <v>0</v>
      </c>
      <c r="Y59" t="s">
        <v>925</v>
      </c>
      <c r="Z59">
        <v>0</v>
      </c>
      <c r="AA59" t="s">
        <v>925</v>
      </c>
      <c r="AB59" t="s">
        <v>925</v>
      </c>
      <c r="AC59" t="s">
        <v>925</v>
      </c>
      <c r="AD59" t="s">
        <v>925</v>
      </c>
      <c r="AE59">
        <v>0</v>
      </c>
      <c r="AF59" t="s">
        <v>925</v>
      </c>
      <c r="AG59" t="s">
        <v>337</v>
      </c>
      <c r="AH59" t="s">
        <v>925</v>
      </c>
    </row>
    <row r="60" spans="1:34" x14ac:dyDescent="0.25">
      <c r="A60" s="702">
        <v>12.132999999999999</v>
      </c>
      <c r="B60" t="s">
        <v>578</v>
      </c>
      <c r="C60" t="s">
        <v>371</v>
      </c>
      <c r="D60" t="s">
        <v>478</v>
      </c>
      <c r="E60" t="s">
        <v>925</v>
      </c>
      <c r="F60" t="s">
        <v>925</v>
      </c>
      <c r="G60" t="s">
        <v>259</v>
      </c>
      <c r="H60" t="s">
        <v>373</v>
      </c>
      <c r="I60" t="s">
        <v>41</v>
      </c>
      <c r="J60" t="s">
        <v>925</v>
      </c>
      <c r="K60">
        <v>1</v>
      </c>
      <c r="L60">
        <v>1</v>
      </c>
      <c r="M60" t="s">
        <v>44</v>
      </c>
      <c r="N60">
        <v>1</v>
      </c>
      <c r="O60">
        <v>1</v>
      </c>
      <c r="P60">
        <v>1</v>
      </c>
      <c r="Q60" t="s">
        <v>32</v>
      </c>
      <c r="R60">
        <v>1</v>
      </c>
      <c r="S60">
        <v>0</v>
      </c>
      <c r="T60" t="s">
        <v>925</v>
      </c>
      <c r="U60" t="s">
        <v>925</v>
      </c>
      <c r="V60" t="s">
        <v>925</v>
      </c>
      <c r="W60" t="s">
        <v>925</v>
      </c>
      <c r="X60">
        <v>0</v>
      </c>
      <c r="Y60" t="s">
        <v>925</v>
      </c>
      <c r="Z60">
        <v>0</v>
      </c>
      <c r="AA60" t="s">
        <v>925</v>
      </c>
      <c r="AB60" t="s">
        <v>925</v>
      </c>
      <c r="AC60" t="s">
        <v>925</v>
      </c>
      <c r="AD60" t="s">
        <v>925</v>
      </c>
      <c r="AE60">
        <v>0</v>
      </c>
      <c r="AF60" t="s">
        <v>925</v>
      </c>
      <c r="AG60" t="s">
        <v>309</v>
      </c>
      <c r="AH60" t="s">
        <v>925</v>
      </c>
    </row>
    <row r="61" spans="1:34" x14ac:dyDescent="0.25">
      <c r="A61" s="702">
        <v>12.134</v>
      </c>
      <c r="B61" t="s">
        <v>579</v>
      </c>
      <c r="C61" t="s">
        <v>371</v>
      </c>
      <c r="D61" t="s">
        <v>478</v>
      </c>
      <c r="E61" t="s">
        <v>925</v>
      </c>
      <c r="F61" t="s">
        <v>925</v>
      </c>
      <c r="G61" t="s">
        <v>259</v>
      </c>
      <c r="H61" t="s">
        <v>917</v>
      </c>
      <c r="I61" t="s">
        <v>41</v>
      </c>
      <c r="J61" t="s">
        <v>925</v>
      </c>
      <c r="K61">
        <v>1</v>
      </c>
      <c r="L61">
        <v>1</v>
      </c>
      <c r="M61" t="s">
        <v>44</v>
      </c>
      <c r="N61">
        <v>1</v>
      </c>
      <c r="O61">
        <v>0</v>
      </c>
      <c r="P61">
        <v>0</v>
      </c>
      <c r="Q61" t="s">
        <v>32</v>
      </c>
      <c r="R61">
        <v>1</v>
      </c>
      <c r="S61">
        <v>0</v>
      </c>
      <c r="T61" t="s">
        <v>925</v>
      </c>
      <c r="U61" t="s">
        <v>925</v>
      </c>
      <c r="V61" t="s">
        <v>925</v>
      </c>
      <c r="W61" t="s">
        <v>925</v>
      </c>
      <c r="X61">
        <v>0</v>
      </c>
      <c r="Y61" t="s">
        <v>925</v>
      </c>
      <c r="Z61">
        <v>0</v>
      </c>
      <c r="AA61" t="s">
        <v>925</v>
      </c>
      <c r="AB61" t="s">
        <v>925</v>
      </c>
      <c r="AC61" t="s">
        <v>925</v>
      </c>
      <c r="AD61" t="s">
        <v>925</v>
      </c>
      <c r="AE61">
        <v>0</v>
      </c>
      <c r="AF61" t="s">
        <v>925</v>
      </c>
      <c r="AG61" t="s">
        <v>309</v>
      </c>
      <c r="AH61" t="s">
        <v>925</v>
      </c>
    </row>
    <row r="62" spans="1:34" x14ac:dyDescent="0.25">
      <c r="A62" s="702">
        <v>12.138999999999999</v>
      </c>
      <c r="B62" t="s">
        <v>580</v>
      </c>
      <c r="C62" t="s">
        <v>313</v>
      </c>
      <c r="D62" t="s">
        <v>484</v>
      </c>
      <c r="E62" t="s">
        <v>925</v>
      </c>
      <c r="F62" t="s">
        <v>925</v>
      </c>
      <c r="G62" t="s">
        <v>259</v>
      </c>
      <c r="H62" t="s">
        <v>374</v>
      </c>
      <c r="I62" t="s">
        <v>41</v>
      </c>
      <c r="J62" t="s">
        <v>925</v>
      </c>
      <c r="K62">
        <v>1</v>
      </c>
      <c r="L62">
        <v>2</v>
      </c>
      <c r="M62" t="s">
        <v>44</v>
      </c>
      <c r="N62">
        <v>1</v>
      </c>
      <c r="O62">
        <v>2</v>
      </c>
      <c r="P62">
        <v>1</v>
      </c>
      <c r="Q62" t="s">
        <v>32</v>
      </c>
      <c r="R62">
        <v>2</v>
      </c>
      <c r="S62">
        <v>2</v>
      </c>
      <c r="T62">
        <v>2</v>
      </c>
      <c r="U62" t="s">
        <v>925</v>
      </c>
      <c r="V62" t="s">
        <v>925</v>
      </c>
      <c r="W62" t="s">
        <v>925</v>
      </c>
      <c r="X62">
        <v>1</v>
      </c>
      <c r="Y62" t="s">
        <v>925</v>
      </c>
      <c r="Z62">
        <v>0</v>
      </c>
      <c r="AA62" t="s">
        <v>925</v>
      </c>
      <c r="AB62" t="s">
        <v>925</v>
      </c>
      <c r="AC62" t="s">
        <v>925</v>
      </c>
      <c r="AD62" t="s">
        <v>925</v>
      </c>
      <c r="AE62">
        <v>0</v>
      </c>
      <c r="AF62" t="s">
        <v>925</v>
      </c>
      <c r="AG62" t="s">
        <v>312</v>
      </c>
      <c r="AH62" t="s">
        <v>925</v>
      </c>
    </row>
    <row r="63" spans="1:34" x14ac:dyDescent="0.25">
      <c r="A63" s="702">
        <v>12.141999999999999</v>
      </c>
      <c r="B63" t="s">
        <v>581</v>
      </c>
      <c r="C63" t="s">
        <v>352</v>
      </c>
      <c r="D63" t="s">
        <v>483</v>
      </c>
      <c r="E63" t="s">
        <v>925</v>
      </c>
      <c r="F63" t="s">
        <v>925</v>
      </c>
      <c r="G63" t="s">
        <v>259</v>
      </c>
      <c r="H63" t="s">
        <v>946</v>
      </c>
      <c r="I63" t="s">
        <v>35</v>
      </c>
      <c r="J63" t="s">
        <v>925</v>
      </c>
      <c r="K63">
        <v>1</v>
      </c>
      <c r="L63">
        <v>7</v>
      </c>
      <c r="M63" t="s">
        <v>39</v>
      </c>
      <c r="N63">
        <v>1</v>
      </c>
      <c r="O63">
        <v>7</v>
      </c>
      <c r="P63">
        <v>1</v>
      </c>
      <c r="Q63" t="s">
        <v>43</v>
      </c>
      <c r="R63">
        <v>7</v>
      </c>
      <c r="S63">
        <v>7</v>
      </c>
      <c r="T63">
        <v>7</v>
      </c>
      <c r="U63" t="s">
        <v>925</v>
      </c>
      <c r="V63" t="s">
        <v>925</v>
      </c>
      <c r="W63" t="s">
        <v>925</v>
      </c>
      <c r="X63">
        <v>1</v>
      </c>
      <c r="Y63" t="s">
        <v>375</v>
      </c>
      <c r="Z63">
        <v>7</v>
      </c>
      <c r="AA63">
        <v>7</v>
      </c>
      <c r="AB63" t="s">
        <v>925</v>
      </c>
      <c r="AC63" t="s">
        <v>925</v>
      </c>
      <c r="AD63" t="s">
        <v>925</v>
      </c>
      <c r="AE63">
        <v>1</v>
      </c>
      <c r="AF63" t="s">
        <v>925</v>
      </c>
      <c r="AG63" t="s">
        <v>358</v>
      </c>
      <c r="AH63" t="s">
        <v>925</v>
      </c>
    </row>
    <row r="64" spans="1:34" x14ac:dyDescent="0.25">
      <c r="A64" s="702">
        <v>12.146000000000001</v>
      </c>
      <c r="B64" t="s">
        <v>583</v>
      </c>
      <c r="C64" t="s">
        <v>318</v>
      </c>
      <c r="D64" t="s">
        <v>478</v>
      </c>
      <c r="E64" t="s">
        <v>925</v>
      </c>
      <c r="F64" t="s">
        <v>925</v>
      </c>
      <c r="G64" t="s">
        <v>259</v>
      </c>
      <c r="H64" t="s">
        <v>947</v>
      </c>
      <c r="I64" t="s">
        <v>41</v>
      </c>
      <c r="J64" t="s">
        <v>925</v>
      </c>
      <c r="K64">
        <v>1</v>
      </c>
      <c r="L64">
        <v>2</v>
      </c>
      <c r="M64" t="s">
        <v>44</v>
      </c>
      <c r="N64">
        <v>1</v>
      </c>
      <c r="O64">
        <v>2</v>
      </c>
      <c r="P64">
        <v>1</v>
      </c>
      <c r="Q64" t="s">
        <v>32</v>
      </c>
      <c r="R64">
        <v>2</v>
      </c>
      <c r="S64">
        <v>2</v>
      </c>
      <c r="T64">
        <v>1</v>
      </c>
      <c r="U64" t="s">
        <v>925</v>
      </c>
      <c r="V64">
        <v>1</v>
      </c>
      <c r="W64" t="s">
        <v>925</v>
      </c>
      <c r="X64">
        <v>0.5</v>
      </c>
      <c r="Y64" t="s">
        <v>925</v>
      </c>
      <c r="Z64">
        <v>1</v>
      </c>
      <c r="AA64">
        <v>1</v>
      </c>
      <c r="AB64" t="s">
        <v>925</v>
      </c>
      <c r="AC64" t="s">
        <v>925</v>
      </c>
      <c r="AD64" t="s">
        <v>925</v>
      </c>
      <c r="AE64">
        <v>0.5</v>
      </c>
      <c r="AF64" t="s">
        <v>925</v>
      </c>
      <c r="AG64" t="s">
        <v>309</v>
      </c>
      <c r="AH64" t="s">
        <v>925</v>
      </c>
    </row>
    <row r="65" spans="1:34" x14ac:dyDescent="0.25">
      <c r="A65" s="702">
        <v>12.148</v>
      </c>
      <c r="B65" t="s">
        <v>584</v>
      </c>
      <c r="C65" t="s">
        <v>318</v>
      </c>
      <c r="D65" t="s">
        <v>478</v>
      </c>
      <c r="E65" t="s">
        <v>925</v>
      </c>
      <c r="F65" t="s">
        <v>925</v>
      </c>
      <c r="G65" t="s">
        <v>259</v>
      </c>
      <c r="H65" t="s">
        <v>947</v>
      </c>
      <c r="I65" t="s">
        <v>41</v>
      </c>
      <c r="J65" t="s">
        <v>925</v>
      </c>
      <c r="K65">
        <v>1</v>
      </c>
      <c r="L65">
        <v>2</v>
      </c>
      <c r="M65" t="s">
        <v>44</v>
      </c>
      <c r="N65">
        <v>1</v>
      </c>
      <c r="O65">
        <v>2</v>
      </c>
      <c r="P65">
        <v>1</v>
      </c>
      <c r="Q65" t="s">
        <v>32</v>
      </c>
      <c r="R65">
        <v>2</v>
      </c>
      <c r="S65">
        <v>2</v>
      </c>
      <c r="T65">
        <v>1</v>
      </c>
      <c r="U65" t="s">
        <v>925</v>
      </c>
      <c r="V65">
        <v>1</v>
      </c>
      <c r="W65" t="s">
        <v>925</v>
      </c>
      <c r="X65">
        <v>0.5</v>
      </c>
      <c r="Y65" t="s">
        <v>925</v>
      </c>
      <c r="Z65">
        <v>1</v>
      </c>
      <c r="AA65">
        <v>1</v>
      </c>
      <c r="AB65" t="s">
        <v>925</v>
      </c>
      <c r="AC65" t="s">
        <v>925</v>
      </c>
      <c r="AD65" t="s">
        <v>925</v>
      </c>
      <c r="AE65">
        <v>0.5</v>
      </c>
      <c r="AF65" t="s">
        <v>925</v>
      </c>
      <c r="AG65" t="s">
        <v>309</v>
      </c>
      <c r="AH65" t="s">
        <v>925</v>
      </c>
    </row>
    <row r="66" spans="1:34" x14ac:dyDescent="0.25">
      <c r="A66" s="702">
        <v>12.15</v>
      </c>
      <c r="B66" t="s">
        <v>585</v>
      </c>
      <c r="C66" t="s">
        <v>318</v>
      </c>
      <c r="D66" t="s">
        <v>478</v>
      </c>
      <c r="E66" t="s">
        <v>925</v>
      </c>
      <c r="F66" t="s">
        <v>925</v>
      </c>
      <c r="G66" t="s">
        <v>259</v>
      </c>
      <c r="H66" t="s">
        <v>377</v>
      </c>
      <c r="I66" t="s">
        <v>35</v>
      </c>
      <c r="J66" t="s">
        <v>925</v>
      </c>
      <c r="K66">
        <v>1</v>
      </c>
      <c r="L66">
        <v>1</v>
      </c>
      <c r="M66" t="s">
        <v>44</v>
      </c>
      <c r="N66">
        <v>1</v>
      </c>
      <c r="O66">
        <v>1</v>
      </c>
      <c r="P66">
        <v>1</v>
      </c>
      <c r="Q66" t="s">
        <v>43</v>
      </c>
      <c r="R66">
        <v>1</v>
      </c>
      <c r="S66">
        <v>1</v>
      </c>
      <c r="T66">
        <v>1</v>
      </c>
      <c r="U66" t="s">
        <v>925</v>
      </c>
      <c r="V66" t="s">
        <v>925</v>
      </c>
      <c r="W66" t="s">
        <v>925</v>
      </c>
      <c r="X66">
        <v>1</v>
      </c>
      <c r="Y66" t="s">
        <v>378</v>
      </c>
      <c r="Z66">
        <v>0</v>
      </c>
      <c r="AA66" t="s">
        <v>925</v>
      </c>
      <c r="AB66" t="s">
        <v>925</v>
      </c>
      <c r="AC66" t="s">
        <v>925</v>
      </c>
      <c r="AD66" t="s">
        <v>925</v>
      </c>
      <c r="AE66">
        <v>0</v>
      </c>
      <c r="AF66" t="s">
        <v>925</v>
      </c>
      <c r="AG66" t="s">
        <v>309</v>
      </c>
      <c r="AH66" t="s">
        <v>925</v>
      </c>
    </row>
    <row r="67" spans="1:34" x14ac:dyDescent="0.25">
      <c r="A67" s="702">
        <v>12.157</v>
      </c>
      <c r="B67" t="s">
        <v>587</v>
      </c>
      <c r="C67" t="s">
        <v>352</v>
      </c>
      <c r="D67" t="s">
        <v>483</v>
      </c>
      <c r="E67" t="s">
        <v>925</v>
      </c>
      <c r="F67" t="s">
        <v>925</v>
      </c>
      <c r="G67" t="s">
        <v>280</v>
      </c>
      <c r="H67" t="s">
        <v>379</v>
      </c>
      <c r="I67" t="s">
        <v>35</v>
      </c>
      <c r="J67" t="s">
        <v>925</v>
      </c>
      <c r="K67">
        <v>1</v>
      </c>
      <c r="L67">
        <v>10</v>
      </c>
      <c r="M67" t="s">
        <v>44</v>
      </c>
      <c r="N67">
        <v>1</v>
      </c>
      <c r="O67">
        <v>10</v>
      </c>
      <c r="P67">
        <v>1</v>
      </c>
      <c r="Q67" t="s">
        <v>32</v>
      </c>
      <c r="R67">
        <v>10</v>
      </c>
      <c r="S67">
        <v>10</v>
      </c>
      <c r="T67">
        <v>10</v>
      </c>
      <c r="U67" t="s">
        <v>925</v>
      </c>
      <c r="V67" t="s">
        <v>925</v>
      </c>
      <c r="W67" t="s">
        <v>925</v>
      </c>
      <c r="X67">
        <v>1</v>
      </c>
      <c r="Y67" t="s">
        <v>380</v>
      </c>
      <c r="Z67">
        <v>10</v>
      </c>
      <c r="AA67">
        <v>10</v>
      </c>
      <c r="AB67" t="s">
        <v>925</v>
      </c>
      <c r="AC67" t="s">
        <v>925</v>
      </c>
      <c r="AD67" t="s">
        <v>925</v>
      </c>
      <c r="AE67">
        <v>1</v>
      </c>
      <c r="AF67" t="s">
        <v>925</v>
      </c>
      <c r="AG67" t="s">
        <v>345</v>
      </c>
      <c r="AH67" t="s">
        <v>925</v>
      </c>
    </row>
    <row r="68" spans="1:34" ht="38.25" customHeight="1" x14ac:dyDescent="0.25">
      <c r="A68" s="702">
        <v>12.159000000000001</v>
      </c>
      <c r="B68" t="s">
        <v>588</v>
      </c>
      <c r="C68" t="s">
        <v>352</v>
      </c>
      <c r="D68" t="s">
        <v>483</v>
      </c>
      <c r="E68" t="s">
        <v>925</v>
      </c>
      <c r="F68" t="s">
        <v>925</v>
      </c>
      <c r="G68" t="s">
        <v>259</v>
      </c>
      <c r="H68" t="s">
        <v>948</v>
      </c>
      <c r="I68" t="s">
        <v>41</v>
      </c>
      <c r="J68" t="s">
        <v>925</v>
      </c>
      <c r="K68">
        <v>1</v>
      </c>
      <c r="L68">
        <v>5</v>
      </c>
      <c r="M68" t="s">
        <v>44</v>
      </c>
      <c r="N68">
        <v>1</v>
      </c>
      <c r="O68">
        <v>5</v>
      </c>
      <c r="P68">
        <v>1</v>
      </c>
      <c r="Q68" t="s">
        <v>43</v>
      </c>
      <c r="R68">
        <v>5</v>
      </c>
      <c r="S68">
        <v>5</v>
      </c>
      <c r="T68">
        <v>5</v>
      </c>
      <c r="U68" t="s">
        <v>925</v>
      </c>
      <c r="V68" t="s">
        <v>925</v>
      </c>
      <c r="W68" t="s">
        <v>925</v>
      </c>
      <c r="X68">
        <v>1</v>
      </c>
      <c r="Y68" t="s">
        <v>925</v>
      </c>
      <c r="Z68">
        <v>5</v>
      </c>
      <c r="AA68">
        <v>5</v>
      </c>
      <c r="AB68" t="s">
        <v>925</v>
      </c>
      <c r="AC68" t="s">
        <v>925</v>
      </c>
      <c r="AD68" t="s">
        <v>925</v>
      </c>
      <c r="AE68">
        <v>1</v>
      </c>
      <c r="AF68" t="s">
        <v>925</v>
      </c>
      <c r="AG68" t="s">
        <v>358</v>
      </c>
      <c r="AH68" t="s">
        <v>925</v>
      </c>
    </row>
    <row r="69" spans="1:34" ht="18" customHeight="1" x14ac:dyDescent="0.25">
      <c r="A69" s="702">
        <v>12.16</v>
      </c>
      <c r="B69" t="s">
        <v>589</v>
      </c>
      <c r="C69" t="s">
        <v>352</v>
      </c>
      <c r="D69" t="s">
        <v>483</v>
      </c>
      <c r="E69" t="s">
        <v>925</v>
      </c>
      <c r="F69" t="s">
        <v>925</v>
      </c>
      <c r="G69" t="s">
        <v>280</v>
      </c>
      <c r="H69" t="s">
        <v>381</v>
      </c>
      <c r="I69" t="s">
        <v>41</v>
      </c>
      <c r="J69" t="s">
        <v>925</v>
      </c>
      <c r="K69">
        <v>1</v>
      </c>
      <c r="L69">
        <v>1</v>
      </c>
      <c r="M69" t="s">
        <v>44</v>
      </c>
      <c r="N69">
        <v>1</v>
      </c>
      <c r="O69">
        <v>1</v>
      </c>
      <c r="P69">
        <v>1</v>
      </c>
      <c r="Q69" t="s">
        <v>32</v>
      </c>
      <c r="R69">
        <v>1</v>
      </c>
      <c r="S69">
        <v>1</v>
      </c>
      <c r="T69">
        <v>1</v>
      </c>
      <c r="U69" t="s">
        <v>925</v>
      </c>
      <c r="V69" t="s">
        <v>925</v>
      </c>
      <c r="W69" t="s">
        <v>925</v>
      </c>
      <c r="X69">
        <v>1</v>
      </c>
      <c r="Y69" t="s">
        <v>925</v>
      </c>
      <c r="Z69">
        <v>1</v>
      </c>
      <c r="AA69">
        <v>1</v>
      </c>
      <c r="AB69" t="s">
        <v>925</v>
      </c>
      <c r="AC69" t="s">
        <v>925</v>
      </c>
      <c r="AD69" t="s">
        <v>925</v>
      </c>
      <c r="AE69">
        <v>1</v>
      </c>
      <c r="AF69" t="s">
        <v>925</v>
      </c>
      <c r="AG69" t="s">
        <v>286</v>
      </c>
      <c r="AH69" t="s">
        <v>925</v>
      </c>
    </row>
    <row r="70" spans="1:34" x14ac:dyDescent="0.25">
      <c r="A70" s="702">
        <v>12.162000000000001</v>
      </c>
      <c r="B70" t="s">
        <v>590</v>
      </c>
      <c r="C70" t="s">
        <v>352</v>
      </c>
      <c r="D70" t="s">
        <v>483</v>
      </c>
      <c r="E70" t="s">
        <v>925</v>
      </c>
      <c r="F70" t="s">
        <v>925</v>
      </c>
      <c r="G70" t="s">
        <v>259</v>
      </c>
      <c r="H70" t="s">
        <v>949</v>
      </c>
      <c r="I70" t="s">
        <v>41</v>
      </c>
      <c r="J70" t="s">
        <v>897</v>
      </c>
      <c r="K70">
        <v>1</v>
      </c>
      <c r="L70">
        <v>14</v>
      </c>
      <c r="M70" t="s">
        <v>39</v>
      </c>
      <c r="N70">
        <v>1</v>
      </c>
      <c r="O70">
        <v>14</v>
      </c>
      <c r="P70">
        <v>1</v>
      </c>
      <c r="Q70" t="s">
        <v>43</v>
      </c>
      <c r="R70">
        <v>14</v>
      </c>
      <c r="S70">
        <v>14</v>
      </c>
      <c r="T70">
        <v>11</v>
      </c>
      <c r="U70" t="s">
        <v>925</v>
      </c>
      <c r="V70">
        <v>3</v>
      </c>
      <c r="W70" t="s">
        <v>925</v>
      </c>
      <c r="X70">
        <v>0.7857142857142857</v>
      </c>
      <c r="Y70" t="s">
        <v>382</v>
      </c>
      <c r="Z70">
        <v>3</v>
      </c>
      <c r="AA70">
        <v>3</v>
      </c>
      <c r="AB70" t="s">
        <v>925</v>
      </c>
      <c r="AC70" t="s">
        <v>925</v>
      </c>
      <c r="AD70" t="s">
        <v>925</v>
      </c>
      <c r="AE70">
        <v>0.2142857142857143</v>
      </c>
      <c r="AF70" t="s">
        <v>925</v>
      </c>
      <c r="AG70" t="s">
        <v>309</v>
      </c>
      <c r="AH70" t="s">
        <v>925</v>
      </c>
    </row>
    <row r="71" spans="1:34" ht="15" customHeight="1" x14ac:dyDescent="0.25">
      <c r="A71" s="702">
        <v>12.163</v>
      </c>
      <c r="B71" t="s">
        <v>591</v>
      </c>
      <c r="C71" t="s">
        <v>313</v>
      </c>
      <c r="D71" t="s">
        <v>484</v>
      </c>
      <c r="E71" t="s">
        <v>925</v>
      </c>
      <c r="F71" t="s">
        <v>925</v>
      </c>
      <c r="G71" t="s">
        <v>280</v>
      </c>
      <c r="H71" t="s">
        <v>950</v>
      </c>
      <c r="I71" t="s">
        <v>41</v>
      </c>
      <c r="J71" t="s">
        <v>925</v>
      </c>
      <c r="K71">
        <v>1</v>
      </c>
      <c r="L71">
        <v>2</v>
      </c>
      <c r="M71" t="s">
        <v>44</v>
      </c>
      <c r="N71">
        <v>1</v>
      </c>
      <c r="O71">
        <v>2</v>
      </c>
      <c r="P71">
        <v>1</v>
      </c>
      <c r="Q71" t="s">
        <v>32</v>
      </c>
      <c r="R71">
        <v>2</v>
      </c>
      <c r="S71">
        <v>2</v>
      </c>
      <c r="T71">
        <v>1</v>
      </c>
      <c r="U71" t="s">
        <v>925</v>
      </c>
      <c r="V71">
        <v>1</v>
      </c>
      <c r="W71" t="s">
        <v>925</v>
      </c>
      <c r="X71">
        <v>0.5</v>
      </c>
      <c r="Y71" t="s">
        <v>383</v>
      </c>
      <c r="Z71">
        <v>0</v>
      </c>
      <c r="AA71" t="s">
        <v>925</v>
      </c>
      <c r="AB71" t="s">
        <v>925</v>
      </c>
      <c r="AC71" t="s">
        <v>925</v>
      </c>
      <c r="AD71" t="s">
        <v>925</v>
      </c>
      <c r="AE71">
        <v>0</v>
      </c>
      <c r="AF71" t="s">
        <v>925</v>
      </c>
      <c r="AG71" t="s">
        <v>286</v>
      </c>
      <c r="AH71" t="s">
        <v>925</v>
      </c>
    </row>
    <row r="72" spans="1:34" x14ac:dyDescent="0.25">
      <c r="A72" s="702">
        <v>12.164</v>
      </c>
      <c r="B72" t="s">
        <v>592</v>
      </c>
      <c r="C72" t="s">
        <v>316</v>
      </c>
      <c r="D72" t="s">
        <v>482</v>
      </c>
      <c r="E72" t="s">
        <v>925</v>
      </c>
      <c r="F72" t="s">
        <v>925</v>
      </c>
      <c r="G72" t="s">
        <v>259</v>
      </c>
      <c r="H72" t="s">
        <v>951</v>
      </c>
      <c r="I72" t="s">
        <v>41</v>
      </c>
      <c r="J72" t="s">
        <v>925</v>
      </c>
      <c r="K72">
        <v>1</v>
      </c>
      <c r="L72">
        <v>54</v>
      </c>
      <c r="M72" t="s">
        <v>44</v>
      </c>
      <c r="N72">
        <v>1</v>
      </c>
      <c r="O72">
        <v>54</v>
      </c>
      <c r="P72">
        <v>1</v>
      </c>
      <c r="Q72" t="s">
        <v>32</v>
      </c>
      <c r="R72">
        <v>4</v>
      </c>
      <c r="S72">
        <v>4</v>
      </c>
      <c r="T72">
        <v>4</v>
      </c>
      <c r="U72" t="s">
        <v>925</v>
      </c>
      <c r="V72" t="s">
        <v>925</v>
      </c>
      <c r="W72" t="s">
        <v>925</v>
      </c>
      <c r="X72">
        <v>1</v>
      </c>
      <c r="Y72" t="s">
        <v>925</v>
      </c>
      <c r="Z72">
        <v>4</v>
      </c>
      <c r="AA72">
        <v>4</v>
      </c>
      <c r="AB72" t="s">
        <v>925</v>
      </c>
      <c r="AC72" t="s">
        <v>925</v>
      </c>
      <c r="AD72" t="s">
        <v>925</v>
      </c>
      <c r="AE72">
        <v>7.407407407407407E-2</v>
      </c>
      <c r="AF72" t="s">
        <v>925</v>
      </c>
      <c r="AG72" t="s">
        <v>337</v>
      </c>
      <c r="AH72" t="s">
        <v>925</v>
      </c>
    </row>
    <row r="73" spans="1:34" x14ac:dyDescent="0.25">
      <c r="A73" s="702">
        <v>12.164999999999999</v>
      </c>
      <c r="B73" t="s">
        <v>593</v>
      </c>
      <c r="C73" t="s">
        <v>310</v>
      </c>
      <c r="D73" t="s">
        <v>482</v>
      </c>
      <c r="E73" t="s">
        <v>925</v>
      </c>
      <c r="F73" t="s">
        <v>925</v>
      </c>
      <c r="G73" t="s">
        <v>259</v>
      </c>
      <c r="H73" t="s">
        <v>384</v>
      </c>
      <c r="I73" t="s">
        <v>41</v>
      </c>
      <c r="J73" t="s">
        <v>925</v>
      </c>
      <c r="K73">
        <v>1</v>
      </c>
      <c r="L73">
        <v>1</v>
      </c>
      <c r="M73" t="s">
        <v>44</v>
      </c>
      <c r="N73">
        <v>1</v>
      </c>
      <c r="O73">
        <v>1</v>
      </c>
      <c r="P73">
        <v>1</v>
      </c>
      <c r="Q73" t="s">
        <v>43</v>
      </c>
      <c r="R73">
        <v>1</v>
      </c>
      <c r="S73">
        <v>1</v>
      </c>
      <c r="T73">
        <v>1</v>
      </c>
      <c r="U73" t="s">
        <v>925</v>
      </c>
      <c r="V73" t="s">
        <v>925</v>
      </c>
      <c r="W73" t="s">
        <v>925</v>
      </c>
      <c r="X73">
        <v>1</v>
      </c>
      <c r="Y73" t="s">
        <v>385</v>
      </c>
      <c r="Z73">
        <v>0</v>
      </c>
      <c r="AA73" t="s">
        <v>925</v>
      </c>
      <c r="AB73" t="s">
        <v>925</v>
      </c>
      <c r="AC73" t="s">
        <v>925</v>
      </c>
      <c r="AD73" t="s">
        <v>925</v>
      </c>
      <c r="AE73">
        <v>0</v>
      </c>
      <c r="AF73" t="s">
        <v>925</v>
      </c>
      <c r="AG73" t="s">
        <v>337</v>
      </c>
      <c r="AH73" t="s">
        <v>925</v>
      </c>
    </row>
    <row r="74" spans="1:34" x14ac:dyDescent="0.25">
      <c r="A74" s="702">
        <v>12.167</v>
      </c>
      <c r="B74" t="s">
        <v>594</v>
      </c>
      <c r="C74" t="s">
        <v>320</v>
      </c>
      <c r="D74" t="s">
        <v>482</v>
      </c>
      <c r="E74" t="s">
        <v>925</v>
      </c>
      <c r="F74" t="s">
        <v>925</v>
      </c>
      <c r="G74" t="s">
        <v>259</v>
      </c>
      <c r="H74" t="s">
        <v>952</v>
      </c>
      <c r="I74" t="s">
        <v>41</v>
      </c>
      <c r="J74" t="s">
        <v>925</v>
      </c>
      <c r="K74">
        <v>1</v>
      </c>
      <c r="L74">
        <v>2</v>
      </c>
      <c r="M74" t="s">
        <v>44</v>
      </c>
      <c r="N74">
        <v>1</v>
      </c>
      <c r="O74">
        <v>2</v>
      </c>
      <c r="P74">
        <v>1</v>
      </c>
      <c r="Q74" t="s">
        <v>32</v>
      </c>
      <c r="R74">
        <v>1</v>
      </c>
      <c r="S74">
        <v>0</v>
      </c>
      <c r="T74" t="s">
        <v>925</v>
      </c>
      <c r="U74" t="s">
        <v>925</v>
      </c>
      <c r="V74" t="s">
        <v>925</v>
      </c>
      <c r="W74" t="s">
        <v>925</v>
      </c>
      <c r="X74">
        <v>0</v>
      </c>
      <c r="Y74" t="s">
        <v>925</v>
      </c>
      <c r="Z74">
        <v>0</v>
      </c>
      <c r="AA74" t="s">
        <v>925</v>
      </c>
      <c r="AB74" t="s">
        <v>925</v>
      </c>
      <c r="AC74" t="s">
        <v>925</v>
      </c>
      <c r="AD74" t="s">
        <v>925</v>
      </c>
      <c r="AE74">
        <v>0</v>
      </c>
      <c r="AF74" t="s">
        <v>925</v>
      </c>
      <c r="AG74" t="s">
        <v>309</v>
      </c>
      <c r="AH74" t="s">
        <v>925</v>
      </c>
    </row>
    <row r="75" spans="1:34" x14ac:dyDescent="0.25">
      <c r="A75" s="702">
        <v>12.175000000000001</v>
      </c>
      <c r="B75" t="s">
        <v>597</v>
      </c>
      <c r="C75" t="s">
        <v>318</v>
      </c>
      <c r="D75" t="s">
        <v>478</v>
      </c>
      <c r="E75" t="s">
        <v>925</v>
      </c>
      <c r="F75" t="s">
        <v>925</v>
      </c>
      <c r="G75" t="s">
        <v>259</v>
      </c>
      <c r="H75" t="s">
        <v>953</v>
      </c>
      <c r="I75" t="s">
        <v>41</v>
      </c>
      <c r="J75" t="s">
        <v>925</v>
      </c>
      <c r="K75">
        <v>1</v>
      </c>
      <c r="L75">
        <v>1</v>
      </c>
      <c r="M75" t="s">
        <v>44</v>
      </c>
      <c r="N75">
        <v>1</v>
      </c>
      <c r="O75">
        <v>1</v>
      </c>
      <c r="P75">
        <v>1</v>
      </c>
      <c r="Q75" t="s">
        <v>32</v>
      </c>
      <c r="R75">
        <v>1</v>
      </c>
      <c r="S75">
        <v>1</v>
      </c>
      <c r="T75" t="s">
        <v>925</v>
      </c>
      <c r="U75" t="s">
        <v>925</v>
      </c>
      <c r="V75">
        <v>1</v>
      </c>
      <c r="W75" t="s">
        <v>925</v>
      </c>
      <c r="X75">
        <v>0</v>
      </c>
      <c r="Y75" t="s">
        <v>925</v>
      </c>
      <c r="Z75">
        <v>0</v>
      </c>
      <c r="AA75" t="s">
        <v>925</v>
      </c>
      <c r="AB75" t="s">
        <v>925</v>
      </c>
      <c r="AC75" t="s">
        <v>925</v>
      </c>
      <c r="AD75" t="s">
        <v>925</v>
      </c>
      <c r="AE75">
        <v>0</v>
      </c>
      <c r="AF75" t="s">
        <v>925</v>
      </c>
      <c r="AG75" t="s">
        <v>309</v>
      </c>
      <c r="AH75" t="s">
        <v>925</v>
      </c>
    </row>
    <row r="76" spans="1:34" x14ac:dyDescent="0.25">
      <c r="A76" s="702">
        <v>12.183999999999999</v>
      </c>
      <c r="B76" t="s">
        <v>598</v>
      </c>
      <c r="C76" t="s">
        <v>331</v>
      </c>
      <c r="D76" t="s">
        <v>477</v>
      </c>
      <c r="E76" t="s">
        <v>925</v>
      </c>
      <c r="F76" t="s">
        <v>925</v>
      </c>
      <c r="G76" t="s">
        <v>259</v>
      </c>
      <c r="H76" t="s">
        <v>909</v>
      </c>
      <c r="I76" t="s">
        <v>35</v>
      </c>
      <c r="J76" t="s">
        <v>925</v>
      </c>
      <c r="K76">
        <v>1</v>
      </c>
      <c r="L76">
        <v>8</v>
      </c>
      <c r="M76" t="s">
        <v>44</v>
      </c>
      <c r="N76">
        <v>1</v>
      </c>
      <c r="O76">
        <v>8</v>
      </c>
      <c r="P76">
        <v>1</v>
      </c>
      <c r="Q76" t="s">
        <v>43</v>
      </c>
      <c r="R76">
        <v>8</v>
      </c>
      <c r="S76">
        <v>8</v>
      </c>
      <c r="T76">
        <v>8</v>
      </c>
      <c r="U76" t="s">
        <v>925</v>
      </c>
      <c r="V76" t="s">
        <v>925</v>
      </c>
      <c r="W76" t="s">
        <v>925</v>
      </c>
      <c r="X76">
        <v>1</v>
      </c>
      <c r="Y76" t="s">
        <v>925</v>
      </c>
      <c r="Z76">
        <v>0</v>
      </c>
      <c r="AA76" t="s">
        <v>925</v>
      </c>
      <c r="AB76" t="s">
        <v>925</v>
      </c>
      <c r="AC76" t="s">
        <v>925</v>
      </c>
      <c r="AD76" t="s">
        <v>925</v>
      </c>
      <c r="AE76">
        <v>0</v>
      </c>
      <c r="AF76" t="s">
        <v>925</v>
      </c>
      <c r="AG76" t="s">
        <v>337</v>
      </c>
      <c r="AH76" t="s">
        <v>925</v>
      </c>
    </row>
    <row r="77" spans="1:34" x14ac:dyDescent="0.25">
      <c r="A77" s="702">
        <v>12.185</v>
      </c>
      <c r="B77" t="s">
        <v>599</v>
      </c>
      <c r="C77" t="s">
        <v>331</v>
      </c>
      <c r="D77" t="s">
        <v>477</v>
      </c>
      <c r="E77" t="s">
        <v>925</v>
      </c>
      <c r="F77" t="s">
        <v>925</v>
      </c>
      <c r="G77" t="s">
        <v>259</v>
      </c>
      <c r="H77" t="s">
        <v>954</v>
      </c>
      <c r="I77" t="s">
        <v>35</v>
      </c>
      <c r="J77" t="s">
        <v>925</v>
      </c>
      <c r="K77">
        <v>1</v>
      </c>
      <c r="L77">
        <v>2</v>
      </c>
      <c r="M77" t="s">
        <v>44</v>
      </c>
      <c r="N77">
        <v>1</v>
      </c>
      <c r="O77">
        <v>2</v>
      </c>
      <c r="P77">
        <v>1</v>
      </c>
      <c r="Q77" t="s">
        <v>32</v>
      </c>
      <c r="R77">
        <v>2</v>
      </c>
      <c r="S77">
        <v>2</v>
      </c>
      <c r="T77">
        <v>2</v>
      </c>
      <c r="U77" t="s">
        <v>925</v>
      </c>
      <c r="V77" t="s">
        <v>925</v>
      </c>
      <c r="W77" t="s">
        <v>925</v>
      </c>
      <c r="X77">
        <v>1</v>
      </c>
      <c r="Y77" t="s">
        <v>925</v>
      </c>
      <c r="Z77">
        <v>0</v>
      </c>
      <c r="AA77" t="s">
        <v>925</v>
      </c>
      <c r="AB77" t="s">
        <v>925</v>
      </c>
      <c r="AC77" t="s">
        <v>925</v>
      </c>
      <c r="AD77" t="s">
        <v>925</v>
      </c>
      <c r="AE77">
        <v>0</v>
      </c>
      <c r="AF77" t="s">
        <v>925</v>
      </c>
      <c r="AG77" t="s">
        <v>317</v>
      </c>
      <c r="AH77" t="s">
        <v>925</v>
      </c>
    </row>
    <row r="78" spans="1:34" x14ac:dyDescent="0.25">
      <c r="A78" s="702">
        <v>12.186</v>
      </c>
      <c r="B78" t="s">
        <v>600</v>
      </c>
      <c r="C78" t="s">
        <v>352</v>
      </c>
      <c r="D78" t="s">
        <v>483</v>
      </c>
      <c r="E78" t="s">
        <v>925</v>
      </c>
      <c r="F78" t="s">
        <v>925</v>
      </c>
      <c r="G78" t="s">
        <v>259</v>
      </c>
      <c r="H78" t="s">
        <v>955</v>
      </c>
      <c r="I78" t="s">
        <v>35</v>
      </c>
      <c r="J78" t="s">
        <v>925</v>
      </c>
      <c r="K78">
        <v>1</v>
      </c>
      <c r="L78">
        <v>15</v>
      </c>
      <c r="M78" t="s">
        <v>44</v>
      </c>
      <c r="N78">
        <v>1</v>
      </c>
      <c r="O78">
        <v>15</v>
      </c>
      <c r="P78">
        <v>1</v>
      </c>
      <c r="Q78" t="s">
        <v>32</v>
      </c>
      <c r="R78">
        <v>15</v>
      </c>
      <c r="S78">
        <v>15</v>
      </c>
      <c r="T78">
        <v>15</v>
      </c>
      <c r="U78" t="s">
        <v>925</v>
      </c>
      <c r="V78" t="s">
        <v>925</v>
      </c>
      <c r="W78" t="s">
        <v>925</v>
      </c>
      <c r="X78">
        <v>1</v>
      </c>
      <c r="Y78" t="s">
        <v>386</v>
      </c>
      <c r="Z78">
        <v>15</v>
      </c>
      <c r="AA78">
        <v>15</v>
      </c>
      <c r="AB78" t="s">
        <v>925</v>
      </c>
      <c r="AC78" t="s">
        <v>925</v>
      </c>
      <c r="AD78" t="s">
        <v>925</v>
      </c>
      <c r="AE78">
        <v>1</v>
      </c>
      <c r="AF78" t="s">
        <v>925</v>
      </c>
      <c r="AG78" t="s">
        <v>317</v>
      </c>
      <c r="AH78" t="s">
        <v>925</v>
      </c>
    </row>
    <row r="79" spans="1:34" x14ac:dyDescent="0.25">
      <c r="A79" s="702">
        <v>12.188000000000001</v>
      </c>
      <c r="B79" t="s">
        <v>601</v>
      </c>
      <c r="C79" t="s">
        <v>352</v>
      </c>
      <c r="D79" t="s">
        <v>483</v>
      </c>
      <c r="E79" t="s">
        <v>925</v>
      </c>
      <c r="F79" t="s">
        <v>925</v>
      </c>
      <c r="G79" t="s">
        <v>259</v>
      </c>
      <c r="H79" t="s">
        <v>956</v>
      </c>
      <c r="I79" t="s">
        <v>41</v>
      </c>
      <c r="J79" t="s">
        <v>925</v>
      </c>
      <c r="K79">
        <v>1</v>
      </c>
      <c r="L79">
        <v>3</v>
      </c>
      <c r="M79" t="s">
        <v>44</v>
      </c>
      <c r="N79">
        <v>1</v>
      </c>
      <c r="O79">
        <v>3</v>
      </c>
      <c r="P79">
        <v>1</v>
      </c>
      <c r="Q79" t="s">
        <v>32</v>
      </c>
      <c r="R79">
        <v>3</v>
      </c>
      <c r="S79">
        <v>3</v>
      </c>
      <c r="T79">
        <v>3</v>
      </c>
      <c r="U79" t="s">
        <v>925</v>
      </c>
      <c r="V79" t="s">
        <v>925</v>
      </c>
      <c r="W79" t="s">
        <v>925</v>
      </c>
      <c r="X79">
        <v>1</v>
      </c>
      <c r="Y79" t="s">
        <v>925</v>
      </c>
      <c r="Z79">
        <v>3</v>
      </c>
      <c r="AA79">
        <v>3</v>
      </c>
      <c r="AB79" t="s">
        <v>925</v>
      </c>
      <c r="AC79" t="s">
        <v>925</v>
      </c>
      <c r="AD79" t="s">
        <v>925</v>
      </c>
      <c r="AE79">
        <v>1</v>
      </c>
      <c r="AF79" t="s">
        <v>925</v>
      </c>
      <c r="AG79" t="s">
        <v>312</v>
      </c>
      <c r="AH79" t="s">
        <v>925</v>
      </c>
    </row>
    <row r="80" spans="1:34" x14ac:dyDescent="0.25">
      <c r="A80" s="702">
        <v>12.191000000000001</v>
      </c>
      <c r="B80" t="s">
        <v>602</v>
      </c>
      <c r="C80" t="s">
        <v>352</v>
      </c>
      <c r="D80" t="s">
        <v>483</v>
      </c>
      <c r="E80" t="s">
        <v>925</v>
      </c>
      <c r="F80" t="s">
        <v>925</v>
      </c>
      <c r="G80" t="s">
        <v>259</v>
      </c>
      <c r="H80" t="s">
        <v>957</v>
      </c>
      <c r="I80" t="s">
        <v>41</v>
      </c>
      <c r="J80" t="s">
        <v>387</v>
      </c>
      <c r="K80">
        <v>1</v>
      </c>
      <c r="L80">
        <v>5</v>
      </c>
      <c r="M80" t="s">
        <v>44</v>
      </c>
      <c r="N80">
        <v>1</v>
      </c>
      <c r="O80">
        <v>5</v>
      </c>
      <c r="P80">
        <v>1</v>
      </c>
      <c r="Q80" t="s">
        <v>32</v>
      </c>
      <c r="R80">
        <v>5</v>
      </c>
      <c r="S80">
        <v>5</v>
      </c>
      <c r="T80">
        <v>5</v>
      </c>
      <c r="U80" t="s">
        <v>925</v>
      </c>
      <c r="V80" t="s">
        <v>925</v>
      </c>
      <c r="W80" t="s">
        <v>925</v>
      </c>
      <c r="X80">
        <v>1</v>
      </c>
      <c r="Y80" t="s">
        <v>925</v>
      </c>
      <c r="Z80">
        <v>5</v>
      </c>
      <c r="AA80">
        <v>5</v>
      </c>
      <c r="AB80" t="s">
        <v>925</v>
      </c>
      <c r="AC80" t="s">
        <v>925</v>
      </c>
      <c r="AD80" t="s">
        <v>925</v>
      </c>
      <c r="AE80">
        <v>1</v>
      </c>
      <c r="AF80" t="s">
        <v>925</v>
      </c>
      <c r="AG80" t="s">
        <v>309</v>
      </c>
      <c r="AH80" t="s">
        <v>925</v>
      </c>
    </row>
    <row r="81" spans="1:34" x14ac:dyDescent="0.25">
      <c r="A81" s="702">
        <v>12.193</v>
      </c>
      <c r="B81" t="s">
        <v>604</v>
      </c>
      <c r="C81" t="s">
        <v>388</v>
      </c>
      <c r="D81" t="s">
        <v>477</v>
      </c>
      <c r="E81" t="s">
        <v>925</v>
      </c>
      <c r="F81" t="s">
        <v>925</v>
      </c>
      <c r="G81" t="s">
        <v>259</v>
      </c>
      <c r="H81" t="s">
        <v>389</v>
      </c>
      <c r="I81" t="s">
        <v>35</v>
      </c>
      <c r="J81" t="s">
        <v>925</v>
      </c>
      <c r="K81">
        <v>1</v>
      </c>
      <c r="L81">
        <v>1</v>
      </c>
      <c r="M81" t="s">
        <v>44</v>
      </c>
      <c r="N81">
        <v>1</v>
      </c>
      <c r="O81">
        <v>1</v>
      </c>
      <c r="P81">
        <v>1</v>
      </c>
      <c r="Q81" t="s">
        <v>43</v>
      </c>
      <c r="R81">
        <v>1</v>
      </c>
      <c r="S81">
        <v>1</v>
      </c>
      <c r="T81">
        <v>1</v>
      </c>
      <c r="U81" t="s">
        <v>925</v>
      </c>
      <c r="V81" t="s">
        <v>925</v>
      </c>
      <c r="W81" t="s">
        <v>925</v>
      </c>
      <c r="X81">
        <v>1</v>
      </c>
      <c r="Y81" t="s">
        <v>925</v>
      </c>
      <c r="Z81">
        <v>0</v>
      </c>
      <c r="AA81" t="s">
        <v>925</v>
      </c>
      <c r="AB81" t="s">
        <v>925</v>
      </c>
      <c r="AC81" t="s">
        <v>925</v>
      </c>
      <c r="AD81" t="s">
        <v>925</v>
      </c>
      <c r="AE81">
        <v>0</v>
      </c>
      <c r="AF81" t="s">
        <v>925</v>
      </c>
      <c r="AG81" t="s">
        <v>309</v>
      </c>
      <c r="AH81" t="s">
        <v>925</v>
      </c>
    </row>
    <row r="82" spans="1:34" x14ac:dyDescent="0.25">
      <c r="A82" s="702">
        <v>12.196999999999999</v>
      </c>
      <c r="B82" t="s">
        <v>605</v>
      </c>
      <c r="C82" t="s">
        <v>313</v>
      </c>
      <c r="D82" t="s">
        <v>484</v>
      </c>
      <c r="E82" t="s">
        <v>925</v>
      </c>
      <c r="F82" t="s">
        <v>925</v>
      </c>
      <c r="G82" t="s">
        <v>280</v>
      </c>
      <c r="H82" t="s">
        <v>390</v>
      </c>
      <c r="I82" t="s">
        <v>41</v>
      </c>
      <c r="J82" t="s">
        <v>925</v>
      </c>
      <c r="K82">
        <v>1</v>
      </c>
      <c r="L82">
        <v>1</v>
      </c>
      <c r="M82" t="s">
        <v>44</v>
      </c>
      <c r="N82">
        <v>1</v>
      </c>
      <c r="O82">
        <v>1</v>
      </c>
      <c r="P82">
        <v>1</v>
      </c>
      <c r="Q82" t="s">
        <v>32</v>
      </c>
      <c r="R82">
        <v>1</v>
      </c>
      <c r="S82">
        <v>1</v>
      </c>
      <c r="T82">
        <v>1</v>
      </c>
      <c r="U82" t="s">
        <v>925</v>
      </c>
      <c r="V82" t="s">
        <v>925</v>
      </c>
      <c r="W82" t="s">
        <v>925</v>
      </c>
      <c r="X82">
        <v>1</v>
      </c>
      <c r="Y82" t="s">
        <v>925</v>
      </c>
      <c r="Z82">
        <v>0</v>
      </c>
      <c r="AA82" t="s">
        <v>925</v>
      </c>
      <c r="AB82" t="s">
        <v>925</v>
      </c>
      <c r="AC82" t="s">
        <v>925</v>
      </c>
      <c r="AD82" t="s">
        <v>925</v>
      </c>
      <c r="AE82">
        <v>0</v>
      </c>
      <c r="AF82" t="s">
        <v>925</v>
      </c>
      <c r="AG82" t="s">
        <v>345</v>
      </c>
      <c r="AH82" t="s">
        <v>925</v>
      </c>
    </row>
    <row r="83" spans="1:34" x14ac:dyDescent="0.25">
      <c r="A83" s="702">
        <v>12.201000000000001</v>
      </c>
      <c r="B83" t="s">
        <v>606</v>
      </c>
      <c r="C83" t="s">
        <v>313</v>
      </c>
      <c r="D83" t="s">
        <v>484</v>
      </c>
      <c r="E83" t="s">
        <v>925</v>
      </c>
      <c r="F83" t="s">
        <v>925</v>
      </c>
      <c r="G83" t="s">
        <v>259</v>
      </c>
      <c r="H83" t="s">
        <v>391</v>
      </c>
      <c r="I83" t="s">
        <v>41</v>
      </c>
      <c r="J83" t="s">
        <v>925</v>
      </c>
      <c r="K83">
        <v>1</v>
      </c>
      <c r="L83">
        <v>2</v>
      </c>
      <c r="M83" t="s">
        <v>44</v>
      </c>
      <c r="N83">
        <v>1</v>
      </c>
      <c r="O83">
        <v>2</v>
      </c>
      <c r="P83">
        <v>1</v>
      </c>
      <c r="Q83" t="s">
        <v>32</v>
      </c>
      <c r="R83">
        <v>2</v>
      </c>
      <c r="S83">
        <v>2</v>
      </c>
      <c r="T83">
        <v>2</v>
      </c>
      <c r="U83" t="s">
        <v>925</v>
      </c>
      <c r="V83" t="s">
        <v>925</v>
      </c>
      <c r="W83" t="s">
        <v>925</v>
      </c>
      <c r="X83">
        <v>1</v>
      </c>
      <c r="Y83" t="s">
        <v>925</v>
      </c>
      <c r="Z83">
        <v>0</v>
      </c>
      <c r="AA83" t="s">
        <v>925</v>
      </c>
      <c r="AB83" t="s">
        <v>925</v>
      </c>
      <c r="AC83" t="s">
        <v>925</v>
      </c>
      <c r="AD83" t="s">
        <v>925</v>
      </c>
      <c r="AE83">
        <v>0</v>
      </c>
      <c r="AF83" t="s">
        <v>925</v>
      </c>
      <c r="AG83" t="s">
        <v>309</v>
      </c>
      <c r="AH83" t="s">
        <v>925</v>
      </c>
    </row>
    <row r="84" spans="1:34" x14ac:dyDescent="0.25">
      <c r="A84" s="702">
        <v>12.202</v>
      </c>
      <c r="B84" t="s">
        <v>607</v>
      </c>
      <c r="C84" t="s">
        <v>313</v>
      </c>
      <c r="D84" t="s">
        <v>484</v>
      </c>
      <c r="E84" t="s">
        <v>925</v>
      </c>
      <c r="F84" t="s">
        <v>925</v>
      </c>
      <c r="G84" t="s">
        <v>259</v>
      </c>
      <c r="H84" t="s">
        <v>392</v>
      </c>
      <c r="I84" t="s">
        <v>41</v>
      </c>
      <c r="J84" t="s">
        <v>925</v>
      </c>
      <c r="K84">
        <v>1</v>
      </c>
      <c r="L84">
        <v>2</v>
      </c>
      <c r="M84" t="s">
        <v>44</v>
      </c>
      <c r="N84">
        <v>1</v>
      </c>
      <c r="O84">
        <v>2</v>
      </c>
      <c r="P84">
        <v>1</v>
      </c>
      <c r="Q84" t="s">
        <v>32</v>
      </c>
      <c r="R84">
        <v>2</v>
      </c>
      <c r="S84">
        <v>2</v>
      </c>
      <c r="T84">
        <v>2</v>
      </c>
      <c r="U84" t="s">
        <v>925</v>
      </c>
      <c r="V84" t="s">
        <v>925</v>
      </c>
      <c r="W84" t="s">
        <v>925</v>
      </c>
      <c r="X84">
        <v>1</v>
      </c>
      <c r="Y84" t="s">
        <v>369</v>
      </c>
      <c r="Z84">
        <v>0</v>
      </c>
      <c r="AA84" t="s">
        <v>925</v>
      </c>
      <c r="AB84" t="s">
        <v>925</v>
      </c>
      <c r="AC84" t="s">
        <v>925</v>
      </c>
      <c r="AD84" t="s">
        <v>925</v>
      </c>
      <c r="AE84">
        <v>0</v>
      </c>
      <c r="AF84" t="s">
        <v>925</v>
      </c>
      <c r="AG84" t="s">
        <v>312</v>
      </c>
      <c r="AH84" t="s">
        <v>925</v>
      </c>
    </row>
    <row r="85" spans="1:34" x14ac:dyDescent="0.25">
      <c r="A85" s="702">
        <v>12.208</v>
      </c>
      <c r="B85" t="s">
        <v>609</v>
      </c>
      <c r="C85" t="s">
        <v>352</v>
      </c>
      <c r="D85" t="s">
        <v>483</v>
      </c>
      <c r="E85" t="s">
        <v>925</v>
      </c>
      <c r="F85" t="s">
        <v>925</v>
      </c>
      <c r="G85" t="s">
        <v>280</v>
      </c>
      <c r="H85" t="s">
        <v>958</v>
      </c>
      <c r="I85" t="s">
        <v>35</v>
      </c>
      <c r="J85" t="s">
        <v>925</v>
      </c>
      <c r="K85">
        <v>1</v>
      </c>
      <c r="L85">
        <v>64</v>
      </c>
      <c r="M85" t="s">
        <v>44</v>
      </c>
      <c r="N85">
        <v>1</v>
      </c>
      <c r="O85">
        <v>64</v>
      </c>
      <c r="P85">
        <v>1</v>
      </c>
      <c r="Q85" t="s">
        <v>32</v>
      </c>
      <c r="R85">
        <v>64</v>
      </c>
      <c r="S85">
        <v>64</v>
      </c>
      <c r="T85">
        <v>64</v>
      </c>
      <c r="U85" t="s">
        <v>925</v>
      </c>
      <c r="V85" t="s">
        <v>925</v>
      </c>
      <c r="W85" t="s">
        <v>925</v>
      </c>
      <c r="X85">
        <v>1</v>
      </c>
      <c r="Y85" t="s">
        <v>394</v>
      </c>
      <c r="Z85">
        <v>0</v>
      </c>
      <c r="AA85" t="s">
        <v>925</v>
      </c>
      <c r="AB85" t="s">
        <v>925</v>
      </c>
      <c r="AC85" t="s">
        <v>925</v>
      </c>
      <c r="AD85" t="s">
        <v>925</v>
      </c>
      <c r="AE85">
        <v>0</v>
      </c>
      <c r="AF85" t="s">
        <v>925</v>
      </c>
      <c r="AG85" t="s">
        <v>345</v>
      </c>
      <c r="AH85" t="s">
        <v>925</v>
      </c>
    </row>
    <row r="86" spans="1:34" x14ac:dyDescent="0.25">
      <c r="A86" s="702">
        <v>12.209</v>
      </c>
      <c r="B86" t="s">
        <v>610</v>
      </c>
      <c r="C86" t="s">
        <v>395</v>
      </c>
      <c r="D86" t="s">
        <v>483</v>
      </c>
      <c r="E86" t="s">
        <v>925</v>
      </c>
      <c r="F86" t="s">
        <v>925</v>
      </c>
      <c r="G86" t="s">
        <v>259</v>
      </c>
      <c r="H86" t="s">
        <v>959</v>
      </c>
      <c r="I86" t="s">
        <v>41</v>
      </c>
      <c r="J86" t="s">
        <v>925</v>
      </c>
      <c r="K86">
        <v>1</v>
      </c>
      <c r="L86">
        <v>22</v>
      </c>
      <c r="M86" t="s">
        <v>44</v>
      </c>
      <c r="N86">
        <v>1</v>
      </c>
      <c r="O86">
        <v>22</v>
      </c>
      <c r="P86">
        <v>1</v>
      </c>
      <c r="Q86" t="s">
        <v>32</v>
      </c>
      <c r="R86">
        <v>22</v>
      </c>
      <c r="S86">
        <v>2</v>
      </c>
      <c r="T86">
        <v>2</v>
      </c>
      <c r="U86" t="s">
        <v>925</v>
      </c>
      <c r="V86" t="s">
        <v>925</v>
      </c>
      <c r="W86" t="s">
        <v>925</v>
      </c>
      <c r="X86">
        <v>9.0909090909090912E-2</v>
      </c>
      <c r="Y86" t="s">
        <v>925</v>
      </c>
      <c r="Z86">
        <v>0</v>
      </c>
      <c r="AA86" t="s">
        <v>925</v>
      </c>
      <c r="AB86" t="s">
        <v>925</v>
      </c>
      <c r="AC86" t="s">
        <v>925</v>
      </c>
      <c r="AD86" t="s">
        <v>925</v>
      </c>
      <c r="AE86">
        <v>0</v>
      </c>
      <c r="AF86" t="s">
        <v>925</v>
      </c>
      <c r="AG86" t="s">
        <v>317</v>
      </c>
      <c r="AH86" t="s">
        <v>925</v>
      </c>
    </row>
    <row r="87" spans="1:34" x14ac:dyDescent="0.25">
      <c r="A87" s="702">
        <v>12.21</v>
      </c>
      <c r="B87" t="s">
        <v>611</v>
      </c>
      <c r="C87" t="s">
        <v>359</v>
      </c>
      <c r="D87" t="s">
        <v>477</v>
      </c>
      <c r="E87" t="s">
        <v>925</v>
      </c>
      <c r="F87" t="s">
        <v>925</v>
      </c>
      <c r="G87" t="s">
        <v>259</v>
      </c>
      <c r="H87" t="s">
        <v>396</v>
      </c>
      <c r="I87" t="s">
        <v>41</v>
      </c>
      <c r="J87" t="s">
        <v>925</v>
      </c>
      <c r="K87">
        <v>1</v>
      </c>
      <c r="L87">
        <v>12</v>
      </c>
      <c r="M87" t="s">
        <v>44</v>
      </c>
      <c r="N87">
        <v>1</v>
      </c>
      <c r="O87">
        <v>12</v>
      </c>
      <c r="P87">
        <v>1</v>
      </c>
      <c r="Q87" t="s">
        <v>43</v>
      </c>
      <c r="R87">
        <v>1</v>
      </c>
      <c r="S87">
        <v>0</v>
      </c>
      <c r="T87" t="s">
        <v>925</v>
      </c>
      <c r="U87" t="s">
        <v>925</v>
      </c>
      <c r="V87" t="s">
        <v>925</v>
      </c>
      <c r="W87" t="s">
        <v>925</v>
      </c>
      <c r="X87">
        <v>0</v>
      </c>
      <c r="Y87" t="s">
        <v>925</v>
      </c>
      <c r="Z87">
        <v>0</v>
      </c>
      <c r="AA87" t="s">
        <v>925</v>
      </c>
      <c r="AB87" t="s">
        <v>925</v>
      </c>
      <c r="AC87" t="s">
        <v>925</v>
      </c>
      <c r="AD87" t="s">
        <v>925</v>
      </c>
      <c r="AE87">
        <v>0</v>
      </c>
      <c r="AF87" t="s">
        <v>925</v>
      </c>
      <c r="AG87" t="s">
        <v>312</v>
      </c>
      <c r="AH87" t="s">
        <v>925</v>
      </c>
    </row>
    <row r="88" spans="1:34" x14ac:dyDescent="0.25">
      <c r="A88" s="702">
        <v>12.218999999999999</v>
      </c>
      <c r="B88" t="s">
        <v>616</v>
      </c>
      <c r="C88" t="s">
        <v>323</v>
      </c>
      <c r="D88" t="s">
        <v>480</v>
      </c>
      <c r="E88" t="s">
        <v>925</v>
      </c>
      <c r="F88" t="s">
        <v>925</v>
      </c>
      <c r="G88" t="s">
        <v>259</v>
      </c>
      <c r="H88" t="s">
        <v>399</v>
      </c>
      <c r="I88" t="s">
        <v>35</v>
      </c>
      <c r="J88" t="s">
        <v>925</v>
      </c>
      <c r="K88">
        <v>1</v>
      </c>
      <c r="L88">
        <v>1</v>
      </c>
      <c r="M88" t="s">
        <v>44</v>
      </c>
      <c r="N88">
        <v>1</v>
      </c>
      <c r="O88">
        <v>1</v>
      </c>
      <c r="P88">
        <v>1</v>
      </c>
      <c r="Q88" t="s">
        <v>32</v>
      </c>
      <c r="R88">
        <v>1</v>
      </c>
      <c r="S88">
        <v>0</v>
      </c>
      <c r="T88" t="s">
        <v>925</v>
      </c>
      <c r="U88" t="s">
        <v>925</v>
      </c>
      <c r="V88" t="s">
        <v>925</v>
      </c>
      <c r="W88" t="s">
        <v>925</v>
      </c>
      <c r="X88">
        <v>0</v>
      </c>
      <c r="Y88" t="s">
        <v>925</v>
      </c>
      <c r="Z88">
        <v>0</v>
      </c>
      <c r="AA88" t="s">
        <v>925</v>
      </c>
      <c r="AB88" t="s">
        <v>925</v>
      </c>
      <c r="AC88" t="s">
        <v>925</v>
      </c>
      <c r="AD88" t="s">
        <v>925</v>
      </c>
      <c r="AE88">
        <v>0</v>
      </c>
      <c r="AF88" t="s">
        <v>925</v>
      </c>
      <c r="AG88" t="s">
        <v>312</v>
      </c>
      <c r="AH88" t="s">
        <v>925</v>
      </c>
    </row>
    <row r="89" spans="1:34" ht="15.75" customHeight="1" x14ac:dyDescent="0.25">
      <c r="A89" s="702">
        <v>12.22</v>
      </c>
      <c r="B89" t="s">
        <v>617</v>
      </c>
      <c r="C89" t="s">
        <v>323</v>
      </c>
      <c r="D89" t="s">
        <v>480</v>
      </c>
      <c r="E89" t="s">
        <v>925</v>
      </c>
      <c r="F89" t="s">
        <v>925</v>
      </c>
      <c r="G89" t="s">
        <v>259</v>
      </c>
      <c r="H89" t="s">
        <v>400</v>
      </c>
      <c r="I89" t="s">
        <v>35</v>
      </c>
      <c r="J89" t="s">
        <v>925</v>
      </c>
      <c r="K89">
        <v>1</v>
      </c>
      <c r="L89">
        <v>1</v>
      </c>
      <c r="M89" t="s">
        <v>44</v>
      </c>
      <c r="N89">
        <v>1</v>
      </c>
      <c r="O89">
        <v>1</v>
      </c>
      <c r="P89">
        <v>1</v>
      </c>
      <c r="Q89" t="s">
        <v>32</v>
      </c>
      <c r="R89">
        <v>1</v>
      </c>
      <c r="S89">
        <v>1</v>
      </c>
      <c r="T89">
        <v>1</v>
      </c>
      <c r="U89" t="s">
        <v>925</v>
      </c>
      <c r="V89" t="s">
        <v>925</v>
      </c>
      <c r="W89" t="s">
        <v>925</v>
      </c>
      <c r="X89">
        <v>1</v>
      </c>
      <c r="Y89" t="s">
        <v>925</v>
      </c>
      <c r="Z89">
        <v>0</v>
      </c>
      <c r="AA89" t="s">
        <v>925</v>
      </c>
      <c r="AB89" t="s">
        <v>925</v>
      </c>
      <c r="AC89" t="s">
        <v>925</v>
      </c>
      <c r="AD89" t="s">
        <v>925</v>
      </c>
      <c r="AE89">
        <v>0</v>
      </c>
      <c r="AF89" t="s">
        <v>925</v>
      </c>
      <c r="AG89" t="s">
        <v>312</v>
      </c>
      <c r="AH89" t="s">
        <v>925</v>
      </c>
    </row>
    <row r="90" spans="1:34" x14ac:dyDescent="0.25">
      <c r="A90" s="702">
        <v>12.223000000000001</v>
      </c>
      <c r="B90" t="s">
        <v>619</v>
      </c>
      <c r="C90" t="s">
        <v>320</v>
      </c>
      <c r="D90" t="s">
        <v>482</v>
      </c>
      <c r="E90" t="s">
        <v>925</v>
      </c>
      <c r="F90" t="s">
        <v>925</v>
      </c>
      <c r="G90" t="s">
        <v>259</v>
      </c>
      <c r="H90" t="s">
        <v>960</v>
      </c>
      <c r="I90" t="s">
        <v>41</v>
      </c>
      <c r="J90" t="s">
        <v>925</v>
      </c>
      <c r="K90">
        <v>1</v>
      </c>
      <c r="L90">
        <v>2</v>
      </c>
      <c r="M90" t="s">
        <v>44</v>
      </c>
      <c r="N90">
        <v>1</v>
      </c>
      <c r="O90">
        <v>2</v>
      </c>
      <c r="P90">
        <v>1</v>
      </c>
      <c r="Q90" t="s">
        <v>32</v>
      </c>
      <c r="R90">
        <v>1</v>
      </c>
      <c r="S90">
        <v>1</v>
      </c>
      <c r="T90">
        <v>1</v>
      </c>
      <c r="U90" t="s">
        <v>925</v>
      </c>
      <c r="V90" t="s">
        <v>925</v>
      </c>
      <c r="W90" t="s">
        <v>925</v>
      </c>
      <c r="X90">
        <v>1</v>
      </c>
      <c r="Y90" t="s">
        <v>925</v>
      </c>
      <c r="Z90">
        <v>0</v>
      </c>
      <c r="AA90" t="s">
        <v>925</v>
      </c>
      <c r="AB90" t="s">
        <v>925</v>
      </c>
      <c r="AC90" t="s">
        <v>925</v>
      </c>
      <c r="AD90" t="s">
        <v>925</v>
      </c>
      <c r="AE90">
        <v>0</v>
      </c>
      <c r="AF90" t="s">
        <v>925</v>
      </c>
      <c r="AG90" t="s">
        <v>309</v>
      </c>
      <c r="AH90" t="s">
        <v>925</v>
      </c>
    </row>
    <row r="91" spans="1:34" x14ac:dyDescent="0.25">
      <c r="A91" s="702">
        <v>12.225</v>
      </c>
      <c r="B91" t="s">
        <v>621</v>
      </c>
      <c r="C91" t="s">
        <v>320</v>
      </c>
      <c r="D91" t="s">
        <v>482</v>
      </c>
      <c r="E91" t="s">
        <v>925</v>
      </c>
      <c r="F91" t="s">
        <v>925</v>
      </c>
      <c r="G91" t="s">
        <v>259</v>
      </c>
      <c r="H91" t="s">
        <v>952</v>
      </c>
      <c r="I91" t="s">
        <v>41</v>
      </c>
      <c r="J91" t="s">
        <v>925</v>
      </c>
      <c r="K91">
        <v>1</v>
      </c>
      <c r="L91">
        <v>2</v>
      </c>
      <c r="M91" t="s">
        <v>44</v>
      </c>
      <c r="N91">
        <v>1</v>
      </c>
      <c r="O91">
        <v>2</v>
      </c>
      <c r="P91">
        <v>1</v>
      </c>
      <c r="Q91" t="s">
        <v>32</v>
      </c>
      <c r="R91">
        <v>1</v>
      </c>
      <c r="S91">
        <v>0</v>
      </c>
      <c r="T91" t="s">
        <v>925</v>
      </c>
      <c r="U91" t="s">
        <v>925</v>
      </c>
      <c r="V91" t="s">
        <v>925</v>
      </c>
      <c r="W91" t="s">
        <v>925</v>
      </c>
      <c r="X91">
        <v>0</v>
      </c>
      <c r="Y91" t="s">
        <v>925</v>
      </c>
      <c r="Z91">
        <v>0</v>
      </c>
      <c r="AA91" t="s">
        <v>925</v>
      </c>
      <c r="AB91" t="s">
        <v>925</v>
      </c>
      <c r="AC91" t="s">
        <v>925</v>
      </c>
      <c r="AD91" t="s">
        <v>925</v>
      </c>
      <c r="AE91">
        <v>0</v>
      </c>
      <c r="AF91" t="s">
        <v>925</v>
      </c>
      <c r="AG91" t="s">
        <v>309</v>
      </c>
      <c r="AH91" t="s">
        <v>925</v>
      </c>
    </row>
    <row r="92" spans="1:34" x14ac:dyDescent="0.25">
      <c r="A92" s="702">
        <v>12.247</v>
      </c>
      <c r="B92" t="s">
        <v>628</v>
      </c>
      <c r="C92" t="s">
        <v>323</v>
      </c>
      <c r="D92" t="s">
        <v>480</v>
      </c>
      <c r="E92" t="s">
        <v>925</v>
      </c>
      <c r="F92" t="s">
        <v>925</v>
      </c>
      <c r="G92" t="s">
        <v>259</v>
      </c>
      <c r="H92" t="s">
        <v>403</v>
      </c>
      <c r="I92" t="s">
        <v>35</v>
      </c>
      <c r="J92" t="s">
        <v>925</v>
      </c>
      <c r="K92">
        <v>1</v>
      </c>
      <c r="L92">
        <v>3</v>
      </c>
      <c r="M92" t="s">
        <v>44</v>
      </c>
      <c r="N92">
        <v>1</v>
      </c>
      <c r="O92">
        <v>3</v>
      </c>
      <c r="P92">
        <v>1</v>
      </c>
      <c r="Q92" t="s">
        <v>32</v>
      </c>
      <c r="R92">
        <v>1</v>
      </c>
      <c r="S92">
        <v>1</v>
      </c>
      <c r="T92">
        <v>1</v>
      </c>
      <c r="U92" t="s">
        <v>925</v>
      </c>
      <c r="V92" t="s">
        <v>925</v>
      </c>
      <c r="W92" t="s">
        <v>925</v>
      </c>
      <c r="X92">
        <v>1</v>
      </c>
      <c r="Y92" t="s">
        <v>925</v>
      </c>
      <c r="Z92">
        <v>0</v>
      </c>
      <c r="AA92" t="s">
        <v>925</v>
      </c>
      <c r="AB92" t="s">
        <v>925</v>
      </c>
      <c r="AC92" t="s">
        <v>925</v>
      </c>
      <c r="AD92" t="s">
        <v>925</v>
      </c>
      <c r="AE92">
        <v>0</v>
      </c>
      <c r="AF92" t="s">
        <v>925</v>
      </c>
      <c r="AG92" t="s">
        <v>312</v>
      </c>
      <c r="AH92" t="s">
        <v>925</v>
      </c>
    </row>
    <row r="93" spans="1:34" x14ac:dyDescent="0.25">
      <c r="A93" s="702">
        <v>12.266</v>
      </c>
      <c r="B93" t="s">
        <v>632</v>
      </c>
      <c r="C93" t="s">
        <v>405</v>
      </c>
      <c r="D93" t="s">
        <v>478</v>
      </c>
      <c r="E93" t="s">
        <v>925</v>
      </c>
      <c r="F93" t="s">
        <v>925</v>
      </c>
      <c r="G93" t="s">
        <v>259</v>
      </c>
      <c r="H93" t="s">
        <v>972</v>
      </c>
      <c r="I93" t="s">
        <v>41</v>
      </c>
      <c r="J93" t="s">
        <v>925</v>
      </c>
      <c r="K93">
        <v>1</v>
      </c>
      <c r="L93">
        <v>2</v>
      </c>
      <c r="M93" t="s">
        <v>44</v>
      </c>
      <c r="N93">
        <v>1</v>
      </c>
      <c r="O93">
        <v>2</v>
      </c>
      <c r="P93">
        <v>1</v>
      </c>
      <c r="Q93" t="s">
        <v>32</v>
      </c>
      <c r="R93">
        <v>1</v>
      </c>
      <c r="S93">
        <v>0</v>
      </c>
      <c r="T93" t="s">
        <v>925</v>
      </c>
      <c r="U93" t="s">
        <v>925</v>
      </c>
      <c r="V93" t="s">
        <v>925</v>
      </c>
      <c r="W93" t="s">
        <v>925</v>
      </c>
      <c r="X93">
        <v>0</v>
      </c>
      <c r="Y93" t="s">
        <v>925</v>
      </c>
      <c r="Z93">
        <v>0</v>
      </c>
      <c r="AA93" t="s">
        <v>925</v>
      </c>
      <c r="AB93" t="s">
        <v>925</v>
      </c>
      <c r="AC93" t="s">
        <v>925</v>
      </c>
      <c r="AD93" t="s">
        <v>925</v>
      </c>
      <c r="AE93">
        <v>0</v>
      </c>
      <c r="AF93" t="s">
        <v>925</v>
      </c>
      <c r="AG93" t="s">
        <v>312</v>
      </c>
      <c r="AH93" t="s">
        <v>925</v>
      </c>
    </row>
    <row r="94" spans="1:34" x14ac:dyDescent="0.25">
      <c r="A94" s="702">
        <v>12.27</v>
      </c>
      <c r="B94" t="s">
        <v>633</v>
      </c>
      <c r="C94" t="s">
        <v>405</v>
      </c>
      <c r="D94" t="s">
        <v>478</v>
      </c>
      <c r="E94" t="s">
        <v>925</v>
      </c>
      <c r="F94" t="s">
        <v>925</v>
      </c>
      <c r="G94" t="s">
        <v>259</v>
      </c>
      <c r="H94" t="s">
        <v>973</v>
      </c>
      <c r="I94" t="s">
        <v>41</v>
      </c>
      <c r="J94" t="s">
        <v>925</v>
      </c>
      <c r="K94">
        <v>1</v>
      </c>
      <c r="L94">
        <v>8</v>
      </c>
      <c r="M94" t="s">
        <v>44</v>
      </c>
      <c r="N94">
        <v>1</v>
      </c>
      <c r="O94">
        <v>8</v>
      </c>
      <c r="P94">
        <v>1</v>
      </c>
      <c r="Q94" t="s">
        <v>43</v>
      </c>
      <c r="R94">
        <v>6</v>
      </c>
      <c r="S94">
        <v>6</v>
      </c>
      <c r="T94">
        <v>6</v>
      </c>
      <c r="U94" t="s">
        <v>925</v>
      </c>
      <c r="V94" t="s">
        <v>925</v>
      </c>
      <c r="W94" t="s">
        <v>925</v>
      </c>
      <c r="X94">
        <v>1</v>
      </c>
      <c r="Y94" t="s">
        <v>406</v>
      </c>
      <c r="Z94">
        <v>8</v>
      </c>
      <c r="AA94">
        <v>6</v>
      </c>
      <c r="AB94" t="s">
        <v>925</v>
      </c>
      <c r="AC94">
        <v>2</v>
      </c>
      <c r="AD94" t="s">
        <v>925</v>
      </c>
      <c r="AE94">
        <v>0.75</v>
      </c>
      <c r="AF94" t="s">
        <v>925</v>
      </c>
      <c r="AG94" t="s">
        <v>309</v>
      </c>
      <c r="AH94" t="s">
        <v>925</v>
      </c>
    </row>
    <row r="95" spans="1:34" x14ac:dyDescent="0.25">
      <c r="A95" s="702">
        <v>12.276</v>
      </c>
      <c r="B95" t="s">
        <v>634</v>
      </c>
      <c r="C95" t="s">
        <v>395</v>
      </c>
      <c r="D95" t="s">
        <v>483</v>
      </c>
      <c r="E95" t="s">
        <v>925</v>
      </c>
      <c r="F95" t="s">
        <v>925</v>
      </c>
      <c r="G95" t="s">
        <v>259</v>
      </c>
      <c r="H95" t="s">
        <v>407</v>
      </c>
      <c r="I95" t="s">
        <v>41</v>
      </c>
      <c r="J95" t="s">
        <v>925</v>
      </c>
      <c r="K95">
        <v>1</v>
      </c>
      <c r="L95">
        <v>14</v>
      </c>
      <c r="M95" t="s">
        <v>44</v>
      </c>
      <c r="N95">
        <v>1</v>
      </c>
      <c r="O95">
        <v>14</v>
      </c>
      <c r="P95">
        <v>1</v>
      </c>
      <c r="Q95" t="s">
        <v>32</v>
      </c>
      <c r="R95">
        <v>14</v>
      </c>
      <c r="S95">
        <v>0</v>
      </c>
      <c r="T95" t="s">
        <v>925</v>
      </c>
      <c r="U95" t="s">
        <v>925</v>
      </c>
      <c r="V95" t="s">
        <v>925</v>
      </c>
      <c r="W95" t="s">
        <v>925</v>
      </c>
      <c r="X95">
        <v>0</v>
      </c>
      <c r="Y95" t="s">
        <v>925</v>
      </c>
      <c r="Z95">
        <v>0</v>
      </c>
      <c r="AA95" t="s">
        <v>925</v>
      </c>
      <c r="AB95" t="s">
        <v>925</v>
      </c>
      <c r="AC95" t="s">
        <v>925</v>
      </c>
      <c r="AD95" t="s">
        <v>925</v>
      </c>
      <c r="AE95">
        <v>0</v>
      </c>
      <c r="AF95" t="s">
        <v>925</v>
      </c>
      <c r="AG95" t="s">
        <v>309</v>
      </c>
      <c r="AH95" t="s">
        <v>925</v>
      </c>
    </row>
    <row r="96" spans="1:34" x14ac:dyDescent="0.25">
      <c r="A96" s="702">
        <v>12.276999999999999</v>
      </c>
      <c r="B96" t="s">
        <v>635</v>
      </c>
      <c r="C96" t="s">
        <v>352</v>
      </c>
      <c r="D96" t="s">
        <v>483</v>
      </c>
      <c r="E96" t="s">
        <v>925</v>
      </c>
      <c r="F96" t="s">
        <v>925</v>
      </c>
      <c r="G96" t="s">
        <v>280</v>
      </c>
      <c r="H96" t="s">
        <v>961</v>
      </c>
      <c r="I96" t="s">
        <v>35</v>
      </c>
      <c r="J96" t="s">
        <v>925</v>
      </c>
      <c r="K96">
        <v>1</v>
      </c>
      <c r="L96">
        <v>8</v>
      </c>
      <c r="M96" t="s">
        <v>44</v>
      </c>
      <c r="N96">
        <v>1</v>
      </c>
      <c r="O96">
        <v>8</v>
      </c>
      <c r="P96">
        <v>1</v>
      </c>
      <c r="Q96" t="s">
        <v>32</v>
      </c>
      <c r="R96">
        <v>8</v>
      </c>
      <c r="S96">
        <v>8</v>
      </c>
      <c r="T96">
        <v>8</v>
      </c>
      <c r="U96" t="s">
        <v>925</v>
      </c>
      <c r="V96" t="s">
        <v>925</v>
      </c>
      <c r="W96" t="s">
        <v>925</v>
      </c>
      <c r="X96">
        <v>1</v>
      </c>
      <c r="Y96" t="s">
        <v>408</v>
      </c>
      <c r="Z96">
        <v>8</v>
      </c>
      <c r="AA96">
        <v>8</v>
      </c>
      <c r="AB96" t="s">
        <v>925</v>
      </c>
      <c r="AC96" t="s">
        <v>925</v>
      </c>
      <c r="AD96" t="s">
        <v>925</v>
      </c>
      <c r="AE96">
        <v>1</v>
      </c>
      <c r="AF96" t="s">
        <v>925</v>
      </c>
      <c r="AG96" t="s">
        <v>345</v>
      </c>
      <c r="AH96" t="s">
        <v>925</v>
      </c>
    </row>
    <row r="97" spans="1:34" x14ac:dyDescent="0.25">
      <c r="A97" s="702">
        <v>12.278</v>
      </c>
      <c r="B97" t="s">
        <v>636</v>
      </c>
      <c r="C97" t="s">
        <v>331</v>
      </c>
      <c r="D97" t="s">
        <v>477</v>
      </c>
      <c r="E97" t="s">
        <v>925</v>
      </c>
      <c r="F97" t="s">
        <v>925</v>
      </c>
      <c r="G97" t="s">
        <v>259</v>
      </c>
      <c r="H97" t="s">
        <v>409</v>
      </c>
      <c r="I97" t="s">
        <v>41</v>
      </c>
      <c r="J97" t="s">
        <v>347</v>
      </c>
      <c r="K97">
        <v>1</v>
      </c>
      <c r="L97">
        <v>1</v>
      </c>
      <c r="M97" t="s">
        <v>44</v>
      </c>
      <c r="N97">
        <v>1</v>
      </c>
      <c r="O97">
        <v>1</v>
      </c>
      <c r="P97">
        <v>1</v>
      </c>
      <c r="Q97" t="s">
        <v>43</v>
      </c>
      <c r="R97">
        <v>1</v>
      </c>
      <c r="S97">
        <v>1</v>
      </c>
      <c r="T97">
        <v>1</v>
      </c>
      <c r="U97" t="s">
        <v>925</v>
      </c>
      <c r="V97" t="s">
        <v>925</v>
      </c>
      <c r="W97" t="s">
        <v>925</v>
      </c>
      <c r="X97">
        <v>1</v>
      </c>
      <c r="Y97" t="s">
        <v>410</v>
      </c>
      <c r="Z97">
        <v>1</v>
      </c>
      <c r="AA97">
        <v>1</v>
      </c>
      <c r="AB97" t="s">
        <v>925</v>
      </c>
      <c r="AC97" t="s">
        <v>925</v>
      </c>
      <c r="AD97" t="s">
        <v>925</v>
      </c>
      <c r="AE97">
        <v>1</v>
      </c>
      <c r="AF97" t="s">
        <v>925</v>
      </c>
      <c r="AG97" t="s">
        <v>309</v>
      </c>
      <c r="AH97" t="s">
        <v>925</v>
      </c>
    </row>
    <row r="98" spans="1:34" x14ac:dyDescent="0.25">
      <c r="A98" s="702">
        <v>12.28</v>
      </c>
      <c r="B98" t="s">
        <v>637</v>
      </c>
      <c r="C98" t="s">
        <v>331</v>
      </c>
      <c r="D98" t="s">
        <v>477</v>
      </c>
      <c r="E98" t="s">
        <v>925</v>
      </c>
      <c r="F98" t="s">
        <v>925</v>
      </c>
      <c r="G98" t="s">
        <v>259</v>
      </c>
      <c r="H98" t="s">
        <v>411</v>
      </c>
      <c r="I98" t="s">
        <v>41</v>
      </c>
      <c r="J98" t="s">
        <v>347</v>
      </c>
      <c r="K98">
        <v>1</v>
      </c>
      <c r="L98">
        <v>1</v>
      </c>
      <c r="M98" t="s">
        <v>44</v>
      </c>
      <c r="N98">
        <v>1</v>
      </c>
      <c r="O98">
        <v>1</v>
      </c>
      <c r="P98">
        <v>1</v>
      </c>
      <c r="Q98" t="s">
        <v>43</v>
      </c>
      <c r="R98">
        <v>2</v>
      </c>
      <c r="S98">
        <v>2</v>
      </c>
      <c r="T98">
        <v>2</v>
      </c>
      <c r="U98" t="s">
        <v>925</v>
      </c>
      <c r="V98" t="s">
        <v>925</v>
      </c>
      <c r="W98" t="s">
        <v>925</v>
      </c>
      <c r="X98">
        <v>1</v>
      </c>
      <c r="Y98" t="s">
        <v>925</v>
      </c>
      <c r="Z98">
        <v>1</v>
      </c>
      <c r="AA98">
        <v>1</v>
      </c>
      <c r="AB98" t="s">
        <v>925</v>
      </c>
      <c r="AC98" t="s">
        <v>925</v>
      </c>
      <c r="AD98" t="s">
        <v>925</v>
      </c>
      <c r="AE98">
        <v>1</v>
      </c>
      <c r="AF98" t="s">
        <v>925</v>
      </c>
      <c r="AG98" t="s">
        <v>309</v>
      </c>
      <c r="AH98" t="s">
        <v>925</v>
      </c>
    </row>
    <row r="99" spans="1:34" x14ac:dyDescent="0.25">
      <c r="A99" s="702">
        <v>12.281000000000001</v>
      </c>
      <c r="B99" t="s">
        <v>638</v>
      </c>
      <c r="C99" t="s">
        <v>331</v>
      </c>
      <c r="D99" t="s">
        <v>477</v>
      </c>
      <c r="E99" t="s">
        <v>925</v>
      </c>
      <c r="F99" t="s">
        <v>925</v>
      </c>
      <c r="G99" t="s">
        <v>259</v>
      </c>
      <c r="H99" t="s">
        <v>412</v>
      </c>
      <c r="I99" t="s">
        <v>41</v>
      </c>
      <c r="J99" t="s">
        <v>347</v>
      </c>
      <c r="K99">
        <v>1</v>
      </c>
      <c r="L99">
        <v>1</v>
      </c>
      <c r="M99" t="s">
        <v>44</v>
      </c>
      <c r="N99">
        <v>1</v>
      </c>
      <c r="O99">
        <v>1</v>
      </c>
      <c r="P99">
        <v>1</v>
      </c>
      <c r="Q99" t="s">
        <v>43</v>
      </c>
      <c r="R99">
        <v>1</v>
      </c>
      <c r="S99">
        <v>1</v>
      </c>
      <c r="T99">
        <v>1</v>
      </c>
      <c r="U99" t="s">
        <v>925</v>
      </c>
      <c r="V99" t="s">
        <v>925</v>
      </c>
      <c r="W99" t="s">
        <v>925</v>
      </c>
      <c r="X99">
        <v>1</v>
      </c>
      <c r="Y99" t="s">
        <v>925</v>
      </c>
      <c r="Z99">
        <v>1</v>
      </c>
      <c r="AA99">
        <v>1</v>
      </c>
      <c r="AB99" t="s">
        <v>925</v>
      </c>
      <c r="AC99" t="s">
        <v>925</v>
      </c>
      <c r="AD99" t="s">
        <v>925</v>
      </c>
      <c r="AE99">
        <v>1</v>
      </c>
      <c r="AF99" t="s">
        <v>925</v>
      </c>
      <c r="AG99" t="s">
        <v>309</v>
      </c>
      <c r="AH99" t="s">
        <v>925</v>
      </c>
    </row>
    <row r="100" spans="1:34" x14ac:dyDescent="0.25">
      <c r="A100" s="702">
        <v>12.282</v>
      </c>
      <c r="B100" t="s">
        <v>639</v>
      </c>
      <c r="C100" t="s">
        <v>323</v>
      </c>
      <c r="D100" t="s">
        <v>480</v>
      </c>
      <c r="E100" t="s">
        <v>925</v>
      </c>
      <c r="F100" t="s">
        <v>925</v>
      </c>
      <c r="G100" t="s">
        <v>259</v>
      </c>
      <c r="H100" t="s">
        <v>400</v>
      </c>
      <c r="I100" t="s">
        <v>35</v>
      </c>
      <c r="J100" t="s">
        <v>925</v>
      </c>
      <c r="K100">
        <v>1</v>
      </c>
      <c r="L100">
        <v>1</v>
      </c>
      <c r="M100" t="s">
        <v>44</v>
      </c>
      <c r="N100">
        <v>1</v>
      </c>
      <c r="O100">
        <v>1</v>
      </c>
      <c r="P100">
        <v>1</v>
      </c>
      <c r="Q100" t="s">
        <v>32</v>
      </c>
      <c r="R100">
        <v>1</v>
      </c>
      <c r="S100">
        <v>1</v>
      </c>
      <c r="T100">
        <v>1</v>
      </c>
      <c r="U100" t="s">
        <v>925</v>
      </c>
      <c r="V100" t="s">
        <v>925</v>
      </c>
      <c r="W100" t="s">
        <v>925</v>
      </c>
      <c r="X100">
        <v>1</v>
      </c>
      <c r="Y100" t="s">
        <v>925</v>
      </c>
      <c r="Z100">
        <v>0</v>
      </c>
      <c r="AA100" t="s">
        <v>925</v>
      </c>
      <c r="AB100" t="s">
        <v>925</v>
      </c>
      <c r="AC100" t="s">
        <v>925</v>
      </c>
      <c r="AD100" t="s">
        <v>925</v>
      </c>
      <c r="AE100">
        <v>0</v>
      </c>
      <c r="AF100" t="s">
        <v>925</v>
      </c>
      <c r="AG100" t="s">
        <v>317</v>
      </c>
      <c r="AH100" t="s">
        <v>925</v>
      </c>
    </row>
    <row r="101" spans="1:34" x14ac:dyDescent="0.25">
      <c r="A101" s="702">
        <v>12.292</v>
      </c>
      <c r="B101" t="s">
        <v>645</v>
      </c>
      <c r="C101" t="s">
        <v>318</v>
      </c>
      <c r="D101" t="s">
        <v>480</v>
      </c>
      <c r="E101" t="s">
        <v>925</v>
      </c>
      <c r="F101" t="s">
        <v>925</v>
      </c>
      <c r="G101" t="s">
        <v>259</v>
      </c>
      <c r="H101" t="s">
        <v>962</v>
      </c>
      <c r="I101" t="s">
        <v>41</v>
      </c>
      <c r="J101" t="s">
        <v>925</v>
      </c>
      <c r="K101">
        <v>1</v>
      </c>
      <c r="L101">
        <v>2</v>
      </c>
      <c r="M101" t="s">
        <v>44</v>
      </c>
      <c r="N101">
        <v>1</v>
      </c>
      <c r="O101">
        <v>2</v>
      </c>
      <c r="P101">
        <v>1</v>
      </c>
      <c r="Q101" t="s">
        <v>32</v>
      </c>
      <c r="R101">
        <v>2</v>
      </c>
      <c r="S101">
        <v>2</v>
      </c>
      <c r="T101">
        <v>1</v>
      </c>
      <c r="U101" t="s">
        <v>925</v>
      </c>
      <c r="V101">
        <v>1</v>
      </c>
      <c r="W101" t="s">
        <v>925</v>
      </c>
      <c r="X101">
        <v>0.5</v>
      </c>
      <c r="Y101" t="s">
        <v>414</v>
      </c>
      <c r="Z101">
        <v>1</v>
      </c>
      <c r="AA101">
        <v>1</v>
      </c>
      <c r="AB101" t="s">
        <v>925</v>
      </c>
      <c r="AC101" t="s">
        <v>925</v>
      </c>
      <c r="AD101" t="s">
        <v>925</v>
      </c>
      <c r="AE101">
        <v>0.5</v>
      </c>
      <c r="AF101" t="s">
        <v>925</v>
      </c>
      <c r="AG101" t="s">
        <v>309</v>
      </c>
      <c r="AH101" t="s">
        <v>925</v>
      </c>
    </row>
    <row r="102" spans="1:34" x14ac:dyDescent="0.25">
      <c r="A102" s="702">
        <v>12.294</v>
      </c>
      <c r="B102" t="s">
        <v>646</v>
      </c>
      <c r="C102" t="s">
        <v>313</v>
      </c>
      <c r="D102" t="s">
        <v>484</v>
      </c>
      <c r="E102" t="s">
        <v>925</v>
      </c>
      <c r="F102" t="s">
        <v>925</v>
      </c>
      <c r="G102" t="s">
        <v>259</v>
      </c>
      <c r="H102" t="s">
        <v>963</v>
      </c>
      <c r="I102" t="s">
        <v>41</v>
      </c>
      <c r="J102" t="s">
        <v>925</v>
      </c>
      <c r="K102">
        <v>1</v>
      </c>
      <c r="L102">
        <v>2</v>
      </c>
      <c r="M102" t="s">
        <v>44</v>
      </c>
      <c r="N102">
        <v>1</v>
      </c>
      <c r="O102">
        <v>2</v>
      </c>
      <c r="P102">
        <v>1</v>
      </c>
      <c r="Q102" t="s">
        <v>32</v>
      </c>
      <c r="R102">
        <v>2</v>
      </c>
      <c r="S102">
        <v>2</v>
      </c>
      <c r="T102">
        <v>2</v>
      </c>
      <c r="U102" t="s">
        <v>925</v>
      </c>
      <c r="V102" t="s">
        <v>925</v>
      </c>
      <c r="W102" t="s">
        <v>925</v>
      </c>
      <c r="X102">
        <v>1</v>
      </c>
      <c r="Y102" t="s">
        <v>925</v>
      </c>
      <c r="Z102">
        <v>0</v>
      </c>
      <c r="AA102" t="s">
        <v>925</v>
      </c>
      <c r="AB102" t="s">
        <v>925</v>
      </c>
      <c r="AC102" t="s">
        <v>925</v>
      </c>
      <c r="AD102" t="s">
        <v>925</v>
      </c>
      <c r="AE102">
        <v>0</v>
      </c>
      <c r="AF102" t="s">
        <v>925</v>
      </c>
      <c r="AG102" t="s">
        <v>312</v>
      </c>
      <c r="AH102" t="s">
        <v>925</v>
      </c>
    </row>
    <row r="103" spans="1:34" x14ac:dyDescent="0.25">
      <c r="A103" s="702">
        <v>12.301</v>
      </c>
      <c r="B103" t="s">
        <v>650</v>
      </c>
      <c r="C103" t="s">
        <v>371</v>
      </c>
      <c r="D103" t="s">
        <v>478</v>
      </c>
      <c r="E103" t="s">
        <v>925</v>
      </c>
      <c r="F103" t="s">
        <v>925</v>
      </c>
      <c r="G103" t="s">
        <v>280</v>
      </c>
      <c r="H103" t="s">
        <v>918</v>
      </c>
      <c r="I103" t="s">
        <v>41</v>
      </c>
      <c r="J103" t="s">
        <v>925</v>
      </c>
      <c r="K103">
        <v>1</v>
      </c>
      <c r="L103">
        <v>1</v>
      </c>
      <c r="M103" t="s">
        <v>44</v>
      </c>
      <c r="N103">
        <v>1</v>
      </c>
      <c r="O103">
        <v>0</v>
      </c>
      <c r="P103">
        <v>0</v>
      </c>
      <c r="Q103" t="s">
        <v>32</v>
      </c>
      <c r="R103">
        <v>1</v>
      </c>
      <c r="S103">
        <v>0</v>
      </c>
      <c r="T103" t="s">
        <v>925</v>
      </c>
      <c r="U103" t="s">
        <v>925</v>
      </c>
      <c r="V103" t="s">
        <v>925</v>
      </c>
      <c r="W103" t="s">
        <v>925</v>
      </c>
      <c r="X103">
        <v>0</v>
      </c>
      <c r="Y103" t="s">
        <v>925</v>
      </c>
      <c r="Z103">
        <v>0</v>
      </c>
      <c r="AA103" t="s">
        <v>925</v>
      </c>
      <c r="AB103" t="s">
        <v>925</v>
      </c>
      <c r="AC103" t="s">
        <v>925</v>
      </c>
      <c r="AD103" t="s">
        <v>925</v>
      </c>
      <c r="AE103">
        <v>0</v>
      </c>
      <c r="AF103" t="s">
        <v>925</v>
      </c>
      <c r="AG103" t="s">
        <v>277</v>
      </c>
      <c r="AH103" t="s">
        <v>925</v>
      </c>
    </row>
    <row r="104" spans="1:34" x14ac:dyDescent="0.25">
      <c r="A104" s="702">
        <v>12.31</v>
      </c>
      <c r="B104" t="s">
        <v>653</v>
      </c>
      <c r="C104" t="s">
        <v>331</v>
      </c>
      <c r="D104" t="s">
        <v>477</v>
      </c>
      <c r="E104" t="s">
        <v>925</v>
      </c>
      <c r="F104" t="s">
        <v>925</v>
      </c>
      <c r="G104" t="s">
        <v>259</v>
      </c>
      <c r="H104" t="s">
        <v>910</v>
      </c>
      <c r="I104" t="s">
        <v>35</v>
      </c>
      <c r="J104" t="s">
        <v>925</v>
      </c>
      <c r="K104">
        <v>1</v>
      </c>
      <c r="L104">
        <v>1</v>
      </c>
      <c r="M104" t="s">
        <v>44</v>
      </c>
      <c r="N104">
        <v>1</v>
      </c>
      <c r="O104">
        <v>1</v>
      </c>
      <c r="P104">
        <v>1</v>
      </c>
      <c r="Q104" t="s">
        <v>32</v>
      </c>
      <c r="R104">
        <v>1</v>
      </c>
      <c r="S104">
        <v>1</v>
      </c>
      <c r="T104">
        <v>1</v>
      </c>
      <c r="U104" t="s">
        <v>925</v>
      </c>
      <c r="V104" t="s">
        <v>925</v>
      </c>
      <c r="W104" t="s">
        <v>925</v>
      </c>
      <c r="X104">
        <v>1</v>
      </c>
      <c r="Y104" t="s">
        <v>925</v>
      </c>
      <c r="Z104">
        <v>0</v>
      </c>
      <c r="AA104" t="s">
        <v>925</v>
      </c>
      <c r="AB104" t="s">
        <v>925</v>
      </c>
      <c r="AC104" t="s">
        <v>925</v>
      </c>
      <c r="AD104" t="s">
        <v>925</v>
      </c>
      <c r="AE104">
        <v>0</v>
      </c>
      <c r="AF104" t="s">
        <v>925</v>
      </c>
      <c r="AG104" t="s">
        <v>337</v>
      </c>
      <c r="AH104" t="s">
        <v>925</v>
      </c>
    </row>
    <row r="105" spans="1:34" x14ac:dyDescent="0.25">
      <c r="A105" s="702">
        <v>12.311</v>
      </c>
      <c r="B105" t="s">
        <v>654</v>
      </c>
      <c r="C105" t="s">
        <v>352</v>
      </c>
      <c r="D105" t="s">
        <v>483</v>
      </c>
      <c r="E105" t="s">
        <v>925</v>
      </c>
      <c r="F105" t="s">
        <v>925</v>
      </c>
      <c r="G105" t="s">
        <v>259</v>
      </c>
      <c r="H105" t="s">
        <v>415</v>
      </c>
      <c r="I105" t="s">
        <v>35</v>
      </c>
      <c r="J105" t="s">
        <v>925</v>
      </c>
      <c r="K105">
        <v>1</v>
      </c>
      <c r="L105">
        <v>1</v>
      </c>
      <c r="M105" t="s">
        <v>44</v>
      </c>
      <c r="N105">
        <v>1</v>
      </c>
      <c r="O105">
        <v>1</v>
      </c>
      <c r="P105">
        <v>1</v>
      </c>
      <c r="Q105" t="s">
        <v>43</v>
      </c>
      <c r="R105">
        <v>1</v>
      </c>
      <c r="S105">
        <v>1</v>
      </c>
      <c r="T105">
        <v>1</v>
      </c>
      <c r="U105" t="s">
        <v>925</v>
      </c>
      <c r="V105" t="s">
        <v>925</v>
      </c>
      <c r="W105" t="s">
        <v>925</v>
      </c>
      <c r="X105">
        <v>1</v>
      </c>
      <c r="Y105" t="s">
        <v>416</v>
      </c>
      <c r="Z105">
        <v>1</v>
      </c>
      <c r="AA105">
        <v>1</v>
      </c>
      <c r="AB105" t="s">
        <v>925</v>
      </c>
      <c r="AC105" t="s">
        <v>925</v>
      </c>
      <c r="AD105" t="s">
        <v>925</v>
      </c>
      <c r="AE105">
        <v>1</v>
      </c>
      <c r="AF105" t="s">
        <v>925</v>
      </c>
      <c r="AG105" t="s">
        <v>358</v>
      </c>
      <c r="AH105" t="s">
        <v>925</v>
      </c>
    </row>
    <row r="106" spans="1:34" x14ac:dyDescent="0.25">
      <c r="A106" s="702">
        <v>12.319000000000001</v>
      </c>
      <c r="B106" t="s">
        <v>657</v>
      </c>
      <c r="C106" t="s">
        <v>359</v>
      </c>
      <c r="D106" t="s">
        <v>477</v>
      </c>
      <c r="E106" t="s">
        <v>925</v>
      </c>
      <c r="F106" t="s">
        <v>925</v>
      </c>
      <c r="G106" t="s">
        <v>259</v>
      </c>
      <c r="H106" t="s">
        <v>418</v>
      </c>
      <c r="I106" t="s">
        <v>41</v>
      </c>
      <c r="J106" t="s">
        <v>925</v>
      </c>
      <c r="K106">
        <v>1</v>
      </c>
      <c r="L106">
        <v>1</v>
      </c>
      <c r="M106" t="s">
        <v>44</v>
      </c>
      <c r="N106">
        <v>1</v>
      </c>
      <c r="O106">
        <v>1</v>
      </c>
      <c r="P106">
        <v>1</v>
      </c>
      <c r="Q106" t="s">
        <v>32</v>
      </c>
      <c r="R106">
        <v>1</v>
      </c>
      <c r="S106">
        <v>0</v>
      </c>
      <c r="T106" t="s">
        <v>925</v>
      </c>
      <c r="U106" t="s">
        <v>925</v>
      </c>
      <c r="V106" t="s">
        <v>925</v>
      </c>
      <c r="W106" t="s">
        <v>925</v>
      </c>
      <c r="X106">
        <v>0</v>
      </c>
      <c r="Y106" t="s">
        <v>925</v>
      </c>
      <c r="Z106">
        <v>0</v>
      </c>
      <c r="AA106" t="s">
        <v>925</v>
      </c>
      <c r="AB106" t="s">
        <v>925</v>
      </c>
      <c r="AC106" t="s">
        <v>925</v>
      </c>
      <c r="AD106" t="s">
        <v>925</v>
      </c>
      <c r="AE106">
        <v>0</v>
      </c>
      <c r="AF106" t="s">
        <v>925</v>
      </c>
      <c r="AG106" t="s">
        <v>309</v>
      </c>
      <c r="AH106" t="s">
        <v>925</v>
      </c>
    </row>
    <row r="107" spans="1:34" x14ac:dyDescent="0.25">
      <c r="A107" s="702">
        <v>12.32</v>
      </c>
      <c r="B107" t="s">
        <v>658</v>
      </c>
      <c r="C107" t="s">
        <v>388</v>
      </c>
      <c r="D107" t="s">
        <v>477</v>
      </c>
      <c r="E107" t="s">
        <v>925</v>
      </c>
      <c r="F107" t="s">
        <v>925</v>
      </c>
      <c r="G107" t="s">
        <v>259</v>
      </c>
      <c r="H107" t="s">
        <v>419</v>
      </c>
      <c r="I107" t="s">
        <v>35</v>
      </c>
      <c r="J107" t="s">
        <v>925</v>
      </c>
      <c r="K107">
        <v>1</v>
      </c>
      <c r="L107">
        <v>1</v>
      </c>
      <c r="M107" t="s">
        <v>44</v>
      </c>
      <c r="N107">
        <v>1</v>
      </c>
      <c r="O107">
        <v>1</v>
      </c>
      <c r="P107">
        <v>1</v>
      </c>
      <c r="Q107" t="s">
        <v>32</v>
      </c>
      <c r="R107">
        <v>1</v>
      </c>
      <c r="S107">
        <v>0</v>
      </c>
      <c r="T107" t="s">
        <v>925</v>
      </c>
      <c r="U107" t="s">
        <v>925</v>
      </c>
      <c r="V107" t="s">
        <v>925</v>
      </c>
      <c r="W107" t="s">
        <v>925</v>
      </c>
      <c r="X107">
        <v>0</v>
      </c>
      <c r="Y107" t="s">
        <v>925</v>
      </c>
      <c r="Z107">
        <v>0</v>
      </c>
      <c r="AA107" t="s">
        <v>925</v>
      </c>
      <c r="AB107" t="s">
        <v>925</v>
      </c>
      <c r="AC107" t="s">
        <v>925</v>
      </c>
      <c r="AD107" t="s">
        <v>925</v>
      </c>
      <c r="AE107">
        <v>0</v>
      </c>
      <c r="AF107" t="s">
        <v>925</v>
      </c>
      <c r="AG107" t="s">
        <v>286</v>
      </c>
      <c r="AH107" t="s">
        <v>925</v>
      </c>
    </row>
    <row r="108" spans="1:34" x14ac:dyDescent="0.25">
      <c r="A108" s="702">
        <v>12.333</v>
      </c>
      <c r="B108" t="s">
        <v>664</v>
      </c>
      <c r="C108" t="s">
        <v>405</v>
      </c>
      <c r="D108" t="s">
        <v>479</v>
      </c>
      <c r="E108" t="s">
        <v>925</v>
      </c>
      <c r="F108" t="s">
        <v>925</v>
      </c>
      <c r="G108" t="s">
        <v>280</v>
      </c>
      <c r="H108" t="s">
        <v>960</v>
      </c>
      <c r="I108" t="s">
        <v>35</v>
      </c>
      <c r="J108" t="s">
        <v>925</v>
      </c>
      <c r="K108">
        <v>1</v>
      </c>
      <c r="L108">
        <v>4</v>
      </c>
      <c r="M108" t="s">
        <v>44</v>
      </c>
      <c r="N108">
        <v>1</v>
      </c>
      <c r="O108">
        <v>4</v>
      </c>
      <c r="P108">
        <v>1</v>
      </c>
      <c r="Q108" t="s">
        <v>32</v>
      </c>
      <c r="R108">
        <v>4</v>
      </c>
      <c r="S108">
        <v>4</v>
      </c>
      <c r="T108">
        <v>4</v>
      </c>
      <c r="U108" t="s">
        <v>925</v>
      </c>
      <c r="V108" t="s">
        <v>925</v>
      </c>
      <c r="W108" t="s">
        <v>925</v>
      </c>
      <c r="X108">
        <v>1</v>
      </c>
      <c r="Y108" t="s">
        <v>925</v>
      </c>
      <c r="Z108">
        <v>0</v>
      </c>
      <c r="AA108" t="s">
        <v>925</v>
      </c>
      <c r="AB108" t="s">
        <v>925</v>
      </c>
      <c r="AC108" t="s">
        <v>925</v>
      </c>
      <c r="AD108" t="s">
        <v>925</v>
      </c>
      <c r="AE108">
        <v>0</v>
      </c>
      <c r="AF108" t="s">
        <v>925</v>
      </c>
      <c r="AG108" t="s">
        <v>286</v>
      </c>
      <c r="AH108" t="s">
        <v>925</v>
      </c>
    </row>
    <row r="109" spans="1:34" x14ac:dyDescent="0.25">
      <c r="A109" s="702">
        <v>12.334</v>
      </c>
      <c r="B109" t="s">
        <v>665</v>
      </c>
      <c r="C109" t="s">
        <v>405</v>
      </c>
      <c r="D109" t="s">
        <v>478</v>
      </c>
      <c r="E109" t="s">
        <v>925</v>
      </c>
      <c r="F109" t="s">
        <v>925</v>
      </c>
      <c r="G109" t="s">
        <v>259</v>
      </c>
      <c r="H109" t="s">
        <v>906</v>
      </c>
      <c r="I109" t="s">
        <v>35</v>
      </c>
      <c r="J109" t="s">
        <v>925</v>
      </c>
      <c r="K109">
        <v>1</v>
      </c>
      <c r="L109">
        <v>2</v>
      </c>
      <c r="M109" t="s">
        <v>44</v>
      </c>
      <c r="N109">
        <v>1</v>
      </c>
      <c r="O109">
        <v>0</v>
      </c>
      <c r="P109">
        <v>0</v>
      </c>
      <c r="Q109" t="s">
        <v>32</v>
      </c>
      <c r="R109">
        <v>2</v>
      </c>
      <c r="S109">
        <v>0</v>
      </c>
      <c r="T109" t="s">
        <v>925</v>
      </c>
      <c r="U109" t="s">
        <v>925</v>
      </c>
      <c r="V109" t="s">
        <v>925</v>
      </c>
      <c r="W109" t="s">
        <v>925</v>
      </c>
      <c r="X109">
        <v>0</v>
      </c>
      <c r="Y109" t="s">
        <v>925</v>
      </c>
      <c r="Z109">
        <v>0</v>
      </c>
      <c r="AA109" t="s">
        <v>925</v>
      </c>
      <c r="AB109" t="s">
        <v>925</v>
      </c>
      <c r="AC109" t="s">
        <v>925</v>
      </c>
      <c r="AD109" t="s">
        <v>925</v>
      </c>
      <c r="AE109">
        <v>0</v>
      </c>
      <c r="AF109" t="s">
        <v>925</v>
      </c>
      <c r="AG109" t="s">
        <v>312</v>
      </c>
      <c r="AH109" t="s">
        <v>925</v>
      </c>
    </row>
    <row r="110" spans="1:34" x14ac:dyDescent="0.25">
      <c r="A110" s="702">
        <v>12.339</v>
      </c>
      <c r="B110" t="s">
        <v>667</v>
      </c>
      <c r="C110" t="s">
        <v>420</v>
      </c>
      <c r="D110" t="s">
        <v>478</v>
      </c>
      <c r="E110" t="s">
        <v>925</v>
      </c>
      <c r="F110" t="s">
        <v>925</v>
      </c>
      <c r="G110" t="s">
        <v>259</v>
      </c>
      <c r="H110" t="s">
        <v>898</v>
      </c>
      <c r="I110" t="s">
        <v>41</v>
      </c>
      <c r="J110" t="s">
        <v>899</v>
      </c>
      <c r="K110">
        <v>1</v>
      </c>
      <c r="L110">
        <v>1</v>
      </c>
      <c r="M110" t="s">
        <v>44</v>
      </c>
      <c r="N110">
        <v>1</v>
      </c>
      <c r="O110">
        <v>1</v>
      </c>
      <c r="P110">
        <v>1</v>
      </c>
      <c r="Q110" t="s">
        <v>50</v>
      </c>
      <c r="R110">
        <v>1</v>
      </c>
      <c r="S110">
        <v>1</v>
      </c>
      <c r="T110">
        <v>1</v>
      </c>
      <c r="U110" t="s">
        <v>925</v>
      </c>
      <c r="V110" t="s">
        <v>925</v>
      </c>
      <c r="W110" t="s">
        <v>925</v>
      </c>
      <c r="X110">
        <v>1</v>
      </c>
      <c r="Y110" t="s">
        <v>925</v>
      </c>
      <c r="Z110">
        <v>1</v>
      </c>
      <c r="AA110">
        <v>1</v>
      </c>
      <c r="AB110" t="s">
        <v>925</v>
      </c>
      <c r="AC110" t="s">
        <v>925</v>
      </c>
      <c r="AD110" t="s">
        <v>925</v>
      </c>
      <c r="AE110">
        <v>1</v>
      </c>
      <c r="AF110" t="s">
        <v>925</v>
      </c>
      <c r="AG110" t="s">
        <v>309</v>
      </c>
      <c r="AH110" t="s">
        <v>925</v>
      </c>
    </row>
    <row r="111" spans="1:34" x14ac:dyDescent="0.25">
      <c r="A111" s="702">
        <v>12.343</v>
      </c>
      <c r="B111" t="s">
        <v>670</v>
      </c>
      <c r="C111" t="s">
        <v>318</v>
      </c>
      <c r="D111" t="s">
        <v>478</v>
      </c>
      <c r="E111" t="s">
        <v>925</v>
      </c>
      <c r="F111" t="s">
        <v>925</v>
      </c>
      <c r="G111" t="s">
        <v>259</v>
      </c>
      <c r="H111" t="s">
        <v>964</v>
      </c>
      <c r="I111" t="s">
        <v>41</v>
      </c>
      <c r="J111" t="s">
        <v>925</v>
      </c>
      <c r="K111">
        <v>1</v>
      </c>
      <c r="L111">
        <v>1</v>
      </c>
      <c r="M111" t="s">
        <v>44</v>
      </c>
      <c r="N111">
        <v>1</v>
      </c>
      <c r="O111">
        <v>1</v>
      </c>
      <c r="P111">
        <v>1</v>
      </c>
      <c r="Q111" t="s">
        <v>32</v>
      </c>
      <c r="R111">
        <v>1</v>
      </c>
      <c r="S111">
        <v>1</v>
      </c>
      <c r="T111" t="s">
        <v>925</v>
      </c>
      <c r="U111" t="s">
        <v>925</v>
      </c>
      <c r="V111">
        <v>1</v>
      </c>
      <c r="W111" t="s">
        <v>925</v>
      </c>
      <c r="X111">
        <v>0</v>
      </c>
      <c r="Y111" t="s">
        <v>925</v>
      </c>
      <c r="Z111">
        <v>0</v>
      </c>
      <c r="AA111" t="s">
        <v>925</v>
      </c>
      <c r="AB111" t="s">
        <v>925</v>
      </c>
      <c r="AC111" t="s">
        <v>925</v>
      </c>
      <c r="AD111" t="s">
        <v>925</v>
      </c>
      <c r="AE111">
        <v>0</v>
      </c>
      <c r="AF111" t="s">
        <v>925</v>
      </c>
      <c r="AG111" t="s">
        <v>309</v>
      </c>
      <c r="AH111" t="s">
        <v>925</v>
      </c>
    </row>
    <row r="112" spans="1:34" x14ac:dyDescent="0.25">
      <c r="A112" s="702">
        <v>12.343999999999999</v>
      </c>
      <c r="B112" t="s">
        <v>671</v>
      </c>
      <c r="C112" t="s">
        <v>388</v>
      </c>
      <c r="D112" t="s">
        <v>477</v>
      </c>
      <c r="E112" t="s">
        <v>925</v>
      </c>
      <c r="F112" t="s">
        <v>925</v>
      </c>
      <c r="G112" t="s">
        <v>259</v>
      </c>
      <c r="H112" t="s">
        <v>421</v>
      </c>
      <c r="I112" t="s">
        <v>41</v>
      </c>
      <c r="J112" t="s">
        <v>925</v>
      </c>
      <c r="K112">
        <v>1</v>
      </c>
      <c r="L112">
        <v>2</v>
      </c>
      <c r="M112" t="s">
        <v>44</v>
      </c>
      <c r="N112">
        <v>1</v>
      </c>
      <c r="O112">
        <v>2</v>
      </c>
      <c r="P112">
        <v>1</v>
      </c>
      <c r="Q112" t="s">
        <v>32</v>
      </c>
      <c r="R112">
        <v>1</v>
      </c>
      <c r="S112">
        <v>0</v>
      </c>
      <c r="T112" t="s">
        <v>925</v>
      </c>
      <c r="U112" t="s">
        <v>925</v>
      </c>
      <c r="V112" t="s">
        <v>925</v>
      </c>
      <c r="W112" t="s">
        <v>925</v>
      </c>
      <c r="X112">
        <v>0</v>
      </c>
      <c r="Y112" t="s">
        <v>925</v>
      </c>
      <c r="Z112">
        <v>0</v>
      </c>
      <c r="AA112" t="s">
        <v>925</v>
      </c>
      <c r="AB112" t="s">
        <v>925</v>
      </c>
      <c r="AC112" t="s">
        <v>925</v>
      </c>
      <c r="AD112" t="s">
        <v>925</v>
      </c>
      <c r="AE112">
        <v>0</v>
      </c>
      <c r="AF112" t="s">
        <v>925</v>
      </c>
      <c r="AG112" t="s">
        <v>286</v>
      </c>
      <c r="AH112" t="s">
        <v>925</v>
      </c>
    </row>
    <row r="113" spans="1:34" x14ac:dyDescent="0.25">
      <c r="A113" s="702">
        <v>12.349</v>
      </c>
      <c r="B113" t="s">
        <v>672</v>
      </c>
      <c r="C113" t="s">
        <v>318</v>
      </c>
      <c r="D113" t="s">
        <v>479</v>
      </c>
      <c r="E113" t="s">
        <v>925</v>
      </c>
      <c r="F113" t="s">
        <v>925</v>
      </c>
      <c r="G113" t="s">
        <v>280</v>
      </c>
      <c r="H113" t="s">
        <v>965</v>
      </c>
      <c r="I113" t="s">
        <v>41</v>
      </c>
      <c r="J113" t="s">
        <v>925</v>
      </c>
      <c r="K113">
        <v>1</v>
      </c>
      <c r="L113">
        <v>2</v>
      </c>
      <c r="M113" t="s">
        <v>44</v>
      </c>
      <c r="N113">
        <v>1</v>
      </c>
      <c r="O113">
        <v>1.5</v>
      </c>
      <c r="P113">
        <v>0.75</v>
      </c>
      <c r="Q113" t="s">
        <v>32</v>
      </c>
      <c r="R113">
        <v>1</v>
      </c>
      <c r="S113">
        <v>1</v>
      </c>
      <c r="T113" t="s">
        <v>925</v>
      </c>
      <c r="U113" t="s">
        <v>925</v>
      </c>
      <c r="V113">
        <v>1</v>
      </c>
      <c r="W113" t="s">
        <v>925</v>
      </c>
      <c r="X113">
        <v>0</v>
      </c>
      <c r="Y113" t="s">
        <v>925</v>
      </c>
      <c r="Z113">
        <v>0</v>
      </c>
      <c r="AA113" t="s">
        <v>925</v>
      </c>
      <c r="AB113" t="s">
        <v>925</v>
      </c>
      <c r="AC113" t="s">
        <v>925</v>
      </c>
      <c r="AD113" t="s">
        <v>925</v>
      </c>
      <c r="AE113">
        <v>0</v>
      </c>
      <c r="AF113" t="s">
        <v>925</v>
      </c>
      <c r="AG113" t="s">
        <v>345</v>
      </c>
      <c r="AH113" t="s">
        <v>925</v>
      </c>
    </row>
    <row r="114" spans="1:34" x14ac:dyDescent="0.25">
      <c r="A114" s="702">
        <v>12.356</v>
      </c>
      <c r="B114" t="s">
        <v>673</v>
      </c>
      <c r="C114" t="s">
        <v>318</v>
      </c>
      <c r="D114" t="s">
        <v>479</v>
      </c>
      <c r="E114" t="s">
        <v>925</v>
      </c>
      <c r="F114" t="s">
        <v>925</v>
      </c>
      <c r="G114" t="s">
        <v>259</v>
      </c>
      <c r="H114" t="s">
        <v>422</v>
      </c>
      <c r="I114" t="s">
        <v>41</v>
      </c>
      <c r="J114" t="s">
        <v>925</v>
      </c>
      <c r="K114">
        <v>1</v>
      </c>
      <c r="L114">
        <v>1</v>
      </c>
      <c r="M114" t="s">
        <v>44</v>
      </c>
      <c r="N114">
        <v>1</v>
      </c>
      <c r="O114">
        <v>1</v>
      </c>
      <c r="P114">
        <v>1</v>
      </c>
      <c r="Q114" t="s">
        <v>43</v>
      </c>
      <c r="R114">
        <v>1</v>
      </c>
      <c r="S114">
        <v>1</v>
      </c>
      <c r="T114">
        <v>1</v>
      </c>
      <c r="U114" t="s">
        <v>925</v>
      </c>
      <c r="V114" t="s">
        <v>925</v>
      </c>
      <c r="W114" t="s">
        <v>925</v>
      </c>
      <c r="X114">
        <v>1</v>
      </c>
      <c r="Y114" t="s">
        <v>423</v>
      </c>
      <c r="Z114">
        <v>0</v>
      </c>
      <c r="AA114" t="s">
        <v>925</v>
      </c>
      <c r="AB114" t="s">
        <v>925</v>
      </c>
      <c r="AC114" t="s">
        <v>925</v>
      </c>
      <c r="AD114" t="s">
        <v>925</v>
      </c>
      <c r="AE114">
        <v>0</v>
      </c>
      <c r="AF114" t="s">
        <v>925</v>
      </c>
      <c r="AG114" t="s">
        <v>309</v>
      </c>
      <c r="AH114" t="s">
        <v>925</v>
      </c>
    </row>
    <row r="115" spans="1:34" x14ac:dyDescent="0.25">
      <c r="A115" s="702">
        <v>12.356999999999999</v>
      </c>
      <c r="B115" t="s">
        <v>674</v>
      </c>
      <c r="C115" t="s">
        <v>308</v>
      </c>
      <c r="D115" t="s">
        <v>479</v>
      </c>
      <c r="E115" t="s">
        <v>925</v>
      </c>
      <c r="F115" t="s">
        <v>925</v>
      </c>
      <c r="G115" t="s">
        <v>259</v>
      </c>
      <c r="H115" t="s">
        <v>966</v>
      </c>
      <c r="I115" t="s">
        <v>41</v>
      </c>
      <c r="J115" t="s">
        <v>925</v>
      </c>
      <c r="K115">
        <v>1</v>
      </c>
      <c r="L115">
        <v>1</v>
      </c>
      <c r="M115" t="s">
        <v>44</v>
      </c>
      <c r="N115">
        <v>1</v>
      </c>
      <c r="O115">
        <v>1</v>
      </c>
      <c r="P115">
        <v>1</v>
      </c>
      <c r="Q115" t="s">
        <v>32</v>
      </c>
      <c r="R115">
        <v>1</v>
      </c>
      <c r="S115">
        <v>1</v>
      </c>
      <c r="T115">
        <v>1</v>
      </c>
      <c r="U115" t="s">
        <v>925</v>
      </c>
      <c r="V115" t="s">
        <v>925</v>
      </c>
      <c r="W115" t="s">
        <v>925</v>
      </c>
      <c r="X115">
        <v>1</v>
      </c>
      <c r="Y115" t="s">
        <v>925</v>
      </c>
      <c r="Z115">
        <v>0</v>
      </c>
      <c r="AA115" t="s">
        <v>925</v>
      </c>
      <c r="AB115" t="s">
        <v>925</v>
      </c>
      <c r="AC115" t="s">
        <v>925</v>
      </c>
      <c r="AD115" t="s">
        <v>925</v>
      </c>
      <c r="AE115">
        <v>0</v>
      </c>
      <c r="AF115" t="s">
        <v>925</v>
      </c>
      <c r="AG115" t="s">
        <v>309</v>
      </c>
      <c r="AH115" t="s">
        <v>925</v>
      </c>
    </row>
    <row r="116" spans="1:34" x14ac:dyDescent="0.25">
      <c r="A116" s="702">
        <v>12.358000000000001</v>
      </c>
      <c r="B116" t="s">
        <v>675</v>
      </c>
      <c r="C116" t="s">
        <v>318</v>
      </c>
      <c r="D116" t="s">
        <v>479</v>
      </c>
      <c r="E116" t="s">
        <v>925</v>
      </c>
      <c r="F116" t="s">
        <v>925</v>
      </c>
      <c r="G116" t="s">
        <v>280</v>
      </c>
      <c r="H116" t="s">
        <v>967</v>
      </c>
      <c r="I116" t="s">
        <v>41</v>
      </c>
      <c r="J116" t="s">
        <v>925</v>
      </c>
      <c r="K116">
        <v>1</v>
      </c>
      <c r="L116">
        <v>1</v>
      </c>
      <c r="M116" t="s">
        <v>44</v>
      </c>
      <c r="N116">
        <v>1</v>
      </c>
      <c r="O116">
        <v>1</v>
      </c>
      <c r="P116">
        <v>1</v>
      </c>
      <c r="Q116" t="s">
        <v>43</v>
      </c>
      <c r="R116">
        <v>1</v>
      </c>
      <c r="S116">
        <v>1</v>
      </c>
      <c r="T116">
        <v>1</v>
      </c>
      <c r="U116" t="s">
        <v>925</v>
      </c>
      <c r="V116" t="s">
        <v>925</v>
      </c>
      <c r="W116" t="s">
        <v>925</v>
      </c>
      <c r="X116">
        <v>1</v>
      </c>
      <c r="Y116" t="s">
        <v>424</v>
      </c>
      <c r="Z116">
        <v>0</v>
      </c>
      <c r="AA116" t="s">
        <v>925</v>
      </c>
      <c r="AB116" t="s">
        <v>925</v>
      </c>
      <c r="AC116" t="s">
        <v>925</v>
      </c>
      <c r="AD116" t="s">
        <v>925</v>
      </c>
      <c r="AE116">
        <v>0</v>
      </c>
      <c r="AF116" t="s">
        <v>925</v>
      </c>
      <c r="AG116" t="s">
        <v>345</v>
      </c>
      <c r="AH116" t="s">
        <v>925</v>
      </c>
    </row>
    <row r="117" spans="1:34" x14ac:dyDescent="0.25">
      <c r="A117" s="702">
        <v>12.36</v>
      </c>
      <c r="B117" t="s">
        <v>676</v>
      </c>
      <c r="C117" t="s">
        <v>352</v>
      </c>
      <c r="D117" t="s">
        <v>483</v>
      </c>
      <c r="E117" t="s">
        <v>925</v>
      </c>
      <c r="F117" t="s">
        <v>925</v>
      </c>
      <c r="G117" t="s">
        <v>280</v>
      </c>
      <c r="H117" t="s">
        <v>425</v>
      </c>
      <c r="I117" t="s">
        <v>35</v>
      </c>
      <c r="J117" t="s">
        <v>925</v>
      </c>
      <c r="K117">
        <v>1</v>
      </c>
      <c r="L117">
        <v>2</v>
      </c>
      <c r="M117" t="s">
        <v>44</v>
      </c>
      <c r="N117">
        <v>1</v>
      </c>
      <c r="O117">
        <v>2</v>
      </c>
      <c r="P117">
        <v>1</v>
      </c>
      <c r="Q117" t="s">
        <v>32</v>
      </c>
      <c r="R117">
        <v>2</v>
      </c>
      <c r="S117">
        <v>2</v>
      </c>
      <c r="T117">
        <v>2</v>
      </c>
      <c r="U117" t="s">
        <v>925</v>
      </c>
      <c r="V117" t="s">
        <v>925</v>
      </c>
      <c r="W117" t="s">
        <v>925</v>
      </c>
      <c r="X117">
        <v>1</v>
      </c>
      <c r="Y117" t="s">
        <v>426</v>
      </c>
      <c r="Z117">
        <v>2</v>
      </c>
      <c r="AA117">
        <v>2</v>
      </c>
      <c r="AB117" t="s">
        <v>925</v>
      </c>
      <c r="AC117" t="s">
        <v>925</v>
      </c>
      <c r="AD117" t="s">
        <v>925</v>
      </c>
      <c r="AE117">
        <v>1</v>
      </c>
      <c r="AF117" t="s">
        <v>925</v>
      </c>
      <c r="AG117" t="s">
        <v>286</v>
      </c>
      <c r="AH117" t="s">
        <v>925</v>
      </c>
    </row>
    <row r="118" spans="1:34" x14ac:dyDescent="0.25">
      <c r="A118" s="702">
        <v>12.361000000000001</v>
      </c>
      <c r="B118" t="s">
        <v>677</v>
      </c>
      <c r="C118" t="s">
        <v>352</v>
      </c>
      <c r="D118" t="s">
        <v>483</v>
      </c>
      <c r="E118" t="s">
        <v>925</v>
      </c>
      <c r="F118" t="s">
        <v>925</v>
      </c>
      <c r="G118" t="s">
        <v>280</v>
      </c>
      <c r="H118" t="s">
        <v>968</v>
      </c>
      <c r="I118" t="s">
        <v>41</v>
      </c>
      <c r="J118" t="s">
        <v>896</v>
      </c>
      <c r="K118">
        <v>2</v>
      </c>
      <c r="L118">
        <v>2</v>
      </c>
      <c r="M118" t="s">
        <v>44</v>
      </c>
      <c r="N118">
        <v>1</v>
      </c>
      <c r="O118">
        <v>2</v>
      </c>
      <c r="P118">
        <v>1</v>
      </c>
      <c r="Q118" t="s">
        <v>43</v>
      </c>
      <c r="R118">
        <v>1</v>
      </c>
      <c r="S118">
        <v>1</v>
      </c>
      <c r="T118">
        <v>1</v>
      </c>
      <c r="U118" t="s">
        <v>925</v>
      </c>
      <c r="V118" t="s">
        <v>925</v>
      </c>
      <c r="W118" t="s">
        <v>925</v>
      </c>
      <c r="X118">
        <v>1</v>
      </c>
      <c r="Y118" t="s">
        <v>427</v>
      </c>
      <c r="Z118">
        <v>2</v>
      </c>
      <c r="AA118">
        <v>2</v>
      </c>
      <c r="AB118" t="s">
        <v>925</v>
      </c>
      <c r="AC118" t="s">
        <v>925</v>
      </c>
      <c r="AD118" t="s">
        <v>925</v>
      </c>
      <c r="AE118">
        <v>1</v>
      </c>
      <c r="AF118" t="s">
        <v>925</v>
      </c>
      <c r="AG118" t="s">
        <v>345</v>
      </c>
      <c r="AH118" t="s">
        <v>925</v>
      </c>
    </row>
    <row r="119" spans="1:34" x14ac:dyDescent="0.25">
      <c r="A119" s="702">
        <v>12.37</v>
      </c>
      <c r="B119" t="s">
        <v>679</v>
      </c>
      <c r="C119" t="s">
        <v>352</v>
      </c>
      <c r="D119" t="s">
        <v>483</v>
      </c>
      <c r="E119" t="s">
        <v>925</v>
      </c>
      <c r="F119" t="s">
        <v>925</v>
      </c>
      <c r="G119" t="s">
        <v>280</v>
      </c>
      <c r="H119" t="s">
        <v>429</v>
      </c>
      <c r="I119" t="s">
        <v>35</v>
      </c>
      <c r="J119" t="s">
        <v>925</v>
      </c>
      <c r="K119">
        <v>1</v>
      </c>
      <c r="L119">
        <v>1</v>
      </c>
      <c r="M119" t="s">
        <v>44</v>
      </c>
      <c r="N119">
        <v>1</v>
      </c>
      <c r="O119">
        <v>1</v>
      </c>
      <c r="P119">
        <v>1</v>
      </c>
      <c r="Q119" t="s">
        <v>32</v>
      </c>
      <c r="R119">
        <v>1</v>
      </c>
      <c r="S119">
        <v>1</v>
      </c>
      <c r="T119">
        <v>1</v>
      </c>
      <c r="U119" t="s">
        <v>925</v>
      </c>
      <c r="V119" t="s">
        <v>925</v>
      </c>
      <c r="W119" t="s">
        <v>925</v>
      </c>
      <c r="X119">
        <v>1</v>
      </c>
      <c r="Y119" t="s">
        <v>430</v>
      </c>
      <c r="Z119">
        <v>1</v>
      </c>
      <c r="AA119">
        <v>1</v>
      </c>
      <c r="AB119" t="s">
        <v>925</v>
      </c>
      <c r="AC119" t="s">
        <v>925</v>
      </c>
      <c r="AD119" t="s">
        <v>925</v>
      </c>
      <c r="AE119">
        <v>1</v>
      </c>
      <c r="AF119" t="s">
        <v>925</v>
      </c>
      <c r="AG119" t="s">
        <v>286</v>
      </c>
      <c r="AH119" t="s">
        <v>925</v>
      </c>
    </row>
    <row r="120" spans="1:34" x14ac:dyDescent="0.25">
      <c r="A120" s="702">
        <v>12.372999999999999</v>
      </c>
      <c r="B120" t="s">
        <v>680</v>
      </c>
      <c r="C120" t="s">
        <v>313</v>
      </c>
      <c r="D120" t="s">
        <v>480</v>
      </c>
      <c r="E120" t="s">
        <v>925</v>
      </c>
      <c r="F120" t="s">
        <v>925</v>
      </c>
      <c r="G120" t="s">
        <v>259</v>
      </c>
      <c r="H120" t="s">
        <v>895</v>
      </c>
      <c r="I120" t="s">
        <v>41</v>
      </c>
      <c r="J120" t="s">
        <v>925</v>
      </c>
      <c r="K120">
        <v>1</v>
      </c>
      <c r="L120">
        <v>4</v>
      </c>
      <c r="M120" t="s">
        <v>44</v>
      </c>
      <c r="N120">
        <v>1</v>
      </c>
      <c r="O120">
        <v>4</v>
      </c>
      <c r="P120">
        <v>1</v>
      </c>
      <c r="Q120" t="s">
        <v>32</v>
      </c>
      <c r="R120">
        <v>4</v>
      </c>
      <c r="S120">
        <v>4</v>
      </c>
      <c r="T120">
        <v>3</v>
      </c>
      <c r="U120" t="s">
        <v>925</v>
      </c>
      <c r="V120">
        <v>1</v>
      </c>
      <c r="W120" t="s">
        <v>925</v>
      </c>
      <c r="X120">
        <v>0.75</v>
      </c>
      <c r="Y120" t="s">
        <v>925</v>
      </c>
      <c r="Z120">
        <v>4</v>
      </c>
      <c r="AA120">
        <v>4</v>
      </c>
      <c r="AB120" t="s">
        <v>925</v>
      </c>
      <c r="AC120" t="s">
        <v>925</v>
      </c>
      <c r="AD120" t="s">
        <v>925</v>
      </c>
      <c r="AE120">
        <v>1</v>
      </c>
      <c r="AF120" t="s">
        <v>925</v>
      </c>
      <c r="AG120" t="s">
        <v>312</v>
      </c>
      <c r="AH120" t="s">
        <v>925</v>
      </c>
    </row>
    <row r="121" spans="1:34" x14ac:dyDescent="0.25">
      <c r="A121" s="702">
        <v>12.412000000000001</v>
      </c>
      <c r="B121" t="s">
        <v>702</v>
      </c>
      <c r="C121" t="s">
        <v>320</v>
      </c>
      <c r="D121" t="s">
        <v>477</v>
      </c>
      <c r="E121" t="s">
        <v>925</v>
      </c>
      <c r="F121" t="s">
        <v>925</v>
      </c>
      <c r="G121" t="s">
        <v>259</v>
      </c>
      <c r="H121" t="s">
        <v>969</v>
      </c>
      <c r="I121" t="s">
        <v>41</v>
      </c>
      <c r="J121" t="s">
        <v>925</v>
      </c>
      <c r="K121">
        <v>1</v>
      </c>
      <c r="L121">
        <v>2</v>
      </c>
      <c r="M121" t="s">
        <v>44</v>
      </c>
      <c r="N121">
        <v>1</v>
      </c>
      <c r="O121">
        <v>2</v>
      </c>
      <c r="P121">
        <v>1</v>
      </c>
      <c r="Q121" t="s">
        <v>32</v>
      </c>
      <c r="R121">
        <v>2</v>
      </c>
      <c r="S121">
        <v>2</v>
      </c>
      <c r="T121">
        <v>2</v>
      </c>
      <c r="U121" t="s">
        <v>925</v>
      </c>
      <c r="V121" t="s">
        <v>925</v>
      </c>
      <c r="W121" t="s">
        <v>925</v>
      </c>
      <c r="X121">
        <v>1</v>
      </c>
      <c r="Y121" t="s">
        <v>436</v>
      </c>
      <c r="Z121">
        <v>0</v>
      </c>
      <c r="AA121" t="s">
        <v>925</v>
      </c>
      <c r="AB121" t="s">
        <v>925</v>
      </c>
      <c r="AC121" t="s">
        <v>925</v>
      </c>
      <c r="AD121" t="s">
        <v>925</v>
      </c>
      <c r="AE121">
        <v>0</v>
      </c>
      <c r="AF121" t="s">
        <v>925</v>
      </c>
      <c r="AG121" t="s">
        <v>309</v>
      </c>
      <c r="AH121" t="s">
        <v>925</v>
      </c>
    </row>
    <row r="122" spans="1:34" x14ac:dyDescent="0.25">
      <c r="A122" s="702">
        <v>12.42</v>
      </c>
      <c r="B122" t="s">
        <v>708</v>
      </c>
      <c r="C122" t="s">
        <v>439</v>
      </c>
      <c r="D122" t="s">
        <v>484</v>
      </c>
      <c r="E122" t="s">
        <v>925</v>
      </c>
      <c r="F122" t="s">
        <v>925</v>
      </c>
      <c r="G122" t="s">
        <v>280</v>
      </c>
      <c r="H122" t="s">
        <v>440</v>
      </c>
      <c r="I122" t="s">
        <v>35</v>
      </c>
      <c r="J122" t="s">
        <v>925</v>
      </c>
      <c r="K122">
        <v>1</v>
      </c>
      <c r="L122">
        <v>1</v>
      </c>
      <c r="M122" t="s">
        <v>44</v>
      </c>
      <c r="N122">
        <v>1</v>
      </c>
      <c r="O122">
        <v>1</v>
      </c>
      <c r="P122">
        <v>1</v>
      </c>
      <c r="Q122" t="s">
        <v>32</v>
      </c>
      <c r="R122">
        <v>1</v>
      </c>
      <c r="S122">
        <v>0</v>
      </c>
      <c r="T122" t="s">
        <v>925</v>
      </c>
      <c r="U122" t="s">
        <v>925</v>
      </c>
      <c r="V122" t="s">
        <v>925</v>
      </c>
      <c r="W122" t="s">
        <v>925</v>
      </c>
      <c r="X122">
        <v>0</v>
      </c>
      <c r="Y122" t="s">
        <v>925</v>
      </c>
      <c r="Z122">
        <v>0</v>
      </c>
      <c r="AA122" t="s">
        <v>925</v>
      </c>
      <c r="AB122" t="s">
        <v>925</v>
      </c>
      <c r="AC122" t="s">
        <v>925</v>
      </c>
      <c r="AD122" t="s">
        <v>925</v>
      </c>
      <c r="AE122">
        <v>0</v>
      </c>
      <c r="AF122" t="s">
        <v>925</v>
      </c>
      <c r="AG122" t="s">
        <v>277</v>
      </c>
      <c r="AH122" t="s">
        <v>925</v>
      </c>
    </row>
    <row r="123" spans="1:34" x14ac:dyDescent="0.25">
      <c r="A123" s="702">
        <v>12.429</v>
      </c>
      <c r="B123" t="s">
        <v>713</v>
      </c>
      <c r="C123" t="s">
        <v>329</v>
      </c>
      <c r="D123" t="s">
        <v>485</v>
      </c>
      <c r="E123" t="s">
        <v>925</v>
      </c>
      <c r="F123" t="s">
        <v>925</v>
      </c>
      <c r="G123" t="s">
        <v>259</v>
      </c>
      <c r="H123" t="s">
        <v>911</v>
      </c>
      <c r="I123" t="s">
        <v>442</v>
      </c>
      <c r="J123" t="s">
        <v>925</v>
      </c>
      <c r="K123">
        <v>1</v>
      </c>
      <c r="L123">
        <v>1</v>
      </c>
      <c r="M123" t="s">
        <v>44</v>
      </c>
      <c r="N123">
        <v>1</v>
      </c>
      <c r="O123">
        <v>1</v>
      </c>
      <c r="P123">
        <v>1</v>
      </c>
      <c r="Q123" t="s">
        <v>43</v>
      </c>
      <c r="R123">
        <v>1</v>
      </c>
      <c r="S123">
        <v>1</v>
      </c>
      <c r="T123">
        <v>1</v>
      </c>
      <c r="U123" t="s">
        <v>925</v>
      </c>
      <c r="V123" t="s">
        <v>925</v>
      </c>
      <c r="W123" t="s">
        <v>925</v>
      </c>
      <c r="X123">
        <v>1</v>
      </c>
      <c r="Y123" t="s">
        <v>443</v>
      </c>
      <c r="Z123">
        <v>0</v>
      </c>
      <c r="AA123" t="s">
        <v>925</v>
      </c>
      <c r="AB123" t="s">
        <v>925</v>
      </c>
      <c r="AC123" t="s">
        <v>925</v>
      </c>
      <c r="AD123" t="s">
        <v>925</v>
      </c>
      <c r="AE123">
        <v>0</v>
      </c>
      <c r="AF123" t="s">
        <v>925</v>
      </c>
      <c r="AG123" t="s">
        <v>309</v>
      </c>
      <c r="AH123" t="s">
        <v>925</v>
      </c>
    </row>
    <row r="124" spans="1:34" x14ac:dyDescent="0.25">
      <c r="A124" s="702">
        <v>12.43</v>
      </c>
      <c r="B124" t="s">
        <v>714</v>
      </c>
      <c r="C124" t="s">
        <v>444</v>
      </c>
      <c r="D124" t="s">
        <v>485</v>
      </c>
      <c r="E124" t="s">
        <v>925</v>
      </c>
      <c r="F124" t="s">
        <v>925</v>
      </c>
      <c r="G124" t="s">
        <v>259</v>
      </c>
      <c r="H124" t="s">
        <v>445</v>
      </c>
      <c r="I124" t="s">
        <v>41</v>
      </c>
      <c r="J124" t="s">
        <v>925</v>
      </c>
      <c r="K124">
        <v>1</v>
      </c>
      <c r="L124">
        <v>2</v>
      </c>
      <c r="M124" t="s">
        <v>44</v>
      </c>
      <c r="N124">
        <v>1</v>
      </c>
      <c r="O124">
        <v>2</v>
      </c>
      <c r="P124">
        <v>1</v>
      </c>
      <c r="Q124" t="s">
        <v>43</v>
      </c>
      <c r="R124">
        <v>2</v>
      </c>
      <c r="S124">
        <v>2</v>
      </c>
      <c r="T124">
        <v>2</v>
      </c>
      <c r="U124" t="s">
        <v>925</v>
      </c>
      <c r="V124" t="s">
        <v>925</v>
      </c>
      <c r="W124" t="s">
        <v>925</v>
      </c>
      <c r="X124">
        <v>1</v>
      </c>
      <c r="Y124" t="s">
        <v>925</v>
      </c>
      <c r="Z124">
        <v>0</v>
      </c>
      <c r="AA124" t="s">
        <v>925</v>
      </c>
      <c r="AB124" t="s">
        <v>925</v>
      </c>
      <c r="AC124" t="s">
        <v>925</v>
      </c>
      <c r="AD124" t="s">
        <v>925</v>
      </c>
      <c r="AE124">
        <v>0</v>
      </c>
      <c r="AF124" t="s">
        <v>925</v>
      </c>
      <c r="AG124" t="s">
        <v>312</v>
      </c>
      <c r="AH124" t="s">
        <v>925</v>
      </c>
    </row>
    <row r="125" spans="1:34" x14ac:dyDescent="0.25">
      <c r="A125" s="702">
        <v>12.439</v>
      </c>
      <c r="B125" t="s">
        <v>716</v>
      </c>
      <c r="C125" t="s">
        <v>447</v>
      </c>
      <c r="D125" t="s">
        <v>478</v>
      </c>
      <c r="E125" t="s">
        <v>925</v>
      </c>
      <c r="F125" t="s">
        <v>925</v>
      </c>
      <c r="G125" t="s">
        <v>280</v>
      </c>
      <c r="H125" t="s">
        <v>448</v>
      </c>
      <c r="I125" t="s">
        <v>41</v>
      </c>
      <c r="J125" t="s">
        <v>925</v>
      </c>
      <c r="K125">
        <v>1</v>
      </c>
      <c r="L125">
        <v>1</v>
      </c>
      <c r="M125" t="s">
        <v>44</v>
      </c>
      <c r="N125">
        <v>1</v>
      </c>
      <c r="O125">
        <v>1</v>
      </c>
      <c r="P125">
        <v>1</v>
      </c>
      <c r="Q125" t="s">
        <v>32</v>
      </c>
      <c r="R125">
        <v>1</v>
      </c>
      <c r="S125">
        <v>0</v>
      </c>
      <c r="T125" t="s">
        <v>925</v>
      </c>
      <c r="U125" t="s">
        <v>925</v>
      </c>
      <c r="V125" t="s">
        <v>925</v>
      </c>
      <c r="W125" t="s">
        <v>925</v>
      </c>
      <c r="X125">
        <v>0</v>
      </c>
      <c r="Y125" t="s">
        <v>925</v>
      </c>
      <c r="Z125">
        <v>0</v>
      </c>
      <c r="AA125" t="s">
        <v>925</v>
      </c>
      <c r="AB125" t="s">
        <v>925</v>
      </c>
      <c r="AC125" t="s">
        <v>925</v>
      </c>
      <c r="AD125" t="s">
        <v>925</v>
      </c>
      <c r="AE125">
        <v>0</v>
      </c>
      <c r="AF125" t="s">
        <v>925</v>
      </c>
      <c r="AG125" t="s">
        <v>345</v>
      </c>
      <c r="AH125" t="s">
        <v>925</v>
      </c>
    </row>
    <row r="126" spans="1:34" x14ac:dyDescent="0.25">
      <c r="A126" s="702">
        <v>12.444000000000001</v>
      </c>
      <c r="B126" t="s">
        <v>720</v>
      </c>
      <c r="C126" t="s">
        <v>329</v>
      </c>
      <c r="D126" t="s">
        <v>485</v>
      </c>
      <c r="E126" t="s">
        <v>925</v>
      </c>
      <c r="F126" t="s">
        <v>925</v>
      </c>
      <c r="G126" t="s">
        <v>280</v>
      </c>
      <c r="H126" t="s">
        <v>912</v>
      </c>
      <c r="I126" t="s">
        <v>41</v>
      </c>
      <c r="J126" t="s">
        <v>925</v>
      </c>
      <c r="K126">
        <v>1</v>
      </c>
      <c r="L126">
        <v>4</v>
      </c>
      <c r="M126" t="s">
        <v>44</v>
      </c>
      <c r="N126">
        <v>1</v>
      </c>
      <c r="O126">
        <v>4</v>
      </c>
      <c r="P126">
        <v>1</v>
      </c>
      <c r="Q126" t="s">
        <v>43</v>
      </c>
      <c r="R126">
        <v>4</v>
      </c>
      <c r="S126">
        <v>4</v>
      </c>
      <c r="T126">
        <v>4</v>
      </c>
      <c r="U126" t="s">
        <v>925</v>
      </c>
      <c r="V126" t="s">
        <v>925</v>
      </c>
      <c r="W126" t="s">
        <v>925</v>
      </c>
      <c r="X126">
        <v>1</v>
      </c>
      <c r="Y126" t="s">
        <v>925</v>
      </c>
      <c r="Z126">
        <v>0</v>
      </c>
      <c r="AA126" t="s">
        <v>925</v>
      </c>
      <c r="AB126" t="s">
        <v>925</v>
      </c>
      <c r="AC126" t="s">
        <v>925</v>
      </c>
      <c r="AD126" t="s">
        <v>925</v>
      </c>
      <c r="AE126">
        <v>0</v>
      </c>
      <c r="AF126" t="s">
        <v>925</v>
      </c>
      <c r="AG126" t="s">
        <v>345</v>
      </c>
      <c r="AH126" t="s">
        <v>925</v>
      </c>
    </row>
    <row r="127" spans="1:34" x14ac:dyDescent="0.25">
      <c r="A127" s="702">
        <v>12.445</v>
      </c>
      <c r="B127" t="s">
        <v>721</v>
      </c>
      <c r="C127" t="s">
        <v>352</v>
      </c>
      <c r="D127" t="s">
        <v>483</v>
      </c>
      <c r="E127" t="s">
        <v>925</v>
      </c>
      <c r="F127" t="s">
        <v>925</v>
      </c>
      <c r="G127" t="s">
        <v>280</v>
      </c>
      <c r="H127" t="s">
        <v>450</v>
      </c>
      <c r="I127" t="s">
        <v>41</v>
      </c>
      <c r="J127" t="s">
        <v>451</v>
      </c>
      <c r="K127">
        <v>1</v>
      </c>
      <c r="L127">
        <v>4</v>
      </c>
      <c r="M127" t="s">
        <v>44</v>
      </c>
      <c r="N127">
        <v>1</v>
      </c>
      <c r="O127">
        <v>4</v>
      </c>
      <c r="P127">
        <v>1</v>
      </c>
      <c r="Q127" t="s">
        <v>43</v>
      </c>
      <c r="R127">
        <v>4</v>
      </c>
      <c r="S127">
        <v>4</v>
      </c>
      <c r="T127">
        <v>4</v>
      </c>
      <c r="U127" t="s">
        <v>925</v>
      </c>
      <c r="V127" t="s">
        <v>925</v>
      </c>
      <c r="W127" t="s">
        <v>925</v>
      </c>
      <c r="X127">
        <v>1</v>
      </c>
      <c r="Y127" t="s">
        <v>427</v>
      </c>
      <c r="Z127">
        <v>4</v>
      </c>
      <c r="AA127">
        <v>4</v>
      </c>
      <c r="AB127" t="s">
        <v>925</v>
      </c>
      <c r="AC127" t="s">
        <v>925</v>
      </c>
      <c r="AD127" t="s">
        <v>925</v>
      </c>
      <c r="AE127">
        <v>1</v>
      </c>
      <c r="AF127" t="s">
        <v>925</v>
      </c>
      <c r="AG127" t="s">
        <v>345</v>
      </c>
      <c r="AH127" t="s">
        <v>925</v>
      </c>
    </row>
    <row r="128" spans="1:34" x14ac:dyDescent="0.25">
      <c r="A128" s="702">
        <v>12.448</v>
      </c>
      <c r="B128" t="s">
        <v>724</v>
      </c>
      <c r="C128" t="s">
        <v>444</v>
      </c>
      <c r="D128" t="s">
        <v>485</v>
      </c>
      <c r="E128" t="s">
        <v>925</v>
      </c>
      <c r="F128" t="s">
        <v>925</v>
      </c>
      <c r="G128" t="s">
        <v>280</v>
      </c>
      <c r="H128" t="s">
        <v>452</v>
      </c>
      <c r="I128" t="s">
        <v>41</v>
      </c>
      <c r="J128" t="s">
        <v>925</v>
      </c>
      <c r="K128">
        <v>1</v>
      </c>
      <c r="L128">
        <v>1</v>
      </c>
      <c r="M128" t="s">
        <v>44</v>
      </c>
      <c r="N128">
        <v>1</v>
      </c>
      <c r="O128">
        <v>1</v>
      </c>
      <c r="P128">
        <v>1</v>
      </c>
      <c r="Q128" t="s">
        <v>43</v>
      </c>
      <c r="R128">
        <v>1</v>
      </c>
      <c r="S128">
        <v>1</v>
      </c>
      <c r="T128">
        <v>1</v>
      </c>
      <c r="U128" t="s">
        <v>925</v>
      </c>
      <c r="V128" t="s">
        <v>925</v>
      </c>
      <c r="W128" t="s">
        <v>925</v>
      </c>
      <c r="X128">
        <v>1</v>
      </c>
      <c r="Y128" t="s">
        <v>925</v>
      </c>
      <c r="Z128">
        <v>0</v>
      </c>
      <c r="AA128" t="s">
        <v>925</v>
      </c>
      <c r="AB128" t="s">
        <v>925</v>
      </c>
      <c r="AC128" t="s">
        <v>925</v>
      </c>
      <c r="AD128" t="s">
        <v>925</v>
      </c>
      <c r="AE128">
        <v>0</v>
      </c>
      <c r="AF128" t="s">
        <v>925</v>
      </c>
      <c r="AG128" t="s">
        <v>345</v>
      </c>
      <c r="AH128" t="s">
        <v>925</v>
      </c>
    </row>
    <row r="129" spans="1:34" x14ac:dyDescent="0.25">
      <c r="A129" s="702">
        <v>12.449</v>
      </c>
      <c r="B129" t="s">
        <v>725</v>
      </c>
      <c r="C129" t="s">
        <v>444</v>
      </c>
      <c r="D129" t="s">
        <v>485</v>
      </c>
      <c r="E129" t="s">
        <v>925</v>
      </c>
      <c r="F129" t="s">
        <v>925</v>
      </c>
      <c r="G129" t="s">
        <v>259</v>
      </c>
      <c r="H129" t="s">
        <v>453</v>
      </c>
      <c r="I129" t="s">
        <v>41</v>
      </c>
      <c r="J129" t="s">
        <v>925</v>
      </c>
      <c r="K129">
        <v>1</v>
      </c>
      <c r="L129">
        <v>2</v>
      </c>
      <c r="M129" t="s">
        <v>44</v>
      </c>
      <c r="N129">
        <v>1</v>
      </c>
      <c r="O129">
        <v>2</v>
      </c>
      <c r="P129">
        <v>1</v>
      </c>
      <c r="Q129" t="s">
        <v>43</v>
      </c>
      <c r="R129">
        <v>2</v>
      </c>
      <c r="S129">
        <v>2</v>
      </c>
      <c r="T129">
        <v>2</v>
      </c>
      <c r="U129" t="s">
        <v>925</v>
      </c>
      <c r="V129" t="s">
        <v>925</v>
      </c>
      <c r="W129" t="s">
        <v>925</v>
      </c>
      <c r="X129">
        <v>1</v>
      </c>
      <c r="Y129" t="s">
        <v>925</v>
      </c>
      <c r="Z129">
        <v>0</v>
      </c>
      <c r="AA129" t="s">
        <v>925</v>
      </c>
      <c r="AB129" t="s">
        <v>925</v>
      </c>
      <c r="AC129" t="s">
        <v>925</v>
      </c>
      <c r="AD129" t="s">
        <v>925</v>
      </c>
      <c r="AE129">
        <v>0</v>
      </c>
      <c r="AF129" t="s">
        <v>925</v>
      </c>
      <c r="AG129" t="s">
        <v>286</v>
      </c>
      <c r="AH129" t="s">
        <v>925</v>
      </c>
    </row>
    <row r="130" spans="1:34" ht="35.25" customHeight="1" x14ac:dyDescent="0.25">
      <c r="A130" s="702">
        <v>12.45</v>
      </c>
      <c r="B130" t="s">
        <v>726</v>
      </c>
      <c r="C130" t="s">
        <v>352</v>
      </c>
      <c r="D130" t="s">
        <v>483</v>
      </c>
      <c r="E130" t="s">
        <v>925</v>
      </c>
      <c r="F130" t="s">
        <v>925</v>
      </c>
      <c r="G130" t="s">
        <v>280</v>
      </c>
      <c r="H130" t="s">
        <v>454</v>
      </c>
      <c r="I130" t="s">
        <v>41</v>
      </c>
      <c r="J130" t="s">
        <v>925</v>
      </c>
      <c r="K130">
        <v>1</v>
      </c>
      <c r="L130">
        <v>4</v>
      </c>
      <c r="M130" t="s">
        <v>44</v>
      </c>
      <c r="N130">
        <v>1</v>
      </c>
      <c r="O130">
        <v>4</v>
      </c>
      <c r="P130">
        <v>1</v>
      </c>
      <c r="Q130" t="s">
        <v>43</v>
      </c>
      <c r="R130">
        <v>4</v>
      </c>
      <c r="S130">
        <v>4</v>
      </c>
      <c r="T130">
        <v>4</v>
      </c>
      <c r="U130" t="s">
        <v>925</v>
      </c>
      <c r="V130" t="s">
        <v>925</v>
      </c>
      <c r="W130" t="s">
        <v>925</v>
      </c>
      <c r="X130">
        <v>1</v>
      </c>
      <c r="Y130" t="s">
        <v>455</v>
      </c>
      <c r="Z130">
        <v>4</v>
      </c>
      <c r="AA130">
        <v>4</v>
      </c>
      <c r="AB130" t="s">
        <v>925</v>
      </c>
      <c r="AC130" t="s">
        <v>925</v>
      </c>
      <c r="AD130" t="s">
        <v>925</v>
      </c>
      <c r="AE130">
        <v>1</v>
      </c>
      <c r="AF130" t="s">
        <v>925</v>
      </c>
      <c r="AG130" t="s">
        <v>277</v>
      </c>
      <c r="AH130" t="s">
        <v>925</v>
      </c>
    </row>
    <row r="131" spans="1:34" x14ac:dyDescent="0.25">
      <c r="A131" s="702">
        <v>12.451000000000001</v>
      </c>
      <c r="B131" t="s">
        <v>727</v>
      </c>
      <c r="C131" t="s">
        <v>329</v>
      </c>
      <c r="D131" t="s">
        <v>485</v>
      </c>
      <c r="E131" t="s">
        <v>925</v>
      </c>
      <c r="F131" t="s">
        <v>925</v>
      </c>
      <c r="G131" t="s">
        <v>259</v>
      </c>
      <c r="H131" t="s">
        <v>913</v>
      </c>
      <c r="I131" t="s">
        <v>41</v>
      </c>
      <c r="J131" t="s">
        <v>925</v>
      </c>
      <c r="K131">
        <v>1</v>
      </c>
      <c r="L131">
        <v>2</v>
      </c>
      <c r="M131" t="s">
        <v>44</v>
      </c>
      <c r="N131">
        <v>1</v>
      </c>
      <c r="O131">
        <v>2</v>
      </c>
      <c r="P131">
        <v>1</v>
      </c>
      <c r="Q131" t="s">
        <v>43</v>
      </c>
      <c r="R131">
        <v>2</v>
      </c>
      <c r="S131">
        <v>2</v>
      </c>
      <c r="T131">
        <v>2</v>
      </c>
      <c r="U131" t="s">
        <v>925</v>
      </c>
      <c r="V131" t="s">
        <v>925</v>
      </c>
      <c r="W131" t="s">
        <v>925</v>
      </c>
      <c r="X131">
        <v>1</v>
      </c>
      <c r="Y131" t="s">
        <v>456</v>
      </c>
      <c r="Z131">
        <v>0</v>
      </c>
      <c r="AA131" t="s">
        <v>925</v>
      </c>
      <c r="AB131" t="s">
        <v>925</v>
      </c>
      <c r="AC131" t="s">
        <v>925</v>
      </c>
      <c r="AD131" t="s">
        <v>925</v>
      </c>
      <c r="AE131">
        <v>0</v>
      </c>
      <c r="AF131" t="s">
        <v>925</v>
      </c>
      <c r="AG131" t="s">
        <v>286</v>
      </c>
      <c r="AH131" t="s">
        <v>925</v>
      </c>
    </row>
    <row r="132" spans="1:34" x14ac:dyDescent="0.25">
      <c r="A132" s="702">
        <v>12.452999999999999</v>
      </c>
      <c r="B132" t="s">
        <v>729</v>
      </c>
      <c r="C132" t="s">
        <v>313</v>
      </c>
      <c r="D132" t="s">
        <v>484</v>
      </c>
      <c r="E132" t="s">
        <v>925</v>
      </c>
      <c r="F132" t="s">
        <v>925</v>
      </c>
      <c r="G132" t="s">
        <v>280</v>
      </c>
      <c r="H132" t="s">
        <v>457</v>
      </c>
      <c r="I132" t="s">
        <v>41</v>
      </c>
      <c r="J132" t="s">
        <v>925</v>
      </c>
      <c r="K132">
        <v>1</v>
      </c>
      <c r="L132">
        <v>1</v>
      </c>
      <c r="M132" t="s">
        <v>44</v>
      </c>
      <c r="N132">
        <v>1</v>
      </c>
      <c r="O132">
        <v>1</v>
      </c>
      <c r="P132">
        <v>1</v>
      </c>
      <c r="Q132" t="s">
        <v>32</v>
      </c>
      <c r="R132">
        <v>1</v>
      </c>
      <c r="S132">
        <v>1</v>
      </c>
      <c r="T132">
        <v>1</v>
      </c>
      <c r="U132" t="s">
        <v>925</v>
      </c>
      <c r="V132" t="s">
        <v>925</v>
      </c>
      <c r="W132" t="s">
        <v>925</v>
      </c>
      <c r="X132">
        <v>1</v>
      </c>
      <c r="Y132" t="s">
        <v>925</v>
      </c>
      <c r="Z132">
        <v>0</v>
      </c>
      <c r="AA132" t="s">
        <v>925</v>
      </c>
      <c r="AB132" t="s">
        <v>925</v>
      </c>
      <c r="AC132" t="s">
        <v>925</v>
      </c>
      <c r="AD132" t="s">
        <v>925</v>
      </c>
      <c r="AE132">
        <v>0</v>
      </c>
      <c r="AF132" t="s">
        <v>925</v>
      </c>
      <c r="AG132" t="s">
        <v>286</v>
      </c>
      <c r="AH132" t="s">
        <v>925</v>
      </c>
    </row>
    <row r="133" spans="1:34" x14ac:dyDescent="0.25">
      <c r="A133" s="702">
        <v>12.454000000000001</v>
      </c>
      <c r="B133" t="s">
        <v>730</v>
      </c>
      <c r="C133" t="s">
        <v>331</v>
      </c>
      <c r="D133" t="s">
        <v>477</v>
      </c>
      <c r="E133" t="s">
        <v>925</v>
      </c>
      <c r="F133" t="s">
        <v>925</v>
      </c>
      <c r="G133" t="s">
        <v>280</v>
      </c>
      <c r="H133" t="s">
        <v>458</v>
      </c>
      <c r="I133" t="s">
        <v>41</v>
      </c>
      <c r="J133" t="s">
        <v>347</v>
      </c>
      <c r="K133">
        <v>1</v>
      </c>
      <c r="L133">
        <v>2</v>
      </c>
      <c r="M133" t="s">
        <v>44</v>
      </c>
      <c r="N133">
        <v>1</v>
      </c>
      <c r="O133">
        <v>2</v>
      </c>
      <c r="P133">
        <v>1</v>
      </c>
      <c r="Q133" t="s">
        <v>32</v>
      </c>
      <c r="R133">
        <v>2</v>
      </c>
      <c r="S133">
        <v>2</v>
      </c>
      <c r="T133">
        <v>2</v>
      </c>
      <c r="U133" t="s">
        <v>925</v>
      </c>
      <c r="V133" t="s">
        <v>925</v>
      </c>
      <c r="W133" t="s">
        <v>925</v>
      </c>
      <c r="X133">
        <v>1</v>
      </c>
      <c r="Y133" t="s">
        <v>925</v>
      </c>
      <c r="Z133">
        <v>2</v>
      </c>
      <c r="AA133">
        <v>2</v>
      </c>
      <c r="AB133" t="s">
        <v>925</v>
      </c>
      <c r="AC133" t="s">
        <v>925</v>
      </c>
      <c r="AD133" t="s">
        <v>925</v>
      </c>
      <c r="AE133">
        <v>1</v>
      </c>
      <c r="AF133" t="s">
        <v>925</v>
      </c>
      <c r="AG133" t="s">
        <v>345</v>
      </c>
      <c r="AH133" t="s">
        <v>925</v>
      </c>
    </row>
    <row r="134" spans="1:34" x14ac:dyDescent="0.25">
      <c r="A134" s="702">
        <v>12.455</v>
      </c>
      <c r="B134" t="s">
        <v>731</v>
      </c>
      <c r="C134" t="s">
        <v>323</v>
      </c>
      <c r="D134" t="s">
        <v>484</v>
      </c>
      <c r="E134" t="s">
        <v>925</v>
      </c>
      <c r="F134" t="s">
        <v>925</v>
      </c>
      <c r="G134" t="s">
        <v>280</v>
      </c>
      <c r="H134" t="s">
        <v>459</v>
      </c>
      <c r="I134" t="s">
        <v>35</v>
      </c>
      <c r="J134" t="s">
        <v>925</v>
      </c>
      <c r="K134">
        <v>1</v>
      </c>
      <c r="L134">
        <v>1</v>
      </c>
      <c r="M134" t="s">
        <v>44</v>
      </c>
      <c r="N134">
        <v>1</v>
      </c>
      <c r="O134">
        <v>1</v>
      </c>
      <c r="P134">
        <v>1</v>
      </c>
      <c r="Q134" t="s">
        <v>32</v>
      </c>
      <c r="R134">
        <v>1</v>
      </c>
      <c r="S134">
        <v>0</v>
      </c>
      <c r="T134" t="s">
        <v>925</v>
      </c>
      <c r="U134" t="s">
        <v>925</v>
      </c>
      <c r="V134" t="s">
        <v>925</v>
      </c>
      <c r="W134" t="s">
        <v>925</v>
      </c>
      <c r="X134">
        <v>0</v>
      </c>
      <c r="Y134" t="s">
        <v>925</v>
      </c>
      <c r="Z134">
        <v>0</v>
      </c>
      <c r="AA134" t="s">
        <v>925</v>
      </c>
      <c r="AB134" t="s">
        <v>925</v>
      </c>
      <c r="AC134" t="s">
        <v>925</v>
      </c>
      <c r="AD134" t="s">
        <v>925</v>
      </c>
      <c r="AE134">
        <v>0</v>
      </c>
      <c r="AF134" t="s">
        <v>925</v>
      </c>
      <c r="AG134" t="s">
        <v>286</v>
      </c>
      <c r="AH134" t="s">
        <v>925</v>
      </c>
    </row>
    <row r="135" spans="1:34" x14ac:dyDescent="0.25">
      <c r="A135" s="702">
        <v>12.46</v>
      </c>
      <c r="B135" t="s">
        <v>735</v>
      </c>
      <c r="C135" t="s">
        <v>329</v>
      </c>
      <c r="D135" t="s">
        <v>485</v>
      </c>
      <c r="E135" t="s">
        <v>925</v>
      </c>
      <c r="F135" t="s">
        <v>925</v>
      </c>
      <c r="G135" t="s">
        <v>280</v>
      </c>
      <c r="H135" t="s">
        <v>914</v>
      </c>
      <c r="I135" t="s">
        <v>41</v>
      </c>
      <c r="J135" t="s">
        <v>925</v>
      </c>
      <c r="K135">
        <v>1</v>
      </c>
      <c r="L135">
        <v>8</v>
      </c>
      <c r="M135" t="s">
        <v>44</v>
      </c>
      <c r="N135">
        <v>1</v>
      </c>
      <c r="O135">
        <v>8</v>
      </c>
      <c r="P135">
        <v>1</v>
      </c>
      <c r="Q135" t="s">
        <v>43</v>
      </c>
      <c r="R135">
        <v>4</v>
      </c>
      <c r="S135">
        <v>4</v>
      </c>
      <c r="T135">
        <v>4</v>
      </c>
      <c r="U135" t="s">
        <v>925</v>
      </c>
      <c r="V135" t="s">
        <v>925</v>
      </c>
      <c r="W135" t="s">
        <v>925</v>
      </c>
      <c r="X135">
        <v>1</v>
      </c>
      <c r="Y135" t="s">
        <v>925</v>
      </c>
      <c r="Z135">
        <v>0</v>
      </c>
      <c r="AA135" t="s">
        <v>925</v>
      </c>
      <c r="AB135" t="s">
        <v>925</v>
      </c>
      <c r="AC135" t="s">
        <v>925</v>
      </c>
      <c r="AD135" t="s">
        <v>925</v>
      </c>
      <c r="AE135">
        <v>0</v>
      </c>
      <c r="AF135" t="s">
        <v>925</v>
      </c>
      <c r="AG135" t="s">
        <v>277</v>
      </c>
      <c r="AH135" t="s">
        <v>925</v>
      </c>
    </row>
    <row r="136" spans="1:34" x14ac:dyDescent="0.25">
      <c r="A136" s="702">
        <v>12.461</v>
      </c>
      <c r="B136" t="s">
        <v>736</v>
      </c>
      <c r="C136" t="s">
        <v>329</v>
      </c>
      <c r="D136" t="s">
        <v>485</v>
      </c>
      <c r="E136" t="s">
        <v>925</v>
      </c>
      <c r="F136" t="s">
        <v>925</v>
      </c>
      <c r="G136" t="s">
        <v>280</v>
      </c>
      <c r="H136" t="s">
        <v>900</v>
      </c>
      <c r="I136" t="s">
        <v>41</v>
      </c>
      <c r="J136" t="s">
        <v>925</v>
      </c>
      <c r="K136">
        <v>1</v>
      </c>
      <c r="L136">
        <v>108</v>
      </c>
      <c r="M136" t="s">
        <v>44</v>
      </c>
      <c r="N136">
        <v>1</v>
      </c>
      <c r="O136">
        <v>108</v>
      </c>
      <c r="P136">
        <v>1</v>
      </c>
      <c r="Q136" t="s">
        <v>43</v>
      </c>
      <c r="R136">
        <v>20</v>
      </c>
      <c r="S136">
        <v>20</v>
      </c>
      <c r="T136">
        <v>20</v>
      </c>
      <c r="U136" t="s">
        <v>925</v>
      </c>
      <c r="V136" t="s">
        <v>925</v>
      </c>
      <c r="W136" t="s">
        <v>925</v>
      </c>
      <c r="X136">
        <v>1</v>
      </c>
      <c r="Y136" t="s">
        <v>925</v>
      </c>
      <c r="Z136">
        <v>0</v>
      </c>
      <c r="AA136" t="s">
        <v>925</v>
      </c>
      <c r="AB136" t="s">
        <v>925</v>
      </c>
      <c r="AC136" t="s">
        <v>925</v>
      </c>
      <c r="AD136" t="s">
        <v>925</v>
      </c>
      <c r="AE136">
        <v>0</v>
      </c>
      <c r="AF136" t="s">
        <v>925</v>
      </c>
      <c r="AG136" t="s">
        <v>345</v>
      </c>
      <c r="AH136" t="s">
        <v>925</v>
      </c>
    </row>
    <row r="137" spans="1:34" x14ac:dyDescent="0.25">
      <c r="A137" s="702">
        <v>12.465</v>
      </c>
      <c r="B137" t="s">
        <v>740</v>
      </c>
      <c r="C137" t="s">
        <v>352</v>
      </c>
      <c r="D137" t="s">
        <v>483</v>
      </c>
      <c r="E137" t="s">
        <v>925</v>
      </c>
      <c r="F137" t="s">
        <v>925</v>
      </c>
      <c r="G137" t="s">
        <v>280</v>
      </c>
      <c r="H137" t="s">
        <v>461</v>
      </c>
      <c r="I137" t="s">
        <v>41</v>
      </c>
      <c r="J137" t="s">
        <v>925</v>
      </c>
      <c r="K137">
        <v>1</v>
      </c>
      <c r="L137">
        <v>1</v>
      </c>
      <c r="M137" t="s">
        <v>44</v>
      </c>
      <c r="N137">
        <v>1</v>
      </c>
      <c r="O137">
        <v>1</v>
      </c>
      <c r="P137">
        <v>1</v>
      </c>
      <c r="Q137" t="s">
        <v>43</v>
      </c>
      <c r="R137">
        <v>1</v>
      </c>
      <c r="S137">
        <v>1</v>
      </c>
      <c r="T137">
        <v>1</v>
      </c>
      <c r="U137" t="s">
        <v>925</v>
      </c>
      <c r="V137" t="s">
        <v>925</v>
      </c>
      <c r="W137" t="s">
        <v>925</v>
      </c>
      <c r="X137">
        <v>1</v>
      </c>
      <c r="Y137" t="s">
        <v>925</v>
      </c>
      <c r="Z137">
        <v>1</v>
      </c>
      <c r="AA137">
        <v>1</v>
      </c>
      <c r="AB137" t="s">
        <v>925</v>
      </c>
      <c r="AC137" t="s">
        <v>925</v>
      </c>
      <c r="AD137" t="s">
        <v>925</v>
      </c>
      <c r="AE137">
        <v>1</v>
      </c>
      <c r="AF137" t="s">
        <v>925</v>
      </c>
      <c r="AG137" t="s">
        <v>286</v>
      </c>
      <c r="AH137" t="s">
        <v>925</v>
      </c>
    </row>
    <row r="138" spans="1:34" x14ac:dyDescent="0.25">
      <c r="A138" s="702">
        <v>12.467000000000001</v>
      </c>
      <c r="B138" t="s">
        <v>743</v>
      </c>
      <c r="C138" t="s">
        <v>371</v>
      </c>
      <c r="D138" t="s">
        <v>478</v>
      </c>
      <c r="E138" t="s">
        <v>925</v>
      </c>
      <c r="F138" t="s">
        <v>925</v>
      </c>
      <c r="G138" t="s">
        <v>259</v>
      </c>
      <c r="H138" t="s">
        <v>462</v>
      </c>
      <c r="I138" t="s">
        <v>41</v>
      </c>
      <c r="J138" t="s">
        <v>925</v>
      </c>
      <c r="K138">
        <v>1</v>
      </c>
      <c r="L138">
        <v>2</v>
      </c>
      <c r="M138" t="s">
        <v>44</v>
      </c>
      <c r="N138">
        <v>1</v>
      </c>
      <c r="O138">
        <v>1</v>
      </c>
      <c r="P138">
        <v>0.5</v>
      </c>
      <c r="Q138" t="s">
        <v>32</v>
      </c>
      <c r="R138">
        <v>2</v>
      </c>
      <c r="S138">
        <v>0</v>
      </c>
      <c r="T138" t="s">
        <v>925</v>
      </c>
      <c r="U138" t="s">
        <v>925</v>
      </c>
      <c r="V138" t="s">
        <v>925</v>
      </c>
      <c r="W138" t="s">
        <v>925</v>
      </c>
      <c r="X138">
        <v>0</v>
      </c>
      <c r="Y138" t="s">
        <v>925</v>
      </c>
      <c r="Z138">
        <v>0</v>
      </c>
      <c r="AA138" t="s">
        <v>925</v>
      </c>
      <c r="AB138" t="s">
        <v>925</v>
      </c>
      <c r="AC138" t="s">
        <v>925</v>
      </c>
      <c r="AD138" t="s">
        <v>925</v>
      </c>
      <c r="AE138">
        <v>0</v>
      </c>
      <c r="AF138" t="s">
        <v>925</v>
      </c>
      <c r="AG138" t="s">
        <v>317</v>
      </c>
      <c r="AH138" t="s">
        <v>925</v>
      </c>
    </row>
    <row r="139" spans="1:34" x14ac:dyDescent="0.25">
      <c r="A139" s="702">
        <v>12.468999999999999</v>
      </c>
      <c r="B139" t="s">
        <v>745</v>
      </c>
      <c r="C139" t="s">
        <v>352</v>
      </c>
      <c r="D139" t="s">
        <v>483</v>
      </c>
      <c r="E139" t="s">
        <v>925</v>
      </c>
      <c r="F139" t="s">
        <v>925</v>
      </c>
      <c r="G139" t="s">
        <v>280</v>
      </c>
      <c r="H139" t="s">
        <v>464</v>
      </c>
      <c r="I139" t="s">
        <v>41</v>
      </c>
      <c r="J139" t="s">
        <v>925</v>
      </c>
      <c r="K139">
        <v>1</v>
      </c>
      <c r="L139">
        <v>4</v>
      </c>
      <c r="M139" t="s">
        <v>44</v>
      </c>
      <c r="N139">
        <v>1</v>
      </c>
      <c r="O139">
        <v>4</v>
      </c>
      <c r="P139">
        <v>1</v>
      </c>
      <c r="Q139" t="s">
        <v>32</v>
      </c>
      <c r="R139">
        <v>4</v>
      </c>
      <c r="S139">
        <v>4</v>
      </c>
      <c r="T139">
        <v>4</v>
      </c>
      <c r="U139" t="s">
        <v>925</v>
      </c>
      <c r="V139" t="s">
        <v>925</v>
      </c>
      <c r="W139" t="s">
        <v>925</v>
      </c>
      <c r="X139">
        <v>1</v>
      </c>
      <c r="Y139" t="s">
        <v>925</v>
      </c>
      <c r="Z139">
        <v>4</v>
      </c>
      <c r="AA139">
        <v>4</v>
      </c>
      <c r="AB139" t="s">
        <v>925</v>
      </c>
      <c r="AC139" t="s">
        <v>925</v>
      </c>
      <c r="AD139" t="s">
        <v>925</v>
      </c>
      <c r="AE139">
        <v>1</v>
      </c>
      <c r="AF139" t="s">
        <v>925</v>
      </c>
      <c r="AG139" t="s">
        <v>277</v>
      </c>
      <c r="AH139" t="s">
        <v>925</v>
      </c>
    </row>
    <row r="140" spans="1:34" x14ac:dyDescent="0.25">
      <c r="A140" s="702">
        <v>12.47</v>
      </c>
      <c r="B140" t="s">
        <v>746</v>
      </c>
      <c r="C140" t="s">
        <v>359</v>
      </c>
      <c r="D140" t="s">
        <v>477</v>
      </c>
      <c r="E140" t="s">
        <v>925</v>
      </c>
      <c r="F140" t="s">
        <v>925</v>
      </c>
      <c r="G140" t="s">
        <v>259</v>
      </c>
      <c r="H140" t="s">
        <v>465</v>
      </c>
      <c r="I140" t="s">
        <v>35</v>
      </c>
      <c r="J140" t="s">
        <v>925</v>
      </c>
      <c r="K140">
        <v>1</v>
      </c>
      <c r="L140">
        <v>1</v>
      </c>
      <c r="M140" t="s">
        <v>44</v>
      </c>
      <c r="N140">
        <v>1</v>
      </c>
      <c r="O140">
        <v>1</v>
      </c>
      <c r="P140">
        <v>1</v>
      </c>
      <c r="Q140" t="s">
        <v>50</v>
      </c>
      <c r="R140">
        <v>1</v>
      </c>
      <c r="S140">
        <v>0</v>
      </c>
      <c r="T140" t="s">
        <v>925</v>
      </c>
      <c r="U140" t="s">
        <v>925</v>
      </c>
      <c r="V140" t="s">
        <v>925</v>
      </c>
      <c r="W140" t="s">
        <v>925</v>
      </c>
      <c r="X140">
        <v>0</v>
      </c>
      <c r="Y140" t="s">
        <v>466</v>
      </c>
      <c r="Z140">
        <v>0</v>
      </c>
      <c r="AA140" t="s">
        <v>925</v>
      </c>
      <c r="AB140" t="s">
        <v>925</v>
      </c>
      <c r="AC140" t="s">
        <v>925</v>
      </c>
      <c r="AD140" t="s">
        <v>925</v>
      </c>
      <c r="AE140">
        <v>0</v>
      </c>
      <c r="AF140" t="s">
        <v>925</v>
      </c>
      <c r="AG140" t="s">
        <v>309</v>
      </c>
      <c r="AH140" t="s">
        <v>925</v>
      </c>
    </row>
    <row r="141" spans="1:34" x14ac:dyDescent="0.25">
      <c r="A141" s="702">
        <v>12.471</v>
      </c>
      <c r="B141" t="s">
        <v>747</v>
      </c>
      <c r="C141" t="s">
        <v>323</v>
      </c>
      <c r="D141" t="s">
        <v>484</v>
      </c>
      <c r="E141" t="s">
        <v>925</v>
      </c>
      <c r="F141" t="s">
        <v>925</v>
      </c>
      <c r="G141" t="s">
        <v>280</v>
      </c>
      <c r="H141" t="s">
        <v>324</v>
      </c>
      <c r="I141" t="s">
        <v>41</v>
      </c>
      <c r="J141" t="s">
        <v>925</v>
      </c>
      <c r="K141">
        <v>1</v>
      </c>
      <c r="L141">
        <v>1</v>
      </c>
      <c r="M141" t="s">
        <v>44</v>
      </c>
      <c r="N141">
        <v>1</v>
      </c>
      <c r="O141">
        <v>0.8</v>
      </c>
      <c r="P141">
        <v>0.8</v>
      </c>
      <c r="Q141" t="s">
        <v>32</v>
      </c>
      <c r="R141">
        <v>1</v>
      </c>
      <c r="S141">
        <v>0</v>
      </c>
      <c r="T141" t="s">
        <v>925</v>
      </c>
      <c r="U141" t="s">
        <v>925</v>
      </c>
      <c r="V141" t="s">
        <v>925</v>
      </c>
      <c r="W141" t="s">
        <v>925</v>
      </c>
      <c r="X141">
        <v>0</v>
      </c>
      <c r="Y141" t="s">
        <v>925</v>
      </c>
      <c r="Z141">
        <v>0</v>
      </c>
      <c r="AA141" t="s">
        <v>925</v>
      </c>
      <c r="AB141" t="s">
        <v>925</v>
      </c>
      <c r="AC141" t="s">
        <v>925</v>
      </c>
      <c r="AD141" t="s">
        <v>925</v>
      </c>
      <c r="AE141">
        <v>0</v>
      </c>
      <c r="AF141" t="s">
        <v>467</v>
      </c>
      <c r="AG141" t="s">
        <v>345</v>
      </c>
      <c r="AH141" t="s">
        <v>925</v>
      </c>
    </row>
    <row r="142" spans="1:34" x14ac:dyDescent="0.25">
      <c r="A142" s="702">
        <v>12.474</v>
      </c>
      <c r="B142" t="s">
        <v>749</v>
      </c>
      <c r="C142" t="s">
        <v>352</v>
      </c>
      <c r="D142" t="s">
        <v>483</v>
      </c>
      <c r="E142" t="s">
        <v>925</v>
      </c>
      <c r="F142" t="s">
        <v>925</v>
      </c>
      <c r="G142" t="s">
        <v>280</v>
      </c>
      <c r="H142" t="s">
        <v>970</v>
      </c>
      <c r="I142" t="s">
        <v>35</v>
      </c>
      <c r="J142" t="s">
        <v>925</v>
      </c>
      <c r="K142">
        <v>1</v>
      </c>
      <c r="L142">
        <v>11</v>
      </c>
      <c r="M142" t="s">
        <v>44</v>
      </c>
      <c r="N142">
        <v>1</v>
      </c>
      <c r="O142">
        <v>11</v>
      </c>
      <c r="P142">
        <v>1</v>
      </c>
      <c r="Q142" t="s">
        <v>43</v>
      </c>
      <c r="R142">
        <v>11</v>
      </c>
      <c r="S142">
        <v>11</v>
      </c>
      <c r="T142">
        <v>11</v>
      </c>
      <c r="U142" t="s">
        <v>925</v>
      </c>
      <c r="V142" t="s">
        <v>925</v>
      </c>
      <c r="W142" t="s">
        <v>925</v>
      </c>
      <c r="X142">
        <v>1</v>
      </c>
      <c r="Y142" t="s">
        <v>468</v>
      </c>
      <c r="Z142">
        <v>11</v>
      </c>
      <c r="AA142">
        <v>11</v>
      </c>
      <c r="AB142" t="s">
        <v>925</v>
      </c>
      <c r="AC142" t="s">
        <v>925</v>
      </c>
      <c r="AD142" t="s">
        <v>925</v>
      </c>
      <c r="AE142">
        <v>1</v>
      </c>
      <c r="AF142" t="s">
        <v>925</v>
      </c>
      <c r="AG142" t="s">
        <v>286</v>
      </c>
      <c r="AH142" t="s">
        <v>925</v>
      </c>
    </row>
    <row r="143" spans="1:34" x14ac:dyDescent="0.25">
      <c r="A143" s="702">
        <v>12.478999999999999</v>
      </c>
      <c r="B143" t="s">
        <v>753</v>
      </c>
      <c r="C143" t="s">
        <v>341</v>
      </c>
      <c r="D143" t="s">
        <v>477</v>
      </c>
      <c r="E143" t="s">
        <v>925</v>
      </c>
      <c r="F143" t="s">
        <v>925</v>
      </c>
      <c r="G143" t="s">
        <v>280</v>
      </c>
      <c r="H143" t="s">
        <v>901</v>
      </c>
      <c r="I143" t="s">
        <v>35</v>
      </c>
      <c r="J143" t="s">
        <v>925</v>
      </c>
      <c r="K143">
        <v>1</v>
      </c>
      <c r="L143">
        <v>1</v>
      </c>
      <c r="M143" t="s">
        <v>44</v>
      </c>
      <c r="N143">
        <v>1</v>
      </c>
      <c r="O143">
        <v>1</v>
      </c>
      <c r="P143">
        <v>1</v>
      </c>
      <c r="Q143" t="s">
        <v>32</v>
      </c>
      <c r="R143">
        <v>1</v>
      </c>
      <c r="S143">
        <v>0</v>
      </c>
      <c r="T143" t="s">
        <v>925</v>
      </c>
      <c r="U143" t="s">
        <v>925</v>
      </c>
      <c r="V143" t="s">
        <v>925</v>
      </c>
      <c r="W143" t="s">
        <v>925</v>
      </c>
      <c r="X143">
        <v>0</v>
      </c>
      <c r="Y143" t="s">
        <v>925</v>
      </c>
      <c r="Z143">
        <v>0</v>
      </c>
      <c r="AA143" t="s">
        <v>925</v>
      </c>
      <c r="AB143" t="s">
        <v>925</v>
      </c>
      <c r="AC143" t="s">
        <v>925</v>
      </c>
      <c r="AD143" t="s">
        <v>925</v>
      </c>
      <c r="AE143">
        <v>0</v>
      </c>
      <c r="AF143" t="s">
        <v>925</v>
      </c>
      <c r="AG143" t="s">
        <v>345</v>
      </c>
      <c r="AH143" t="s">
        <v>925</v>
      </c>
    </row>
    <row r="144" spans="1:34" x14ac:dyDescent="0.25">
      <c r="A144" s="702">
        <v>12.484</v>
      </c>
      <c r="B144" t="s">
        <v>757</v>
      </c>
      <c r="C144" t="s">
        <v>470</v>
      </c>
      <c r="D144" t="s">
        <v>477</v>
      </c>
      <c r="E144" t="s">
        <v>925</v>
      </c>
      <c r="F144" t="s">
        <v>925</v>
      </c>
      <c r="G144" t="s">
        <v>259</v>
      </c>
      <c r="H144" t="s">
        <v>471</v>
      </c>
      <c r="I144" t="s">
        <v>41</v>
      </c>
      <c r="J144" t="s">
        <v>925</v>
      </c>
      <c r="K144">
        <v>1</v>
      </c>
      <c r="L144">
        <v>1</v>
      </c>
      <c r="M144" t="s">
        <v>44</v>
      </c>
      <c r="N144">
        <v>1</v>
      </c>
      <c r="O144">
        <v>1</v>
      </c>
      <c r="P144">
        <v>1</v>
      </c>
      <c r="Q144" t="s">
        <v>32</v>
      </c>
      <c r="R144">
        <v>1</v>
      </c>
      <c r="S144">
        <v>0</v>
      </c>
      <c r="T144" t="s">
        <v>925</v>
      </c>
      <c r="U144" t="s">
        <v>925</v>
      </c>
      <c r="V144" t="s">
        <v>925</v>
      </c>
      <c r="W144" t="s">
        <v>925</v>
      </c>
      <c r="X144">
        <v>0</v>
      </c>
      <c r="Y144" t="s">
        <v>925</v>
      </c>
      <c r="Z144">
        <v>0</v>
      </c>
      <c r="AA144" t="s">
        <v>925</v>
      </c>
      <c r="AB144" t="s">
        <v>925</v>
      </c>
      <c r="AC144" t="s">
        <v>925</v>
      </c>
      <c r="AD144" t="s">
        <v>925</v>
      </c>
      <c r="AE144">
        <v>0</v>
      </c>
      <c r="AF144" t="s">
        <v>925</v>
      </c>
      <c r="AG144" t="s">
        <v>277</v>
      </c>
      <c r="AH144" t="s">
        <v>925</v>
      </c>
    </row>
    <row r="145" spans="1:34" x14ac:dyDescent="0.25">
      <c r="A145" s="702">
        <v>12.488</v>
      </c>
      <c r="B145" t="s">
        <v>761</v>
      </c>
      <c r="C145" t="s">
        <v>320</v>
      </c>
      <c r="D145" t="s">
        <v>482</v>
      </c>
      <c r="E145" t="s">
        <v>925</v>
      </c>
      <c r="F145" t="s">
        <v>925</v>
      </c>
      <c r="G145" t="s">
        <v>284</v>
      </c>
      <c r="H145" t="s">
        <v>971</v>
      </c>
      <c r="I145" t="s">
        <v>41</v>
      </c>
      <c r="J145" t="s">
        <v>925</v>
      </c>
      <c r="K145">
        <v>1</v>
      </c>
      <c r="L145">
        <v>1</v>
      </c>
      <c r="M145" t="s">
        <v>44</v>
      </c>
      <c r="N145">
        <v>1</v>
      </c>
      <c r="O145">
        <v>1</v>
      </c>
      <c r="P145">
        <v>1</v>
      </c>
      <c r="Q145" t="s">
        <v>32</v>
      </c>
      <c r="R145">
        <v>1</v>
      </c>
      <c r="S145">
        <v>0</v>
      </c>
      <c r="T145" t="s">
        <v>925</v>
      </c>
      <c r="U145" t="s">
        <v>925</v>
      </c>
      <c r="V145" t="s">
        <v>925</v>
      </c>
      <c r="W145" t="s">
        <v>925</v>
      </c>
      <c r="X145">
        <v>0</v>
      </c>
      <c r="Y145" t="s">
        <v>925</v>
      </c>
      <c r="Z145">
        <v>0</v>
      </c>
      <c r="AA145" t="s">
        <v>925</v>
      </c>
      <c r="AB145" t="s">
        <v>925</v>
      </c>
      <c r="AC145" t="s">
        <v>925</v>
      </c>
      <c r="AD145" t="s">
        <v>925</v>
      </c>
      <c r="AE145">
        <v>0</v>
      </c>
      <c r="AF145" t="s">
        <v>925</v>
      </c>
      <c r="AG145" t="s">
        <v>345</v>
      </c>
      <c r="AH145" t="s">
        <v>925</v>
      </c>
    </row>
    <row r="146" spans="1:34" x14ac:dyDescent="0.25">
      <c r="A146" s="702">
        <v>12.499000000000001</v>
      </c>
      <c r="B146" t="s">
        <v>772</v>
      </c>
      <c r="C146" t="s">
        <v>331</v>
      </c>
      <c r="D146" t="s">
        <v>477</v>
      </c>
      <c r="E146" t="s">
        <v>925</v>
      </c>
      <c r="F146" t="s">
        <v>925</v>
      </c>
      <c r="G146" t="s">
        <v>280</v>
      </c>
      <c r="H146" t="s">
        <v>902</v>
      </c>
      <c r="I146" t="s">
        <v>41</v>
      </c>
      <c r="J146" t="s">
        <v>347</v>
      </c>
      <c r="K146">
        <v>1</v>
      </c>
      <c r="L146">
        <v>2</v>
      </c>
      <c r="M146" t="s">
        <v>44</v>
      </c>
      <c r="N146">
        <v>1</v>
      </c>
      <c r="O146">
        <v>1</v>
      </c>
      <c r="P146">
        <v>0.5</v>
      </c>
      <c r="Q146" t="s">
        <v>32</v>
      </c>
      <c r="R146">
        <v>1</v>
      </c>
      <c r="S146">
        <v>0</v>
      </c>
      <c r="T146" t="s">
        <v>925</v>
      </c>
      <c r="U146" t="s">
        <v>925</v>
      </c>
      <c r="V146" t="s">
        <v>925</v>
      </c>
      <c r="W146" t="s">
        <v>925</v>
      </c>
      <c r="X146">
        <v>0</v>
      </c>
      <c r="Y146" t="s">
        <v>925</v>
      </c>
      <c r="Z146">
        <v>0</v>
      </c>
      <c r="AA146" t="s">
        <v>925</v>
      </c>
      <c r="AB146" t="s">
        <v>925</v>
      </c>
      <c r="AC146" t="s">
        <v>925</v>
      </c>
      <c r="AD146" t="s">
        <v>925</v>
      </c>
      <c r="AE146">
        <v>0</v>
      </c>
      <c r="AF146" t="s">
        <v>925</v>
      </c>
      <c r="AG146" t="s">
        <v>345</v>
      </c>
      <c r="AH146" t="s">
        <v>925</v>
      </c>
    </row>
    <row r="147" spans="1:34" x14ac:dyDescent="0.25">
      <c r="A147" s="323"/>
      <c r="B147" s="324"/>
      <c r="C147" s="324"/>
      <c r="D147" s="325"/>
      <c r="E147" s="324"/>
      <c r="F147" s="324"/>
      <c r="G147" s="243"/>
      <c r="H147" s="393"/>
      <c r="I147" s="417"/>
      <c r="J147" s="324"/>
      <c r="K147" s="325"/>
      <c r="L147" s="325"/>
      <c r="M147" s="395"/>
      <c r="N147" s="432"/>
      <c r="O147" s="433"/>
      <c r="P147" s="434"/>
      <c r="Q147" s="417"/>
      <c r="R147" s="325"/>
      <c r="S147" s="454"/>
      <c r="T147" s="447"/>
      <c r="U147" s="447"/>
      <c r="V147" s="447"/>
      <c r="W147" s="447"/>
      <c r="X147" s="455"/>
      <c r="Y147" s="418"/>
      <c r="Z147" s="446"/>
      <c r="AA147" s="447"/>
      <c r="AB147" s="447"/>
      <c r="AC147" s="447"/>
      <c r="AD147" s="447"/>
      <c r="AE147" s="448"/>
      <c r="AF147" s="324"/>
      <c r="AG147" s="419"/>
      <c r="AH147" s="326"/>
    </row>
    <row r="148" spans="1:34" ht="15.75" thickBot="1" x14ac:dyDescent="0.3">
      <c r="A148" s="354"/>
      <c r="B148" s="355"/>
      <c r="C148" s="355"/>
      <c r="D148" s="356"/>
      <c r="E148" s="355"/>
      <c r="F148" s="355"/>
      <c r="G148" s="356"/>
      <c r="H148" s="394"/>
      <c r="I148" s="528"/>
      <c r="J148" s="355"/>
      <c r="K148" s="355"/>
      <c r="L148" s="357"/>
      <c r="M148" s="358"/>
      <c r="N148" s="435"/>
      <c r="O148" s="436"/>
      <c r="P148" s="437"/>
      <c r="Q148" s="359"/>
      <c r="R148" s="360"/>
      <c r="S148" s="456"/>
      <c r="T148" s="457"/>
      <c r="U148" s="457"/>
      <c r="V148" s="457"/>
      <c r="W148" s="457"/>
      <c r="X148" s="458"/>
      <c r="Y148" s="361"/>
      <c r="Z148" s="449"/>
      <c r="AA148" s="450"/>
      <c r="AB148" s="450"/>
      <c r="AC148" s="450"/>
      <c r="AD148" s="450"/>
      <c r="AE148" s="451"/>
      <c r="AF148" s="362"/>
      <c r="AG148" s="362"/>
      <c r="AH148" s="365"/>
    </row>
    <row r="149" spans="1:34" x14ac:dyDescent="0.25">
      <c r="A149" s="590" t="s">
        <v>473</v>
      </c>
      <c r="B149" s="591"/>
      <c r="C149" s="591"/>
      <c r="D149" s="591"/>
      <c r="E149" s="591"/>
      <c r="F149" s="591"/>
      <c r="G149" s="591"/>
      <c r="H149" s="591"/>
      <c r="I149" s="591"/>
      <c r="J149" s="591"/>
      <c r="K149" s="591"/>
      <c r="L149" s="591"/>
      <c r="M149" s="591"/>
      <c r="N149" s="591"/>
      <c r="O149" s="591"/>
      <c r="P149" s="591"/>
      <c r="Q149" s="591"/>
      <c r="R149" s="591"/>
      <c r="S149" s="591"/>
      <c r="T149" s="591"/>
      <c r="U149" s="591"/>
      <c r="V149" s="591"/>
      <c r="W149" s="591"/>
      <c r="X149" s="591"/>
      <c r="Y149" s="591"/>
      <c r="Z149" s="591"/>
      <c r="AA149" s="591"/>
      <c r="AB149" s="591"/>
      <c r="AC149" s="591"/>
      <c r="AD149" s="591"/>
      <c r="AE149" s="591"/>
      <c r="AF149" s="591"/>
      <c r="AG149" s="591"/>
      <c r="AH149" s="592"/>
    </row>
    <row r="150" spans="1:34" ht="15.75" thickBot="1" x14ac:dyDescent="0.3">
      <c r="A150" s="593"/>
      <c r="B150" s="594"/>
      <c r="C150" s="594"/>
      <c r="D150" s="594"/>
      <c r="E150" s="594"/>
      <c r="F150" s="594"/>
      <c r="G150" s="594"/>
      <c r="H150" s="594"/>
      <c r="I150" s="594"/>
      <c r="J150" s="594"/>
      <c r="K150" s="594"/>
      <c r="L150" s="594"/>
      <c r="M150" s="594"/>
      <c r="N150" s="594"/>
      <c r="O150" s="594"/>
      <c r="P150" s="594"/>
      <c r="Q150" s="594"/>
      <c r="R150" s="594"/>
      <c r="S150" s="594"/>
      <c r="T150" s="594"/>
      <c r="U150" s="594"/>
      <c r="V150" s="594"/>
      <c r="W150" s="594"/>
      <c r="X150" s="594"/>
      <c r="Y150" s="594"/>
      <c r="Z150" s="594"/>
      <c r="AA150" s="594"/>
      <c r="AB150" s="594"/>
      <c r="AC150" s="594"/>
      <c r="AD150" s="594"/>
      <c r="AE150" s="594"/>
      <c r="AF150" s="594"/>
      <c r="AG150" s="594"/>
      <c r="AH150" s="595"/>
    </row>
    <row r="151" spans="1:34" ht="19.5" thickBot="1" x14ac:dyDescent="0.3">
      <c r="A151" s="600" t="s">
        <v>302</v>
      </c>
      <c r="B151" s="601"/>
      <c r="C151" s="601"/>
      <c r="D151" s="601"/>
      <c r="E151" s="601"/>
      <c r="F151" s="601"/>
      <c r="G151" s="601"/>
      <c r="H151" s="601"/>
      <c r="I151" s="601"/>
      <c r="J151" s="602"/>
      <c r="K151" s="377">
        <f>SUM(K6:K148)</f>
        <v>142</v>
      </c>
      <c r="L151" s="377">
        <f>SUM(L6:L148)</f>
        <v>718</v>
      </c>
      <c r="M151" s="378"/>
      <c r="N151" s="438">
        <f>SUMPRODUCT(K6:K148,N6:N148)/K151</f>
        <v>1</v>
      </c>
      <c r="O151" s="439">
        <f>SUM(O6:O148)</f>
        <v>707.09999999999991</v>
      </c>
      <c r="P151" s="440">
        <f>SUMPRODUCT(K6:K148,P6:P148)/K151</f>
        <v>0.93978873239436633</v>
      </c>
      <c r="Q151" s="379"/>
      <c r="R151" s="380">
        <f>SUM(R6:R148)</f>
        <v>525</v>
      </c>
      <c r="S151" s="441">
        <f>SUM(S6:S148)</f>
        <v>445</v>
      </c>
      <c r="T151" s="441">
        <f>SUM(T6:T148)</f>
        <v>433</v>
      </c>
      <c r="U151" s="380">
        <f>SUM(U6:U148)</f>
        <v>0</v>
      </c>
      <c r="V151" s="380">
        <f>SUM(V6:V148)</f>
        <v>12</v>
      </c>
      <c r="W151" s="380">
        <f>SUM(W6:W148)</f>
        <v>0</v>
      </c>
      <c r="X151" s="442">
        <f>IF((R151=1),0,((T151+U151)/R151*100%))</f>
        <v>0.82476190476190481</v>
      </c>
      <c r="Y151" s="381"/>
      <c r="Z151" s="443">
        <f>SUM(Z6:Z148)</f>
        <v>240</v>
      </c>
      <c r="AA151" s="444">
        <f>SUM(AA6:AA148)</f>
        <v>238</v>
      </c>
      <c r="AB151" s="444">
        <f>SUM(AB6:AB148)</f>
        <v>0</v>
      </c>
      <c r="AC151" s="444">
        <f>SUM(AC6:AC148)</f>
        <v>2</v>
      </c>
      <c r="AD151" s="444">
        <f>SUM(AD6:AD148)</f>
        <v>0</v>
      </c>
      <c r="AE151" s="445">
        <f>IF((L151=0),1,((AA151+AB151)/L151*100%))</f>
        <v>0.33147632311977715</v>
      </c>
      <c r="AF151" s="382"/>
      <c r="AG151" s="382"/>
      <c r="AH151" s="383"/>
    </row>
    <row r="153" spans="1:34" x14ac:dyDescent="0.25">
      <c r="L153" s="170" t="s">
        <v>474</v>
      </c>
    </row>
  </sheetData>
  <sheetProtection insertColumns="0" insertRows="0" deleteRows="0" sort="0"/>
  <autoFilter ref="A5:AH151" xr:uid="{00000000-0009-0000-0000-000002000000}"/>
  <mergeCells count="9">
    <mergeCell ref="A149:AH150"/>
    <mergeCell ref="A1:AH1"/>
    <mergeCell ref="A3:AH3"/>
    <mergeCell ref="A2:J2"/>
    <mergeCell ref="A151:J15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237AC15D-702E-46B4-89E7-DAB1EF5DAEB1}">
          <x14:formula1>
            <xm:f>'List Options'!$E$1:$E$7</xm:f>
          </x14:formula1>
          <xm:sqref>Q6:Q147</xm:sqref>
        </x14:dataValidation>
        <x14:dataValidation type="list" allowBlank="1" showInputMessage="1" showErrorMessage="1" xr:uid="{F3EA239A-476E-4590-924A-7BA0D177C467}">
          <x14:formula1>
            <xm:f>'List Options'!$E$1:$E$6</xm:f>
          </x14:formula1>
          <xm:sqref>Q148</xm:sqref>
        </x14:dataValidation>
        <x14:dataValidation type="list" allowBlank="1" showInputMessage="1" showErrorMessage="1" xr:uid="{5513F172-4253-4807-A8CE-34D720193895}">
          <x14:formula1>
            <xm:f>'List Options'!$G$1:$G$3</xm:f>
          </x14:formula1>
          <xm:sqref>M6:M148</xm:sqref>
        </x14:dataValidation>
        <x14:dataValidation type="list" allowBlank="1" showInputMessage="1" showErrorMessage="1" xr:uid="{8B92A7F6-7ABF-446A-A0A1-23D59ABEAA7C}">
          <x14:formula1>
            <xm:f>'List Options'!$K$1:$K$6</xm:f>
          </x14:formula1>
          <xm:sqref>I6:I148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16" t="s">
        <v>475</v>
      </c>
      <c r="B1" s="617"/>
      <c r="C1" s="617"/>
      <c r="D1" s="617"/>
      <c r="E1" s="617"/>
      <c r="F1" s="617"/>
      <c r="G1" s="617"/>
      <c r="H1" s="617"/>
      <c r="I1" s="617"/>
      <c r="J1" s="617"/>
      <c r="K1" s="617"/>
      <c r="L1" s="617"/>
      <c r="M1" s="617"/>
      <c r="N1" s="617"/>
      <c r="O1" s="617"/>
      <c r="P1" s="617"/>
      <c r="Q1" s="617"/>
      <c r="R1" s="617"/>
      <c r="S1" s="617"/>
      <c r="T1" s="617"/>
      <c r="U1" s="617"/>
      <c r="V1" s="618"/>
    </row>
    <row r="2" spans="1:22" ht="15.75" thickBot="1" x14ac:dyDescent="0.3">
      <c r="A2" s="218" t="s">
        <v>476</v>
      </c>
      <c r="B2" s="619" t="s">
        <v>166</v>
      </c>
      <c r="C2" s="619"/>
      <c r="D2" s="619"/>
      <c r="E2" s="619"/>
      <c r="F2" s="619"/>
      <c r="G2" s="620" t="s">
        <v>177</v>
      </c>
      <c r="H2" s="621"/>
      <c r="I2" s="621"/>
      <c r="J2" s="621"/>
      <c r="K2" s="621"/>
      <c r="L2" s="621"/>
      <c r="M2" s="621"/>
      <c r="N2" s="622"/>
      <c r="O2" s="623" t="s">
        <v>144</v>
      </c>
      <c r="P2" s="624"/>
      <c r="Q2" s="624"/>
      <c r="R2" s="624"/>
      <c r="S2" s="624"/>
      <c r="T2" s="624"/>
      <c r="U2" s="624"/>
      <c r="V2" s="625"/>
    </row>
    <row r="3" spans="1:22" s="251" customFormat="1" ht="30.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5" t="s">
        <v>477</v>
      </c>
      <c r="B4" s="252">
        <f>SUMIFS('Diags Raw Data'!$L$6:$L$4765,'Diags Raw Data'!$D$6:$D$4765,$A4)</f>
        <v>88</v>
      </c>
      <c r="C4" s="242">
        <f>SUMIFS('Diags Raw Data'!$R$6:$R$4765,'Diags Raw Data'!$D$6:$D$4765,$A4)</f>
        <v>53</v>
      </c>
      <c r="D4" s="242">
        <f>SUMIFS('Diags Raw Data'!$K$6:$K$4765,'Diags Raw Data'!$D$6:$D$4765,$A4)</f>
        <v>26</v>
      </c>
      <c r="E4" s="242">
        <f>SUMIFS('Diags Raw Data'!$O$6:$O$4765,'Diags Raw Data'!$D$6:$D$4765,$A4)</f>
        <v>87</v>
      </c>
      <c r="F4" s="248">
        <f>IF(NOT($B4=0), E4/$B4, "---")</f>
        <v>0.98863636363636365</v>
      </c>
      <c r="G4" s="220">
        <f>SUMIFS('Diags Raw Data'!$S$6:$S$4765,'Diags Raw Data'!$D$6:$D$4765,$A4)</f>
        <v>41</v>
      </c>
      <c r="H4" s="221">
        <f>SUMIFS('Diags Raw Data'!$T$6:$T$4765,'Diags Raw Data'!$D$6:$D$4765,$A4)</f>
        <v>41</v>
      </c>
      <c r="I4" s="223">
        <f>SUMIFS('Diags Raw Data'!$U$6:$U$4765,'Diags Raw Data'!$D$6:$D$4765,$A4)</f>
        <v>0</v>
      </c>
      <c r="J4" s="221">
        <f>SUMIFS('Diags Raw Data'!$V$6:$V$4765,'Diags Raw Data'!$D$6:$D$4765,$A4)</f>
        <v>0</v>
      </c>
      <c r="K4" s="223">
        <f>SUMIFS('Diags Raw Data'!$W$6:$W$4765,'Diags Raw Data'!$D$6:$D$4765,$A4)</f>
        <v>0</v>
      </c>
      <c r="L4" s="222">
        <f>IF(NOT($C4=0), G4/$C4, "---")</f>
        <v>0.77358490566037741</v>
      </c>
      <c r="M4" s="224">
        <f>IF(NOT($G4=0), (H4+I4)/$G4, "---")</f>
        <v>1</v>
      </c>
      <c r="N4" s="226">
        <f>IF(NOT($C4=0), (H4+I4)/$C4, "---")</f>
        <v>0.77358490566037741</v>
      </c>
      <c r="O4" s="213">
        <f>SUMIFS('Diags Raw Data'!$Z$6:$Z$4765,'Diags Raw Data'!$D$6:$D$4765,$A4)</f>
        <v>8</v>
      </c>
      <c r="P4" s="210">
        <f>SUMIFS('Diags Raw Data'!$AA$6:$AA$4765,'Diags Raw Data'!$D$6:$D$4765,$A4)</f>
        <v>8</v>
      </c>
      <c r="Q4" s="212">
        <f>SUMIFS('Diags Raw Data'!$AB$6:$AB$4765,'Diags Raw Data'!$D$6:$D$4765,$A4)</f>
        <v>0</v>
      </c>
      <c r="R4" s="210">
        <f>SUMIFS('Diags Raw Data'!$AC$6:$AC$4765,'Diags Raw Data'!$D$6:$D$4765,$A4)</f>
        <v>0</v>
      </c>
      <c r="S4" s="212">
        <f>SUMIFS('Diags Raw Data'!$AD$6:$AD$4765,'Diags Raw Data'!$D$6:$D$4765,$A4)</f>
        <v>0</v>
      </c>
      <c r="T4" s="211">
        <f>IF(NOT($B4=0), O4/$B4, "---")</f>
        <v>9.0909090909090912E-2</v>
      </c>
      <c r="U4" s="225">
        <f>IF(NOT($O4=0), (P4+Q4)/$O4, "---")</f>
        <v>1</v>
      </c>
      <c r="V4" s="241">
        <f>IF(NOT($B4=0), (P4+Q4)/$B4, "---")</f>
        <v>9.0909090909090912E-2</v>
      </c>
    </row>
    <row r="5" spans="1:22" x14ac:dyDescent="0.25">
      <c r="A5" s="335" t="s">
        <v>478</v>
      </c>
      <c r="B5" s="253">
        <f>SUMIFS('Diags Raw Data'!$L$6:$L$4765,'Diags Raw Data'!$D$6:$D$4765,$A5)</f>
        <v>33</v>
      </c>
      <c r="C5" s="243">
        <f>SUMIFS('Diags Raw Data'!$R$6:$R$4765,'Diags Raw Data'!$D$6:$D$4765,$A5)</f>
        <v>30</v>
      </c>
      <c r="D5" s="243">
        <f>SUMIFS('Diags Raw Data'!$K$6:$K$4765,'Diags Raw Data'!$D$6:$D$4765,$A5)</f>
        <v>17</v>
      </c>
      <c r="E5" s="243">
        <f>SUMIFS('Diags Raw Data'!$O$6:$O$4765,'Diags Raw Data'!$D$6:$D$4765,$A5)</f>
        <v>28</v>
      </c>
      <c r="F5" s="249">
        <f t="shared" ref="F5:F12" si="0">IF(NOT($B5=0), E5/$B5, "---")</f>
        <v>0.84848484848484851</v>
      </c>
      <c r="G5" s="231">
        <f>SUMIFS('Diags Raw Data'!$S$6:$S$4765,'Diags Raw Data'!$D$6:$D$4765,$A5)</f>
        <v>18</v>
      </c>
      <c r="H5" s="227">
        <f>SUMIFS('Diags Raw Data'!$T$6:$T$4765,'Diags Raw Data'!$D$6:$D$4765,$A5)</f>
        <v>14</v>
      </c>
      <c r="I5" s="228">
        <f>SUMIFS('Diags Raw Data'!$U$6:$U$4765,'Diags Raw Data'!$D$6:$D$4765,$A5)</f>
        <v>0</v>
      </c>
      <c r="J5" s="227">
        <f>SUMIFS('Diags Raw Data'!$V$6:$V$4765,'Diags Raw Data'!$D$6:$D$4765,$A5)</f>
        <v>4</v>
      </c>
      <c r="K5" s="228">
        <f>SUMIFS('Diags Raw Data'!$W$6:$W$4765,'Diags Raw Data'!$D$6:$D$4765,$A5)</f>
        <v>0</v>
      </c>
      <c r="L5" s="244">
        <f t="shared" ref="L5:L13" si="1">IF(NOT($C5=0), G5/$C5, "---")</f>
        <v>0.6</v>
      </c>
      <c r="M5" s="229">
        <f t="shared" ref="M5:M13" si="2">IF(NOT($G5=0), (H5+I5)/$G5, "---")</f>
        <v>0.77777777777777779</v>
      </c>
      <c r="N5" s="238">
        <f t="shared" ref="N5:N12" si="3">IF(NOT($C5=0), (H5+I5)/$C5, "---")</f>
        <v>0.46666666666666667</v>
      </c>
      <c r="O5" s="214">
        <f>SUMIFS('Diags Raw Data'!$Z$6:$Z$4765,'Diags Raw Data'!$D$6:$D$4765,$A5)</f>
        <v>11</v>
      </c>
      <c r="P5" s="204">
        <f>SUMIFS('Diags Raw Data'!$AA$6:$AA$4765,'Diags Raw Data'!$D$6:$D$4765,$A5)</f>
        <v>9</v>
      </c>
      <c r="Q5" s="206">
        <f>SUMIFS('Diags Raw Data'!$AB$6:$AB$4765,'Diags Raw Data'!$D$6:$D$4765,$A5)</f>
        <v>0</v>
      </c>
      <c r="R5" s="204">
        <f>SUMIFS('Diags Raw Data'!$AC$6:$AC$4765,'Diags Raw Data'!$D$6:$D$4765,$A5)</f>
        <v>2</v>
      </c>
      <c r="S5" s="206">
        <f>SUMIFS('Diags Raw Data'!$AD$6:$AD$4765,'Diags Raw Data'!$D$6:$D$4765,$A5)</f>
        <v>0</v>
      </c>
      <c r="T5" s="205">
        <f t="shared" ref="T5:T13" si="4">IF(NOT($B5=0), O5/$B5, "---")</f>
        <v>0.33333333333333331</v>
      </c>
      <c r="U5" s="230">
        <f t="shared" ref="U5:U8" si="5">IF(NOT($O5=0), (P5+Q5)/$O5, "---")</f>
        <v>0.81818181818181823</v>
      </c>
      <c r="V5" s="232">
        <f t="shared" ref="V5:V13" si="6">IF(NOT($B5=0), (P5+Q5)/$B5, "---")</f>
        <v>0.27272727272727271</v>
      </c>
    </row>
    <row r="6" spans="1:22" x14ac:dyDescent="0.25">
      <c r="A6" s="335" t="s">
        <v>479</v>
      </c>
      <c r="B6" s="253">
        <f>SUMIFS('Diags Raw Data'!$L$6:$L$4765,'Diags Raw Data'!$D$6:$D$4765,$A6)</f>
        <v>9</v>
      </c>
      <c r="C6" s="243">
        <f>SUMIFS('Diags Raw Data'!$R$6:$R$4765,'Diags Raw Data'!$D$6:$D$4765,$A6)</f>
        <v>8</v>
      </c>
      <c r="D6" s="243">
        <f>SUMIFS('Diags Raw Data'!$K$6:$K$4765,'Diags Raw Data'!$D$6:$D$4765,$A6)</f>
        <v>5</v>
      </c>
      <c r="E6" s="243">
        <f>SUMIFS('Diags Raw Data'!$O$6:$O$4765,'Diags Raw Data'!$D$6:$D$4765,$A6)</f>
        <v>8.5</v>
      </c>
      <c r="F6" s="249">
        <f t="shared" si="0"/>
        <v>0.94444444444444442</v>
      </c>
      <c r="G6" s="231">
        <f>SUMIFS('Diags Raw Data'!$S$6:$S$4765,'Diags Raw Data'!$D$6:$D$4765,$A6)</f>
        <v>8</v>
      </c>
      <c r="H6" s="227">
        <f>SUMIFS('Diags Raw Data'!$T$6:$T$4765,'Diags Raw Data'!$D$6:$D$4765,$A6)</f>
        <v>7</v>
      </c>
      <c r="I6" s="228">
        <f>SUMIFS('Diags Raw Data'!$U$6:$U$4765,'Diags Raw Data'!$D$6:$D$4765,$A6)</f>
        <v>0</v>
      </c>
      <c r="J6" s="227">
        <f>SUMIFS('Diags Raw Data'!$V$6:$V$4765,'Diags Raw Data'!$D$6:$D$4765,$A6)</f>
        <v>1</v>
      </c>
      <c r="K6" s="228">
        <f>SUMIFS('Diags Raw Data'!$W$6:$W$4765,'Diags Raw Data'!$D$6:$D$4765,$A6)</f>
        <v>0</v>
      </c>
      <c r="L6" s="244">
        <f t="shared" si="1"/>
        <v>1</v>
      </c>
      <c r="M6" s="229">
        <f t="shared" si="2"/>
        <v>0.875</v>
      </c>
      <c r="N6" s="238">
        <f t="shared" si="3"/>
        <v>0.875</v>
      </c>
      <c r="O6" s="214">
        <f>SUMIFS('Diags Raw Data'!$Z$6:$Z$4765,'Diags Raw Data'!$D$6:$D$4765,$A6)</f>
        <v>0</v>
      </c>
      <c r="P6" s="204">
        <f>SUMIFS('Diags Raw Data'!$AA$6:$AA$4765,'Diags Raw Data'!$D$6:$D$4765,$A6)</f>
        <v>0</v>
      </c>
      <c r="Q6" s="206">
        <f>SUMIFS('Diags Raw Data'!$AB$6:$AB$4765,'Diags Raw Data'!$D$6:$D$4765,$A6)</f>
        <v>0</v>
      </c>
      <c r="R6" s="204">
        <f>SUMIFS('Diags Raw Data'!$AC$6:$AC$4765,'Diags Raw Data'!$D$6:$D$4765,$A6)</f>
        <v>0</v>
      </c>
      <c r="S6" s="206">
        <f>SUMIFS('Diags Raw Data'!$AD$6:$AD$4765,'Diags Raw Data'!$D$6:$D$4765,$A6)</f>
        <v>0</v>
      </c>
      <c r="T6" s="205">
        <f t="shared" si="4"/>
        <v>0</v>
      </c>
      <c r="U6" s="230" t="str">
        <f t="shared" si="5"/>
        <v>---</v>
      </c>
      <c r="V6" s="232">
        <f t="shared" si="6"/>
        <v>0</v>
      </c>
    </row>
    <row r="7" spans="1:22" x14ac:dyDescent="0.25">
      <c r="A7" s="335" t="s">
        <v>480</v>
      </c>
      <c r="B7" s="253">
        <f>SUMIFS('Diags Raw Data'!$L$6:$L$4765,'Diags Raw Data'!$D$6:$D$4765,$A7)</f>
        <v>17</v>
      </c>
      <c r="C7" s="243">
        <f>SUMIFS('Diags Raw Data'!$R$6:$R$4765,'Diags Raw Data'!$D$6:$D$4765,$A7)</f>
        <v>15</v>
      </c>
      <c r="D7" s="243">
        <f>SUMIFS('Diags Raw Data'!$K$6:$K$4765,'Diags Raw Data'!$D$6:$D$4765,$A7)</f>
        <v>8</v>
      </c>
      <c r="E7" s="243">
        <f>SUMIFS('Diags Raw Data'!$O$6:$O$4765,'Diags Raw Data'!$D$6:$D$4765,$A7)</f>
        <v>17</v>
      </c>
      <c r="F7" s="249">
        <f t="shared" si="0"/>
        <v>1</v>
      </c>
      <c r="G7" s="231">
        <f>SUMIFS('Diags Raw Data'!$S$6:$S$4765,'Diags Raw Data'!$D$6:$D$4765,$A7)</f>
        <v>14</v>
      </c>
      <c r="H7" s="227">
        <f>SUMIFS('Diags Raw Data'!$T$6:$T$4765,'Diags Raw Data'!$D$6:$D$4765,$A7)</f>
        <v>12</v>
      </c>
      <c r="I7" s="228">
        <f>SUMIFS('Diags Raw Data'!$U$6:$U$4765,'Diags Raw Data'!$D$6:$D$4765,$A7)</f>
        <v>0</v>
      </c>
      <c r="J7" s="227">
        <f>SUMIFS('Diags Raw Data'!$V$6:$V$4765,'Diags Raw Data'!$D$6:$D$4765,$A7)</f>
        <v>2</v>
      </c>
      <c r="K7" s="228">
        <f>SUMIFS('Diags Raw Data'!$W$6:$W$4765,'Diags Raw Data'!$D$6:$D$4765,$A7)</f>
        <v>0</v>
      </c>
      <c r="L7" s="244">
        <f t="shared" si="1"/>
        <v>0.93333333333333335</v>
      </c>
      <c r="M7" s="229">
        <f t="shared" si="2"/>
        <v>0.8571428571428571</v>
      </c>
      <c r="N7" s="238">
        <f t="shared" si="3"/>
        <v>0.8</v>
      </c>
      <c r="O7" s="214">
        <f>SUMIFS('Diags Raw Data'!$Z$6:$Z$4765,'Diags Raw Data'!$D$6:$D$4765,$A7)</f>
        <v>5</v>
      </c>
      <c r="P7" s="204">
        <f>SUMIFS('Diags Raw Data'!$AA$6:$AA$4765,'Diags Raw Data'!$D$6:$D$4765,$A7)</f>
        <v>5</v>
      </c>
      <c r="Q7" s="206">
        <f>SUMIFS('Diags Raw Data'!$AB$6:$AB$4765,'Diags Raw Data'!$D$6:$D$4765,$A7)</f>
        <v>0</v>
      </c>
      <c r="R7" s="204">
        <f>SUMIFS('Diags Raw Data'!$AC$6:$AC$4765,'Diags Raw Data'!$D$6:$D$4765,$A7)</f>
        <v>0</v>
      </c>
      <c r="S7" s="206">
        <f>SUMIFS('Diags Raw Data'!$AD$6:$AD$4765,'Diags Raw Data'!$D$6:$D$4765,$A7)</f>
        <v>0</v>
      </c>
      <c r="T7" s="205">
        <f t="shared" si="4"/>
        <v>0.29411764705882354</v>
      </c>
      <c r="U7" s="230">
        <f t="shared" si="5"/>
        <v>1</v>
      </c>
      <c r="V7" s="232">
        <f t="shared" si="6"/>
        <v>0.29411764705882354</v>
      </c>
    </row>
    <row r="8" spans="1:22" x14ac:dyDescent="0.25">
      <c r="A8" s="335" t="s">
        <v>481</v>
      </c>
      <c r="B8" s="253">
        <f>SUMIFS('Diags Raw Data'!$L$6:$L$4765,'Diags Raw Data'!$D$6:$D$4765,$A8)</f>
        <v>1</v>
      </c>
      <c r="C8" s="243">
        <f>SUMIFS('Diags Raw Data'!$R$6:$R$4765,'Diags Raw Data'!$D$6:$D$4765,$A8)</f>
        <v>1</v>
      </c>
      <c r="D8" s="243">
        <f>SUMIFS('Diags Raw Data'!$K$6:$K$4765,'Diags Raw Data'!$D$6:$D$4765,$A8)</f>
        <v>1</v>
      </c>
      <c r="E8" s="243">
        <f>SUMIFS('Diags Raw Data'!$O$6:$O$4765,'Diags Raw Data'!$D$6:$D$4765,$A8)</f>
        <v>1</v>
      </c>
      <c r="F8" s="249">
        <f t="shared" si="0"/>
        <v>1</v>
      </c>
      <c r="G8" s="231">
        <f>SUMIFS('Diags Raw Data'!$S$6:$S$4765,'Diags Raw Data'!$D$6:$D$4765,$A8)</f>
        <v>1</v>
      </c>
      <c r="H8" s="227">
        <f>SUMIFS('Diags Raw Data'!$T$6:$T$4765,'Diags Raw Data'!$D$6:$D$4765,$A8)</f>
        <v>1</v>
      </c>
      <c r="I8" s="228">
        <f>SUMIFS('Diags Raw Data'!$U$6:$U$4765,'Diags Raw Data'!$D$6:$D$4765,$A8)</f>
        <v>0</v>
      </c>
      <c r="J8" s="227">
        <f>SUMIFS('Diags Raw Data'!$V$6:$V$4765,'Diags Raw Data'!$D$6:$D$4765,$A8)</f>
        <v>0</v>
      </c>
      <c r="K8" s="228">
        <f>SUMIFS('Diags Raw Data'!$W$6:$W$4765,'Diags Raw Data'!$D$6:$D$4765,$A8)</f>
        <v>0</v>
      </c>
      <c r="L8" s="244">
        <f t="shared" si="1"/>
        <v>1</v>
      </c>
      <c r="M8" s="229">
        <f t="shared" si="2"/>
        <v>1</v>
      </c>
      <c r="N8" s="238">
        <f t="shared" si="3"/>
        <v>1</v>
      </c>
      <c r="O8" s="214">
        <f>SUMIFS('Diags Raw Data'!$Z$6:$Z$4765,'Diags Raw Data'!$D$6:$D$4765,$A8)</f>
        <v>0</v>
      </c>
      <c r="P8" s="204">
        <f>SUMIFS('Diags Raw Data'!$AA$6:$AA$4765,'Diags Raw Data'!$D$6:$D$4765,$A8)</f>
        <v>0</v>
      </c>
      <c r="Q8" s="206">
        <f>SUMIFS('Diags Raw Data'!$AB$6:$AB$4765,'Diags Raw Data'!$D$6:$D$4765,$A8)</f>
        <v>0</v>
      </c>
      <c r="R8" s="204">
        <f>SUMIFS('Diags Raw Data'!$AC$6:$AC$4765,'Diags Raw Data'!$D$6:$D$4765,$A8)</f>
        <v>0</v>
      </c>
      <c r="S8" s="206">
        <f>SUMIFS('Diags Raw Data'!$AD$6:$AD$4765,'Diags Raw Data'!$D$6:$D$4765,$A8)</f>
        <v>0</v>
      </c>
      <c r="T8" s="205">
        <f t="shared" si="4"/>
        <v>0</v>
      </c>
      <c r="U8" s="230" t="str">
        <f t="shared" si="5"/>
        <v>---</v>
      </c>
      <c r="V8" s="232">
        <f t="shared" si="6"/>
        <v>0</v>
      </c>
    </row>
    <row r="9" spans="1:22" x14ac:dyDescent="0.25">
      <c r="A9" s="335" t="s">
        <v>482</v>
      </c>
      <c r="B9" s="253">
        <f>SUMIFS('Diags Raw Data'!$L$6:$L$4765,'Diags Raw Data'!$D$6:$D$4765,$A9)</f>
        <v>85</v>
      </c>
      <c r="C9" s="243">
        <f>SUMIFS('Diags Raw Data'!$R$6:$R$4765,'Diags Raw Data'!$D$6:$D$4765,$A9)</f>
        <v>27</v>
      </c>
      <c r="D9" s="243">
        <f>SUMIFS('Diags Raw Data'!$K$6:$K$4765,'Diags Raw Data'!$D$6:$D$4765,$A9)</f>
        <v>18</v>
      </c>
      <c r="E9" s="243">
        <f>SUMIFS('Diags Raw Data'!$O$6:$O$4765,'Diags Raw Data'!$D$6:$D$4765,$A9)</f>
        <v>82</v>
      </c>
      <c r="F9" s="249">
        <f t="shared" si="0"/>
        <v>0.96470588235294119</v>
      </c>
      <c r="G9" s="231">
        <f>SUMIFS('Diags Raw Data'!$S$6:$S$4765,'Diags Raw Data'!$D$6:$D$4765,$A9)</f>
        <v>10</v>
      </c>
      <c r="H9" s="227">
        <f>SUMIFS('Diags Raw Data'!$T$6:$T$4765,'Diags Raw Data'!$D$6:$D$4765,$A9)</f>
        <v>10</v>
      </c>
      <c r="I9" s="228">
        <f>SUMIFS('Diags Raw Data'!$U$6:$U$4765,'Diags Raw Data'!$D$6:$D$4765,$A9)</f>
        <v>0</v>
      </c>
      <c r="J9" s="227">
        <f>SUMIFS('Diags Raw Data'!$V$6:$V$4765,'Diags Raw Data'!$D$6:$D$4765,$A9)</f>
        <v>0</v>
      </c>
      <c r="K9" s="228">
        <f>SUMIFS('Diags Raw Data'!$W$6:$W$4765,'Diags Raw Data'!$D$6:$D$4765,$A9)</f>
        <v>0</v>
      </c>
      <c r="L9" s="244">
        <f t="shared" si="1"/>
        <v>0.37037037037037035</v>
      </c>
      <c r="M9" s="229">
        <f t="shared" si="2"/>
        <v>1</v>
      </c>
      <c r="N9" s="238">
        <f t="shared" si="3"/>
        <v>0.37037037037037035</v>
      </c>
      <c r="O9" s="214">
        <f>SUMIFS('Diags Raw Data'!$Z$6:$Z$4765,'Diags Raw Data'!$D$6:$D$4765,$A9)</f>
        <v>4</v>
      </c>
      <c r="P9" s="204">
        <f>SUMIFS('Diags Raw Data'!$AA$6:$AA$4765,'Diags Raw Data'!$D$6:$D$4765,$A9)</f>
        <v>4</v>
      </c>
      <c r="Q9" s="206">
        <f>SUMIFS('Diags Raw Data'!$AB$6:$AB$4765,'Diags Raw Data'!$D$6:$D$4765,$A9)</f>
        <v>0</v>
      </c>
      <c r="R9" s="204">
        <f>SUMIFS('Diags Raw Data'!$AC$6:$AC$4765,'Diags Raw Data'!$D$6:$D$4765,$A9)</f>
        <v>0</v>
      </c>
      <c r="S9" s="206">
        <f>SUMIFS('Diags Raw Data'!$AD$6:$AD$4765,'Diags Raw Data'!$D$6:$D$4765,$A9)</f>
        <v>0</v>
      </c>
      <c r="T9" s="205">
        <f t="shared" si="4"/>
        <v>4.7058823529411764E-2</v>
      </c>
      <c r="U9" s="230">
        <f>IF(NOT($O9=0), (P9+Q9)/$O9, "---")</f>
        <v>1</v>
      </c>
      <c r="V9" s="232">
        <f t="shared" si="6"/>
        <v>4.7058823529411764E-2</v>
      </c>
    </row>
    <row r="10" spans="1:22" x14ac:dyDescent="0.25">
      <c r="A10" s="335" t="s">
        <v>483</v>
      </c>
      <c r="B10" s="253">
        <f>SUMIFS('Diags Raw Data'!$L$6:$L$4765,'Diags Raw Data'!$D$6:$D$4765,$A10)</f>
        <v>323</v>
      </c>
      <c r="C10" s="243">
        <f>SUMIFS('Diags Raw Data'!$R$6:$R$4765,'Diags Raw Data'!$D$6:$D$4765,$A10)</f>
        <v>322</v>
      </c>
      <c r="D10" s="243">
        <f>SUMIFS('Diags Raw Data'!$K$6:$K$4765,'Diags Raw Data'!$D$6:$D$4765,$A10)</f>
        <v>39</v>
      </c>
      <c r="E10" s="243">
        <f>SUMIFS('Diags Raw Data'!$O$6:$O$4765,'Diags Raw Data'!$D$6:$D$4765,$A10)</f>
        <v>323</v>
      </c>
      <c r="F10" s="249">
        <f>IF(NOT($B10=0), E10/$B10, "---")</f>
        <v>1</v>
      </c>
      <c r="G10" s="231">
        <f>SUMIFS('Diags Raw Data'!$S$6:$S$4765,'Diags Raw Data'!$D$6:$D$4765,$A10)</f>
        <v>288</v>
      </c>
      <c r="H10" s="227">
        <f>SUMIFS('Diags Raw Data'!$T$6:$T$4765,'Diags Raw Data'!$D$6:$D$4765,$A10)</f>
        <v>285</v>
      </c>
      <c r="I10" s="228">
        <f>SUMIFS('Diags Raw Data'!$U$6:$U$4765,'Diags Raw Data'!$D$6:$D$4765,$A10)</f>
        <v>0</v>
      </c>
      <c r="J10" s="227">
        <f>SUMIFS('Diags Raw Data'!$V$6:$V$4765,'Diags Raw Data'!$D$6:$D$4765,$A10)</f>
        <v>3</v>
      </c>
      <c r="K10" s="228">
        <f>SUMIFS('Diags Raw Data'!$W$6:$W$4765,'Diags Raw Data'!$D$6:$D$4765,$A10)</f>
        <v>0</v>
      </c>
      <c r="L10" s="244">
        <f t="shared" si="1"/>
        <v>0.89440993788819878</v>
      </c>
      <c r="M10" s="229">
        <f t="shared" si="2"/>
        <v>0.98958333333333337</v>
      </c>
      <c r="N10" s="238">
        <f t="shared" si="3"/>
        <v>0.8850931677018633</v>
      </c>
      <c r="O10" s="214">
        <f>SUMIFS('Diags Raw Data'!$Z$6:$Z$4765,'Diags Raw Data'!$D$6:$D$4765,$A10)</f>
        <v>212</v>
      </c>
      <c r="P10" s="204">
        <f>SUMIFS('Diags Raw Data'!$AA$6:$AA$4765,'Diags Raw Data'!$D$6:$D$4765,$A10)</f>
        <v>212</v>
      </c>
      <c r="Q10" s="206">
        <f>SUMIFS('Diags Raw Data'!$AB$6:$AB$4765,'Diags Raw Data'!$D$6:$D$4765,$A10)</f>
        <v>0</v>
      </c>
      <c r="R10" s="204">
        <f>SUMIFS('Diags Raw Data'!$AC$6:$AC$4765,'Diags Raw Data'!$D$6:$D$4765,$A10)</f>
        <v>0</v>
      </c>
      <c r="S10" s="206">
        <f>SUMIFS('Diags Raw Data'!$AD$6:$AD$4765,'Diags Raw Data'!$D$6:$D$4765,$A10)</f>
        <v>0</v>
      </c>
      <c r="T10" s="205">
        <f t="shared" si="4"/>
        <v>0.65634674922600622</v>
      </c>
      <c r="U10" s="230">
        <f t="shared" ref="U10:U13" si="7">IF(NOT($O10=0), (P10+Q10)/$O10, "---")</f>
        <v>1</v>
      </c>
      <c r="V10" s="232">
        <f t="shared" si="6"/>
        <v>0.65634674922600622</v>
      </c>
    </row>
    <row r="11" spans="1:22" x14ac:dyDescent="0.25">
      <c r="A11" s="335" t="s">
        <v>484</v>
      </c>
      <c r="B11" s="253">
        <f>SUMIFS('Diags Raw Data'!$L$6:$L$4765,'Diags Raw Data'!$D$6:$D$4765,$A11)</f>
        <v>22</v>
      </c>
      <c r="C11" s="243">
        <f>SUMIFS('Diags Raw Data'!$R$6:$R$4765,'Diags Raw Data'!$D$6:$D$4765,$A11)</f>
        <v>21</v>
      </c>
      <c r="D11" s="243">
        <f>SUMIFS('Diags Raw Data'!$K$6:$K$4765,'Diags Raw Data'!$D$6:$D$4765,$A11)</f>
        <v>14</v>
      </c>
      <c r="E11" s="243">
        <f>SUMIFS('Diags Raw Data'!$O$6:$O$4765,'Diags Raw Data'!$D$6:$D$4765,$A11)</f>
        <v>21.6</v>
      </c>
      <c r="F11" s="249">
        <f t="shared" si="0"/>
        <v>0.98181818181818192</v>
      </c>
      <c r="G11" s="231">
        <f>SUMIFS('Diags Raw Data'!$S$6:$S$4765,'Diags Raw Data'!$D$6:$D$4765,$A11)</f>
        <v>18</v>
      </c>
      <c r="H11" s="227">
        <f>SUMIFS('Diags Raw Data'!$T$6:$T$4765,'Diags Raw Data'!$D$6:$D$4765,$A11)</f>
        <v>17</v>
      </c>
      <c r="I11" s="228">
        <f>SUMIFS('Diags Raw Data'!$U$6:$U$4765,'Diags Raw Data'!$D$6:$D$4765,$A11)</f>
        <v>0</v>
      </c>
      <c r="J11" s="227">
        <f>SUMIFS('Diags Raw Data'!$V$6:$V$4765,'Diags Raw Data'!$D$6:$D$4765,$A11)</f>
        <v>1</v>
      </c>
      <c r="K11" s="228">
        <f>SUMIFS('Diags Raw Data'!$W$6:$W$4765,'Diags Raw Data'!$D$6:$D$4765,$A11)</f>
        <v>0</v>
      </c>
      <c r="L11" s="244">
        <f t="shared" si="1"/>
        <v>0.8571428571428571</v>
      </c>
      <c r="M11" s="229">
        <f t="shared" si="2"/>
        <v>0.94444444444444442</v>
      </c>
      <c r="N11" s="238">
        <f t="shared" si="3"/>
        <v>0.80952380952380953</v>
      </c>
      <c r="O11" s="214">
        <f>SUMIFS('Diags Raw Data'!$Z$6:$Z$4765,'Diags Raw Data'!$D$6:$D$4765,$A11)</f>
        <v>0</v>
      </c>
      <c r="P11" s="204">
        <f>SUMIFS('Diags Raw Data'!$AA$6:$AA$4765,'Diags Raw Data'!$D$6:$D$4765,$A11)</f>
        <v>0</v>
      </c>
      <c r="Q11" s="206">
        <f>SUMIFS('Diags Raw Data'!$AB$6:$AB$4765,'Diags Raw Data'!$D$6:$D$4765,$A11)</f>
        <v>0</v>
      </c>
      <c r="R11" s="204">
        <f>SUMIFS('Diags Raw Data'!$AC$6:$AC$4765,'Diags Raw Data'!$D$6:$D$4765,$A11)</f>
        <v>0</v>
      </c>
      <c r="S11" s="206">
        <f>SUMIFS('Diags Raw Data'!$AD$6:$AD$4765,'Diags Raw Data'!$D$6:$D$4765,$A11)</f>
        <v>0</v>
      </c>
      <c r="T11" s="205">
        <f t="shared" si="4"/>
        <v>0</v>
      </c>
      <c r="U11" s="230" t="str">
        <f t="shared" si="7"/>
        <v>---</v>
      </c>
      <c r="V11" s="232">
        <f t="shared" si="6"/>
        <v>0</v>
      </c>
    </row>
    <row r="12" spans="1:22" x14ac:dyDescent="0.25">
      <c r="A12" s="335" t="s">
        <v>485</v>
      </c>
      <c r="B12" s="253">
        <f>SUMIFS('Diags Raw Data'!$L$6:$L$4765,'Diags Raw Data'!$D$6:$D$4765,$A12)</f>
        <v>140</v>
      </c>
      <c r="C12" s="243">
        <f>SUMIFS('Diags Raw Data'!$R$6:$R$4765,'Diags Raw Data'!$D$6:$D$4765,$A12)</f>
        <v>48</v>
      </c>
      <c r="D12" s="243">
        <f>SUMIFS('Diags Raw Data'!$K$6:$K$4765,'Diags Raw Data'!$D$6:$D$4765,$A12)</f>
        <v>14</v>
      </c>
      <c r="E12" s="243">
        <f>SUMIFS('Diags Raw Data'!$O$6:$O$4765,'Diags Raw Data'!$D$6:$D$4765,$A12)</f>
        <v>139</v>
      </c>
      <c r="F12" s="249">
        <f t="shared" si="0"/>
        <v>0.99285714285714288</v>
      </c>
      <c r="G12" s="231">
        <f>SUMIFS('Diags Raw Data'!$S$6:$S$4765,'Diags Raw Data'!$D$6:$D$4765,$A12)</f>
        <v>47</v>
      </c>
      <c r="H12" s="227">
        <f>SUMIFS('Diags Raw Data'!$T$6:$T$4765,'Diags Raw Data'!$D$6:$D$4765,$A12)</f>
        <v>46</v>
      </c>
      <c r="I12" s="228">
        <f>SUMIFS('Diags Raw Data'!$U$6:$U$4765,'Diags Raw Data'!$D$6:$D$4765,$A12)</f>
        <v>0</v>
      </c>
      <c r="J12" s="227">
        <f>SUMIFS('Diags Raw Data'!$V$6:$V$4765,'Diags Raw Data'!$D$6:$D$4765,$A12)</f>
        <v>1</v>
      </c>
      <c r="K12" s="228">
        <f>SUMIFS('Diags Raw Data'!$W$6:$W$4765,'Diags Raw Data'!$D$6:$D$4765,$A12)</f>
        <v>0</v>
      </c>
      <c r="L12" s="244">
        <f t="shared" si="1"/>
        <v>0.97916666666666663</v>
      </c>
      <c r="M12" s="229">
        <f t="shared" si="2"/>
        <v>0.97872340425531912</v>
      </c>
      <c r="N12" s="238">
        <f t="shared" si="3"/>
        <v>0.95833333333333337</v>
      </c>
      <c r="O12" s="214">
        <f>SUMIFS('Diags Raw Data'!$Z$6:$Z$4765,'Diags Raw Data'!$D$6:$D$4765,$A12)</f>
        <v>0</v>
      </c>
      <c r="P12" s="204">
        <f>SUMIFS('Diags Raw Data'!$AA$6:$AA$4765,'Diags Raw Data'!$D$6:$D$4765,$A12)</f>
        <v>0</v>
      </c>
      <c r="Q12" s="206">
        <f>SUMIFS('Diags Raw Data'!$AB$6:$AB$4765,'Diags Raw Data'!$D$6:$D$4765,$A12)</f>
        <v>0</v>
      </c>
      <c r="R12" s="204">
        <f>SUMIFS('Diags Raw Data'!$AC$6:$AC$4765,'Diags Raw Data'!$D$6:$D$4765,$A12)</f>
        <v>0</v>
      </c>
      <c r="S12" s="206">
        <f>SUMIFS('Diags Raw Data'!$AD$6:$AD$4765,'Diags Raw Data'!$D$6:$D$4765,$A12)</f>
        <v>0</v>
      </c>
      <c r="T12" s="205">
        <f t="shared" si="4"/>
        <v>0</v>
      </c>
      <c r="U12" s="230" t="str">
        <f t="shared" si="7"/>
        <v>---</v>
      </c>
      <c r="V12" s="232">
        <f t="shared" si="6"/>
        <v>0</v>
      </c>
    </row>
    <row r="13" spans="1:22" ht="15.75" thickBot="1" x14ac:dyDescent="0.3">
      <c r="A13" s="336" t="s">
        <v>486</v>
      </c>
      <c r="B13" s="254">
        <f>SUMIFS('Diags Raw Data'!$L$6:$L$4765,'Diags Raw Data'!$D$6:$D$4765,$A13)</f>
        <v>0</v>
      </c>
      <c r="C13" s="245">
        <f>SUMIFS('Diags Raw Data'!$R$6:$R$4765,'Diags Raw Data'!$D$6:$D$4765,$A13)</f>
        <v>0</v>
      </c>
      <c r="D13" s="245">
        <f>SUMIFS('Diags Raw Data'!$K$6:$K$4765,'Diags Raw Data'!$D$6:$D$4765,$A13)</f>
        <v>0</v>
      </c>
      <c r="E13" s="245">
        <f>SUMIFS('Diags Raw Data'!$O$6:$O$4765,'Diags Raw Data'!$D$6:$D$4765,$A13)</f>
        <v>0</v>
      </c>
      <c r="F13" s="250" t="str">
        <f>IF(NOT($B13=0), E13/$B13, "---")</f>
        <v>---</v>
      </c>
      <c r="G13" s="233">
        <f>SUMIFS('Diags Raw Data'!$S$6:$S$4765,'Diags Raw Data'!$D$6:$D$4765,$A13)</f>
        <v>0</v>
      </c>
      <c r="H13" s="234">
        <f>SUMIFS('Diags Raw Data'!$T$6:$T$4765,'Diags Raw Data'!$D$6:$D$4765,$A13)</f>
        <v>0</v>
      </c>
      <c r="I13" s="235">
        <f>SUMIFS('Diags Raw Data'!$U$6:$U$4765,'Diags Raw Data'!$D$6:$D$4765,$A13)</f>
        <v>0</v>
      </c>
      <c r="J13" s="234">
        <f>SUMIFS('Diags Raw Data'!$V$6:$V$4765,'Diags Raw Data'!$D$6:$D$4765,$A13)</f>
        <v>0</v>
      </c>
      <c r="K13" s="235">
        <f>SUMIFS('Diags Raw Data'!$W$6:$W$4765,'Diags Raw Data'!$D$6:$D$4765,$A13)</f>
        <v>0</v>
      </c>
      <c r="L13" s="246" t="str">
        <f t="shared" si="1"/>
        <v>---</v>
      </c>
      <c r="M13" s="236" t="str">
        <f t="shared" si="2"/>
        <v>---</v>
      </c>
      <c r="N13" s="239" t="str">
        <f>IF(NOT($C13=0), (H13+I13)/$C13, "---")</f>
        <v>---</v>
      </c>
      <c r="O13" s="215">
        <f>SUMIFS('Diags Raw Data'!$Z$6:$Z$4765,'Diags Raw Data'!$D$6:$D$4765,$A13)</f>
        <v>0</v>
      </c>
      <c r="P13" s="207">
        <f>SUMIFS('Diags Raw Data'!$AA$6:$AA$4765,'Diags Raw Data'!$D$6:$D$4765,$A13)</f>
        <v>0</v>
      </c>
      <c r="Q13" s="209">
        <f>SUMIFS('Diags Raw Data'!$AB$6:$AB$4765,'Diags Raw Data'!$D$6:$D$4765,$A13)</f>
        <v>0</v>
      </c>
      <c r="R13" s="207">
        <f>SUMIFS('Diags Raw Data'!$AC$6:$AC$4765,'Diags Raw Data'!$D$6:$D$4765,$A13)</f>
        <v>0</v>
      </c>
      <c r="S13" s="209">
        <f>SUMIFS('Diags Raw Data'!$AD$6:$AD$4765,'Diags Raw Data'!$D$6:$D$4765,$A13)</f>
        <v>0</v>
      </c>
      <c r="T13" s="208" t="str">
        <f t="shared" si="4"/>
        <v>---</v>
      </c>
      <c r="U13" s="240" t="str">
        <f t="shared" si="7"/>
        <v>---</v>
      </c>
      <c r="V13" s="237" t="str">
        <f t="shared" si="6"/>
        <v>---</v>
      </c>
    </row>
    <row r="14" spans="1:22" ht="16.5" thickBot="1" x14ac:dyDescent="0.3">
      <c r="A14" s="273" t="s">
        <v>487</v>
      </c>
      <c r="B14" s="257">
        <f>SUM(B4:B13)</f>
        <v>718</v>
      </c>
      <c r="C14" s="258">
        <f>SUM(C4:C13)</f>
        <v>525</v>
      </c>
      <c r="D14" s="258">
        <f>SUM(D4:D13)</f>
        <v>142</v>
      </c>
      <c r="E14" s="258">
        <f>SUM(E4:E13)</f>
        <v>707.1</v>
      </c>
      <c r="F14" s="259" cm="1">
        <f t="array" ref="F14">SUMPRODUCT(--(ISNUMBER(SEARCH("New",'Diags Raw Data'!$M$6:$M$4765))),'Diags Raw Data'!$K$6:$K$4765,'Diags Raw Data'!$P$6:$P$4765)/D14+SUMPRODUCT(--(ISNUMBER(SEARCH("Delta",'Diags Raw Data'!$M$6:$M$4765))),'Diags Raw Data'!$K$6:$K$4765,'Diags Raw Data'!$P$6:$P$4765)/D14+SUMPRODUCT(--(ISNUMBER(SEARCH("Legacy",'Diags Raw Data'!$M$6:$M$4765))),'Diags Raw Data'!$K$6:$K$4765,'Diags Raw Data'!$P$6:$P$4765)/D14</f>
        <v>0.93978873239436622</v>
      </c>
      <c r="G14" s="260">
        <f>SUM(G4:G13)</f>
        <v>445</v>
      </c>
      <c r="H14" s="261">
        <f>SUM(H4:H13)</f>
        <v>433</v>
      </c>
      <c r="I14" s="262">
        <f>SUM(I4:I13)</f>
        <v>0</v>
      </c>
      <c r="J14" s="261">
        <f>SUM(J4:J13)</f>
        <v>12</v>
      </c>
      <c r="K14" s="262">
        <f>SUM(K4:K13)</f>
        <v>0</v>
      </c>
      <c r="L14" s="263">
        <f>IF(NOT($C14=0), G14/$C14, "---")</f>
        <v>0.84761904761904761</v>
      </c>
      <c r="M14" s="264">
        <f>IF(NOT($G14=0), (H14+I14)/$G14, "---")</f>
        <v>0.97303370786516852</v>
      </c>
      <c r="N14" s="265">
        <f>IF(NOT($C14=0), (H14+I14)/$C14, "---")</f>
        <v>0.82476190476190481</v>
      </c>
      <c r="O14" s="266">
        <f>SUM(O4:O13)</f>
        <v>240</v>
      </c>
      <c r="P14" s="267">
        <f>SUM(P4:P13)</f>
        <v>238</v>
      </c>
      <c r="Q14" s="268">
        <f>SUM(Q4:Q13)</f>
        <v>0</v>
      </c>
      <c r="R14" s="267">
        <f>SUM(R4:R13)</f>
        <v>2</v>
      </c>
      <c r="S14" s="268">
        <f>SUM(S4:S13)</f>
        <v>0</v>
      </c>
      <c r="T14" s="269">
        <f>IF(NOT($B14=0), O14/$B14, "---")</f>
        <v>0.33426183844011143</v>
      </c>
      <c r="U14" s="270">
        <f>IF(NOT($O14=0), (P14+Q14)/$O14, "---")</f>
        <v>0.9916666666666667</v>
      </c>
      <c r="V14" s="271">
        <f>IF(NOT($B14=0), (P14+Q14)/$B14, "---")</f>
        <v>0.33147632311977715</v>
      </c>
    </row>
    <row r="15" spans="1:22" ht="15.75" thickBot="1" x14ac:dyDescent="0.3"/>
    <row r="16" spans="1:22" ht="15.75" thickBot="1" x14ac:dyDescent="0.3">
      <c r="A16" s="216" t="s">
        <v>488</v>
      </c>
      <c r="B16" s="619" t="s">
        <v>166</v>
      </c>
      <c r="C16" s="619"/>
      <c r="D16" s="619"/>
      <c r="E16" s="619"/>
      <c r="F16" s="619"/>
      <c r="G16" s="620" t="s">
        <v>177</v>
      </c>
      <c r="H16" s="621"/>
      <c r="I16" s="621"/>
      <c r="J16" s="621"/>
      <c r="K16" s="621"/>
      <c r="L16" s="621"/>
      <c r="M16" s="621"/>
      <c r="N16" s="622"/>
      <c r="O16" s="623" t="s">
        <v>144</v>
      </c>
      <c r="P16" s="624"/>
      <c r="Q16" s="624"/>
      <c r="R16" s="624"/>
      <c r="S16" s="624"/>
      <c r="T16" s="624"/>
      <c r="U16" s="624"/>
      <c r="V16" s="625"/>
    </row>
    <row r="17" spans="1:22" s="251" customFormat="1" ht="30.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5" t="s">
        <v>477</v>
      </c>
      <c r="B18" s="252">
        <f>SUMIFS('Diags Raw Data'!$L$6:$L$4765,'Diags Raw Data'!$D$6:$D$4765,$A18,'Diags Raw Data'!$M$6:$M$4765,"New")+SUMIFS('Diags Raw Data'!$L$6:$L$4765,'Diags Raw Data'!$D$6:$D$4765,$A18,'Diags Raw Data'!$M$6:$M$4765,"Delta")</f>
        <v>88</v>
      </c>
      <c r="C18" s="242">
        <f>SUMIFS('Diags Raw Data'!$R$6:$R$4765,'Diags Raw Data'!$D$6:$D$4765,$A18,'Diags Raw Data'!$M$6:$M$4765,"New")+SUMIFS('Diags Raw Data'!$R$6:$R$4765,'Diags Raw Data'!$D$6:$D$4765,$A18,'Diags Raw Data'!$M$6:$M$4765,"Delta")</f>
        <v>53</v>
      </c>
      <c r="D18" s="242">
        <f>SUMIFS('Diags Raw Data'!$K$6:$K$4765,'Diags Raw Data'!$D$6:$D$4765,$A18,'Diags Raw Data'!$M$6:$M$4765,"New")+SUMIFS('Diags Raw Data'!$K$6:$K$4765,'Diags Raw Data'!$D$6:$D$4765,$A18,'Diags Raw Data'!$M$6:$M$4765,"Delta")</f>
        <v>26</v>
      </c>
      <c r="E18" s="242">
        <f>SUMIFS('Diags Raw Data'!$O$6:$O$4765,'Diags Raw Data'!$D$6:$D$4765,$A18,'Diags Raw Data'!$M$6:$M$4765,"New")+SUMIFS('Diags Raw Data'!$O$6:$O$4765,'Diags Raw Data'!$D$6:$D$4765,$A18,'Diags Raw Data'!$M$6:$M$4765,"Delta")</f>
        <v>87</v>
      </c>
      <c r="F18" s="248">
        <f t="shared" ref="F18:F27" si="8">IF(NOT($B18=0), E18/$B18, "---")</f>
        <v>0.98863636363636365</v>
      </c>
      <c r="G18" s="220">
        <f>SUMIFS('Diags Raw Data'!$S$6:$S$4765,'Diags Raw Data'!$D$6:$D$4765,$A18,'Diags Raw Data'!$M$6:$M$4765,"New")+SUMIFS('Diags Raw Data'!$S$6:$S$4765,'Diags Raw Data'!$D$6:$D$4765,$A18,'Diags Raw Data'!$M$6:$M$4765,"Delta")</f>
        <v>41</v>
      </c>
      <c r="H18" s="221">
        <f>SUMIFS('Diags Raw Data'!$T$6:$T$4765,'Diags Raw Data'!$D$6:$D$4765,$A18,'Diags Raw Data'!$M$6:$M$4765,"New")+SUMIFS('Diags Raw Data'!$T$6:$T$4765,'Diags Raw Data'!$D$6:$D$4765,$A18,'Diags Raw Data'!$M$6:$M$4765,"Delta")</f>
        <v>41</v>
      </c>
      <c r="I18" s="221">
        <f>SUMIFS('Diags Raw Data'!$U$6:$U$4765,'Diags Raw Data'!$D$6:$D$4765,$A18,'Diags Raw Data'!$M$6:$M$4765,"New")+SUMIFS('Diags Raw Data'!$U$6:$U$4765,'Diags Raw Data'!$D$6:$D$4765,$A18,'Diags Raw Data'!$M$6:$M$4765,"Delta")</f>
        <v>0</v>
      </c>
      <c r="J18" s="221">
        <f>SUMIFS('Diags Raw Data'!$V$6:$V$4765,'Diags Raw Data'!$D$6:$D$4765,$A18,'Diags Raw Data'!$M$6:$M$4765,"New")+SUMIFS('Diags Raw Data'!$V$6:$V$4765,'Diags Raw Data'!$D$6:$D$4765,$A18,'Diags Raw Data'!$M$6:$M$4765,"Delta")</f>
        <v>0</v>
      </c>
      <c r="K18" s="221">
        <f>SUMIFS('Diags Raw Data'!$W$6:$W$4765,'Diags Raw Data'!$D$6:$D$4765,$A18,'Diags Raw Data'!$M$6:$M$4765,"New")+SUMIFS('Diags Raw Data'!$W$6:$W$4765,'Diags Raw Data'!$D$6:$D$4765,$A18,'Diags Raw Data'!$M$6:$M$4765,"Delta")</f>
        <v>0</v>
      </c>
      <c r="L18" s="222">
        <f>IF(NOT($C18=0), G18/$C18, "---")</f>
        <v>0.77358490566037741</v>
      </c>
      <c r="M18" s="224">
        <f>IF(NOT($G18=0), (H18+I18)/$G18, "---")</f>
        <v>1</v>
      </c>
      <c r="N18" s="226">
        <f>IF(NOT($C18=0), (H18+I18)/$C18, "---")</f>
        <v>0.77358490566037741</v>
      </c>
      <c r="O18" s="213">
        <f>SUMIFS('Diags Raw Data'!$Z$6:$Z$4765,'Diags Raw Data'!$D$6:$D$4765,$A18,'Diags Raw Data'!$M$6:$M$4765,"New")+SUMIFS('Diags Raw Data'!$Z$6:$Z$4765,'Diags Raw Data'!$D$6:$D$4765,$A18,'Diags Raw Data'!$M$6:$M$4765,"Delta")</f>
        <v>8</v>
      </c>
      <c r="P18" s="210">
        <f>SUMIFS('Diags Raw Data'!$AA$6:$AA$4765,'Diags Raw Data'!$D$6:$D$4765,$A18,'Diags Raw Data'!$M$6:$M$4765,"New")+SUMIFS('Diags Raw Data'!$AA$6:$AA$4765,'Diags Raw Data'!$D$6:$D$4765,$A18,'Diags Raw Data'!$M$6:$M$4765,"Delta")</f>
        <v>8</v>
      </c>
      <c r="Q18" s="210">
        <f>SUMIFS('Diags Raw Data'!$AB$6:$AB$4765,'Diags Raw Data'!$D$6:$D$4765,$A18,'Diags Raw Data'!$M$6:$M$4765,"New")+SUMIFS('Diags Raw Data'!$AB$6:$AB$4765,'Diags Raw Data'!$D$6:$D$4765,$A18,'Diags Raw Data'!$M$6:$M$4765,"Delta")</f>
        <v>0</v>
      </c>
      <c r="R18" s="210">
        <f>SUMIFS('Diags Raw Data'!$AC$6:$AC$4765,'Diags Raw Data'!$D$6:$D$4765,$A18,'Diags Raw Data'!$M$6:$M$4765,"New")+SUMIFS('Diags Raw Data'!$AC$6:$AC$4765,'Diags Raw Data'!$D$6:$D$4765,$A18,'Diags Raw Data'!$M$6:$M$4765,"Delta")</f>
        <v>0</v>
      </c>
      <c r="S18" s="210">
        <f>SUMIFS('Diags Raw Data'!$AD$6:$AD$4765,'Diags Raw Data'!$D$6:$D$4765,$A18,'Diags Raw Data'!$M$6:$M$4765,"New")+SUMIFS('Diags Raw Data'!$AD$6:$AD$4765,'Diags Raw Data'!$D$6:$D$4765,$A18,'Diags Raw Data'!$M$6:$M$4765,"Delta")</f>
        <v>0</v>
      </c>
      <c r="T18" s="211">
        <f>IF(NOT($B18=0), O18/$B18, "---")</f>
        <v>9.0909090909090912E-2</v>
      </c>
      <c r="U18" s="225">
        <f>IF(NOT($O18=0), (P18+Q18)/$O18, "---")</f>
        <v>1</v>
      </c>
      <c r="V18" s="241">
        <f>IF(NOT($B18=0), (P18+Q18)/$B18, "---")</f>
        <v>9.0909090909090912E-2</v>
      </c>
    </row>
    <row r="19" spans="1:22" x14ac:dyDescent="0.25">
      <c r="A19" s="335" t="s">
        <v>478</v>
      </c>
      <c r="B19" s="253">
        <f>SUMIFS('Diags Raw Data'!$L$6:$L$4765,'Diags Raw Data'!$D$6:$D$4765,$A19,'Diags Raw Data'!$M$6:$M$4765,"New")+SUMIFS('Diags Raw Data'!$L$6:$L$4765,'Diags Raw Data'!$D$6:$D$4765,$A19,'Diags Raw Data'!$M$6:$M$4765,"Delta")</f>
        <v>33</v>
      </c>
      <c r="C19" s="243">
        <f>SUMIFS('Diags Raw Data'!$R$6:$R$4765,'Diags Raw Data'!$D$6:$D$4765,$A19,'Diags Raw Data'!$M$6:$M$4765,"New")+SUMIFS('Diags Raw Data'!$R$6:$R$4765,'Diags Raw Data'!$D$6:$D$4765,$A19,'Diags Raw Data'!$M$6:$M$4765,"Delta")</f>
        <v>30</v>
      </c>
      <c r="D19" s="243">
        <f>SUMIFS('Diags Raw Data'!$K$6:$K$4765,'Diags Raw Data'!$D$6:$D$4765,$A19,'Diags Raw Data'!$M$6:$M$4765,"New")+SUMIFS('Diags Raw Data'!$K$6:$K$4765,'Diags Raw Data'!$D$6:$D$4765,$A19,'Diags Raw Data'!$M$6:$M$4765,"Delta")</f>
        <v>17</v>
      </c>
      <c r="E19" s="243">
        <f>SUMIFS('Diags Raw Data'!$O$6:$O$4765,'Diags Raw Data'!$D$6:$D$4765,$A19,'Diags Raw Data'!$M$6:$M$4765,"New")+SUMIFS('Diags Raw Data'!$O$6:$O$4765,'Diags Raw Data'!$D$6:$D$4765,$A19,'Diags Raw Data'!$M$6:$M$4765,"Delta")</f>
        <v>28</v>
      </c>
      <c r="F19" s="249">
        <f t="shared" si="8"/>
        <v>0.84848484848484851</v>
      </c>
      <c r="G19" s="231">
        <f>SUMIFS('Diags Raw Data'!$S$6:$S$4765,'Diags Raw Data'!$D$6:$D$4765,$A19,'Diags Raw Data'!$M$6:$M$4765,"New")+SUMIFS('Diags Raw Data'!$S$6:$S$4765,'Diags Raw Data'!$D$6:$D$4765,$A19,'Diags Raw Data'!$M$6:$M$4765,"Delta")</f>
        <v>18</v>
      </c>
      <c r="H19" s="227">
        <f>SUMIFS('Diags Raw Data'!$T$6:$T$4765,'Diags Raw Data'!$D$6:$D$4765,$A19,'Diags Raw Data'!$M$6:$M$4765,"New")+SUMIFS('Diags Raw Data'!$T$6:$T$4765,'Diags Raw Data'!$D$6:$D$4765,$A19,'Diags Raw Data'!$M$6:$M$4765,"Delta")</f>
        <v>14</v>
      </c>
      <c r="I19" s="227">
        <f>SUMIFS('Diags Raw Data'!$U$6:$U$4765,'Diags Raw Data'!$D$6:$D$4765,$A19,'Diags Raw Data'!$M$6:$M$4765,"New")+SUMIFS('Diags Raw Data'!$U$6:$U$4765,'Diags Raw Data'!$D$6:$D$4765,$A19,'Diags Raw Data'!$M$6:$M$4765,"Delta")</f>
        <v>0</v>
      </c>
      <c r="J19" s="227">
        <f>SUMIFS('Diags Raw Data'!$V$6:$V$4765,'Diags Raw Data'!$D$6:$D$4765,$A19,'Diags Raw Data'!$M$6:$M$4765,"New")+SUMIFS('Diags Raw Data'!$V$6:$V$4765,'Diags Raw Data'!$D$6:$D$4765,$A19,'Diags Raw Data'!$M$6:$M$4765,"Delta")</f>
        <v>4</v>
      </c>
      <c r="K19" s="227">
        <f>SUMIFS('Diags Raw Data'!$W$6:$W$4765,'Diags Raw Data'!$D$6:$D$4765,$A19,'Diags Raw Data'!$M$6:$M$4765,"New")+SUMIFS('Diags Raw Data'!$W$6:$W$4765,'Diags Raw Data'!$D$6:$D$4765,$A19,'Diags Raw Data'!$M$6:$M$4765,"Delta")</f>
        <v>0</v>
      </c>
      <c r="L19" s="244">
        <f>IF(NOT($C19=0), G19/$C19, "---")</f>
        <v>0.6</v>
      </c>
      <c r="M19" s="229">
        <f>IF(NOT($G19=0), (H19+I19)/$G19, "---")</f>
        <v>0.77777777777777779</v>
      </c>
      <c r="N19" s="238">
        <f>IF(NOT($C19=0), (H19+I19)/$C19, "---")</f>
        <v>0.46666666666666667</v>
      </c>
      <c r="O19" s="214">
        <f>SUMIFS('Diags Raw Data'!$Z$6:$Z$4765,'Diags Raw Data'!$D$6:$D$4765,$A19,'Diags Raw Data'!$M$6:$M$4765,"New")+SUMIFS('Diags Raw Data'!$Z$6:$Z$4765,'Diags Raw Data'!$D$6:$D$4765,$A19,'Diags Raw Data'!$M$6:$M$4765,"Delta")</f>
        <v>11</v>
      </c>
      <c r="P19" s="204">
        <f>SUMIFS('Diags Raw Data'!$AA$6:$AA$4765,'Diags Raw Data'!$D$6:$D$4765,$A19,'Diags Raw Data'!$M$6:$M$4765,"New")+SUMIFS('Diags Raw Data'!$AA$6:$AA$4765,'Diags Raw Data'!$D$6:$D$4765,$A19,'Diags Raw Data'!$M$6:$M$4765,"Delta")</f>
        <v>9</v>
      </c>
      <c r="Q19" s="204">
        <f>SUMIFS('Diags Raw Data'!$AB$6:$AB$4765,'Diags Raw Data'!$D$6:$D$4765,$A19,'Diags Raw Data'!$M$6:$M$4765,"New")+SUMIFS('Diags Raw Data'!$AB$6:$AB$4765,'Diags Raw Data'!$D$6:$D$4765,$A19,'Diags Raw Data'!$M$6:$M$4765,"Delta")</f>
        <v>0</v>
      </c>
      <c r="R19" s="204">
        <f>SUMIFS('Diags Raw Data'!$AC$6:$AC$4765,'Diags Raw Data'!$D$6:$D$4765,$A19,'Diags Raw Data'!$M$6:$M$4765,"New")+SUMIFS('Diags Raw Data'!$AC$6:$AC$4765,'Diags Raw Data'!$D$6:$D$4765,$A19,'Diags Raw Data'!$M$6:$M$4765,"Delta")</f>
        <v>2</v>
      </c>
      <c r="S19" s="204">
        <f>SUMIFS('Diags Raw Data'!$AD$6:$AD$4765,'Diags Raw Data'!$D$6:$D$4765,$A19,'Diags Raw Data'!$M$6:$M$4765,"New")+SUMIFS('Diags Raw Data'!$AD$6:$AD$4765,'Diags Raw Data'!$D$6:$D$4765,$A19,'Diags Raw Data'!$M$6:$M$4765,"Delta")</f>
        <v>0</v>
      </c>
      <c r="T19" s="205">
        <f>IF(NOT($B19=0), O19/$B19, "---")</f>
        <v>0.33333333333333331</v>
      </c>
      <c r="U19" s="230">
        <f>IF(NOT($O19=0), (P19+Q19)/$O19, "---")</f>
        <v>0.81818181818181823</v>
      </c>
      <c r="V19" s="232">
        <f t="shared" ref="V19:V28" si="9">IF(NOT($B19=0), (P19+Q19)/$B19, "---")</f>
        <v>0.27272727272727271</v>
      </c>
    </row>
    <row r="20" spans="1:22" x14ac:dyDescent="0.25">
      <c r="A20" s="335" t="s">
        <v>479</v>
      </c>
      <c r="B20" s="253">
        <f>SUMIFS('Diags Raw Data'!$L$6:$L$4765,'Diags Raw Data'!$D$6:$D$4765,$A20,'Diags Raw Data'!$M$6:$M$4765,"New")+SUMIFS('Diags Raw Data'!$L$6:$L$4765,'Diags Raw Data'!$D$6:$D$4765,$A20,'Diags Raw Data'!$M$6:$M$4765,"Delta")</f>
        <v>9</v>
      </c>
      <c r="C20" s="243">
        <f>SUMIFS('Diags Raw Data'!$R$6:$R$4765,'Diags Raw Data'!$D$6:$D$4765,$A20,'Diags Raw Data'!$M$6:$M$4765,"New")+SUMIFS('Diags Raw Data'!$R$6:$R$4765,'Diags Raw Data'!$D$6:$D$4765,$A20,'Diags Raw Data'!$M$6:$M$4765,"Delta")</f>
        <v>8</v>
      </c>
      <c r="D20" s="243">
        <f>SUMIFS('Diags Raw Data'!$K$6:$K$4765,'Diags Raw Data'!$D$6:$D$4765,$A20,'Diags Raw Data'!$M$6:$M$4765,"New")+SUMIFS('Diags Raw Data'!$K$6:$K$4765,'Diags Raw Data'!$D$6:$D$4765,$A20,'Diags Raw Data'!$M$6:$M$4765,"Delta")</f>
        <v>5</v>
      </c>
      <c r="E20" s="243">
        <f>SUMIFS('Diags Raw Data'!$O$6:$O$4765,'Diags Raw Data'!$D$6:$D$4765,$A20,'Diags Raw Data'!$M$6:$M$4765,"New")+SUMIFS('Diags Raw Data'!$O$6:$O$4765,'Diags Raw Data'!$D$6:$D$4765,$A20,'Diags Raw Data'!$M$6:$M$4765,"Delta")</f>
        <v>8.5</v>
      </c>
      <c r="F20" s="249">
        <f>IF(NOT($B20=0), E20/$B20, "---")</f>
        <v>0.94444444444444442</v>
      </c>
      <c r="G20" s="231">
        <f>SUMIFS('Diags Raw Data'!$S$6:$S$4765,'Diags Raw Data'!$D$6:$D$4765,$A20,'Diags Raw Data'!$M$6:$M$4765,"New")+SUMIFS('Diags Raw Data'!$S$6:$S$4765,'Diags Raw Data'!$D$6:$D$4765,$A20,'Diags Raw Data'!$M$6:$M$4765,"Delta")</f>
        <v>8</v>
      </c>
      <c r="H20" s="227">
        <f>SUMIFS('Diags Raw Data'!$T$6:$T$4765,'Diags Raw Data'!$D$6:$D$4765,$A20,'Diags Raw Data'!$M$6:$M$4765,"New")+SUMIFS('Diags Raw Data'!$T$6:$T$4765,'Diags Raw Data'!$D$6:$D$4765,$A20,'Diags Raw Data'!$M$6:$M$4765,"Delta")</f>
        <v>7</v>
      </c>
      <c r="I20" s="227">
        <f>SUMIFS('Diags Raw Data'!$U$6:$U$4765,'Diags Raw Data'!$D$6:$D$4765,$A20,'Diags Raw Data'!$M$6:$M$4765,"New")+SUMIFS('Diags Raw Data'!$U$6:$U$4765,'Diags Raw Data'!$D$6:$D$4765,$A20,'Diags Raw Data'!$M$6:$M$4765,"Delta")</f>
        <v>0</v>
      </c>
      <c r="J20" s="227">
        <f>SUMIFS('Diags Raw Data'!$V$6:$V$4765,'Diags Raw Data'!$D$6:$D$4765,$A20,'Diags Raw Data'!$M$6:$M$4765,"New")+SUMIFS('Diags Raw Data'!$V$6:$V$4765,'Diags Raw Data'!$D$6:$D$4765,$A20,'Diags Raw Data'!$M$6:$M$4765,"Delta")</f>
        <v>1</v>
      </c>
      <c r="K20" s="227">
        <f>SUMIFS('Diags Raw Data'!$W$6:$W$4765,'Diags Raw Data'!$D$6:$D$4765,$A20,'Diags Raw Data'!$M$6:$M$4765,"New")+SUMIFS('Diags Raw Data'!$W$6:$W$4765,'Diags Raw Data'!$D$6:$D$4765,$A20,'Diags Raw Data'!$M$6:$M$4765,"Delta")</f>
        <v>0</v>
      </c>
      <c r="L20" s="244">
        <f t="shared" ref="L20:L27" si="10">IF(NOT($C20=0), G20/$C20, "---")</f>
        <v>1</v>
      </c>
      <c r="M20" s="229">
        <f>IF(NOT($G20=0), (H20+I20)/$G20, "---")</f>
        <v>0.875</v>
      </c>
      <c r="N20" s="238">
        <f t="shared" ref="N20:N27" si="11">IF(NOT($C20=0), (H20+I20)/$C20, "---")</f>
        <v>0.875</v>
      </c>
      <c r="O20" s="214">
        <f>SUMIFS('Diags Raw Data'!$Z$6:$Z$4765,'Diags Raw Data'!$D$6:$D$4765,$A20,'Diags Raw Data'!$M$6:$M$4765,"New")+SUMIFS('Diags Raw Data'!$Z$6:$Z$4765,'Diags Raw Data'!$D$6:$D$4765,$A20,'Diags Raw Data'!$M$6:$M$4765,"Delta")</f>
        <v>0</v>
      </c>
      <c r="P20" s="204">
        <f>SUMIFS('Diags Raw Data'!$AA$6:$AA$4765,'Diags Raw Data'!$D$6:$D$4765,$A20,'Diags Raw Data'!$M$6:$M$4765,"New")+SUMIFS('Diags Raw Data'!$AA$6:$AA$4765,'Diags Raw Data'!$D$6:$D$4765,$A20,'Diags Raw Data'!$M$6:$M$4765,"Delta")</f>
        <v>0</v>
      </c>
      <c r="Q20" s="204">
        <f>SUMIFS('Diags Raw Data'!$AB$6:$AB$4765,'Diags Raw Data'!$D$6:$D$4765,$A20,'Diags Raw Data'!$M$6:$M$4765,"New")+SUMIFS('Diags Raw Data'!$AB$6:$AB$4765,'Diags Raw Data'!$D$6:$D$4765,$A20,'Diags Raw Data'!$M$6:$M$4765,"Delta")</f>
        <v>0</v>
      </c>
      <c r="R20" s="204">
        <f>SUMIFS('Diags Raw Data'!$AC$6:$AC$4765,'Diags Raw Data'!$D$6:$D$4765,$A20,'Diags Raw Data'!$M$6:$M$4765,"New")+SUMIFS('Diags Raw Data'!$AC$6:$AC$4765,'Diags Raw Data'!$D$6:$D$4765,$A20,'Diags Raw Data'!$M$6:$M$4765,"Delta")</f>
        <v>0</v>
      </c>
      <c r="S20" s="204">
        <f>SUMIFS('Diags Raw Data'!$AD$6:$AD$4765,'Diags Raw Data'!$D$6:$D$4765,$A20,'Diags Raw Data'!$M$6:$M$4765,"New")+SUMIFS('Diags Raw Data'!$AD$6:$AD$4765,'Diags Raw Data'!$D$6:$D$4765,$A20,'Diags Raw Data'!$M$6:$M$4765,"Delta")</f>
        <v>0</v>
      </c>
      <c r="T20" s="205">
        <f t="shared" ref="T20:T27" si="12">IF(NOT($B20=0), O20/$B20, "---")</f>
        <v>0</v>
      </c>
      <c r="U20" s="230" t="str">
        <f t="shared" ref="U20:U28" si="13">IF(NOT($O20=0), (P20+Q20)/$O20, "---")</f>
        <v>---</v>
      </c>
      <c r="V20" s="232">
        <f>IF(NOT($B20=0), (P20+Q20)/$B20, "---")</f>
        <v>0</v>
      </c>
    </row>
    <row r="21" spans="1:22" x14ac:dyDescent="0.25">
      <c r="A21" s="335" t="s">
        <v>480</v>
      </c>
      <c r="B21" s="253">
        <f>SUMIFS('Diags Raw Data'!$L$6:$L$4765,'Diags Raw Data'!$D$6:$D$4765,$A21,'Diags Raw Data'!$M$6:$M$4765,"New")+SUMIFS('Diags Raw Data'!$L$6:$L$4765,'Diags Raw Data'!$D$6:$D$4765,$A21,'Diags Raw Data'!$M$6:$M$4765,"Delta")</f>
        <v>17</v>
      </c>
      <c r="C21" s="243">
        <f>SUMIFS('Diags Raw Data'!$R$6:$R$4765,'Diags Raw Data'!$D$6:$D$4765,$A21,'Diags Raw Data'!$M$6:$M$4765,"New")+SUMIFS('Diags Raw Data'!$R$6:$R$4765,'Diags Raw Data'!$D$6:$D$4765,$A21,'Diags Raw Data'!$M$6:$M$4765,"Delta")</f>
        <v>15</v>
      </c>
      <c r="D21" s="243">
        <f>SUMIFS('Diags Raw Data'!$K$6:$K$4765,'Diags Raw Data'!$D$6:$D$4765,$A21,'Diags Raw Data'!$M$6:$M$4765,"New")+SUMIFS('Diags Raw Data'!$K$6:$K$4765,'Diags Raw Data'!$D$6:$D$4765,$A21,'Diags Raw Data'!$M$6:$M$4765,"Delta")</f>
        <v>8</v>
      </c>
      <c r="E21" s="243">
        <f>SUMIFS('Diags Raw Data'!$O$6:$O$4765,'Diags Raw Data'!$D$6:$D$4765,$A21,'Diags Raw Data'!$M$6:$M$4765,"New")+SUMIFS('Diags Raw Data'!$O$6:$O$4765,'Diags Raw Data'!$D$6:$D$4765,$A21,'Diags Raw Data'!$M$6:$M$4765,"Delta")</f>
        <v>17</v>
      </c>
      <c r="F21" s="249">
        <f t="shared" si="8"/>
        <v>1</v>
      </c>
      <c r="G21" s="231">
        <f>SUMIFS('Diags Raw Data'!$S$6:$S$4765,'Diags Raw Data'!$D$6:$D$4765,$A21,'Diags Raw Data'!$M$6:$M$4765,"New")+SUMIFS('Diags Raw Data'!$S$6:$S$4765,'Diags Raw Data'!$D$6:$D$4765,$A21,'Diags Raw Data'!$M$6:$M$4765,"Delta")</f>
        <v>14</v>
      </c>
      <c r="H21" s="227">
        <f>SUMIFS('Diags Raw Data'!$T$6:$T$4765,'Diags Raw Data'!$D$6:$D$4765,$A21,'Diags Raw Data'!$M$6:$M$4765,"New")+SUMIFS('Diags Raw Data'!$T$6:$T$4765,'Diags Raw Data'!$D$6:$D$4765,$A21,'Diags Raw Data'!$M$6:$M$4765,"Delta")</f>
        <v>12</v>
      </c>
      <c r="I21" s="227">
        <f>SUMIFS('Diags Raw Data'!$U$6:$U$4765,'Diags Raw Data'!$D$6:$D$4765,$A21,'Diags Raw Data'!$M$6:$M$4765,"New")+SUMIFS('Diags Raw Data'!$U$6:$U$4765,'Diags Raw Data'!$D$6:$D$4765,$A21,'Diags Raw Data'!$M$6:$M$4765,"Delta")</f>
        <v>0</v>
      </c>
      <c r="J21" s="227">
        <f>SUMIFS('Diags Raw Data'!$V$6:$V$4765,'Diags Raw Data'!$D$6:$D$4765,$A21,'Diags Raw Data'!$M$6:$M$4765,"New")+SUMIFS('Diags Raw Data'!$V$6:$V$4765,'Diags Raw Data'!$D$6:$D$4765,$A21,'Diags Raw Data'!$M$6:$M$4765,"Delta")</f>
        <v>2</v>
      </c>
      <c r="K21" s="227">
        <f>SUMIFS('Diags Raw Data'!$W$6:$W$4765,'Diags Raw Data'!$D$6:$D$4765,$A21,'Diags Raw Data'!$M$6:$M$4765,"New")+SUMIFS('Diags Raw Data'!$W$6:$W$4765,'Diags Raw Data'!$D$6:$D$4765,$A21,'Diags Raw Data'!$M$6:$M$4765,"Delta")</f>
        <v>0</v>
      </c>
      <c r="L21" s="244">
        <f t="shared" si="10"/>
        <v>0.93333333333333335</v>
      </c>
      <c r="M21" s="229">
        <f t="shared" ref="M21:M28" si="14">IF(NOT($G21=0), (H21+I21)/$G21, "---")</f>
        <v>0.8571428571428571</v>
      </c>
      <c r="N21" s="238">
        <f>IF(NOT($C21=0), (H21+I21)/$C21, "---")</f>
        <v>0.8</v>
      </c>
      <c r="O21" s="214">
        <f>SUMIFS('Diags Raw Data'!$Z$6:$Z$4765,'Diags Raw Data'!$D$6:$D$4765,$A21,'Diags Raw Data'!$M$6:$M$4765,"New")+SUMIFS('Diags Raw Data'!$Z$6:$Z$4765,'Diags Raw Data'!$D$6:$D$4765,$A21,'Diags Raw Data'!$M$6:$M$4765,"Delta")</f>
        <v>5</v>
      </c>
      <c r="P21" s="204">
        <f>SUMIFS('Diags Raw Data'!$AA$6:$AA$4765,'Diags Raw Data'!$D$6:$D$4765,$A21,'Diags Raw Data'!$M$6:$M$4765,"New")+SUMIFS('Diags Raw Data'!$AA$6:$AA$4765,'Diags Raw Data'!$D$6:$D$4765,$A21,'Diags Raw Data'!$M$6:$M$4765,"Delta")</f>
        <v>5</v>
      </c>
      <c r="Q21" s="204">
        <f>SUMIFS('Diags Raw Data'!$AB$6:$AB$4765,'Diags Raw Data'!$D$6:$D$4765,$A21,'Diags Raw Data'!$M$6:$M$4765,"New")+SUMIFS('Diags Raw Data'!$AB$6:$AB$4765,'Diags Raw Data'!$D$6:$D$4765,$A21,'Diags Raw Data'!$M$6:$M$4765,"Delta")</f>
        <v>0</v>
      </c>
      <c r="R21" s="204">
        <f>SUMIFS('Diags Raw Data'!$AC$6:$AC$4765,'Diags Raw Data'!$D$6:$D$4765,$A21,'Diags Raw Data'!$M$6:$M$4765,"New")+SUMIFS('Diags Raw Data'!$AC$6:$AC$4765,'Diags Raw Data'!$D$6:$D$4765,$A21,'Diags Raw Data'!$M$6:$M$4765,"Delta")</f>
        <v>0</v>
      </c>
      <c r="S21" s="204">
        <f>SUMIFS('Diags Raw Data'!$AD$6:$AD$4765,'Diags Raw Data'!$D$6:$D$4765,$A21,'Diags Raw Data'!$M$6:$M$4765,"New")+SUMIFS('Diags Raw Data'!$AD$6:$AD$4765,'Diags Raw Data'!$D$6:$D$4765,$A21,'Diags Raw Data'!$M$6:$M$4765,"Delta")</f>
        <v>0</v>
      </c>
      <c r="T21" s="205">
        <f t="shared" si="12"/>
        <v>0.29411764705882354</v>
      </c>
      <c r="U21" s="230">
        <f t="shared" si="13"/>
        <v>1</v>
      </c>
      <c r="V21" s="232">
        <f>IF(NOT($B21=0), (P21+Q21)/$B21, "---")</f>
        <v>0.29411764705882354</v>
      </c>
    </row>
    <row r="22" spans="1:22" x14ac:dyDescent="0.25">
      <c r="A22" s="335" t="s">
        <v>481</v>
      </c>
      <c r="B22" s="253">
        <f>SUMIFS('Diags Raw Data'!$L$6:$L$4765,'Diags Raw Data'!$D$6:$D$4765,$A22,'Diags Raw Data'!$M$6:$M$4765,"New")+SUMIFS('Diags Raw Data'!$L$6:$L$4765,'Diags Raw Data'!$D$6:$D$4765,$A22,'Diags Raw Data'!$M$6:$M$4765,"Delta")</f>
        <v>1</v>
      </c>
      <c r="C22" s="243">
        <f>SUMIFS('Diags Raw Data'!$R$6:$R$4765,'Diags Raw Data'!$D$6:$D$4765,$A22,'Diags Raw Data'!$M$6:$M$4765,"New")+SUMIFS('Diags Raw Data'!$R$6:$R$4765,'Diags Raw Data'!$D$6:$D$4765,$A22,'Diags Raw Data'!$M$6:$M$4765,"Delta")</f>
        <v>1</v>
      </c>
      <c r="D22" s="243">
        <f>SUMIFS('Diags Raw Data'!$K$6:$K$4765,'Diags Raw Data'!$D$6:$D$4765,$A22,'Diags Raw Data'!$M$6:$M$4765,"New")+SUMIFS('Diags Raw Data'!$K$6:$K$4765,'Diags Raw Data'!$D$6:$D$4765,$A22,'Diags Raw Data'!$M$6:$M$4765,"Delta")</f>
        <v>1</v>
      </c>
      <c r="E22" s="243">
        <f>SUMIFS('Diags Raw Data'!$O$6:$O$4765,'Diags Raw Data'!$D$6:$D$4765,$A22,'Diags Raw Data'!$M$6:$M$4765,"New")+SUMIFS('Diags Raw Data'!$O$6:$O$4765,'Diags Raw Data'!$D$6:$D$4765,$A22,'Diags Raw Data'!$M$6:$M$4765,"Delta")</f>
        <v>1</v>
      </c>
      <c r="F22" s="249">
        <f>IF(NOT($B22=0), E22/$B22, "---")</f>
        <v>1</v>
      </c>
      <c r="G22" s="231">
        <f>SUMIFS('Diags Raw Data'!$S$6:$S$4765,'Diags Raw Data'!$D$6:$D$4765,$A22,'Diags Raw Data'!$M$6:$M$4765,"New")+SUMIFS('Diags Raw Data'!$S$6:$S$4765,'Diags Raw Data'!$D$6:$D$4765,$A22,'Diags Raw Data'!$M$6:$M$4765,"Delta")</f>
        <v>1</v>
      </c>
      <c r="H22" s="227">
        <f>SUMIFS('Diags Raw Data'!$T$6:$T$4765,'Diags Raw Data'!$D$6:$D$4765,$A22,'Diags Raw Data'!$M$6:$M$4765,"New")+SUMIFS('Diags Raw Data'!$T$6:$T$4765,'Diags Raw Data'!$D$6:$D$4765,$A22,'Diags Raw Data'!$M$6:$M$4765,"Delta")</f>
        <v>1</v>
      </c>
      <c r="I22" s="227">
        <f>SUMIFS('Diags Raw Data'!$U$6:$U$4765,'Diags Raw Data'!$D$6:$D$4765,$A22,'Diags Raw Data'!$M$6:$M$4765,"New")+SUMIFS('Diags Raw Data'!$U$6:$U$4765,'Diags Raw Data'!$D$6:$D$4765,$A22,'Diags Raw Data'!$M$6:$M$4765,"Delta")</f>
        <v>0</v>
      </c>
      <c r="J22" s="227">
        <f>SUMIFS('Diags Raw Data'!$V$6:$V$4765,'Diags Raw Data'!$D$6:$D$4765,$A22,'Diags Raw Data'!$M$6:$M$4765,"New")+SUMIFS('Diags Raw Data'!$V$6:$V$4765,'Diags Raw Data'!$D$6:$D$4765,$A22,'Diags Raw Data'!$M$6:$M$4765,"Delta")</f>
        <v>0</v>
      </c>
      <c r="K22" s="227">
        <f>SUMIFS('Diags Raw Data'!$W$6:$W$4765,'Diags Raw Data'!$D$6:$D$4765,$A22,'Diags Raw Data'!$M$6:$M$4765,"New")+SUMIFS('Diags Raw Data'!$W$6:$W$4765,'Diags Raw Data'!$D$6:$D$4765,$A22,'Diags Raw Data'!$M$6:$M$4765,"Delta")</f>
        <v>0</v>
      </c>
      <c r="L22" s="244">
        <f t="shared" si="10"/>
        <v>1</v>
      </c>
      <c r="M22" s="229">
        <f t="shared" si="14"/>
        <v>1</v>
      </c>
      <c r="N22" s="238">
        <f t="shared" si="11"/>
        <v>1</v>
      </c>
      <c r="O22" s="214">
        <f>SUMIFS('Diags Raw Data'!$Z$6:$Z$4765,'Diags Raw Data'!$D$6:$D$4765,$A22,'Diags Raw Data'!$M$6:$M$4765,"New")+SUMIFS('Diags Raw Data'!$Z$6:$Z$4765,'Diags Raw Data'!$D$6:$D$4765,$A22,'Diags Raw Data'!$M$6:$M$4765,"Delta")</f>
        <v>0</v>
      </c>
      <c r="P22" s="204">
        <f>SUMIFS('Diags Raw Data'!$AA$6:$AA$4765,'Diags Raw Data'!$D$6:$D$4765,$A22,'Diags Raw Data'!$M$6:$M$4765,"New")+SUMIFS('Diags Raw Data'!$AA$6:$AA$4765,'Diags Raw Data'!$D$6:$D$4765,$A22,'Diags Raw Data'!$M$6:$M$4765,"Delta")</f>
        <v>0</v>
      </c>
      <c r="Q22" s="204">
        <f>SUMIFS('Diags Raw Data'!$AB$6:$AB$4765,'Diags Raw Data'!$D$6:$D$4765,$A22,'Diags Raw Data'!$M$6:$M$4765,"New")+SUMIFS('Diags Raw Data'!$AB$6:$AB$4765,'Diags Raw Data'!$D$6:$D$4765,$A22,'Diags Raw Data'!$M$6:$M$4765,"Delta")</f>
        <v>0</v>
      </c>
      <c r="R22" s="204">
        <f>SUMIFS('Diags Raw Data'!$AC$6:$AC$4765,'Diags Raw Data'!$D$6:$D$4765,$A22,'Diags Raw Data'!$M$6:$M$4765,"New")+SUMIFS('Diags Raw Data'!$AC$6:$AC$4765,'Diags Raw Data'!$D$6:$D$4765,$A22,'Diags Raw Data'!$M$6:$M$4765,"Delta")</f>
        <v>0</v>
      </c>
      <c r="S22" s="204">
        <f>SUMIFS('Diags Raw Data'!$AD$6:$AD$4765,'Diags Raw Data'!$D$6:$D$4765,$A22,'Diags Raw Data'!$M$6:$M$4765,"New")+SUMIFS('Diags Raw Data'!$AD$6:$AD$4765,'Diags Raw Data'!$D$6:$D$4765,$A22,'Diags Raw Data'!$M$6:$M$4765,"Delta")</f>
        <v>0</v>
      </c>
      <c r="T22" s="205">
        <f t="shared" si="12"/>
        <v>0</v>
      </c>
      <c r="U22" s="230" t="str">
        <f t="shared" si="13"/>
        <v>---</v>
      </c>
      <c r="V22" s="232">
        <f t="shared" si="9"/>
        <v>0</v>
      </c>
    </row>
    <row r="23" spans="1:22" x14ac:dyDescent="0.25">
      <c r="A23" s="335" t="s">
        <v>482</v>
      </c>
      <c r="B23" s="253">
        <f>SUMIFS('Diags Raw Data'!$L$6:$L$4765,'Diags Raw Data'!$D$6:$D$4765,$A23,'Diags Raw Data'!$M$6:$M$4765,"New")+SUMIFS('Diags Raw Data'!$L$6:$L$4765,'Diags Raw Data'!$D$6:$D$4765,$A23,'Diags Raw Data'!$M$6:$M$4765,"Delta")</f>
        <v>85</v>
      </c>
      <c r="C23" s="243">
        <f>SUMIFS('Diags Raw Data'!$R$6:$R$4765,'Diags Raw Data'!$D$6:$D$4765,$A23,'Diags Raw Data'!$M$6:$M$4765,"New")+SUMIFS('Diags Raw Data'!$R$6:$R$4765,'Diags Raw Data'!$D$6:$D$4765,$A23,'Diags Raw Data'!$M$6:$M$4765,"Delta")</f>
        <v>27</v>
      </c>
      <c r="D23" s="243">
        <f>SUMIFS('Diags Raw Data'!$K$6:$K$4765,'Diags Raw Data'!$D$6:$D$4765,$A23,'Diags Raw Data'!$M$6:$M$4765,"New")+SUMIFS('Diags Raw Data'!$K$6:$K$4765,'Diags Raw Data'!$D$6:$D$4765,$A23,'Diags Raw Data'!$M$6:$M$4765,"Delta")</f>
        <v>18</v>
      </c>
      <c r="E23" s="243">
        <f>SUMIFS('Diags Raw Data'!$O$6:$O$4765,'Diags Raw Data'!$D$6:$D$4765,$A23,'Diags Raw Data'!$M$6:$M$4765,"New")+SUMIFS('Diags Raw Data'!$O$6:$O$4765,'Diags Raw Data'!$D$6:$D$4765,$A23,'Diags Raw Data'!$M$6:$M$4765,"Delta")</f>
        <v>82</v>
      </c>
      <c r="F23" s="249">
        <f t="shared" si="8"/>
        <v>0.96470588235294119</v>
      </c>
      <c r="G23" s="231">
        <f>SUMIFS('Diags Raw Data'!$S$6:$S$4765,'Diags Raw Data'!$D$6:$D$4765,$A23,'Diags Raw Data'!$M$6:$M$4765,"New")+SUMIFS('Diags Raw Data'!$S$6:$S$4765,'Diags Raw Data'!$D$6:$D$4765,$A23,'Diags Raw Data'!$M$6:$M$4765,"Delta")</f>
        <v>10</v>
      </c>
      <c r="H23" s="227">
        <f>SUMIFS('Diags Raw Data'!$T$6:$T$4765,'Diags Raw Data'!$D$6:$D$4765,$A23,'Diags Raw Data'!$M$6:$M$4765,"New")+SUMIFS('Diags Raw Data'!$T$6:$T$4765,'Diags Raw Data'!$D$6:$D$4765,$A23,'Diags Raw Data'!$M$6:$M$4765,"Delta")</f>
        <v>10</v>
      </c>
      <c r="I23" s="227">
        <f>SUMIFS('Diags Raw Data'!$U$6:$U$4765,'Diags Raw Data'!$D$6:$D$4765,$A23,'Diags Raw Data'!$M$6:$M$4765,"New")+SUMIFS('Diags Raw Data'!$U$6:$U$4765,'Diags Raw Data'!$D$6:$D$4765,$A23,'Diags Raw Data'!$M$6:$M$4765,"Delta")</f>
        <v>0</v>
      </c>
      <c r="J23" s="227">
        <f>SUMIFS('Diags Raw Data'!$V$6:$V$4765,'Diags Raw Data'!$D$6:$D$4765,$A23,'Diags Raw Data'!$M$6:$M$4765,"New")+SUMIFS('Diags Raw Data'!$V$6:$V$4765,'Diags Raw Data'!$D$6:$D$4765,$A23,'Diags Raw Data'!$M$6:$M$4765,"Delta")</f>
        <v>0</v>
      </c>
      <c r="K23" s="227">
        <f>SUMIFS('Diags Raw Data'!$W$6:$W$4765,'Diags Raw Data'!$D$6:$D$4765,$A23,'Diags Raw Data'!$M$6:$M$4765,"New")+SUMIFS('Diags Raw Data'!$W$6:$W$4765,'Diags Raw Data'!$D$6:$D$4765,$A23,'Diags Raw Data'!$M$6:$M$4765,"Delta")</f>
        <v>0</v>
      </c>
      <c r="L23" s="244">
        <f t="shared" si="10"/>
        <v>0.37037037037037035</v>
      </c>
      <c r="M23" s="229">
        <f t="shared" si="14"/>
        <v>1</v>
      </c>
      <c r="N23" s="238">
        <f t="shared" si="11"/>
        <v>0.37037037037037035</v>
      </c>
      <c r="O23" s="214">
        <f>SUMIFS('Diags Raw Data'!$Z$6:$Z$4765,'Diags Raw Data'!$D$6:$D$4765,$A23,'Diags Raw Data'!$M$6:$M$4765,"New")+SUMIFS('Diags Raw Data'!$Z$6:$Z$4765,'Diags Raw Data'!$D$6:$D$4765,$A23,'Diags Raw Data'!$M$6:$M$4765,"Delta")</f>
        <v>4</v>
      </c>
      <c r="P23" s="204">
        <f>SUMIFS('Diags Raw Data'!$AA$6:$AA$4765,'Diags Raw Data'!$D$6:$D$4765,$A23,'Diags Raw Data'!$M$6:$M$4765,"New")+SUMIFS('Diags Raw Data'!$AA$6:$AA$4765,'Diags Raw Data'!$D$6:$D$4765,$A23,'Diags Raw Data'!$M$6:$M$4765,"Delta")</f>
        <v>4</v>
      </c>
      <c r="Q23" s="204">
        <f>SUMIFS('Diags Raw Data'!$AB$6:$AB$4765,'Diags Raw Data'!$D$6:$D$4765,$A23,'Diags Raw Data'!$M$6:$M$4765,"New")+SUMIFS('Diags Raw Data'!$AB$6:$AB$4765,'Diags Raw Data'!$D$6:$D$4765,$A23,'Diags Raw Data'!$M$6:$M$4765,"Delta")</f>
        <v>0</v>
      </c>
      <c r="R23" s="204">
        <f>SUMIFS('Diags Raw Data'!$AC$6:$AC$4765,'Diags Raw Data'!$D$6:$D$4765,$A23,'Diags Raw Data'!$M$6:$M$4765,"New")+SUMIFS('Diags Raw Data'!$AC$6:$AC$4765,'Diags Raw Data'!$D$6:$D$4765,$A23,'Diags Raw Data'!$M$6:$M$4765,"Delta")</f>
        <v>0</v>
      </c>
      <c r="S23" s="204">
        <f>SUMIFS('Diags Raw Data'!$AD$6:$AD$4765,'Diags Raw Data'!$D$6:$D$4765,$A23,'Diags Raw Data'!$M$6:$M$4765,"New")+SUMIFS('Diags Raw Data'!$AD$6:$AD$4765,'Diags Raw Data'!$D$6:$D$4765,$A23,'Diags Raw Data'!$M$6:$M$4765,"Delta")</f>
        <v>0</v>
      </c>
      <c r="T23" s="205">
        <f t="shared" si="12"/>
        <v>4.7058823529411764E-2</v>
      </c>
      <c r="U23" s="230">
        <f t="shared" si="13"/>
        <v>1</v>
      </c>
      <c r="V23" s="232">
        <f t="shared" si="9"/>
        <v>4.7058823529411764E-2</v>
      </c>
    </row>
    <row r="24" spans="1:22" x14ac:dyDescent="0.25">
      <c r="A24" s="335" t="s">
        <v>483</v>
      </c>
      <c r="B24" s="253">
        <f>SUMIFS('Diags Raw Data'!$L$6:$L$4765,'Diags Raw Data'!$D$6:$D$4765,$A24,'Diags Raw Data'!$M$6:$M$4765,"New")+SUMIFS('Diags Raw Data'!$L$6:$L$4765,'Diags Raw Data'!$D$6:$D$4765,$A24,'Diags Raw Data'!$M$6:$M$4765,"Delta")</f>
        <v>323</v>
      </c>
      <c r="C24" s="243">
        <f>SUMIFS('Diags Raw Data'!$R$6:$R$4765,'Diags Raw Data'!$D$6:$D$4765,$A24,'Diags Raw Data'!$M$6:$M$4765,"New")+SUMIFS('Diags Raw Data'!$R$6:$R$4765,'Diags Raw Data'!$D$6:$D$4765,$A24,'Diags Raw Data'!$M$6:$M$4765,"Delta")</f>
        <v>322</v>
      </c>
      <c r="D24" s="243">
        <f>SUMIFS('Diags Raw Data'!$K$6:$K$4765,'Diags Raw Data'!$D$6:$D$4765,$A24,'Diags Raw Data'!$M$6:$M$4765,"New")+SUMIFS('Diags Raw Data'!$K$6:$K$4765,'Diags Raw Data'!$D$6:$D$4765,$A24,'Diags Raw Data'!$M$6:$M$4765,"Delta")</f>
        <v>39</v>
      </c>
      <c r="E24" s="243">
        <f>SUMIFS('Diags Raw Data'!$O$6:$O$4765,'Diags Raw Data'!$D$6:$D$4765,$A24,'Diags Raw Data'!$M$6:$M$4765,"New")+SUMIFS('Diags Raw Data'!$O$6:$O$4765,'Diags Raw Data'!$D$6:$D$4765,$A24,'Diags Raw Data'!$M$6:$M$4765,"Delta")</f>
        <v>323</v>
      </c>
      <c r="F24" s="249">
        <f t="shared" si="8"/>
        <v>1</v>
      </c>
      <c r="G24" s="231">
        <f>SUMIFS('Diags Raw Data'!$S$6:$S$4765,'Diags Raw Data'!$D$6:$D$4765,$A24,'Diags Raw Data'!$M$6:$M$4765,"New")+SUMIFS('Diags Raw Data'!$S$6:$S$4765,'Diags Raw Data'!$D$6:$D$4765,$A24,'Diags Raw Data'!$M$6:$M$4765,"Delta")</f>
        <v>288</v>
      </c>
      <c r="H24" s="227">
        <f>SUMIFS('Diags Raw Data'!$T$6:$T$4765,'Diags Raw Data'!$D$6:$D$4765,$A24,'Diags Raw Data'!$M$6:$M$4765,"New")+SUMIFS('Diags Raw Data'!$T$6:$T$4765,'Diags Raw Data'!$D$6:$D$4765,$A24,'Diags Raw Data'!$M$6:$M$4765,"Delta")</f>
        <v>285</v>
      </c>
      <c r="I24" s="227">
        <f>SUMIFS('Diags Raw Data'!$U$6:$U$4765,'Diags Raw Data'!$D$6:$D$4765,$A24,'Diags Raw Data'!$M$6:$M$4765,"New")+SUMIFS('Diags Raw Data'!$U$6:$U$4765,'Diags Raw Data'!$D$6:$D$4765,$A24,'Diags Raw Data'!$M$6:$M$4765,"Delta")</f>
        <v>0</v>
      </c>
      <c r="J24" s="227">
        <f>SUMIFS('Diags Raw Data'!$V$6:$V$4765,'Diags Raw Data'!$D$6:$D$4765,$A24,'Diags Raw Data'!$M$6:$M$4765,"New")+SUMIFS('Diags Raw Data'!$V$6:$V$4765,'Diags Raw Data'!$D$6:$D$4765,$A24,'Diags Raw Data'!$M$6:$M$4765,"Delta")</f>
        <v>3</v>
      </c>
      <c r="K24" s="227">
        <f>SUMIFS('Diags Raw Data'!$W$6:$W$4765,'Diags Raw Data'!$D$6:$D$4765,$A24,'Diags Raw Data'!$M$6:$M$4765,"New")+SUMIFS('Diags Raw Data'!$W$6:$W$4765,'Diags Raw Data'!$D$6:$D$4765,$A24,'Diags Raw Data'!$M$6:$M$4765,"Delta")</f>
        <v>0</v>
      </c>
      <c r="L24" s="244">
        <f t="shared" si="10"/>
        <v>0.89440993788819878</v>
      </c>
      <c r="M24" s="229">
        <f t="shared" si="14"/>
        <v>0.98958333333333337</v>
      </c>
      <c r="N24" s="238">
        <f t="shared" si="11"/>
        <v>0.8850931677018633</v>
      </c>
      <c r="O24" s="214">
        <f>SUMIFS('Diags Raw Data'!$Z$6:$Z$4765,'Diags Raw Data'!$D$6:$D$4765,$A24,'Diags Raw Data'!$M$6:$M$4765,"New")+SUMIFS('Diags Raw Data'!$Z$6:$Z$4765,'Diags Raw Data'!$D$6:$D$4765,$A24,'Diags Raw Data'!$M$6:$M$4765,"Delta")</f>
        <v>212</v>
      </c>
      <c r="P24" s="204">
        <f>SUMIFS('Diags Raw Data'!$AA$6:$AA$4765,'Diags Raw Data'!$D$6:$D$4765,$A24,'Diags Raw Data'!$M$6:$M$4765,"New")+SUMIFS('Diags Raw Data'!$AA$6:$AA$4765,'Diags Raw Data'!$D$6:$D$4765,$A24,'Diags Raw Data'!$M$6:$M$4765,"Delta")</f>
        <v>212</v>
      </c>
      <c r="Q24" s="204">
        <f>SUMIFS('Diags Raw Data'!$AB$6:$AB$4765,'Diags Raw Data'!$D$6:$D$4765,$A24,'Diags Raw Data'!$M$6:$M$4765,"New")+SUMIFS('Diags Raw Data'!$AB$6:$AB$4765,'Diags Raw Data'!$D$6:$D$4765,$A24,'Diags Raw Data'!$M$6:$M$4765,"Delta")</f>
        <v>0</v>
      </c>
      <c r="R24" s="204">
        <f>SUMIFS('Diags Raw Data'!$AC$6:$AC$4765,'Diags Raw Data'!$D$6:$D$4765,$A24,'Diags Raw Data'!$M$6:$M$4765,"New")+SUMIFS('Diags Raw Data'!$AC$6:$AC$4765,'Diags Raw Data'!$D$6:$D$4765,$A24,'Diags Raw Data'!$M$6:$M$4765,"Delta")</f>
        <v>0</v>
      </c>
      <c r="S24" s="204">
        <f>SUMIFS('Diags Raw Data'!$AD$6:$AD$4765,'Diags Raw Data'!$D$6:$D$4765,$A24,'Diags Raw Data'!$M$6:$M$4765,"New")+SUMIFS('Diags Raw Data'!$AD$6:$AD$4765,'Diags Raw Data'!$D$6:$D$4765,$A24,'Diags Raw Data'!$M$6:$M$4765,"Delta")</f>
        <v>0</v>
      </c>
      <c r="T24" s="205">
        <f t="shared" si="12"/>
        <v>0.65634674922600622</v>
      </c>
      <c r="U24" s="230">
        <f t="shared" si="13"/>
        <v>1</v>
      </c>
      <c r="V24" s="232">
        <f t="shared" si="9"/>
        <v>0.65634674922600622</v>
      </c>
    </row>
    <row r="25" spans="1:22" x14ac:dyDescent="0.25">
      <c r="A25" s="335" t="s">
        <v>484</v>
      </c>
      <c r="B25" s="253">
        <f>SUMIFS('Diags Raw Data'!$L$6:$L$4765,'Diags Raw Data'!$D$6:$D$4765,$A25,'Diags Raw Data'!$M$6:$M$4765,"New")+SUMIFS('Diags Raw Data'!$L$6:$L$4765,'Diags Raw Data'!$D$6:$D$4765,$A25,'Diags Raw Data'!$M$6:$M$4765,"Delta")</f>
        <v>22</v>
      </c>
      <c r="C25" s="243">
        <f>SUMIFS('Diags Raw Data'!$R$6:$R$4765,'Diags Raw Data'!$D$6:$D$4765,$A25,'Diags Raw Data'!$M$6:$M$4765,"New")+SUMIFS('Diags Raw Data'!$R$6:$R$4765,'Diags Raw Data'!$D$6:$D$4765,$A25,'Diags Raw Data'!$M$6:$M$4765,"Delta")</f>
        <v>21</v>
      </c>
      <c r="D25" s="243">
        <f>SUMIFS('Diags Raw Data'!$K$6:$K$4765,'Diags Raw Data'!$D$6:$D$4765,$A25,'Diags Raw Data'!$M$6:$M$4765,"New")+SUMIFS('Diags Raw Data'!$K$6:$K$4765,'Diags Raw Data'!$D$6:$D$4765,$A25,'Diags Raw Data'!$M$6:$M$4765,"Delta")</f>
        <v>14</v>
      </c>
      <c r="E25" s="243">
        <f>SUMIFS('Diags Raw Data'!$O$6:$O$4765,'Diags Raw Data'!$D$6:$D$4765,$A25,'Diags Raw Data'!$M$6:$M$4765,"New")+SUMIFS('Diags Raw Data'!$O$6:$O$4765,'Diags Raw Data'!$D$6:$D$4765,$A25,'Diags Raw Data'!$M$6:$M$4765,"Delta")</f>
        <v>21.6</v>
      </c>
      <c r="F25" s="249">
        <f t="shared" si="8"/>
        <v>0.98181818181818192</v>
      </c>
      <c r="G25" s="231">
        <f>SUMIFS('Diags Raw Data'!$S$6:$S$4765,'Diags Raw Data'!$D$6:$D$4765,$A25,'Diags Raw Data'!$M$6:$M$4765,"New")+SUMIFS('Diags Raw Data'!$S$6:$S$4765,'Diags Raw Data'!$D$6:$D$4765,$A25,'Diags Raw Data'!$M$6:$M$4765,"Delta")</f>
        <v>18</v>
      </c>
      <c r="H25" s="227">
        <f>SUMIFS('Diags Raw Data'!$T$6:$T$4765,'Diags Raw Data'!$D$6:$D$4765,$A25,'Diags Raw Data'!$M$6:$M$4765,"New")+SUMIFS('Diags Raw Data'!$T$6:$T$4765,'Diags Raw Data'!$D$6:$D$4765,$A25,'Diags Raw Data'!$M$6:$M$4765,"Delta")</f>
        <v>17</v>
      </c>
      <c r="I25" s="227">
        <f>SUMIFS('Diags Raw Data'!$U$6:$U$4765,'Diags Raw Data'!$D$6:$D$4765,$A25,'Diags Raw Data'!$M$6:$M$4765,"New")+SUMIFS('Diags Raw Data'!$U$6:$U$4765,'Diags Raw Data'!$D$6:$D$4765,$A25,'Diags Raw Data'!$M$6:$M$4765,"Delta")</f>
        <v>0</v>
      </c>
      <c r="J25" s="227">
        <f>SUMIFS('Diags Raw Data'!$V$6:$V$4765,'Diags Raw Data'!$D$6:$D$4765,$A25,'Diags Raw Data'!$M$6:$M$4765,"New")+SUMIFS('Diags Raw Data'!$V$6:$V$4765,'Diags Raw Data'!$D$6:$D$4765,$A25,'Diags Raw Data'!$M$6:$M$4765,"Delta")</f>
        <v>1</v>
      </c>
      <c r="K25" s="227">
        <f>SUMIFS('Diags Raw Data'!$W$6:$W$4765,'Diags Raw Data'!$D$6:$D$4765,$A25,'Diags Raw Data'!$M$6:$M$4765,"New")+SUMIFS('Diags Raw Data'!$W$6:$W$4765,'Diags Raw Data'!$D$6:$D$4765,$A25,'Diags Raw Data'!$M$6:$M$4765,"Delta")</f>
        <v>0</v>
      </c>
      <c r="L25" s="244">
        <f t="shared" si="10"/>
        <v>0.8571428571428571</v>
      </c>
      <c r="M25" s="229">
        <f>IF(NOT($G25=0), (H25+I25)/$G25, "---")</f>
        <v>0.94444444444444442</v>
      </c>
      <c r="N25" s="238">
        <f t="shared" si="11"/>
        <v>0.80952380952380953</v>
      </c>
      <c r="O25" s="214">
        <f>SUMIFS('Diags Raw Data'!$Z$6:$Z$4765,'Diags Raw Data'!$D$6:$D$4765,$A25,'Diags Raw Data'!$M$6:$M$4765,"New")+SUMIFS('Diags Raw Data'!$Z$6:$Z$4765,'Diags Raw Data'!$D$6:$D$4765,$A25,'Diags Raw Data'!$M$6:$M$4765,"Delta")</f>
        <v>0</v>
      </c>
      <c r="P25" s="204">
        <f>SUMIFS('Diags Raw Data'!$AA$6:$AA$4765,'Diags Raw Data'!$D$6:$D$4765,$A25,'Diags Raw Data'!$M$6:$M$4765,"New")+SUMIFS('Diags Raw Data'!$AA$6:$AA$4765,'Diags Raw Data'!$D$6:$D$4765,$A25,'Diags Raw Data'!$M$6:$M$4765,"Delta")</f>
        <v>0</v>
      </c>
      <c r="Q25" s="204">
        <f>SUMIFS('Diags Raw Data'!$AB$6:$AB$4765,'Diags Raw Data'!$D$6:$D$4765,$A25,'Diags Raw Data'!$M$6:$M$4765,"New")+SUMIFS('Diags Raw Data'!$AB$6:$AB$4765,'Diags Raw Data'!$D$6:$D$4765,$A25,'Diags Raw Data'!$M$6:$M$4765,"Delta")</f>
        <v>0</v>
      </c>
      <c r="R25" s="204">
        <f>SUMIFS('Diags Raw Data'!$AC$6:$AC$4765,'Diags Raw Data'!$D$6:$D$4765,$A25,'Diags Raw Data'!$M$6:$M$4765,"New")+SUMIFS('Diags Raw Data'!$AC$6:$AC$4765,'Diags Raw Data'!$D$6:$D$4765,$A25,'Diags Raw Data'!$M$6:$M$4765,"Delta")</f>
        <v>0</v>
      </c>
      <c r="S25" s="204">
        <f>SUMIFS('Diags Raw Data'!$AD$6:$AD$4765,'Diags Raw Data'!$D$6:$D$4765,$A25,'Diags Raw Data'!$M$6:$M$4765,"New")+SUMIFS('Diags Raw Data'!$AD$6:$AD$4765,'Diags Raw Data'!$D$6:$D$4765,$A25,'Diags Raw Data'!$M$6:$M$4765,"Delta")</f>
        <v>0</v>
      </c>
      <c r="T25" s="205">
        <f t="shared" si="12"/>
        <v>0</v>
      </c>
      <c r="U25" s="230" t="str">
        <f t="shared" si="13"/>
        <v>---</v>
      </c>
      <c r="V25" s="232">
        <f t="shared" si="9"/>
        <v>0</v>
      </c>
    </row>
    <row r="26" spans="1:22" x14ac:dyDescent="0.25">
      <c r="A26" s="335" t="s">
        <v>485</v>
      </c>
      <c r="B26" s="253">
        <f>SUMIFS('Diags Raw Data'!$L$6:$L$4765,'Diags Raw Data'!$D$6:$D$4765,$A26,'Diags Raw Data'!$M$6:$M$4765,"New")+SUMIFS('Diags Raw Data'!$L$6:$L$4765,'Diags Raw Data'!$D$6:$D$4765,$A26,'Diags Raw Data'!$M$6:$M$4765,"Delta")</f>
        <v>140</v>
      </c>
      <c r="C26" s="243">
        <f>SUMIFS('Diags Raw Data'!$R$6:$R$4765,'Diags Raw Data'!$D$6:$D$4765,$A26,'Diags Raw Data'!$M$6:$M$4765,"New")+SUMIFS('Diags Raw Data'!$R$6:$R$4765,'Diags Raw Data'!$D$6:$D$4765,$A26,'Diags Raw Data'!$M$6:$M$4765,"Delta")</f>
        <v>48</v>
      </c>
      <c r="D26" s="243">
        <f>SUMIFS('Diags Raw Data'!$K$6:$K$4765,'Diags Raw Data'!$D$6:$D$4765,$A26,'Diags Raw Data'!$M$6:$M$4765,"New")+SUMIFS('Diags Raw Data'!$K$6:$K$4765,'Diags Raw Data'!$D$6:$D$4765,$A26,'Diags Raw Data'!$M$6:$M$4765,"Delta")</f>
        <v>14</v>
      </c>
      <c r="E26" s="243">
        <f>SUMIFS('Diags Raw Data'!$O$6:$O$4765,'Diags Raw Data'!$D$6:$D$4765,$A26,'Diags Raw Data'!$M$6:$M$4765,"New")+SUMIFS('Diags Raw Data'!$O$6:$O$4765,'Diags Raw Data'!$D$6:$D$4765,$A26,'Diags Raw Data'!$M$6:$M$4765,"Delta")</f>
        <v>139</v>
      </c>
      <c r="F26" s="249">
        <f t="shared" si="8"/>
        <v>0.99285714285714288</v>
      </c>
      <c r="G26" s="231">
        <f>SUMIFS('Diags Raw Data'!$S$6:$S$4765,'Diags Raw Data'!$D$6:$D$4765,$A26,'Diags Raw Data'!$M$6:$M$4765,"New")+SUMIFS('Diags Raw Data'!$S$6:$S$4765,'Diags Raw Data'!$D$6:$D$4765,$A26,'Diags Raw Data'!$M$6:$M$4765,"Delta")</f>
        <v>47</v>
      </c>
      <c r="H26" s="227">
        <f>SUMIFS('Diags Raw Data'!$T$6:$T$4765,'Diags Raw Data'!$D$6:$D$4765,$A26,'Diags Raw Data'!$M$6:$M$4765,"New")+SUMIFS('Diags Raw Data'!$T$6:$T$4765,'Diags Raw Data'!$D$6:$D$4765,$A26,'Diags Raw Data'!$M$6:$M$4765,"Delta")</f>
        <v>46</v>
      </c>
      <c r="I26" s="227">
        <f>SUMIFS('Diags Raw Data'!$U$6:$U$4765,'Diags Raw Data'!$D$6:$D$4765,$A26,'Diags Raw Data'!$M$6:$M$4765,"New")+SUMIFS('Diags Raw Data'!$U$6:$U$4765,'Diags Raw Data'!$D$6:$D$4765,$A26,'Diags Raw Data'!$M$6:$M$4765,"Delta")</f>
        <v>0</v>
      </c>
      <c r="J26" s="227">
        <f>SUMIFS('Diags Raw Data'!$V$6:$V$4765,'Diags Raw Data'!$D$6:$D$4765,$A26,'Diags Raw Data'!$M$6:$M$4765,"New")+SUMIFS('Diags Raw Data'!$V$6:$V$4765,'Diags Raw Data'!$D$6:$D$4765,$A26,'Diags Raw Data'!$M$6:$M$4765,"Delta")</f>
        <v>1</v>
      </c>
      <c r="K26" s="227">
        <f>SUMIFS('Diags Raw Data'!$W$6:$W$4765,'Diags Raw Data'!$D$6:$D$4765,$A26,'Diags Raw Data'!$M$6:$M$4765,"New")+SUMIFS('Diags Raw Data'!$W$6:$W$4765,'Diags Raw Data'!$D$6:$D$4765,$A26,'Diags Raw Data'!$M$6:$M$4765,"Delta")</f>
        <v>0</v>
      </c>
      <c r="L26" s="244">
        <f t="shared" si="10"/>
        <v>0.97916666666666663</v>
      </c>
      <c r="M26" s="229">
        <f t="shared" si="14"/>
        <v>0.97872340425531912</v>
      </c>
      <c r="N26" s="238">
        <f t="shared" si="11"/>
        <v>0.95833333333333337</v>
      </c>
      <c r="O26" s="214">
        <f>SUMIFS('Diags Raw Data'!$Z$6:$Z$4765,'Diags Raw Data'!$D$6:$D$4765,$A26,'Diags Raw Data'!$M$6:$M$4765,"New")+SUMIFS('Diags Raw Data'!$Z$6:$Z$4765,'Diags Raw Data'!$D$6:$D$4765,$A26,'Diags Raw Data'!$M$6:$M$4765,"Delta")</f>
        <v>0</v>
      </c>
      <c r="P26" s="204">
        <f>SUMIFS('Diags Raw Data'!$AA$6:$AA$4765,'Diags Raw Data'!$D$6:$D$4765,$A26,'Diags Raw Data'!$M$6:$M$4765,"New")+SUMIFS('Diags Raw Data'!$AA$6:$AA$4765,'Diags Raw Data'!$D$6:$D$4765,$A26,'Diags Raw Data'!$M$6:$M$4765,"Delta")</f>
        <v>0</v>
      </c>
      <c r="Q26" s="204">
        <f>SUMIFS('Diags Raw Data'!$AB$6:$AB$4765,'Diags Raw Data'!$D$6:$D$4765,$A26,'Diags Raw Data'!$M$6:$M$4765,"New")+SUMIFS('Diags Raw Data'!$AB$6:$AB$4765,'Diags Raw Data'!$D$6:$D$4765,$A26,'Diags Raw Data'!$M$6:$M$4765,"Delta")</f>
        <v>0</v>
      </c>
      <c r="R26" s="204">
        <f>SUMIFS('Diags Raw Data'!$AC$6:$AC$4765,'Diags Raw Data'!$D$6:$D$4765,$A26,'Diags Raw Data'!$M$6:$M$4765,"New")+SUMIFS('Diags Raw Data'!$AC$6:$AC$4765,'Diags Raw Data'!$D$6:$D$4765,$A26,'Diags Raw Data'!$M$6:$M$4765,"Delta")</f>
        <v>0</v>
      </c>
      <c r="S26" s="204">
        <f>SUMIFS('Diags Raw Data'!$AD$6:$AD$4765,'Diags Raw Data'!$D$6:$D$4765,$A26,'Diags Raw Data'!$M$6:$M$4765,"New")+SUMIFS('Diags Raw Data'!$AD$6:$AD$4765,'Diags Raw Data'!$D$6:$D$4765,$A26,'Diags Raw Data'!$M$6:$M$4765,"Delta")</f>
        <v>0</v>
      </c>
      <c r="T26" s="205">
        <f t="shared" si="12"/>
        <v>0</v>
      </c>
      <c r="U26" s="230" t="str">
        <f t="shared" si="13"/>
        <v>---</v>
      </c>
      <c r="V26" s="232">
        <f t="shared" si="9"/>
        <v>0</v>
      </c>
    </row>
    <row r="27" spans="1:22" ht="15.75" thickBot="1" x14ac:dyDescent="0.3">
      <c r="A27" s="336" t="s">
        <v>486</v>
      </c>
      <c r="B27" s="254">
        <f>SUMIFS('Diags Raw Data'!$L$6:$L$4765,'Diags Raw Data'!$D$6:$D$4765,$A27,'Diags Raw Data'!$M$6:$M$4765,"New")+SUMIFS('Diags Raw Data'!$L$6:$L$4765,'Diags Raw Data'!$D$6:$D$4765,$A27,'Diags Raw Data'!$M$6:$M$4765,"Delta")</f>
        <v>0</v>
      </c>
      <c r="C27" s="245">
        <f>SUMIFS('Diags Raw Data'!$R$6:$R$4765,'Diags Raw Data'!$D$6:$D$4765,$A27,'Diags Raw Data'!$M$6:$M$4765,"New")+SUMIFS('Diags Raw Data'!$R$6:$R$4765,'Diags Raw Data'!$D$6:$D$4765,$A27,'Diags Raw Data'!$M$6:$M$4765,"Delta")</f>
        <v>0</v>
      </c>
      <c r="D27" s="245">
        <f>SUMIFS('Diags Raw Data'!$K$6:$K$4765,'Diags Raw Data'!$D$6:$D$4765,$A27,'Diags Raw Data'!$M$6:$M$4765,"New")+SUMIFS('Diags Raw Data'!$K$6:$K$4765,'Diags Raw Data'!$D$6:$D$4765,$A27,'Diags Raw Data'!$M$6:$M$4765,"Delta")</f>
        <v>0</v>
      </c>
      <c r="E27" s="245">
        <f>SUMIFS('Diags Raw Data'!$O$6:$O$4765,'Diags Raw Data'!$D$6:$D$4765,$A27,'Diags Raw Data'!$M$6:$M$4765,"New")+SUMIFS('Diags Raw Data'!$O$6:$O$4765,'Diags Raw Data'!$D$6:$D$4765,$A27,'Diags Raw Data'!$M$6:$M$4765,"Delta")</f>
        <v>0</v>
      </c>
      <c r="F27" s="250" t="str">
        <f t="shared" si="8"/>
        <v>---</v>
      </c>
      <c r="G27" s="233">
        <f>SUMIFS('Diags Raw Data'!$S$6:$S$4765,'Diags Raw Data'!$D$6:$D$4765,$A27,'Diags Raw Data'!$M$6:$M$4765,"New")+SUMIFS('Diags Raw Data'!$S$6:$S$4765,'Diags Raw Data'!$D$6:$D$4765,$A27,'Diags Raw Data'!$M$6:$M$4765,"Delta")</f>
        <v>0</v>
      </c>
      <c r="H27" s="234">
        <f>SUMIFS('Diags Raw Data'!$T$6:$T$4765,'Diags Raw Data'!$D$6:$D$4765,$A27,'Diags Raw Data'!$M$6:$M$4765,"New")+SUMIFS('Diags Raw Data'!$T$6:$T$4765,'Diags Raw Data'!$D$6:$D$4765,$A27,'Diags Raw Data'!$M$6:$M$4765,"Delta")</f>
        <v>0</v>
      </c>
      <c r="I27" s="234">
        <f>SUMIFS('Diags Raw Data'!$U$6:$U$4765,'Diags Raw Data'!$D$6:$D$4765,$A27,'Diags Raw Data'!$M$6:$M$4765,"New")+SUMIFS('Diags Raw Data'!$U$6:$U$4765,'Diags Raw Data'!$D$6:$D$4765,$A27,'Diags Raw Data'!$M$6:$M$4765,"Delta")</f>
        <v>0</v>
      </c>
      <c r="J27" s="234">
        <f>SUMIFS('Diags Raw Data'!$V$6:$V$4765,'Diags Raw Data'!$D$6:$D$4765,$A27,'Diags Raw Data'!$M$6:$M$4765,"New")+SUMIFS('Diags Raw Data'!$V$6:$V$4765,'Diags Raw Data'!$D$6:$D$4765,$A27,'Diags Raw Data'!$M$6:$M$4765,"Delta")</f>
        <v>0</v>
      </c>
      <c r="K27" s="234">
        <f>SUMIFS('Diags Raw Data'!$W$6:$W$4765,'Diags Raw Data'!$D$6:$D$4765,$A27,'Diags Raw Data'!$M$6:$M$4765,"New")+SUMIFS('Diags Raw Data'!$W$6:$W$4765,'Diags Raw Data'!$D$6:$D$4765,$A27,'Diags Raw Data'!$M$6:$M$4765,"Delta")</f>
        <v>0</v>
      </c>
      <c r="L27" s="246" t="str">
        <f t="shared" si="10"/>
        <v>---</v>
      </c>
      <c r="M27" s="236" t="str">
        <f t="shared" si="14"/>
        <v>---</v>
      </c>
      <c r="N27" s="239" t="str">
        <f t="shared" si="11"/>
        <v>---</v>
      </c>
      <c r="O27" s="215">
        <f>SUMIFS('Diags Raw Data'!$Z$6:$Z$4765,'Diags Raw Data'!$D$6:$D$4765,$A27,'Diags Raw Data'!$M$6:$M$4765,"New")+SUMIFS('Diags Raw Data'!$Z$6:$Z$4765,'Diags Raw Data'!$D$6:$D$4765,$A27,'Diags Raw Data'!$M$6:$M$4765,"Delta")</f>
        <v>0</v>
      </c>
      <c r="P27" s="207">
        <f>SUMIFS('Diags Raw Data'!$AA$6:$AA$4765,'Diags Raw Data'!$D$6:$D$4765,$A27,'Diags Raw Data'!$M$6:$M$4765,"New")+SUMIFS('Diags Raw Data'!$AA$6:$AA$4765,'Diags Raw Data'!$D$6:$D$4765,$A27,'Diags Raw Data'!$M$6:$M$4765,"Delta")</f>
        <v>0</v>
      </c>
      <c r="Q27" s="207">
        <f>SUMIFS('Diags Raw Data'!$AB$6:$AB$4765,'Diags Raw Data'!$D$6:$D$4765,$A27,'Diags Raw Data'!$M$6:$M$4765,"New")+SUMIFS('Diags Raw Data'!$AB$6:$AB$4765,'Diags Raw Data'!$D$6:$D$4765,$A27,'Diags Raw Data'!$M$6:$M$4765,"Delta")</f>
        <v>0</v>
      </c>
      <c r="R27" s="207">
        <f>SUMIFS('Diags Raw Data'!$AC$6:$AC$4765,'Diags Raw Data'!$D$6:$D$4765,$A27,'Diags Raw Data'!$M$6:$M$4765,"New")+SUMIFS('Diags Raw Data'!$AC$6:$AC$4765,'Diags Raw Data'!$D$6:$D$4765,$A27,'Diags Raw Data'!$M$6:$M$4765,"Delta")</f>
        <v>0</v>
      </c>
      <c r="S27" s="207">
        <f>SUMIFS('Diags Raw Data'!$AD$6:$AD$4765,'Diags Raw Data'!$D$6:$D$4765,$A27,'Diags Raw Data'!$M$6:$M$4765,"New")+SUMIFS('Diags Raw Data'!$AD$6:$AD$4765,'Diags Raw Data'!$D$6:$D$4765,$A27,'Diags Raw Data'!$M$6:$M$4765,"Delta")</f>
        <v>0</v>
      </c>
      <c r="T27" s="208" t="str">
        <f t="shared" si="12"/>
        <v>---</v>
      </c>
      <c r="U27" s="240" t="str">
        <f t="shared" si="13"/>
        <v>---</v>
      </c>
      <c r="V27" s="237" t="str">
        <f t="shared" si="9"/>
        <v>---</v>
      </c>
    </row>
    <row r="28" spans="1:22" ht="16.5" thickBot="1" x14ac:dyDescent="0.3">
      <c r="A28" s="256" t="s">
        <v>489</v>
      </c>
      <c r="B28" s="257">
        <f>SUM(B18:B27)</f>
        <v>718</v>
      </c>
      <c r="C28" s="258">
        <f>SUM(C18:C27)</f>
        <v>525</v>
      </c>
      <c r="D28" s="258">
        <f>SUM(D18:D27)</f>
        <v>142</v>
      </c>
      <c r="E28" s="258">
        <f>SUM(E18:E27)</f>
        <v>707.1</v>
      </c>
      <c r="F28" s="259" cm="1">
        <f t="array" ref="F28">SUMPRODUCT(--(ISNUMBER(SEARCH("New",'Diags Raw Data'!$M$6:$M$4765))),'Diags Raw Data'!$K$6:$K$4765,'Diags Raw Data'!$P$6:$P$4765)/D28+SUMPRODUCT(--(ISNUMBER(SEARCH("Delta",'Diags Raw Data'!$M$6:$M$4765))),'Diags Raw Data'!$K$6:$K$4765,'Diags Raw Data'!$P$6:$P$4765)/D28</f>
        <v>0.93978873239436622</v>
      </c>
      <c r="G28" s="260">
        <f>SUM(G18:G27)</f>
        <v>445</v>
      </c>
      <c r="H28" s="261">
        <f>SUM(H18:H27)</f>
        <v>433</v>
      </c>
      <c r="I28" s="262">
        <f>SUM(I18:I27)</f>
        <v>0</v>
      </c>
      <c r="J28" s="261">
        <f>SUM(J18:J27)</f>
        <v>12</v>
      </c>
      <c r="K28" s="262">
        <f>SUM(K18:K27)</f>
        <v>0</v>
      </c>
      <c r="L28" s="263">
        <f>IF(NOT($C28=0), G28/$C28, "---")</f>
        <v>0.84761904761904761</v>
      </c>
      <c r="M28" s="264">
        <f t="shared" si="14"/>
        <v>0.97303370786516852</v>
      </c>
      <c r="N28" s="265">
        <f>IF(NOT($C28=0), (H28+I28)/$C28, "---")</f>
        <v>0.82476190476190481</v>
      </c>
      <c r="O28" s="266">
        <f>SUM(O18:O27)</f>
        <v>240</v>
      </c>
      <c r="P28" s="267">
        <f>SUM(P18:P27)</f>
        <v>238</v>
      </c>
      <c r="Q28" s="268">
        <f>SUM(Q18:Q27)</f>
        <v>0</v>
      </c>
      <c r="R28" s="267">
        <f>SUM(R18:R27)</f>
        <v>2</v>
      </c>
      <c r="S28" s="268">
        <f>SUM(S18:S27)</f>
        <v>0</v>
      </c>
      <c r="T28" s="269">
        <f>IF(NOT($B28=0), O28/$B28, "---")</f>
        <v>0.33426183844011143</v>
      </c>
      <c r="U28" s="270">
        <f t="shared" si="13"/>
        <v>0.9916666666666667</v>
      </c>
      <c r="V28" s="271">
        <f t="shared" si="9"/>
        <v>0.33147632311977715</v>
      </c>
    </row>
    <row r="29" spans="1:22" ht="15.75" thickBot="1" x14ac:dyDescent="0.3">
      <c r="A29" s="247"/>
      <c r="B29" s="247"/>
      <c r="C29" s="247"/>
      <c r="D29" s="247"/>
      <c r="E29" s="247"/>
      <c r="F29" s="247"/>
      <c r="G29" s="247"/>
      <c r="H29" s="247"/>
      <c r="I29" s="247"/>
      <c r="J29" s="247"/>
      <c r="K29" s="247"/>
      <c r="L29" s="247"/>
      <c r="M29" s="247"/>
      <c r="N29" s="247"/>
      <c r="O29" s="247"/>
      <c r="P29" s="247"/>
      <c r="Q29" s="247"/>
      <c r="R29" s="247"/>
      <c r="S29" s="247"/>
      <c r="T29" s="247"/>
      <c r="U29" s="247"/>
      <c r="V29" s="247"/>
    </row>
    <row r="30" spans="1:22" ht="15.75" thickBot="1" x14ac:dyDescent="0.3">
      <c r="A30" s="217" t="s">
        <v>33</v>
      </c>
      <c r="B30" s="619" t="s">
        <v>166</v>
      </c>
      <c r="C30" s="619"/>
      <c r="D30" s="619"/>
      <c r="E30" s="619"/>
      <c r="F30" s="619"/>
      <c r="G30" s="620" t="s">
        <v>177</v>
      </c>
      <c r="H30" s="621"/>
      <c r="I30" s="621"/>
      <c r="J30" s="621"/>
      <c r="K30" s="621"/>
      <c r="L30" s="621"/>
      <c r="M30" s="621"/>
      <c r="N30" s="622"/>
      <c r="O30" s="623" t="s">
        <v>144</v>
      </c>
      <c r="P30" s="624"/>
      <c r="Q30" s="624"/>
      <c r="R30" s="624"/>
      <c r="S30" s="624"/>
      <c r="T30" s="624"/>
      <c r="U30" s="624"/>
      <c r="V30" s="625"/>
    </row>
    <row r="31" spans="1:22" s="251" customFormat="1" ht="30.75" thickBot="1" x14ac:dyDescent="0.3">
      <c r="A31" s="255" t="s">
        <v>88</v>
      </c>
      <c r="B31" s="312" t="s">
        <v>167</v>
      </c>
      <c r="C31" s="313" t="s">
        <v>128</v>
      </c>
      <c r="D31" s="314" t="s">
        <v>105</v>
      </c>
      <c r="E31" s="314" t="s">
        <v>173</v>
      </c>
      <c r="F31" s="315" t="s">
        <v>175</v>
      </c>
      <c r="G31" s="316" t="s">
        <v>132</v>
      </c>
      <c r="H31" s="317" t="s">
        <v>30</v>
      </c>
      <c r="I31" s="317" t="s">
        <v>135</v>
      </c>
      <c r="J31" s="317" t="s">
        <v>36</v>
      </c>
      <c r="K31" s="317" t="s">
        <v>138</v>
      </c>
      <c r="L31" s="317" t="s">
        <v>184</v>
      </c>
      <c r="M31" s="317" t="s">
        <v>140</v>
      </c>
      <c r="N31" s="318" t="s">
        <v>187</v>
      </c>
      <c r="O31" s="319" t="s">
        <v>132</v>
      </c>
      <c r="P31" s="320" t="s">
        <v>30</v>
      </c>
      <c r="Q31" s="320" t="s">
        <v>135</v>
      </c>
      <c r="R31" s="320" t="s">
        <v>36</v>
      </c>
      <c r="S31" s="320" t="s">
        <v>138</v>
      </c>
      <c r="T31" s="320" t="s">
        <v>184</v>
      </c>
      <c r="U31" s="320" t="s">
        <v>140</v>
      </c>
      <c r="V31" s="321" t="s">
        <v>187</v>
      </c>
    </row>
    <row r="32" spans="1:22" x14ac:dyDescent="0.25">
      <c r="A32" s="335" t="s">
        <v>477</v>
      </c>
      <c r="B32" s="252">
        <f>SUMIFS('Diags Raw Data'!$L$6:$L$4765,'Diags Raw Data'!$D$6:$D$4765,$A32,'Diags Raw Data'!$M$6:$M$4765,"Legacy")</f>
        <v>0</v>
      </c>
      <c r="C32" s="242">
        <f>SUMIFS('Diags Raw Data'!$R$6:$R$4765,'Diags Raw Data'!$D$6:$D$4765,$A32,'Diags Raw Data'!$M$6:$M$4765,"Legacy")</f>
        <v>0</v>
      </c>
      <c r="D32" s="242">
        <f>SUMIFS('Diags Raw Data'!$K$6:$K$4765,'Diags Raw Data'!$D$6:$D$4765,$A32,'Diags Raw Data'!$M$6:$M$4765,"Legacy")</f>
        <v>0</v>
      </c>
      <c r="E32" s="242">
        <f>SUMIFS('Diags Raw Data'!$O$6:$O$4765,'Diags Raw Data'!$D$6:$D$4765,$A32,'Diags Raw Data'!$M$6:$M$4765,"Legacy")</f>
        <v>0</v>
      </c>
      <c r="F32" s="248" t="str">
        <f>IF(NOT($B32=0), E32/$B32, "---")</f>
        <v>---</v>
      </c>
      <c r="G32" s="220">
        <f>SUMIFS('Diags Raw Data'!$S$6:$S$4765,'Diags Raw Data'!$D$6:$D$4765,$A32,'Diags Raw Data'!$M$6:$M$4765,"Legacy")</f>
        <v>0</v>
      </c>
      <c r="H32" s="221">
        <f>SUMIFS('Diags Raw Data'!$T$6:$T$4765,'Diags Raw Data'!$D$6:$D$4765,$A32,'Diags Raw Data'!$M$6:$M$4765,"Legacy")</f>
        <v>0</v>
      </c>
      <c r="I32" s="223">
        <f>SUMIFS('Diags Raw Data'!$U$6:$U$4765,'Diags Raw Data'!$D$6:$D$4765,$A32,'Diags Raw Data'!$M$6:$M$4765,"Legacy")</f>
        <v>0</v>
      </c>
      <c r="J32" s="221">
        <f>SUMIFS('Diags Raw Data'!$V$6:$V$4765,'Diags Raw Data'!$D$6:$D$4765,$A32,'Diags Raw Data'!$M$6:$M$4765,"Legacy")</f>
        <v>0</v>
      </c>
      <c r="K32" s="223">
        <f>SUMIFS('Diags Raw Data'!$W$6:$W$4765,'Diags Raw Data'!$D$6:$D$4765,$A32,'Diags Raw Data'!$M$6:$M$4765,"Legacy")</f>
        <v>0</v>
      </c>
      <c r="L32" s="222" t="str">
        <f>IF(NOT($C32=0), G32/$C32, "---")</f>
        <v>---</v>
      </c>
      <c r="M32" s="224" t="str">
        <f>IF(NOT($G32=0), (H32+I32)/$G32, "---")</f>
        <v>---</v>
      </c>
      <c r="N32" s="226" t="str">
        <f>IF(NOT($C32=0), (H32+I32)/$C32, "---")</f>
        <v>---</v>
      </c>
      <c r="O32" s="213">
        <f>SUMIFS('Diags Raw Data'!$Z$6:$Z$4765,'Diags Raw Data'!$D$6:$D$4765,$A32,'Diags Raw Data'!$M$6:$M$4765,"Legacy")</f>
        <v>0</v>
      </c>
      <c r="P32" s="210">
        <f>SUMIFS('Diags Raw Data'!$AA$6:$AA$4765,'Diags Raw Data'!$D$6:$D$4765,$A32,'Diags Raw Data'!$M$6:$M$4765,"Legacy")</f>
        <v>0</v>
      </c>
      <c r="Q32" s="212">
        <f>SUMIFS('Diags Raw Data'!$AB$6:$AB$4765,'Diags Raw Data'!$D$6:$D$4765,$A32,'Diags Raw Data'!$M$6:$M$4765,"Legacy")</f>
        <v>0</v>
      </c>
      <c r="R32" s="210">
        <f>SUMIFS('Diags Raw Data'!$AC$6:$AC$4765,'Diags Raw Data'!$D$6:$D$4765,$A32,'Diags Raw Data'!$M$6:$M$4765,"Legacy")</f>
        <v>0</v>
      </c>
      <c r="S32" s="212">
        <f>SUMIFS('Diags Raw Data'!$AD$6:$AD$4765,'Diags Raw Data'!$D$6:$D$4765,$A32,'Diags Raw Data'!$M$6:$M$4765,"Legacy")</f>
        <v>0</v>
      </c>
      <c r="T32" s="211" t="str">
        <f>IF(NOT($B32=0), O32/$B32, "---")</f>
        <v>---</v>
      </c>
      <c r="U32" s="225" t="str">
        <f>IF(NOT($O32=0), (P32+Q32)/$O32, "---")</f>
        <v>---</v>
      </c>
      <c r="V32" s="241" t="str">
        <f>IF(NOT($B32=0), (P32+Q32)/$B32, "---")</f>
        <v>---</v>
      </c>
    </row>
    <row r="33" spans="1:22" x14ac:dyDescent="0.25">
      <c r="A33" s="335" t="s">
        <v>478</v>
      </c>
      <c r="B33" s="253">
        <f>SUMIFS('Diags Raw Data'!$L$6:$L$4765,'Diags Raw Data'!$D$6:$D$4765,$A33,'Diags Raw Data'!$M$6:$M$4765,"Legacy")</f>
        <v>0</v>
      </c>
      <c r="C33" s="243">
        <f>SUMIFS('Diags Raw Data'!$R$6:$R$4765,'Diags Raw Data'!$D$6:$D$4765,$A33,'Diags Raw Data'!$M$6:$M$4765,"Legacy")</f>
        <v>0</v>
      </c>
      <c r="D33" s="243">
        <f>SUMIFS('Diags Raw Data'!$K$6:$K$4765,'Diags Raw Data'!$D$6:$D$4765,$A33,'Diags Raw Data'!$M$6:$M$4765,"Legacy")</f>
        <v>0</v>
      </c>
      <c r="E33" s="243">
        <f>SUMIFS('Diags Raw Data'!$O$6:$O$4765,'Diags Raw Data'!$D$6:$D$4765,$A33,'Diags Raw Data'!$M$6:$M$4765,"Legacy")</f>
        <v>0</v>
      </c>
      <c r="F33" s="249" t="str">
        <f t="shared" ref="F33:F41" si="15">IF(NOT($B33=0), E33/$B33, "---")</f>
        <v>---</v>
      </c>
      <c r="G33" s="231">
        <f>SUMIFS('Diags Raw Data'!$S$6:$S$4765,'Diags Raw Data'!$D$6:$D$4765,$A33,'Diags Raw Data'!$M$6:$M$4765,"Legacy")</f>
        <v>0</v>
      </c>
      <c r="H33" s="227">
        <f>SUMIFS('Diags Raw Data'!$T$6:$T$4765,'Diags Raw Data'!$D$6:$D$4765,$A33,'Diags Raw Data'!$M$6:$M$4765,"Legacy")</f>
        <v>0</v>
      </c>
      <c r="I33" s="228">
        <f>SUMIFS('Diags Raw Data'!$U$6:$U$4765,'Diags Raw Data'!$D$6:$D$4765,$A33,'Diags Raw Data'!$M$6:$M$4765,"Legacy")</f>
        <v>0</v>
      </c>
      <c r="J33" s="227">
        <f>SUMIFS('Diags Raw Data'!$V$6:$V$4765,'Diags Raw Data'!$D$6:$D$4765,$A33,'Diags Raw Data'!$M$6:$M$4765,"Legacy")</f>
        <v>0</v>
      </c>
      <c r="K33" s="228">
        <f>SUMIFS('Diags Raw Data'!$W$6:$W$4765,'Diags Raw Data'!$D$6:$D$4765,$A33,'Diags Raw Data'!$M$6:$M$4765,"Legacy")</f>
        <v>0</v>
      </c>
      <c r="L33" s="244" t="str">
        <f t="shared" ref="L33:L41" si="16">IF(NOT($C33=0), G33/$C33, "---")</f>
        <v>---</v>
      </c>
      <c r="M33" s="229" t="str">
        <f t="shared" ref="M33:M42" si="17">IF(NOT($G33=0), (H33+I33)/$G33, "---")</f>
        <v>---</v>
      </c>
      <c r="N33" s="238" t="str">
        <f t="shared" ref="N33:N42" si="18">IF(NOT($C33=0), (H33+I33)/$C33, "---")</f>
        <v>---</v>
      </c>
      <c r="O33" s="214">
        <f>SUMIFS('Diags Raw Data'!$Z$6:$Z$4765,'Diags Raw Data'!$D$6:$D$4765,$A33,'Diags Raw Data'!$M$6:$M$4765,"Legacy")</f>
        <v>0</v>
      </c>
      <c r="P33" s="204">
        <f>SUMIFS('Diags Raw Data'!$AA$6:$AA$4765,'Diags Raw Data'!$D$6:$D$4765,$A33,'Diags Raw Data'!$M$6:$M$4765,"Legacy")</f>
        <v>0</v>
      </c>
      <c r="Q33" s="206">
        <f>SUMIFS('Diags Raw Data'!$AB$6:$AB$4765,'Diags Raw Data'!$D$6:$D$4765,$A33,'Diags Raw Data'!$M$6:$M$4765,"Legacy")</f>
        <v>0</v>
      </c>
      <c r="R33" s="204">
        <f>SUMIFS('Diags Raw Data'!$AC$6:$AC$4765,'Diags Raw Data'!$D$6:$D$4765,$A33,'Diags Raw Data'!$M$6:$M$4765,"Legacy")</f>
        <v>0</v>
      </c>
      <c r="S33" s="206">
        <f>SUMIFS('Diags Raw Data'!$AD$6:$AD$4765,'Diags Raw Data'!$D$6:$D$4765,$A33,'Diags Raw Data'!$M$6:$M$4765,"Legacy")</f>
        <v>0</v>
      </c>
      <c r="T33" s="205" t="str">
        <f t="shared" ref="T33:T41" si="19">IF(NOT($B33=0), O33/$B33, "---")</f>
        <v>---</v>
      </c>
      <c r="U33" s="230" t="str">
        <f t="shared" ref="U33:U42" si="20">IF(NOT($O33=0), (P33+Q33)/$O33, "---")</f>
        <v>---</v>
      </c>
      <c r="V33" s="232" t="str">
        <f t="shared" ref="V33:V41" si="21">IF(NOT($B33=0), (P33+Q33)/$B33, "---")</f>
        <v>---</v>
      </c>
    </row>
    <row r="34" spans="1:22" x14ac:dyDescent="0.25">
      <c r="A34" s="335" t="s">
        <v>479</v>
      </c>
      <c r="B34" s="253">
        <f>SUMIFS('Diags Raw Data'!$L$6:$L$4765,'Diags Raw Data'!$D$6:$D$4765,$A34,'Diags Raw Data'!$M$6:$M$4765,"Legacy")</f>
        <v>0</v>
      </c>
      <c r="C34" s="243">
        <f>SUMIFS('Diags Raw Data'!$R$6:$R$4765,'Diags Raw Data'!$D$6:$D$4765,$A34,'Diags Raw Data'!$M$6:$M$4765,"Legacy")</f>
        <v>0</v>
      </c>
      <c r="D34" s="243">
        <f>SUMIFS('Diags Raw Data'!$K$6:$K$4765,'Diags Raw Data'!$D$6:$D$4765,$A34,'Diags Raw Data'!$M$6:$M$4765,"Legacy")</f>
        <v>0</v>
      </c>
      <c r="E34" s="243">
        <f>SUMIFS('Diags Raw Data'!$O$6:$O$4765,'Diags Raw Data'!$D$6:$D$4765,$A34,'Diags Raw Data'!$M$6:$M$4765,"Legacy")</f>
        <v>0</v>
      </c>
      <c r="F34" s="249" t="str">
        <f t="shared" si="15"/>
        <v>---</v>
      </c>
      <c r="G34" s="231">
        <f>SUMIFS('Diags Raw Data'!$S$6:$S$4765,'Diags Raw Data'!$D$6:$D$4765,$A34,'Diags Raw Data'!$M$6:$M$4765,"Legacy")</f>
        <v>0</v>
      </c>
      <c r="H34" s="227">
        <f>SUMIFS('Diags Raw Data'!$T$6:$T$4765,'Diags Raw Data'!$D$6:$D$4765,$A34,'Diags Raw Data'!$M$6:$M$4765,"Legacy")</f>
        <v>0</v>
      </c>
      <c r="I34" s="228">
        <f>SUMIFS('Diags Raw Data'!$U$6:$U$4765,'Diags Raw Data'!$D$6:$D$4765,$A34,'Diags Raw Data'!$M$6:$M$4765,"Legacy")</f>
        <v>0</v>
      </c>
      <c r="J34" s="227">
        <f>SUMIFS('Diags Raw Data'!$V$6:$V$4765,'Diags Raw Data'!$D$6:$D$4765,$A34,'Diags Raw Data'!$M$6:$M$4765,"Legacy")</f>
        <v>0</v>
      </c>
      <c r="K34" s="228">
        <f>SUMIFS('Diags Raw Data'!$W$6:$W$4765,'Diags Raw Data'!$D$6:$D$4765,$A34,'Diags Raw Data'!$M$6:$M$4765,"Legacy")</f>
        <v>0</v>
      </c>
      <c r="L34" s="244" t="str">
        <f t="shared" si="16"/>
        <v>---</v>
      </c>
      <c r="M34" s="229" t="str">
        <f t="shared" si="17"/>
        <v>---</v>
      </c>
      <c r="N34" s="238" t="str">
        <f t="shared" si="18"/>
        <v>---</v>
      </c>
      <c r="O34" s="214">
        <f>SUMIFS('Diags Raw Data'!$Z$6:$Z$4765,'Diags Raw Data'!$D$6:$D$4765,$A34,'Diags Raw Data'!$M$6:$M$4765,"Legacy")</f>
        <v>0</v>
      </c>
      <c r="P34" s="204">
        <f>SUMIFS('Diags Raw Data'!$AA$6:$AA$4765,'Diags Raw Data'!$D$6:$D$4765,$A34,'Diags Raw Data'!$M$6:$M$4765,"Legacy")</f>
        <v>0</v>
      </c>
      <c r="Q34" s="206">
        <f>SUMIFS('Diags Raw Data'!$AB$6:$AB$4765,'Diags Raw Data'!$D$6:$D$4765,$A34,'Diags Raw Data'!$M$6:$M$4765,"Legacy")</f>
        <v>0</v>
      </c>
      <c r="R34" s="204">
        <f>SUMIFS('Diags Raw Data'!$AC$6:$AC$4765,'Diags Raw Data'!$D$6:$D$4765,$A34,'Diags Raw Data'!$M$6:$M$4765,"Legacy")</f>
        <v>0</v>
      </c>
      <c r="S34" s="206">
        <f>SUMIFS('Diags Raw Data'!$AD$6:$AD$4765,'Diags Raw Data'!$D$6:$D$4765,$A34,'Diags Raw Data'!$M$6:$M$4765,"Legacy")</f>
        <v>0</v>
      </c>
      <c r="T34" s="205" t="str">
        <f t="shared" si="19"/>
        <v>---</v>
      </c>
      <c r="U34" s="230" t="str">
        <f t="shared" si="20"/>
        <v>---</v>
      </c>
      <c r="V34" s="232" t="str">
        <f t="shared" si="21"/>
        <v>---</v>
      </c>
    </row>
    <row r="35" spans="1:22" x14ac:dyDescent="0.25">
      <c r="A35" s="335" t="s">
        <v>480</v>
      </c>
      <c r="B35" s="253">
        <f>SUMIFS('Diags Raw Data'!$L$6:$L$4765,'Diags Raw Data'!$D$6:$D$4765,$A35,'Diags Raw Data'!$M$6:$M$4765,"Legacy")</f>
        <v>0</v>
      </c>
      <c r="C35" s="243">
        <f>SUMIFS('Diags Raw Data'!$R$6:$R$4765,'Diags Raw Data'!$D$6:$D$4765,$A35,'Diags Raw Data'!$M$6:$M$4765,"Legacy")</f>
        <v>0</v>
      </c>
      <c r="D35" s="243">
        <f>SUMIFS('Diags Raw Data'!$K$6:$K$4765,'Diags Raw Data'!$D$6:$D$4765,$A35,'Diags Raw Data'!$M$6:$M$4765,"Legacy")</f>
        <v>0</v>
      </c>
      <c r="E35" s="243">
        <f>SUMIFS('Diags Raw Data'!$O$6:$O$4765,'Diags Raw Data'!$D$6:$D$4765,$A35,'Diags Raw Data'!$M$6:$M$4765,"Legacy")</f>
        <v>0</v>
      </c>
      <c r="F35" s="249" t="str">
        <f t="shared" si="15"/>
        <v>---</v>
      </c>
      <c r="G35" s="231">
        <f>SUMIFS('Diags Raw Data'!$S$6:$S$4765,'Diags Raw Data'!$D$6:$D$4765,$A35,'Diags Raw Data'!$M$6:$M$4765,"Legacy")</f>
        <v>0</v>
      </c>
      <c r="H35" s="227">
        <f>SUMIFS('Diags Raw Data'!$T$6:$T$4765,'Diags Raw Data'!$D$6:$D$4765,$A35,'Diags Raw Data'!$M$6:$M$4765,"Legacy")</f>
        <v>0</v>
      </c>
      <c r="I35" s="228">
        <f>SUMIFS('Diags Raw Data'!$U$6:$U$4765,'Diags Raw Data'!$D$6:$D$4765,$A35,'Diags Raw Data'!$M$6:$M$4765,"Legacy")</f>
        <v>0</v>
      </c>
      <c r="J35" s="227">
        <f>SUMIFS('Diags Raw Data'!$V$6:$V$4765,'Diags Raw Data'!$D$6:$D$4765,$A35,'Diags Raw Data'!$M$6:$M$4765,"Legacy")</f>
        <v>0</v>
      </c>
      <c r="K35" s="228">
        <f>SUMIFS('Diags Raw Data'!$W$6:$W$4765,'Diags Raw Data'!$D$6:$D$4765,$A35,'Diags Raw Data'!$M$6:$M$4765,"Legacy")</f>
        <v>0</v>
      </c>
      <c r="L35" s="244" t="str">
        <f t="shared" si="16"/>
        <v>---</v>
      </c>
      <c r="M35" s="229" t="str">
        <f t="shared" si="17"/>
        <v>---</v>
      </c>
      <c r="N35" s="238" t="str">
        <f t="shared" si="18"/>
        <v>---</v>
      </c>
      <c r="O35" s="214">
        <f>SUMIFS('Diags Raw Data'!$Z$6:$Z$4765,'Diags Raw Data'!$D$6:$D$4765,$A35,'Diags Raw Data'!$M$6:$M$4765,"Legacy")</f>
        <v>0</v>
      </c>
      <c r="P35" s="204">
        <f>SUMIFS('Diags Raw Data'!$AA$6:$AA$4765,'Diags Raw Data'!$D$6:$D$4765,$A35,'Diags Raw Data'!$M$6:$M$4765,"Legacy")</f>
        <v>0</v>
      </c>
      <c r="Q35" s="206">
        <f>SUMIFS('Diags Raw Data'!$AB$6:$AB$4765,'Diags Raw Data'!$D$6:$D$4765,$A35,'Diags Raw Data'!$M$6:$M$4765,"Legacy")</f>
        <v>0</v>
      </c>
      <c r="R35" s="204">
        <f>SUMIFS('Diags Raw Data'!$AC$6:$AC$4765,'Diags Raw Data'!$D$6:$D$4765,$A35,'Diags Raw Data'!$M$6:$M$4765,"Legacy")</f>
        <v>0</v>
      </c>
      <c r="S35" s="206">
        <f>SUMIFS('Diags Raw Data'!$AD$6:$AD$4765,'Diags Raw Data'!$D$6:$D$4765,$A35,'Diags Raw Data'!$M$6:$M$4765,"Legacy")</f>
        <v>0</v>
      </c>
      <c r="T35" s="205" t="str">
        <f t="shared" si="19"/>
        <v>---</v>
      </c>
      <c r="U35" s="230" t="str">
        <f t="shared" si="20"/>
        <v>---</v>
      </c>
      <c r="V35" s="232" t="str">
        <f t="shared" si="21"/>
        <v>---</v>
      </c>
    </row>
    <row r="36" spans="1:22" x14ac:dyDescent="0.25">
      <c r="A36" s="335" t="s">
        <v>481</v>
      </c>
      <c r="B36" s="253">
        <f>SUMIFS('Diags Raw Data'!$L$6:$L$4765,'Diags Raw Data'!$D$6:$D$4765,$A36,'Diags Raw Data'!$M$6:$M$4765,"Legacy")</f>
        <v>0</v>
      </c>
      <c r="C36" s="243">
        <f>SUMIFS('Diags Raw Data'!$R$6:$R$4765,'Diags Raw Data'!$D$6:$D$4765,$A36,'Diags Raw Data'!$M$6:$M$4765,"Legacy")</f>
        <v>0</v>
      </c>
      <c r="D36" s="243">
        <f>SUMIFS('Diags Raw Data'!$K$6:$K$4765,'Diags Raw Data'!$D$6:$D$4765,$A36,'Diags Raw Data'!$M$6:$M$4765,"Legacy")</f>
        <v>0</v>
      </c>
      <c r="E36" s="243">
        <f>SUMIFS('Diags Raw Data'!$O$6:$O$4765,'Diags Raw Data'!$D$6:$D$4765,$A36,'Diags Raw Data'!$M$6:$M$4765,"Legacy")</f>
        <v>0</v>
      </c>
      <c r="F36" s="249" t="str">
        <f t="shared" si="15"/>
        <v>---</v>
      </c>
      <c r="G36" s="231">
        <f>SUMIFS('Diags Raw Data'!$S$6:$S$4765,'Diags Raw Data'!$D$6:$D$4765,$A36,'Diags Raw Data'!$M$6:$M$4765,"Legacy")</f>
        <v>0</v>
      </c>
      <c r="H36" s="227">
        <f>SUMIFS('Diags Raw Data'!$T$6:$T$4765,'Diags Raw Data'!$D$6:$D$4765,$A36,'Diags Raw Data'!$M$6:$M$4765,"Legacy")</f>
        <v>0</v>
      </c>
      <c r="I36" s="228">
        <f>SUMIFS('Diags Raw Data'!$U$6:$U$4765,'Diags Raw Data'!$D$6:$D$4765,$A36,'Diags Raw Data'!$M$6:$M$4765,"Legacy")</f>
        <v>0</v>
      </c>
      <c r="J36" s="227">
        <f>SUMIFS('Diags Raw Data'!$V$6:$V$4765,'Diags Raw Data'!$D$6:$D$4765,$A36,'Diags Raw Data'!$M$6:$M$4765,"Legacy")</f>
        <v>0</v>
      </c>
      <c r="K36" s="228">
        <f>SUMIFS('Diags Raw Data'!$W$6:$W$4765,'Diags Raw Data'!$D$6:$D$4765,$A36,'Diags Raw Data'!$M$6:$M$4765,"Legacy")</f>
        <v>0</v>
      </c>
      <c r="L36" s="244" t="str">
        <f t="shared" si="16"/>
        <v>---</v>
      </c>
      <c r="M36" s="229" t="str">
        <f t="shared" si="17"/>
        <v>---</v>
      </c>
      <c r="N36" s="238" t="str">
        <f t="shared" si="18"/>
        <v>---</v>
      </c>
      <c r="O36" s="214">
        <f>SUMIFS('Diags Raw Data'!$Z$6:$Z$4765,'Diags Raw Data'!$D$6:$D$4765,$A36,'Diags Raw Data'!$M$6:$M$4765,"Legacy")</f>
        <v>0</v>
      </c>
      <c r="P36" s="204">
        <f>SUMIFS('Diags Raw Data'!$AA$6:$AA$4765,'Diags Raw Data'!$D$6:$D$4765,$A36,'Diags Raw Data'!$M$6:$M$4765,"Legacy")</f>
        <v>0</v>
      </c>
      <c r="Q36" s="206">
        <f>SUMIFS('Diags Raw Data'!$AB$6:$AB$4765,'Diags Raw Data'!$D$6:$D$4765,$A36,'Diags Raw Data'!$M$6:$M$4765,"Legacy")</f>
        <v>0</v>
      </c>
      <c r="R36" s="204">
        <f>SUMIFS('Diags Raw Data'!$AC$6:$AC$4765,'Diags Raw Data'!$D$6:$D$4765,$A36,'Diags Raw Data'!$M$6:$M$4765,"Legacy")</f>
        <v>0</v>
      </c>
      <c r="S36" s="206">
        <f>SUMIFS('Diags Raw Data'!$AD$6:$AD$4765,'Diags Raw Data'!$D$6:$D$4765,$A36,'Diags Raw Data'!$M$6:$M$4765,"Legacy")</f>
        <v>0</v>
      </c>
      <c r="T36" s="205" t="str">
        <f t="shared" si="19"/>
        <v>---</v>
      </c>
      <c r="U36" s="230" t="str">
        <f t="shared" si="20"/>
        <v>---</v>
      </c>
      <c r="V36" s="232" t="str">
        <f t="shared" si="21"/>
        <v>---</v>
      </c>
    </row>
    <row r="37" spans="1:22" x14ac:dyDescent="0.25">
      <c r="A37" s="335" t="s">
        <v>482</v>
      </c>
      <c r="B37" s="253">
        <f>SUMIFS('Diags Raw Data'!$L$6:$L$4765,'Diags Raw Data'!$D$6:$D$4765,$A37,'Diags Raw Data'!$M$6:$M$4765,"Legacy")</f>
        <v>0</v>
      </c>
      <c r="C37" s="243">
        <f>SUMIFS('Diags Raw Data'!$R$6:$R$4765,'Diags Raw Data'!$D$6:$D$4765,$A37,'Diags Raw Data'!$M$6:$M$4765,"Legacy")</f>
        <v>0</v>
      </c>
      <c r="D37" s="243">
        <f>SUMIFS('Diags Raw Data'!$K$6:$K$4765,'Diags Raw Data'!$D$6:$D$4765,$A37,'Diags Raw Data'!$M$6:$M$4765,"Legacy")</f>
        <v>0</v>
      </c>
      <c r="E37" s="243">
        <f>SUMIFS('Diags Raw Data'!$O$6:$O$4765,'Diags Raw Data'!$D$6:$D$4765,$A37,'Diags Raw Data'!$M$6:$M$4765,"Legacy")</f>
        <v>0</v>
      </c>
      <c r="F37" s="249" t="str">
        <f t="shared" si="15"/>
        <v>---</v>
      </c>
      <c r="G37" s="231">
        <f>SUMIFS('Diags Raw Data'!$S$6:$S$4765,'Diags Raw Data'!$D$6:$D$4765,$A37,'Diags Raw Data'!$M$6:$M$4765,"Legacy")</f>
        <v>0</v>
      </c>
      <c r="H37" s="227">
        <f>SUMIFS('Diags Raw Data'!$T$6:$T$4765,'Diags Raw Data'!$D$6:$D$4765,$A37,'Diags Raw Data'!$M$6:$M$4765,"Legacy")</f>
        <v>0</v>
      </c>
      <c r="I37" s="228">
        <f>SUMIFS('Diags Raw Data'!$U$6:$U$4765,'Diags Raw Data'!$D$6:$D$4765,$A37,'Diags Raw Data'!$M$6:$M$4765,"Legacy")</f>
        <v>0</v>
      </c>
      <c r="J37" s="227">
        <f>SUMIFS('Diags Raw Data'!$V$6:$V$4765,'Diags Raw Data'!$D$6:$D$4765,$A37,'Diags Raw Data'!$M$6:$M$4765,"Legacy")</f>
        <v>0</v>
      </c>
      <c r="K37" s="228">
        <f>SUMIFS('Diags Raw Data'!$W$6:$W$4765,'Diags Raw Data'!$D$6:$D$4765,$A37,'Diags Raw Data'!$M$6:$M$4765,"Legacy")</f>
        <v>0</v>
      </c>
      <c r="L37" s="244" t="str">
        <f t="shared" si="16"/>
        <v>---</v>
      </c>
      <c r="M37" s="229" t="str">
        <f t="shared" si="17"/>
        <v>---</v>
      </c>
      <c r="N37" s="238" t="str">
        <f t="shared" si="18"/>
        <v>---</v>
      </c>
      <c r="O37" s="214">
        <f>SUMIFS('Diags Raw Data'!$Z$6:$Z$4765,'Diags Raw Data'!$D$6:$D$4765,$A37,'Diags Raw Data'!$M$6:$M$4765,"Legacy")</f>
        <v>0</v>
      </c>
      <c r="P37" s="204">
        <f>SUMIFS('Diags Raw Data'!$AA$6:$AA$4765,'Diags Raw Data'!$D$6:$D$4765,$A37,'Diags Raw Data'!$M$6:$M$4765,"Legacy")</f>
        <v>0</v>
      </c>
      <c r="Q37" s="206">
        <f>SUMIFS('Diags Raw Data'!$AB$6:$AB$4765,'Diags Raw Data'!$D$6:$D$4765,$A37,'Diags Raw Data'!$M$6:$M$4765,"Legacy")</f>
        <v>0</v>
      </c>
      <c r="R37" s="204">
        <f>SUMIFS('Diags Raw Data'!$AC$6:$AC$4765,'Diags Raw Data'!$D$6:$D$4765,$A37,'Diags Raw Data'!$M$6:$M$4765,"Legacy")</f>
        <v>0</v>
      </c>
      <c r="S37" s="206">
        <f>SUMIFS('Diags Raw Data'!$AD$6:$AD$4765,'Diags Raw Data'!$D$6:$D$4765,$A37,'Diags Raw Data'!$M$6:$M$4765,"Legacy")</f>
        <v>0</v>
      </c>
      <c r="T37" s="205" t="str">
        <f t="shared" si="19"/>
        <v>---</v>
      </c>
      <c r="U37" s="230" t="str">
        <f t="shared" si="20"/>
        <v>---</v>
      </c>
      <c r="V37" s="232" t="str">
        <f t="shared" si="21"/>
        <v>---</v>
      </c>
    </row>
    <row r="38" spans="1:22" x14ac:dyDescent="0.25">
      <c r="A38" s="335" t="s">
        <v>483</v>
      </c>
      <c r="B38" s="253">
        <f>SUMIFS('Diags Raw Data'!$L$6:$L$4765,'Diags Raw Data'!$D$6:$D$4765,$A38,'Diags Raw Data'!$M$6:$M$4765,"Legacy")</f>
        <v>0</v>
      </c>
      <c r="C38" s="243">
        <f>SUMIFS('Diags Raw Data'!$R$6:$R$4765,'Diags Raw Data'!$D$6:$D$4765,$A38,'Diags Raw Data'!$M$6:$M$4765,"Legacy")</f>
        <v>0</v>
      </c>
      <c r="D38" s="243">
        <f>SUMIFS('Diags Raw Data'!$K$6:$K$4765,'Diags Raw Data'!$D$6:$D$4765,$A38,'Diags Raw Data'!$M$6:$M$4765,"Legacy")</f>
        <v>0</v>
      </c>
      <c r="E38" s="243">
        <f>SUMIFS('Diags Raw Data'!$O$6:$O$4765,'Diags Raw Data'!$D$6:$D$4765,$A38,'Diags Raw Data'!$M$6:$M$4765,"Legacy")</f>
        <v>0</v>
      </c>
      <c r="F38" s="249" t="str">
        <f t="shared" si="15"/>
        <v>---</v>
      </c>
      <c r="G38" s="231">
        <f>SUMIFS('Diags Raw Data'!$S$6:$S$4765,'Diags Raw Data'!$D$6:$D$4765,$A38,'Diags Raw Data'!$M$6:$M$4765,"Legacy")</f>
        <v>0</v>
      </c>
      <c r="H38" s="227">
        <f>SUMIFS('Diags Raw Data'!$T$6:$T$4765,'Diags Raw Data'!$D$6:$D$4765,$A38,'Diags Raw Data'!$M$6:$M$4765,"Legacy")</f>
        <v>0</v>
      </c>
      <c r="I38" s="228">
        <f>SUMIFS('Diags Raw Data'!$U$6:$U$4765,'Diags Raw Data'!$D$6:$D$4765,$A38,'Diags Raw Data'!$M$6:$M$4765,"Legacy")</f>
        <v>0</v>
      </c>
      <c r="J38" s="227">
        <f>SUMIFS('Diags Raw Data'!$V$6:$V$4765,'Diags Raw Data'!$D$6:$D$4765,$A38,'Diags Raw Data'!$M$6:$M$4765,"Legacy")</f>
        <v>0</v>
      </c>
      <c r="K38" s="228">
        <f>SUMIFS('Diags Raw Data'!$W$6:$W$4765,'Diags Raw Data'!$D$6:$D$4765,$A38,'Diags Raw Data'!$M$6:$M$4765,"Legacy")</f>
        <v>0</v>
      </c>
      <c r="L38" s="244" t="str">
        <f t="shared" si="16"/>
        <v>---</v>
      </c>
      <c r="M38" s="229" t="str">
        <f t="shared" si="17"/>
        <v>---</v>
      </c>
      <c r="N38" s="238" t="str">
        <f t="shared" si="18"/>
        <v>---</v>
      </c>
      <c r="O38" s="214">
        <f>SUMIFS('Diags Raw Data'!$Z$6:$Z$4765,'Diags Raw Data'!$D$6:$D$4765,$A38,'Diags Raw Data'!$M$6:$M$4765,"Legacy")</f>
        <v>0</v>
      </c>
      <c r="P38" s="204">
        <f>SUMIFS('Diags Raw Data'!$AA$6:$AA$4765,'Diags Raw Data'!$D$6:$D$4765,$A38,'Diags Raw Data'!$M$6:$M$4765,"Legacy")</f>
        <v>0</v>
      </c>
      <c r="Q38" s="206">
        <f>SUMIFS('Diags Raw Data'!$AB$6:$AB$4765,'Diags Raw Data'!$D$6:$D$4765,$A38,'Diags Raw Data'!$M$6:$M$4765,"Legacy")</f>
        <v>0</v>
      </c>
      <c r="R38" s="204">
        <f>SUMIFS('Diags Raw Data'!$AC$6:$AC$4765,'Diags Raw Data'!$D$6:$D$4765,$A38,'Diags Raw Data'!$M$6:$M$4765,"Legacy")</f>
        <v>0</v>
      </c>
      <c r="S38" s="206">
        <f>SUMIFS('Diags Raw Data'!$AD$6:$AD$4765,'Diags Raw Data'!$D$6:$D$4765,$A38,'Diags Raw Data'!$M$6:$M$4765,"Legacy")</f>
        <v>0</v>
      </c>
      <c r="T38" s="205" t="str">
        <f t="shared" si="19"/>
        <v>---</v>
      </c>
      <c r="U38" s="230" t="str">
        <f t="shared" si="20"/>
        <v>---</v>
      </c>
      <c r="V38" s="232" t="str">
        <f t="shared" si="21"/>
        <v>---</v>
      </c>
    </row>
    <row r="39" spans="1:22" x14ac:dyDescent="0.25">
      <c r="A39" s="335" t="s">
        <v>484</v>
      </c>
      <c r="B39" s="253">
        <f>SUMIFS('Diags Raw Data'!$L$6:$L$4765,'Diags Raw Data'!$D$6:$D$4765,$A39,'Diags Raw Data'!$M$6:$M$4765,"Legacy")</f>
        <v>0</v>
      </c>
      <c r="C39" s="243">
        <f>SUMIFS('Diags Raw Data'!$R$6:$R$4765,'Diags Raw Data'!$D$6:$D$4765,$A39,'Diags Raw Data'!$M$6:$M$4765,"Legacy")</f>
        <v>0</v>
      </c>
      <c r="D39" s="243">
        <f>SUMIFS('Diags Raw Data'!$K$6:$K$4765,'Diags Raw Data'!$D$6:$D$4765,$A39,'Diags Raw Data'!$M$6:$M$4765,"Legacy")</f>
        <v>0</v>
      </c>
      <c r="E39" s="243">
        <f>SUMIFS('Diags Raw Data'!$O$6:$O$4765,'Diags Raw Data'!$D$6:$D$4765,$A39,'Diags Raw Data'!$M$6:$M$4765,"Legacy")</f>
        <v>0</v>
      </c>
      <c r="F39" s="249" t="str">
        <f t="shared" si="15"/>
        <v>---</v>
      </c>
      <c r="G39" s="231">
        <f>SUMIFS('Diags Raw Data'!$S$6:$S$4765,'Diags Raw Data'!$D$6:$D$4765,$A39,'Diags Raw Data'!$M$6:$M$4765,"Legacy")</f>
        <v>0</v>
      </c>
      <c r="H39" s="227">
        <f>SUMIFS('Diags Raw Data'!$T$6:$T$4765,'Diags Raw Data'!$D$6:$D$4765,$A39,'Diags Raw Data'!$M$6:$M$4765,"Legacy")</f>
        <v>0</v>
      </c>
      <c r="I39" s="228">
        <f>SUMIFS('Diags Raw Data'!$U$6:$U$4765,'Diags Raw Data'!$D$6:$D$4765,$A39,'Diags Raw Data'!$M$6:$M$4765,"Legacy")</f>
        <v>0</v>
      </c>
      <c r="J39" s="227">
        <f>SUMIFS('Diags Raw Data'!$V$6:$V$4765,'Diags Raw Data'!$D$6:$D$4765,$A39,'Diags Raw Data'!$M$6:$M$4765,"Legacy")</f>
        <v>0</v>
      </c>
      <c r="K39" s="228">
        <f>SUMIFS('Diags Raw Data'!$W$6:$W$4765,'Diags Raw Data'!$D$6:$D$4765,$A39,'Diags Raw Data'!$M$6:$M$4765,"Legacy")</f>
        <v>0</v>
      </c>
      <c r="L39" s="244" t="str">
        <f t="shared" si="16"/>
        <v>---</v>
      </c>
      <c r="M39" s="229" t="str">
        <f t="shared" si="17"/>
        <v>---</v>
      </c>
      <c r="N39" s="238" t="str">
        <f t="shared" si="18"/>
        <v>---</v>
      </c>
      <c r="O39" s="214">
        <f>SUMIFS('Diags Raw Data'!$Z$6:$Z$4765,'Diags Raw Data'!$D$6:$D$4765,$A39,'Diags Raw Data'!$M$6:$M$4765,"Legacy")</f>
        <v>0</v>
      </c>
      <c r="P39" s="204">
        <f>SUMIFS('Diags Raw Data'!$AA$6:$AA$4765,'Diags Raw Data'!$D$6:$D$4765,$A39,'Diags Raw Data'!$M$6:$M$4765,"Legacy")</f>
        <v>0</v>
      </c>
      <c r="Q39" s="206">
        <f>SUMIFS('Diags Raw Data'!$AB$6:$AB$4765,'Diags Raw Data'!$D$6:$D$4765,$A39,'Diags Raw Data'!$M$6:$M$4765,"Legacy")</f>
        <v>0</v>
      </c>
      <c r="R39" s="204">
        <f>SUMIFS('Diags Raw Data'!$AC$6:$AC$4765,'Diags Raw Data'!$D$6:$D$4765,$A39,'Diags Raw Data'!$M$6:$M$4765,"Legacy")</f>
        <v>0</v>
      </c>
      <c r="S39" s="206">
        <f>SUMIFS('Diags Raw Data'!$AD$6:$AD$4765,'Diags Raw Data'!$D$6:$D$4765,$A39,'Diags Raw Data'!$M$6:$M$4765,"Legacy")</f>
        <v>0</v>
      </c>
      <c r="T39" s="205" t="str">
        <f t="shared" si="19"/>
        <v>---</v>
      </c>
      <c r="U39" s="230" t="str">
        <f t="shared" si="20"/>
        <v>---</v>
      </c>
      <c r="V39" s="232" t="str">
        <f t="shared" si="21"/>
        <v>---</v>
      </c>
    </row>
    <row r="40" spans="1:22" x14ac:dyDescent="0.25">
      <c r="A40" s="335" t="s">
        <v>485</v>
      </c>
      <c r="B40" s="253">
        <f>SUMIFS('Diags Raw Data'!$L$6:$L$4765,'Diags Raw Data'!$D$6:$D$4765,$A40,'Diags Raw Data'!$M$6:$M$4765,"Legacy")</f>
        <v>0</v>
      </c>
      <c r="C40" s="243">
        <f>SUMIFS('Diags Raw Data'!$R$6:$R$4765,'Diags Raw Data'!$D$6:$D$4765,$A40,'Diags Raw Data'!$M$6:$M$4765,"Legacy")</f>
        <v>0</v>
      </c>
      <c r="D40" s="243">
        <f>SUMIFS('Diags Raw Data'!$K$6:$K$4765,'Diags Raw Data'!$D$6:$D$4765,$A40,'Diags Raw Data'!$M$6:$M$4765,"Legacy")</f>
        <v>0</v>
      </c>
      <c r="E40" s="243">
        <f>SUMIFS('Diags Raw Data'!$O$6:$O$4765,'Diags Raw Data'!$D$6:$D$4765,$A40,'Diags Raw Data'!$M$6:$M$4765,"Legacy")</f>
        <v>0</v>
      </c>
      <c r="F40" s="249" t="str">
        <f t="shared" si="15"/>
        <v>---</v>
      </c>
      <c r="G40" s="231">
        <f>SUMIFS('Diags Raw Data'!$S$6:$S$4765,'Diags Raw Data'!$D$6:$D$4765,$A40,'Diags Raw Data'!$M$6:$M$4765,"Legacy")</f>
        <v>0</v>
      </c>
      <c r="H40" s="227">
        <f>SUMIFS('Diags Raw Data'!$T$6:$T$4765,'Diags Raw Data'!$D$6:$D$4765,$A40,'Diags Raw Data'!$M$6:$M$4765,"Legacy")</f>
        <v>0</v>
      </c>
      <c r="I40" s="228">
        <f>SUMIFS('Diags Raw Data'!$U$6:$U$4765,'Diags Raw Data'!$D$6:$D$4765,$A40,'Diags Raw Data'!$M$6:$M$4765,"Legacy")</f>
        <v>0</v>
      </c>
      <c r="J40" s="227">
        <f>SUMIFS('Diags Raw Data'!$V$6:$V$4765,'Diags Raw Data'!$D$6:$D$4765,$A40,'Diags Raw Data'!$M$6:$M$4765,"Legacy")</f>
        <v>0</v>
      </c>
      <c r="K40" s="228">
        <f>SUMIFS('Diags Raw Data'!$W$6:$W$4765,'Diags Raw Data'!$D$6:$D$4765,$A40,'Diags Raw Data'!$M$6:$M$4765,"Legacy")</f>
        <v>0</v>
      </c>
      <c r="L40" s="244" t="str">
        <f t="shared" si="16"/>
        <v>---</v>
      </c>
      <c r="M40" s="229" t="str">
        <f t="shared" si="17"/>
        <v>---</v>
      </c>
      <c r="N40" s="238" t="str">
        <f t="shared" si="18"/>
        <v>---</v>
      </c>
      <c r="O40" s="214">
        <f>SUMIFS('Diags Raw Data'!$Z$6:$Z$4765,'Diags Raw Data'!$D$6:$D$4765,$A40,'Diags Raw Data'!$M$6:$M$4765,"Legacy")</f>
        <v>0</v>
      </c>
      <c r="P40" s="204">
        <f>SUMIFS('Diags Raw Data'!$AA$6:$AA$4765,'Diags Raw Data'!$D$6:$D$4765,$A40,'Diags Raw Data'!$M$6:$M$4765,"Legacy")</f>
        <v>0</v>
      </c>
      <c r="Q40" s="206">
        <f>SUMIFS('Diags Raw Data'!$AB$6:$AB$4765,'Diags Raw Data'!$D$6:$D$4765,$A40,'Diags Raw Data'!$M$6:$M$4765,"Legacy")</f>
        <v>0</v>
      </c>
      <c r="R40" s="204">
        <f>SUMIFS('Diags Raw Data'!$AC$6:$AC$4765,'Diags Raw Data'!$D$6:$D$4765,$A40,'Diags Raw Data'!$M$6:$M$4765,"Legacy")</f>
        <v>0</v>
      </c>
      <c r="S40" s="206">
        <f>SUMIFS('Diags Raw Data'!$AD$6:$AD$4765,'Diags Raw Data'!$D$6:$D$4765,$A40,'Diags Raw Data'!$M$6:$M$4765,"Legacy")</f>
        <v>0</v>
      </c>
      <c r="T40" s="205" t="str">
        <f t="shared" si="19"/>
        <v>---</v>
      </c>
      <c r="U40" s="230" t="str">
        <f t="shared" si="20"/>
        <v>---</v>
      </c>
      <c r="V40" s="232" t="str">
        <f t="shared" si="21"/>
        <v>---</v>
      </c>
    </row>
    <row r="41" spans="1:22" ht="15.75" thickBot="1" x14ac:dyDescent="0.3">
      <c r="A41" s="336" t="s">
        <v>486</v>
      </c>
      <c r="B41" s="254">
        <f>SUMIFS('Diags Raw Data'!$L$6:$L$4765,'Diags Raw Data'!$D$6:$D$4765,$A41,'Diags Raw Data'!$M$6:$M$4765,"Legacy")</f>
        <v>0</v>
      </c>
      <c r="C41" s="245">
        <f>SUMIFS('Diags Raw Data'!$R$6:$R$4765,'Diags Raw Data'!$D$6:$D$4765,$A41,'Diags Raw Data'!$M$6:$M$4765,"Legacy")</f>
        <v>0</v>
      </c>
      <c r="D41" s="245">
        <f>SUMIFS('Diags Raw Data'!$K$6:$K$4765,'Diags Raw Data'!$D$6:$D$4765,$A41,'Diags Raw Data'!$M$6:$M$4765,"Legacy")</f>
        <v>0</v>
      </c>
      <c r="E41" s="245">
        <f>SUMIFS('Diags Raw Data'!$O$6:$O$4765,'Diags Raw Data'!$D$6:$D$4765,$A41,'Diags Raw Data'!$M$6:$M$4765,"Legacy")</f>
        <v>0</v>
      </c>
      <c r="F41" s="250" t="str">
        <f t="shared" si="15"/>
        <v>---</v>
      </c>
      <c r="G41" s="233">
        <f>SUMIFS('Diags Raw Data'!$S$6:$S$4765,'Diags Raw Data'!$D$6:$D$4765,$A41,'Diags Raw Data'!$M$6:$M$4765,"Legacy")</f>
        <v>0</v>
      </c>
      <c r="H41" s="234">
        <f>SUMIFS('Diags Raw Data'!$T$6:$T$4765,'Diags Raw Data'!$D$6:$D$4765,$A41,'Diags Raw Data'!$M$6:$M$4765,"Legacy")</f>
        <v>0</v>
      </c>
      <c r="I41" s="235">
        <f>SUMIFS('Diags Raw Data'!$U$6:$U$4765,'Diags Raw Data'!$D$6:$D$4765,$A41,'Diags Raw Data'!$M$6:$M$4765,"Legacy")</f>
        <v>0</v>
      </c>
      <c r="J41" s="234">
        <f>SUMIFS('Diags Raw Data'!$V$6:$V$4765,'Diags Raw Data'!$D$6:$D$4765,$A41,'Diags Raw Data'!$M$6:$M$4765,"Legacy")</f>
        <v>0</v>
      </c>
      <c r="K41" s="235">
        <f>SUMIFS('Diags Raw Data'!$W$6:$W$4765,'Diags Raw Data'!$D$6:$D$4765,$A41,'Diags Raw Data'!$M$6:$M$4765,"Legacy")</f>
        <v>0</v>
      </c>
      <c r="L41" s="246" t="str">
        <f t="shared" si="16"/>
        <v>---</v>
      </c>
      <c r="M41" s="236" t="str">
        <f t="shared" si="17"/>
        <v>---</v>
      </c>
      <c r="N41" s="239" t="str">
        <f t="shared" si="18"/>
        <v>---</v>
      </c>
      <c r="O41" s="215">
        <f>SUMIFS('Diags Raw Data'!$Z$6:$Z$4765,'Diags Raw Data'!$D$6:$D$4765,$A41,'Diags Raw Data'!$M$6:$M$4765,"Legacy")</f>
        <v>0</v>
      </c>
      <c r="P41" s="207">
        <f>SUMIFS('Diags Raw Data'!$AA$6:$AA$4765,'Diags Raw Data'!$D$6:$D$4765,$A41,'Diags Raw Data'!$M$6:$M$4765,"Legacy")</f>
        <v>0</v>
      </c>
      <c r="Q41" s="209">
        <f>SUMIFS('Diags Raw Data'!$AB$6:$AB$4765,'Diags Raw Data'!$D$6:$D$4765,$A41,'Diags Raw Data'!$M$6:$M$4765,"Legacy")</f>
        <v>0</v>
      </c>
      <c r="R41" s="207">
        <f>SUMIFS('Diags Raw Data'!$AC$6:$AC$4765,'Diags Raw Data'!$D$6:$D$4765,$A41,'Diags Raw Data'!$M$6:$M$4765,"Legacy")</f>
        <v>0</v>
      </c>
      <c r="S41" s="209">
        <f>SUMIFS('Diags Raw Data'!$AD$6:$AD$4765,'Diags Raw Data'!$D$6:$D$4765,$A41,'Diags Raw Data'!$M$6:$M$4765,"Legacy")</f>
        <v>0</v>
      </c>
      <c r="T41" s="208" t="str">
        <f t="shared" si="19"/>
        <v>---</v>
      </c>
      <c r="U41" s="240" t="str">
        <f t="shared" si="20"/>
        <v>---</v>
      </c>
      <c r="V41" s="237" t="str">
        <f t="shared" si="21"/>
        <v>---</v>
      </c>
    </row>
    <row r="42" spans="1:22" ht="16.5" thickBot="1" x14ac:dyDescent="0.3">
      <c r="A42" s="272" t="s">
        <v>490</v>
      </c>
      <c r="B42" s="257">
        <f>SUM(B32:B41)</f>
        <v>0</v>
      </c>
      <c r="C42" s="258">
        <f>SUM(C32:C41)</f>
        <v>0</v>
      </c>
      <c r="D42" s="258">
        <f>SUM(D32:D41)</f>
        <v>0</v>
      </c>
      <c r="E42" s="258">
        <f>SUM(E32:E41)</f>
        <v>0</v>
      </c>
      <c r="F42" s="259" t="e" cm="1">
        <f t="array" ref="F42">SUMPRODUCT(--(ISNUMBER(SEARCH("Legacy",'Diags Raw Data'!$M$6:$M$4765))),'Diags Raw Data'!$K$6:$K$4765,'Diags Raw Data'!$P$6:$P$4765)/D42</f>
        <v>#DIV/0!</v>
      </c>
      <c r="G42" s="260">
        <f>SUM(G32:G41)</f>
        <v>0</v>
      </c>
      <c r="H42" s="261">
        <f>SUM(H32:H41)</f>
        <v>0</v>
      </c>
      <c r="I42" s="262">
        <f>SUM(I32:I41)</f>
        <v>0</v>
      </c>
      <c r="J42" s="261">
        <f>SUM(J32:J41)</f>
        <v>0</v>
      </c>
      <c r="K42" s="262">
        <f>SUM(K32:K41)</f>
        <v>0</v>
      </c>
      <c r="L42" s="263" t="str">
        <f>IF(NOT($C42=0), G42/$C42, "---")</f>
        <v>---</v>
      </c>
      <c r="M42" s="264" t="str">
        <f t="shared" si="17"/>
        <v>---</v>
      </c>
      <c r="N42" s="265" t="str">
        <f t="shared" si="18"/>
        <v>---</v>
      </c>
      <c r="O42" s="266">
        <f>SUM(O32:O41)</f>
        <v>0</v>
      </c>
      <c r="P42" s="267">
        <f>SUM(P32:P41)</f>
        <v>0</v>
      </c>
      <c r="Q42" s="268">
        <f>SUM(Q32:Q41)</f>
        <v>0</v>
      </c>
      <c r="R42" s="267">
        <f>SUM(R32:R41)</f>
        <v>0</v>
      </c>
      <c r="S42" s="268">
        <f>SUM(S32:S41)</f>
        <v>0</v>
      </c>
      <c r="T42" s="269" t="str">
        <f>IF(NOT($B42=0), O42/$B42, "---")</f>
        <v>---</v>
      </c>
      <c r="U42" s="270" t="str">
        <f t="shared" si="20"/>
        <v>---</v>
      </c>
      <c r="V42" s="271" t="str">
        <f>IF(NOT($B42=0), (P42+Q42)/$B42, "---")</f>
        <v>---</v>
      </c>
    </row>
    <row r="43" spans="1:22" x14ac:dyDescent="0.25">
      <c r="A43" s="247"/>
      <c r="B43" s="247"/>
      <c r="C43" s="247"/>
      <c r="D43" s="247"/>
      <c r="E43" s="247"/>
      <c r="F43" s="247"/>
      <c r="G43" s="247"/>
      <c r="H43" s="247"/>
      <c r="I43" s="247"/>
      <c r="J43" s="247"/>
      <c r="K43" s="247"/>
      <c r="L43" s="247"/>
      <c r="M43" s="247"/>
      <c r="N43" s="247"/>
      <c r="O43" s="247"/>
      <c r="P43" s="247"/>
      <c r="Q43" s="247"/>
      <c r="R43" s="247"/>
      <c r="S43" s="247"/>
      <c r="T43" s="247"/>
      <c r="U43" s="247"/>
      <c r="V43" s="247"/>
    </row>
    <row r="45" spans="1:22" x14ac:dyDescent="0.25">
      <c r="F45" s="130"/>
    </row>
    <row r="48" spans="1:22" x14ac:dyDescent="0.25">
      <c r="F48" s="392"/>
    </row>
    <row r="49" spans="6:6" x14ac:dyDescent="0.25">
      <c r="F49" s="391"/>
    </row>
    <row r="50" spans="6:6" x14ac:dyDescent="0.25">
      <c r="F50" s="39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154" activePane="bottomLeft" state="frozen"/>
      <selection pane="bottomLeft" activeCell="C203" sqref="C20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34" t="s">
        <v>491</v>
      </c>
      <c r="B1" s="635"/>
      <c r="C1" s="635"/>
      <c r="D1" s="635"/>
      <c r="E1" s="635"/>
      <c r="F1" s="635"/>
      <c r="G1" s="635"/>
      <c r="H1" s="635"/>
      <c r="I1" s="635"/>
      <c r="J1" s="635"/>
      <c r="K1" s="635"/>
      <c r="L1" s="635"/>
      <c r="M1" s="636"/>
    </row>
    <row r="2" spans="1:13" s="79" customFormat="1" ht="15.75" thickBot="1" x14ac:dyDescent="0.3">
      <c r="A2" s="386" t="s">
        <v>77</v>
      </c>
      <c r="B2" s="387" t="s">
        <v>81</v>
      </c>
      <c r="C2" s="388" t="s">
        <v>96</v>
      </c>
      <c r="D2" s="388" t="s">
        <v>202</v>
      </c>
      <c r="E2" s="389" t="s">
        <v>1</v>
      </c>
      <c r="F2" s="531" t="s">
        <v>88</v>
      </c>
      <c r="G2" s="531" t="s">
        <v>492</v>
      </c>
      <c r="H2" s="531" t="s">
        <v>493</v>
      </c>
      <c r="I2" s="533" t="s">
        <v>57</v>
      </c>
    </row>
    <row r="3" spans="1:13" ht="15.75" thickBot="1" x14ac:dyDescent="0.3">
      <c r="A3" s="529">
        <v>12</v>
      </c>
      <c r="B3" s="337" t="s">
        <v>494</v>
      </c>
      <c r="C3" s="499" t="s">
        <v>259</v>
      </c>
      <c r="D3" s="499" t="s">
        <v>34</v>
      </c>
      <c r="E3" s="501" t="s">
        <v>44</v>
      </c>
      <c r="F3" s="532" t="s">
        <v>481</v>
      </c>
      <c r="G3" s="500"/>
      <c r="H3" s="500"/>
      <c r="I3" s="534"/>
      <c r="K3" s="290" t="s">
        <v>77</v>
      </c>
      <c r="L3" s="291" t="s">
        <v>495</v>
      </c>
      <c r="M3" s="495">
        <f>COUNTA(A3:A3922)</f>
        <v>252</v>
      </c>
    </row>
    <row r="4" spans="1:13" x14ac:dyDescent="0.25">
      <c r="A4" s="530">
        <v>12.000999999999999</v>
      </c>
      <c r="B4" s="338" t="s">
        <v>496</v>
      </c>
      <c r="C4" s="500" t="s">
        <v>259</v>
      </c>
      <c r="D4" s="500" t="s">
        <v>34</v>
      </c>
      <c r="E4" s="502" t="s">
        <v>44</v>
      </c>
      <c r="F4" s="532" t="s">
        <v>482</v>
      </c>
      <c r="G4" s="500"/>
      <c r="H4" s="500"/>
      <c r="I4" s="534"/>
      <c r="K4" s="626" t="s">
        <v>96</v>
      </c>
      <c r="L4" s="292" t="s">
        <v>497</v>
      </c>
      <c r="M4" s="496">
        <f>COUNTIFS($C3:$C3922,"P1")</f>
        <v>151</v>
      </c>
    </row>
    <row r="5" spans="1:13" x14ac:dyDescent="0.25">
      <c r="A5" s="530">
        <v>12.001999999999999</v>
      </c>
      <c r="B5" s="338" t="s">
        <v>498</v>
      </c>
      <c r="C5" s="500" t="s">
        <v>259</v>
      </c>
      <c r="D5" s="500" t="s">
        <v>34</v>
      </c>
      <c r="E5" s="502" t="s">
        <v>44</v>
      </c>
      <c r="F5" s="532" t="s">
        <v>484</v>
      </c>
      <c r="G5" s="500"/>
      <c r="H5" s="500"/>
      <c r="I5" s="534"/>
      <c r="K5" s="627"/>
      <c r="L5" s="293" t="s">
        <v>499</v>
      </c>
      <c r="M5" s="497">
        <f>COUNTIFS($C3:$C3922,"P2")</f>
        <v>90</v>
      </c>
    </row>
    <row r="6" spans="1:13" ht="15.75" thickBot="1" x14ac:dyDescent="0.3">
      <c r="A6" s="530">
        <v>12.002999999999998</v>
      </c>
      <c r="B6" s="338" t="s">
        <v>500</v>
      </c>
      <c r="C6" s="500" t="s">
        <v>259</v>
      </c>
      <c r="D6" s="500" t="s">
        <v>34</v>
      </c>
      <c r="E6" s="502" t="s">
        <v>44</v>
      </c>
      <c r="F6" s="532" t="s">
        <v>482</v>
      </c>
      <c r="G6" s="500"/>
      <c r="H6" s="500"/>
      <c r="I6" s="534"/>
      <c r="K6" s="628"/>
      <c r="L6" s="294" t="s">
        <v>501</v>
      </c>
      <c r="M6" s="498">
        <f>COUNTIFS($C3:$C3922,"P3")</f>
        <v>11</v>
      </c>
    </row>
    <row r="7" spans="1:13" x14ac:dyDescent="0.25">
      <c r="A7" s="530">
        <v>12.003999999999998</v>
      </c>
      <c r="B7" s="338" t="s">
        <v>502</v>
      </c>
      <c r="C7" s="500" t="s">
        <v>259</v>
      </c>
      <c r="D7" s="500" t="s">
        <v>34</v>
      </c>
      <c r="E7" s="502" t="s">
        <v>44</v>
      </c>
      <c r="F7" s="532" t="s">
        <v>482</v>
      </c>
      <c r="G7" s="500"/>
      <c r="H7" s="500"/>
      <c r="I7" s="534"/>
      <c r="K7" s="629" t="s">
        <v>202</v>
      </c>
      <c r="L7" s="292" t="s">
        <v>503</v>
      </c>
      <c r="M7" s="496">
        <f>COUNTIFS($D3:$D3922,"Diagnostics")</f>
        <v>191</v>
      </c>
    </row>
    <row r="8" spans="1:13" x14ac:dyDescent="0.25">
      <c r="A8" s="530">
        <v>12.005999999999997</v>
      </c>
      <c r="B8" s="338" t="s">
        <v>504</v>
      </c>
      <c r="C8" s="500" t="s">
        <v>259</v>
      </c>
      <c r="D8" s="500" t="s">
        <v>34</v>
      </c>
      <c r="E8" s="502" t="s">
        <v>44</v>
      </c>
      <c r="F8" s="532" t="s">
        <v>480</v>
      </c>
      <c r="G8" s="500"/>
      <c r="H8" s="500"/>
      <c r="I8" s="534"/>
      <c r="K8" s="630"/>
      <c r="L8" s="293" t="s">
        <v>505</v>
      </c>
      <c r="M8" s="497">
        <f>COUNTIFS($D3:$D3922,"Driver")</f>
        <v>5</v>
      </c>
    </row>
    <row r="9" spans="1:13" x14ac:dyDescent="0.25">
      <c r="A9" s="530">
        <v>12.006999999999996</v>
      </c>
      <c r="B9" s="338" t="s">
        <v>506</v>
      </c>
      <c r="C9" s="500" t="s">
        <v>259</v>
      </c>
      <c r="D9" s="500" t="s">
        <v>34</v>
      </c>
      <c r="E9" s="502" t="s">
        <v>39</v>
      </c>
      <c r="F9" s="532" t="s">
        <v>482</v>
      </c>
      <c r="G9" s="500"/>
      <c r="H9" s="500"/>
      <c r="I9" s="534"/>
      <c r="K9" s="630"/>
      <c r="L9" s="293" t="s">
        <v>507</v>
      </c>
      <c r="M9" s="497">
        <f>COUNTIFS($D3:$D3922,"IPSE")</f>
        <v>12</v>
      </c>
    </row>
    <row r="10" spans="1:13" ht="15.75" thickBot="1" x14ac:dyDescent="0.3">
      <c r="A10" s="530">
        <v>12.007999999999996</v>
      </c>
      <c r="B10" s="338" t="s">
        <v>508</v>
      </c>
      <c r="C10" s="500" t="s">
        <v>259</v>
      </c>
      <c r="D10" s="500" t="s">
        <v>34</v>
      </c>
      <c r="E10" s="502" t="s">
        <v>39</v>
      </c>
      <c r="F10" s="532" t="s">
        <v>482</v>
      </c>
      <c r="G10" s="500"/>
      <c r="H10" s="500"/>
      <c r="I10" s="534"/>
      <c r="K10" s="631"/>
      <c r="L10" s="294" t="s">
        <v>509</v>
      </c>
      <c r="M10" s="498">
        <f>COUNTIFS($D3:$D3922,"N/A")</f>
        <v>44</v>
      </c>
    </row>
    <row r="11" spans="1:13" x14ac:dyDescent="0.25">
      <c r="A11" s="530">
        <v>12.008999999999995</v>
      </c>
      <c r="B11" s="338" t="s">
        <v>510</v>
      </c>
      <c r="C11" s="500" t="s">
        <v>259</v>
      </c>
      <c r="D11" s="500" t="s">
        <v>34</v>
      </c>
      <c r="E11" s="502" t="s">
        <v>44</v>
      </c>
      <c r="F11" s="532" t="s">
        <v>482</v>
      </c>
      <c r="G11" s="500"/>
      <c r="H11" s="500"/>
      <c r="I11" s="534"/>
      <c r="K11" s="629" t="s">
        <v>1</v>
      </c>
      <c r="L11" s="292" t="s">
        <v>511</v>
      </c>
      <c r="M11" s="496">
        <f>COUNTIFS($E3:$E3922,"Legacy")</f>
        <v>2</v>
      </c>
    </row>
    <row r="12" spans="1:13" x14ac:dyDescent="0.25">
      <c r="A12" s="530">
        <v>12.009999999999994</v>
      </c>
      <c r="B12" s="338" t="s">
        <v>512</v>
      </c>
      <c r="C12" s="500" t="s">
        <v>259</v>
      </c>
      <c r="D12" s="500" t="s">
        <v>34</v>
      </c>
      <c r="E12" s="502" t="s">
        <v>44</v>
      </c>
      <c r="F12" s="532" t="s">
        <v>482</v>
      </c>
      <c r="G12" s="500"/>
      <c r="H12" s="500"/>
      <c r="I12" s="534"/>
      <c r="K12" s="630"/>
      <c r="L12" s="293" t="s">
        <v>513</v>
      </c>
      <c r="M12" s="497">
        <f>COUNTIFS($E3:$E3922,"Delta")</f>
        <v>11</v>
      </c>
    </row>
    <row r="13" spans="1:13" ht="15.75" thickBot="1" x14ac:dyDescent="0.3">
      <c r="A13" s="530">
        <v>12.010999999999994</v>
      </c>
      <c r="B13" s="338" t="s">
        <v>514</v>
      </c>
      <c r="C13" s="500" t="s">
        <v>259</v>
      </c>
      <c r="D13" s="500" t="s">
        <v>34</v>
      </c>
      <c r="E13" s="502" t="s">
        <v>44</v>
      </c>
      <c r="F13" s="532" t="s">
        <v>482</v>
      </c>
      <c r="G13" s="500"/>
      <c r="H13" s="500"/>
      <c r="I13" s="534"/>
      <c r="K13" s="631"/>
      <c r="L13" s="294" t="s">
        <v>515</v>
      </c>
      <c r="M13" s="498">
        <f>COUNTIFS($E3:$E3922,"New")</f>
        <v>239</v>
      </c>
    </row>
    <row r="14" spans="1:13" ht="15.75" thickBot="1" x14ac:dyDescent="0.3">
      <c r="A14" s="530">
        <v>12.011999999999993</v>
      </c>
      <c r="B14" s="338" t="s">
        <v>516</v>
      </c>
      <c r="C14" s="500" t="s">
        <v>259</v>
      </c>
      <c r="D14" s="500" t="s">
        <v>34</v>
      </c>
      <c r="E14" s="502" t="s">
        <v>39</v>
      </c>
      <c r="F14" s="532" t="s">
        <v>482</v>
      </c>
      <c r="G14" s="500"/>
      <c r="H14" s="500"/>
      <c r="I14" s="534"/>
      <c r="K14" s="390" t="s">
        <v>207</v>
      </c>
      <c r="L14" s="632"/>
      <c r="M14" s="633"/>
    </row>
    <row r="15" spans="1:13" x14ac:dyDescent="0.25">
      <c r="A15" s="530">
        <v>12.012999999999993</v>
      </c>
      <c r="B15" s="338" t="s">
        <v>517</v>
      </c>
      <c r="C15" s="500" t="s">
        <v>280</v>
      </c>
      <c r="D15" s="500" t="s">
        <v>34</v>
      </c>
      <c r="E15" s="502" t="s">
        <v>44</v>
      </c>
      <c r="F15" s="532" t="s">
        <v>484</v>
      </c>
      <c r="G15" s="500"/>
      <c r="H15" s="500"/>
      <c r="I15" s="534"/>
    </row>
    <row r="16" spans="1:13" x14ac:dyDescent="0.25">
      <c r="A16" s="530">
        <v>12.013999999999992</v>
      </c>
      <c r="B16" s="338" t="s">
        <v>518</v>
      </c>
      <c r="C16" s="500" t="s">
        <v>259</v>
      </c>
      <c r="D16" s="500" t="s">
        <v>34</v>
      </c>
      <c r="E16" s="502" t="s">
        <v>44</v>
      </c>
      <c r="F16" s="532" t="s">
        <v>482</v>
      </c>
      <c r="G16" s="500"/>
      <c r="H16" s="500"/>
      <c r="I16" s="534"/>
    </row>
    <row r="17" spans="1:9" x14ac:dyDescent="0.25">
      <c r="A17" s="530">
        <v>12.014999999999992</v>
      </c>
      <c r="B17" s="338" t="s">
        <v>519</v>
      </c>
      <c r="C17" s="500" t="s">
        <v>259</v>
      </c>
      <c r="D17" s="500" t="s">
        <v>34</v>
      </c>
      <c r="E17" s="502" t="s">
        <v>39</v>
      </c>
      <c r="F17" s="532" t="s">
        <v>482</v>
      </c>
      <c r="G17" s="500"/>
      <c r="H17" s="500"/>
      <c r="I17" s="534"/>
    </row>
    <row r="18" spans="1:9" x14ac:dyDescent="0.25">
      <c r="A18" s="530">
        <v>12.015999999999991</v>
      </c>
      <c r="B18" s="338" t="s">
        <v>520</v>
      </c>
      <c r="C18" s="500" t="s">
        <v>259</v>
      </c>
      <c r="D18" s="500" t="s">
        <v>34</v>
      </c>
      <c r="E18" s="502" t="s">
        <v>44</v>
      </c>
      <c r="F18" s="532" t="s">
        <v>482</v>
      </c>
      <c r="G18" s="500"/>
      <c r="H18" s="500"/>
      <c r="I18" s="534"/>
    </row>
    <row r="19" spans="1:9" x14ac:dyDescent="0.25">
      <c r="A19" s="530">
        <v>12.016999999999991</v>
      </c>
      <c r="B19" s="338" t="s">
        <v>521</v>
      </c>
      <c r="C19" s="500" t="s">
        <v>259</v>
      </c>
      <c r="D19" s="500" t="s">
        <v>34</v>
      </c>
      <c r="E19" s="502" t="s">
        <v>44</v>
      </c>
      <c r="F19" s="532" t="s">
        <v>482</v>
      </c>
      <c r="G19" s="500"/>
      <c r="H19" s="500"/>
      <c r="I19" s="534"/>
    </row>
    <row r="20" spans="1:9" x14ac:dyDescent="0.25">
      <c r="A20" s="530">
        <v>12.018999999999989</v>
      </c>
      <c r="B20" s="338" t="s">
        <v>522</v>
      </c>
      <c r="C20" s="500" t="s">
        <v>259</v>
      </c>
      <c r="D20" s="500" t="s">
        <v>34</v>
      </c>
      <c r="E20" s="502" t="s">
        <v>44</v>
      </c>
      <c r="F20" s="532" t="s">
        <v>485</v>
      </c>
      <c r="G20" s="500"/>
      <c r="H20" s="500"/>
      <c r="I20" s="534"/>
    </row>
    <row r="21" spans="1:9" x14ac:dyDescent="0.25">
      <c r="A21" s="530">
        <v>12.019999999999989</v>
      </c>
      <c r="B21" s="338" t="s">
        <v>523</v>
      </c>
      <c r="C21" s="500" t="s">
        <v>259</v>
      </c>
      <c r="D21" s="500" t="s">
        <v>34</v>
      </c>
      <c r="E21" s="502" t="s">
        <v>44</v>
      </c>
      <c r="F21" s="532" t="s">
        <v>485</v>
      </c>
      <c r="G21" s="500" t="s">
        <v>524</v>
      </c>
      <c r="H21" s="500" t="s">
        <v>259</v>
      </c>
      <c r="I21" s="534"/>
    </row>
    <row r="22" spans="1:9" x14ac:dyDescent="0.25">
      <c r="A22" s="530">
        <v>12.026999999999985</v>
      </c>
      <c r="B22" s="338" t="s">
        <v>525</v>
      </c>
      <c r="C22" s="500" t="s">
        <v>259</v>
      </c>
      <c r="D22" s="500" t="s">
        <v>34</v>
      </c>
      <c r="E22" s="502" t="s">
        <v>44</v>
      </c>
      <c r="F22" s="532" t="s">
        <v>477</v>
      </c>
      <c r="G22" s="500"/>
      <c r="H22" s="500"/>
      <c r="I22" s="534"/>
    </row>
    <row r="23" spans="1:9" x14ac:dyDescent="0.25">
      <c r="A23" s="530">
        <v>12.029999999999983</v>
      </c>
      <c r="B23" s="338" t="s">
        <v>526</v>
      </c>
      <c r="C23" s="500" t="s">
        <v>259</v>
      </c>
      <c r="D23" s="500" t="s">
        <v>34</v>
      </c>
      <c r="E23" s="502" t="s">
        <v>44</v>
      </c>
      <c r="F23" s="532" t="s">
        <v>483</v>
      </c>
      <c r="G23" s="500"/>
      <c r="H23" s="500" t="s">
        <v>280</v>
      </c>
      <c r="I23" s="534"/>
    </row>
    <row r="24" spans="1:9" x14ac:dyDescent="0.25">
      <c r="A24" s="530">
        <v>12.030999999999983</v>
      </c>
      <c r="B24" s="338" t="s">
        <v>527</v>
      </c>
      <c r="C24" s="500" t="s">
        <v>259</v>
      </c>
      <c r="D24" s="500" t="s">
        <v>34</v>
      </c>
      <c r="E24" s="502" t="s">
        <v>44</v>
      </c>
      <c r="F24" s="532" t="s">
        <v>482</v>
      </c>
      <c r="G24" s="500"/>
      <c r="H24" s="500" t="s">
        <v>280</v>
      </c>
      <c r="I24" s="534"/>
    </row>
    <row r="25" spans="1:9" x14ac:dyDescent="0.25">
      <c r="A25" s="530">
        <v>12.032999999999982</v>
      </c>
      <c r="B25" s="338" t="s">
        <v>528</v>
      </c>
      <c r="C25" s="500" t="s">
        <v>280</v>
      </c>
      <c r="D25" s="500" t="s">
        <v>34</v>
      </c>
      <c r="E25" s="502" t="s">
        <v>44</v>
      </c>
      <c r="F25" s="532" t="s">
        <v>485</v>
      </c>
      <c r="G25" s="500"/>
      <c r="H25" s="500"/>
      <c r="I25" s="534"/>
    </row>
    <row r="26" spans="1:9" x14ac:dyDescent="0.25">
      <c r="A26" s="530">
        <v>12.033999999999981</v>
      </c>
      <c r="B26" s="338" t="s">
        <v>529</v>
      </c>
      <c r="C26" s="500" t="s">
        <v>280</v>
      </c>
      <c r="D26" s="500" t="s">
        <v>34</v>
      </c>
      <c r="E26" s="502" t="s">
        <v>44</v>
      </c>
      <c r="F26" s="532" t="s">
        <v>485</v>
      </c>
      <c r="G26" s="500"/>
      <c r="H26" s="500"/>
      <c r="I26" s="534"/>
    </row>
    <row r="27" spans="1:9" x14ac:dyDescent="0.25">
      <c r="A27" s="530">
        <v>12.03599999999998</v>
      </c>
      <c r="B27" s="338" t="s">
        <v>530</v>
      </c>
      <c r="C27" s="500" t="s">
        <v>259</v>
      </c>
      <c r="D27" s="500" t="s">
        <v>34</v>
      </c>
      <c r="E27" s="502" t="s">
        <v>44</v>
      </c>
      <c r="F27" s="532" t="s">
        <v>485</v>
      </c>
      <c r="G27" s="500" t="s">
        <v>524</v>
      </c>
      <c r="H27" s="500" t="s">
        <v>280</v>
      </c>
      <c r="I27" s="534"/>
    </row>
    <row r="28" spans="1:9" x14ac:dyDescent="0.25">
      <c r="A28" s="530">
        <v>12.037000000000001</v>
      </c>
      <c r="B28" s="338" t="s">
        <v>531</v>
      </c>
      <c r="C28" s="500" t="s">
        <v>259</v>
      </c>
      <c r="D28" s="500" t="s">
        <v>34</v>
      </c>
      <c r="E28" s="502" t="s">
        <v>44</v>
      </c>
      <c r="F28" s="532" t="s">
        <v>485</v>
      </c>
      <c r="G28" s="500" t="s">
        <v>524</v>
      </c>
      <c r="H28" s="500" t="s">
        <v>280</v>
      </c>
      <c r="I28" s="534"/>
    </row>
    <row r="29" spans="1:9" x14ac:dyDescent="0.25">
      <c r="A29" s="530">
        <v>12.039999999999978</v>
      </c>
      <c r="B29" s="338" t="s">
        <v>532</v>
      </c>
      <c r="C29" s="500" t="s">
        <v>259</v>
      </c>
      <c r="D29" s="500" t="s">
        <v>34</v>
      </c>
      <c r="E29" s="502" t="s">
        <v>44</v>
      </c>
      <c r="F29" s="532" t="s">
        <v>485</v>
      </c>
      <c r="G29" s="500" t="s">
        <v>524</v>
      </c>
      <c r="H29" s="500" t="s">
        <v>280</v>
      </c>
      <c r="I29" s="534"/>
    </row>
    <row r="30" spans="1:9" x14ac:dyDescent="0.25">
      <c r="A30" s="530">
        <v>12.041</v>
      </c>
      <c r="B30" s="338" t="s">
        <v>533</v>
      </c>
      <c r="C30" s="500" t="s">
        <v>259</v>
      </c>
      <c r="D30" s="500" t="s">
        <v>34</v>
      </c>
      <c r="E30" s="502" t="s">
        <v>44</v>
      </c>
      <c r="F30" s="532" t="s">
        <v>477</v>
      </c>
      <c r="G30" s="500"/>
      <c r="H30" s="500" t="s">
        <v>280</v>
      </c>
      <c r="I30" s="534"/>
    </row>
    <row r="31" spans="1:9" x14ac:dyDescent="0.25">
      <c r="A31" s="530">
        <v>12.041999999999977</v>
      </c>
      <c r="B31" s="338" t="s">
        <v>534</v>
      </c>
      <c r="C31" s="500" t="s">
        <v>259</v>
      </c>
      <c r="D31" s="500" t="s">
        <v>34</v>
      </c>
      <c r="E31" s="502" t="s">
        <v>44</v>
      </c>
      <c r="F31" s="532" t="s">
        <v>477</v>
      </c>
      <c r="G31" s="500"/>
      <c r="H31" s="500"/>
      <c r="I31" s="534"/>
    </row>
    <row r="32" spans="1:9" x14ac:dyDescent="0.25">
      <c r="A32" s="530">
        <v>12.043999999999976</v>
      </c>
      <c r="B32" s="338" t="s">
        <v>535</v>
      </c>
      <c r="C32" s="500" t="s">
        <v>259</v>
      </c>
      <c r="D32" s="500" t="s">
        <v>34</v>
      </c>
      <c r="E32" s="502" t="s">
        <v>44</v>
      </c>
      <c r="F32" s="532" t="s">
        <v>477</v>
      </c>
      <c r="G32" s="500"/>
      <c r="H32" s="500"/>
      <c r="I32" s="534"/>
    </row>
    <row r="33" spans="1:9" x14ac:dyDescent="0.25">
      <c r="A33" s="530">
        <v>12.045999999999975</v>
      </c>
      <c r="B33" s="338" t="s">
        <v>536</v>
      </c>
      <c r="C33" s="500" t="s">
        <v>259</v>
      </c>
      <c r="D33" s="500" t="s">
        <v>34</v>
      </c>
      <c r="E33" s="502" t="s">
        <v>44</v>
      </c>
      <c r="F33" s="532" t="s">
        <v>477</v>
      </c>
      <c r="G33" s="500"/>
      <c r="H33" s="500"/>
      <c r="I33" s="534"/>
    </row>
    <row r="34" spans="1:9" x14ac:dyDescent="0.25">
      <c r="A34" s="530">
        <v>12.047999999999973</v>
      </c>
      <c r="B34" s="338" t="s">
        <v>537</v>
      </c>
      <c r="C34" s="500" t="s">
        <v>280</v>
      </c>
      <c r="D34" s="500" t="s">
        <v>34</v>
      </c>
      <c r="E34" s="502" t="s">
        <v>44</v>
      </c>
      <c r="F34" s="532" t="s">
        <v>477</v>
      </c>
      <c r="G34" s="500"/>
      <c r="H34" s="500"/>
      <c r="I34" s="534"/>
    </row>
    <row r="35" spans="1:9" x14ac:dyDescent="0.25">
      <c r="A35" s="530">
        <v>12.048999999999973</v>
      </c>
      <c r="B35" s="338" t="s">
        <v>538</v>
      </c>
      <c r="C35" s="500" t="s">
        <v>259</v>
      </c>
      <c r="D35" s="500" t="s">
        <v>34</v>
      </c>
      <c r="E35" s="502" t="s">
        <v>44</v>
      </c>
      <c r="F35" s="532" t="s">
        <v>477</v>
      </c>
      <c r="G35" s="500"/>
      <c r="H35" s="500"/>
      <c r="I35" s="534"/>
    </row>
    <row r="36" spans="1:9" x14ac:dyDescent="0.25">
      <c r="A36" s="530">
        <v>12.051</v>
      </c>
      <c r="B36" s="338" t="s">
        <v>539</v>
      </c>
      <c r="C36" s="500" t="s">
        <v>280</v>
      </c>
      <c r="D36" s="500" t="s">
        <v>34</v>
      </c>
      <c r="E36" s="502" t="s">
        <v>44</v>
      </c>
      <c r="F36" s="532" t="s">
        <v>477</v>
      </c>
      <c r="G36" s="500"/>
      <c r="H36" s="500"/>
      <c r="I36" s="534"/>
    </row>
    <row r="37" spans="1:9" x14ac:dyDescent="0.25">
      <c r="A37" s="530">
        <v>12.052999999999971</v>
      </c>
      <c r="B37" s="338" t="s">
        <v>540</v>
      </c>
      <c r="C37" s="500" t="s">
        <v>259</v>
      </c>
      <c r="D37" s="500" t="s">
        <v>34</v>
      </c>
      <c r="E37" s="502" t="s">
        <v>44</v>
      </c>
      <c r="F37" s="532" t="s">
        <v>477</v>
      </c>
      <c r="G37" s="500" t="s">
        <v>524</v>
      </c>
      <c r="H37" s="500" t="s">
        <v>280</v>
      </c>
      <c r="I37" s="534"/>
    </row>
    <row r="38" spans="1:9" x14ac:dyDescent="0.25">
      <c r="A38" s="530">
        <v>12.054</v>
      </c>
      <c r="B38" s="338" t="s">
        <v>541</v>
      </c>
      <c r="C38" s="500" t="s">
        <v>259</v>
      </c>
      <c r="D38" s="500" t="s">
        <v>34</v>
      </c>
      <c r="E38" s="502" t="s">
        <v>44</v>
      </c>
      <c r="F38" s="532" t="s">
        <v>483</v>
      </c>
      <c r="G38" s="500"/>
      <c r="H38" s="500"/>
      <c r="I38" s="534"/>
    </row>
    <row r="39" spans="1:9" x14ac:dyDescent="0.25">
      <c r="A39" s="530">
        <v>12.05499999999997</v>
      </c>
      <c r="B39" s="338" t="s">
        <v>542</v>
      </c>
      <c r="C39" s="500" t="s">
        <v>259</v>
      </c>
      <c r="D39" s="500" t="s">
        <v>34</v>
      </c>
      <c r="E39" s="502" t="s">
        <v>44</v>
      </c>
      <c r="F39" s="532" t="s">
        <v>483</v>
      </c>
      <c r="G39" s="500"/>
      <c r="H39" s="500"/>
      <c r="I39" s="534"/>
    </row>
    <row r="40" spans="1:9" x14ac:dyDescent="0.25">
      <c r="A40" s="530">
        <v>12.055999999999969</v>
      </c>
      <c r="B40" s="338" t="s">
        <v>543</v>
      </c>
      <c r="C40" s="500" t="s">
        <v>259</v>
      </c>
      <c r="D40" s="500" t="s">
        <v>34</v>
      </c>
      <c r="E40" s="502" t="s">
        <v>44</v>
      </c>
      <c r="F40" s="532" t="s">
        <v>483</v>
      </c>
      <c r="G40" s="500"/>
      <c r="H40" s="500"/>
      <c r="I40" s="534"/>
    </row>
    <row r="41" spans="1:9" x14ac:dyDescent="0.25">
      <c r="A41" s="530">
        <v>12.057</v>
      </c>
      <c r="B41" s="338" t="s">
        <v>544</v>
      </c>
      <c r="C41" s="500" t="s">
        <v>280</v>
      </c>
      <c r="D41" s="500" t="s">
        <v>34</v>
      </c>
      <c r="E41" s="502" t="s">
        <v>44</v>
      </c>
      <c r="F41" s="532" t="s">
        <v>483</v>
      </c>
      <c r="G41" s="500"/>
      <c r="H41" s="500"/>
      <c r="I41" s="534"/>
    </row>
    <row r="42" spans="1:9" x14ac:dyDescent="0.25">
      <c r="A42" s="530">
        <v>12.058999999999967</v>
      </c>
      <c r="B42" s="338" t="s">
        <v>545</v>
      </c>
      <c r="C42" s="500" t="s">
        <v>259</v>
      </c>
      <c r="D42" s="500" t="s">
        <v>34</v>
      </c>
      <c r="E42" s="502" t="s">
        <v>44</v>
      </c>
      <c r="F42" s="532" t="s">
        <v>483</v>
      </c>
      <c r="G42" s="500"/>
      <c r="H42" s="500"/>
      <c r="I42" s="534"/>
    </row>
    <row r="43" spans="1:9" x14ac:dyDescent="0.25">
      <c r="A43" s="530">
        <v>12.059999999999967</v>
      </c>
      <c r="B43" s="338" t="s">
        <v>546</v>
      </c>
      <c r="C43" s="500" t="s">
        <v>259</v>
      </c>
      <c r="D43" s="500" t="s">
        <v>34</v>
      </c>
      <c r="E43" s="502" t="s">
        <v>44</v>
      </c>
      <c r="F43" s="532" t="s">
        <v>483</v>
      </c>
      <c r="G43" s="500" t="s">
        <v>524</v>
      </c>
      <c r="H43" s="500" t="s">
        <v>259</v>
      </c>
      <c r="I43" s="534"/>
    </row>
    <row r="44" spans="1:9" x14ac:dyDescent="0.25">
      <c r="A44" s="530">
        <v>12.061999999999966</v>
      </c>
      <c r="B44" s="338" t="s">
        <v>547</v>
      </c>
      <c r="C44" s="500" t="s">
        <v>259</v>
      </c>
      <c r="D44" s="500" t="s">
        <v>34</v>
      </c>
      <c r="E44" s="502" t="s">
        <v>44</v>
      </c>
      <c r="F44" s="532" t="s">
        <v>483</v>
      </c>
      <c r="G44" s="500"/>
      <c r="H44" s="500"/>
      <c r="I44" s="534"/>
    </row>
    <row r="45" spans="1:9" x14ac:dyDescent="0.25">
      <c r="A45" s="530">
        <v>12.062999999999965</v>
      </c>
      <c r="B45" s="338" t="s">
        <v>548</v>
      </c>
      <c r="C45" s="500" t="s">
        <v>280</v>
      </c>
      <c r="D45" s="500" t="s">
        <v>34</v>
      </c>
      <c r="E45" s="502" t="s">
        <v>39</v>
      </c>
      <c r="F45" s="532" t="s">
        <v>483</v>
      </c>
      <c r="G45" s="500"/>
      <c r="H45" s="500"/>
      <c r="I45" s="534"/>
    </row>
    <row r="46" spans="1:9" x14ac:dyDescent="0.25">
      <c r="A46" s="530">
        <v>12.063999999999965</v>
      </c>
      <c r="B46" s="338" t="s">
        <v>549</v>
      </c>
      <c r="C46" s="500" t="s">
        <v>280</v>
      </c>
      <c r="D46" s="500" t="s">
        <v>34</v>
      </c>
      <c r="E46" s="502" t="s">
        <v>39</v>
      </c>
      <c r="F46" s="532" t="s">
        <v>483</v>
      </c>
      <c r="G46" s="500"/>
      <c r="H46" s="500"/>
      <c r="I46" s="534"/>
    </row>
    <row r="47" spans="1:9" x14ac:dyDescent="0.25">
      <c r="A47" s="530">
        <v>12.064999999999964</v>
      </c>
      <c r="B47" s="338" t="s">
        <v>550</v>
      </c>
      <c r="C47" s="500" t="s">
        <v>259</v>
      </c>
      <c r="D47" s="500" t="s">
        <v>34</v>
      </c>
      <c r="E47" s="502" t="s">
        <v>39</v>
      </c>
      <c r="F47" s="532" t="s">
        <v>483</v>
      </c>
      <c r="G47" s="500" t="s">
        <v>551</v>
      </c>
      <c r="H47" s="500"/>
      <c r="I47" s="534"/>
    </row>
    <row r="48" spans="1:9" x14ac:dyDescent="0.25">
      <c r="A48" s="530">
        <v>12.065999999999963</v>
      </c>
      <c r="B48" s="338" t="s">
        <v>552</v>
      </c>
      <c r="C48" s="500" t="s">
        <v>280</v>
      </c>
      <c r="D48" s="500" t="s">
        <v>34</v>
      </c>
      <c r="E48" s="502" t="s">
        <v>39</v>
      </c>
      <c r="F48" s="532" t="s">
        <v>483</v>
      </c>
      <c r="G48" s="500"/>
      <c r="H48" s="500"/>
      <c r="I48" s="534"/>
    </row>
    <row r="49" spans="1:9" x14ac:dyDescent="0.25">
      <c r="A49" s="530">
        <v>12.066999999999963</v>
      </c>
      <c r="B49" s="338" t="s">
        <v>553</v>
      </c>
      <c r="C49" s="500" t="s">
        <v>259</v>
      </c>
      <c r="D49" s="500" t="s">
        <v>34</v>
      </c>
      <c r="E49" s="502" t="s">
        <v>39</v>
      </c>
      <c r="F49" s="532" t="s">
        <v>483</v>
      </c>
      <c r="G49" s="500"/>
      <c r="H49" s="500"/>
      <c r="I49" s="534"/>
    </row>
    <row r="50" spans="1:9" x14ac:dyDescent="0.25">
      <c r="A50" s="530">
        <v>12.067999999999962</v>
      </c>
      <c r="B50" s="338" t="s">
        <v>554</v>
      </c>
      <c r="C50" s="500" t="s">
        <v>259</v>
      </c>
      <c r="D50" s="500" t="s">
        <v>34</v>
      </c>
      <c r="E50" s="502" t="s">
        <v>33</v>
      </c>
      <c r="F50" s="532" t="s">
        <v>483</v>
      </c>
      <c r="G50" s="500"/>
      <c r="H50" s="500"/>
      <c r="I50" s="534"/>
    </row>
    <row r="51" spans="1:9" x14ac:dyDescent="0.25">
      <c r="A51" s="530">
        <v>12.068999999999962</v>
      </c>
      <c r="B51" s="338" t="s">
        <v>555</v>
      </c>
      <c r="C51" s="500" t="s">
        <v>259</v>
      </c>
      <c r="D51" s="500" t="s">
        <v>34</v>
      </c>
      <c r="E51" s="502" t="s">
        <v>44</v>
      </c>
      <c r="F51" s="532" t="s">
        <v>483</v>
      </c>
      <c r="G51" s="500" t="s">
        <v>524</v>
      </c>
      <c r="H51" s="500"/>
      <c r="I51" s="534"/>
    </row>
    <row r="52" spans="1:9" x14ac:dyDescent="0.25">
      <c r="A52" s="530">
        <v>12.070999999999961</v>
      </c>
      <c r="B52" s="338" t="s">
        <v>556</v>
      </c>
      <c r="C52" s="500" t="s">
        <v>280</v>
      </c>
      <c r="D52" s="500" t="s">
        <v>34</v>
      </c>
      <c r="E52" s="502" t="s">
        <v>44</v>
      </c>
      <c r="F52" s="532" t="s">
        <v>483</v>
      </c>
      <c r="G52" s="500"/>
      <c r="H52" s="500"/>
      <c r="I52" s="534"/>
    </row>
    <row r="53" spans="1:9" x14ac:dyDescent="0.25">
      <c r="A53" s="530">
        <v>12.07299999999996</v>
      </c>
      <c r="B53" s="338" t="s">
        <v>557</v>
      </c>
      <c r="C53" s="500" t="s">
        <v>280</v>
      </c>
      <c r="D53" s="500" t="s">
        <v>34</v>
      </c>
      <c r="E53" s="502" t="s">
        <v>44</v>
      </c>
      <c r="F53" s="532" t="s">
        <v>483</v>
      </c>
      <c r="G53" s="500"/>
      <c r="H53" s="500"/>
      <c r="I53" s="534"/>
    </row>
    <row r="54" spans="1:9" x14ac:dyDescent="0.25">
      <c r="A54" s="530">
        <v>12.077999999999957</v>
      </c>
      <c r="B54" s="338" t="s">
        <v>558</v>
      </c>
      <c r="C54" s="500" t="s">
        <v>259</v>
      </c>
      <c r="D54" s="500" t="s">
        <v>34</v>
      </c>
      <c r="E54" s="502" t="s">
        <v>44</v>
      </c>
      <c r="F54" s="532" t="s">
        <v>484</v>
      </c>
      <c r="G54" s="500"/>
      <c r="H54" s="500"/>
      <c r="I54" s="534"/>
    </row>
    <row r="55" spans="1:9" x14ac:dyDescent="0.25">
      <c r="A55" s="530">
        <v>12.078999999999956</v>
      </c>
      <c r="B55" s="338" t="s">
        <v>559</v>
      </c>
      <c r="C55" s="500" t="s">
        <v>259</v>
      </c>
      <c r="D55" s="500" t="s">
        <v>34</v>
      </c>
      <c r="E55" s="502" t="s">
        <v>44</v>
      </c>
      <c r="F55" s="532" t="s">
        <v>483</v>
      </c>
      <c r="G55" s="500" t="s">
        <v>524</v>
      </c>
      <c r="H55" s="500"/>
      <c r="I55" s="534"/>
    </row>
    <row r="56" spans="1:9" x14ac:dyDescent="0.25">
      <c r="A56" s="530">
        <v>12.083999999999953</v>
      </c>
      <c r="B56" s="338" t="s">
        <v>560</v>
      </c>
      <c r="C56" s="500" t="s">
        <v>280</v>
      </c>
      <c r="D56" s="500" t="s">
        <v>34</v>
      </c>
      <c r="E56" s="502" t="s">
        <v>44</v>
      </c>
      <c r="F56" s="532" t="s">
        <v>483</v>
      </c>
      <c r="G56" s="500"/>
      <c r="H56" s="500"/>
      <c r="I56" s="534"/>
    </row>
    <row r="57" spans="1:9" x14ac:dyDescent="0.25">
      <c r="A57" s="530">
        <v>12.092000000000001</v>
      </c>
      <c r="B57" s="338" t="s">
        <v>561</v>
      </c>
      <c r="C57" s="500" t="s">
        <v>280</v>
      </c>
      <c r="D57" s="500" t="s">
        <v>47</v>
      </c>
      <c r="E57" s="502" t="s">
        <v>44</v>
      </c>
      <c r="F57" s="532" t="s">
        <v>477</v>
      </c>
      <c r="G57" s="500"/>
      <c r="H57" s="500"/>
      <c r="I57" s="534" t="s">
        <v>360</v>
      </c>
    </row>
    <row r="58" spans="1:9" x14ac:dyDescent="0.25">
      <c r="A58" s="530">
        <v>12.096</v>
      </c>
      <c r="B58" s="338" t="s">
        <v>562</v>
      </c>
      <c r="C58" s="500" t="s">
        <v>280</v>
      </c>
      <c r="D58" s="500" t="s">
        <v>34</v>
      </c>
      <c r="E58" s="502" t="s">
        <v>44</v>
      </c>
      <c r="F58" s="532" t="s">
        <v>477</v>
      </c>
      <c r="G58" s="500"/>
      <c r="H58" s="500"/>
      <c r="I58" s="534"/>
    </row>
    <row r="59" spans="1:9" x14ac:dyDescent="0.25">
      <c r="A59" s="530">
        <v>12.098000000000001</v>
      </c>
      <c r="B59" s="338" t="s">
        <v>563</v>
      </c>
      <c r="C59" s="500" t="s">
        <v>280</v>
      </c>
      <c r="D59" s="500" t="s">
        <v>47</v>
      </c>
      <c r="E59" s="502" t="s">
        <v>44</v>
      </c>
      <c r="F59" s="532" t="s">
        <v>477</v>
      </c>
      <c r="G59" s="500"/>
      <c r="H59" s="500"/>
      <c r="I59" s="534" t="s">
        <v>361</v>
      </c>
    </row>
    <row r="60" spans="1:9" x14ac:dyDescent="0.25">
      <c r="A60" s="530">
        <v>12.103999999999999</v>
      </c>
      <c r="B60" s="338" t="s">
        <v>564</v>
      </c>
      <c r="C60" s="500" t="s">
        <v>259</v>
      </c>
      <c r="D60" s="500" t="s">
        <v>45</v>
      </c>
      <c r="E60" s="502" t="s">
        <v>44</v>
      </c>
      <c r="F60" s="532" t="s">
        <v>486</v>
      </c>
      <c r="G60" s="500"/>
      <c r="H60" s="500"/>
      <c r="I60" s="534" t="s">
        <v>362</v>
      </c>
    </row>
    <row r="61" spans="1:9" x14ac:dyDescent="0.25">
      <c r="A61" s="530">
        <v>12.111000000000001</v>
      </c>
      <c r="B61" s="338" t="s">
        <v>565</v>
      </c>
      <c r="C61" s="500" t="s">
        <v>280</v>
      </c>
      <c r="D61" s="500" t="s">
        <v>47</v>
      </c>
      <c r="E61" s="502" t="s">
        <v>44</v>
      </c>
      <c r="F61" s="532" t="s">
        <v>477</v>
      </c>
      <c r="G61" s="500"/>
      <c r="H61" s="500"/>
      <c r="I61" s="534" t="s">
        <v>361</v>
      </c>
    </row>
    <row r="62" spans="1:9" x14ac:dyDescent="0.25">
      <c r="A62" s="530">
        <v>12.112</v>
      </c>
      <c r="B62" s="338" t="s">
        <v>566</v>
      </c>
      <c r="C62" s="500" t="s">
        <v>280</v>
      </c>
      <c r="D62" s="500" t="s">
        <v>34</v>
      </c>
      <c r="E62" s="502" t="s">
        <v>44</v>
      </c>
      <c r="F62" s="532" t="s">
        <v>477</v>
      </c>
      <c r="G62" s="500"/>
      <c r="H62" s="500"/>
      <c r="I62" s="534"/>
    </row>
    <row r="63" spans="1:9" x14ac:dyDescent="0.25">
      <c r="A63" s="530">
        <v>12.113</v>
      </c>
      <c r="B63" s="338" t="s">
        <v>567</v>
      </c>
      <c r="C63" s="500" t="s">
        <v>280</v>
      </c>
      <c r="D63" s="500" t="s">
        <v>45</v>
      </c>
      <c r="E63" s="502" t="s">
        <v>44</v>
      </c>
      <c r="F63" s="532" t="s">
        <v>478</v>
      </c>
      <c r="G63" s="500"/>
      <c r="H63" s="500"/>
      <c r="I63" s="534" t="s">
        <v>364</v>
      </c>
    </row>
    <row r="64" spans="1:9" x14ac:dyDescent="0.25">
      <c r="A64" s="530">
        <v>12.114000000000001</v>
      </c>
      <c r="B64" s="338" t="s">
        <v>568</v>
      </c>
      <c r="C64" s="500" t="s">
        <v>280</v>
      </c>
      <c r="D64" s="500" t="s">
        <v>34</v>
      </c>
      <c r="E64" s="502" t="s">
        <v>44</v>
      </c>
      <c r="F64" s="532" t="s">
        <v>478</v>
      </c>
      <c r="G64" s="500"/>
      <c r="H64" s="500"/>
      <c r="I64" s="534"/>
    </row>
    <row r="65" spans="1:9" x14ac:dyDescent="0.25">
      <c r="A65" s="530">
        <v>12.115</v>
      </c>
      <c r="B65" s="338" t="s">
        <v>569</v>
      </c>
      <c r="C65" s="500" t="s">
        <v>259</v>
      </c>
      <c r="D65" s="500" t="s">
        <v>34</v>
      </c>
      <c r="E65" s="502" t="s">
        <v>44</v>
      </c>
      <c r="F65" s="532" t="s">
        <v>483</v>
      </c>
      <c r="G65" s="500"/>
      <c r="H65" s="500"/>
      <c r="I65" s="534"/>
    </row>
    <row r="66" spans="1:9" x14ac:dyDescent="0.25">
      <c r="A66" s="530">
        <v>12.118</v>
      </c>
      <c r="B66" s="338" t="s">
        <v>570</v>
      </c>
      <c r="C66" s="500" t="s">
        <v>259</v>
      </c>
      <c r="D66" s="500" t="s">
        <v>34</v>
      </c>
      <c r="E66" s="502" t="s">
        <v>44</v>
      </c>
      <c r="F66" s="532" t="s">
        <v>480</v>
      </c>
      <c r="G66" s="500" t="s">
        <v>524</v>
      </c>
      <c r="H66" s="500" t="s">
        <v>280</v>
      </c>
      <c r="I66" s="534"/>
    </row>
    <row r="67" spans="1:9" x14ac:dyDescent="0.25">
      <c r="A67" s="530">
        <v>12.119</v>
      </c>
      <c r="B67" s="338" t="s">
        <v>571</v>
      </c>
      <c r="C67" s="500" t="s">
        <v>259</v>
      </c>
      <c r="D67" s="500" t="s">
        <v>34</v>
      </c>
      <c r="E67" s="502" t="s">
        <v>44</v>
      </c>
      <c r="F67" s="532" t="s">
        <v>479</v>
      </c>
      <c r="G67" s="500"/>
      <c r="H67" s="500"/>
      <c r="I67" s="534"/>
    </row>
    <row r="68" spans="1:9" x14ac:dyDescent="0.25">
      <c r="A68" s="530">
        <v>12.12</v>
      </c>
      <c r="B68" s="338" t="s">
        <v>572</v>
      </c>
      <c r="C68" s="500" t="s">
        <v>259</v>
      </c>
      <c r="D68" s="500" t="s">
        <v>34</v>
      </c>
      <c r="E68" s="502" t="s">
        <v>44</v>
      </c>
      <c r="F68" s="532" t="s">
        <v>478</v>
      </c>
      <c r="G68" s="500"/>
      <c r="H68" s="500" t="s">
        <v>259</v>
      </c>
      <c r="I68" s="534"/>
    </row>
    <row r="69" spans="1:9" x14ac:dyDescent="0.25">
      <c r="A69" s="530">
        <v>12.124000000000001</v>
      </c>
      <c r="B69" s="338" t="s">
        <v>573</v>
      </c>
      <c r="C69" s="500" t="s">
        <v>280</v>
      </c>
      <c r="D69" s="500" t="s">
        <v>34</v>
      </c>
      <c r="E69" s="502" t="s">
        <v>44</v>
      </c>
      <c r="F69" s="532" t="s">
        <v>484</v>
      </c>
      <c r="G69" s="500"/>
      <c r="H69" s="500"/>
      <c r="I69" s="534"/>
    </row>
    <row r="70" spans="1:9" x14ac:dyDescent="0.25">
      <c r="A70" s="530">
        <v>12.125</v>
      </c>
      <c r="B70" s="338" t="s">
        <v>574</v>
      </c>
      <c r="C70" s="500" t="s">
        <v>280</v>
      </c>
      <c r="D70" s="500" t="s">
        <v>34</v>
      </c>
      <c r="E70" s="502" t="s">
        <v>44</v>
      </c>
      <c r="F70" s="532" t="s">
        <v>484</v>
      </c>
      <c r="G70" s="500"/>
      <c r="H70" s="500"/>
      <c r="I70" s="534"/>
    </row>
    <row r="71" spans="1:9" x14ac:dyDescent="0.25">
      <c r="A71" s="530">
        <v>12.128</v>
      </c>
      <c r="B71" s="338" t="s">
        <v>575</v>
      </c>
      <c r="C71" s="500" t="s">
        <v>259</v>
      </c>
      <c r="D71" s="500" t="s">
        <v>34</v>
      </c>
      <c r="E71" s="502" t="s">
        <v>44</v>
      </c>
      <c r="F71" s="532" t="s">
        <v>478</v>
      </c>
      <c r="G71" s="500"/>
      <c r="H71" s="500"/>
      <c r="I71" s="534"/>
    </row>
    <row r="72" spans="1:9" x14ac:dyDescent="0.25">
      <c r="A72" s="530">
        <v>12.13</v>
      </c>
      <c r="B72" s="338" t="s">
        <v>576</v>
      </c>
      <c r="C72" s="500" t="s">
        <v>259</v>
      </c>
      <c r="D72" s="500" t="s">
        <v>34</v>
      </c>
      <c r="E72" s="502" t="s">
        <v>44</v>
      </c>
      <c r="F72" s="532" t="s">
        <v>477</v>
      </c>
      <c r="G72" s="500" t="s">
        <v>524</v>
      </c>
      <c r="H72" s="500"/>
      <c r="I72" s="534"/>
    </row>
    <row r="73" spans="1:9" x14ac:dyDescent="0.25">
      <c r="A73" s="530">
        <v>12.132</v>
      </c>
      <c r="B73" s="338" t="s">
        <v>577</v>
      </c>
      <c r="C73" s="500" t="s">
        <v>259</v>
      </c>
      <c r="D73" s="500" t="s">
        <v>34</v>
      </c>
      <c r="E73" s="502" t="s">
        <v>44</v>
      </c>
      <c r="F73" s="532" t="s">
        <v>478</v>
      </c>
      <c r="G73" s="500"/>
      <c r="H73" s="500" t="s">
        <v>280</v>
      </c>
      <c r="I73" s="534"/>
    </row>
    <row r="74" spans="1:9" x14ac:dyDescent="0.25">
      <c r="A74" s="530">
        <v>12.132999999999999</v>
      </c>
      <c r="B74" s="338" t="s">
        <v>578</v>
      </c>
      <c r="C74" s="500" t="s">
        <v>259</v>
      </c>
      <c r="D74" s="500" t="s">
        <v>34</v>
      </c>
      <c r="E74" s="502" t="s">
        <v>44</v>
      </c>
      <c r="F74" s="532" t="s">
        <v>478</v>
      </c>
      <c r="G74" s="500"/>
      <c r="H74" s="500"/>
      <c r="I74" s="534"/>
    </row>
    <row r="75" spans="1:9" x14ac:dyDescent="0.25">
      <c r="A75" s="530">
        <v>12.134</v>
      </c>
      <c r="B75" s="338" t="s">
        <v>579</v>
      </c>
      <c r="C75" s="500" t="s">
        <v>259</v>
      </c>
      <c r="D75" s="500" t="s">
        <v>34</v>
      </c>
      <c r="E75" s="502" t="s">
        <v>44</v>
      </c>
      <c r="F75" s="532" t="s">
        <v>478</v>
      </c>
      <c r="G75" s="500"/>
      <c r="H75" s="500"/>
      <c r="I75" s="534"/>
    </row>
    <row r="76" spans="1:9" x14ac:dyDescent="0.25">
      <c r="A76" s="530">
        <v>12.138999999999999</v>
      </c>
      <c r="B76" s="338" t="s">
        <v>580</v>
      </c>
      <c r="C76" s="500" t="s">
        <v>259</v>
      </c>
      <c r="D76" s="500" t="s">
        <v>34</v>
      </c>
      <c r="E76" s="502" t="s">
        <v>44</v>
      </c>
      <c r="F76" s="532" t="s">
        <v>484</v>
      </c>
      <c r="G76" s="500"/>
      <c r="H76" s="500"/>
      <c r="I76" s="534"/>
    </row>
    <row r="77" spans="1:9" x14ac:dyDescent="0.25">
      <c r="A77" s="530">
        <v>12.141999999999999</v>
      </c>
      <c r="B77" s="338" t="s">
        <v>581</v>
      </c>
      <c r="C77" s="500" t="s">
        <v>259</v>
      </c>
      <c r="D77" s="500" t="s">
        <v>34</v>
      </c>
      <c r="E77" s="502" t="s">
        <v>39</v>
      </c>
      <c r="F77" s="532" t="s">
        <v>483</v>
      </c>
      <c r="G77" s="500"/>
      <c r="H77" s="500" t="s">
        <v>280</v>
      </c>
      <c r="I77" s="534"/>
    </row>
    <row r="78" spans="1:9" x14ac:dyDescent="0.25">
      <c r="A78" s="530">
        <v>12.143000000000001</v>
      </c>
      <c r="B78" s="338" t="s">
        <v>582</v>
      </c>
      <c r="C78" s="500" t="s">
        <v>259</v>
      </c>
      <c r="D78" s="500" t="s">
        <v>40</v>
      </c>
      <c r="E78" s="502" t="s">
        <v>44</v>
      </c>
      <c r="F78" s="532" t="s">
        <v>484</v>
      </c>
      <c r="G78" s="500"/>
      <c r="H78" s="500"/>
      <c r="I78" s="534" t="s">
        <v>376</v>
      </c>
    </row>
    <row r="79" spans="1:9" x14ac:dyDescent="0.25">
      <c r="A79" s="530">
        <v>12.146000000000001</v>
      </c>
      <c r="B79" s="338" t="s">
        <v>583</v>
      </c>
      <c r="C79" s="500" t="s">
        <v>259</v>
      </c>
      <c r="D79" s="500" t="s">
        <v>34</v>
      </c>
      <c r="E79" s="502" t="s">
        <v>44</v>
      </c>
      <c r="F79" s="532" t="s">
        <v>478</v>
      </c>
      <c r="G79" s="500"/>
      <c r="H79" s="500"/>
      <c r="I79" s="534"/>
    </row>
    <row r="80" spans="1:9" x14ac:dyDescent="0.25">
      <c r="A80" s="530">
        <v>12.148</v>
      </c>
      <c r="B80" s="338" t="s">
        <v>584</v>
      </c>
      <c r="C80" s="500" t="s">
        <v>259</v>
      </c>
      <c r="D80" s="500" t="s">
        <v>34</v>
      </c>
      <c r="E80" s="502" t="s">
        <v>44</v>
      </c>
      <c r="F80" s="532" t="s">
        <v>478</v>
      </c>
      <c r="G80" s="500"/>
      <c r="H80" s="500"/>
      <c r="I80" s="534"/>
    </row>
    <row r="81" spans="1:9" x14ac:dyDescent="0.25">
      <c r="A81" s="530">
        <v>12.15</v>
      </c>
      <c r="B81" s="338" t="s">
        <v>585</v>
      </c>
      <c r="C81" s="500" t="s">
        <v>259</v>
      </c>
      <c r="D81" s="500" t="s">
        <v>34</v>
      </c>
      <c r="E81" s="502" t="s">
        <v>44</v>
      </c>
      <c r="F81" s="532" t="s">
        <v>478</v>
      </c>
      <c r="G81" s="500"/>
      <c r="H81" s="500"/>
      <c r="I81" s="534"/>
    </row>
    <row r="82" spans="1:9" x14ac:dyDescent="0.25">
      <c r="A82" s="530">
        <v>12.151999999999999</v>
      </c>
      <c r="B82" s="338" t="s">
        <v>586</v>
      </c>
      <c r="C82" s="500" t="s">
        <v>259</v>
      </c>
      <c r="D82" s="500" t="s">
        <v>34</v>
      </c>
      <c r="E82" s="502" t="s">
        <v>44</v>
      </c>
      <c r="F82" s="532" t="s">
        <v>478</v>
      </c>
      <c r="G82" s="500"/>
      <c r="H82" s="500"/>
      <c r="I82" s="534"/>
    </row>
    <row r="83" spans="1:9" x14ac:dyDescent="0.25">
      <c r="A83" s="530">
        <v>12.157</v>
      </c>
      <c r="B83" s="338" t="s">
        <v>587</v>
      </c>
      <c r="C83" s="500" t="s">
        <v>280</v>
      </c>
      <c r="D83" s="500" t="s">
        <v>34</v>
      </c>
      <c r="E83" s="502" t="s">
        <v>44</v>
      </c>
      <c r="F83" s="532" t="s">
        <v>483</v>
      </c>
      <c r="G83" s="500"/>
      <c r="H83" s="500"/>
      <c r="I83" s="534"/>
    </row>
    <row r="84" spans="1:9" x14ac:dyDescent="0.25">
      <c r="A84" s="530">
        <v>12.159000000000001</v>
      </c>
      <c r="B84" s="338" t="s">
        <v>588</v>
      </c>
      <c r="C84" s="500" t="s">
        <v>259</v>
      </c>
      <c r="D84" s="500" t="s">
        <v>34</v>
      </c>
      <c r="E84" s="502" t="s">
        <v>44</v>
      </c>
      <c r="F84" s="532" t="s">
        <v>483</v>
      </c>
      <c r="G84" s="500"/>
      <c r="H84" s="500"/>
      <c r="I84" s="534"/>
    </row>
    <row r="85" spans="1:9" x14ac:dyDescent="0.25">
      <c r="A85" s="530">
        <v>12.16</v>
      </c>
      <c r="B85" s="338" t="s">
        <v>589</v>
      </c>
      <c r="C85" s="500" t="s">
        <v>280</v>
      </c>
      <c r="D85" s="500" t="s">
        <v>34</v>
      </c>
      <c r="E85" s="502" t="s">
        <v>44</v>
      </c>
      <c r="F85" s="532" t="s">
        <v>483</v>
      </c>
      <c r="G85" s="500"/>
      <c r="H85" s="500"/>
      <c r="I85" s="534"/>
    </row>
    <row r="86" spans="1:9" x14ac:dyDescent="0.25">
      <c r="A86" s="530">
        <v>12.162000000000001</v>
      </c>
      <c r="B86" s="338" t="s">
        <v>590</v>
      </c>
      <c r="C86" s="500" t="s">
        <v>259</v>
      </c>
      <c r="D86" s="500" t="s">
        <v>34</v>
      </c>
      <c r="E86" s="502" t="s">
        <v>39</v>
      </c>
      <c r="F86" s="532" t="s">
        <v>483</v>
      </c>
      <c r="G86" s="500"/>
      <c r="H86" s="500"/>
      <c r="I86" s="534"/>
    </row>
    <row r="87" spans="1:9" x14ac:dyDescent="0.25">
      <c r="A87" s="530">
        <v>12.163</v>
      </c>
      <c r="B87" s="338" t="s">
        <v>591</v>
      </c>
      <c r="C87" s="500" t="s">
        <v>280</v>
      </c>
      <c r="D87" s="500" t="s">
        <v>34</v>
      </c>
      <c r="E87" s="502" t="s">
        <v>44</v>
      </c>
      <c r="F87" s="532" t="s">
        <v>484</v>
      </c>
      <c r="G87" s="500"/>
      <c r="H87" s="500"/>
      <c r="I87" s="534"/>
    </row>
    <row r="88" spans="1:9" x14ac:dyDescent="0.25">
      <c r="A88" s="530">
        <v>12.164</v>
      </c>
      <c r="B88" s="338" t="s">
        <v>592</v>
      </c>
      <c r="C88" s="500" t="s">
        <v>259</v>
      </c>
      <c r="D88" s="500" t="s">
        <v>34</v>
      </c>
      <c r="E88" s="502" t="s">
        <v>44</v>
      </c>
      <c r="F88" s="532" t="s">
        <v>482</v>
      </c>
      <c r="G88" s="500"/>
      <c r="H88" s="500" t="s">
        <v>280</v>
      </c>
      <c r="I88" s="534"/>
    </row>
    <row r="89" spans="1:9" x14ac:dyDescent="0.25">
      <c r="A89" s="530">
        <v>12.164999999999999</v>
      </c>
      <c r="B89" s="338" t="s">
        <v>593</v>
      </c>
      <c r="C89" s="500" t="s">
        <v>259</v>
      </c>
      <c r="D89" s="500" t="s">
        <v>34</v>
      </c>
      <c r="E89" s="502" t="s">
        <v>44</v>
      </c>
      <c r="F89" s="532" t="s">
        <v>482</v>
      </c>
      <c r="G89" s="500"/>
      <c r="H89" s="500" t="s">
        <v>280</v>
      </c>
      <c r="I89" s="534"/>
    </row>
    <row r="90" spans="1:9" x14ac:dyDescent="0.25">
      <c r="A90" s="530">
        <v>12.167</v>
      </c>
      <c r="B90" s="338" t="s">
        <v>594</v>
      </c>
      <c r="C90" s="500" t="s">
        <v>259</v>
      </c>
      <c r="D90" s="500" t="s">
        <v>34</v>
      </c>
      <c r="E90" s="502" t="s">
        <v>44</v>
      </c>
      <c r="F90" s="532" t="s">
        <v>482</v>
      </c>
      <c r="G90" s="500"/>
      <c r="H90" s="500"/>
      <c r="I90" s="534"/>
    </row>
    <row r="91" spans="1:9" x14ac:dyDescent="0.25">
      <c r="A91" s="530">
        <v>12.167999999999999</v>
      </c>
      <c r="B91" s="338" t="s">
        <v>595</v>
      </c>
      <c r="C91" s="500" t="s">
        <v>259</v>
      </c>
      <c r="D91" s="500" t="s">
        <v>34</v>
      </c>
      <c r="E91" s="502" t="s">
        <v>44</v>
      </c>
      <c r="F91" s="532" t="s">
        <v>482</v>
      </c>
      <c r="G91" s="500"/>
      <c r="H91" s="500"/>
      <c r="I91" s="534"/>
    </row>
    <row r="92" spans="1:9" x14ac:dyDescent="0.25">
      <c r="A92" s="530">
        <v>12.173999999999999</v>
      </c>
      <c r="B92" s="338" t="s">
        <v>596</v>
      </c>
      <c r="C92" s="500" t="s">
        <v>259</v>
      </c>
      <c r="D92" s="500" t="s">
        <v>34</v>
      </c>
      <c r="E92" s="502" t="s">
        <v>44</v>
      </c>
      <c r="F92" s="532" t="s">
        <v>478</v>
      </c>
      <c r="G92" s="500"/>
      <c r="H92" s="500"/>
      <c r="I92" s="534"/>
    </row>
    <row r="93" spans="1:9" x14ac:dyDescent="0.25">
      <c r="A93" s="530">
        <v>12.175000000000001</v>
      </c>
      <c r="B93" s="338" t="s">
        <v>597</v>
      </c>
      <c r="C93" s="500" t="s">
        <v>259</v>
      </c>
      <c r="D93" s="500" t="s">
        <v>34</v>
      </c>
      <c r="E93" s="502" t="s">
        <v>44</v>
      </c>
      <c r="F93" s="532" t="s">
        <v>478</v>
      </c>
      <c r="G93" s="500"/>
      <c r="H93" s="500"/>
      <c r="I93" s="534"/>
    </row>
    <row r="94" spans="1:9" x14ac:dyDescent="0.25">
      <c r="A94" s="530">
        <v>12.183999999999999</v>
      </c>
      <c r="B94" s="338" t="s">
        <v>598</v>
      </c>
      <c r="C94" s="500" t="s">
        <v>259</v>
      </c>
      <c r="D94" s="500" t="s">
        <v>34</v>
      </c>
      <c r="E94" s="502" t="s">
        <v>44</v>
      </c>
      <c r="F94" s="532" t="s">
        <v>477</v>
      </c>
      <c r="G94" s="500"/>
      <c r="H94" s="500" t="s">
        <v>259</v>
      </c>
      <c r="I94" s="534"/>
    </row>
    <row r="95" spans="1:9" x14ac:dyDescent="0.25">
      <c r="A95" s="530">
        <v>12.185</v>
      </c>
      <c r="B95" s="338" t="s">
        <v>599</v>
      </c>
      <c r="C95" s="500" t="s">
        <v>259</v>
      </c>
      <c r="D95" s="500" t="s">
        <v>34</v>
      </c>
      <c r="E95" s="502" t="s">
        <v>44</v>
      </c>
      <c r="F95" s="532" t="s">
        <v>477</v>
      </c>
      <c r="G95" s="500"/>
      <c r="H95" s="500"/>
      <c r="I95" s="534"/>
    </row>
    <row r="96" spans="1:9" x14ac:dyDescent="0.25">
      <c r="A96" s="530">
        <v>12.186</v>
      </c>
      <c r="B96" s="338" t="s">
        <v>600</v>
      </c>
      <c r="C96" s="500" t="s">
        <v>259</v>
      </c>
      <c r="D96" s="500" t="s">
        <v>34</v>
      </c>
      <c r="E96" s="502" t="s">
        <v>44</v>
      </c>
      <c r="F96" s="532" t="s">
        <v>483</v>
      </c>
      <c r="G96" s="500"/>
      <c r="H96" s="500"/>
      <c r="I96" s="534"/>
    </row>
    <row r="97" spans="1:9" x14ac:dyDescent="0.25">
      <c r="A97" s="530">
        <v>12.188000000000001</v>
      </c>
      <c r="B97" s="338" t="s">
        <v>601</v>
      </c>
      <c r="C97" s="500" t="s">
        <v>259</v>
      </c>
      <c r="D97" s="500" t="s">
        <v>34</v>
      </c>
      <c r="E97" s="502" t="s">
        <v>44</v>
      </c>
      <c r="F97" s="532" t="s">
        <v>483</v>
      </c>
      <c r="G97" s="500"/>
      <c r="H97" s="500"/>
      <c r="I97" s="534"/>
    </row>
    <row r="98" spans="1:9" x14ac:dyDescent="0.25">
      <c r="A98" s="530">
        <v>12.191000000000001</v>
      </c>
      <c r="B98" s="338" t="s">
        <v>602</v>
      </c>
      <c r="C98" s="500" t="s">
        <v>259</v>
      </c>
      <c r="D98" s="500" t="s">
        <v>34</v>
      </c>
      <c r="E98" s="502" t="s">
        <v>44</v>
      </c>
      <c r="F98" s="532" t="s">
        <v>483</v>
      </c>
      <c r="G98" s="500"/>
      <c r="H98" s="500"/>
      <c r="I98" s="534"/>
    </row>
    <row r="99" spans="1:9" x14ac:dyDescent="0.25">
      <c r="A99" s="530">
        <v>12.192</v>
      </c>
      <c r="B99" s="338" t="s">
        <v>603</v>
      </c>
      <c r="C99" s="500" t="s">
        <v>280</v>
      </c>
      <c r="D99" s="500" t="s">
        <v>47</v>
      </c>
      <c r="E99" s="502" t="s">
        <v>44</v>
      </c>
      <c r="F99" s="532" t="s">
        <v>477</v>
      </c>
      <c r="G99" s="500"/>
      <c r="H99" s="500"/>
      <c r="I99" s="534" t="s">
        <v>361</v>
      </c>
    </row>
    <row r="100" spans="1:9" x14ac:dyDescent="0.25">
      <c r="A100" s="530">
        <v>12.193</v>
      </c>
      <c r="B100" s="338" t="s">
        <v>604</v>
      </c>
      <c r="C100" s="500" t="s">
        <v>259</v>
      </c>
      <c r="D100" s="500" t="s">
        <v>34</v>
      </c>
      <c r="E100" s="502" t="s">
        <v>44</v>
      </c>
      <c r="F100" s="532" t="s">
        <v>477</v>
      </c>
      <c r="G100" s="500"/>
      <c r="H100" s="500" t="s">
        <v>280</v>
      </c>
      <c r="I100" s="534"/>
    </row>
    <row r="101" spans="1:9" x14ac:dyDescent="0.25">
      <c r="A101" s="530">
        <v>12.196999999999999</v>
      </c>
      <c r="B101" s="338" t="s">
        <v>605</v>
      </c>
      <c r="C101" s="500" t="s">
        <v>280</v>
      </c>
      <c r="D101" s="500" t="s">
        <v>34</v>
      </c>
      <c r="E101" s="502" t="s">
        <v>44</v>
      </c>
      <c r="F101" s="532" t="s">
        <v>484</v>
      </c>
      <c r="G101" s="500"/>
      <c r="H101" s="500"/>
      <c r="I101" s="534"/>
    </row>
    <row r="102" spans="1:9" x14ac:dyDescent="0.25">
      <c r="A102" s="530">
        <v>12.201000000000001</v>
      </c>
      <c r="B102" s="338" t="s">
        <v>606</v>
      </c>
      <c r="C102" s="500" t="s">
        <v>259</v>
      </c>
      <c r="D102" s="500" t="s">
        <v>34</v>
      </c>
      <c r="E102" s="502" t="s">
        <v>44</v>
      </c>
      <c r="F102" s="532" t="s">
        <v>484</v>
      </c>
      <c r="G102" s="500" t="s">
        <v>524</v>
      </c>
      <c r="H102" s="500"/>
      <c r="I102" s="534"/>
    </row>
    <row r="103" spans="1:9" x14ac:dyDescent="0.25">
      <c r="A103" s="530">
        <v>12.202</v>
      </c>
      <c r="B103" s="338" t="s">
        <v>607</v>
      </c>
      <c r="C103" s="500" t="s">
        <v>259</v>
      </c>
      <c r="D103" s="500" t="s">
        <v>34</v>
      </c>
      <c r="E103" s="502" t="s">
        <v>44</v>
      </c>
      <c r="F103" s="532" t="s">
        <v>484</v>
      </c>
      <c r="G103" s="500" t="s">
        <v>524</v>
      </c>
      <c r="H103" s="500"/>
      <c r="I103" s="534"/>
    </row>
    <row r="104" spans="1:9" x14ac:dyDescent="0.25">
      <c r="A104" s="530">
        <v>12.206</v>
      </c>
      <c r="B104" s="338" t="s">
        <v>608</v>
      </c>
      <c r="C104" s="500" t="s">
        <v>259</v>
      </c>
      <c r="D104" s="500" t="s">
        <v>34</v>
      </c>
      <c r="E104" s="502" t="s">
        <v>44</v>
      </c>
      <c r="F104" s="532" t="s">
        <v>478</v>
      </c>
      <c r="G104" s="500"/>
      <c r="H104" s="500"/>
      <c r="I104" s="534" t="s">
        <v>393</v>
      </c>
    </row>
    <row r="105" spans="1:9" x14ac:dyDescent="0.25">
      <c r="A105" s="530">
        <v>12.208</v>
      </c>
      <c r="B105" s="338" t="s">
        <v>609</v>
      </c>
      <c r="C105" s="500" t="s">
        <v>280</v>
      </c>
      <c r="D105" s="500" t="s">
        <v>34</v>
      </c>
      <c r="E105" s="502" t="s">
        <v>44</v>
      </c>
      <c r="F105" s="532" t="s">
        <v>483</v>
      </c>
      <c r="G105" s="500"/>
      <c r="H105" s="500"/>
      <c r="I105" s="534"/>
    </row>
    <row r="106" spans="1:9" x14ac:dyDescent="0.25">
      <c r="A106" s="530">
        <v>12.209</v>
      </c>
      <c r="B106" s="338" t="s">
        <v>610</v>
      </c>
      <c r="C106" s="500" t="s">
        <v>259</v>
      </c>
      <c r="D106" s="500" t="s">
        <v>34</v>
      </c>
      <c r="E106" s="502" t="s">
        <v>44</v>
      </c>
      <c r="F106" s="532" t="s">
        <v>483</v>
      </c>
      <c r="G106" s="500"/>
      <c r="H106" s="500"/>
      <c r="I106" s="534"/>
    </row>
    <row r="107" spans="1:9" x14ac:dyDescent="0.25">
      <c r="A107" s="530">
        <v>12.21</v>
      </c>
      <c r="B107" s="338" t="s">
        <v>611</v>
      </c>
      <c r="C107" s="500" t="s">
        <v>259</v>
      </c>
      <c r="D107" s="500" t="s">
        <v>34</v>
      </c>
      <c r="E107" s="502" t="s">
        <v>44</v>
      </c>
      <c r="F107" s="532" t="s">
        <v>477</v>
      </c>
      <c r="G107" s="500"/>
      <c r="H107" s="500"/>
      <c r="I107" s="534"/>
    </row>
    <row r="108" spans="1:9" x14ac:dyDescent="0.25">
      <c r="A108" s="530">
        <v>12.211</v>
      </c>
      <c r="B108" s="338" t="s">
        <v>612</v>
      </c>
      <c r="C108" s="500" t="s">
        <v>259</v>
      </c>
      <c r="D108" s="500" t="s">
        <v>34</v>
      </c>
      <c r="E108" s="502" t="s">
        <v>44</v>
      </c>
      <c r="F108" s="532" t="s">
        <v>477</v>
      </c>
      <c r="G108" s="500"/>
      <c r="H108" s="500"/>
      <c r="I108" s="534"/>
    </row>
    <row r="109" spans="1:9" x14ac:dyDescent="0.25">
      <c r="A109" s="530">
        <v>12.212999999999999</v>
      </c>
      <c r="B109" s="338" t="s">
        <v>613</v>
      </c>
      <c r="C109" s="500" t="s">
        <v>259</v>
      </c>
      <c r="D109" s="500" t="s">
        <v>47</v>
      </c>
      <c r="E109" s="502" t="s">
        <v>44</v>
      </c>
      <c r="F109" s="532" t="s">
        <v>480</v>
      </c>
      <c r="G109" s="500"/>
      <c r="H109" s="500"/>
      <c r="I109" s="534" t="s">
        <v>397</v>
      </c>
    </row>
    <row r="110" spans="1:9" x14ac:dyDescent="0.25">
      <c r="A110" s="530">
        <v>12.214</v>
      </c>
      <c r="B110" s="338" t="s">
        <v>614</v>
      </c>
      <c r="C110" s="500" t="s">
        <v>259</v>
      </c>
      <c r="D110" s="500" t="s">
        <v>34</v>
      </c>
      <c r="E110" s="502" t="s">
        <v>44</v>
      </c>
      <c r="F110" s="532" t="s">
        <v>480</v>
      </c>
      <c r="G110" s="500"/>
      <c r="H110" s="500"/>
      <c r="I110" s="534" t="s">
        <v>393</v>
      </c>
    </row>
    <row r="111" spans="1:9" x14ac:dyDescent="0.25">
      <c r="A111" s="530">
        <v>12.215999999999999</v>
      </c>
      <c r="B111" s="338" t="s">
        <v>615</v>
      </c>
      <c r="C111" s="500" t="s">
        <v>259</v>
      </c>
      <c r="D111" s="500" t="s">
        <v>45</v>
      </c>
      <c r="E111" s="502" t="s">
        <v>44</v>
      </c>
      <c r="F111" s="532" t="s">
        <v>478</v>
      </c>
      <c r="G111" s="500"/>
      <c r="H111" s="500"/>
      <c r="I111" s="534" t="s">
        <v>398</v>
      </c>
    </row>
    <row r="112" spans="1:9" x14ac:dyDescent="0.25">
      <c r="A112" s="530">
        <v>12.218999999999999</v>
      </c>
      <c r="B112" s="338" t="s">
        <v>616</v>
      </c>
      <c r="C112" s="500" t="s">
        <v>259</v>
      </c>
      <c r="D112" s="500" t="s">
        <v>34</v>
      </c>
      <c r="E112" s="502" t="s">
        <v>44</v>
      </c>
      <c r="F112" s="532" t="s">
        <v>480</v>
      </c>
      <c r="G112" s="500"/>
      <c r="H112" s="500"/>
      <c r="I112" s="534"/>
    </row>
    <row r="113" spans="1:9" x14ac:dyDescent="0.25">
      <c r="A113" s="530">
        <v>12.22</v>
      </c>
      <c r="B113" s="338" t="s">
        <v>617</v>
      </c>
      <c r="C113" s="500" t="s">
        <v>259</v>
      </c>
      <c r="D113" s="500" t="s">
        <v>34</v>
      </c>
      <c r="E113" s="502" t="s">
        <v>44</v>
      </c>
      <c r="F113" s="532" t="s">
        <v>480</v>
      </c>
      <c r="G113" s="500"/>
      <c r="H113" s="500"/>
      <c r="I113" s="534"/>
    </row>
    <row r="114" spans="1:9" x14ac:dyDescent="0.25">
      <c r="A114" s="530">
        <v>12.221</v>
      </c>
      <c r="B114" s="338" t="s">
        <v>618</v>
      </c>
      <c r="C114" s="500" t="s">
        <v>259</v>
      </c>
      <c r="D114" s="500" t="s">
        <v>34</v>
      </c>
      <c r="E114" s="502" t="s">
        <v>44</v>
      </c>
      <c r="F114" s="532" t="s">
        <v>478</v>
      </c>
      <c r="G114" s="500"/>
      <c r="H114" s="500"/>
      <c r="I114" s="534"/>
    </row>
    <row r="115" spans="1:9" x14ac:dyDescent="0.25">
      <c r="A115" s="530">
        <v>12.223000000000001</v>
      </c>
      <c r="B115" s="338" t="s">
        <v>619</v>
      </c>
      <c r="C115" s="500" t="s">
        <v>259</v>
      </c>
      <c r="D115" s="500" t="s">
        <v>34</v>
      </c>
      <c r="E115" s="502" t="s">
        <v>44</v>
      </c>
      <c r="F115" s="532" t="s">
        <v>482</v>
      </c>
      <c r="G115" s="500"/>
      <c r="H115" s="500"/>
      <c r="I115" s="534"/>
    </row>
    <row r="116" spans="1:9" x14ac:dyDescent="0.25">
      <c r="A116" s="530">
        <v>12.224</v>
      </c>
      <c r="B116" s="338" t="s">
        <v>620</v>
      </c>
      <c r="C116" s="500" t="s">
        <v>259</v>
      </c>
      <c r="D116" s="500" t="s">
        <v>34</v>
      </c>
      <c r="E116" s="502" t="s">
        <v>44</v>
      </c>
      <c r="F116" s="532" t="s">
        <v>482</v>
      </c>
      <c r="G116" s="500"/>
      <c r="H116" s="500"/>
      <c r="I116" s="534"/>
    </row>
    <row r="117" spans="1:9" x14ac:dyDescent="0.25">
      <c r="A117" s="530">
        <v>12.225</v>
      </c>
      <c r="B117" s="338" t="s">
        <v>621</v>
      </c>
      <c r="C117" s="500" t="s">
        <v>259</v>
      </c>
      <c r="D117" s="500" t="s">
        <v>34</v>
      </c>
      <c r="E117" s="502" t="s">
        <v>44</v>
      </c>
      <c r="F117" s="532" t="s">
        <v>482</v>
      </c>
      <c r="G117" s="500"/>
      <c r="H117" s="500"/>
      <c r="I117" s="534"/>
    </row>
    <row r="118" spans="1:9" x14ac:dyDescent="0.25">
      <c r="A118" s="530">
        <v>12.233000000000001</v>
      </c>
      <c r="B118" s="338" t="s">
        <v>622</v>
      </c>
      <c r="C118" s="500" t="s">
        <v>280</v>
      </c>
      <c r="D118" s="500" t="s">
        <v>45</v>
      </c>
      <c r="E118" s="502" t="s">
        <v>44</v>
      </c>
      <c r="F118" s="532" t="s">
        <v>478</v>
      </c>
      <c r="G118" s="500"/>
      <c r="H118" s="500"/>
      <c r="I118" s="534" t="s">
        <v>401</v>
      </c>
    </row>
    <row r="119" spans="1:9" x14ac:dyDescent="0.25">
      <c r="A119" s="530">
        <v>12.234999999999999</v>
      </c>
      <c r="B119" s="338" t="s">
        <v>623</v>
      </c>
      <c r="C119" s="500" t="s">
        <v>280</v>
      </c>
      <c r="D119" s="500" t="s">
        <v>34</v>
      </c>
      <c r="E119" s="502" t="s">
        <v>44</v>
      </c>
      <c r="F119" s="532" t="s">
        <v>478</v>
      </c>
      <c r="G119" s="500"/>
      <c r="H119" s="500"/>
      <c r="I119" s="534" t="s">
        <v>624</v>
      </c>
    </row>
    <row r="120" spans="1:9" x14ac:dyDescent="0.25">
      <c r="A120" s="530">
        <v>12.236000000000001</v>
      </c>
      <c r="B120" s="338" t="s">
        <v>625</v>
      </c>
      <c r="C120" s="500" t="s">
        <v>259</v>
      </c>
      <c r="D120" s="500" t="s">
        <v>34</v>
      </c>
      <c r="E120" s="502" t="s">
        <v>44</v>
      </c>
      <c r="F120" s="532" t="s">
        <v>478</v>
      </c>
      <c r="G120" s="500"/>
      <c r="H120" s="500"/>
      <c r="I120" s="534" t="s">
        <v>626</v>
      </c>
    </row>
    <row r="121" spans="1:9" x14ac:dyDescent="0.25">
      <c r="A121" s="530">
        <v>12.239000000000001</v>
      </c>
      <c r="B121" s="338" t="s">
        <v>627</v>
      </c>
      <c r="C121" s="500" t="s">
        <v>280</v>
      </c>
      <c r="D121" s="500" t="s">
        <v>45</v>
      </c>
      <c r="E121" s="502" t="s">
        <v>44</v>
      </c>
      <c r="F121" s="532" t="s">
        <v>478</v>
      </c>
      <c r="G121" s="500"/>
      <c r="H121" s="500"/>
      <c r="I121" s="534" t="s">
        <v>402</v>
      </c>
    </row>
    <row r="122" spans="1:9" x14ac:dyDescent="0.25">
      <c r="A122" s="530">
        <v>12.247</v>
      </c>
      <c r="B122" s="338" t="s">
        <v>628</v>
      </c>
      <c r="C122" s="500" t="s">
        <v>259</v>
      </c>
      <c r="D122" s="500" t="s">
        <v>34</v>
      </c>
      <c r="E122" s="502" t="s">
        <v>44</v>
      </c>
      <c r="F122" s="532" t="s">
        <v>480</v>
      </c>
      <c r="G122" s="500"/>
      <c r="H122" s="500"/>
      <c r="I122" s="534"/>
    </row>
    <row r="123" spans="1:9" x14ac:dyDescent="0.25">
      <c r="A123" s="530">
        <v>12.253</v>
      </c>
      <c r="B123" s="338" t="s">
        <v>629</v>
      </c>
      <c r="C123" s="500" t="s">
        <v>259</v>
      </c>
      <c r="D123" s="500" t="s">
        <v>47</v>
      </c>
      <c r="E123" s="502" t="s">
        <v>44</v>
      </c>
      <c r="F123" s="532" t="s">
        <v>478</v>
      </c>
      <c r="G123" s="500"/>
      <c r="H123" s="500"/>
      <c r="I123" s="534" t="s">
        <v>404</v>
      </c>
    </row>
    <row r="124" spans="1:9" x14ac:dyDescent="0.25">
      <c r="A124" s="530">
        <v>12.255000000000001</v>
      </c>
      <c r="B124" s="338" t="s">
        <v>630</v>
      </c>
      <c r="C124" s="500" t="s">
        <v>259</v>
      </c>
      <c r="D124" s="500" t="s">
        <v>47</v>
      </c>
      <c r="E124" s="502" t="s">
        <v>44</v>
      </c>
      <c r="F124" s="532" t="s">
        <v>478</v>
      </c>
      <c r="G124" s="500"/>
      <c r="H124" s="500" t="s">
        <v>280</v>
      </c>
      <c r="I124" s="534" t="s">
        <v>404</v>
      </c>
    </row>
    <row r="125" spans="1:9" x14ac:dyDescent="0.25">
      <c r="A125" s="530">
        <v>12.263</v>
      </c>
      <c r="B125" s="338" t="s">
        <v>631</v>
      </c>
      <c r="C125" s="500" t="s">
        <v>259</v>
      </c>
      <c r="D125" s="500" t="s">
        <v>47</v>
      </c>
      <c r="E125" s="502" t="s">
        <v>44</v>
      </c>
      <c r="F125" s="532" t="s">
        <v>478</v>
      </c>
      <c r="G125" s="500"/>
      <c r="H125" s="500"/>
      <c r="I125" s="534" t="s">
        <v>404</v>
      </c>
    </row>
    <row r="126" spans="1:9" x14ac:dyDescent="0.25">
      <c r="A126" s="530">
        <v>12.266</v>
      </c>
      <c r="B126" s="338" t="s">
        <v>632</v>
      </c>
      <c r="C126" s="500" t="s">
        <v>259</v>
      </c>
      <c r="D126" s="500" t="s">
        <v>34</v>
      </c>
      <c r="E126" s="502" t="s">
        <v>44</v>
      </c>
      <c r="F126" s="532" t="s">
        <v>478</v>
      </c>
      <c r="G126" s="500"/>
      <c r="H126" s="500"/>
      <c r="I126" s="534"/>
    </row>
    <row r="127" spans="1:9" x14ac:dyDescent="0.25">
      <c r="A127" s="530">
        <v>12.27</v>
      </c>
      <c r="B127" s="338" t="s">
        <v>633</v>
      </c>
      <c r="C127" s="500" t="s">
        <v>259</v>
      </c>
      <c r="D127" s="500" t="s">
        <v>34</v>
      </c>
      <c r="E127" s="502" t="s">
        <v>44</v>
      </c>
      <c r="F127" s="532" t="s">
        <v>478</v>
      </c>
      <c r="G127" s="500" t="s">
        <v>524</v>
      </c>
      <c r="H127" s="500" t="s">
        <v>280</v>
      </c>
      <c r="I127" s="534"/>
    </row>
    <row r="128" spans="1:9" x14ac:dyDescent="0.25">
      <c r="A128" s="530">
        <v>12.276</v>
      </c>
      <c r="B128" s="338" t="s">
        <v>634</v>
      </c>
      <c r="C128" s="500" t="s">
        <v>259</v>
      </c>
      <c r="D128" s="500" t="s">
        <v>34</v>
      </c>
      <c r="E128" s="502" t="s">
        <v>44</v>
      </c>
      <c r="F128" s="532" t="s">
        <v>483</v>
      </c>
      <c r="G128" s="500"/>
      <c r="H128" s="500"/>
      <c r="I128" s="534"/>
    </row>
    <row r="129" spans="1:9" ht="15" customHeight="1" x14ac:dyDescent="0.25">
      <c r="A129" s="530">
        <v>12.276999999999999</v>
      </c>
      <c r="B129" s="338" t="s">
        <v>635</v>
      </c>
      <c r="C129" s="500" t="s">
        <v>280</v>
      </c>
      <c r="D129" s="500" t="s">
        <v>34</v>
      </c>
      <c r="E129" s="502" t="s">
        <v>44</v>
      </c>
      <c r="F129" s="532" t="s">
        <v>483</v>
      </c>
      <c r="G129" s="500"/>
      <c r="H129" s="500"/>
      <c r="I129" s="534"/>
    </row>
    <row r="130" spans="1:9" x14ac:dyDescent="0.25">
      <c r="A130" s="530">
        <v>12.278</v>
      </c>
      <c r="B130" s="338" t="s">
        <v>636</v>
      </c>
      <c r="C130" s="500" t="s">
        <v>259</v>
      </c>
      <c r="D130" s="500" t="s">
        <v>34</v>
      </c>
      <c r="E130" s="502" t="s">
        <v>44</v>
      </c>
      <c r="F130" s="532" t="s">
        <v>477</v>
      </c>
      <c r="G130" s="500"/>
      <c r="H130" s="500" t="s">
        <v>280</v>
      </c>
      <c r="I130" s="534"/>
    </row>
    <row r="131" spans="1:9" x14ac:dyDescent="0.25">
      <c r="A131" s="530">
        <v>12.28</v>
      </c>
      <c r="B131" s="338" t="s">
        <v>637</v>
      </c>
      <c r="C131" s="500" t="s">
        <v>259</v>
      </c>
      <c r="D131" s="500" t="s">
        <v>34</v>
      </c>
      <c r="E131" s="502" t="s">
        <v>44</v>
      </c>
      <c r="F131" s="532" t="s">
        <v>477</v>
      </c>
      <c r="G131" s="500"/>
      <c r="H131" s="500" t="s">
        <v>280</v>
      </c>
      <c r="I131" s="534"/>
    </row>
    <row r="132" spans="1:9" ht="66.75" customHeight="1" x14ac:dyDescent="0.25">
      <c r="A132" s="530">
        <v>12.281000000000001</v>
      </c>
      <c r="B132" s="338" t="s">
        <v>638</v>
      </c>
      <c r="C132" s="500" t="s">
        <v>259</v>
      </c>
      <c r="D132" s="500" t="s">
        <v>34</v>
      </c>
      <c r="E132" s="502" t="s">
        <v>44</v>
      </c>
      <c r="F132" s="532" t="s">
        <v>477</v>
      </c>
      <c r="G132" s="500"/>
      <c r="H132" s="500" t="s">
        <v>280</v>
      </c>
      <c r="I132" s="534"/>
    </row>
    <row r="133" spans="1:9" x14ac:dyDescent="0.25">
      <c r="A133" s="530">
        <v>12.282</v>
      </c>
      <c r="B133" s="338" t="s">
        <v>639</v>
      </c>
      <c r="C133" s="500" t="s">
        <v>259</v>
      </c>
      <c r="D133" s="500" t="s">
        <v>34</v>
      </c>
      <c r="E133" s="502" t="s">
        <v>44</v>
      </c>
      <c r="F133" s="532" t="s">
        <v>480</v>
      </c>
      <c r="G133" s="500"/>
      <c r="H133" s="500"/>
      <c r="I133" s="534"/>
    </row>
    <row r="134" spans="1:9" x14ac:dyDescent="0.25">
      <c r="A134" s="530">
        <v>12.284000000000001</v>
      </c>
      <c r="B134" s="338" t="s">
        <v>640</v>
      </c>
      <c r="C134" s="500" t="s">
        <v>280</v>
      </c>
      <c r="D134" s="500" t="s">
        <v>40</v>
      </c>
      <c r="E134" s="502" t="s">
        <v>44</v>
      </c>
      <c r="F134" s="532" t="s">
        <v>485</v>
      </c>
      <c r="G134" s="500"/>
      <c r="H134" s="500"/>
      <c r="I134" s="534" t="s">
        <v>413</v>
      </c>
    </row>
    <row r="135" spans="1:9" x14ac:dyDescent="0.25">
      <c r="A135" s="530">
        <v>12.285</v>
      </c>
      <c r="B135" s="338" t="s">
        <v>641</v>
      </c>
      <c r="C135" s="500" t="s">
        <v>280</v>
      </c>
      <c r="D135" s="500" t="s">
        <v>40</v>
      </c>
      <c r="E135" s="502" t="s">
        <v>44</v>
      </c>
      <c r="F135" s="532" t="s">
        <v>477</v>
      </c>
      <c r="G135" s="500"/>
      <c r="H135" s="500"/>
      <c r="I135" s="534" t="s">
        <v>361</v>
      </c>
    </row>
    <row r="136" spans="1:9" x14ac:dyDescent="0.25">
      <c r="A136" s="530">
        <v>12.286</v>
      </c>
      <c r="B136" s="338" t="s">
        <v>642</v>
      </c>
      <c r="C136" s="500" t="s">
        <v>259</v>
      </c>
      <c r="D136" s="500" t="s">
        <v>40</v>
      </c>
      <c r="E136" s="502" t="s">
        <v>44</v>
      </c>
      <c r="F136" s="532" t="s">
        <v>480</v>
      </c>
      <c r="G136" s="500"/>
      <c r="H136" s="500"/>
      <c r="I136" s="534" t="s">
        <v>361</v>
      </c>
    </row>
    <row r="137" spans="1:9" x14ac:dyDescent="0.25">
      <c r="A137" s="530">
        <v>12.287000000000001</v>
      </c>
      <c r="B137" s="338" t="s">
        <v>643</v>
      </c>
      <c r="C137" s="500" t="s">
        <v>259</v>
      </c>
      <c r="D137" s="500" t="s">
        <v>47</v>
      </c>
      <c r="E137" s="502" t="s">
        <v>44</v>
      </c>
      <c r="F137" s="532" t="s">
        <v>477</v>
      </c>
      <c r="G137" s="500"/>
      <c r="H137" s="500"/>
      <c r="I137" s="534" t="s">
        <v>361</v>
      </c>
    </row>
    <row r="138" spans="1:9" x14ac:dyDescent="0.25">
      <c r="A138" s="530">
        <v>12.291</v>
      </c>
      <c r="B138" s="338" t="s">
        <v>644</v>
      </c>
      <c r="C138" s="500" t="s">
        <v>280</v>
      </c>
      <c r="D138" s="500" t="s">
        <v>47</v>
      </c>
      <c r="E138" s="502" t="s">
        <v>44</v>
      </c>
      <c r="F138" s="532" t="s">
        <v>478</v>
      </c>
      <c r="G138" s="500"/>
      <c r="H138" s="500"/>
      <c r="I138" s="534" t="s">
        <v>361</v>
      </c>
    </row>
    <row r="139" spans="1:9" x14ac:dyDescent="0.25">
      <c r="A139" s="530">
        <v>12.292</v>
      </c>
      <c r="B139" s="338" t="s">
        <v>645</v>
      </c>
      <c r="C139" s="500" t="s">
        <v>259</v>
      </c>
      <c r="D139" s="500" t="s">
        <v>34</v>
      </c>
      <c r="E139" s="502" t="s">
        <v>44</v>
      </c>
      <c r="F139" s="532" t="s">
        <v>480</v>
      </c>
      <c r="G139" s="500"/>
      <c r="H139" s="500"/>
      <c r="I139" s="534"/>
    </row>
    <row r="140" spans="1:9" x14ac:dyDescent="0.25">
      <c r="A140" s="530">
        <v>12.294</v>
      </c>
      <c r="B140" s="338" t="s">
        <v>646</v>
      </c>
      <c r="C140" s="500" t="s">
        <v>259</v>
      </c>
      <c r="D140" s="500" t="s">
        <v>34</v>
      </c>
      <c r="E140" s="502" t="s">
        <v>44</v>
      </c>
      <c r="F140" s="532" t="s">
        <v>484</v>
      </c>
      <c r="G140" s="500"/>
      <c r="H140" s="500"/>
      <c r="I140" s="534"/>
    </row>
    <row r="141" spans="1:9" x14ac:dyDescent="0.25">
      <c r="A141" s="530">
        <v>12.298999999999999</v>
      </c>
      <c r="B141" s="338" t="s">
        <v>647</v>
      </c>
      <c r="C141" s="500" t="s">
        <v>280</v>
      </c>
      <c r="D141" s="500" t="s">
        <v>34</v>
      </c>
      <c r="E141" s="502" t="s">
        <v>44</v>
      </c>
      <c r="F141" s="532" t="s">
        <v>478</v>
      </c>
      <c r="G141" s="500"/>
      <c r="H141" s="500"/>
      <c r="I141" s="534" t="s">
        <v>648</v>
      </c>
    </row>
    <row r="142" spans="1:9" x14ac:dyDescent="0.25">
      <c r="A142" s="530">
        <v>12.3</v>
      </c>
      <c r="B142" s="338" t="s">
        <v>649</v>
      </c>
      <c r="C142" s="500" t="s">
        <v>280</v>
      </c>
      <c r="D142" s="500" t="s">
        <v>34</v>
      </c>
      <c r="E142" s="502" t="s">
        <v>44</v>
      </c>
      <c r="F142" s="532" t="s">
        <v>478</v>
      </c>
      <c r="G142" s="500"/>
      <c r="H142" s="500"/>
      <c r="I142" s="534"/>
    </row>
    <row r="143" spans="1:9" x14ac:dyDescent="0.25">
      <c r="A143" s="530">
        <v>12.301</v>
      </c>
      <c r="B143" s="338" t="s">
        <v>650</v>
      </c>
      <c r="C143" s="500" t="s">
        <v>280</v>
      </c>
      <c r="D143" s="500" t="s">
        <v>34</v>
      </c>
      <c r="E143" s="502" t="s">
        <v>44</v>
      </c>
      <c r="F143" s="532" t="s">
        <v>478</v>
      </c>
      <c r="G143" s="500"/>
      <c r="H143" s="500"/>
      <c r="I143" s="534"/>
    </row>
    <row r="144" spans="1:9" x14ac:dyDescent="0.25">
      <c r="A144" s="530">
        <v>12.302</v>
      </c>
      <c r="B144" s="338" t="s">
        <v>651</v>
      </c>
      <c r="C144" s="500" t="s">
        <v>280</v>
      </c>
      <c r="D144" s="500" t="s">
        <v>47</v>
      </c>
      <c r="E144" s="502" t="s">
        <v>44</v>
      </c>
      <c r="F144" s="532" t="s">
        <v>478</v>
      </c>
      <c r="G144" s="500"/>
      <c r="H144" s="500"/>
      <c r="I144" s="534" t="s">
        <v>361</v>
      </c>
    </row>
    <row r="145" spans="1:9" x14ac:dyDescent="0.25">
      <c r="A145" s="530">
        <v>12.308</v>
      </c>
      <c r="B145" s="338" t="s">
        <v>652</v>
      </c>
      <c r="C145" s="500" t="s">
        <v>259</v>
      </c>
      <c r="D145" s="500" t="s">
        <v>45</v>
      </c>
      <c r="E145" s="502" t="s">
        <v>44</v>
      </c>
      <c r="F145" s="532" t="s">
        <v>478</v>
      </c>
      <c r="G145" s="500"/>
      <c r="H145" s="500"/>
      <c r="I145" s="534" t="s">
        <v>398</v>
      </c>
    </row>
    <row r="146" spans="1:9" x14ac:dyDescent="0.25">
      <c r="A146" s="530">
        <v>12.31</v>
      </c>
      <c r="B146" s="338" t="s">
        <v>653</v>
      </c>
      <c r="C146" s="500" t="s">
        <v>259</v>
      </c>
      <c r="D146" s="500" t="s">
        <v>34</v>
      </c>
      <c r="E146" s="502" t="s">
        <v>44</v>
      </c>
      <c r="F146" s="532" t="s">
        <v>477</v>
      </c>
      <c r="G146" s="500"/>
      <c r="H146" s="500"/>
      <c r="I146" s="534"/>
    </row>
    <row r="147" spans="1:9" x14ac:dyDescent="0.25">
      <c r="A147" s="530">
        <v>12.311</v>
      </c>
      <c r="B147" s="338" t="s">
        <v>654</v>
      </c>
      <c r="C147" s="500" t="s">
        <v>259</v>
      </c>
      <c r="D147" s="500" t="s">
        <v>34</v>
      </c>
      <c r="E147" s="502" t="s">
        <v>44</v>
      </c>
      <c r="F147" s="532" t="s">
        <v>483</v>
      </c>
      <c r="G147" s="500"/>
      <c r="H147" s="500"/>
      <c r="I147" s="534"/>
    </row>
    <row r="148" spans="1:9" x14ac:dyDescent="0.25">
      <c r="A148" s="530">
        <v>12.311999999999999</v>
      </c>
      <c r="B148" s="338" t="s">
        <v>655</v>
      </c>
      <c r="C148" s="500" t="s">
        <v>259</v>
      </c>
      <c r="D148" s="500" t="s">
        <v>47</v>
      </c>
      <c r="E148" s="502" t="s">
        <v>44</v>
      </c>
      <c r="F148" s="532" t="s">
        <v>484</v>
      </c>
      <c r="G148" s="500"/>
      <c r="H148" s="500"/>
      <c r="I148" s="534" t="s">
        <v>361</v>
      </c>
    </row>
    <row r="149" spans="1:9" x14ac:dyDescent="0.25">
      <c r="A149" s="530">
        <v>12.318</v>
      </c>
      <c r="B149" s="338" t="s">
        <v>656</v>
      </c>
      <c r="C149" s="500" t="s">
        <v>259</v>
      </c>
      <c r="D149" s="500" t="s">
        <v>47</v>
      </c>
      <c r="E149" s="502" t="s">
        <v>44</v>
      </c>
      <c r="F149" s="532" t="s">
        <v>479</v>
      </c>
      <c r="G149" s="500" t="s">
        <v>524</v>
      </c>
      <c r="H149" s="500"/>
      <c r="I149" s="534" t="s">
        <v>417</v>
      </c>
    </row>
    <row r="150" spans="1:9" x14ac:dyDescent="0.25">
      <c r="A150" s="530">
        <v>12.319000000000001</v>
      </c>
      <c r="B150" s="338" t="s">
        <v>657</v>
      </c>
      <c r="C150" s="500" t="s">
        <v>259</v>
      </c>
      <c r="D150" s="500" t="s">
        <v>34</v>
      </c>
      <c r="E150" s="502" t="s">
        <v>44</v>
      </c>
      <c r="F150" s="532" t="s">
        <v>477</v>
      </c>
      <c r="G150" s="500" t="s">
        <v>524</v>
      </c>
      <c r="H150" s="500"/>
      <c r="I150" s="534"/>
    </row>
    <row r="151" spans="1:9" x14ac:dyDescent="0.25">
      <c r="A151" s="530">
        <v>12.32</v>
      </c>
      <c r="B151" s="338" t="s">
        <v>658</v>
      </c>
      <c r="C151" s="500" t="s">
        <v>259</v>
      </c>
      <c r="D151" s="500" t="s">
        <v>34</v>
      </c>
      <c r="E151" s="502" t="s">
        <v>44</v>
      </c>
      <c r="F151" s="532" t="s">
        <v>477</v>
      </c>
      <c r="G151" s="500"/>
      <c r="H151" s="500"/>
      <c r="I151" s="534"/>
    </row>
    <row r="152" spans="1:9" x14ac:dyDescent="0.25">
      <c r="A152" s="530">
        <v>12.321</v>
      </c>
      <c r="B152" s="338" t="s">
        <v>659</v>
      </c>
      <c r="C152" s="500" t="s">
        <v>259</v>
      </c>
      <c r="D152" s="500" t="s">
        <v>47</v>
      </c>
      <c r="E152" s="502" t="s">
        <v>44</v>
      </c>
      <c r="F152" s="532" t="s">
        <v>477</v>
      </c>
      <c r="G152" s="500"/>
      <c r="H152" s="500"/>
      <c r="I152" s="534" t="s">
        <v>413</v>
      </c>
    </row>
    <row r="153" spans="1:9" x14ac:dyDescent="0.25">
      <c r="A153" s="530">
        <v>12.321999999999999</v>
      </c>
      <c r="B153" s="338" t="s">
        <v>660</v>
      </c>
      <c r="C153" s="500" t="s">
        <v>280</v>
      </c>
      <c r="D153" s="500" t="s">
        <v>47</v>
      </c>
      <c r="E153" s="502" t="s">
        <v>44</v>
      </c>
      <c r="F153" s="532" t="s">
        <v>477</v>
      </c>
      <c r="G153" s="500"/>
      <c r="H153" s="500"/>
      <c r="I153" s="534" t="s">
        <v>413</v>
      </c>
    </row>
    <row r="154" spans="1:9" x14ac:dyDescent="0.25">
      <c r="A154" s="530">
        <v>12.327999999999999</v>
      </c>
      <c r="B154" s="338" t="s">
        <v>661</v>
      </c>
      <c r="C154" s="500" t="s">
        <v>259</v>
      </c>
      <c r="D154" s="500" t="s">
        <v>47</v>
      </c>
      <c r="E154" s="502" t="s">
        <v>44</v>
      </c>
      <c r="F154" s="532" t="s">
        <v>478</v>
      </c>
      <c r="G154" s="500"/>
      <c r="H154" s="500"/>
      <c r="I154" s="534" t="s">
        <v>413</v>
      </c>
    </row>
    <row r="155" spans="1:9" x14ac:dyDescent="0.25">
      <c r="A155" s="530">
        <v>12.329000000000001</v>
      </c>
      <c r="B155" s="338" t="s">
        <v>662</v>
      </c>
      <c r="C155" s="500" t="s">
        <v>280</v>
      </c>
      <c r="D155" s="500" t="s">
        <v>47</v>
      </c>
      <c r="E155" s="502" t="s">
        <v>44</v>
      </c>
      <c r="F155" s="532" t="s">
        <v>477</v>
      </c>
      <c r="G155" s="500"/>
      <c r="H155" s="500"/>
      <c r="I155" s="534" t="s">
        <v>361</v>
      </c>
    </row>
    <row r="156" spans="1:9" x14ac:dyDescent="0.25">
      <c r="A156" s="530">
        <v>12.332000000000001</v>
      </c>
      <c r="B156" s="338" t="s">
        <v>663</v>
      </c>
      <c r="C156" s="500" t="s">
        <v>280</v>
      </c>
      <c r="D156" s="500" t="s">
        <v>47</v>
      </c>
      <c r="E156" s="502" t="s">
        <v>44</v>
      </c>
      <c r="F156" s="532" t="s">
        <v>477</v>
      </c>
      <c r="G156" s="500"/>
      <c r="H156" s="500"/>
      <c r="I156" s="534" t="s">
        <v>413</v>
      </c>
    </row>
    <row r="157" spans="1:9" x14ac:dyDescent="0.25">
      <c r="A157" s="530">
        <v>12.333</v>
      </c>
      <c r="B157" s="338" t="s">
        <v>664</v>
      </c>
      <c r="C157" s="500" t="s">
        <v>280</v>
      </c>
      <c r="D157" s="500" t="s">
        <v>34</v>
      </c>
      <c r="E157" s="502" t="s">
        <v>44</v>
      </c>
      <c r="F157" s="532" t="s">
        <v>479</v>
      </c>
      <c r="G157" s="500"/>
      <c r="H157" s="500"/>
      <c r="I157" s="534"/>
    </row>
    <row r="158" spans="1:9" x14ac:dyDescent="0.25">
      <c r="A158" s="530">
        <v>12.334</v>
      </c>
      <c r="B158" s="338" t="s">
        <v>665</v>
      </c>
      <c r="C158" s="500" t="s">
        <v>259</v>
      </c>
      <c r="D158" s="500" t="s">
        <v>34</v>
      </c>
      <c r="E158" s="502" t="s">
        <v>44</v>
      </c>
      <c r="F158" s="532" t="s">
        <v>478</v>
      </c>
      <c r="G158" s="500" t="s">
        <v>524</v>
      </c>
      <c r="H158" s="500"/>
      <c r="I158" s="534"/>
    </row>
    <row r="159" spans="1:9" x14ac:dyDescent="0.25">
      <c r="A159" s="530">
        <v>12.336</v>
      </c>
      <c r="B159" s="338" t="s">
        <v>666</v>
      </c>
      <c r="C159" s="500" t="s">
        <v>280</v>
      </c>
      <c r="D159" s="500" t="s">
        <v>47</v>
      </c>
      <c r="E159" s="502" t="s">
        <v>44</v>
      </c>
      <c r="F159" s="532" t="s">
        <v>483</v>
      </c>
      <c r="G159" s="500"/>
      <c r="H159" s="500"/>
      <c r="I159" s="534" t="s">
        <v>413</v>
      </c>
    </row>
    <row r="160" spans="1:9" x14ac:dyDescent="0.25">
      <c r="A160" s="530">
        <v>12.339</v>
      </c>
      <c r="B160" s="338" t="s">
        <v>667</v>
      </c>
      <c r="C160" s="500" t="s">
        <v>259</v>
      </c>
      <c r="D160" s="500" t="s">
        <v>34</v>
      </c>
      <c r="E160" s="502" t="s">
        <v>44</v>
      </c>
      <c r="F160" s="532" t="s">
        <v>478</v>
      </c>
      <c r="G160" s="500"/>
      <c r="H160" s="500"/>
      <c r="I160" s="534" t="s">
        <v>668</v>
      </c>
    </row>
    <row r="161" spans="1:9" x14ac:dyDescent="0.25">
      <c r="A161" s="530">
        <v>12.342000000000001</v>
      </c>
      <c r="B161" s="338" t="s">
        <v>669</v>
      </c>
      <c r="C161" s="500" t="s">
        <v>259</v>
      </c>
      <c r="D161" s="500" t="s">
        <v>47</v>
      </c>
      <c r="E161" s="502" t="s">
        <v>44</v>
      </c>
      <c r="F161" s="532" t="s">
        <v>478</v>
      </c>
      <c r="G161" s="500"/>
      <c r="H161" s="500"/>
      <c r="I161" s="534" t="s">
        <v>404</v>
      </c>
    </row>
    <row r="162" spans="1:9" x14ac:dyDescent="0.25">
      <c r="A162" s="530">
        <v>12.343</v>
      </c>
      <c r="B162" s="338" t="s">
        <v>670</v>
      </c>
      <c r="C162" s="500" t="s">
        <v>259</v>
      </c>
      <c r="D162" s="500" t="s">
        <v>34</v>
      </c>
      <c r="E162" s="502" t="s">
        <v>44</v>
      </c>
      <c r="F162" s="532" t="s">
        <v>478</v>
      </c>
      <c r="G162" s="500"/>
      <c r="H162" s="500"/>
      <c r="I162" s="534"/>
    </row>
    <row r="163" spans="1:9" x14ac:dyDescent="0.25">
      <c r="A163" s="530">
        <v>12.343999999999999</v>
      </c>
      <c r="B163" s="338" t="s">
        <v>671</v>
      </c>
      <c r="C163" s="500" t="s">
        <v>259</v>
      </c>
      <c r="D163" s="500" t="s">
        <v>34</v>
      </c>
      <c r="E163" s="502" t="s">
        <v>44</v>
      </c>
      <c r="F163" s="532" t="s">
        <v>477</v>
      </c>
      <c r="G163" s="500"/>
      <c r="H163" s="500"/>
      <c r="I163" s="534"/>
    </row>
    <row r="164" spans="1:9" x14ac:dyDescent="0.25">
      <c r="A164" s="530">
        <v>12.349</v>
      </c>
      <c r="B164" s="338" t="s">
        <v>672</v>
      </c>
      <c r="C164" s="500" t="s">
        <v>280</v>
      </c>
      <c r="D164" s="500" t="s">
        <v>34</v>
      </c>
      <c r="E164" s="502" t="s">
        <v>44</v>
      </c>
      <c r="F164" s="532" t="s">
        <v>479</v>
      </c>
      <c r="G164" s="500"/>
      <c r="H164" s="500"/>
      <c r="I164" s="534"/>
    </row>
    <row r="165" spans="1:9" x14ac:dyDescent="0.25">
      <c r="A165" s="530">
        <v>12.356</v>
      </c>
      <c r="B165" s="338" t="s">
        <v>673</v>
      </c>
      <c r="C165" s="500" t="s">
        <v>259</v>
      </c>
      <c r="D165" s="500" t="s">
        <v>34</v>
      </c>
      <c r="E165" s="502" t="s">
        <v>44</v>
      </c>
      <c r="F165" s="532" t="s">
        <v>479</v>
      </c>
      <c r="G165" s="500"/>
      <c r="H165" s="500"/>
      <c r="I165" s="534"/>
    </row>
    <row r="166" spans="1:9" x14ac:dyDescent="0.25">
      <c r="A166" s="530">
        <v>12.356999999999999</v>
      </c>
      <c r="B166" s="338" t="s">
        <v>674</v>
      </c>
      <c r="C166" s="500" t="s">
        <v>259</v>
      </c>
      <c r="D166" s="500" t="s">
        <v>34</v>
      </c>
      <c r="E166" s="502" t="s">
        <v>44</v>
      </c>
      <c r="F166" s="532" t="s">
        <v>479</v>
      </c>
      <c r="G166" s="500"/>
      <c r="H166" s="500"/>
      <c r="I166" s="534"/>
    </row>
    <row r="167" spans="1:9" x14ac:dyDescent="0.25">
      <c r="A167" s="530">
        <v>12.358000000000001</v>
      </c>
      <c r="B167" s="338" t="s">
        <v>675</v>
      </c>
      <c r="C167" s="500" t="s">
        <v>280</v>
      </c>
      <c r="D167" s="500" t="s">
        <v>34</v>
      </c>
      <c r="E167" s="502" t="s">
        <v>44</v>
      </c>
      <c r="F167" s="532" t="s">
        <v>479</v>
      </c>
      <c r="G167" s="500"/>
      <c r="H167" s="500"/>
      <c r="I167" s="534"/>
    </row>
    <row r="168" spans="1:9" x14ac:dyDescent="0.25">
      <c r="A168" s="530">
        <v>12.36</v>
      </c>
      <c r="B168" s="338" t="s">
        <v>676</v>
      </c>
      <c r="C168" s="500" t="s">
        <v>280</v>
      </c>
      <c r="D168" s="500" t="s">
        <v>34</v>
      </c>
      <c r="E168" s="502" t="s">
        <v>44</v>
      </c>
      <c r="F168" s="532" t="s">
        <v>483</v>
      </c>
      <c r="G168" s="500"/>
      <c r="H168" s="500"/>
      <c r="I168" s="534"/>
    </row>
    <row r="169" spans="1:9" x14ac:dyDescent="0.25">
      <c r="A169" s="530">
        <v>12.361000000000001</v>
      </c>
      <c r="B169" s="338" t="s">
        <v>677</v>
      </c>
      <c r="C169" s="500" t="s">
        <v>280</v>
      </c>
      <c r="D169" s="500" t="s">
        <v>34</v>
      </c>
      <c r="E169" s="502" t="s">
        <v>44</v>
      </c>
      <c r="F169" s="532" t="s">
        <v>483</v>
      </c>
      <c r="G169" s="500"/>
      <c r="H169" s="500"/>
      <c r="I169" s="534"/>
    </row>
    <row r="170" spans="1:9" x14ac:dyDescent="0.25">
      <c r="A170" s="530">
        <v>12.366</v>
      </c>
      <c r="B170" s="338" t="s">
        <v>678</v>
      </c>
      <c r="C170" s="500" t="s">
        <v>280</v>
      </c>
      <c r="D170" s="500" t="s">
        <v>45</v>
      </c>
      <c r="E170" s="502" t="s">
        <v>44</v>
      </c>
      <c r="F170" s="532" t="s">
        <v>479</v>
      </c>
      <c r="G170" s="500"/>
      <c r="H170" s="500"/>
      <c r="I170" s="534" t="s">
        <v>428</v>
      </c>
    </row>
    <row r="171" spans="1:9" x14ac:dyDescent="0.25">
      <c r="A171" s="530">
        <v>12.37</v>
      </c>
      <c r="B171" s="338" t="s">
        <v>679</v>
      </c>
      <c r="C171" s="500" t="s">
        <v>280</v>
      </c>
      <c r="D171" s="500" t="s">
        <v>34</v>
      </c>
      <c r="E171" s="502" t="s">
        <v>44</v>
      </c>
      <c r="F171" s="532" t="s">
        <v>483</v>
      </c>
      <c r="G171" s="500"/>
      <c r="H171" s="500"/>
      <c r="I171" s="534"/>
    </row>
    <row r="172" spans="1:9" x14ac:dyDescent="0.25">
      <c r="A172" s="530">
        <v>12.372999999999999</v>
      </c>
      <c r="B172" s="338" t="s">
        <v>680</v>
      </c>
      <c r="C172" s="500" t="s">
        <v>259</v>
      </c>
      <c r="D172" s="500" t="s">
        <v>34</v>
      </c>
      <c r="E172" s="502" t="s">
        <v>44</v>
      </c>
      <c r="F172" s="532" t="s">
        <v>480</v>
      </c>
      <c r="G172" s="500"/>
      <c r="H172" s="500"/>
      <c r="I172" s="534"/>
    </row>
    <row r="173" spans="1:9" x14ac:dyDescent="0.25">
      <c r="A173" s="530">
        <v>12.374000000000001</v>
      </c>
      <c r="B173" s="338" t="s">
        <v>681</v>
      </c>
      <c r="C173" s="500" t="s">
        <v>259</v>
      </c>
      <c r="D173" s="500" t="s">
        <v>34</v>
      </c>
      <c r="E173" s="502" t="s">
        <v>44</v>
      </c>
      <c r="F173" s="532" t="s">
        <v>479</v>
      </c>
      <c r="G173" s="500"/>
      <c r="H173" s="500"/>
      <c r="I173" s="534" t="s">
        <v>682</v>
      </c>
    </row>
    <row r="174" spans="1:9" x14ac:dyDescent="0.25">
      <c r="A174" s="530">
        <v>12.382</v>
      </c>
      <c r="B174" s="338" t="s">
        <v>683</v>
      </c>
      <c r="C174" s="500" t="s">
        <v>280</v>
      </c>
      <c r="D174" s="500" t="s">
        <v>40</v>
      </c>
      <c r="E174" s="502" t="s">
        <v>33</v>
      </c>
      <c r="F174" s="532" t="s">
        <v>482</v>
      </c>
      <c r="G174" s="500"/>
      <c r="H174" s="500"/>
      <c r="I174" s="534" t="s">
        <v>376</v>
      </c>
    </row>
    <row r="175" spans="1:9" x14ac:dyDescent="0.25">
      <c r="A175" s="530">
        <v>12.387</v>
      </c>
      <c r="B175" s="338" t="s">
        <v>684</v>
      </c>
      <c r="C175" s="500" t="s">
        <v>259</v>
      </c>
      <c r="D175" s="500" t="s">
        <v>47</v>
      </c>
      <c r="E175" s="502" t="s">
        <v>44</v>
      </c>
      <c r="F175" s="532" t="s">
        <v>481</v>
      </c>
      <c r="G175" s="500"/>
      <c r="H175" s="500"/>
      <c r="I175" s="534" t="s">
        <v>431</v>
      </c>
    </row>
    <row r="176" spans="1:9" x14ac:dyDescent="0.25">
      <c r="A176" s="530">
        <v>12.388999999999999</v>
      </c>
      <c r="B176" s="338" t="s">
        <v>685</v>
      </c>
      <c r="C176" s="500" t="s">
        <v>259</v>
      </c>
      <c r="D176" s="500" t="s">
        <v>47</v>
      </c>
      <c r="E176" s="502" t="s">
        <v>44</v>
      </c>
      <c r="F176" s="532" t="s">
        <v>478</v>
      </c>
      <c r="G176" s="500"/>
      <c r="H176" s="500"/>
      <c r="I176" s="534" t="s">
        <v>413</v>
      </c>
    </row>
    <row r="177" spans="1:9" x14ac:dyDescent="0.25">
      <c r="A177" s="530">
        <v>12.391999999999999</v>
      </c>
      <c r="B177" s="338" t="s">
        <v>686</v>
      </c>
      <c r="C177" s="500" t="s">
        <v>280</v>
      </c>
      <c r="D177" s="500" t="s">
        <v>47</v>
      </c>
      <c r="E177" s="502" t="s">
        <v>44</v>
      </c>
      <c r="F177" s="532" t="s">
        <v>478</v>
      </c>
      <c r="G177" s="500"/>
      <c r="H177" s="500"/>
      <c r="I177" s="534" t="s">
        <v>413</v>
      </c>
    </row>
    <row r="178" spans="1:9" x14ac:dyDescent="0.25">
      <c r="A178" s="530">
        <v>12.393000000000001</v>
      </c>
      <c r="B178" s="338" t="s">
        <v>687</v>
      </c>
      <c r="C178" s="500" t="s">
        <v>259</v>
      </c>
      <c r="D178" s="500" t="s">
        <v>47</v>
      </c>
      <c r="E178" s="502" t="s">
        <v>44</v>
      </c>
      <c r="F178" s="532" t="s">
        <v>478</v>
      </c>
      <c r="G178" s="500"/>
      <c r="H178" s="500"/>
      <c r="I178" s="534" t="s">
        <v>413</v>
      </c>
    </row>
    <row r="179" spans="1:9" x14ac:dyDescent="0.25">
      <c r="A179" s="530">
        <v>12.396000000000001</v>
      </c>
      <c r="B179" s="338" t="s">
        <v>688</v>
      </c>
      <c r="C179" s="500" t="s">
        <v>259</v>
      </c>
      <c r="D179" s="500" t="s">
        <v>34</v>
      </c>
      <c r="E179" s="502" t="s">
        <v>44</v>
      </c>
      <c r="F179" s="532" t="s">
        <v>481</v>
      </c>
      <c r="G179" s="500"/>
      <c r="H179" s="500"/>
      <c r="I179" s="534"/>
    </row>
    <row r="180" spans="1:9" x14ac:dyDescent="0.25">
      <c r="A180" s="530">
        <v>12.397</v>
      </c>
      <c r="B180" s="338" t="s">
        <v>689</v>
      </c>
      <c r="C180" s="500" t="s">
        <v>280</v>
      </c>
      <c r="D180" s="500" t="s">
        <v>47</v>
      </c>
      <c r="E180" s="502" t="s">
        <v>44</v>
      </c>
      <c r="F180" s="532" t="s">
        <v>481</v>
      </c>
      <c r="G180" s="500"/>
      <c r="H180" s="500"/>
      <c r="I180" s="534" t="s">
        <v>432</v>
      </c>
    </row>
    <row r="181" spans="1:9" x14ac:dyDescent="0.25">
      <c r="A181" s="530">
        <v>12.398</v>
      </c>
      <c r="B181" s="338" t="s">
        <v>690</v>
      </c>
      <c r="C181" s="500" t="s">
        <v>280</v>
      </c>
      <c r="D181" s="500" t="s">
        <v>47</v>
      </c>
      <c r="E181" s="502" t="s">
        <v>44</v>
      </c>
      <c r="F181" s="532" t="s">
        <v>481</v>
      </c>
      <c r="G181" s="500"/>
      <c r="H181" s="500"/>
      <c r="I181" s="534" t="s">
        <v>432</v>
      </c>
    </row>
    <row r="182" spans="1:9" x14ac:dyDescent="0.25">
      <c r="A182" s="530">
        <v>12.398999999999999</v>
      </c>
      <c r="B182" s="338" t="s">
        <v>691</v>
      </c>
      <c r="C182" s="500" t="s">
        <v>259</v>
      </c>
      <c r="D182" s="500" t="s">
        <v>47</v>
      </c>
      <c r="E182" s="502" t="s">
        <v>44</v>
      </c>
      <c r="F182" s="532" t="s">
        <v>482</v>
      </c>
      <c r="G182" s="500"/>
      <c r="H182" s="500"/>
      <c r="I182" s="534" t="s">
        <v>433</v>
      </c>
    </row>
    <row r="183" spans="1:9" x14ac:dyDescent="0.25">
      <c r="A183" s="530">
        <v>12.4</v>
      </c>
      <c r="B183" s="338" t="s">
        <v>692</v>
      </c>
      <c r="C183" s="500" t="s">
        <v>259</v>
      </c>
      <c r="D183" s="500" t="s">
        <v>47</v>
      </c>
      <c r="E183" s="502" t="s">
        <v>44</v>
      </c>
      <c r="F183" s="532" t="s">
        <v>481</v>
      </c>
      <c r="G183" s="500"/>
      <c r="H183" s="500"/>
      <c r="I183" s="534" t="s">
        <v>434</v>
      </c>
    </row>
    <row r="184" spans="1:9" x14ac:dyDescent="0.25">
      <c r="A184" s="530">
        <v>12.401</v>
      </c>
      <c r="B184" s="338" t="s">
        <v>693</v>
      </c>
      <c r="C184" s="500" t="s">
        <v>280</v>
      </c>
      <c r="D184" s="500" t="s">
        <v>34</v>
      </c>
      <c r="E184" s="502" t="s">
        <v>44</v>
      </c>
      <c r="F184" s="532" t="s">
        <v>477</v>
      </c>
      <c r="G184" s="500"/>
      <c r="H184" s="500"/>
      <c r="I184" s="534"/>
    </row>
    <row r="185" spans="1:9" x14ac:dyDescent="0.25">
      <c r="A185" s="530">
        <v>12.401999999999999</v>
      </c>
      <c r="B185" s="338" t="s">
        <v>694</v>
      </c>
      <c r="C185" s="500" t="s">
        <v>259</v>
      </c>
      <c r="D185" s="500" t="s">
        <v>34</v>
      </c>
      <c r="E185" s="502" t="s">
        <v>44</v>
      </c>
      <c r="F185" s="532" t="s">
        <v>481</v>
      </c>
      <c r="G185" s="500"/>
      <c r="H185" s="500"/>
      <c r="I185" s="534" t="s">
        <v>695</v>
      </c>
    </row>
    <row r="186" spans="1:9" x14ac:dyDescent="0.25">
      <c r="A186" s="530">
        <v>12.403</v>
      </c>
      <c r="B186" s="338" t="s">
        <v>696</v>
      </c>
      <c r="C186" s="500" t="s">
        <v>259</v>
      </c>
      <c r="D186" s="500" t="s">
        <v>34</v>
      </c>
      <c r="E186" s="502" t="s">
        <v>44</v>
      </c>
      <c r="F186" s="532" t="s">
        <v>481</v>
      </c>
      <c r="G186" s="500"/>
      <c r="H186" s="500"/>
      <c r="I186" s="534" t="s">
        <v>697</v>
      </c>
    </row>
    <row r="187" spans="1:9" x14ac:dyDescent="0.25">
      <c r="A187" s="530">
        <v>12.406000000000001</v>
      </c>
      <c r="B187" s="338" t="s">
        <v>698</v>
      </c>
      <c r="C187" s="500" t="s">
        <v>259</v>
      </c>
      <c r="D187" s="500" t="s">
        <v>34</v>
      </c>
      <c r="E187" s="502" t="s">
        <v>44</v>
      </c>
      <c r="F187" s="532" t="s">
        <v>481</v>
      </c>
      <c r="G187" s="500"/>
      <c r="H187" s="500"/>
      <c r="I187" s="534" t="s">
        <v>699</v>
      </c>
    </row>
    <row r="188" spans="1:9" x14ac:dyDescent="0.25">
      <c r="A188" s="530">
        <v>12.41</v>
      </c>
      <c r="B188" s="338" t="s">
        <v>700</v>
      </c>
      <c r="C188" s="500" t="s">
        <v>259</v>
      </c>
      <c r="D188" s="500" t="s">
        <v>47</v>
      </c>
      <c r="E188" s="502" t="s">
        <v>44</v>
      </c>
      <c r="F188" s="532" t="s">
        <v>478</v>
      </c>
      <c r="G188" s="500"/>
      <c r="H188" s="500"/>
      <c r="I188" s="534" t="s">
        <v>435</v>
      </c>
    </row>
    <row r="189" spans="1:9" x14ac:dyDescent="0.25">
      <c r="A189" s="530">
        <v>12.411</v>
      </c>
      <c r="B189" s="338" t="s">
        <v>701</v>
      </c>
      <c r="C189" s="500" t="s">
        <v>280</v>
      </c>
      <c r="D189" s="500" t="s">
        <v>34</v>
      </c>
      <c r="E189" s="502" t="s">
        <v>44</v>
      </c>
      <c r="F189" s="532" t="s">
        <v>478</v>
      </c>
      <c r="G189" s="500"/>
      <c r="H189" s="500"/>
      <c r="I189" s="534"/>
    </row>
    <row r="190" spans="1:9" x14ac:dyDescent="0.25">
      <c r="A190" s="530">
        <v>12.412000000000001</v>
      </c>
      <c r="B190" s="338" t="s">
        <v>702</v>
      </c>
      <c r="C190" s="500" t="s">
        <v>259</v>
      </c>
      <c r="D190" s="500" t="s">
        <v>34</v>
      </c>
      <c r="E190" s="502" t="s">
        <v>44</v>
      </c>
      <c r="F190" s="532" t="s">
        <v>477</v>
      </c>
      <c r="G190" s="500"/>
      <c r="H190" s="500"/>
      <c r="I190" s="534"/>
    </row>
    <row r="191" spans="1:9" x14ac:dyDescent="0.25">
      <c r="A191" s="530">
        <v>12.413</v>
      </c>
      <c r="B191" s="338" t="s">
        <v>703</v>
      </c>
      <c r="C191" s="500" t="s">
        <v>259</v>
      </c>
      <c r="D191" s="500" t="s">
        <v>34</v>
      </c>
      <c r="E191" s="502" t="s">
        <v>44</v>
      </c>
      <c r="F191" s="532" t="s">
        <v>479</v>
      </c>
      <c r="G191" s="500"/>
      <c r="H191" s="500"/>
      <c r="I191" s="534" t="s">
        <v>704</v>
      </c>
    </row>
    <row r="192" spans="1:9" x14ac:dyDescent="0.25">
      <c r="A192" s="530">
        <v>12.414</v>
      </c>
      <c r="B192" s="338" t="s">
        <v>705</v>
      </c>
      <c r="C192" s="500" t="s">
        <v>259</v>
      </c>
      <c r="D192" s="500" t="s">
        <v>47</v>
      </c>
      <c r="E192" s="502" t="s">
        <v>44</v>
      </c>
      <c r="F192" s="532" t="s">
        <v>486</v>
      </c>
      <c r="G192" s="500"/>
      <c r="H192" s="500"/>
      <c r="I192" s="534" t="s">
        <v>437</v>
      </c>
    </row>
    <row r="193" spans="1:9" x14ac:dyDescent="0.25">
      <c r="A193" s="530">
        <v>12.417</v>
      </c>
      <c r="B193" s="338" t="s">
        <v>706</v>
      </c>
      <c r="C193" s="500" t="s">
        <v>259</v>
      </c>
      <c r="D193" s="500" t="s">
        <v>47</v>
      </c>
      <c r="E193" s="502" t="s">
        <v>44</v>
      </c>
      <c r="F193" s="532" t="s">
        <v>478</v>
      </c>
      <c r="G193" s="500"/>
      <c r="H193" s="500"/>
      <c r="I193" s="534" t="s">
        <v>438</v>
      </c>
    </row>
    <row r="194" spans="1:9" x14ac:dyDescent="0.25">
      <c r="A194" s="530">
        <v>12.417999999999999</v>
      </c>
      <c r="B194" s="338" t="s">
        <v>707</v>
      </c>
      <c r="C194" s="500" t="s">
        <v>259</v>
      </c>
      <c r="D194" s="500" t="s">
        <v>47</v>
      </c>
      <c r="E194" s="502" t="s">
        <v>44</v>
      </c>
      <c r="F194" s="532" t="s">
        <v>478</v>
      </c>
      <c r="G194" s="500"/>
      <c r="H194" s="500"/>
      <c r="I194" s="534" t="s">
        <v>438</v>
      </c>
    </row>
    <row r="195" spans="1:9" x14ac:dyDescent="0.25">
      <c r="A195" s="530">
        <v>12.42</v>
      </c>
      <c r="B195" s="338" t="s">
        <v>708</v>
      </c>
      <c r="C195" s="500" t="s">
        <v>280</v>
      </c>
      <c r="D195" s="500" t="s">
        <v>34</v>
      </c>
      <c r="E195" s="502" t="s">
        <v>44</v>
      </c>
      <c r="F195" s="532" t="s">
        <v>484</v>
      </c>
      <c r="G195" s="500"/>
      <c r="H195" s="500"/>
      <c r="I195" s="534"/>
    </row>
    <row r="196" spans="1:9" x14ac:dyDescent="0.25">
      <c r="A196" s="530">
        <v>12.420999999999999</v>
      </c>
      <c r="B196" s="338" t="s">
        <v>709</v>
      </c>
      <c r="C196" s="500" t="s">
        <v>259</v>
      </c>
      <c r="D196" s="500" t="s">
        <v>34</v>
      </c>
      <c r="E196" s="502" t="s">
        <v>44</v>
      </c>
      <c r="F196" s="532" t="s">
        <v>478</v>
      </c>
      <c r="G196" s="500"/>
      <c r="H196" s="500"/>
      <c r="I196" s="534" t="s">
        <v>710</v>
      </c>
    </row>
    <row r="197" spans="1:9" x14ac:dyDescent="0.25">
      <c r="A197" s="530">
        <v>12.422000000000001</v>
      </c>
      <c r="B197" s="338" t="s">
        <v>711</v>
      </c>
      <c r="C197" s="500" t="s">
        <v>259</v>
      </c>
      <c r="D197" s="500" t="s">
        <v>47</v>
      </c>
      <c r="E197" s="502" t="s">
        <v>44</v>
      </c>
      <c r="F197" s="532" t="s">
        <v>481</v>
      </c>
      <c r="G197" s="500"/>
      <c r="H197" s="500"/>
      <c r="I197" s="534" t="s">
        <v>441</v>
      </c>
    </row>
    <row r="198" spans="1:9" x14ac:dyDescent="0.25">
      <c r="A198" s="530">
        <v>12.425000000000001</v>
      </c>
      <c r="B198" s="338" t="s">
        <v>712</v>
      </c>
      <c r="C198" s="500" t="s">
        <v>280</v>
      </c>
      <c r="D198" s="500" t="s">
        <v>34</v>
      </c>
      <c r="E198" s="502" t="s">
        <v>44</v>
      </c>
      <c r="F198" s="532" t="s">
        <v>480</v>
      </c>
      <c r="G198" s="500"/>
      <c r="H198" s="500"/>
      <c r="I198" s="534"/>
    </row>
    <row r="199" spans="1:9" x14ac:dyDescent="0.25">
      <c r="A199" s="530">
        <v>12.429</v>
      </c>
      <c r="B199" s="338" t="s">
        <v>713</v>
      </c>
      <c r="C199" s="500" t="s">
        <v>259</v>
      </c>
      <c r="D199" s="500" t="s">
        <v>34</v>
      </c>
      <c r="E199" s="502" t="s">
        <v>44</v>
      </c>
      <c r="F199" s="532" t="s">
        <v>485</v>
      </c>
      <c r="G199" s="500"/>
      <c r="H199" s="500"/>
      <c r="I199" s="534"/>
    </row>
    <row r="200" spans="1:9" x14ac:dyDescent="0.25">
      <c r="A200" s="530">
        <v>12.43</v>
      </c>
      <c r="B200" s="338" t="s">
        <v>714</v>
      </c>
      <c r="C200" s="500" t="s">
        <v>259</v>
      </c>
      <c r="D200" s="500" t="s">
        <v>34</v>
      </c>
      <c r="E200" s="502" t="s">
        <v>44</v>
      </c>
      <c r="F200" s="532" t="s">
        <v>485</v>
      </c>
      <c r="G200" s="500"/>
      <c r="H200" s="500"/>
      <c r="I200" s="534"/>
    </row>
    <row r="201" spans="1:9" x14ac:dyDescent="0.25">
      <c r="A201" s="530">
        <v>12.438000000000001</v>
      </c>
      <c r="B201" s="338" t="s">
        <v>715</v>
      </c>
      <c r="C201" s="500" t="s">
        <v>280</v>
      </c>
      <c r="D201" s="500" t="s">
        <v>47</v>
      </c>
      <c r="E201" s="502" t="s">
        <v>44</v>
      </c>
      <c r="F201" s="532" t="s">
        <v>484</v>
      </c>
      <c r="G201" s="500"/>
      <c r="H201" s="500"/>
      <c r="I201" s="534" t="s">
        <v>446</v>
      </c>
    </row>
    <row r="202" spans="1:9" x14ac:dyDescent="0.25">
      <c r="A202" s="530">
        <v>12.439</v>
      </c>
      <c r="B202" s="338" t="s">
        <v>716</v>
      </c>
      <c r="C202" s="500" t="s">
        <v>280</v>
      </c>
      <c r="D202" s="500" t="s">
        <v>34</v>
      </c>
      <c r="E202" s="502" t="s">
        <v>44</v>
      </c>
      <c r="F202" s="532" t="s">
        <v>478</v>
      </c>
      <c r="G202" s="500"/>
      <c r="H202" s="500"/>
      <c r="I202" s="534"/>
    </row>
    <row r="203" spans="1:9" x14ac:dyDescent="0.25">
      <c r="A203" s="530">
        <v>12.44</v>
      </c>
      <c r="B203" s="338" t="s">
        <v>717</v>
      </c>
      <c r="C203" s="500" t="s">
        <v>280</v>
      </c>
      <c r="D203" s="500" t="s">
        <v>45</v>
      </c>
      <c r="E203" s="502" t="s">
        <v>44</v>
      </c>
      <c r="F203" s="532" t="s">
        <v>478</v>
      </c>
      <c r="G203" s="500"/>
      <c r="H203" s="500"/>
      <c r="I203" s="534" t="s">
        <v>398</v>
      </c>
    </row>
    <row r="204" spans="1:9" x14ac:dyDescent="0.25">
      <c r="A204" s="530">
        <v>12.441000000000001</v>
      </c>
      <c r="B204" s="338" t="s">
        <v>718</v>
      </c>
      <c r="C204" s="500" t="s">
        <v>280</v>
      </c>
      <c r="D204" s="500" t="s">
        <v>34</v>
      </c>
      <c r="E204" s="502" t="s">
        <v>44</v>
      </c>
      <c r="F204" s="532" t="s">
        <v>484</v>
      </c>
      <c r="G204" s="500"/>
      <c r="H204" s="500"/>
      <c r="I204" s="534"/>
    </row>
    <row r="205" spans="1:9" x14ac:dyDescent="0.25">
      <c r="A205" s="530">
        <v>12.442</v>
      </c>
      <c r="B205" s="338" t="s">
        <v>719</v>
      </c>
      <c r="C205" s="500" t="s">
        <v>280</v>
      </c>
      <c r="D205" s="500" t="s">
        <v>47</v>
      </c>
      <c r="E205" s="502" t="s">
        <v>44</v>
      </c>
      <c r="F205" s="532" t="s">
        <v>478</v>
      </c>
      <c r="G205" s="500"/>
      <c r="H205" s="500"/>
      <c r="I205" s="534" t="s">
        <v>449</v>
      </c>
    </row>
    <row r="206" spans="1:9" x14ac:dyDescent="0.25">
      <c r="A206" s="530">
        <v>12.444000000000001</v>
      </c>
      <c r="B206" s="338" t="s">
        <v>720</v>
      </c>
      <c r="C206" s="500" t="s">
        <v>280</v>
      </c>
      <c r="D206" s="500" t="s">
        <v>34</v>
      </c>
      <c r="E206" s="502" t="s">
        <v>44</v>
      </c>
      <c r="F206" s="532" t="s">
        <v>485</v>
      </c>
      <c r="G206" s="500"/>
      <c r="H206" s="500"/>
      <c r="I206" s="534"/>
    </row>
    <row r="207" spans="1:9" x14ac:dyDescent="0.25">
      <c r="A207" s="530">
        <v>12.445</v>
      </c>
      <c r="B207" s="338" t="s">
        <v>721</v>
      </c>
      <c r="C207" s="500" t="s">
        <v>280</v>
      </c>
      <c r="D207" s="500" t="s">
        <v>34</v>
      </c>
      <c r="E207" s="502" t="s">
        <v>44</v>
      </c>
      <c r="F207" s="532" t="s">
        <v>483</v>
      </c>
      <c r="G207" s="500"/>
      <c r="H207" s="500"/>
      <c r="I207" s="534"/>
    </row>
    <row r="208" spans="1:9" x14ac:dyDescent="0.25">
      <c r="A208" s="530">
        <v>12.446</v>
      </c>
      <c r="B208" s="338" t="s">
        <v>722</v>
      </c>
      <c r="C208" s="500" t="s">
        <v>280</v>
      </c>
      <c r="D208" s="500" t="s">
        <v>34</v>
      </c>
      <c r="E208" s="502" t="s">
        <v>44</v>
      </c>
      <c r="F208" s="532" t="s">
        <v>477</v>
      </c>
      <c r="G208" s="500"/>
      <c r="H208" s="500"/>
      <c r="I208" s="534"/>
    </row>
    <row r="209" spans="1:9" x14ac:dyDescent="0.25">
      <c r="A209" s="530">
        <v>12.446999999999999</v>
      </c>
      <c r="B209" s="338" t="s">
        <v>723</v>
      </c>
      <c r="C209" s="500" t="s">
        <v>280</v>
      </c>
      <c r="D209" s="500" t="s">
        <v>34</v>
      </c>
      <c r="E209" s="502" t="s">
        <v>44</v>
      </c>
      <c r="F209" s="532" t="s">
        <v>477</v>
      </c>
      <c r="G209" s="500"/>
      <c r="H209" s="500"/>
      <c r="I209" s="534"/>
    </row>
    <row r="210" spans="1:9" x14ac:dyDescent="0.25">
      <c r="A210" s="530">
        <v>12.448</v>
      </c>
      <c r="B210" s="338" t="s">
        <v>724</v>
      </c>
      <c r="C210" s="500" t="s">
        <v>280</v>
      </c>
      <c r="D210" s="500" t="s">
        <v>34</v>
      </c>
      <c r="E210" s="502" t="s">
        <v>44</v>
      </c>
      <c r="F210" s="532" t="s">
        <v>485</v>
      </c>
      <c r="G210" s="500"/>
      <c r="H210" s="500"/>
      <c r="I210" s="534"/>
    </row>
    <row r="211" spans="1:9" x14ac:dyDescent="0.25">
      <c r="A211" s="530">
        <v>12.449</v>
      </c>
      <c r="B211" s="338" t="s">
        <v>725</v>
      </c>
      <c r="C211" s="500" t="s">
        <v>259</v>
      </c>
      <c r="D211" s="500" t="s">
        <v>34</v>
      </c>
      <c r="E211" s="502" t="s">
        <v>44</v>
      </c>
      <c r="F211" s="532" t="s">
        <v>485</v>
      </c>
      <c r="G211" s="500"/>
      <c r="H211" s="500"/>
      <c r="I211" s="534"/>
    </row>
    <row r="212" spans="1:9" x14ac:dyDescent="0.25">
      <c r="A212" s="530">
        <v>12.45</v>
      </c>
      <c r="B212" s="338" t="s">
        <v>726</v>
      </c>
      <c r="C212" s="500" t="s">
        <v>280</v>
      </c>
      <c r="D212" s="500" t="s">
        <v>34</v>
      </c>
      <c r="E212" s="502" t="s">
        <v>44</v>
      </c>
      <c r="F212" s="532" t="s">
        <v>483</v>
      </c>
      <c r="G212" s="500"/>
      <c r="H212" s="500"/>
      <c r="I212" s="534"/>
    </row>
    <row r="213" spans="1:9" x14ac:dyDescent="0.25">
      <c r="A213" s="530">
        <v>12.451000000000001</v>
      </c>
      <c r="B213" s="338" t="s">
        <v>727</v>
      </c>
      <c r="C213" s="500" t="s">
        <v>259</v>
      </c>
      <c r="D213" s="500" t="s">
        <v>34</v>
      </c>
      <c r="E213" s="502" t="s">
        <v>44</v>
      </c>
      <c r="F213" s="532" t="s">
        <v>485</v>
      </c>
      <c r="G213" s="500"/>
      <c r="H213" s="500"/>
      <c r="I213" s="534"/>
    </row>
    <row r="214" spans="1:9" x14ac:dyDescent="0.25">
      <c r="A214" s="530">
        <v>12.452</v>
      </c>
      <c r="B214" s="338" t="s">
        <v>728</v>
      </c>
      <c r="C214" s="500" t="s">
        <v>280</v>
      </c>
      <c r="D214" s="500" t="s">
        <v>34</v>
      </c>
      <c r="E214" s="502" t="s">
        <v>44</v>
      </c>
      <c r="F214" s="532" t="s">
        <v>477</v>
      </c>
      <c r="G214" s="500"/>
      <c r="H214" s="500"/>
      <c r="I214" s="534"/>
    </row>
    <row r="215" spans="1:9" x14ac:dyDescent="0.25">
      <c r="A215" s="530">
        <v>12.452999999999999</v>
      </c>
      <c r="B215" s="338" t="s">
        <v>729</v>
      </c>
      <c r="C215" s="500" t="s">
        <v>280</v>
      </c>
      <c r="D215" s="500" t="s">
        <v>34</v>
      </c>
      <c r="E215" s="502" t="s">
        <v>44</v>
      </c>
      <c r="F215" s="532" t="s">
        <v>484</v>
      </c>
      <c r="G215" s="500"/>
      <c r="H215" s="500"/>
      <c r="I215" s="534"/>
    </row>
    <row r="216" spans="1:9" x14ac:dyDescent="0.25">
      <c r="A216" s="530">
        <v>12.454000000000001</v>
      </c>
      <c r="B216" s="338" t="s">
        <v>730</v>
      </c>
      <c r="C216" s="500" t="s">
        <v>280</v>
      </c>
      <c r="D216" s="500" t="s">
        <v>34</v>
      </c>
      <c r="E216" s="502" t="s">
        <v>44</v>
      </c>
      <c r="F216" s="532" t="s">
        <v>477</v>
      </c>
      <c r="G216" s="500"/>
      <c r="H216" s="500"/>
      <c r="I216" s="534"/>
    </row>
    <row r="217" spans="1:9" x14ac:dyDescent="0.25">
      <c r="A217" s="530">
        <v>12.455</v>
      </c>
      <c r="B217" s="338" t="s">
        <v>731</v>
      </c>
      <c r="C217" s="500" t="s">
        <v>280</v>
      </c>
      <c r="D217" s="500" t="s">
        <v>34</v>
      </c>
      <c r="E217" s="502" t="s">
        <v>44</v>
      </c>
      <c r="F217" s="532" t="s">
        <v>484</v>
      </c>
      <c r="G217" s="500"/>
      <c r="H217" s="500"/>
      <c r="I217" s="534"/>
    </row>
    <row r="218" spans="1:9" x14ac:dyDescent="0.25">
      <c r="A218" s="530">
        <v>12.457000000000001</v>
      </c>
      <c r="B218" s="338" t="s">
        <v>732</v>
      </c>
      <c r="C218" s="500" t="s">
        <v>280</v>
      </c>
      <c r="D218" s="500" t="s">
        <v>34</v>
      </c>
      <c r="E218" s="502" t="s">
        <v>44</v>
      </c>
      <c r="F218" s="532" t="s">
        <v>478</v>
      </c>
      <c r="G218" s="500"/>
      <c r="H218" s="500"/>
      <c r="I218" s="534"/>
    </row>
    <row r="219" spans="1:9" x14ac:dyDescent="0.25">
      <c r="A219" s="530">
        <v>12.458</v>
      </c>
      <c r="B219" s="338" t="s">
        <v>733</v>
      </c>
      <c r="C219" s="500" t="s">
        <v>280</v>
      </c>
      <c r="D219" s="500" t="s">
        <v>47</v>
      </c>
      <c r="E219" s="502" t="s">
        <v>44</v>
      </c>
      <c r="F219" s="532" t="s">
        <v>482</v>
      </c>
      <c r="G219" s="500"/>
      <c r="H219" s="500"/>
      <c r="I219" s="534" t="s">
        <v>361</v>
      </c>
    </row>
    <row r="220" spans="1:9" x14ac:dyDescent="0.25">
      <c r="A220" s="530">
        <v>12.459</v>
      </c>
      <c r="B220" s="338" t="s">
        <v>734</v>
      </c>
      <c r="C220" s="500" t="s">
        <v>280</v>
      </c>
      <c r="D220" s="500" t="s">
        <v>47</v>
      </c>
      <c r="E220" s="502" t="s">
        <v>44</v>
      </c>
      <c r="F220" s="532" t="s">
        <v>483</v>
      </c>
      <c r="G220" s="500"/>
      <c r="H220" s="500"/>
      <c r="I220" s="534" t="s">
        <v>413</v>
      </c>
    </row>
    <row r="221" spans="1:9" x14ac:dyDescent="0.25">
      <c r="A221" s="530">
        <v>12.46</v>
      </c>
      <c r="B221" s="338" t="s">
        <v>735</v>
      </c>
      <c r="C221" s="500" t="s">
        <v>280</v>
      </c>
      <c r="D221" s="500" t="s">
        <v>34</v>
      </c>
      <c r="E221" s="502" t="s">
        <v>44</v>
      </c>
      <c r="F221" s="532" t="s">
        <v>485</v>
      </c>
      <c r="G221" s="500"/>
      <c r="H221" s="500"/>
      <c r="I221" s="534"/>
    </row>
    <row r="222" spans="1:9" x14ac:dyDescent="0.25">
      <c r="A222" s="530">
        <v>12.461</v>
      </c>
      <c r="B222" s="338" t="s">
        <v>736</v>
      </c>
      <c r="C222" s="500" t="s">
        <v>280</v>
      </c>
      <c r="D222" s="500" t="s">
        <v>34</v>
      </c>
      <c r="E222" s="502" t="s">
        <v>44</v>
      </c>
      <c r="F222" s="532" t="s">
        <v>485</v>
      </c>
      <c r="G222" s="500"/>
      <c r="H222" s="500"/>
      <c r="I222" s="534"/>
    </row>
    <row r="223" spans="1:9" x14ac:dyDescent="0.25">
      <c r="A223" s="530">
        <v>12.462</v>
      </c>
      <c r="B223" s="338" t="s">
        <v>737</v>
      </c>
      <c r="C223" s="500" t="s">
        <v>284</v>
      </c>
      <c r="D223" s="500" t="s">
        <v>47</v>
      </c>
      <c r="E223" s="502" t="s">
        <v>44</v>
      </c>
      <c r="F223" s="532" t="s">
        <v>482</v>
      </c>
      <c r="G223" s="500"/>
      <c r="H223" s="500"/>
      <c r="I223" s="534" t="s">
        <v>361</v>
      </c>
    </row>
    <row r="224" spans="1:9" x14ac:dyDescent="0.25">
      <c r="A224" s="530">
        <v>12.462999999999999</v>
      </c>
      <c r="B224" s="338" t="s">
        <v>738</v>
      </c>
      <c r="C224" s="500" t="s">
        <v>280</v>
      </c>
      <c r="D224" s="500" t="s">
        <v>45</v>
      </c>
      <c r="E224" s="502" t="s">
        <v>44</v>
      </c>
      <c r="F224" s="532" t="s">
        <v>478</v>
      </c>
      <c r="G224" s="500"/>
      <c r="H224" s="500"/>
      <c r="I224" s="534" t="s">
        <v>460</v>
      </c>
    </row>
    <row r="225" spans="1:9" x14ac:dyDescent="0.25">
      <c r="A225" s="530">
        <v>12.464</v>
      </c>
      <c r="B225" s="338" t="s">
        <v>739</v>
      </c>
      <c r="C225" s="500" t="s">
        <v>280</v>
      </c>
      <c r="D225" s="500" t="s">
        <v>34</v>
      </c>
      <c r="E225" s="502" t="s">
        <v>44</v>
      </c>
      <c r="F225" s="532" t="s">
        <v>483</v>
      </c>
      <c r="G225" s="500"/>
      <c r="H225" s="500"/>
      <c r="I225" s="534"/>
    </row>
    <row r="226" spans="1:9" x14ac:dyDescent="0.25">
      <c r="A226" s="530">
        <v>12.465</v>
      </c>
      <c r="B226" s="338" t="s">
        <v>740</v>
      </c>
      <c r="C226" s="500" t="s">
        <v>280</v>
      </c>
      <c r="D226" s="500" t="s">
        <v>34</v>
      </c>
      <c r="E226" s="502" t="s">
        <v>44</v>
      </c>
      <c r="F226" s="532" t="s">
        <v>483</v>
      </c>
      <c r="G226" s="500"/>
      <c r="H226" s="500"/>
      <c r="I226" s="534"/>
    </row>
    <row r="227" spans="1:9" x14ac:dyDescent="0.25">
      <c r="A227" s="530">
        <v>12.465999999999999</v>
      </c>
      <c r="B227" s="338" t="s">
        <v>741</v>
      </c>
      <c r="C227" s="500" t="s">
        <v>280</v>
      </c>
      <c r="D227" s="500" t="s">
        <v>34</v>
      </c>
      <c r="E227" s="502" t="s">
        <v>44</v>
      </c>
      <c r="F227" s="532" t="s">
        <v>478</v>
      </c>
      <c r="G227" s="500"/>
      <c r="H227" s="500"/>
      <c r="I227" s="534" t="s">
        <v>742</v>
      </c>
    </row>
    <row r="228" spans="1:9" x14ac:dyDescent="0.25">
      <c r="A228" s="530">
        <v>12.467000000000001</v>
      </c>
      <c r="B228" s="338" t="s">
        <v>743</v>
      </c>
      <c r="C228" s="500" t="s">
        <v>259</v>
      </c>
      <c r="D228" s="500" t="s">
        <v>34</v>
      </c>
      <c r="E228" s="502" t="s">
        <v>44</v>
      </c>
      <c r="F228" s="532" t="s">
        <v>478</v>
      </c>
      <c r="G228" s="500"/>
      <c r="H228" s="500"/>
      <c r="I228" s="534"/>
    </row>
    <row r="229" spans="1:9" x14ac:dyDescent="0.25">
      <c r="A229" s="530">
        <v>12.468</v>
      </c>
      <c r="B229" s="338" t="s">
        <v>744</v>
      </c>
      <c r="C229" s="500" t="s">
        <v>280</v>
      </c>
      <c r="D229" s="500" t="s">
        <v>45</v>
      </c>
      <c r="E229" s="502" t="s">
        <v>44</v>
      </c>
      <c r="F229" s="532" t="s">
        <v>478</v>
      </c>
      <c r="G229" s="500"/>
      <c r="H229" s="500"/>
      <c r="I229" s="534" t="s">
        <v>463</v>
      </c>
    </row>
    <row r="230" spans="1:9" x14ac:dyDescent="0.25">
      <c r="A230" s="530">
        <v>12.468999999999999</v>
      </c>
      <c r="B230" s="338" t="s">
        <v>745</v>
      </c>
      <c r="C230" s="500" t="s">
        <v>280</v>
      </c>
      <c r="D230" s="500" t="s">
        <v>34</v>
      </c>
      <c r="E230" s="502" t="s">
        <v>44</v>
      </c>
      <c r="F230" s="532" t="s">
        <v>483</v>
      </c>
      <c r="G230" s="500"/>
      <c r="H230" s="500"/>
      <c r="I230" s="534"/>
    </row>
    <row r="231" spans="1:9" x14ac:dyDescent="0.25">
      <c r="A231" s="530">
        <v>12.47</v>
      </c>
      <c r="B231" s="338" t="s">
        <v>746</v>
      </c>
      <c r="C231" s="500" t="s">
        <v>259</v>
      </c>
      <c r="D231" s="500" t="s">
        <v>34</v>
      </c>
      <c r="E231" s="502" t="s">
        <v>44</v>
      </c>
      <c r="F231" s="532" t="s">
        <v>477</v>
      </c>
      <c r="G231" s="500"/>
      <c r="H231" s="500"/>
      <c r="I231" s="534"/>
    </row>
    <row r="232" spans="1:9" x14ac:dyDescent="0.25">
      <c r="A232" s="530">
        <v>12.471</v>
      </c>
      <c r="B232" s="338" t="s">
        <v>747</v>
      </c>
      <c r="C232" s="500" t="s">
        <v>280</v>
      </c>
      <c r="D232" s="500" t="s">
        <v>34</v>
      </c>
      <c r="E232" s="502" t="s">
        <v>44</v>
      </c>
      <c r="F232" s="532" t="s">
        <v>484</v>
      </c>
      <c r="G232" s="500"/>
      <c r="H232" s="500"/>
      <c r="I232" s="534"/>
    </row>
    <row r="233" spans="1:9" x14ac:dyDescent="0.25">
      <c r="A233" s="530">
        <v>12.473000000000001</v>
      </c>
      <c r="B233" s="338" t="s">
        <v>748</v>
      </c>
      <c r="C233" s="500" t="s">
        <v>259</v>
      </c>
      <c r="D233" s="500" t="s">
        <v>34</v>
      </c>
      <c r="E233" s="502" t="s">
        <v>44</v>
      </c>
      <c r="F233" s="532" t="s">
        <v>477</v>
      </c>
      <c r="G233" s="500"/>
      <c r="H233" s="500"/>
      <c r="I233" s="534"/>
    </row>
    <row r="234" spans="1:9" x14ac:dyDescent="0.25">
      <c r="A234" s="530">
        <v>12.474</v>
      </c>
      <c r="B234" s="338" t="s">
        <v>749</v>
      </c>
      <c r="C234" s="500" t="s">
        <v>280</v>
      </c>
      <c r="D234" s="500" t="s">
        <v>34</v>
      </c>
      <c r="E234" s="502" t="s">
        <v>44</v>
      </c>
      <c r="F234" s="532" t="s">
        <v>483</v>
      </c>
      <c r="G234" s="500"/>
      <c r="H234" s="500"/>
      <c r="I234" s="534"/>
    </row>
    <row r="235" spans="1:9" x14ac:dyDescent="0.25">
      <c r="A235" s="530">
        <v>12.475</v>
      </c>
      <c r="B235" s="338" t="s">
        <v>750</v>
      </c>
      <c r="C235" s="500" t="s">
        <v>259</v>
      </c>
      <c r="D235" s="500" t="s">
        <v>34</v>
      </c>
      <c r="E235" s="502" t="s">
        <v>44</v>
      </c>
      <c r="F235" s="532" t="s">
        <v>477</v>
      </c>
      <c r="G235" s="500"/>
      <c r="H235" s="500"/>
      <c r="I235" s="534"/>
    </row>
    <row r="236" spans="1:9" x14ac:dyDescent="0.25">
      <c r="A236" s="530">
        <v>12.476000000000001</v>
      </c>
      <c r="B236" s="338" t="s">
        <v>751</v>
      </c>
      <c r="C236" s="500" t="s">
        <v>284</v>
      </c>
      <c r="D236" s="500" t="s">
        <v>34</v>
      </c>
      <c r="E236" s="502" t="s">
        <v>44</v>
      </c>
      <c r="F236" s="532" t="s">
        <v>482</v>
      </c>
      <c r="G236" s="500"/>
      <c r="H236" s="500"/>
      <c r="I236" s="534"/>
    </row>
    <row r="237" spans="1:9" x14ac:dyDescent="0.25">
      <c r="A237" s="530">
        <v>12.477</v>
      </c>
      <c r="B237" s="338" t="s">
        <v>752</v>
      </c>
      <c r="C237" s="500" t="s">
        <v>284</v>
      </c>
      <c r="D237" s="500" t="s">
        <v>45</v>
      </c>
      <c r="E237" s="502" t="s">
        <v>44</v>
      </c>
      <c r="F237" s="532" t="s">
        <v>478</v>
      </c>
      <c r="G237" s="500"/>
      <c r="H237" s="500"/>
      <c r="I237" s="534" t="s">
        <v>398</v>
      </c>
    </row>
    <row r="238" spans="1:9" x14ac:dyDescent="0.25">
      <c r="A238" s="530">
        <v>12.478999999999999</v>
      </c>
      <c r="B238" s="338" t="s">
        <v>753</v>
      </c>
      <c r="C238" s="500" t="s">
        <v>280</v>
      </c>
      <c r="D238" s="500" t="s">
        <v>34</v>
      </c>
      <c r="E238" s="502" t="s">
        <v>44</v>
      </c>
      <c r="F238" s="532" t="s">
        <v>477</v>
      </c>
      <c r="G238" s="500"/>
      <c r="H238" s="500"/>
      <c r="I238" s="534"/>
    </row>
    <row r="239" spans="1:9" x14ac:dyDescent="0.25">
      <c r="A239" s="530">
        <v>12.48</v>
      </c>
      <c r="B239" s="338" t="s">
        <v>754</v>
      </c>
      <c r="C239" s="500" t="s">
        <v>284</v>
      </c>
      <c r="D239" s="500" t="s">
        <v>47</v>
      </c>
      <c r="E239" s="502" t="s">
        <v>44</v>
      </c>
      <c r="F239" s="532" t="s">
        <v>478</v>
      </c>
      <c r="G239" s="500"/>
      <c r="H239" s="500"/>
      <c r="I239" s="534" t="s">
        <v>755</v>
      </c>
    </row>
    <row r="240" spans="1:9" x14ac:dyDescent="0.25">
      <c r="A240" s="530">
        <v>12.483000000000001</v>
      </c>
      <c r="B240" s="338" t="s">
        <v>756</v>
      </c>
      <c r="C240" s="500" t="s">
        <v>284</v>
      </c>
      <c r="D240" s="500" t="s">
        <v>34</v>
      </c>
      <c r="E240" s="502" t="s">
        <v>44</v>
      </c>
      <c r="F240" s="532" t="s">
        <v>478</v>
      </c>
      <c r="G240" s="500"/>
      <c r="H240" s="500"/>
      <c r="I240" s="534"/>
    </row>
    <row r="241" spans="1:9" x14ac:dyDescent="0.25">
      <c r="A241" s="530">
        <v>12.484</v>
      </c>
      <c r="B241" s="338" t="s">
        <v>757</v>
      </c>
      <c r="C241" s="500" t="s">
        <v>259</v>
      </c>
      <c r="D241" s="500" t="s">
        <v>34</v>
      </c>
      <c r="E241" s="502" t="s">
        <v>44</v>
      </c>
      <c r="F241" s="532" t="s">
        <v>477</v>
      </c>
      <c r="G241" s="500"/>
      <c r="H241" s="500"/>
      <c r="I241" s="534"/>
    </row>
    <row r="242" spans="1:9" x14ac:dyDescent="0.25">
      <c r="A242" s="530">
        <v>12.484999999999999</v>
      </c>
      <c r="B242" s="338" t="s">
        <v>758</v>
      </c>
      <c r="C242" s="500" t="s">
        <v>284</v>
      </c>
      <c r="D242" s="500" t="s">
        <v>47</v>
      </c>
      <c r="E242" s="502" t="s">
        <v>44</v>
      </c>
      <c r="F242" s="532" t="s">
        <v>478</v>
      </c>
      <c r="G242" s="500"/>
      <c r="H242" s="500"/>
      <c r="I242" s="534" t="s">
        <v>404</v>
      </c>
    </row>
    <row r="243" spans="1:9" x14ac:dyDescent="0.25">
      <c r="A243" s="530">
        <v>12.486000000000001</v>
      </c>
      <c r="B243" s="338" t="s">
        <v>759</v>
      </c>
      <c r="C243" s="500" t="s">
        <v>259</v>
      </c>
      <c r="D243" s="500" t="s">
        <v>47</v>
      </c>
      <c r="E243" s="502" t="s">
        <v>44</v>
      </c>
      <c r="F243" s="532" t="s">
        <v>478</v>
      </c>
      <c r="G243" s="500"/>
      <c r="H243" s="500"/>
      <c r="I243" s="534" t="s">
        <v>404</v>
      </c>
    </row>
    <row r="244" spans="1:9" x14ac:dyDescent="0.25">
      <c r="A244" s="530">
        <v>12.487</v>
      </c>
      <c r="B244" s="338" t="s">
        <v>760</v>
      </c>
      <c r="C244" s="500" t="s">
        <v>284</v>
      </c>
      <c r="D244" s="500" t="s">
        <v>34</v>
      </c>
      <c r="E244" s="502" t="s">
        <v>44</v>
      </c>
      <c r="F244" s="532" t="s">
        <v>482</v>
      </c>
      <c r="G244" s="500"/>
      <c r="H244" s="500"/>
      <c r="I244" s="534"/>
    </row>
    <row r="245" spans="1:9" x14ac:dyDescent="0.25">
      <c r="A245" s="530">
        <v>12.488</v>
      </c>
      <c r="B245" s="338" t="s">
        <v>761</v>
      </c>
      <c r="C245" s="500" t="s">
        <v>284</v>
      </c>
      <c r="D245" s="500" t="s">
        <v>34</v>
      </c>
      <c r="E245" s="502" t="s">
        <v>44</v>
      </c>
      <c r="F245" s="532" t="s">
        <v>482</v>
      </c>
      <c r="G245" s="500"/>
      <c r="H245" s="500"/>
      <c r="I245" s="534"/>
    </row>
    <row r="246" spans="1:9" x14ac:dyDescent="0.25">
      <c r="A246" s="530">
        <v>12.489000000000001</v>
      </c>
      <c r="B246" s="338" t="s">
        <v>762</v>
      </c>
      <c r="C246" s="500" t="s">
        <v>284</v>
      </c>
      <c r="D246" s="500" t="s">
        <v>47</v>
      </c>
      <c r="E246" s="502" t="s">
        <v>44</v>
      </c>
      <c r="F246" s="532" t="s">
        <v>480</v>
      </c>
      <c r="G246" s="500"/>
      <c r="H246" s="500"/>
      <c r="I246" s="534" t="s">
        <v>432</v>
      </c>
    </row>
    <row r="247" spans="1:9" x14ac:dyDescent="0.25">
      <c r="A247" s="530">
        <v>12.49</v>
      </c>
      <c r="B247" s="338" t="s">
        <v>763</v>
      </c>
      <c r="C247" s="500" t="s">
        <v>280</v>
      </c>
      <c r="D247" s="500" t="s">
        <v>47</v>
      </c>
      <c r="E247" s="502" t="s">
        <v>44</v>
      </c>
      <c r="F247" s="532" t="s">
        <v>764</v>
      </c>
      <c r="G247" s="500"/>
      <c r="H247" s="500"/>
      <c r="I247" s="534" t="s">
        <v>765</v>
      </c>
    </row>
    <row r="248" spans="1:9" x14ac:dyDescent="0.25">
      <c r="A248" s="530">
        <v>12.493</v>
      </c>
      <c r="B248" s="338" t="s">
        <v>766</v>
      </c>
      <c r="C248" s="500" t="s">
        <v>284</v>
      </c>
      <c r="D248" s="500" t="s">
        <v>34</v>
      </c>
      <c r="E248" s="502" t="s">
        <v>44</v>
      </c>
      <c r="F248" s="532" t="s">
        <v>478</v>
      </c>
      <c r="G248" s="500"/>
      <c r="H248" s="500"/>
      <c r="I248" s="534" t="s">
        <v>767</v>
      </c>
    </row>
    <row r="249" spans="1:9" x14ac:dyDescent="0.25">
      <c r="A249" s="530">
        <v>12.494</v>
      </c>
      <c r="B249" s="338" t="s">
        <v>768</v>
      </c>
      <c r="C249" s="500" t="s">
        <v>284</v>
      </c>
      <c r="D249" s="500" t="s">
        <v>34</v>
      </c>
      <c r="E249" s="502" t="s">
        <v>44</v>
      </c>
      <c r="F249" s="532" t="s">
        <v>478</v>
      </c>
      <c r="G249" s="500"/>
      <c r="H249" s="500"/>
      <c r="I249" s="534"/>
    </row>
    <row r="250" spans="1:9" x14ac:dyDescent="0.25">
      <c r="A250" s="530">
        <v>12.494999999999999</v>
      </c>
      <c r="B250" s="338" t="s">
        <v>769</v>
      </c>
      <c r="C250" s="500" t="s">
        <v>280</v>
      </c>
      <c r="D250" s="500" t="s">
        <v>45</v>
      </c>
      <c r="E250" s="502" t="s">
        <v>44</v>
      </c>
      <c r="F250" s="532" t="s">
        <v>478</v>
      </c>
      <c r="G250" s="500"/>
      <c r="H250" s="500"/>
      <c r="I250" s="534" t="s">
        <v>472</v>
      </c>
    </row>
    <row r="251" spans="1:9" ht="18" customHeight="1" x14ac:dyDescent="0.25">
      <c r="A251" s="530">
        <v>12.497</v>
      </c>
      <c r="B251" s="338" t="s">
        <v>770</v>
      </c>
      <c r="C251" s="500" t="s">
        <v>259</v>
      </c>
      <c r="D251" s="500" t="s">
        <v>34</v>
      </c>
      <c r="E251" s="502" t="s">
        <v>44</v>
      </c>
      <c r="F251" s="532" t="s">
        <v>477</v>
      </c>
      <c r="G251" s="500"/>
      <c r="H251" s="500"/>
      <c r="I251" s="534"/>
    </row>
    <row r="252" spans="1:9" ht="21" customHeight="1" x14ac:dyDescent="0.25">
      <c r="A252" s="530">
        <v>12.497999999999999</v>
      </c>
      <c r="B252" s="338" t="s">
        <v>771</v>
      </c>
      <c r="C252" s="500" t="s">
        <v>259</v>
      </c>
      <c r="D252" s="500" t="s">
        <v>34</v>
      </c>
      <c r="E252" s="502" t="s">
        <v>44</v>
      </c>
      <c r="F252" s="532" t="s">
        <v>482</v>
      </c>
      <c r="G252" s="500"/>
      <c r="H252" s="500"/>
      <c r="I252" s="534"/>
    </row>
    <row r="253" spans="1:9" ht="21" customHeight="1" x14ac:dyDescent="0.25">
      <c r="A253" s="530">
        <v>12.499000000000001</v>
      </c>
      <c r="B253" s="338" t="s">
        <v>772</v>
      </c>
      <c r="C253" s="500" t="s">
        <v>280</v>
      </c>
      <c r="D253" s="500" t="s">
        <v>34</v>
      </c>
      <c r="E253" s="502" t="s">
        <v>44</v>
      </c>
      <c r="F253" s="532" t="s">
        <v>477</v>
      </c>
      <c r="G253" s="500"/>
      <c r="H253" s="500"/>
      <c r="I253" s="534"/>
    </row>
    <row r="254" spans="1:9" ht="49.5" customHeight="1" x14ac:dyDescent="0.25">
      <c r="A254" s="530">
        <v>12.5</v>
      </c>
      <c r="B254" s="338" t="s">
        <v>773</v>
      </c>
      <c r="C254" s="500" t="s">
        <v>280</v>
      </c>
      <c r="D254" s="500" t="s">
        <v>47</v>
      </c>
      <c r="E254" s="502" t="s">
        <v>44</v>
      </c>
      <c r="F254" s="532" t="s">
        <v>477</v>
      </c>
      <c r="G254" s="500"/>
      <c r="H254" s="500"/>
      <c r="I254" s="534" t="s">
        <v>469</v>
      </c>
    </row>
    <row r="255" spans="1:9" x14ac:dyDescent="0.25">
      <c r="A255" s="530"/>
      <c r="B255" s="338"/>
      <c r="C255" s="500"/>
      <c r="D255" s="500"/>
      <c r="E255" s="502"/>
      <c r="F255" s="532"/>
      <c r="G255" s="500"/>
      <c r="H255" s="500"/>
      <c r="I255" s="534"/>
    </row>
    <row r="256" spans="1:9" x14ac:dyDescent="0.25">
      <c r="A256" s="530"/>
      <c r="B256" s="338"/>
      <c r="C256" s="500"/>
      <c r="D256" s="500"/>
      <c r="E256" s="502"/>
      <c r="F256" s="532"/>
      <c r="G256" s="500"/>
      <c r="H256" s="500"/>
      <c r="I256" s="534"/>
    </row>
    <row r="257" spans="1:9" x14ac:dyDescent="0.25">
      <c r="A257" s="530"/>
      <c r="B257" s="338"/>
      <c r="C257" s="500"/>
      <c r="D257" s="500"/>
      <c r="E257" s="502"/>
      <c r="F257" s="532"/>
      <c r="G257" s="500"/>
      <c r="H257" s="500"/>
      <c r="I257" s="534"/>
    </row>
    <row r="258" spans="1:9" x14ac:dyDescent="0.25">
      <c r="A258" s="530"/>
      <c r="B258" s="338"/>
      <c r="C258" s="500"/>
      <c r="D258" s="500"/>
      <c r="E258" s="502"/>
      <c r="F258" s="532"/>
      <c r="G258" s="500"/>
      <c r="H258" s="500"/>
      <c r="I258" s="534"/>
    </row>
    <row r="259" spans="1:9" x14ac:dyDescent="0.25">
      <c r="A259" s="530"/>
      <c r="B259" s="338"/>
      <c r="C259" s="500"/>
      <c r="D259" s="500"/>
      <c r="E259" s="502"/>
      <c r="F259" s="532"/>
      <c r="G259" s="500"/>
      <c r="H259" s="500"/>
      <c r="I259" s="534"/>
    </row>
    <row r="260" spans="1:9" x14ac:dyDescent="0.25">
      <c r="A260" s="530"/>
      <c r="B260" s="338"/>
      <c r="C260" s="500"/>
      <c r="D260" s="500"/>
      <c r="E260" s="502"/>
      <c r="F260" s="532"/>
      <c r="G260" s="500"/>
      <c r="H260" s="500"/>
      <c r="I260" s="534"/>
    </row>
    <row r="261" spans="1:9" x14ac:dyDescent="0.25">
      <c r="A261" s="530"/>
      <c r="B261" s="338"/>
      <c r="C261" s="500"/>
      <c r="D261" s="500"/>
      <c r="E261" s="502"/>
      <c r="F261" s="532"/>
      <c r="G261" s="500"/>
      <c r="H261" s="500"/>
      <c r="I261" s="534"/>
    </row>
    <row r="262" spans="1:9" x14ac:dyDescent="0.25">
      <c r="A262" s="530"/>
      <c r="B262" s="338"/>
      <c r="C262" s="500"/>
      <c r="D262" s="500"/>
      <c r="E262" s="502"/>
      <c r="F262" s="532"/>
      <c r="G262" s="500"/>
      <c r="H262" s="500"/>
      <c r="I262" s="534"/>
    </row>
    <row r="263" spans="1:9" x14ac:dyDescent="0.25">
      <c r="A263" s="530"/>
      <c r="B263" s="338"/>
      <c r="C263" s="500"/>
      <c r="D263" s="500"/>
      <c r="E263" s="502"/>
      <c r="F263" s="532"/>
      <c r="G263" s="500"/>
      <c r="H263" s="500"/>
      <c r="I263" s="534"/>
    </row>
    <row r="264" spans="1:9" x14ac:dyDescent="0.25">
      <c r="A264" s="530"/>
      <c r="B264" s="338"/>
      <c r="C264" s="500"/>
      <c r="D264" s="500"/>
      <c r="E264" s="502"/>
      <c r="F264" s="532"/>
      <c r="G264" s="500"/>
      <c r="H264" s="500"/>
      <c r="I264" s="534"/>
    </row>
    <row r="265" spans="1:9" x14ac:dyDescent="0.25">
      <c r="A265" s="530"/>
      <c r="B265" s="338"/>
      <c r="C265" s="500"/>
      <c r="D265" s="500"/>
      <c r="E265" s="502"/>
      <c r="F265" s="532"/>
      <c r="G265" s="500"/>
      <c r="H265" s="500"/>
      <c r="I265" s="534"/>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36" activePane="bottomRight" state="frozen"/>
      <selection pane="topRight" activeCell="D1" sqref="D1"/>
      <selection pane="bottomLeft" activeCell="A3" sqref="A3"/>
      <selection pane="bottomRight" activeCell="A40" sqref="A40"/>
    </sheetView>
  </sheetViews>
  <sheetFormatPr defaultColWidth="8.42578125" defaultRowHeight="15" x14ac:dyDescent="0.25"/>
  <cols>
    <col min="1" max="1" width="16.5703125" style="182" bestFit="1" customWidth="1"/>
    <col min="2" max="2" width="28.42578125" style="191" bestFit="1" customWidth="1"/>
    <col min="3" max="3" width="9.5703125" style="191" bestFit="1" customWidth="1"/>
    <col min="4" max="4" width="34" style="182" bestFit="1" customWidth="1"/>
    <col min="5" max="5" width="14.42578125" style="191" bestFit="1" customWidth="1"/>
    <col min="6" max="7" width="11.42578125" style="191" bestFit="1" customWidth="1"/>
    <col min="8" max="8" width="14.42578125" style="191" bestFit="1" customWidth="1"/>
    <col min="9" max="9" width="8.42578125" style="193" bestFit="1" customWidth="1"/>
    <col min="10" max="10" width="20" style="193" bestFit="1" customWidth="1"/>
    <col min="11" max="11" width="13.42578125" style="197" customWidth="1"/>
    <col min="12" max="12" width="15.42578125" style="197" customWidth="1"/>
    <col min="13" max="13" width="12" style="198" bestFit="1" customWidth="1"/>
    <col min="14" max="14" width="10.5703125" style="198" bestFit="1" customWidth="1"/>
    <col min="15" max="15" width="13.42578125" style="197" bestFit="1" customWidth="1"/>
    <col min="16" max="16" width="12.5703125" style="80" bestFit="1" customWidth="1"/>
    <col min="17" max="17" width="10.5703125" style="80" bestFit="1" customWidth="1"/>
    <col min="18" max="19" width="13.42578125" style="201" bestFit="1" customWidth="1"/>
    <col min="20" max="20" width="13.5703125" style="202" bestFit="1" customWidth="1"/>
    <col min="21" max="21" width="9.5703125" style="182" customWidth="1"/>
    <col min="22" max="22" width="45.5703125" style="182" customWidth="1"/>
    <col min="23" max="16384" width="8.42578125" style="182"/>
  </cols>
  <sheetData>
    <row r="1" spans="1:23" s="177" customFormat="1" ht="19.5" thickBot="1" x14ac:dyDescent="0.3">
      <c r="A1" s="590" t="s">
        <v>774</v>
      </c>
      <c r="B1" s="591"/>
      <c r="C1" s="591"/>
      <c r="D1" s="591"/>
      <c r="E1" s="591"/>
      <c r="F1" s="591"/>
      <c r="G1" s="591"/>
      <c r="H1" s="591"/>
      <c r="I1" s="591"/>
      <c r="J1" s="591"/>
      <c r="K1" s="591"/>
      <c r="L1" s="591"/>
      <c r="M1" s="591"/>
      <c r="N1" s="591"/>
      <c r="O1" s="591"/>
      <c r="P1" s="591"/>
      <c r="Q1" s="591"/>
      <c r="R1" s="591"/>
      <c r="S1" s="591"/>
      <c r="T1" s="591"/>
      <c r="U1" s="592"/>
      <c r="V1" s="526"/>
    </row>
    <row r="2" spans="1:23" s="188" customFormat="1" ht="18.75" x14ac:dyDescent="0.25">
      <c r="A2" s="639" t="s">
        <v>302</v>
      </c>
      <c r="B2" s="640"/>
      <c r="C2" s="640"/>
      <c r="D2" s="640"/>
      <c r="E2" s="640"/>
      <c r="F2" s="641"/>
      <c r="G2" s="384">
        <f>COUNTIF(G7:G274,"Yes")</f>
        <v>252</v>
      </c>
      <c r="H2" s="384">
        <f>COUNTIF(H7:H274,"Yes")</f>
        <v>252</v>
      </c>
      <c r="I2" s="637">
        <f>'Diags Raw Data'!K151</f>
        <v>142</v>
      </c>
      <c r="J2" s="651">
        <f>'Diags Raw Data'!L151</f>
        <v>718</v>
      </c>
      <c r="K2" s="653">
        <f>'Diags Raw Data'!N151</f>
        <v>1</v>
      </c>
      <c r="L2" s="655">
        <f>'Diags Raw Data'!P151</f>
        <v>0.93978873239436633</v>
      </c>
      <c r="M2" s="657">
        <f>'Diags Raw Data'!R151</f>
        <v>525</v>
      </c>
      <c r="N2" s="659">
        <f>SUM('Diags Raw Data'!T151+'Diags Raw Data'!U151)</f>
        <v>433</v>
      </c>
      <c r="O2" s="645">
        <f>IF((M277=0),0,N277/M277)</f>
        <v>0.82476190476190481</v>
      </c>
      <c r="P2" s="647">
        <f>'Diags Raw Data'!Z151</f>
        <v>240</v>
      </c>
      <c r="Q2" s="649">
        <f>SUM('Diags Raw Data'!AA151+'Diags Raw Data'!AB151)</f>
        <v>238</v>
      </c>
      <c r="R2" s="669">
        <f>IF((J277=0),0,P277/J277)</f>
        <v>0.33426183844011143</v>
      </c>
      <c r="S2" s="669">
        <f>IF((P277=0),0,Q277/P277)</f>
        <v>0.9916666666666667</v>
      </c>
      <c r="T2" s="669">
        <f>R277*S277</f>
        <v>0.33147632311977715</v>
      </c>
      <c r="U2" s="671"/>
      <c r="V2" s="661" t="s">
        <v>775</v>
      </c>
      <c r="W2" s="187"/>
    </row>
    <row r="3" spans="1:23" ht="19.5" thickBot="1" x14ac:dyDescent="0.3">
      <c r="A3" s="642"/>
      <c r="B3" s="643"/>
      <c r="C3" s="643"/>
      <c r="D3" s="643"/>
      <c r="E3" s="643"/>
      <c r="F3" s="644"/>
      <c r="G3" s="385">
        <f>COUNTIF(G7:G274,"Yes")/COUNTA(A7:A274)</f>
        <v>1</v>
      </c>
      <c r="H3" s="385">
        <f>(COUNTIF(H7:H274,"Yes")/G277)</f>
        <v>1</v>
      </c>
      <c r="I3" s="638"/>
      <c r="J3" s="652"/>
      <c r="K3" s="654"/>
      <c r="L3" s="656"/>
      <c r="M3" s="658"/>
      <c r="N3" s="660"/>
      <c r="O3" s="646"/>
      <c r="P3" s="648"/>
      <c r="Q3" s="650"/>
      <c r="R3" s="670"/>
      <c r="S3" s="670"/>
      <c r="T3" s="670"/>
      <c r="U3" s="672"/>
      <c r="V3" s="662"/>
      <c r="W3" s="181"/>
    </row>
    <row r="4" spans="1:23" ht="19.5" thickBot="1" x14ac:dyDescent="0.3">
      <c r="A4" s="593" t="s">
        <v>776</v>
      </c>
      <c r="B4" s="594"/>
      <c r="C4" s="594"/>
      <c r="D4" s="594"/>
      <c r="E4" s="594"/>
      <c r="F4" s="594"/>
      <c r="G4" s="594"/>
      <c r="H4" s="594"/>
      <c r="I4" s="594"/>
      <c r="J4" s="594"/>
      <c r="K4" s="594"/>
      <c r="L4" s="594"/>
      <c r="M4" s="594"/>
      <c r="N4" s="594"/>
      <c r="O4" s="594"/>
      <c r="P4" s="594"/>
      <c r="Q4" s="594"/>
      <c r="R4" s="594"/>
      <c r="S4" s="594"/>
      <c r="T4" s="594"/>
      <c r="U4" s="595"/>
      <c r="V4" s="527"/>
    </row>
    <row r="5" spans="1:23" s="177" customFormat="1" ht="31.5" customHeight="1" thickBot="1" x14ac:dyDescent="0.3">
      <c r="A5" s="677" t="s">
        <v>76</v>
      </c>
      <c r="B5" s="678"/>
      <c r="C5" s="678"/>
      <c r="D5" s="678"/>
      <c r="E5" s="678"/>
      <c r="F5" s="678"/>
      <c r="G5" s="678"/>
      <c r="H5" s="678"/>
      <c r="I5" s="678"/>
      <c r="J5" s="679"/>
      <c r="K5" s="675" t="s">
        <v>113</v>
      </c>
      <c r="L5" s="676"/>
      <c r="M5" s="680" t="s">
        <v>124</v>
      </c>
      <c r="N5" s="681"/>
      <c r="O5" s="682"/>
      <c r="P5" s="683" t="s">
        <v>144</v>
      </c>
      <c r="Q5" s="684"/>
      <c r="R5" s="684"/>
      <c r="S5" s="684"/>
      <c r="T5" s="684"/>
      <c r="U5" s="685"/>
      <c r="V5" s="176"/>
    </row>
    <row r="6" spans="1:23" s="179" customFormat="1" ht="15.75" thickBot="1" x14ac:dyDescent="0.3">
      <c r="A6" s="350" t="s">
        <v>77</v>
      </c>
      <c r="B6" s="367" t="s">
        <v>81</v>
      </c>
      <c r="C6" s="367" t="s">
        <v>96</v>
      </c>
      <c r="D6" s="367" t="s">
        <v>212</v>
      </c>
      <c r="E6" s="367" t="s">
        <v>88</v>
      </c>
      <c r="F6" s="367" t="s">
        <v>1</v>
      </c>
      <c r="G6" s="368" t="s">
        <v>215</v>
      </c>
      <c r="H6" s="368" t="s">
        <v>218</v>
      </c>
      <c r="I6" s="369" t="s">
        <v>105</v>
      </c>
      <c r="J6" s="369" t="s">
        <v>221</v>
      </c>
      <c r="K6" s="351" t="s">
        <v>114</v>
      </c>
      <c r="L6" s="352" t="s">
        <v>121</v>
      </c>
      <c r="M6" s="343" t="s">
        <v>227</v>
      </c>
      <c r="N6" s="344" t="s">
        <v>229</v>
      </c>
      <c r="O6" s="342" t="s">
        <v>187</v>
      </c>
      <c r="P6" s="353" t="s">
        <v>232</v>
      </c>
      <c r="Q6" s="345" t="s">
        <v>229</v>
      </c>
      <c r="R6" s="346" t="s">
        <v>184</v>
      </c>
      <c r="S6" s="346" t="s">
        <v>140</v>
      </c>
      <c r="T6" s="347" t="s">
        <v>187</v>
      </c>
      <c r="U6" s="348" t="s">
        <v>157</v>
      </c>
      <c r="V6" s="178"/>
    </row>
    <row r="7" spans="1:23" ht="409.6" thickBot="1" x14ac:dyDescent="0.3">
      <c r="A7" s="529">
        <v>12</v>
      </c>
      <c r="B7" s="420" t="str">
        <f>VLOOKUP(A7,'Feature Raw Data'!$A$3:$B$3922,2,FALSE)</f>
        <v>Navi4x configuration changes</v>
      </c>
      <c r="C7" s="421" t="str">
        <f>VLOOKUP(A7,'Feature Raw Data'!$A$3:$C$3922,3,FALSE)</f>
        <v>P1</v>
      </c>
      <c r="D7" s="422" t="str" cm="1">
        <f t="array" ref="D7">_xlfn.TEXTJOIN("",TRUE,IF(ISNUMBER(SEARCH($A7,'Diags Raw Data'!$A$6:$A$3761)),CONCATENATE('Diags Raw Data'!$H$6:$H$3761,", "),""))</f>
        <v xml:space="preserve">std1.6,with,pv_proxy,library, ppi201.2, spi20.0,spi20.1, std4.34, PPI39,PPI100.65, ge1.0,ge1.1, PPI101.5, PPI100.141, STD1.6,-tglEnableSCBinning=0, placeholder_n.1, sc42.2,sc42.3,sc26.9,sc26.10,sc26.11,sc26.12, gfx.sr_stat, placeholder_o.1, placeholder_p.1, ppi41.2,ppi41.22,ppi41.42,ppi41.52, txi91.0-1, txi90.0-5, 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ppi302.3,ppi302.5, placeholder_q.1, rt1.320, rt1.330, rt1.302, gfx.cmm_sa_policy_monolithic_gfx12, gfx.cmm_cp_access_order_monolithic,gfx.cmm_sa_gl2_access_order_monolithic,gfx.cmm_sa_gl2_same_address_monolithic, gfx.cmm_cp_access_order_monolithic,gfx.cmm_sa_gl2_access_order_monolithic,gfx.cmm_sa_gl2_same_address_monolithic, placeholder_d.1, placeholder_e.1, gfx.cmm_cache_last_use_policy_monolithic, glxi60.1-3, gci1301.0, gci1304.0, gfx.inst_perf/sched_mode_dep_mode1,gfx.inst_perf/sched_mode_dep_mode2, 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 gfx.inst_perf/global_load_block,gfx.inst_perf/global_store_block,gfx.inst_perf/scratch_load_block,gfx.inst_perf/scratch_store_block, 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gfx.inst_perf/vglobal_signed_offset, gci1302.0,/,gci1302.1, gfx.inst_perf/v_add_f64,gfx.inst_perf/v_mul_f64,gfx.inst_perf/v_lshlrev_b64, glxi82.1-6, 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ge2.0,ge2.1,std1.6, gci1300.0,gci1300.1,gci1300.2,gci1300.3, spi124.0,spi124.1, spi125, placeholder_f.1, glxi85.1,+,std,test,+,glxi85.2, cpi400.0, cpi410.0, placeholder_r.1, spi1390,spi1391, gfx.inst_perf/v_dot4_i32_iu8,gfx.inst_perf/v_dot4_u32_u8,gfx.inst_perf/v_dot8_i32_iu4,gfx.inst_perf/v_dot8_u32_u4,gfx.inst_perf/v_wmma_i32_16x16x16_iu4,gfx.inst_perf/v_wmma_i32_16x16x32_iu4,gfx.inst_perf/v_wmma_i32_16x16x16_iu8, std1.1,gci30.4, std1.1,gci30.4, gci3.12, gfx.inst_perf/v_s_.*, shci2038.0-3,shci2038.104, shci2041, std1.1,std3.1,std4.1,rt1.300,rt1.320,gci1304,gci1305,gci1308,shci2033,shci2036,gssi212.10, sh1630,sh1631, PPI406.1-8,PPI406.11-18,PPI406.21-28,PPI406.31-38,PPI406.41-48, std5.9, Same,to,12.164, gci30.3,with,aql, placeholder_g.1-8, gfx.cmm_cp_ch_access_size_monolithic_gfx12,gfx.cmm_sdma_access_size_monolithic, gfx.inst_perf/v_wmma.*,gfx.inst_perf/v_cvt.*,gfx.inst_perf/v_dot4_f32.*, gci1306.0-2,gssi212.11, gci1305.0,gci1305.3,gci1305.4,gci1305.5,gci1305.6, gfx.cmm_sax_utcl1_monolithic/utcl0_disable, spi197, spi2010,spi2011, spi2020,spi2021, 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 gci950-960.0,for,wave32,.1,for,wave64, gci669.1-12, gfx.red_triangle_draw_composite, navi48.gfx.ge.register_access, STD1.6,GCI30.3, Same,to,12.164, food_store,mountain_range,navi48.gfx.ge.register_access, rlci9.1,rlc_firewall_40bit_address,rlci10.1,cp_firewall_40bit_address, wgs.6,wgs_dispatch_sanity_pm4_01,wgs.8,wgs_dispatch_two_pipes_pm4_01,wgs.1,wgs_ace_cwsr_pm4_01,wgs.100,wgs_dispatch_sanity_tacl_01,wgs.12,wgs_gl1_ret_xnack_pm4_01,gci30.3,::linpack_wgs,wgs_interrrupt_tacl,gci22.11,shader_memory_copy, gci820.0, gfx.inst_perf/flat_atomic_cond_sub_u32_global,gfx.inst_perf/flat_atomic_sub_clamp_u32_global,gfx.inst_perf/ds_cond_sub_rtn_u32,gfx.inst_perf/ds_sub_clamp_rtn_u32,gci1307.0-3, glxi60.7, glxi60.5, glxi60.6, navi48.gfx.ge.register_access, ge3.0,std4.34, spi2940,spi2941, placeholder_s.1, placeholder_h.1, gfx.ieee_min_max, glxi29.8, gfx.cmm_sax_utcl0_invalidation_monolithic/utcl0_enable, STD1.6,GCI30.3, placeholder_t.1, GCI28.3, std1.6,with,tgre,spm,&amp;,sqtt, glxi86.1-2, std1.6,with,tgre,spm,cp,test,with,spm, rlc1.0, std1.1,with,legacy,pv_proxy, rlc1.0,rlc1.1, gfx.inst_perf/global_load_tr.*, shci2039.4,shci2039.5, gfx.inst_perf/v_dual_mov_b32, std1.6,2.6,3.6,4.6, cs16.0,wgs_gpa3_disable_dispatch_pm4_01, gci1311, placeholder_i.1, rt1.400-401, utci16.1, placeholder_j.1, shci2039.0-3, rt33.0, rt33.1-2, gci1307.4-7, placeholder_k.1-2, spi453, glxi61.1-2, gfx.linpack_gfx_compute, placeholder_l.1-8, placeholder_a.1-108, gci1310, cpi415, gci1309.0-3, gmhub.athub_raw_monolithic_test/CPWD, gfx.sr_stat, gfx.inst_perf/v_wmma_f32_16x16x.*,gfx.inst_perf/v_wmma_i32_16x16x32_iu4,gci39.1-6, placeholder_b.1, txi83, STD1.6, placeholder_c.1, </v>
      </c>
      <c r="E7" s="423" t="str">
        <f>VLOOKUP(A7,'Diags Raw Data'!$A$6:$D$3761,4,FALSE)</f>
        <v>GFX</v>
      </c>
      <c r="F7" s="423" t="str">
        <f>VLOOKUP(A7,'Feature Raw Data'!$A$3:$E$3922,5,FALSE)</f>
        <v>New</v>
      </c>
      <c r="G7" s="423" t="str">
        <f t="shared" ref="G7:G60" si="0">IF(D7="N/A, ","No","Yes")</f>
        <v>Yes</v>
      </c>
      <c r="H7" s="423" t="str">
        <f t="shared" ref="H7:H62" si="1">IF(D7="N/A, ","No","Yes")</f>
        <v>Yes</v>
      </c>
      <c r="I7" s="421">
        <f>SUMIF('Diags Raw Data'!$A$6:$A$3761,"*"&amp;$A7&amp;"*",'Diags Raw Data'!$K$6:$K$3761)</f>
        <v>0</v>
      </c>
      <c r="J7" s="424">
        <f>SUMIF('Diags Raw Data'!$A$6:$A$3761,"*"&amp;$A7&amp;"*",'Diags Raw Data'!$L$6:$L$3761)</f>
        <v>0</v>
      </c>
      <c r="K7" s="459" t="e" cm="1">
        <f t="array" ref="K7">IF(D7="",0, SUMPRODUCT(--(ISNUMBER(SEARCH($A7,'Diags Raw Data'!$A$6:$A$3761))),'Diags Raw Data'!$L$6:$L$3761,'Diags Raw Data'!$N$6:$N$3761)/J7)</f>
        <v>#DIV/0!</v>
      </c>
      <c r="L7" s="460" t="e" cm="1">
        <f t="array" ref="L7">IF(D7="",0, SUMPRODUCT(--(ISNUMBER(SEARCH($A7,'Diags Raw Data'!$A$6:$A$3761))),'Diags Raw Data'!$L$6:$L$3761,'Diags Raw Data'!$P$6:$P$3761)/J7)</f>
        <v>#DIV/0!</v>
      </c>
      <c r="M7" s="461" cm="1">
        <f t="array" ref="M7">SUMPRODUCT(--(ISNUMBER(SEARCH($A7,'Diags Raw Data'!$A$6:$A$3761))),--('Diags Raw Data'!$Q$6:$Q$3761&lt;&gt;"N/A"),'Diags Raw Data'!$R$6:$R$3761)</f>
        <v>525</v>
      </c>
      <c r="N7" s="462" cm="1">
        <f t="array" ref="N7">SUMPRODUCT(--(ISNUMBER(SEARCH($A7,'Diags Raw Data'!$A$6:$A$3761))),--('Diags Raw Data'!$Q$6:$Q$3761&lt;&gt;"N/A"),'Diags Raw Data'!$T$6:$T$3761)+SUMPRODUCT(--(ISNUMBER(SEARCH($A7,'Diags Raw Data'!$A$6:$A$3761))),--('Diags Raw Data'!$Q$6:$Q$3761&lt;&gt;"N/A"),'Diags Raw Data'!$U$6:$U$3761)</f>
        <v>433</v>
      </c>
      <c r="O7" s="463">
        <f>IF((M7=0),0,N7/M7)</f>
        <v>0.82476190476190481</v>
      </c>
      <c r="P7" s="464">
        <f>SUMIF('Diags Raw Data'!$A$6:$A$3761,"*"&amp;$A7&amp;"*",'Diags Raw Data'!$Z$6:$Z$3761)</f>
        <v>0</v>
      </c>
      <c r="Q7" s="465">
        <f>SUM(SUMIF('Diags Raw Data'!$A$6:$A$3761,"*"&amp;$A7&amp;"*",'Diags Raw Data'!$AA$6:$AA$3761),SUMIF('Diags Raw Data'!$A$6:$A$3761,"*"&amp;$A7&amp;"*",'Diags Raw Data'!$AB$6:$AB$3761))</f>
        <v>0</v>
      </c>
      <c r="R7" s="466">
        <f>IF((J7=0),0,P7/J7)</f>
        <v>0</v>
      </c>
      <c r="S7" s="466">
        <f>IF((P7=0),0,Q7/P7)</f>
        <v>0</v>
      </c>
      <c r="T7" s="467">
        <f>R7*S7</f>
        <v>0</v>
      </c>
      <c r="U7" s="425" t="str">
        <f>VLOOKUP(A7,'Diags Raw Data'!$A$6:$AH$3761,33,FALSE)</f>
        <v>WK5</v>
      </c>
      <c r="V7" s="181"/>
    </row>
    <row r="8" spans="1:23" ht="30.75" thickBot="1" x14ac:dyDescent="0.3">
      <c r="A8" s="530">
        <v>12.000999999999999</v>
      </c>
      <c r="B8" s="427" t="str">
        <f>VLOOKUP(A8,'Feature Raw Data'!$A$3:$B$3922,2,FALSE)</f>
        <v xml:space="preserve">Separate color blend opt bits out of CB_COLORn_INFO </v>
      </c>
      <c r="C8" s="428" t="str">
        <f>VLOOKUP(A8,'Feature Raw Data'!$A$3:$C$3922,3,FALSE)</f>
        <v>P1</v>
      </c>
      <c r="D8" s="429" t="str" cm="1">
        <f t="array" ref="D8">_xlfn.TEXTJOIN("",TRUE,IF(ISNUMBER(SEARCH($A8,'Diags Raw Data'!$A$6:$A$3761)),CONCATENATE('Diags Raw Data'!$H$6:$H$3761,", "),""))</f>
        <v xml:space="preserve">ppi201.2, spi20.0,spi20.1, </v>
      </c>
      <c r="E8" s="340" t="str">
        <f>VLOOKUP(A8,'Diags Raw Data'!$A$6:$D$3761,4,FALSE)</f>
        <v>PP</v>
      </c>
      <c r="F8" s="340" t="str">
        <f>VLOOKUP(A8,'Feature Raw Data'!$A$3:$E$3922,5,FALSE)</f>
        <v>New</v>
      </c>
      <c r="G8" s="340" t="str">
        <f t="shared" si="0"/>
        <v>Yes</v>
      </c>
      <c r="H8" s="340" t="str">
        <f t="shared" si="1"/>
        <v>Yes</v>
      </c>
      <c r="I8" s="428">
        <f>SUMIF('Diags Raw Data'!$A$6:$A$3761,"*"&amp;$A8&amp;"*",'Diags Raw Data'!$K$6:$K$3761)</f>
        <v>0</v>
      </c>
      <c r="J8" s="430">
        <f>SUMIF('Diags Raw Data'!$A$6:$A$3761,"*"&amp;$A8&amp;"*",'Diags Raw Data'!$L$6:$L$3761)</f>
        <v>0</v>
      </c>
      <c r="K8" s="468" t="e" cm="1">
        <f t="array" ref="K8">IF(D8="",0, SUMPRODUCT(--(ISNUMBER(SEARCH($A8,'Diags Raw Data'!$A$6:$A$3761))),'Diags Raw Data'!$L$6:$L$3761,'Diags Raw Data'!$N$6:$N$3761)/J8)</f>
        <v>#DIV/0!</v>
      </c>
      <c r="L8" s="469" t="e" cm="1">
        <f t="array" ref="L8">IF(D8="",0, SUMPRODUCT(--(ISNUMBER(SEARCH($A8,'Diags Raw Data'!$A$6:$A$3761))),'Diags Raw Data'!$L$6:$L$3761,'Diags Raw Data'!$P$6:$P$3761)/J8)</f>
        <v>#DIV/0!</v>
      </c>
      <c r="M8" s="470" cm="1">
        <f t="array" ref="M8">SUMPRODUCT(--(ISNUMBER(SEARCH($A8,'Diags Raw Data'!$A$6:$A$3761))),--('Diags Raw Data'!$Q$6:$Q$3761&lt;&gt;"N/A"),'Diags Raw Data'!$R$6:$R$3761)</f>
        <v>3</v>
      </c>
      <c r="N8" s="471" cm="1">
        <f t="array" ref="N8">SUMPRODUCT(--(ISNUMBER(SEARCH($A8,'Diags Raw Data'!$A$6:$A$3761))),--('Diags Raw Data'!$Q$6:$Q$3761&lt;&gt;"N/A"),'Diags Raw Data'!$T$6:$T$3761)+SUMPRODUCT(--(ISNUMBER(SEARCH($A8,'Diags Raw Data'!$A$6:$A$3761))),--('Diags Raw Data'!$Q$6:$Q$3761&lt;&gt;"N/A"),'Diags Raw Data'!$U$6:$U$3761)</f>
        <v>2</v>
      </c>
      <c r="O8" s="472">
        <f t="shared" ref="O8:O71" si="2">IF((M8=0),0,N8/M8)</f>
        <v>0.66666666666666663</v>
      </c>
      <c r="P8" s="473">
        <f>SUMIF('Diags Raw Data'!$A$6:$A$3761,"*"&amp;$A8&amp;"*",'Diags Raw Data'!$Z$6:$Z$3761)</f>
        <v>0</v>
      </c>
      <c r="Q8" s="474">
        <f>SUM(SUMIF('Diags Raw Data'!$A$6:$A$3761,"*"&amp;$A8&amp;"*",'Diags Raw Data'!$AA$6:$AA$3761),SUMIF('Diags Raw Data'!$A$6:$A$3761,"*"&amp;$A8&amp;"*",'Diags Raw Data'!$AB$6:$AB$3761))</f>
        <v>0</v>
      </c>
      <c r="R8" s="475">
        <f t="shared" ref="R8:R70" si="3">IF((J8=0),0,P8/J8)</f>
        <v>0</v>
      </c>
      <c r="S8" s="475">
        <f t="shared" ref="S8:S70" si="4">IF((P8=0),0,Q8/P8)</f>
        <v>0</v>
      </c>
      <c r="T8" s="476">
        <f t="shared" ref="T8:T70" si="5">R8*S8</f>
        <v>0</v>
      </c>
      <c r="U8" s="425" t="str">
        <f>VLOOKUP(A8,'Diags Raw Data'!$A$6:$AH$3761,33,FALSE)</f>
        <v>WK4</v>
      </c>
      <c r="V8" s="181"/>
    </row>
    <row r="9" spans="1:23" ht="60.75" thickBot="1" x14ac:dyDescent="0.3">
      <c r="A9" s="530">
        <v>12.001999999999999</v>
      </c>
      <c r="B9" s="427" t="str">
        <f>VLOOKUP(A9,'Feature Raw Data'!$A$3:$B$3922,2,FALSE)</f>
        <v xml:space="preserve">Change SPI_VS_OUT_CONFIG and SPI_PS_IN_CONTROL from context to persistent state regs </v>
      </c>
      <c r="C9" s="428" t="str">
        <f>VLOOKUP(A9,'Feature Raw Data'!$A$3:$C$3922,3,FALSE)</f>
        <v>P1</v>
      </c>
      <c r="D9" s="429" t="str" cm="1">
        <f t="array" ref="D9">_xlfn.TEXTJOIN("",TRUE,IF(ISNUMBER(SEARCH($A9,'Diags Raw Data'!$A$6:$A$3761)),CONCATENATE('Diags Raw Data'!$H$6:$H$3761,", "),""))</f>
        <v xml:space="preserve">std4.34, </v>
      </c>
      <c r="E9" s="340" t="e">
        <f>VLOOKUP(A9,'Diags Raw Data'!$A$6:$D$3761,4,FALSE)</f>
        <v>#N/A</v>
      </c>
      <c r="F9" s="340" t="str">
        <f>VLOOKUP(A9,'Feature Raw Data'!$A$3:$E$3922,5,FALSE)</f>
        <v>New</v>
      </c>
      <c r="G9" s="340" t="str">
        <f t="shared" si="0"/>
        <v>Yes</v>
      </c>
      <c r="H9" s="340" t="str">
        <f t="shared" si="1"/>
        <v>Yes</v>
      </c>
      <c r="I9" s="428">
        <f>SUMIF('Diags Raw Data'!$A$6:$A$3761,"*"&amp;$A9&amp;"*",'Diags Raw Data'!$K$6:$K$3761)</f>
        <v>0</v>
      </c>
      <c r="J9" s="430">
        <f>SUMIF('Diags Raw Data'!$A$6:$A$3761,"*"&amp;$A9&amp;"*",'Diags Raw Data'!$L$6:$L$3761)</f>
        <v>0</v>
      </c>
      <c r="K9" s="468" t="e" cm="1">
        <f t="array" ref="K9">IF(D9="",0, SUMPRODUCT(--(ISNUMBER(SEARCH($A9,'Diags Raw Data'!$A$6:$A$3761))),'Diags Raw Data'!$L$6:$L$3761,'Diags Raw Data'!$N$6:$N$3761)/J9)</f>
        <v>#DIV/0!</v>
      </c>
      <c r="L9" s="469" t="e" cm="1">
        <f t="array" ref="L9">IF(D9="",0, SUMPRODUCT(--(ISNUMBER(SEARCH($A9,'Diags Raw Data'!$A$6:$A$3761))),'Diags Raw Data'!$L$6:$L$3761,'Diags Raw Data'!$P$6:$P$3761)/J9)</f>
        <v>#DIV/0!</v>
      </c>
      <c r="M9" s="470" cm="1">
        <f t="array" ref="M9">SUMPRODUCT(--(ISNUMBER(SEARCH($A9,'Diags Raw Data'!$A$6:$A$3761))),--('Diags Raw Data'!$Q$6:$Q$3761&lt;&gt;"N/A"),'Diags Raw Data'!$R$6:$R$3761)</f>
        <v>1</v>
      </c>
      <c r="N9" s="471" cm="1">
        <f t="array" ref="N9">SUMPRODUCT(--(ISNUMBER(SEARCH($A9,'Diags Raw Data'!$A$6:$A$3761))),--('Diags Raw Data'!$Q$6:$Q$3761&lt;&gt;"N/A"),'Diags Raw Data'!$T$6:$T$3761)+SUMPRODUCT(--(ISNUMBER(SEARCH($A9,'Diags Raw Data'!$A$6:$A$3761))),--('Diags Raw Data'!$Q$6:$Q$3761&lt;&gt;"N/A"),'Diags Raw Data'!$U$6:$U$3761)</f>
        <v>0</v>
      </c>
      <c r="O9" s="472">
        <f t="shared" si="2"/>
        <v>0</v>
      </c>
      <c r="P9" s="473">
        <f>SUMIF('Diags Raw Data'!$A$6:$A$3761,"*"&amp;$A9&amp;"*",'Diags Raw Data'!$Z$6:$Z$3761)</f>
        <v>0</v>
      </c>
      <c r="Q9" s="474">
        <f>SUM(SUMIF('Diags Raw Data'!$A$6:$A$3761,"*"&amp;$A9&amp;"*",'Diags Raw Data'!$AA$6:$AA$3761),SUMIF('Diags Raw Data'!$A$6:$A$3761,"*"&amp;$A9&amp;"*",'Diags Raw Data'!$AB$6:$AB$3761))</f>
        <v>0</v>
      </c>
      <c r="R9" s="475">
        <f t="shared" si="3"/>
        <v>0</v>
      </c>
      <c r="S9" s="475">
        <f t="shared" si="4"/>
        <v>0</v>
      </c>
      <c r="T9" s="476">
        <f t="shared" si="5"/>
        <v>0</v>
      </c>
      <c r="U9" s="425" t="e">
        <f>VLOOKUP(A9,'Diags Raw Data'!$A$6:$AH$3761,33,FALSE)</f>
        <v>#N/A</v>
      </c>
      <c r="V9" s="181"/>
    </row>
    <row r="10" spans="1:23" ht="30.75" thickBot="1" x14ac:dyDescent="0.3">
      <c r="A10" s="530">
        <v>12.002999999999998</v>
      </c>
      <c r="B10" s="427" t="str">
        <f>VLOOKUP(A10,'Feature Raw Data'!$A$3:$B$3922,2,FALSE)</f>
        <v xml:space="preserve">Separate PS_ITER_SAMPLE out of PA_SC_MODE_CNTL_1 </v>
      </c>
      <c r="C10" s="428" t="str">
        <f>VLOOKUP(A10,'Feature Raw Data'!$A$3:$C$3922,3,FALSE)</f>
        <v>P1</v>
      </c>
      <c r="D10" s="429" t="str" cm="1">
        <f t="array" ref="D10">_xlfn.TEXTJOIN("",TRUE,IF(ISNUMBER(SEARCH($A10,'Diags Raw Data'!$A$6:$A$3761)),CONCATENATE('Diags Raw Data'!$H$6:$H$3761,", "),""))</f>
        <v xml:space="preserve">PPI39,PPI100.65, </v>
      </c>
      <c r="E10" s="340" t="e">
        <f>VLOOKUP(A10,'Diags Raw Data'!$A$6:$D$3761,4,FALSE)</f>
        <v>#N/A</v>
      </c>
      <c r="F10" s="340" t="str">
        <f>VLOOKUP(A10,'Feature Raw Data'!$A$3:$E$3922,5,FALSE)</f>
        <v>New</v>
      </c>
      <c r="G10" s="340" t="str">
        <f t="shared" si="0"/>
        <v>Yes</v>
      </c>
      <c r="H10" s="340" t="str">
        <f t="shared" si="1"/>
        <v>Yes</v>
      </c>
      <c r="I10" s="428">
        <f>SUMIF('Diags Raw Data'!$A$6:$A$3761,"*"&amp;$A10&amp;"*",'Diags Raw Data'!$K$6:$K$3761)</f>
        <v>0</v>
      </c>
      <c r="J10" s="430">
        <f>SUMIF('Diags Raw Data'!$A$6:$A$3761,"*"&amp;$A10&amp;"*",'Diags Raw Data'!$L$6:$L$3761)</f>
        <v>0</v>
      </c>
      <c r="K10" s="468" t="e" cm="1">
        <f t="array" ref="K10">IF(D10="",0, SUMPRODUCT(--(ISNUMBER(SEARCH($A10,'Diags Raw Data'!$A$6:$A$3761))),'Diags Raw Data'!$L$6:$L$3761,'Diags Raw Data'!$N$6:$N$3761)/J10)</f>
        <v>#DIV/0!</v>
      </c>
      <c r="L10" s="469" t="e" cm="1">
        <f t="array" ref="L10">IF(D10="",0, SUMPRODUCT(--(ISNUMBER(SEARCH($A10,'Diags Raw Data'!$A$6:$A$3761))),'Diags Raw Data'!$L$6:$L$3761,'Diags Raw Data'!$P$6:$P$3761)/J10)</f>
        <v>#DIV/0!</v>
      </c>
      <c r="M10" s="470" cm="1">
        <f t="array" ref="M10">SUMPRODUCT(--(ISNUMBER(SEARCH($A10,'Diags Raw Data'!$A$6:$A$3761))),--('Diags Raw Data'!$Q$6:$Q$3761&lt;&gt;"N/A"),'Diags Raw Data'!$R$6:$R$3761)</f>
        <v>1</v>
      </c>
      <c r="N10" s="471" cm="1">
        <f t="array" ref="N10">SUMPRODUCT(--(ISNUMBER(SEARCH($A10,'Diags Raw Data'!$A$6:$A$3761))),--('Diags Raw Data'!$Q$6:$Q$3761&lt;&gt;"N/A"),'Diags Raw Data'!$T$6:$T$3761)+SUMPRODUCT(--(ISNUMBER(SEARCH($A10,'Diags Raw Data'!$A$6:$A$3761))),--('Diags Raw Data'!$Q$6:$Q$3761&lt;&gt;"N/A"),'Diags Raw Data'!$U$6:$U$3761)</f>
        <v>0</v>
      </c>
      <c r="O10" s="472">
        <f t="shared" si="2"/>
        <v>0</v>
      </c>
      <c r="P10" s="473">
        <f>SUMIF('Diags Raw Data'!$A$6:$A$3761,"*"&amp;$A10&amp;"*",'Diags Raw Data'!$Z$6:$Z$3761)</f>
        <v>0</v>
      </c>
      <c r="Q10" s="474">
        <f>SUM(SUMIF('Diags Raw Data'!$A$6:$A$3761,"*"&amp;$A10&amp;"*",'Diags Raw Data'!$AA$6:$AA$3761),SUMIF('Diags Raw Data'!$A$6:$A$3761,"*"&amp;$A10&amp;"*",'Diags Raw Data'!$AB$6:$AB$3761))</f>
        <v>0</v>
      </c>
      <c r="R10" s="475">
        <f t="shared" si="3"/>
        <v>0</v>
      </c>
      <c r="S10" s="475">
        <f t="shared" si="4"/>
        <v>0</v>
      </c>
      <c r="T10" s="476">
        <f t="shared" si="5"/>
        <v>0</v>
      </c>
      <c r="U10" s="425" t="e">
        <f>VLOOKUP(A10,'Diags Raw Data'!$A$6:$AH$3761,33,FALSE)</f>
        <v>#N/A</v>
      </c>
      <c r="V10" s="181"/>
    </row>
    <row r="11" spans="1:23" ht="30.75" thickBot="1" x14ac:dyDescent="0.3">
      <c r="A11" s="530">
        <v>12.003999999999998</v>
      </c>
      <c r="B11" s="427" t="str">
        <f>VLOOKUP(A11,'Feature Raw Data'!$A$3:$B$3922,2,FALSE)</f>
        <v xml:space="preserve">Separate SAMPLE_RATE out of DB_COUNT_CONTROL </v>
      </c>
      <c r="C11" s="428" t="str">
        <f>VLOOKUP(A11,'Feature Raw Data'!$A$3:$C$3922,3,FALSE)</f>
        <v>P1</v>
      </c>
      <c r="D11" s="429" t="str" cm="1">
        <f t="array" ref="D11">_xlfn.TEXTJOIN("",TRUE,IF(ISNUMBER(SEARCH($A11,'Diags Raw Data'!$A$6:$A$3761)),CONCATENATE('Diags Raw Data'!$H$6:$H$3761,", "),""))</f>
        <v/>
      </c>
      <c r="E11" s="340" t="e">
        <f>VLOOKUP(A11,'Diags Raw Data'!$A$6:$D$3761,4,FALSE)</f>
        <v>#N/A</v>
      </c>
      <c r="F11" s="340" t="str">
        <f>VLOOKUP(A11,'Feature Raw Data'!$A$3:$E$3922,5,FALSE)</f>
        <v>New</v>
      </c>
      <c r="G11" s="340" t="str">
        <f t="shared" si="0"/>
        <v>Yes</v>
      </c>
      <c r="H11" s="340" t="str">
        <f t="shared" si="1"/>
        <v>Yes</v>
      </c>
      <c r="I11" s="428">
        <f>SUMIF('Diags Raw Data'!$A$6:$A$3761,"*"&amp;$A11&amp;"*",'Diags Raw Data'!$K$6:$K$3761)</f>
        <v>0</v>
      </c>
      <c r="J11" s="430">
        <f>SUMIF('Diags Raw Data'!$A$6:$A$3761,"*"&amp;$A11&amp;"*",'Diags Raw Data'!$L$6:$L$3761)</f>
        <v>0</v>
      </c>
      <c r="K11" s="468" cm="1">
        <f t="array" ref="K11">IF(D11="",0, SUMPRODUCT(--(ISNUMBER(SEARCH($A11,'Diags Raw Data'!$A$6:$A$3761))),'Diags Raw Data'!$L$6:$L$3761,'Diags Raw Data'!$N$6:$N$3761)/J11)</f>
        <v>0</v>
      </c>
      <c r="L11" s="469" cm="1">
        <f t="array" ref="L11">IF(D11="",0, SUMPRODUCT(--(ISNUMBER(SEARCH($A11,'Diags Raw Data'!$A$6:$A$3761))),'Diags Raw Data'!$L$6:$L$3761,'Diags Raw Data'!$P$6:$P$3761)/J11)</f>
        <v>0</v>
      </c>
      <c r="M11" s="470" cm="1">
        <f t="array" ref="M11">SUMPRODUCT(--(ISNUMBER(SEARCH($A11,'Diags Raw Data'!$A$6:$A$3761))),--('Diags Raw Data'!$Q$6:$Q$3761&lt;&gt;"N/A"),'Diags Raw Data'!$R$6:$R$3761)</f>
        <v>0</v>
      </c>
      <c r="N11" s="471" cm="1">
        <f t="array" ref="N11">SUMPRODUCT(--(ISNUMBER(SEARCH($A11,'Diags Raw Data'!$A$6:$A$3761))),--('Diags Raw Data'!$Q$6:$Q$3761&lt;&gt;"N/A"),'Diags Raw Data'!$T$6:$T$3761)+SUMPRODUCT(--(ISNUMBER(SEARCH($A11,'Diags Raw Data'!$A$6:$A$3761))),--('Diags Raw Data'!$Q$6:$Q$3761&lt;&gt;"N/A"),'Diags Raw Data'!$U$6:$U$3761)</f>
        <v>0</v>
      </c>
      <c r="O11" s="472">
        <f t="shared" si="2"/>
        <v>0</v>
      </c>
      <c r="P11" s="473">
        <f>SUMIF('Diags Raw Data'!$A$6:$A$3761,"*"&amp;$A11&amp;"*",'Diags Raw Data'!$Z$6:$Z$3761)</f>
        <v>0</v>
      </c>
      <c r="Q11" s="474">
        <f>SUM(SUMIF('Diags Raw Data'!$A$6:$A$3761,"*"&amp;$A11&amp;"*",'Diags Raw Data'!$AA$6:$AA$3761),SUMIF('Diags Raw Data'!$A$6:$A$3761,"*"&amp;$A11&amp;"*",'Diags Raw Data'!$AB$6:$AB$3761))</f>
        <v>0</v>
      </c>
      <c r="R11" s="475">
        <f t="shared" si="3"/>
        <v>0</v>
      </c>
      <c r="S11" s="475">
        <f t="shared" si="4"/>
        <v>0</v>
      </c>
      <c r="T11" s="476">
        <f t="shared" si="5"/>
        <v>0</v>
      </c>
      <c r="U11" s="425" t="e">
        <f>VLOOKUP(A11,'Diags Raw Data'!$A$6:$AH$3761,33,FALSE)</f>
        <v>#N/A</v>
      </c>
      <c r="V11" s="181"/>
    </row>
    <row r="12" spans="1:23" ht="30.75" thickBot="1" x14ac:dyDescent="0.3">
      <c r="A12" s="530">
        <v>12.005999999999997</v>
      </c>
      <c r="B12" s="427" t="str">
        <f>VLOOKUP(A12,'Feature Raw Data'!$A$3:$B$3922,2,FALSE)</f>
        <v xml:space="preserve">GE_CNTL and VGT_LS_HS_CONFIG changes </v>
      </c>
      <c r="C12" s="428" t="str">
        <f>VLOOKUP(A12,'Feature Raw Data'!$A$3:$C$3922,3,FALSE)</f>
        <v>P1</v>
      </c>
      <c r="D12" s="429" t="str" cm="1">
        <f t="array" ref="D12">_xlfn.TEXTJOIN("",TRUE,IF(ISNUMBER(SEARCH($A12,'Diags Raw Data'!$A$6:$A$3761)),CONCATENATE('Diags Raw Data'!$H$6:$H$3761,", "),""))</f>
        <v xml:space="preserve">PPI101.5, </v>
      </c>
      <c r="E12" s="340" t="e">
        <f>VLOOKUP(A12,'Diags Raw Data'!$A$6:$D$3761,4,FALSE)</f>
        <v>#N/A</v>
      </c>
      <c r="F12" s="340" t="str">
        <f>VLOOKUP(A12,'Feature Raw Data'!$A$3:$E$3922,5,FALSE)</f>
        <v>New</v>
      </c>
      <c r="G12" s="340" t="str">
        <f t="shared" si="0"/>
        <v>Yes</v>
      </c>
      <c r="H12" s="340" t="str">
        <f t="shared" si="1"/>
        <v>Yes</v>
      </c>
      <c r="I12" s="428">
        <f>SUMIF('Diags Raw Data'!$A$6:$A$3761,"*"&amp;$A12&amp;"*",'Diags Raw Data'!$K$6:$K$3761)</f>
        <v>0</v>
      </c>
      <c r="J12" s="430">
        <f>SUMIF('Diags Raw Data'!$A$6:$A$3761,"*"&amp;$A12&amp;"*",'Diags Raw Data'!$L$6:$L$3761)</f>
        <v>0</v>
      </c>
      <c r="K12" s="468" t="e" cm="1">
        <f t="array" ref="K12">IF(D12="",0, SUMPRODUCT(--(ISNUMBER(SEARCH($A12,'Diags Raw Data'!$A$6:$A$3761))),'Diags Raw Data'!$L$6:$L$3761,'Diags Raw Data'!$N$6:$N$3761)/J12)</f>
        <v>#DIV/0!</v>
      </c>
      <c r="L12" s="469" t="e" cm="1">
        <f t="array" ref="L12">IF(D12="",0, SUMPRODUCT(--(ISNUMBER(SEARCH($A12,'Diags Raw Data'!$A$6:$A$3761))),'Diags Raw Data'!$L$6:$L$3761,'Diags Raw Data'!$P$6:$P$3761)/J12)</f>
        <v>#DIV/0!</v>
      </c>
      <c r="M12" s="470" cm="1">
        <f t="array" ref="M12">SUMPRODUCT(--(ISNUMBER(SEARCH($A12,'Diags Raw Data'!$A$6:$A$3761))),--('Diags Raw Data'!$Q$6:$Q$3761&lt;&gt;"N/A"),'Diags Raw Data'!$R$6:$R$3761)</f>
        <v>1</v>
      </c>
      <c r="N12" s="471" cm="1">
        <f t="array" ref="N12">SUMPRODUCT(--(ISNUMBER(SEARCH($A12,'Diags Raw Data'!$A$6:$A$3761))),--('Diags Raw Data'!$Q$6:$Q$3761&lt;&gt;"N/A"),'Diags Raw Data'!$T$6:$T$3761)+SUMPRODUCT(--(ISNUMBER(SEARCH($A12,'Diags Raw Data'!$A$6:$A$3761))),--('Diags Raw Data'!$Q$6:$Q$3761&lt;&gt;"N/A"),'Diags Raw Data'!$U$6:$U$3761)</f>
        <v>0</v>
      </c>
      <c r="O12" s="472">
        <f t="shared" si="2"/>
        <v>0</v>
      </c>
      <c r="P12" s="473">
        <f>SUMIF('Diags Raw Data'!$A$6:$A$3761,"*"&amp;$A12&amp;"*",'Diags Raw Data'!$Z$6:$Z$3761)</f>
        <v>0</v>
      </c>
      <c r="Q12" s="474">
        <f>SUM(SUMIF('Diags Raw Data'!$A$6:$A$3761,"*"&amp;$A12&amp;"*",'Diags Raw Data'!$AA$6:$AA$3761),SUMIF('Diags Raw Data'!$A$6:$A$3761,"*"&amp;$A12&amp;"*",'Diags Raw Data'!$AB$6:$AB$3761))</f>
        <v>0</v>
      </c>
      <c r="R12" s="475">
        <f t="shared" si="3"/>
        <v>0</v>
      </c>
      <c r="S12" s="475">
        <f t="shared" si="4"/>
        <v>0</v>
      </c>
      <c r="T12" s="476">
        <f t="shared" si="5"/>
        <v>0</v>
      </c>
      <c r="U12" s="425" t="e">
        <f>VLOOKUP(A12,'Diags Raw Data'!$A$6:$AH$3761,33,FALSE)</f>
        <v>#N/A</v>
      </c>
      <c r="V12" s="181"/>
    </row>
    <row r="13" spans="1:23" ht="15.75" thickBot="1" x14ac:dyDescent="0.3">
      <c r="A13" s="530">
        <v>12.006999999999996</v>
      </c>
      <c r="B13" s="427" t="str">
        <f>VLOOKUP(A13,'Feature Raw Data'!$A$3:$B$3922,2,FALSE)</f>
        <v xml:space="preserve">PA_SC_AA_CONFIG changes </v>
      </c>
      <c r="C13" s="428" t="str">
        <f>VLOOKUP(A13,'Feature Raw Data'!$A$3:$C$3922,3,FALSE)</f>
        <v>P1</v>
      </c>
      <c r="D13" s="429" t="str" cm="1">
        <f t="array" ref="D13">_xlfn.TEXTJOIN("",TRUE,IF(ISNUMBER(SEARCH($A13,'Diags Raw Data'!$A$6:$A$3761)),CONCATENATE('Diags Raw Data'!$H$6:$H$3761,", "),""))</f>
        <v xml:space="preserve">PPI100.141, </v>
      </c>
      <c r="E13" s="340" t="e">
        <f>VLOOKUP(A13,'Diags Raw Data'!$A$6:$D$3761,4,FALSE)</f>
        <v>#N/A</v>
      </c>
      <c r="F13" s="340" t="str">
        <f>VLOOKUP(A13,'Feature Raw Data'!$A$3:$E$3922,5,FALSE)</f>
        <v>Delta</v>
      </c>
      <c r="G13" s="340" t="str">
        <f t="shared" si="0"/>
        <v>Yes</v>
      </c>
      <c r="H13" s="340" t="str">
        <f t="shared" si="1"/>
        <v>Yes</v>
      </c>
      <c r="I13" s="428">
        <f>SUMIF('Diags Raw Data'!$A$6:$A$3761,"*"&amp;$A13&amp;"*",'Diags Raw Data'!$K$6:$K$3761)</f>
        <v>0</v>
      </c>
      <c r="J13" s="430">
        <f>SUMIF('Diags Raw Data'!$A$6:$A$3761,"*"&amp;$A13&amp;"*",'Diags Raw Data'!$L$6:$L$3761)</f>
        <v>0</v>
      </c>
      <c r="K13" s="468" t="e" cm="1">
        <f t="array" ref="K13">IF(D13="",0, SUMPRODUCT(--(ISNUMBER(SEARCH($A13,'Diags Raw Data'!$A$6:$A$3761))),'Diags Raw Data'!$L$6:$L$3761,'Diags Raw Data'!$N$6:$N$3761)/J13)</f>
        <v>#DIV/0!</v>
      </c>
      <c r="L13" s="469" t="e" cm="1">
        <f t="array" ref="L13">IF(D13="",0, SUMPRODUCT(--(ISNUMBER(SEARCH($A13,'Diags Raw Data'!$A$6:$A$3761))),'Diags Raw Data'!$L$6:$L$3761,'Diags Raw Data'!$P$6:$P$3761)/J13)</f>
        <v>#DIV/0!</v>
      </c>
      <c r="M13" s="470" cm="1">
        <f t="array" ref="M13">SUMPRODUCT(--(ISNUMBER(SEARCH($A13,'Diags Raw Data'!$A$6:$A$3761))),--('Diags Raw Data'!$Q$6:$Q$3761&lt;&gt;"N/A"),'Diags Raw Data'!$R$6:$R$3761)</f>
        <v>1</v>
      </c>
      <c r="N13" s="471" cm="1">
        <f t="array" ref="N13">SUMPRODUCT(--(ISNUMBER(SEARCH($A13,'Diags Raw Data'!$A$6:$A$3761))),--('Diags Raw Data'!$Q$6:$Q$3761&lt;&gt;"N/A"),'Diags Raw Data'!$T$6:$T$3761)+SUMPRODUCT(--(ISNUMBER(SEARCH($A13,'Diags Raw Data'!$A$6:$A$3761))),--('Diags Raw Data'!$Q$6:$Q$3761&lt;&gt;"N/A"),'Diags Raw Data'!$U$6:$U$3761)</f>
        <v>0</v>
      </c>
      <c r="O13" s="472">
        <f>IF((M13=0),0,N13/M13)</f>
        <v>0</v>
      </c>
      <c r="P13" s="473">
        <f>SUMIF('Diags Raw Data'!$A$6:$A$3761,"*"&amp;$A13&amp;"*",'Diags Raw Data'!$Z$6:$Z$3761)</f>
        <v>0</v>
      </c>
      <c r="Q13" s="474">
        <f>SUM(SUMIF('Diags Raw Data'!$A$6:$A$3761,"*"&amp;$A13&amp;"*",'Diags Raw Data'!$AA$6:$AA$3761),SUMIF('Diags Raw Data'!$A$6:$A$3761,"*"&amp;$A13&amp;"*",'Diags Raw Data'!$AB$6:$AB$3761))</f>
        <v>0</v>
      </c>
      <c r="R13" s="475">
        <f t="shared" si="3"/>
        <v>0</v>
      </c>
      <c r="S13" s="475">
        <f t="shared" si="4"/>
        <v>0</v>
      </c>
      <c r="T13" s="476">
        <f t="shared" si="5"/>
        <v>0</v>
      </c>
      <c r="U13" s="425" t="e">
        <f>VLOOKUP(A13,'Diags Raw Data'!$A$6:$AH$3761,33,FALSE)</f>
        <v>#N/A</v>
      </c>
      <c r="V13" s="181"/>
    </row>
    <row r="14" spans="1:23" ht="30.75" thickBot="1" x14ac:dyDescent="0.3">
      <c r="A14" s="530">
        <v>12.007999999999996</v>
      </c>
      <c r="B14" s="427" t="str">
        <f>VLOOKUP(A14,'Feature Raw Data'!$A$3:$B$3922,2,FALSE)</f>
        <v xml:space="preserve">PA_SC_CONSERVATIVE_RASTERIZATION_CNTL changes </v>
      </c>
      <c r="C14" s="428" t="str">
        <f>VLOOKUP(A14,'Feature Raw Data'!$A$3:$C$3922,3,FALSE)</f>
        <v>P1</v>
      </c>
      <c r="D14" s="429" t="str" cm="1">
        <f t="array" ref="D14">_xlfn.TEXTJOIN("",TRUE,IF(ISNUMBER(SEARCH($A14,'Diags Raw Data'!$A$6:$A$3761)),CONCATENATE('Diags Raw Data'!$H$6:$H$3761,", "),""))</f>
        <v xml:space="preserve">STD1.6,-tglEnableSCBinning=0, </v>
      </c>
      <c r="E14" s="340" t="e">
        <f>VLOOKUP(A14,'Diags Raw Data'!$A$6:$D$3761,4,FALSE)</f>
        <v>#N/A</v>
      </c>
      <c r="F14" s="340" t="str">
        <f>VLOOKUP(A14,'Feature Raw Data'!$A$3:$E$3922,5,FALSE)</f>
        <v>Delta</v>
      </c>
      <c r="G14" s="340" t="str">
        <f t="shared" si="0"/>
        <v>Yes</v>
      </c>
      <c r="H14" s="340" t="str">
        <f t="shared" si="1"/>
        <v>Yes</v>
      </c>
      <c r="I14" s="428">
        <f>SUMIF('Diags Raw Data'!$A$6:$A$3761,"*"&amp;$A14&amp;"*",'Diags Raw Data'!$K$6:$K$3761)</f>
        <v>0</v>
      </c>
      <c r="J14" s="430">
        <f>SUMIF('Diags Raw Data'!$A$6:$A$3761,"*"&amp;$A14&amp;"*",'Diags Raw Data'!$L$6:$L$3761)</f>
        <v>0</v>
      </c>
      <c r="K14" s="468" t="e" cm="1">
        <f t="array" ref="K14">IF(D14="",0, SUMPRODUCT(--(ISNUMBER(SEARCH($A14,'Diags Raw Data'!$A$6:$A$3761))),'Diags Raw Data'!$L$6:$L$3761,'Diags Raw Data'!$N$6:$N$3761)/J14)</f>
        <v>#DIV/0!</v>
      </c>
      <c r="L14" s="469" t="e" cm="1">
        <f t="array" ref="L14">IF(D14="",0, SUMPRODUCT(--(ISNUMBER(SEARCH($A14,'Diags Raw Data'!$A$6:$A$3761))),'Diags Raw Data'!$L$6:$L$3761,'Diags Raw Data'!$P$6:$P$3761)/J14)</f>
        <v>#DIV/0!</v>
      </c>
      <c r="M14" s="470" cm="1">
        <f t="array" ref="M14">SUMPRODUCT(--(ISNUMBER(SEARCH($A14,'Diags Raw Data'!$A$6:$A$3761))),--('Diags Raw Data'!$Q$6:$Q$3761&lt;&gt;"N/A"),'Diags Raw Data'!$R$6:$R$3761)</f>
        <v>1</v>
      </c>
      <c r="N14" s="471" cm="1">
        <f t="array" ref="N14">SUMPRODUCT(--(ISNUMBER(SEARCH($A14,'Diags Raw Data'!$A$6:$A$3761))),--('Diags Raw Data'!$Q$6:$Q$3761&lt;&gt;"N/A"),'Diags Raw Data'!$T$6:$T$3761)+SUMPRODUCT(--(ISNUMBER(SEARCH($A14,'Diags Raw Data'!$A$6:$A$3761))),--('Diags Raw Data'!$Q$6:$Q$3761&lt;&gt;"N/A"),'Diags Raw Data'!$U$6:$U$3761)</f>
        <v>0</v>
      </c>
      <c r="O14" s="472">
        <f t="shared" si="2"/>
        <v>0</v>
      </c>
      <c r="P14" s="473">
        <f>SUMIF('Diags Raw Data'!$A$6:$A$3761,"*"&amp;$A14&amp;"*",'Diags Raw Data'!$Z$6:$Z$3761)</f>
        <v>0</v>
      </c>
      <c r="Q14" s="474">
        <f>SUM(SUMIF('Diags Raw Data'!$A$6:$A$3761,"*"&amp;$A14&amp;"*",'Diags Raw Data'!$AA$6:$AA$3761),SUMIF('Diags Raw Data'!$A$6:$A$3761,"*"&amp;$A14&amp;"*",'Diags Raw Data'!$AB$6:$AB$3761))</f>
        <v>0</v>
      </c>
      <c r="R14" s="475">
        <f t="shared" si="3"/>
        <v>0</v>
      </c>
      <c r="S14" s="475">
        <f t="shared" si="4"/>
        <v>0</v>
      </c>
      <c r="T14" s="476">
        <f t="shared" si="5"/>
        <v>0</v>
      </c>
      <c r="U14" s="425" t="e">
        <f>VLOOKUP(A14,'Diags Raw Data'!$A$6:$AH$3761,33,FALSE)</f>
        <v>#N/A</v>
      </c>
      <c r="V14" s="181"/>
    </row>
    <row r="15" spans="1:23" ht="45.75" thickBot="1" x14ac:dyDescent="0.3">
      <c r="A15" s="530">
        <v>12.008999999999995</v>
      </c>
      <c r="B15" s="427" t="str">
        <f>VLOOKUP(A15,'Feature Raw Data'!$A$3:$B$3922,2,FALSE)</f>
        <v xml:space="preserve">Eliminate PA_SU_SC_MODE_CNTL.KEEP_TOGETHER_ENABLE </v>
      </c>
      <c r="C15" s="428" t="str">
        <f>VLOOKUP(A15,'Feature Raw Data'!$A$3:$C$3922,3,FALSE)</f>
        <v>P1</v>
      </c>
      <c r="D15" s="429" t="str" cm="1">
        <f t="array" ref="D15">_xlfn.TEXTJOIN("",TRUE,IF(ISNUMBER(SEARCH($A15,'Diags Raw Data'!$A$6:$A$3761)),CONCATENATE('Diags Raw Data'!$H$6:$H$3761,", "),""))</f>
        <v xml:space="preserve">placeholder_n.1, </v>
      </c>
      <c r="E15" s="340" t="e">
        <f>VLOOKUP(A15,'Diags Raw Data'!$A$6:$D$3761,4,FALSE)</f>
        <v>#N/A</v>
      </c>
      <c r="F15" s="340" t="str">
        <f>VLOOKUP(A15,'Feature Raw Data'!$A$3:$E$3922,5,FALSE)</f>
        <v>New</v>
      </c>
      <c r="G15" s="340" t="str">
        <f t="shared" si="0"/>
        <v>Yes</v>
      </c>
      <c r="H15" s="340" t="str">
        <f t="shared" si="1"/>
        <v>Yes</v>
      </c>
      <c r="I15" s="428">
        <f>SUMIF('Diags Raw Data'!$A$6:$A$3761,"*"&amp;$A15&amp;"*",'Diags Raw Data'!$K$6:$K$3761)</f>
        <v>0</v>
      </c>
      <c r="J15" s="430">
        <f>SUMIF('Diags Raw Data'!$A$6:$A$3761,"*"&amp;$A15&amp;"*",'Diags Raw Data'!$L$6:$L$3761)</f>
        <v>0</v>
      </c>
      <c r="K15" s="468" t="e" cm="1">
        <f t="array" ref="K15">IF(D15="",0, SUMPRODUCT(--(ISNUMBER(SEARCH($A15,'Diags Raw Data'!$A$6:$A$3761))),'Diags Raw Data'!$L$6:$L$3761,'Diags Raw Data'!$N$6:$N$3761)/J15)</f>
        <v>#DIV/0!</v>
      </c>
      <c r="L15" s="469" t="e" cm="1">
        <f t="array" ref="L15">IF(D15="",0, SUMPRODUCT(--(ISNUMBER(SEARCH($A15,'Diags Raw Data'!$A$6:$A$3761))),'Diags Raw Data'!$L$6:$L$3761,'Diags Raw Data'!$P$6:$P$3761)/J15)</f>
        <v>#DIV/0!</v>
      </c>
      <c r="M15" s="470" cm="1">
        <f t="array" ref="M15">SUMPRODUCT(--(ISNUMBER(SEARCH($A15,'Diags Raw Data'!$A$6:$A$3761))),--('Diags Raw Data'!$Q$6:$Q$3761&lt;&gt;"N/A"),'Diags Raw Data'!$R$6:$R$3761)</f>
        <v>1</v>
      </c>
      <c r="N15" s="471" cm="1">
        <f t="array" ref="N15">SUMPRODUCT(--(ISNUMBER(SEARCH($A15,'Diags Raw Data'!$A$6:$A$3761))),--('Diags Raw Data'!$Q$6:$Q$3761&lt;&gt;"N/A"),'Diags Raw Data'!$T$6:$T$3761)+SUMPRODUCT(--(ISNUMBER(SEARCH($A15,'Diags Raw Data'!$A$6:$A$3761))),--('Diags Raw Data'!$Q$6:$Q$3761&lt;&gt;"N/A"),'Diags Raw Data'!$U$6:$U$3761)</f>
        <v>0</v>
      </c>
      <c r="O15" s="472">
        <f t="shared" si="2"/>
        <v>0</v>
      </c>
      <c r="P15" s="473">
        <f>SUMIF('Diags Raw Data'!$A$6:$A$3761,"*"&amp;$A15&amp;"*",'Diags Raw Data'!$Z$6:$Z$3761)</f>
        <v>0</v>
      </c>
      <c r="Q15" s="474">
        <f>SUM(SUMIF('Diags Raw Data'!$A$6:$A$3761,"*"&amp;$A15&amp;"*",'Diags Raw Data'!$AA$6:$AA$3761),SUMIF('Diags Raw Data'!$A$6:$A$3761,"*"&amp;$A15&amp;"*",'Diags Raw Data'!$AB$6:$AB$3761))</f>
        <v>0</v>
      </c>
      <c r="R15" s="475">
        <f t="shared" si="3"/>
        <v>0</v>
      </c>
      <c r="S15" s="475">
        <f t="shared" si="4"/>
        <v>0</v>
      </c>
      <c r="T15" s="476">
        <f t="shared" si="5"/>
        <v>0</v>
      </c>
      <c r="U15" s="425" t="e">
        <f>VLOOKUP(A15,'Diags Raw Data'!$A$6:$AH$3761,33,FALSE)</f>
        <v>#N/A</v>
      </c>
      <c r="V15" s="181"/>
    </row>
    <row r="16" spans="1:23" ht="135.75" thickBot="1" x14ac:dyDescent="0.3">
      <c r="A16" s="530">
        <v>12.009999999999994</v>
      </c>
      <c r="B16" s="427" t="str">
        <f>VLOOKUP(A16,'Feature Raw Data'!$A$3:$B$3922,2,FALSE)</f>
        <v xml:space="preserve">Separate AUTO_RESET_CNTL from PA_SC_LINE_STIPPLE </v>
      </c>
      <c r="C16" s="428" t="str">
        <f>VLOOKUP(A16,'Feature Raw Data'!$A$3:$C$3922,3,FALSE)</f>
        <v>P1</v>
      </c>
      <c r="D16" s="429" t="str" cm="1">
        <f t="array" ref="D16">_xlfn.TEXTJOIN("",TRUE,IF(ISNUMBER(SEARCH($A16,'Diags Raw Data'!$A$6:$A$3761)),CONCATENATE('Diags Raw Data'!$H$6:$H$3761,", "),""))</f>
        <v xml:space="preserve">sc42.2,sc42.3,sc26.9,sc26.10,sc26.11,sc26.12, gfx.sr_stat, placeholder_o.1, placeholder_p.1, ppi41.2,ppi41.22,ppi41.42,ppi41.52, txi91.0-1, txi90.0-5, </v>
      </c>
      <c r="E16" s="340" t="e">
        <f>VLOOKUP(A16,'Diags Raw Data'!$A$6:$D$3761,4,FALSE)</f>
        <v>#N/A</v>
      </c>
      <c r="F16" s="340" t="str">
        <f>VLOOKUP(A16,'Feature Raw Data'!$A$3:$E$3922,5,FALSE)</f>
        <v>New</v>
      </c>
      <c r="G16" s="340" t="str">
        <f t="shared" si="0"/>
        <v>Yes</v>
      </c>
      <c r="H16" s="340" t="str">
        <f t="shared" si="1"/>
        <v>Yes</v>
      </c>
      <c r="I16" s="428">
        <f>SUMIF('Diags Raw Data'!$A$6:$A$3761,"*"&amp;$A16&amp;"*",'Diags Raw Data'!$K$6:$K$3761)</f>
        <v>0</v>
      </c>
      <c r="J16" s="430">
        <f>SUMIF('Diags Raw Data'!$A$6:$A$3761,"*"&amp;$A16&amp;"*",'Diags Raw Data'!$L$6:$L$3761)</f>
        <v>0</v>
      </c>
      <c r="K16" s="468" t="e" cm="1">
        <f t="array" ref="K16">IF(D16="",0, SUMPRODUCT(--(ISNUMBER(SEARCH($A16,'Diags Raw Data'!$A$6:$A$3761))),'Diags Raw Data'!$L$6:$L$3761,'Diags Raw Data'!$N$6:$N$3761)/J16)</f>
        <v>#DIV/0!</v>
      </c>
      <c r="L16" s="469" t="e" cm="1">
        <f t="array" ref="L16">IF(D16="",0, SUMPRODUCT(--(ISNUMBER(SEARCH($A16,'Diags Raw Data'!$A$6:$A$3761))),'Diags Raw Data'!$L$6:$L$3761,'Diags Raw Data'!$P$6:$P$3761)/J16)</f>
        <v>#DIV/0!</v>
      </c>
      <c r="M16" s="470" cm="1">
        <f t="array" ref="M16">SUMPRODUCT(--(ISNUMBER(SEARCH($A16,'Diags Raw Data'!$A$6:$A$3761))),--('Diags Raw Data'!$Q$6:$Q$3761&lt;&gt;"N/A"),'Diags Raw Data'!$R$6:$R$3761)</f>
        <v>18</v>
      </c>
      <c r="N16" s="471" cm="1">
        <f t="array" ref="N16">SUMPRODUCT(--(ISNUMBER(SEARCH($A16,'Diags Raw Data'!$A$6:$A$3761))),--('Diags Raw Data'!$Q$6:$Q$3761&lt;&gt;"N/A"),'Diags Raw Data'!$T$6:$T$3761)+SUMPRODUCT(--(ISNUMBER(SEARCH($A16,'Diags Raw Data'!$A$6:$A$3761))),--('Diags Raw Data'!$Q$6:$Q$3761&lt;&gt;"N/A"),'Diags Raw Data'!$U$6:$U$3761)</f>
        <v>10</v>
      </c>
      <c r="O16" s="472">
        <f t="shared" si="2"/>
        <v>0.55555555555555558</v>
      </c>
      <c r="P16" s="473">
        <f>SUMIF('Diags Raw Data'!$A$6:$A$3761,"*"&amp;$A16&amp;"*",'Diags Raw Data'!$Z$6:$Z$3761)</f>
        <v>0</v>
      </c>
      <c r="Q16" s="474">
        <f>SUM(SUMIF('Diags Raw Data'!$A$6:$A$3761,"*"&amp;$A16&amp;"*",'Diags Raw Data'!$AA$6:$AA$3761),SUMIF('Diags Raw Data'!$A$6:$A$3761,"*"&amp;$A16&amp;"*",'Diags Raw Data'!$AB$6:$AB$3761))</f>
        <v>0</v>
      </c>
      <c r="R16" s="475">
        <f t="shared" si="3"/>
        <v>0</v>
      </c>
      <c r="S16" s="475">
        <f t="shared" si="4"/>
        <v>0</v>
      </c>
      <c r="T16" s="476">
        <f t="shared" si="5"/>
        <v>0</v>
      </c>
      <c r="U16" s="425" t="e">
        <f>VLOOKUP(A16,'Diags Raw Data'!$A$6:$AH$3761,33,FALSE)</f>
        <v>#N/A</v>
      </c>
      <c r="V16" s="181"/>
    </row>
    <row r="17" spans="1:22" s="184" customFormat="1" ht="90.75" thickBot="1" x14ac:dyDescent="0.3">
      <c r="A17" s="530">
        <v>12.010999999999994</v>
      </c>
      <c r="B17" s="427" t="str">
        <f>VLOOKUP(A17,'Feature Raw Data'!$A$3:$B$3922,2,FALSE)</f>
        <v xml:space="preserve">Implicit viewport scissoring </v>
      </c>
      <c r="C17" s="428" t="str">
        <f>VLOOKUP(A17,'Feature Raw Data'!$A$3:$C$3922,3,FALSE)</f>
        <v>P1</v>
      </c>
      <c r="D17" s="429" t="str" cm="1">
        <f t="array" ref="D17">_xlfn.TEXTJOIN("",TRUE,IF(ISNUMBER(SEARCH($A17,'Diags Raw Data'!$A$6:$A$3761)),CONCATENATE('Diags Raw Data'!$H$6:$H$3761,", "),""))</f>
        <v/>
      </c>
      <c r="E17" s="340" t="e">
        <f>VLOOKUP(A17,'Diags Raw Data'!$A$6:$D$3761,4,FALSE)</f>
        <v>#N/A</v>
      </c>
      <c r="F17" s="340" t="str">
        <f>VLOOKUP(A17,'Feature Raw Data'!$A$3:$E$3922,5,FALSE)</f>
        <v>New</v>
      </c>
      <c r="G17" s="340" t="str">
        <f t="shared" si="0"/>
        <v>Yes</v>
      </c>
      <c r="H17" s="340" t="str">
        <f t="shared" si="1"/>
        <v>Yes</v>
      </c>
      <c r="I17" s="428">
        <f>SUMIF('Diags Raw Data'!$A$6:$A$3761,"*"&amp;$A17&amp;"*",'Diags Raw Data'!$K$6:$K$3761)</f>
        <v>0</v>
      </c>
      <c r="J17" s="430">
        <f>SUMIF('Diags Raw Data'!$A$6:$A$3761,"*"&amp;$A17&amp;"*",'Diags Raw Data'!$L$6:$L$3761)</f>
        <v>0</v>
      </c>
      <c r="K17" s="468" cm="1">
        <f t="array" ref="K17">IF(D17="",0, SUMPRODUCT(--(ISNUMBER(SEARCH($A17,'Diags Raw Data'!$A$6:$A$3761))),'Diags Raw Data'!$L$6:$L$3761,'Diags Raw Data'!$N$6:$N$3761)/J17)</f>
        <v>0</v>
      </c>
      <c r="L17" s="469" cm="1">
        <f t="array" ref="L17">IF(D17="",0, SUMPRODUCT(--(ISNUMBER(SEARCH($A17,'Diags Raw Data'!$A$6:$A$3761))),'Diags Raw Data'!$L$6:$L$3761,'Diags Raw Data'!$P$6:$P$3761)/J17)</f>
        <v>0</v>
      </c>
      <c r="M17" s="470" cm="1">
        <f t="array" ref="M17">SUMPRODUCT(--(ISNUMBER(SEARCH($A17,'Diags Raw Data'!$A$6:$A$3761))),--('Diags Raw Data'!$Q$6:$Q$3761&lt;&gt;"N/A"),'Diags Raw Data'!$R$6:$R$3761)</f>
        <v>0</v>
      </c>
      <c r="N17" s="471" cm="1">
        <f t="array" ref="N17">SUMPRODUCT(--(ISNUMBER(SEARCH($A17,'Diags Raw Data'!$A$6:$A$3761))),--('Diags Raw Data'!$Q$6:$Q$3761&lt;&gt;"N/A"),'Diags Raw Data'!$T$6:$T$3761)+SUMPRODUCT(--(ISNUMBER(SEARCH($A17,'Diags Raw Data'!$A$6:$A$3761))),--('Diags Raw Data'!$Q$6:$Q$3761&lt;&gt;"N/A"),'Diags Raw Data'!$U$6:$U$3761)</f>
        <v>0</v>
      </c>
      <c r="O17" s="472">
        <f t="shared" si="2"/>
        <v>0</v>
      </c>
      <c r="P17" s="473">
        <f>SUMIF('Diags Raw Data'!$A$6:$A$3761,"*"&amp;$A17&amp;"*",'Diags Raw Data'!$Z$6:$Z$3761)</f>
        <v>0</v>
      </c>
      <c r="Q17" s="474">
        <f>SUM(SUMIF('Diags Raw Data'!$A$6:$A$3761,"*"&amp;$A17&amp;"*",'Diags Raw Data'!$AA$6:$AA$3761),SUMIF('Diags Raw Data'!$A$6:$A$3761,"*"&amp;$A17&amp;"*",'Diags Raw Data'!$AB$6:$AB$3761))</f>
        <v>0</v>
      </c>
      <c r="R17" s="475">
        <f t="shared" si="3"/>
        <v>0</v>
      </c>
      <c r="S17" s="475">
        <f t="shared" si="4"/>
        <v>0</v>
      </c>
      <c r="T17" s="476">
        <f t="shared" si="5"/>
        <v>0</v>
      </c>
      <c r="U17" s="425" t="e">
        <f>VLOOKUP(A17,'Diags Raw Data'!$A$6:$AH$3761,33,FALSE)</f>
        <v>#N/A</v>
      </c>
      <c r="V17" s="183"/>
    </row>
    <row r="18" spans="1:22" ht="30.75" thickBot="1" x14ac:dyDescent="0.3">
      <c r="A18" s="530">
        <v>12.011999999999993</v>
      </c>
      <c r="B18" s="427" t="str">
        <f>VLOOKUP(A18,'Feature Raw Data'!$A$3:$B$3922,2,FALSE)</f>
        <v xml:space="preserve">Simplify workaround for DEGGIGXX0-4644 </v>
      </c>
      <c r="C18" s="428" t="str">
        <f>VLOOKUP(A18,'Feature Raw Data'!$A$3:$C$3922,3,FALSE)</f>
        <v>P1</v>
      </c>
      <c r="D18" s="429" t="str" cm="1">
        <f t="array" ref="D18">_xlfn.TEXTJOIN("",TRUE,IF(ISNUMBER(SEARCH($A18,'Diags Raw Data'!$A$6:$A$3761)),CONCATENATE('Diags Raw Data'!$H$6:$H$3761,", "),""))</f>
        <v xml:space="preserve">gfx.sr_stat, </v>
      </c>
      <c r="E18" s="340" t="e">
        <f>VLOOKUP(A18,'Diags Raw Data'!$A$6:$D$3761,4,FALSE)</f>
        <v>#N/A</v>
      </c>
      <c r="F18" s="340" t="str">
        <f>VLOOKUP(A18,'Feature Raw Data'!$A$3:$E$3922,5,FALSE)</f>
        <v>Delta</v>
      </c>
      <c r="G18" s="340" t="str">
        <f t="shared" si="0"/>
        <v>Yes</v>
      </c>
      <c r="H18" s="340" t="str">
        <f t="shared" si="1"/>
        <v>Yes</v>
      </c>
      <c r="I18" s="428">
        <f>SUMIF('Diags Raw Data'!$A$6:$A$3761,"*"&amp;$A18&amp;"*",'Diags Raw Data'!$K$6:$K$3761)</f>
        <v>0</v>
      </c>
      <c r="J18" s="430">
        <f>SUMIF('Diags Raw Data'!$A$6:$A$3761,"*"&amp;$A18&amp;"*",'Diags Raw Data'!$L$6:$L$3761)</f>
        <v>0</v>
      </c>
      <c r="K18" s="468" t="e" cm="1">
        <f t="array" ref="K18">IF(D18="",0, SUMPRODUCT(--(ISNUMBER(SEARCH($A18,'Diags Raw Data'!$A$6:$A$3761))),'Diags Raw Data'!$L$6:$L$3761,'Diags Raw Data'!$N$6:$N$3761)/J18)</f>
        <v>#DIV/0!</v>
      </c>
      <c r="L18" s="469" t="e" cm="1">
        <f t="array" ref="L18">IF(D18="",0, SUMPRODUCT(--(ISNUMBER(SEARCH($A18,'Diags Raw Data'!$A$6:$A$3761))),'Diags Raw Data'!$L$6:$L$3761,'Diags Raw Data'!$P$6:$P$3761)/J18)</f>
        <v>#DIV/0!</v>
      </c>
      <c r="M18" s="470" cm="1">
        <f t="array" ref="M18">SUMPRODUCT(--(ISNUMBER(SEARCH($A18,'Diags Raw Data'!$A$6:$A$3761))),--('Diags Raw Data'!$Q$6:$Q$3761&lt;&gt;"N/A"),'Diags Raw Data'!$R$6:$R$3761)</f>
        <v>1</v>
      </c>
      <c r="N18" s="471" cm="1">
        <f t="array" ref="N18">SUMPRODUCT(--(ISNUMBER(SEARCH($A18,'Diags Raw Data'!$A$6:$A$3761))),--('Diags Raw Data'!$Q$6:$Q$3761&lt;&gt;"N/A"),'Diags Raw Data'!$T$6:$T$3761)+SUMPRODUCT(--(ISNUMBER(SEARCH($A18,'Diags Raw Data'!$A$6:$A$3761))),--('Diags Raw Data'!$Q$6:$Q$3761&lt;&gt;"N/A"),'Diags Raw Data'!$U$6:$U$3761)</f>
        <v>1</v>
      </c>
      <c r="O18" s="472">
        <f t="shared" si="2"/>
        <v>1</v>
      </c>
      <c r="P18" s="473">
        <f>SUMIF('Diags Raw Data'!$A$6:$A$3761,"*"&amp;$A18&amp;"*",'Diags Raw Data'!$Z$6:$Z$3761)</f>
        <v>0</v>
      </c>
      <c r="Q18" s="474">
        <f>SUM(SUMIF('Diags Raw Data'!$A$6:$A$3761,"*"&amp;$A18&amp;"*",'Diags Raw Data'!$AA$6:$AA$3761),SUMIF('Diags Raw Data'!$A$6:$A$3761,"*"&amp;$A18&amp;"*",'Diags Raw Data'!$AB$6:$AB$3761))</f>
        <v>0</v>
      </c>
      <c r="R18" s="475">
        <f t="shared" si="3"/>
        <v>0</v>
      </c>
      <c r="S18" s="475">
        <f t="shared" si="4"/>
        <v>0</v>
      </c>
      <c r="T18" s="476">
        <f t="shared" si="5"/>
        <v>0</v>
      </c>
      <c r="U18" s="425" t="e">
        <f>VLOOKUP(A18,'Diags Raw Data'!$A$6:$AH$3761,33,FALSE)</f>
        <v>#N/A</v>
      </c>
      <c r="V18" s="181"/>
    </row>
    <row r="19" spans="1:22" ht="30.75" thickBot="1" x14ac:dyDescent="0.3">
      <c r="A19" s="530">
        <v>12.012999999999993</v>
      </c>
      <c r="B19" s="427" t="str">
        <f>VLOOKUP(A19,'Feature Raw Data'!$A$3:$B$3922,2,FALSE)</f>
        <v>Separate event enable bits out of SPI_CONFIG_CNTL</v>
      </c>
      <c r="C19" s="428" t="str">
        <f>VLOOKUP(A19,'Feature Raw Data'!$A$3:$C$3922,3,FALSE)</f>
        <v>P2</v>
      </c>
      <c r="D19" s="429" t="str" cm="1">
        <f t="array" ref="D19">_xlfn.TEXTJOIN("",TRUE,IF(ISNUMBER(SEARCH($A19,'Diags Raw Data'!$A$6:$A$3761)),CONCATENATE('Diags Raw Data'!$H$6:$H$3761,", "),""))</f>
        <v xml:space="preserve">placeholder_o.1, </v>
      </c>
      <c r="E19" s="340" t="e">
        <f>VLOOKUP(A19,'Diags Raw Data'!$A$6:$D$3761,4,FALSE)</f>
        <v>#N/A</v>
      </c>
      <c r="F19" s="340" t="str">
        <f>VLOOKUP(A19,'Feature Raw Data'!$A$3:$E$3922,5,FALSE)</f>
        <v>New</v>
      </c>
      <c r="G19" s="340" t="str">
        <f t="shared" si="0"/>
        <v>Yes</v>
      </c>
      <c r="H19" s="340" t="str">
        <f t="shared" si="1"/>
        <v>Yes</v>
      </c>
      <c r="I19" s="428">
        <f>SUMIF('Diags Raw Data'!$A$6:$A$3761,"*"&amp;$A19&amp;"*",'Diags Raw Data'!$K$6:$K$3761)</f>
        <v>0</v>
      </c>
      <c r="J19" s="430">
        <f>SUMIF('Diags Raw Data'!$A$6:$A$3761,"*"&amp;$A19&amp;"*",'Diags Raw Data'!$L$6:$L$3761)</f>
        <v>0</v>
      </c>
      <c r="K19" s="468" t="e" cm="1">
        <f t="array" ref="K19">IF(D19="",0, SUMPRODUCT(--(ISNUMBER(SEARCH($A19,'Diags Raw Data'!$A$6:$A$3761))),'Diags Raw Data'!$L$6:$L$3761,'Diags Raw Data'!$N$6:$N$3761)/J19)</f>
        <v>#DIV/0!</v>
      </c>
      <c r="L19" s="469" t="e" cm="1">
        <f t="array" ref="L19">IF(D19="",0, SUMPRODUCT(--(ISNUMBER(SEARCH($A19,'Diags Raw Data'!$A$6:$A$3761))),'Diags Raw Data'!$L$6:$L$3761,'Diags Raw Data'!$P$6:$P$3761)/J19)</f>
        <v>#DIV/0!</v>
      </c>
      <c r="M19" s="470" cm="1">
        <f t="array" ref="M19">SUMPRODUCT(--(ISNUMBER(SEARCH($A19,'Diags Raw Data'!$A$6:$A$3761))),--('Diags Raw Data'!$Q$6:$Q$3761&lt;&gt;"N/A"),'Diags Raw Data'!$R$6:$R$3761)</f>
        <v>1</v>
      </c>
      <c r="N19" s="471" cm="1">
        <f t="array" ref="N19">SUMPRODUCT(--(ISNUMBER(SEARCH($A19,'Diags Raw Data'!$A$6:$A$3761))),--('Diags Raw Data'!$Q$6:$Q$3761&lt;&gt;"N/A"),'Diags Raw Data'!$T$6:$T$3761)+SUMPRODUCT(--(ISNUMBER(SEARCH($A19,'Diags Raw Data'!$A$6:$A$3761))),--('Diags Raw Data'!$Q$6:$Q$3761&lt;&gt;"N/A"),'Diags Raw Data'!$U$6:$U$3761)</f>
        <v>0</v>
      </c>
      <c r="O19" s="472">
        <f t="shared" si="2"/>
        <v>0</v>
      </c>
      <c r="P19" s="473">
        <f>SUMIF('Diags Raw Data'!$A$6:$A$3761,"*"&amp;$A19&amp;"*",'Diags Raw Data'!$Z$6:$Z$3761)</f>
        <v>0</v>
      </c>
      <c r="Q19" s="474">
        <f>SUM(SUMIF('Diags Raw Data'!$A$6:$A$3761,"*"&amp;$A19&amp;"*",'Diags Raw Data'!$AA$6:$AA$3761),SUMIF('Diags Raw Data'!$A$6:$A$3761,"*"&amp;$A19&amp;"*",'Diags Raw Data'!$AB$6:$AB$3761))</f>
        <v>0</v>
      </c>
      <c r="R19" s="475">
        <f t="shared" si="3"/>
        <v>0</v>
      </c>
      <c r="S19" s="475">
        <f t="shared" si="4"/>
        <v>0</v>
      </c>
      <c r="T19" s="476">
        <f t="shared" si="5"/>
        <v>0</v>
      </c>
      <c r="U19" s="425" t="e">
        <f>VLOOKUP(A19,'Diags Raw Data'!$A$6:$AH$3761,33,FALSE)</f>
        <v>#N/A</v>
      </c>
      <c r="V19" s="181"/>
    </row>
    <row r="20" spans="1:22" ht="15.75" thickBot="1" x14ac:dyDescent="0.3">
      <c r="A20" s="530">
        <v>12.013999999999992</v>
      </c>
      <c r="B20" s="427" t="str">
        <f>VLOOKUP(A20,'Feature Raw Data'!$A$3:$B$3922,2,FALSE)</f>
        <v xml:space="preserve">Split DB_RENDER_OVERRIDE </v>
      </c>
      <c r="C20" s="428" t="str">
        <f>VLOOKUP(A20,'Feature Raw Data'!$A$3:$C$3922,3,FALSE)</f>
        <v>P1</v>
      </c>
      <c r="D20" s="429" t="str" cm="1">
        <f t="array" ref="D20">_xlfn.TEXTJOIN("",TRUE,IF(ISNUMBER(SEARCH($A20,'Diags Raw Data'!$A$6:$A$3761)),CONCATENATE('Diags Raw Data'!$H$6:$H$3761,", "),""))</f>
        <v xml:space="preserve">placeholder_p.1, </v>
      </c>
      <c r="E20" s="340" t="e">
        <f>VLOOKUP(A20,'Diags Raw Data'!$A$6:$D$3761,4,FALSE)</f>
        <v>#N/A</v>
      </c>
      <c r="F20" s="340" t="str">
        <f>VLOOKUP(A20,'Feature Raw Data'!$A$3:$E$3922,5,FALSE)</f>
        <v>New</v>
      </c>
      <c r="G20" s="340" t="str">
        <f t="shared" si="0"/>
        <v>Yes</v>
      </c>
      <c r="H20" s="340" t="str">
        <f t="shared" si="1"/>
        <v>Yes</v>
      </c>
      <c r="I20" s="428">
        <f>SUMIF('Diags Raw Data'!$A$6:$A$3761,"*"&amp;$A20&amp;"*",'Diags Raw Data'!$K$6:$K$3761)</f>
        <v>0</v>
      </c>
      <c r="J20" s="430">
        <f>SUMIF('Diags Raw Data'!$A$6:$A$3761,"*"&amp;$A20&amp;"*",'Diags Raw Data'!$L$6:$L$3761)</f>
        <v>0</v>
      </c>
      <c r="K20" s="468" t="e" cm="1">
        <f t="array" ref="K20">IF(D20="",0, SUMPRODUCT(--(ISNUMBER(SEARCH($A20,'Diags Raw Data'!$A$6:$A$3761))),'Diags Raw Data'!$L$6:$L$3761,'Diags Raw Data'!$N$6:$N$3761)/J20)</f>
        <v>#DIV/0!</v>
      </c>
      <c r="L20" s="469" t="e" cm="1">
        <f t="array" ref="L20">IF(D20="",0, SUMPRODUCT(--(ISNUMBER(SEARCH($A20,'Diags Raw Data'!$A$6:$A$3761))),'Diags Raw Data'!$L$6:$L$3761,'Diags Raw Data'!$P$6:$P$3761)/J20)</f>
        <v>#DIV/0!</v>
      </c>
      <c r="M20" s="470" cm="1">
        <f t="array" ref="M20">SUMPRODUCT(--(ISNUMBER(SEARCH($A20,'Diags Raw Data'!$A$6:$A$3761))),--('Diags Raw Data'!$Q$6:$Q$3761&lt;&gt;"N/A"),'Diags Raw Data'!$R$6:$R$3761)</f>
        <v>1</v>
      </c>
      <c r="N20" s="471" cm="1">
        <f t="array" ref="N20">SUMPRODUCT(--(ISNUMBER(SEARCH($A20,'Diags Raw Data'!$A$6:$A$3761))),--('Diags Raw Data'!$Q$6:$Q$3761&lt;&gt;"N/A"),'Diags Raw Data'!$T$6:$T$3761)+SUMPRODUCT(--(ISNUMBER(SEARCH($A20,'Diags Raw Data'!$A$6:$A$3761))),--('Diags Raw Data'!$Q$6:$Q$3761&lt;&gt;"N/A"),'Diags Raw Data'!$U$6:$U$3761)</f>
        <v>0</v>
      </c>
      <c r="O20" s="472">
        <f t="shared" si="2"/>
        <v>0</v>
      </c>
      <c r="P20" s="473">
        <f>SUMIF('Diags Raw Data'!$A$6:$A$3761,"*"&amp;$A20&amp;"*",'Diags Raw Data'!$Z$6:$Z$3761)</f>
        <v>0</v>
      </c>
      <c r="Q20" s="474">
        <f>SUM(SUMIF('Diags Raw Data'!$A$6:$A$3761,"*"&amp;$A20&amp;"*",'Diags Raw Data'!$AA$6:$AA$3761),SUMIF('Diags Raw Data'!$A$6:$A$3761,"*"&amp;$A20&amp;"*",'Diags Raw Data'!$AB$6:$AB$3761))</f>
        <v>0</v>
      </c>
      <c r="R20" s="475">
        <f t="shared" si="3"/>
        <v>0</v>
      </c>
      <c r="S20" s="475">
        <f t="shared" si="4"/>
        <v>0</v>
      </c>
      <c r="T20" s="476">
        <f t="shared" si="5"/>
        <v>0</v>
      </c>
      <c r="U20" s="425" t="e">
        <f>VLOOKUP(A20,'Diags Raw Data'!$A$6:$AH$3761,33,FALSE)</f>
        <v>#N/A</v>
      </c>
      <c r="V20" s="181"/>
    </row>
    <row r="21" spans="1:22" ht="15.75" thickBot="1" x14ac:dyDescent="0.3">
      <c r="A21" s="530">
        <v>12.014999999999992</v>
      </c>
      <c r="B21" s="427" t="str">
        <f>VLOOKUP(A21,'Feature Raw Data'!$A$3:$B$3922,2,FALSE)</f>
        <v xml:space="preserve">DB_STENCILREFMASK refactor </v>
      </c>
      <c r="C21" s="428" t="str">
        <f>VLOOKUP(A21,'Feature Raw Data'!$A$3:$C$3922,3,FALSE)</f>
        <v>P1</v>
      </c>
      <c r="D21" s="429" t="str" cm="1">
        <f t="array" ref="D21">_xlfn.TEXTJOIN("",TRUE,IF(ISNUMBER(SEARCH($A21,'Diags Raw Data'!$A$6:$A$3761)),CONCATENATE('Diags Raw Data'!$H$6:$H$3761,", "),""))</f>
        <v xml:space="preserve">ppi41.2,ppi41.22,ppi41.42,ppi41.52, </v>
      </c>
      <c r="E21" s="340" t="e">
        <f>VLOOKUP(A21,'Diags Raw Data'!$A$6:$D$3761,4,FALSE)</f>
        <v>#N/A</v>
      </c>
      <c r="F21" s="340" t="str">
        <f>VLOOKUP(A21,'Feature Raw Data'!$A$3:$E$3922,5,FALSE)</f>
        <v>Delta</v>
      </c>
      <c r="G21" s="340" t="str">
        <f t="shared" si="0"/>
        <v>Yes</v>
      </c>
      <c r="H21" s="340" t="str">
        <f t="shared" si="1"/>
        <v>Yes</v>
      </c>
      <c r="I21" s="428">
        <f>SUMIF('Diags Raw Data'!$A$6:$A$3761,"*"&amp;$A21&amp;"*",'Diags Raw Data'!$K$6:$K$3761)</f>
        <v>0</v>
      </c>
      <c r="J21" s="430">
        <f>SUMIF('Diags Raw Data'!$A$6:$A$3761,"*"&amp;$A21&amp;"*",'Diags Raw Data'!$L$6:$L$3761)</f>
        <v>0</v>
      </c>
      <c r="K21" s="468" t="e" cm="1">
        <f t="array" ref="K21">IF(D21="",0, SUMPRODUCT(--(ISNUMBER(SEARCH($A21,'Diags Raw Data'!$A$6:$A$3761))),'Diags Raw Data'!$L$6:$L$3761,'Diags Raw Data'!$N$6:$N$3761)/J21)</f>
        <v>#DIV/0!</v>
      </c>
      <c r="L21" s="469" t="e" cm="1">
        <f t="array" ref="L21">IF(D21="",0, SUMPRODUCT(--(ISNUMBER(SEARCH($A21,'Diags Raw Data'!$A$6:$A$3761))),'Diags Raw Data'!$L$6:$L$3761,'Diags Raw Data'!$P$6:$P$3761)/J21)</f>
        <v>#DIV/0!</v>
      </c>
      <c r="M21" s="470" cm="1">
        <f t="array" ref="M21">SUMPRODUCT(--(ISNUMBER(SEARCH($A21,'Diags Raw Data'!$A$6:$A$3761))),--('Diags Raw Data'!$Q$6:$Q$3761&lt;&gt;"N/A"),'Diags Raw Data'!$R$6:$R$3761)</f>
        <v>1</v>
      </c>
      <c r="N21" s="471" cm="1">
        <f t="array" ref="N21">SUMPRODUCT(--(ISNUMBER(SEARCH($A21,'Diags Raw Data'!$A$6:$A$3761))),--('Diags Raw Data'!$Q$6:$Q$3761&lt;&gt;"N/A"),'Diags Raw Data'!$T$6:$T$3761)+SUMPRODUCT(--(ISNUMBER(SEARCH($A21,'Diags Raw Data'!$A$6:$A$3761))),--('Diags Raw Data'!$Q$6:$Q$3761&lt;&gt;"N/A"),'Diags Raw Data'!$U$6:$U$3761)</f>
        <v>0</v>
      </c>
      <c r="O21" s="472">
        <f t="shared" si="2"/>
        <v>0</v>
      </c>
      <c r="P21" s="473">
        <f>SUMIF('Diags Raw Data'!$A$6:$A$3761,"*"&amp;$A21&amp;"*",'Diags Raw Data'!$Z$6:$Z$3761)</f>
        <v>0</v>
      </c>
      <c r="Q21" s="474">
        <f>SUM(SUMIF('Diags Raw Data'!$A$6:$A$3761,"*"&amp;$A21&amp;"*",'Diags Raw Data'!$AA$6:$AA$3761),SUMIF('Diags Raw Data'!$A$6:$A$3761,"*"&amp;$A21&amp;"*",'Diags Raw Data'!$AB$6:$AB$3761))</f>
        <v>0</v>
      </c>
      <c r="R21" s="475">
        <f t="shared" si="3"/>
        <v>0</v>
      </c>
      <c r="S21" s="475">
        <f t="shared" si="4"/>
        <v>0</v>
      </c>
      <c r="T21" s="476">
        <f t="shared" si="5"/>
        <v>0</v>
      </c>
      <c r="U21" s="425" t="e">
        <f>VLOOKUP(A21,'Diags Raw Data'!$A$6:$AH$3761,33,FALSE)</f>
        <v>#N/A</v>
      </c>
      <c r="V21" s="181"/>
    </row>
    <row r="22" spans="1:22" ht="30.75" thickBot="1" x14ac:dyDescent="0.3">
      <c r="A22" s="530">
        <v>12.015999999999991</v>
      </c>
      <c r="B22" s="427" t="str">
        <f>VLOOKUP(A22,'Feature Raw Data'!$A$3:$B$3922,2,FALSE)</f>
        <v xml:space="preserve">Per target control for CB BIG_PAGE/L2_BYPASS </v>
      </c>
      <c r="C22" s="428" t="str">
        <f>VLOOKUP(A22,'Feature Raw Data'!$A$3:$C$3922,3,FALSE)</f>
        <v>P1</v>
      </c>
      <c r="D22" s="429" t="str" cm="1">
        <f t="array" ref="D22">_xlfn.TEXTJOIN("",TRUE,IF(ISNUMBER(SEARCH($A22,'Diags Raw Data'!$A$6:$A$3761)),CONCATENATE('Diags Raw Data'!$H$6:$H$3761,", "),""))</f>
        <v/>
      </c>
      <c r="E22" s="340" t="e">
        <f>VLOOKUP(A22,'Diags Raw Data'!$A$6:$D$3761,4,FALSE)</f>
        <v>#N/A</v>
      </c>
      <c r="F22" s="340" t="str">
        <f>VLOOKUP(A22,'Feature Raw Data'!$A$3:$E$3922,5,FALSE)</f>
        <v>New</v>
      </c>
      <c r="G22" s="340" t="str">
        <f t="shared" si="0"/>
        <v>Yes</v>
      </c>
      <c r="H22" s="340" t="str">
        <f t="shared" si="1"/>
        <v>Yes</v>
      </c>
      <c r="I22" s="428">
        <f>SUMIF('Diags Raw Data'!$A$6:$A$3761,"*"&amp;$A22&amp;"*",'Diags Raw Data'!$K$6:$K$3761)</f>
        <v>0</v>
      </c>
      <c r="J22" s="430">
        <f>SUMIF('Diags Raw Data'!$A$6:$A$3761,"*"&amp;$A22&amp;"*",'Diags Raw Data'!$L$6:$L$3761)</f>
        <v>0</v>
      </c>
      <c r="K22" s="468" cm="1">
        <f t="array" ref="K22">IF(D22="",0, SUMPRODUCT(--(ISNUMBER(SEARCH($A22,'Diags Raw Data'!$A$6:$A$3761))),'Diags Raw Data'!$L$6:$L$3761,'Diags Raw Data'!$N$6:$N$3761)/J22)</f>
        <v>0</v>
      </c>
      <c r="L22" s="469" cm="1">
        <f t="array" ref="L22">IF(D22="",0, SUMPRODUCT(--(ISNUMBER(SEARCH($A22,'Diags Raw Data'!$A$6:$A$3761))),'Diags Raw Data'!$L$6:$L$3761,'Diags Raw Data'!$P$6:$P$3761)/J22)</f>
        <v>0</v>
      </c>
      <c r="M22" s="470" cm="1">
        <f t="array" ref="M22">SUMPRODUCT(--(ISNUMBER(SEARCH($A22,'Diags Raw Data'!$A$6:$A$3761))),--('Diags Raw Data'!$Q$6:$Q$3761&lt;&gt;"N/A"),'Diags Raw Data'!$R$6:$R$3761)</f>
        <v>0</v>
      </c>
      <c r="N22" s="471" cm="1">
        <f t="array" ref="N22">SUMPRODUCT(--(ISNUMBER(SEARCH($A22,'Diags Raw Data'!$A$6:$A$3761))),--('Diags Raw Data'!$Q$6:$Q$3761&lt;&gt;"N/A"),'Diags Raw Data'!$T$6:$T$3761)+SUMPRODUCT(--(ISNUMBER(SEARCH($A22,'Diags Raw Data'!$A$6:$A$3761))),--('Diags Raw Data'!$Q$6:$Q$3761&lt;&gt;"N/A"),'Diags Raw Data'!$U$6:$U$3761)</f>
        <v>0</v>
      </c>
      <c r="O22" s="472">
        <f t="shared" si="2"/>
        <v>0</v>
      </c>
      <c r="P22" s="473">
        <f>SUMIF('Diags Raw Data'!$A$6:$A$3761,"*"&amp;$A22&amp;"*",'Diags Raw Data'!$Z$6:$Z$3761)</f>
        <v>0</v>
      </c>
      <c r="Q22" s="474">
        <f>SUM(SUMIF('Diags Raw Data'!$A$6:$A$3761,"*"&amp;$A22&amp;"*",'Diags Raw Data'!$AA$6:$AA$3761),SUMIF('Diags Raw Data'!$A$6:$A$3761,"*"&amp;$A22&amp;"*",'Diags Raw Data'!$AB$6:$AB$3761))</f>
        <v>0</v>
      </c>
      <c r="R22" s="475">
        <f t="shared" si="3"/>
        <v>0</v>
      </c>
      <c r="S22" s="475">
        <f t="shared" si="4"/>
        <v>0</v>
      </c>
      <c r="T22" s="476">
        <f t="shared" si="5"/>
        <v>0</v>
      </c>
      <c r="U22" s="425" t="e">
        <f>VLOOKUP(A22,'Diags Raw Data'!$A$6:$AH$3761,33,FALSE)</f>
        <v>#N/A</v>
      </c>
      <c r="V22" s="181"/>
    </row>
    <row r="23" spans="1:22" ht="30.75" thickBot="1" x14ac:dyDescent="0.3">
      <c r="A23" s="530">
        <v>12.016999999999991</v>
      </c>
      <c r="B23" s="427" t="str">
        <f>VLOOKUP(A23,'Feature Raw Data'!$A$3:$B$3922,2,FALSE)</f>
        <v xml:space="preserve">MSAA shader write support for D/S images </v>
      </c>
      <c r="C23" s="428" t="str">
        <f>VLOOKUP(A23,'Feature Raw Data'!$A$3:$C$3922,3,FALSE)</f>
        <v>P1</v>
      </c>
      <c r="D23" s="429" t="str" cm="1">
        <f t="array" ref="D23">_xlfn.TEXTJOIN("",TRUE,IF(ISNUMBER(SEARCH($A23,'Diags Raw Data'!$A$6:$A$3761)),CONCATENATE('Diags Raw Data'!$H$6:$H$3761,", "),""))</f>
        <v/>
      </c>
      <c r="E23" s="340" t="e">
        <f>VLOOKUP(A23,'Diags Raw Data'!$A$6:$D$3761,4,FALSE)</f>
        <v>#N/A</v>
      </c>
      <c r="F23" s="340" t="str">
        <f>VLOOKUP(A23,'Feature Raw Data'!$A$3:$E$3922,5,FALSE)</f>
        <v>New</v>
      </c>
      <c r="G23" s="340" t="str">
        <f t="shared" si="0"/>
        <v>Yes</v>
      </c>
      <c r="H23" s="340" t="str">
        <f t="shared" si="1"/>
        <v>Yes</v>
      </c>
      <c r="I23" s="428">
        <f>SUMIF('Diags Raw Data'!$A$6:$A$3761,"*"&amp;$A23&amp;"*",'Diags Raw Data'!$K$6:$K$3761)</f>
        <v>0</v>
      </c>
      <c r="J23" s="430">
        <f>SUMIF('Diags Raw Data'!$A$6:$A$3761,"*"&amp;$A23&amp;"*",'Diags Raw Data'!$L$6:$L$3761)</f>
        <v>0</v>
      </c>
      <c r="K23" s="468" cm="1">
        <f t="array" ref="K23">IF(D23="",0, SUMPRODUCT(--(ISNUMBER(SEARCH($A23,'Diags Raw Data'!$A$6:$A$3761))),'Diags Raw Data'!$L$6:$L$3761,'Diags Raw Data'!$N$6:$N$3761)/J23)</f>
        <v>0</v>
      </c>
      <c r="L23" s="469" cm="1">
        <f t="array" ref="L23">IF(D23="",0, SUMPRODUCT(--(ISNUMBER(SEARCH($A23,'Diags Raw Data'!$A$6:$A$3761))),'Diags Raw Data'!$L$6:$L$3761,'Diags Raw Data'!$P$6:$P$3761)/J23)</f>
        <v>0</v>
      </c>
      <c r="M23" s="470" cm="1">
        <f t="array" ref="M23">SUMPRODUCT(--(ISNUMBER(SEARCH($A23,'Diags Raw Data'!$A$6:$A$3761))),--('Diags Raw Data'!$Q$6:$Q$3761&lt;&gt;"N/A"),'Diags Raw Data'!$R$6:$R$3761)</f>
        <v>0</v>
      </c>
      <c r="N23" s="471" cm="1">
        <f t="array" ref="N23">SUMPRODUCT(--(ISNUMBER(SEARCH($A23,'Diags Raw Data'!$A$6:$A$3761))),--('Diags Raw Data'!$Q$6:$Q$3761&lt;&gt;"N/A"),'Diags Raw Data'!$T$6:$T$3761)+SUMPRODUCT(--(ISNUMBER(SEARCH($A23,'Diags Raw Data'!$A$6:$A$3761))),--('Diags Raw Data'!$Q$6:$Q$3761&lt;&gt;"N/A"),'Diags Raw Data'!$U$6:$U$3761)</f>
        <v>0</v>
      </c>
      <c r="O23" s="472">
        <f t="shared" si="2"/>
        <v>0</v>
      </c>
      <c r="P23" s="473">
        <f>SUMIF('Diags Raw Data'!$A$6:$A$3761,"*"&amp;$A23&amp;"*",'Diags Raw Data'!$Z$6:$Z$3761)</f>
        <v>0</v>
      </c>
      <c r="Q23" s="474">
        <f>SUM(SUMIF('Diags Raw Data'!$A$6:$A$3761,"*"&amp;$A23&amp;"*",'Diags Raw Data'!$AA$6:$AA$3761),SUMIF('Diags Raw Data'!$A$6:$A$3761,"*"&amp;$A23&amp;"*",'Diags Raw Data'!$AB$6:$AB$3761))</f>
        <v>0</v>
      </c>
      <c r="R23" s="475">
        <f t="shared" si="3"/>
        <v>0</v>
      </c>
      <c r="S23" s="475">
        <f t="shared" si="4"/>
        <v>0</v>
      </c>
      <c r="T23" s="476">
        <f t="shared" si="5"/>
        <v>0</v>
      </c>
      <c r="U23" s="425" t="e">
        <f>VLOOKUP(A23,'Diags Raw Data'!$A$6:$AH$3761,33,FALSE)</f>
        <v>#N/A</v>
      </c>
      <c r="V23" s="181"/>
    </row>
    <row r="24" spans="1:22" ht="15.75" thickBot="1" x14ac:dyDescent="0.3">
      <c r="A24" s="530">
        <v>12.018999999999989</v>
      </c>
      <c r="B24" s="427" t="str">
        <f>VLOOKUP(A24,'Feature Raw Data'!$A$3:$B$3922,2,FALSE)</f>
        <v xml:space="preserve">Broadcast stores </v>
      </c>
      <c r="C24" s="428" t="str">
        <f>VLOOKUP(A24,'Feature Raw Data'!$A$3:$C$3922,3,FALSE)</f>
        <v>P1</v>
      </c>
      <c r="D24" s="429" t="str" cm="1">
        <f t="array" ref="D24">_xlfn.TEXTJOIN("",TRUE,IF(ISNUMBER(SEARCH($A24,'Diags Raw Data'!$A$6:$A$3761)),CONCATENATE('Diags Raw Data'!$H$6:$H$3761,", "),""))</f>
        <v xml:space="preserve">txi90.0-5, </v>
      </c>
      <c r="E24" s="340" t="e">
        <f>VLOOKUP(A24,'Diags Raw Data'!$A$6:$D$3761,4,FALSE)</f>
        <v>#N/A</v>
      </c>
      <c r="F24" s="340" t="str">
        <f>VLOOKUP(A24,'Feature Raw Data'!$A$3:$E$3922,5,FALSE)</f>
        <v>New</v>
      </c>
      <c r="G24" s="340" t="str">
        <f t="shared" si="0"/>
        <v>Yes</v>
      </c>
      <c r="H24" s="340" t="str">
        <f t="shared" si="1"/>
        <v>Yes</v>
      </c>
      <c r="I24" s="428">
        <f>SUMIF('Diags Raw Data'!$A$6:$A$3761,"*"&amp;$A24&amp;"*",'Diags Raw Data'!$K$6:$K$3761)</f>
        <v>0</v>
      </c>
      <c r="J24" s="430">
        <f>SUMIF('Diags Raw Data'!$A$6:$A$3761,"*"&amp;$A24&amp;"*",'Diags Raw Data'!$L$6:$L$3761)</f>
        <v>0</v>
      </c>
      <c r="K24" s="468" t="e" cm="1">
        <f t="array" ref="K24">IF(D24="",0, SUMPRODUCT(--(ISNUMBER(SEARCH($A24,'Diags Raw Data'!$A$6:$A$3761))),'Diags Raw Data'!$L$6:$L$3761,'Diags Raw Data'!$N$6:$N$3761)/J24)</f>
        <v>#DIV/0!</v>
      </c>
      <c r="L24" s="469" t="e" cm="1">
        <f t="array" ref="L24">IF(D24="",0, SUMPRODUCT(--(ISNUMBER(SEARCH($A24,'Diags Raw Data'!$A$6:$A$3761))),'Diags Raw Data'!$L$6:$L$3761,'Diags Raw Data'!$P$6:$P$3761)/J24)</f>
        <v>#DIV/0!</v>
      </c>
      <c r="M24" s="470" cm="1">
        <f t="array" ref="M24">SUMPRODUCT(--(ISNUMBER(SEARCH($A24,'Diags Raw Data'!$A$6:$A$3761))),--('Diags Raw Data'!$Q$6:$Q$3761&lt;&gt;"N/A"),'Diags Raw Data'!$R$6:$R$3761)</f>
        <v>6</v>
      </c>
      <c r="N24" s="471" cm="1">
        <f t="array" ref="N24">SUMPRODUCT(--(ISNUMBER(SEARCH($A24,'Diags Raw Data'!$A$6:$A$3761))),--('Diags Raw Data'!$Q$6:$Q$3761&lt;&gt;"N/A"),'Diags Raw Data'!$T$6:$T$3761)+SUMPRODUCT(--(ISNUMBER(SEARCH($A24,'Diags Raw Data'!$A$6:$A$3761))),--('Diags Raw Data'!$Q$6:$Q$3761&lt;&gt;"N/A"),'Diags Raw Data'!$U$6:$U$3761)</f>
        <v>6</v>
      </c>
      <c r="O24" s="472">
        <f t="shared" si="2"/>
        <v>1</v>
      </c>
      <c r="P24" s="473">
        <f>SUMIF('Diags Raw Data'!$A$6:$A$3761,"*"&amp;$A24&amp;"*",'Diags Raw Data'!$Z$6:$Z$3761)</f>
        <v>0</v>
      </c>
      <c r="Q24" s="474">
        <f>SUM(SUMIF('Diags Raw Data'!$A$6:$A$3761,"*"&amp;$A24&amp;"*",'Diags Raw Data'!$AA$6:$AA$3761),SUMIF('Diags Raw Data'!$A$6:$A$3761,"*"&amp;$A24&amp;"*",'Diags Raw Data'!$AB$6:$AB$3761))</f>
        <v>0</v>
      </c>
      <c r="R24" s="475">
        <f t="shared" si="3"/>
        <v>0</v>
      </c>
      <c r="S24" s="475">
        <f t="shared" si="4"/>
        <v>0</v>
      </c>
      <c r="T24" s="476">
        <f t="shared" si="5"/>
        <v>0</v>
      </c>
      <c r="U24" s="425" t="e">
        <f>VLOOKUP(A24,'Diags Raw Data'!$A$6:$AH$3761,33,FALSE)</f>
        <v>#N/A</v>
      </c>
      <c r="V24" s="181"/>
    </row>
    <row r="25" spans="1:22" ht="30.75" thickBot="1" x14ac:dyDescent="0.3">
      <c r="A25" s="530">
        <v>12.019999999999989</v>
      </c>
      <c r="B25" s="427" t="str">
        <f>VLOOKUP(A25,'Feature Raw Data'!$A$3:$B$3922,2,FALSE)</f>
        <v xml:space="preserve">out of order per-wave vmem returns </v>
      </c>
      <c r="C25" s="428" t="str">
        <f>VLOOKUP(A25,'Feature Raw Data'!$A$3:$C$3922,3,FALSE)</f>
        <v>P1</v>
      </c>
      <c r="D25" s="429" t="str" cm="1">
        <f t="array" ref="D25">_xlfn.TEXTJOIN("",TRUE,IF(ISNUMBER(SEARCH($A25,'Diags Raw Data'!$A$6:$A$3761)),CONCATENATE('Diags Raw Data'!$H$6:$H$3761,", "),""))</f>
        <v xml:space="preserve">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v>
      </c>
      <c r="E25" s="340" t="e">
        <f>VLOOKUP(A25,'Diags Raw Data'!$A$6:$D$3761,4,FALSE)</f>
        <v>#N/A</v>
      </c>
      <c r="F25" s="340" t="str">
        <f>VLOOKUP(A25,'Feature Raw Data'!$A$3:$E$3922,5,FALSE)</f>
        <v>New</v>
      </c>
      <c r="G25" s="340" t="str">
        <f t="shared" si="0"/>
        <v>Yes</v>
      </c>
      <c r="H25" s="340" t="str">
        <f t="shared" si="1"/>
        <v>Yes</v>
      </c>
      <c r="I25" s="428">
        <f>SUMIF('Diags Raw Data'!$A$6:$A$3761,"*"&amp;$A25&amp;"*",'Diags Raw Data'!$K$6:$K$3761)</f>
        <v>0</v>
      </c>
      <c r="J25" s="430">
        <f>SUMIF('Diags Raw Data'!$A$6:$A$3761,"*"&amp;$A25&amp;"*",'Diags Raw Data'!$L$6:$L$3761)</f>
        <v>0</v>
      </c>
      <c r="K25" s="468" t="e" cm="1">
        <f t="array" ref="K25">IF(D25="",0, SUMPRODUCT(--(ISNUMBER(SEARCH($A25,'Diags Raw Data'!$A$6:$A$3761))),'Diags Raw Data'!$L$6:$L$3761,'Diags Raw Data'!$N$6:$N$3761)/J25)</f>
        <v>#DIV/0!</v>
      </c>
      <c r="L25" s="469" t="e" cm="1">
        <f t="array" ref="L25">IF(D25="",0, SUMPRODUCT(--(ISNUMBER(SEARCH($A25,'Diags Raw Data'!$A$6:$A$3761))),'Diags Raw Data'!$L$6:$L$3761,'Diags Raw Data'!$P$6:$P$3761)/J25)</f>
        <v>#DIV/0!</v>
      </c>
      <c r="M25" s="470" cm="1">
        <f t="array" ref="M25">SUMPRODUCT(--(ISNUMBER(SEARCH($A25,'Diags Raw Data'!$A$6:$A$3761))),--('Diags Raw Data'!$Q$6:$Q$3761&lt;&gt;"N/A"),'Diags Raw Data'!$R$6:$R$3761)</f>
        <v>18</v>
      </c>
      <c r="N25" s="471" cm="1">
        <f t="array" ref="N25">SUMPRODUCT(--(ISNUMBER(SEARCH($A25,'Diags Raw Data'!$A$6:$A$3761))),--('Diags Raw Data'!$Q$6:$Q$3761&lt;&gt;"N/A"),'Diags Raw Data'!$T$6:$T$3761)+SUMPRODUCT(--(ISNUMBER(SEARCH($A25,'Diags Raw Data'!$A$6:$A$3761))),--('Diags Raw Data'!$Q$6:$Q$3761&lt;&gt;"N/A"),'Diags Raw Data'!$U$6:$U$3761)</f>
        <v>18</v>
      </c>
      <c r="O25" s="472">
        <f t="shared" si="2"/>
        <v>1</v>
      </c>
      <c r="P25" s="473">
        <f>SUMIF('Diags Raw Data'!$A$6:$A$3761,"*"&amp;$A25&amp;"*",'Diags Raw Data'!$Z$6:$Z$3761)</f>
        <v>0</v>
      </c>
      <c r="Q25" s="474">
        <f>SUM(SUMIF('Diags Raw Data'!$A$6:$A$3761,"*"&amp;$A25&amp;"*",'Diags Raw Data'!$AA$6:$AA$3761),SUMIF('Diags Raw Data'!$A$6:$A$3761,"*"&amp;$A25&amp;"*",'Diags Raw Data'!$AB$6:$AB$3761))</f>
        <v>0</v>
      </c>
      <c r="R25" s="475">
        <f t="shared" si="3"/>
        <v>0</v>
      </c>
      <c r="S25" s="475">
        <f t="shared" si="4"/>
        <v>0</v>
      </c>
      <c r="T25" s="476">
        <f t="shared" si="5"/>
        <v>0</v>
      </c>
      <c r="U25" s="425" t="e">
        <f>VLOOKUP(A25,'Diags Raw Data'!$A$6:$AH$3761,33,FALSE)</f>
        <v>#N/A</v>
      </c>
      <c r="V25" s="181"/>
    </row>
    <row r="26" spans="1:22" ht="45.75" thickBot="1" x14ac:dyDescent="0.3">
      <c r="A26" s="530">
        <v>12.026999999999985</v>
      </c>
      <c r="B26" s="427" t="str">
        <f>VLOOKUP(A26,'Feature Raw Data'!$A$3:$B$3922,2,FALSE)</f>
        <v>Configuration agnostic memory scope and policy control (dup of 12.041)</v>
      </c>
      <c r="C26" s="428" t="str">
        <f>VLOOKUP(A26,'Feature Raw Data'!$A$3:$C$3922,3,FALSE)</f>
        <v>P1</v>
      </c>
      <c r="D26" s="429" t="str" cm="1">
        <f t="array" ref="D26">_xlfn.TEXTJOIN("",TRUE,IF(ISNUMBER(SEARCH($A26,'Diags Raw Data'!$A$6:$A$3761)),CONCATENATE('Diags Raw Data'!$H$6:$H$3761,", "),""))</f>
        <v/>
      </c>
      <c r="E26" s="340" t="e">
        <f>VLOOKUP(A26,'Diags Raw Data'!$A$6:$D$3761,4,FALSE)</f>
        <v>#N/A</v>
      </c>
      <c r="F26" s="340" t="str">
        <f>VLOOKUP(A26,'Feature Raw Data'!$A$3:$E$3922,5,FALSE)</f>
        <v>New</v>
      </c>
      <c r="G26" s="340" t="str">
        <f t="shared" si="0"/>
        <v>Yes</v>
      </c>
      <c r="H26" s="340" t="str">
        <f t="shared" si="1"/>
        <v>Yes</v>
      </c>
      <c r="I26" s="428">
        <f>SUMIF('Diags Raw Data'!$A$6:$A$3761,"*"&amp;$A26&amp;"*",'Diags Raw Data'!$K$6:$K$3761)</f>
        <v>0</v>
      </c>
      <c r="J26" s="430">
        <f>SUMIF('Diags Raw Data'!$A$6:$A$3761,"*"&amp;$A26&amp;"*",'Diags Raw Data'!$L$6:$L$3761)</f>
        <v>0</v>
      </c>
      <c r="K26" s="468" cm="1">
        <f t="array" ref="K26">IF(D26="",0, SUMPRODUCT(--(ISNUMBER(SEARCH($A26,'Diags Raw Data'!$A$6:$A$3761))),'Diags Raw Data'!$L$6:$L$3761,'Diags Raw Data'!$N$6:$N$3761)/J26)</f>
        <v>0</v>
      </c>
      <c r="L26" s="469" cm="1">
        <f t="array" ref="L26">IF(D26="",0, SUMPRODUCT(--(ISNUMBER(SEARCH($A26,'Diags Raw Data'!$A$6:$A$3761))),'Diags Raw Data'!$L$6:$L$3761,'Diags Raw Data'!$P$6:$P$3761)/J26)</f>
        <v>0</v>
      </c>
      <c r="M26" s="470" cm="1">
        <f t="array" ref="M26">SUMPRODUCT(--(ISNUMBER(SEARCH($A26,'Diags Raw Data'!$A$6:$A$3761))),--('Diags Raw Data'!$Q$6:$Q$3761&lt;&gt;"N/A"),'Diags Raw Data'!$R$6:$R$3761)</f>
        <v>0</v>
      </c>
      <c r="N26" s="471" cm="1">
        <f t="array" ref="N26">SUMPRODUCT(--(ISNUMBER(SEARCH($A26,'Diags Raw Data'!$A$6:$A$3761))),--('Diags Raw Data'!$Q$6:$Q$3761&lt;&gt;"N/A"),'Diags Raw Data'!$T$6:$T$3761)+SUMPRODUCT(--(ISNUMBER(SEARCH($A26,'Diags Raw Data'!$A$6:$A$3761))),--('Diags Raw Data'!$Q$6:$Q$3761&lt;&gt;"N/A"),'Diags Raw Data'!$U$6:$U$3761)</f>
        <v>0</v>
      </c>
      <c r="O26" s="472">
        <f t="shared" si="2"/>
        <v>0</v>
      </c>
      <c r="P26" s="473">
        <f>SUMIF('Diags Raw Data'!$A$6:$A$3761,"*"&amp;$A26&amp;"*",'Diags Raw Data'!$Z$6:$Z$3761)</f>
        <v>0</v>
      </c>
      <c r="Q26" s="474">
        <f>SUM(SUMIF('Diags Raw Data'!$A$6:$A$3761,"*"&amp;$A26&amp;"*",'Diags Raw Data'!$AA$6:$AA$3761),SUMIF('Diags Raw Data'!$A$6:$A$3761,"*"&amp;$A26&amp;"*",'Diags Raw Data'!$AB$6:$AB$3761))</f>
        <v>0</v>
      </c>
      <c r="R26" s="475">
        <f t="shared" si="3"/>
        <v>0</v>
      </c>
      <c r="S26" s="475">
        <f t="shared" si="4"/>
        <v>0</v>
      </c>
      <c r="T26" s="476">
        <f t="shared" si="5"/>
        <v>0</v>
      </c>
      <c r="U26" s="425" t="e">
        <f>VLOOKUP(A26,'Diags Raw Data'!$A$6:$AH$3761,33,FALSE)</f>
        <v>#N/A</v>
      </c>
      <c r="V26" s="181"/>
    </row>
    <row r="27" spans="1:22" ht="409.6" thickBot="1" x14ac:dyDescent="0.3">
      <c r="A27" s="530">
        <v>12.029999999999983</v>
      </c>
      <c r="B27" s="427" t="str">
        <f>VLOOKUP(A27,'Feature Raw Data'!$A$3:$B$3922,2,FALSE)</f>
        <v>Add support for image atomics fp32 add (makes fp32 add orthogonal).  Make fp behaviour among lds/cmm/df identical</v>
      </c>
      <c r="C27" s="428" t="str">
        <f>VLOOKUP(A27,'Feature Raw Data'!$A$3:$C$3922,3,FALSE)</f>
        <v>P1</v>
      </c>
      <c r="D27" s="429" t="str" cm="1">
        <f t="array" ref="D27">_xlfn.TEXTJOIN("",TRUE,IF(ISNUMBER(SEARCH($A27,'Diags Raw Data'!$A$6:$A$3761)),CONCATENATE('Diags Raw Data'!$H$6:$H$3761,", "),""))</f>
        <v xml:space="preserve">ppi302.3,ppi302.5, placeholder_q.1, rt1.320, rt1.330, rt1.302, </v>
      </c>
      <c r="E27" s="340" t="e">
        <f>VLOOKUP(A27,'Diags Raw Data'!$A$6:$D$3761,4,FALSE)</f>
        <v>#N/A</v>
      </c>
      <c r="F27" s="340" t="str">
        <f>VLOOKUP(A27,'Feature Raw Data'!$A$3:$E$3922,5,FALSE)</f>
        <v>New</v>
      </c>
      <c r="G27" s="340" t="str">
        <f t="shared" si="0"/>
        <v>Yes</v>
      </c>
      <c r="H27" s="340" t="str">
        <f t="shared" si="1"/>
        <v>Yes</v>
      </c>
      <c r="I27" s="428">
        <f>SUMIF('Diags Raw Data'!$A$6:$A$3761,"*"&amp;$A27&amp;"*",'Diags Raw Data'!$K$6:$K$3761)</f>
        <v>0</v>
      </c>
      <c r="J27" s="430">
        <f>SUMIF('Diags Raw Data'!$A$6:$A$3761,"*"&amp;$A27&amp;"*",'Diags Raw Data'!$L$6:$L$3761)</f>
        <v>0</v>
      </c>
      <c r="K27" s="468" t="e" cm="1">
        <f t="array" ref="K27">IF(D27="",0, SUMPRODUCT(--(ISNUMBER(SEARCH($A27,'Diags Raw Data'!$A$6:$A$3761))),'Diags Raw Data'!$L$6:$L$3761,'Diags Raw Data'!$N$6:$N$3761)/J27)</f>
        <v>#DIV/0!</v>
      </c>
      <c r="L27" s="469" t="e" cm="1">
        <f t="array" ref="L27">IF(D27="",0, SUMPRODUCT(--(ISNUMBER(SEARCH($A27,'Diags Raw Data'!$A$6:$A$3761))),'Diags Raw Data'!$L$6:$L$3761,'Diags Raw Data'!$P$6:$P$3761)/J27)</f>
        <v>#DIV/0!</v>
      </c>
      <c r="M27" s="470" cm="1">
        <f t="array" ref="M27">SUMPRODUCT(--(ISNUMBER(SEARCH($A27,'Diags Raw Data'!$A$6:$A$3761))),--('Diags Raw Data'!$Q$6:$Q$3761&lt;&gt;"N/A"),'Diags Raw Data'!$R$6:$R$3761)</f>
        <v>6</v>
      </c>
      <c r="N27" s="471" cm="1">
        <f t="array" ref="N27">SUMPRODUCT(--(ISNUMBER(SEARCH($A27,'Diags Raw Data'!$A$6:$A$3761))),--('Diags Raw Data'!$Q$6:$Q$3761&lt;&gt;"N/A"),'Diags Raw Data'!$T$6:$T$3761)+SUMPRODUCT(--(ISNUMBER(SEARCH($A27,'Diags Raw Data'!$A$6:$A$3761))),--('Diags Raw Data'!$Q$6:$Q$3761&lt;&gt;"N/A"),'Diags Raw Data'!$U$6:$U$3761)</f>
        <v>5</v>
      </c>
      <c r="O27" s="472">
        <f t="shared" si="2"/>
        <v>0.83333333333333337</v>
      </c>
      <c r="P27" s="473">
        <f>SUMIF('Diags Raw Data'!$A$6:$A$3761,"*"&amp;$A27&amp;"*",'Diags Raw Data'!$Z$6:$Z$3761)</f>
        <v>0</v>
      </c>
      <c r="Q27" s="474">
        <f>SUM(SUMIF('Diags Raw Data'!$A$6:$A$3761,"*"&amp;$A27&amp;"*",'Diags Raw Data'!$AA$6:$AA$3761),SUMIF('Diags Raw Data'!$A$6:$A$3761,"*"&amp;$A27&amp;"*",'Diags Raw Data'!$AB$6:$AB$3761))</f>
        <v>0</v>
      </c>
      <c r="R27" s="475">
        <f t="shared" si="3"/>
        <v>0</v>
      </c>
      <c r="S27" s="475">
        <f t="shared" si="4"/>
        <v>0</v>
      </c>
      <c r="T27" s="476">
        <f t="shared" si="5"/>
        <v>0</v>
      </c>
      <c r="U27" s="425" t="e">
        <f>VLOOKUP(A27,'Diags Raw Data'!$A$6:$AH$3761,33,FALSE)</f>
        <v>#N/A</v>
      </c>
      <c r="V27" s="181"/>
    </row>
    <row r="28" spans="1:22" ht="75.75" thickBot="1" x14ac:dyDescent="0.3">
      <c r="A28" s="530">
        <v>12.030999999999983</v>
      </c>
      <c r="B28" s="427" t="str">
        <f>VLOOKUP(A28,'Feature Raw Data'!$A$3:$B$3922,2,FALSE)</f>
        <v xml:space="preserve">Support greater than 16k x 16k x 8k textures  (64k x 64k x 16k, inc. 16 mip levels to support 64k).  Reduce/simplify swizzle modes. </v>
      </c>
      <c r="C28" s="428" t="str">
        <f>VLOOKUP(A28,'Feature Raw Data'!$A$3:$C$3922,3,FALSE)</f>
        <v>P1</v>
      </c>
      <c r="D28" s="429" t="str" cm="1">
        <f t="array" ref="D28">_xlfn.TEXTJOIN("",TRUE,IF(ISNUMBER(SEARCH($A28,'Diags Raw Data'!$A$6:$A$3761)),CONCATENATE('Diags Raw Data'!$H$6:$H$3761,", "),""))</f>
        <v/>
      </c>
      <c r="E28" s="340" t="e">
        <f>VLOOKUP(A28,'Diags Raw Data'!$A$6:$D$3761,4,FALSE)</f>
        <v>#N/A</v>
      </c>
      <c r="F28" s="340" t="str">
        <f>VLOOKUP(A28,'Feature Raw Data'!$A$3:$E$3922,5,FALSE)</f>
        <v>New</v>
      </c>
      <c r="G28" s="340" t="str">
        <f t="shared" si="0"/>
        <v>Yes</v>
      </c>
      <c r="H28" s="340" t="str">
        <f t="shared" si="1"/>
        <v>Yes</v>
      </c>
      <c r="I28" s="428">
        <f>SUMIF('Diags Raw Data'!$A$6:$A$3761,"*"&amp;$A28&amp;"*",'Diags Raw Data'!$K$6:$K$3761)</f>
        <v>0</v>
      </c>
      <c r="J28" s="430">
        <f>SUMIF('Diags Raw Data'!$A$6:$A$3761,"*"&amp;$A28&amp;"*",'Diags Raw Data'!$L$6:$L$3761)</f>
        <v>0</v>
      </c>
      <c r="K28" s="468" cm="1">
        <f t="array" ref="K28">IF(D28="",0, SUMPRODUCT(--(ISNUMBER(SEARCH($A28,'Diags Raw Data'!$A$6:$A$3761))),'Diags Raw Data'!$L$6:$L$3761,'Diags Raw Data'!$N$6:$N$3761)/J28)</f>
        <v>0</v>
      </c>
      <c r="L28" s="469" cm="1">
        <f t="array" ref="L28">IF(D28="",0, SUMPRODUCT(--(ISNUMBER(SEARCH($A28,'Diags Raw Data'!$A$6:$A$3761))),'Diags Raw Data'!$L$6:$L$3761,'Diags Raw Data'!$P$6:$P$3761)/J28)</f>
        <v>0</v>
      </c>
      <c r="M28" s="470" cm="1">
        <f t="array" ref="M28">SUMPRODUCT(--(ISNUMBER(SEARCH($A28,'Diags Raw Data'!$A$6:$A$3761))),--('Diags Raw Data'!$Q$6:$Q$3761&lt;&gt;"N/A"),'Diags Raw Data'!$R$6:$R$3761)</f>
        <v>0</v>
      </c>
      <c r="N28" s="471" cm="1">
        <f t="array" ref="N28">SUMPRODUCT(--(ISNUMBER(SEARCH($A28,'Diags Raw Data'!$A$6:$A$3761))),--('Diags Raw Data'!$Q$6:$Q$3761&lt;&gt;"N/A"),'Diags Raw Data'!$T$6:$T$3761)+SUMPRODUCT(--(ISNUMBER(SEARCH($A28,'Diags Raw Data'!$A$6:$A$3761))),--('Diags Raw Data'!$Q$6:$Q$3761&lt;&gt;"N/A"),'Diags Raw Data'!$U$6:$U$3761)</f>
        <v>0</v>
      </c>
      <c r="O28" s="472">
        <f t="shared" si="2"/>
        <v>0</v>
      </c>
      <c r="P28" s="473">
        <f>SUMIF('Diags Raw Data'!$A$6:$A$3761,"*"&amp;$A28&amp;"*",'Diags Raw Data'!$Z$6:$Z$3761)</f>
        <v>0</v>
      </c>
      <c r="Q28" s="474">
        <f>SUM(SUMIF('Diags Raw Data'!$A$6:$A$3761,"*"&amp;$A28&amp;"*",'Diags Raw Data'!$AA$6:$AA$3761),SUMIF('Diags Raw Data'!$A$6:$A$3761,"*"&amp;$A28&amp;"*",'Diags Raw Data'!$AB$6:$AB$3761))</f>
        <v>0</v>
      </c>
      <c r="R28" s="475">
        <f t="shared" si="3"/>
        <v>0</v>
      </c>
      <c r="S28" s="475">
        <f t="shared" si="4"/>
        <v>0</v>
      </c>
      <c r="T28" s="476">
        <f t="shared" si="5"/>
        <v>0</v>
      </c>
      <c r="U28" s="425" t="e">
        <f>VLOOKUP(A28,'Diags Raw Data'!$A$6:$AH$3761,33,FALSE)</f>
        <v>#N/A</v>
      </c>
      <c r="V28" s="181"/>
    </row>
    <row r="29" spans="1:22" ht="30.75" thickBot="1" x14ac:dyDescent="0.3">
      <c r="A29" s="530">
        <v>12.032999999999982</v>
      </c>
      <c r="B29" s="427" t="str">
        <f>VLOOKUP(A29,'Feature Raw Data'!$A$3:$B$3922,2,FALSE)</f>
        <v xml:space="preserve">Unclamped image load/store support </v>
      </c>
      <c r="C29" s="428" t="str">
        <f>VLOOKUP(A29,'Feature Raw Data'!$A$3:$C$3922,3,FALSE)</f>
        <v>P2</v>
      </c>
      <c r="D29" s="429" t="str" cm="1">
        <f t="array" ref="D29">_xlfn.TEXTJOIN("",TRUE,IF(ISNUMBER(SEARCH($A29,'Diags Raw Data'!$A$6:$A$3761)),CONCATENATE('Diags Raw Data'!$H$6:$H$3761,", "),""))</f>
        <v/>
      </c>
      <c r="E29" s="340" t="e">
        <f>VLOOKUP(A29,'Diags Raw Data'!$A$6:$D$3761,4,FALSE)</f>
        <v>#N/A</v>
      </c>
      <c r="F29" s="340" t="str">
        <f>VLOOKUP(A29,'Feature Raw Data'!$A$3:$E$3922,5,FALSE)</f>
        <v>New</v>
      </c>
      <c r="G29" s="340" t="str">
        <f t="shared" si="0"/>
        <v>Yes</v>
      </c>
      <c r="H29" s="340" t="str">
        <f t="shared" si="1"/>
        <v>Yes</v>
      </c>
      <c r="I29" s="428">
        <f>SUMIF('Diags Raw Data'!$A$6:$A$3761,"*"&amp;$A29&amp;"*",'Diags Raw Data'!$K$6:$K$3761)</f>
        <v>0</v>
      </c>
      <c r="J29" s="430">
        <f>SUMIF('Diags Raw Data'!$A$6:$A$3761,"*"&amp;$A29&amp;"*",'Diags Raw Data'!$L$6:$L$3761)</f>
        <v>0</v>
      </c>
      <c r="K29" s="468" cm="1">
        <f t="array" ref="K29">IF(D29="",0, SUMPRODUCT(--(ISNUMBER(SEARCH($A29,'Diags Raw Data'!$A$6:$A$3761))),'Diags Raw Data'!$L$6:$L$3761,'Diags Raw Data'!$N$6:$N$3761)/J29)</f>
        <v>0</v>
      </c>
      <c r="L29" s="469" cm="1">
        <f t="array" ref="L29">IF(D29="",0, SUMPRODUCT(--(ISNUMBER(SEARCH($A29,'Diags Raw Data'!$A$6:$A$3761))),'Diags Raw Data'!$L$6:$L$3761,'Diags Raw Data'!$P$6:$P$3761)/J29)</f>
        <v>0</v>
      </c>
      <c r="M29" s="470" cm="1">
        <f t="array" ref="M29">SUMPRODUCT(--(ISNUMBER(SEARCH($A29,'Diags Raw Data'!$A$6:$A$3761))),--('Diags Raw Data'!$Q$6:$Q$3761&lt;&gt;"N/A"),'Diags Raw Data'!$R$6:$R$3761)</f>
        <v>0</v>
      </c>
      <c r="N29" s="471" cm="1">
        <f t="array" ref="N29">SUMPRODUCT(--(ISNUMBER(SEARCH($A29,'Diags Raw Data'!$A$6:$A$3761))),--('Diags Raw Data'!$Q$6:$Q$3761&lt;&gt;"N/A"),'Diags Raw Data'!$T$6:$T$3761)+SUMPRODUCT(--(ISNUMBER(SEARCH($A29,'Diags Raw Data'!$A$6:$A$3761))),--('Diags Raw Data'!$Q$6:$Q$3761&lt;&gt;"N/A"),'Diags Raw Data'!$U$6:$U$3761)</f>
        <v>0</v>
      </c>
      <c r="O29" s="472">
        <f t="shared" si="2"/>
        <v>0</v>
      </c>
      <c r="P29" s="473">
        <f>SUMIF('Diags Raw Data'!$A$6:$A$3761,"*"&amp;$A29&amp;"*",'Diags Raw Data'!$Z$6:$Z$3761)</f>
        <v>0</v>
      </c>
      <c r="Q29" s="474">
        <f>SUM(SUMIF('Diags Raw Data'!$A$6:$A$3761,"*"&amp;$A29&amp;"*",'Diags Raw Data'!$AA$6:$AA$3761),SUMIF('Diags Raw Data'!$A$6:$A$3761,"*"&amp;$A29&amp;"*",'Diags Raw Data'!$AB$6:$AB$3761))</f>
        <v>0</v>
      </c>
      <c r="R29" s="475">
        <f t="shared" si="3"/>
        <v>0</v>
      </c>
      <c r="S29" s="475">
        <f t="shared" si="4"/>
        <v>0</v>
      </c>
      <c r="T29" s="476">
        <f t="shared" si="5"/>
        <v>0</v>
      </c>
      <c r="U29" s="425" t="e">
        <f>VLOOKUP(A29,'Diags Raw Data'!$A$6:$AH$3761,33,FALSE)</f>
        <v>#N/A</v>
      </c>
      <c r="V29" s="181"/>
    </row>
    <row r="30" spans="1:22" ht="30.75" thickBot="1" x14ac:dyDescent="0.3">
      <c r="A30" s="530">
        <v>12.033999999999981</v>
      </c>
      <c r="B30" s="427" t="str">
        <f>VLOOKUP(A30,'Feature Raw Data'!$A$3:$B$3922,2,FALSE)</f>
        <v xml:space="preserve">Move PRT++ atomic ops out of TCP tags </v>
      </c>
      <c r="C30" s="428" t="str">
        <f>VLOOKUP(A30,'Feature Raw Data'!$A$3:$C$3922,3,FALSE)</f>
        <v>P2</v>
      </c>
      <c r="D30" s="429" t="str" cm="1">
        <f t="array" ref="D30">_xlfn.TEXTJOIN("",TRUE,IF(ISNUMBER(SEARCH($A30,'Diags Raw Data'!$A$6:$A$3761)),CONCATENATE('Diags Raw Data'!$H$6:$H$3761,", "),""))</f>
        <v/>
      </c>
      <c r="E30" s="340" t="e">
        <f>VLOOKUP(A30,'Diags Raw Data'!$A$6:$D$3761,4,FALSE)</f>
        <v>#N/A</v>
      </c>
      <c r="F30" s="340" t="str">
        <f>VLOOKUP(A30,'Feature Raw Data'!$A$3:$E$3922,5,FALSE)</f>
        <v>New</v>
      </c>
      <c r="G30" s="340" t="str">
        <f t="shared" si="0"/>
        <v>Yes</v>
      </c>
      <c r="H30" s="340" t="str">
        <f t="shared" si="1"/>
        <v>Yes</v>
      </c>
      <c r="I30" s="428">
        <f>SUMIF('Diags Raw Data'!$A$6:$A$3761,"*"&amp;$A30&amp;"*",'Diags Raw Data'!$K$6:$K$3761)</f>
        <v>0</v>
      </c>
      <c r="J30" s="430">
        <f>SUMIF('Diags Raw Data'!$A$6:$A$3761,"*"&amp;$A30&amp;"*",'Diags Raw Data'!$L$6:$L$3761)</f>
        <v>0</v>
      </c>
      <c r="K30" s="468" cm="1">
        <f t="array" ref="K30">IF(D30="",0, SUMPRODUCT(--(ISNUMBER(SEARCH($A30,'Diags Raw Data'!$A$6:$A$3761))),'Diags Raw Data'!$L$6:$L$3761,'Diags Raw Data'!$N$6:$N$3761)/J30)</f>
        <v>0</v>
      </c>
      <c r="L30" s="469" cm="1">
        <f t="array" ref="L30">IF(D30="",0, SUMPRODUCT(--(ISNUMBER(SEARCH($A30,'Diags Raw Data'!$A$6:$A$3761))),'Diags Raw Data'!$L$6:$L$3761,'Diags Raw Data'!$P$6:$P$3761)/J30)</f>
        <v>0</v>
      </c>
      <c r="M30" s="470" cm="1">
        <f t="array" ref="M30">SUMPRODUCT(--(ISNUMBER(SEARCH($A30,'Diags Raw Data'!$A$6:$A$3761))),--('Diags Raw Data'!$Q$6:$Q$3761&lt;&gt;"N/A"),'Diags Raw Data'!$R$6:$R$3761)</f>
        <v>0</v>
      </c>
      <c r="N30" s="471" cm="1">
        <f t="array" ref="N30">SUMPRODUCT(--(ISNUMBER(SEARCH($A30,'Diags Raw Data'!$A$6:$A$3761))),--('Diags Raw Data'!$Q$6:$Q$3761&lt;&gt;"N/A"),'Diags Raw Data'!$T$6:$T$3761)+SUMPRODUCT(--(ISNUMBER(SEARCH($A30,'Diags Raw Data'!$A$6:$A$3761))),--('Diags Raw Data'!$Q$6:$Q$3761&lt;&gt;"N/A"),'Diags Raw Data'!$U$6:$U$3761)</f>
        <v>0</v>
      </c>
      <c r="O30" s="472">
        <f>IF((M30=0),0,N30/M30)</f>
        <v>0</v>
      </c>
      <c r="P30" s="473">
        <f>SUMIF('Diags Raw Data'!$A$6:$A$3761,"*"&amp;$A30&amp;"*",'Diags Raw Data'!$Z$6:$Z$3761)</f>
        <v>0</v>
      </c>
      <c r="Q30" s="474">
        <f>SUM(SUMIF('Diags Raw Data'!$A$6:$A$3761,"*"&amp;$A30&amp;"*",'Diags Raw Data'!$AA$6:$AA$3761),SUMIF('Diags Raw Data'!$A$6:$A$3761,"*"&amp;$A30&amp;"*",'Diags Raw Data'!$AB$6:$AB$3761))</f>
        <v>0</v>
      </c>
      <c r="R30" s="475">
        <f>IF((J30=0),0,P30/J30)</f>
        <v>0</v>
      </c>
      <c r="S30" s="475">
        <f>IF((P30=0),0,Q30/P30)</f>
        <v>0</v>
      </c>
      <c r="T30" s="476">
        <f>R30*S30</f>
        <v>0</v>
      </c>
      <c r="U30" s="425" t="e">
        <f>VLOOKUP(A30,'Diags Raw Data'!$A$6:$AH$3761,33,FALSE)</f>
        <v>#N/A</v>
      </c>
      <c r="V30" s="181"/>
    </row>
    <row r="31" spans="1:22" ht="30.75" thickBot="1" x14ac:dyDescent="0.3">
      <c r="A31" s="530">
        <v>12.03599999999998</v>
      </c>
      <c r="B31" s="427" t="str">
        <f>VLOOKUP(A31,'Feature Raw Data'!$A$3:$B$3922,2,FALSE)</f>
        <v xml:space="preserve">Double Ray Tracing Intersect Engine </v>
      </c>
      <c r="C31" s="428" t="str">
        <f>VLOOKUP(A31,'Feature Raw Data'!$A$3:$C$3922,3,FALSE)</f>
        <v>P1</v>
      </c>
      <c r="D31" s="429" t="str" cm="1">
        <f t="array" ref="D31">_xlfn.TEXTJOIN("",TRUE,IF(ISNUMBER(SEARCH($A31,'Diags Raw Data'!$A$6:$A$3761)),CONCATENATE('Diags Raw Data'!$H$6:$H$3761,", "),""))</f>
        <v/>
      </c>
      <c r="E31" s="340" t="e">
        <f>VLOOKUP(A31,'Diags Raw Data'!$A$6:$D$3761,4,FALSE)</f>
        <v>#N/A</v>
      </c>
      <c r="F31" s="340" t="str">
        <f>VLOOKUP(A31,'Feature Raw Data'!$A$3:$E$3922,5,FALSE)</f>
        <v>New</v>
      </c>
      <c r="G31" s="340" t="str">
        <f t="shared" si="0"/>
        <v>Yes</v>
      </c>
      <c r="H31" s="340" t="str">
        <f t="shared" si="1"/>
        <v>Yes</v>
      </c>
      <c r="I31" s="428">
        <f>SUMIF('Diags Raw Data'!$A$6:$A$3761,"*"&amp;$A31&amp;"*",'Diags Raw Data'!$K$6:$K$3761)</f>
        <v>0</v>
      </c>
      <c r="J31" s="430">
        <f>SUMIF('Diags Raw Data'!$A$6:$A$3761,"*"&amp;$A31&amp;"*",'Diags Raw Data'!$L$6:$L$3761)</f>
        <v>0</v>
      </c>
      <c r="K31" s="468" cm="1">
        <f t="array" ref="K31">IF(D31="",0, SUMPRODUCT(--(ISNUMBER(SEARCH($A31,'Diags Raw Data'!$A$6:$A$3761))),'Diags Raw Data'!$L$6:$L$3761,'Diags Raw Data'!$N$6:$N$3761)/J31)</f>
        <v>0</v>
      </c>
      <c r="L31" s="469" cm="1">
        <f t="array" ref="L31">IF(D31="",0, SUMPRODUCT(--(ISNUMBER(SEARCH($A31,'Diags Raw Data'!$A$6:$A$3761))),'Diags Raw Data'!$L$6:$L$3761,'Diags Raw Data'!$P$6:$P$3761)/J31)</f>
        <v>0</v>
      </c>
      <c r="M31" s="470" cm="1">
        <f t="array" ref="M31">SUMPRODUCT(--(ISNUMBER(SEARCH($A31,'Diags Raw Data'!$A$6:$A$3761))),--('Diags Raw Data'!$Q$6:$Q$3761&lt;&gt;"N/A"),'Diags Raw Data'!$R$6:$R$3761)</f>
        <v>0</v>
      </c>
      <c r="N31" s="471" cm="1">
        <f t="array" ref="N31">SUMPRODUCT(--(ISNUMBER(SEARCH($A31,'Diags Raw Data'!$A$6:$A$3761))),--('Diags Raw Data'!$Q$6:$Q$3761&lt;&gt;"N/A"),'Diags Raw Data'!$T$6:$T$3761)+SUMPRODUCT(--(ISNUMBER(SEARCH($A31,'Diags Raw Data'!$A$6:$A$3761))),--('Diags Raw Data'!$Q$6:$Q$3761&lt;&gt;"N/A"),'Diags Raw Data'!$U$6:$U$3761)</f>
        <v>0</v>
      </c>
      <c r="O31" s="472">
        <f t="shared" si="2"/>
        <v>0</v>
      </c>
      <c r="P31" s="473">
        <f>SUMIF('Diags Raw Data'!$A$6:$A$3761,"*"&amp;$A31&amp;"*",'Diags Raw Data'!$Z$6:$Z$3761)</f>
        <v>0</v>
      </c>
      <c r="Q31" s="474">
        <f>SUM(SUMIF('Diags Raw Data'!$A$6:$A$3761,"*"&amp;$A31&amp;"*",'Diags Raw Data'!$AA$6:$AA$3761),SUMIF('Diags Raw Data'!$A$6:$A$3761,"*"&amp;$A31&amp;"*",'Diags Raw Data'!$AB$6:$AB$3761))</f>
        <v>0</v>
      </c>
      <c r="R31" s="475">
        <f t="shared" si="3"/>
        <v>0</v>
      </c>
      <c r="S31" s="475">
        <f t="shared" si="4"/>
        <v>0</v>
      </c>
      <c r="T31" s="476">
        <f t="shared" si="5"/>
        <v>0</v>
      </c>
      <c r="U31" s="425" t="e">
        <f>VLOOKUP(A31,'Diags Raw Data'!$A$6:$AH$3761,33,FALSE)</f>
        <v>#N/A</v>
      </c>
      <c r="V31" s="181"/>
    </row>
    <row r="32" spans="1:22" ht="15.75" thickBot="1" x14ac:dyDescent="0.3">
      <c r="A32" s="530">
        <v>12.037000000000001</v>
      </c>
      <c r="B32" s="427" t="str">
        <f>VLOOKUP(A32,'Feature Raw Data'!$A$3:$B$3922,2,FALSE)</f>
        <v xml:space="preserve">RT instance node transform </v>
      </c>
      <c r="C32" s="428" t="str">
        <f>VLOOKUP(A32,'Feature Raw Data'!$A$3:$C$3922,3,FALSE)</f>
        <v>P1</v>
      </c>
      <c r="D32" s="429" t="str" cm="1">
        <f t="array" ref="D32">_xlfn.TEXTJOIN("",TRUE,IF(ISNUMBER(SEARCH($A32,'Diags Raw Data'!$A$6:$A$3761)),CONCATENATE('Diags Raw Data'!$H$6:$H$3761,", "),""))</f>
        <v xml:space="preserve">rt1.330, </v>
      </c>
      <c r="E32" s="340" t="str">
        <f>VLOOKUP(A32,'Diags Raw Data'!$A$6:$D$3761,4,FALSE)</f>
        <v>TEX</v>
      </c>
      <c r="F32" s="340" t="str">
        <f>VLOOKUP(A32,'Feature Raw Data'!$A$3:$E$3922,5,FALSE)</f>
        <v>New</v>
      </c>
      <c r="G32" s="340" t="str">
        <f t="shared" si="0"/>
        <v>Yes</v>
      </c>
      <c r="H32" s="340" t="str">
        <f t="shared" si="1"/>
        <v>Yes</v>
      </c>
      <c r="I32" s="428">
        <f>SUMIF('Diags Raw Data'!$A$6:$A$3761,"*"&amp;$A32&amp;"*",'Diags Raw Data'!$K$6:$K$3761)</f>
        <v>0</v>
      </c>
      <c r="J32" s="430">
        <f>SUMIF('Diags Raw Data'!$A$6:$A$3761,"*"&amp;$A32&amp;"*",'Diags Raw Data'!$L$6:$L$3761)</f>
        <v>0</v>
      </c>
      <c r="K32" s="468" t="e" cm="1">
        <f t="array" ref="K32">IF(D32="",0, SUMPRODUCT(--(ISNUMBER(SEARCH($A32,'Diags Raw Data'!$A$6:$A$3761))),'Diags Raw Data'!$L$6:$L$3761,'Diags Raw Data'!$N$6:$N$3761)/J32)</f>
        <v>#DIV/0!</v>
      </c>
      <c r="L32" s="469" t="e" cm="1">
        <f t="array" ref="L32">IF(D32="",0, SUMPRODUCT(--(ISNUMBER(SEARCH($A32,'Diags Raw Data'!$A$6:$A$3761))),'Diags Raw Data'!$L$6:$L$3761,'Diags Raw Data'!$P$6:$P$3761)/J32)</f>
        <v>#DIV/0!</v>
      </c>
      <c r="M32" s="470" cm="1">
        <f t="array" ref="M32">SUMPRODUCT(--(ISNUMBER(SEARCH($A32,'Diags Raw Data'!$A$6:$A$3761))),--('Diags Raw Data'!$Q$6:$Q$3761&lt;&gt;"N/A"),'Diags Raw Data'!$R$6:$R$3761)</f>
        <v>1</v>
      </c>
      <c r="N32" s="471" cm="1">
        <f t="array" ref="N32">SUMPRODUCT(--(ISNUMBER(SEARCH($A32,'Diags Raw Data'!$A$6:$A$3761))),--('Diags Raw Data'!$Q$6:$Q$3761&lt;&gt;"N/A"),'Diags Raw Data'!$T$6:$T$3761)+SUMPRODUCT(--(ISNUMBER(SEARCH($A32,'Diags Raw Data'!$A$6:$A$3761))),--('Diags Raw Data'!$Q$6:$Q$3761&lt;&gt;"N/A"),'Diags Raw Data'!$U$6:$U$3761)</f>
        <v>1</v>
      </c>
      <c r="O32" s="472">
        <f t="shared" si="2"/>
        <v>1</v>
      </c>
      <c r="P32" s="473">
        <f>SUMIF('Diags Raw Data'!$A$6:$A$3761,"*"&amp;$A32&amp;"*",'Diags Raw Data'!$Z$6:$Z$3761)</f>
        <v>0</v>
      </c>
      <c r="Q32" s="474">
        <f>SUM(SUMIF('Diags Raw Data'!$A$6:$A$3761,"*"&amp;$A32&amp;"*",'Diags Raw Data'!$AA$6:$AA$3761),SUMIF('Diags Raw Data'!$A$6:$A$3761,"*"&amp;$A32&amp;"*",'Diags Raw Data'!$AB$6:$AB$3761))</f>
        <v>0</v>
      </c>
      <c r="R32" s="475">
        <f t="shared" si="3"/>
        <v>0</v>
      </c>
      <c r="S32" s="475">
        <f t="shared" si="4"/>
        <v>0</v>
      </c>
      <c r="T32" s="476">
        <f t="shared" si="5"/>
        <v>0</v>
      </c>
      <c r="U32" s="425" t="str">
        <f>VLOOKUP(A32,'Diags Raw Data'!$A$6:$AH$3761,33,FALSE)</f>
        <v>WK3</v>
      </c>
      <c r="V32" s="181"/>
    </row>
    <row r="33" spans="1:22" ht="240.75" thickBot="1" x14ac:dyDescent="0.3">
      <c r="A33" s="530">
        <v>12.039999999999978</v>
      </c>
      <c r="B33" s="427" t="str">
        <f>VLOOKUP(A33,'Feature Raw Data'!$A$3:$B$3922,2,FALSE)</f>
        <v xml:space="preserve">64B RT node </v>
      </c>
      <c r="C33" s="428" t="str">
        <f>VLOOKUP(A33,'Feature Raw Data'!$A$3:$C$3922,3,FALSE)</f>
        <v>P1</v>
      </c>
      <c r="D33" s="429" t="str" cm="1">
        <f t="array" ref="D33">_xlfn.TEXTJOIN("",TRUE,IF(ISNUMBER(SEARCH($A33,'Diags Raw Data'!$A$6:$A$3761)),CONCATENATE('Diags Raw Data'!$H$6:$H$3761,", "),""))</f>
        <v xml:space="preserve">gfx.cmm_sa_policy_monolithic_gfx12, gfx.cmm_cp_access_order_monolithic,gfx.cmm_sa_gl2_access_order_monolithic,gfx.cmm_sa_gl2_same_address_monolithic, gfx.cmm_cp_access_order_monolithic,gfx.cmm_sa_gl2_access_order_monolithic,gfx.cmm_sa_gl2_same_address_monolithic, placeholder_d.1, placeholder_e.1, </v>
      </c>
      <c r="E33" s="340" t="e">
        <f>VLOOKUP(A33,'Diags Raw Data'!$A$6:$D$3761,4,FALSE)</f>
        <v>#N/A</v>
      </c>
      <c r="F33" s="340" t="str">
        <f>VLOOKUP(A33,'Feature Raw Data'!$A$3:$E$3922,5,FALSE)</f>
        <v>New</v>
      </c>
      <c r="G33" s="340" t="str">
        <f t="shared" si="0"/>
        <v>Yes</v>
      </c>
      <c r="H33" s="340" t="str">
        <f t="shared" si="1"/>
        <v>Yes</v>
      </c>
      <c r="I33" s="428">
        <f>SUMIF('Diags Raw Data'!$A$6:$A$3761,"*"&amp;$A33&amp;"*",'Diags Raw Data'!$K$6:$K$3761)</f>
        <v>0</v>
      </c>
      <c r="J33" s="430">
        <f>SUMIF('Diags Raw Data'!$A$6:$A$3761,"*"&amp;$A33&amp;"*",'Diags Raw Data'!$L$6:$L$3761)</f>
        <v>0</v>
      </c>
      <c r="K33" s="468" t="e" cm="1">
        <f t="array" ref="K33">IF(D33="",0, SUMPRODUCT(--(ISNUMBER(SEARCH($A33,'Diags Raw Data'!$A$6:$A$3761))),'Diags Raw Data'!$L$6:$L$3761,'Diags Raw Data'!$N$6:$N$3761)/J33)</f>
        <v>#DIV/0!</v>
      </c>
      <c r="L33" s="469" t="e" cm="1">
        <f t="array" ref="L33">IF(D33="",0, SUMPRODUCT(--(ISNUMBER(SEARCH($A33,'Diags Raw Data'!$A$6:$A$3761))),'Diags Raw Data'!$L$6:$L$3761,'Diags Raw Data'!$P$6:$P$3761)/J33)</f>
        <v>#DIV/0!</v>
      </c>
      <c r="M33" s="470" cm="1">
        <f t="array" ref="M33">SUMPRODUCT(--(ISNUMBER(SEARCH($A33,'Diags Raw Data'!$A$6:$A$3761))),--('Diags Raw Data'!$Q$6:$Q$3761&lt;&gt;"N/A"),'Diags Raw Data'!$R$6:$R$3761)</f>
        <v>22</v>
      </c>
      <c r="N33" s="471" cm="1">
        <f t="array" ref="N33">SUMPRODUCT(--(ISNUMBER(SEARCH($A33,'Diags Raw Data'!$A$6:$A$3761))),--('Diags Raw Data'!$Q$6:$Q$3761&lt;&gt;"N/A"),'Diags Raw Data'!$T$6:$T$3761)+SUMPRODUCT(--(ISNUMBER(SEARCH($A33,'Diags Raw Data'!$A$6:$A$3761))),--('Diags Raw Data'!$Q$6:$Q$3761&lt;&gt;"N/A"),'Diags Raw Data'!$U$6:$U$3761)</f>
        <v>20</v>
      </c>
      <c r="O33" s="472">
        <f t="shared" si="2"/>
        <v>0.90909090909090906</v>
      </c>
      <c r="P33" s="473">
        <f>SUMIF('Diags Raw Data'!$A$6:$A$3761,"*"&amp;$A33&amp;"*",'Diags Raw Data'!$Z$6:$Z$3761)</f>
        <v>0</v>
      </c>
      <c r="Q33" s="474">
        <f>SUM(SUMIF('Diags Raw Data'!$A$6:$A$3761,"*"&amp;$A33&amp;"*",'Diags Raw Data'!$AA$6:$AA$3761),SUMIF('Diags Raw Data'!$A$6:$A$3761,"*"&amp;$A33&amp;"*",'Diags Raw Data'!$AB$6:$AB$3761))</f>
        <v>0</v>
      </c>
      <c r="R33" s="475">
        <f t="shared" si="3"/>
        <v>0</v>
      </c>
      <c r="S33" s="475">
        <f t="shared" si="4"/>
        <v>0</v>
      </c>
      <c r="T33" s="476">
        <f t="shared" si="5"/>
        <v>0</v>
      </c>
      <c r="U33" s="425" t="e">
        <f>VLOOKUP(A33,'Diags Raw Data'!$A$6:$AH$3761,33,FALSE)</f>
        <v>#N/A</v>
      </c>
      <c r="V33" s="181"/>
    </row>
    <row r="34" spans="1:22" ht="30.75" thickBot="1" x14ac:dyDescent="0.3">
      <c r="A34" s="530">
        <v>12.041</v>
      </c>
      <c r="B34" s="427" t="str">
        <f>VLOOKUP(A34,'Feature Raw Data'!$A$3:$B$3922,2,FALSE)</f>
        <v>New GL2 policies (same/child of 12.027)</v>
      </c>
      <c r="C34" s="428" t="str">
        <f>VLOOKUP(A34,'Feature Raw Data'!$A$3:$C$3922,3,FALSE)</f>
        <v>P1</v>
      </c>
      <c r="D34" s="429" t="str" cm="1">
        <f t="array" ref="D34">_xlfn.TEXTJOIN("",TRUE,IF(ISNUMBER(SEARCH($A34,'Diags Raw Data'!$A$6:$A$3761)),CONCATENATE('Diags Raw Data'!$H$6:$H$3761,", "),""))</f>
        <v xml:space="preserve">gfx.cmm_sa_policy_monolithic_gfx12, gfx.cmm_cp_access_order_monolithic,gfx.cmm_sa_gl2_access_order_monolithic,gfx.cmm_sa_gl2_same_address_monolithic, </v>
      </c>
      <c r="E34" s="340" t="str">
        <f>VLOOKUP(A34,'Diags Raw Data'!$A$6:$D$3761,4,FALSE)</f>
        <v>CMM</v>
      </c>
      <c r="F34" s="340" t="str">
        <f>VLOOKUP(A34,'Feature Raw Data'!$A$3:$E$3922,5,FALSE)</f>
        <v>New</v>
      </c>
      <c r="G34" s="340" t="str">
        <f t="shared" si="0"/>
        <v>Yes</v>
      </c>
      <c r="H34" s="340" t="str">
        <f t="shared" si="1"/>
        <v>Yes</v>
      </c>
      <c r="I34" s="428">
        <f>SUMIF('Diags Raw Data'!$A$6:$A$3761,"*"&amp;$A34&amp;"*",'Diags Raw Data'!$K$6:$K$3761)</f>
        <v>0</v>
      </c>
      <c r="J34" s="430">
        <f>SUMIF('Diags Raw Data'!$A$6:$A$3761,"*"&amp;$A34&amp;"*",'Diags Raw Data'!$L$6:$L$3761)</f>
        <v>0</v>
      </c>
      <c r="K34" s="468" t="e" cm="1">
        <f t="array" ref="K34">IF(D34="",0, SUMPRODUCT(--(ISNUMBER(SEARCH($A34,'Diags Raw Data'!$A$6:$A$3761))),'Diags Raw Data'!$L$6:$L$3761,'Diags Raw Data'!$N$6:$N$3761)/J34)</f>
        <v>#DIV/0!</v>
      </c>
      <c r="L34" s="469" t="e" cm="1">
        <f t="array" ref="L34">IF(D34="",0, SUMPRODUCT(--(ISNUMBER(SEARCH($A34,'Diags Raw Data'!$A$6:$A$3761))),'Diags Raw Data'!$L$6:$L$3761,'Diags Raw Data'!$P$6:$P$3761)/J34)</f>
        <v>#DIV/0!</v>
      </c>
      <c r="M34" s="470" cm="1">
        <f t="array" ref="M34">SUMPRODUCT(--(ISNUMBER(SEARCH($A34,'Diags Raw Data'!$A$6:$A$3761))),--('Diags Raw Data'!$Q$6:$Q$3761&lt;&gt;"N/A"),'Diags Raw Data'!$R$6:$R$3761)</f>
        <v>19</v>
      </c>
      <c r="N34" s="471" cm="1">
        <f t="array" ref="N34">SUMPRODUCT(--(ISNUMBER(SEARCH($A34,'Diags Raw Data'!$A$6:$A$3761))),--('Diags Raw Data'!$Q$6:$Q$3761&lt;&gt;"N/A"),'Diags Raw Data'!$T$6:$T$3761)+SUMPRODUCT(--(ISNUMBER(SEARCH($A34,'Diags Raw Data'!$A$6:$A$3761))),--('Diags Raw Data'!$Q$6:$Q$3761&lt;&gt;"N/A"),'Diags Raw Data'!$U$6:$U$3761)</f>
        <v>18</v>
      </c>
      <c r="O34" s="472">
        <f t="shared" si="2"/>
        <v>0.94736842105263153</v>
      </c>
      <c r="P34" s="473">
        <f>SUMIF('Diags Raw Data'!$A$6:$A$3761,"*"&amp;$A34&amp;"*",'Diags Raw Data'!$Z$6:$Z$3761)</f>
        <v>0</v>
      </c>
      <c r="Q34" s="474">
        <f>SUM(SUMIF('Diags Raw Data'!$A$6:$A$3761,"*"&amp;$A34&amp;"*",'Diags Raw Data'!$AA$6:$AA$3761),SUMIF('Diags Raw Data'!$A$6:$A$3761,"*"&amp;$A34&amp;"*",'Diags Raw Data'!$AB$6:$AB$3761))</f>
        <v>0</v>
      </c>
      <c r="R34" s="475">
        <f t="shared" si="3"/>
        <v>0</v>
      </c>
      <c r="S34" s="475">
        <f t="shared" si="4"/>
        <v>0</v>
      </c>
      <c r="T34" s="476">
        <f t="shared" si="5"/>
        <v>0</v>
      </c>
      <c r="U34" s="425" t="str">
        <f>VLOOKUP(A34,'Diags Raw Data'!$A$6:$AH$3761,33,FALSE)</f>
        <v>WK4</v>
      </c>
      <c r="V34" s="181"/>
    </row>
    <row r="35" spans="1:22" ht="90.75" thickBot="1" x14ac:dyDescent="0.3">
      <c r="A35" s="530">
        <v>12.041999999999977</v>
      </c>
      <c r="B35" s="427" t="str">
        <f>VLOOKUP(A35,'Feature Raw Data'!$A$3:$B$3922,2,FALSE)</f>
        <v xml:space="preserve">Unify GLC-&gt;EA request interface </v>
      </c>
      <c r="C35" s="428" t="str">
        <f>VLOOKUP(A35,'Feature Raw Data'!$A$3:$C$3922,3,FALSE)</f>
        <v>P1</v>
      </c>
      <c r="D35" s="429" t="str" cm="1">
        <f t="array" ref="D35">_xlfn.TEXTJOIN("",TRUE,IF(ISNUMBER(SEARCH($A35,'Diags Raw Data'!$A$6:$A$3761)),CONCATENATE('Diags Raw Data'!$H$6:$H$3761,", "),""))</f>
        <v/>
      </c>
      <c r="E35" s="340" t="e">
        <f>VLOOKUP(A35,'Diags Raw Data'!$A$6:$D$3761,4,FALSE)</f>
        <v>#N/A</v>
      </c>
      <c r="F35" s="340" t="str">
        <f>VLOOKUP(A35,'Feature Raw Data'!$A$3:$E$3922,5,FALSE)</f>
        <v>New</v>
      </c>
      <c r="G35" s="340" t="str">
        <f t="shared" si="0"/>
        <v>Yes</v>
      </c>
      <c r="H35" s="340" t="str">
        <f t="shared" si="1"/>
        <v>Yes</v>
      </c>
      <c r="I35" s="428">
        <f>SUMIF('Diags Raw Data'!$A$6:$A$3761,"*"&amp;$A35&amp;"*",'Diags Raw Data'!$K$6:$K$3761)</f>
        <v>0</v>
      </c>
      <c r="J35" s="430">
        <f>SUMIF('Diags Raw Data'!$A$6:$A$3761,"*"&amp;$A35&amp;"*",'Diags Raw Data'!$L$6:$L$3761)</f>
        <v>0</v>
      </c>
      <c r="K35" s="468" cm="1">
        <f t="array" ref="K35">IF(D35="",0, SUMPRODUCT(--(ISNUMBER(SEARCH($A35,'Diags Raw Data'!$A$6:$A$3761))),'Diags Raw Data'!$L$6:$L$3761,'Diags Raw Data'!$N$6:$N$3761)/J35)</f>
        <v>0</v>
      </c>
      <c r="L35" s="469" cm="1">
        <f t="array" ref="L35">IF(D35="",0, SUMPRODUCT(--(ISNUMBER(SEARCH($A35,'Diags Raw Data'!$A$6:$A$3761))),'Diags Raw Data'!$L$6:$L$3761,'Diags Raw Data'!$P$6:$P$3761)/J35)</f>
        <v>0</v>
      </c>
      <c r="M35" s="470" cm="1">
        <f t="array" ref="M35">SUMPRODUCT(--(ISNUMBER(SEARCH($A35,'Diags Raw Data'!$A$6:$A$3761))),--('Diags Raw Data'!$Q$6:$Q$3761&lt;&gt;"N/A"),'Diags Raw Data'!$R$6:$R$3761)</f>
        <v>0</v>
      </c>
      <c r="N35" s="471" cm="1">
        <f t="array" ref="N35">SUMPRODUCT(--(ISNUMBER(SEARCH($A35,'Diags Raw Data'!$A$6:$A$3761))),--('Diags Raw Data'!$Q$6:$Q$3761&lt;&gt;"N/A"),'Diags Raw Data'!$T$6:$T$3761)+SUMPRODUCT(--(ISNUMBER(SEARCH($A35,'Diags Raw Data'!$A$6:$A$3761))),--('Diags Raw Data'!$Q$6:$Q$3761&lt;&gt;"N/A"),'Diags Raw Data'!$U$6:$U$3761)</f>
        <v>0</v>
      </c>
      <c r="O35" s="472">
        <f t="shared" si="2"/>
        <v>0</v>
      </c>
      <c r="P35" s="473">
        <f>SUMIF('Diags Raw Data'!$A$6:$A$3761,"*"&amp;$A35&amp;"*",'Diags Raw Data'!$Z$6:$Z$3761)</f>
        <v>0</v>
      </c>
      <c r="Q35" s="474">
        <f>SUM(SUMIF('Diags Raw Data'!$A$6:$A$3761,"*"&amp;$A35&amp;"*",'Diags Raw Data'!$AA$6:$AA$3761),SUMIF('Diags Raw Data'!$A$6:$A$3761,"*"&amp;$A35&amp;"*",'Diags Raw Data'!$AB$6:$AB$3761))</f>
        <v>0</v>
      </c>
      <c r="R35" s="475">
        <f t="shared" si="3"/>
        <v>0</v>
      </c>
      <c r="S35" s="475">
        <f t="shared" si="4"/>
        <v>0</v>
      </c>
      <c r="T35" s="476">
        <f t="shared" si="5"/>
        <v>0</v>
      </c>
      <c r="U35" s="425" t="e">
        <f>VLOOKUP(A35,'Diags Raw Data'!$A$6:$AH$3761,33,FALSE)</f>
        <v>#N/A</v>
      </c>
      <c r="V35" s="181"/>
    </row>
    <row r="36" spans="1:22" ht="90.75" thickBot="1" x14ac:dyDescent="0.3">
      <c r="A36" s="530">
        <v>12.043999999999976</v>
      </c>
      <c r="B36" s="427" t="str">
        <f>VLOOKUP(A36,'Feature Raw Data'!$A$3:$B$3922,2,FALSE)</f>
        <v>GLC guarantee of same address order for any op or scope (dep. On 12.042)</v>
      </c>
      <c r="C36" s="428" t="str">
        <f>VLOOKUP(A36,'Feature Raw Data'!$A$3:$C$3922,3,FALSE)</f>
        <v>P1</v>
      </c>
      <c r="D36" s="429" t="str" cm="1">
        <f t="array" ref="D36">_xlfn.TEXTJOIN("",TRUE,IF(ISNUMBER(SEARCH($A36,'Diags Raw Data'!$A$6:$A$3761)),CONCATENATE('Diags Raw Data'!$H$6:$H$3761,", "),""))</f>
        <v/>
      </c>
      <c r="E36" s="340" t="e">
        <f>VLOOKUP(A36,'Diags Raw Data'!$A$6:$D$3761,4,FALSE)</f>
        <v>#N/A</v>
      </c>
      <c r="F36" s="340" t="str">
        <f>VLOOKUP(A36,'Feature Raw Data'!$A$3:$E$3922,5,FALSE)</f>
        <v>New</v>
      </c>
      <c r="G36" s="340" t="str">
        <f t="shared" si="0"/>
        <v>Yes</v>
      </c>
      <c r="H36" s="340" t="str">
        <f t="shared" si="1"/>
        <v>Yes</v>
      </c>
      <c r="I36" s="428">
        <f>SUMIF('Diags Raw Data'!$A$6:$A$3761,"*"&amp;$A36&amp;"*",'Diags Raw Data'!$K$6:$K$3761)</f>
        <v>0</v>
      </c>
      <c r="J36" s="430">
        <f>SUMIF('Diags Raw Data'!$A$6:$A$3761,"*"&amp;$A36&amp;"*",'Diags Raw Data'!$L$6:$L$3761)</f>
        <v>0</v>
      </c>
      <c r="K36" s="468" cm="1">
        <f t="array" ref="K36">IF(D36="",0, SUMPRODUCT(--(ISNUMBER(SEARCH($A36,'Diags Raw Data'!$A$6:$A$3761))),'Diags Raw Data'!$L$6:$L$3761,'Diags Raw Data'!$N$6:$N$3761)/J36)</f>
        <v>0</v>
      </c>
      <c r="L36" s="469" cm="1">
        <f t="array" ref="L36">IF(D36="",0, SUMPRODUCT(--(ISNUMBER(SEARCH($A36,'Diags Raw Data'!$A$6:$A$3761))),'Diags Raw Data'!$L$6:$L$3761,'Diags Raw Data'!$P$6:$P$3761)/J36)</f>
        <v>0</v>
      </c>
      <c r="M36" s="470" cm="1">
        <f t="array" ref="M36">SUMPRODUCT(--(ISNUMBER(SEARCH($A36,'Diags Raw Data'!$A$6:$A$3761))),--('Diags Raw Data'!$Q$6:$Q$3761&lt;&gt;"N/A"),'Diags Raw Data'!$R$6:$R$3761)</f>
        <v>0</v>
      </c>
      <c r="N36" s="471" cm="1">
        <f t="array" ref="N36">SUMPRODUCT(--(ISNUMBER(SEARCH($A36,'Diags Raw Data'!$A$6:$A$3761))),--('Diags Raw Data'!$Q$6:$Q$3761&lt;&gt;"N/A"),'Diags Raw Data'!$T$6:$T$3761)+SUMPRODUCT(--(ISNUMBER(SEARCH($A36,'Diags Raw Data'!$A$6:$A$3761))),--('Diags Raw Data'!$Q$6:$Q$3761&lt;&gt;"N/A"),'Diags Raw Data'!$U$6:$U$3761)</f>
        <v>0</v>
      </c>
      <c r="O36" s="472">
        <f t="shared" si="2"/>
        <v>0</v>
      </c>
      <c r="P36" s="473">
        <f>SUMIF('Diags Raw Data'!$A$6:$A$3761,"*"&amp;$A36&amp;"*",'Diags Raw Data'!$Z$6:$Z$3761)</f>
        <v>0</v>
      </c>
      <c r="Q36" s="474">
        <f>SUM(SUMIF('Diags Raw Data'!$A$6:$A$3761,"*"&amp;$A36&amp;"*",'Diags Raw Data'!$AA$6:$AA$3761),SUMIF('Diags Raw Data'!$A$6:$A$3761,"*"&amp;$A36&amp;"*",'Diags Raw Data'!$AB$6:$AB$3761))</f>
        <v>0</v>
      </c>
      <c r="R36" s="475">
        <f t="shared" si="3"/>
        <v>0</v>
      </c>
      <c r="S36" s="475">
        <f t="shared" si="4"/>
        <v>0</v>
      </c>
      <c r="T36" s="476">
        <f t="shared" si="5"/>
        <v>0</v>
      </c>
      <c r="U36" s="425" t="e">
        <f>VLOOKUP(A36,'Diags Raw Data'!$A$6:$AH$3761,33,FALSE)</f>
        <v>#N/A</v>
      </c>
      <c r="V36" s="181"/>
    </row>
    <row r="37" spans="1:22" ht="45.75" thickBot="1" x14ac:dyDescent="0.3">
      <c r="A37" s="530">
        <v>12.045999999999975</v>
      </c>
      <c r="B37" s="427" t="str">
        <f>VLOOKUP(A37,'Feature Raw Data'!$A$3:$B$3922,2,FALSE)</f>
        <v>GLC Cascading Read-Mod-Write Atomic Ops (includes retaining gfx11 atomic ops)</v>
      </c>
      <c r="C37" s="428" t="str">
        <f>VLOOKUP(A37,'Feature Raw Data'!$A$3:$C$3922,3,FALSE)</f>
        <v>P1</v>
      </c>
      <c r="D37" s="429" t="str" cm="1">
        <f t="array" ref="D37">_xlfn.TEXTJOIN("",TRUE,IF(ISNUMBER(SEARCH($A37,'Diags Raw Data'!$A$6:$A$3761)),CONCATENATE('Diags Raw Data'!$H$6:$H$3761,", "),""))</f>
        <v/>
      </c>
      <c r="E37" s="340" t="e">
        <f>VLOOKUP(A37,'Diags Raw Data'!$A$6:$D$3761,4,FALSE)</f>
        <v>#N/A</v>
      </c>
      <c r="F37" s="340" t="str">
        <f>VLOOKUP(A37,'Feature Raw Data'!$A$3:$E$3922,5,FALSE)</f>
        <v>New</v>
      </c>
      <c r="G37" s="340" t="str">
        <f t="shared" si="0"/>
        <v>Yes</v>
      </c>
      <c r="H37" s="340" t="str">
        <f t="shared" si="1"/>
        <v>Yes</v>
      </c>
      <c r="I37" s="428">
        <f>SUMIF('Diags Raw Data'!$A$6:$A$3761,"*"&amp;$A37&amp;"*",'Diags Raw Data'!$K$6:$K$3761)</f>
        <v>0</v>
      </c>
      <c r="J37" s="430">
        <f>SUMIF('Diags Raw Data'!$A$6:$A$3761,"*"&amp;$A37&amp;"*",'Diags Raw Data'!$L$6:$L$3761)</f>
        <v>0</v>
      </c>
      <c r="K37" s="468" cm="1">
        <f t="array" ref="K37">IF(D37="",0, SUMPRODUCT(--(ISNUMBER(SEARCH($A37,'Diags Raw Data'!$A$6:$A$3761))),'Diags Raw Data'!$L$6:$L$3761,'Diags Raw Data'!$N$6:$N$3761)/J37)</f>
        <v>0</v>
      </c>
      <c r="L37" s="469" cm="1">
        <f t="array" ref="L37">IF(D37="",0, SUMPRODUCT(--(ISNUMBER(SEARCH($A37,'Diags Raw Data'!$A$6:$A$3761))),'Diags Raw Data'!$L$6:$L$3761,'Diags Raw Data'!$P$6:$P$3761)/J37)</f>
        <v>0</v>
      </c>
      <c r="M37" s="470" cm="1">
        <f t="array" ref="M37">SUMPRODUCT(--(ISNUMBER(SEARCH($A37,'Diags Raw Data'!$A$6:$A$3761))),--('Diags Raw Data'!$Q$6:$Q$3761&lt;&gt;"N/A"),'Diags Raw Data'!$R$6:$R$3761)</f>
        <v>0</v>
      </c>
      <c r="N37" s="471" cm="1">
        <f t="array" ref="N37">SUMPRODUCT(--(ISNUMBER(SEARCH($A37,'Diags Raw Data'!$A$6:$A$3761))),--('Diags Raw Data'!$Q$6:$Q$3761&lt;&gt;"N/A"),'Diags Raw Data'!$T$6:$T$3761)+SUMPRODUCT(--(ISNUMBER(SEARCH($A37,'Diags Raw Data'!$A$6:$A$3761))),--('Diags Raw Data'!$Q$6:$Q$3761&lt;&gt;"N/A"),'Diags Raw Data'!$U$6:$U$3761)</f>
        <v>0</v>
      </c>
      <c r="O37" s="472">
        <f t="shared" si="2"/>
        <v>0</v>
      </c>
      <c r="P37" s="473">
        <f>SUMIF('Diags Raw Data'!$A$6:$A$3761,"*"&amp;$A37&amp;"*",'Diags Raw Data'!$Z$6:$Z$3761)</f>
        <v>0</v>
      </c>
      <c r="Q37" s="474">
        <f>SUM(SUMIF('Diags Raw Data'!$A$6:$A$3761,"*"&amp;$A37&amp;"*",'Diags Raw Data'!$AA$6:$AA$3761),SUMIF('Diags Raw Data'!$A$6:$A$3761,"*"&amp;$A37&amp;"*",'Diags Raw Data'!$AB$6:$AB$3761))</f>
        <v>0</v>
      </c>
      <c r="R37" s="475">
        <f t="shared" si="3"/>
        <v>0</v>
      </c>
      <c r="S37" s="475">
        <f t="shared" si="4"/>
        <v>0</v>
      </c>
      <c r="T37" s="476">
        <f t="shared" si="5"/>
        <v>0</v>
      </c>
      <c r="U37" s="425" t="e">
        <f>VLOOKUP(A37,'Diags Raw Data'!$A$6:$AH$3761,33,FALSE)</f>
        <v>#N/A</v>
      </c>
      <c r="V37" s="181"/>
    </row>
    <row r="38" spans="1:22" s="186" customFormat="1" ht="15.75" thickBot="1" x14ac:dyDescent="0.3">
      <c r="A38" s="530">
        <v>12.047999999999973</v>
      </c>
      <c r="B38" s="427" t="str">
        <f>VLOOKUP(A38,'Feature Raw Data'!$A$3:$B$3922,2,FALSE)</f>
        <v xml:space="preserve">GLC Full CL sized write support </v>
      </c>
      <c r="C38" s="428" t="str">
        <f>VLOOKUP(A38,'Feature Raw Data'!$A$3:$C$3922,3,FALSE)</f>
        <v>P2</v>
      </c>
      <c r="D38" s="429" t="str" cm="1">
        <f t="array" ref="D38">_xlfn.TEXTJOIN("",TRUE,IF(ISNUMBER(SEARCH($A38,'Diags Raw Data'!$A$6:$A$3761)),CONCATENATE('Diags Raw Data'!$H$6:$H$3761,", "),""))</f>
        <v xml:space="preserve">placeholder_e.1, </v>
      </c>
      <c r="E38" s="340" t="e">
        <f>VLOOKUP(A38,'Diags Raw Data'!$A$6:$D$3761,4,FALSE)</f>
        <v>#N/A</v>
      </c>
      <c r="F38" s="340" t="str">
        <f>VLOOKUP(A38,'Feature Raw Data'!$A$3:$E$3922,5,FALSE)</f>
        <v>New</v>
      </c>
      <c r="G38" s="340" t="str">
        <f t="shared" si="0"/>
        <v>Yes</v>
      </c>
      <c r="H38" s="340" t="str">
        <f t="shared" si="1"/>
        <v>Yes</v>
      </c>
      <c r="I38" s="428">
        <f>SUMIF('Diags Raw Data'!$A$6:$A$3761,"*"&amp;$A38&amp;"*",'Diags Raw Data'!$K$6:$K$3761)</f>
        <v>0</v>
      </c>
      <c r="J38" s="430">
        <f>SUMIF('Diags Raw Data'!$A$6:$A$3761,"*"&amp;$A38&amp;"*",'Diags Raw Data'!$L$6:$L$3761)</f>
        <v>0</v>
      </c>
      <c r="K38" s="468" t="e" cm="1">
        <f t="array" ref="K38">IF(D38="",0, SUMPRODUCT(--(ISNUMBER(SEARCH($A38,'Diags Raw Data'!$A$6:$A$3761))),'Diags Raw Data'!$L$6:$L$3761,'Diags Raw Data'!$N$6:$N$3761)/J38)</f>
        <v>#DIV/0!</v>
      </c>
      <c r="L38" s="469" t="e" cm="1">
        <f t="array" ref="L38">IF(D38="",0, SUMPRODUCT(--(ISNUMBER(SEARCH($A38,'Diags Raw Data'!$A$6:$A$3761))),'Diags Raw Data'!$L$6:$L$3761,'Diags Raw Data'!$P$6:$P$3761)/J38)</f>
        <v>#DIV/0!</v>
      </c>
      <c r="M38" s="470" cm="1">
        <f t="array" ref="M38">SUMPRODUCT(--(ISNUMBER(SEARCH($A38,'Diags Raw Data'!$A$6:$A$3761))),--('Diags Raw Data'!$Q$6:$Q$3761&lt;&gt;"N/A"),'Diags Raw Data'!$R$6:$R$3761)</f>
        <v>1</v>
      </c>
      <c r="N38" s="471" cm="1">
        <f t="array" ref="N38">SUMPRODUCT(--(ISNUMBER(SEARCH($A38,'Diags Raw Data'!$A$6:$A$3761))),--('Diags Raw Data'!$Q$6:$Q$3761&lt;&gt;"N/A"),'Diags Raw Data'!$T$6:$T$3761)+SUMPRODUCT(--(ISNUMBER(SEARCH($A38,'Diags Raw Data'!$A$6:$A$3761))),--('Diags Raw Data'!$Q$6:$Q$3761&lt;&gt;"N/A"),'Diags Raw Data'!$U$6:$U$3761)</f>
        <v>1</v>
      </c>
      <c r="O38" s="472">
        <f t="shared" si="2"/>
        <v>1</v>
      </c>
      <c r="P38" s="473">
        <f>SUMIF('Diags Raw Data'!$A$6:$A$3761,"*"&amp;$A38&amp;"*",'Diags Raw Data'!$Z$6:$Z$3761)</f>
        <v>0</v>
      </c>
      <c r="Q38" s="474">
        <f>SUM(SUMIF('Diags Raw Data'!$A$6:$A$3761,"*"&amp;$A38&amp;"*",'Diags Raw Data'!$AA$6:$AA$3761),SUMIF('Diags Raw Data'!$A$6:$A$3761,"*"&amp;$A38&amp;"*",'Diags Raw Data'!$AB$6:$AB$3761))</f>
        <v>0</v>
      </c>
      <c r="R38" s="475">
        <f t="shared" si="3"/>
        <v>0</v>
      </c>
      <c r="S38" s="475">
        <f t="shared" si="4"/>
        <v>0</v>
      </c>
      <c r="T38" s="476">
        <f t="shared" si="5"/>
        <v>0</v>
      </c>
      <c r="U38" s="425" t="e">
        <f>VLOOKUP(A38,'Diags Raw Data'!$A$6:$AH$3761,33,FALSE)</f>
        <v>#N/A</v>
      </c>
      <c r="V38" s="185"/>
    </row>
    <row r="39" spans="1:22" ht="30.75" thickBot="1" x14ac:dyDescent="0.3">
      <c r="A39" s="530">
        <v>12.048999999999973</v>
      </c>
      <c r="B39" s="427" t="str">
        <f>VLOOKUP(A39,'Feature Raw Data'!$A$3:$B$3922,2,FALSE)</f>
        <v xml:space="preserve">GLC Up to 256B Write Support to EA </v>
      </c>
      <c r="C39" s="428" t="str">
        <f>VLOOKUP(A39,'Feature Raw Data'!$A$3:$C$3922,3,FALSE)</f>
        <v>P1</v>
      </c>
      <c r="D39" s="429" t="str" cm="1">
        <f t="array" ref="D39">_xlfn.TEXTJOIN("",TRUE,IF(ISNUMBER(SEARCH($A39,'Diags Raw Data'!$A$6:$A$3761)),CONCATENATE('Diags Raw Data'!$H$6:$H$3761,", "),""))</f>
        <v/>
      </c>
      <c r="E39" s="340" t="e">
        <f>VLOOKUP(A39,'Diags Raw Data'!$A$6:$D$3761,4,FALSE)</f>
        <v>#N/A</v>
      </c>
      <c r="F39" s="340" t="str">
        <f>VLOOKUP(A39,'Feature Raw Data'!$A$3:$E$3922,5,FALSE)</f>
        <v>New</v>
      </c>
      <c r="G39" s="340" t="str">
        <f t="shared" si="0"/>
        <v>Yes</v>
      </c>
      <c r="H39" s="340" t="str">
        <f t="shared" si="1"/>
        <v>Yes</v>
      </c>
      <c r="I39" s="428">
        <f>SUMIF('Diags Raw Data'!$A$6:$A$3761,"*"&amp;$A39&amp;"*",'Diags Raw Data'!$K$6:$K$3761)</f>
        <v>0</v>
      </c>
      <c r="J39" s="430">
        <f>SUMIF('Diags Raw Data'!$A$6:$A$3761,"*"&amp;$A39&amp;"*",'Diags Raw Data'!$L$6:$L$3761)</f>
        <v>0</v>
      </c>
      <c r="K39" s="468" cm="1">
        <f t="array" ref="K39">IF(D39="",0, SUMPRODUCT(--(ISNUMBER(SEARCH($A39,'Diags Raw Data'!$A$6:$A$3761))),'Diags Raw Data'!$L$6:$L$3761,'Diags Raw Data'!$N$6:$N$3761)/J39)</f>
        <v>0</v>
      </c>
      <c r="L39" s="469" cm="1">
        <f t="array" ref="L39">IF(D39="",0, SUMPRODUCT(--(ISNUMBER(SEARCH($A39,'Diags Raw Data'!$A$6:$A$3761))),'Diags Raw Data'!$L$6:$L$3761,'Diags Raw Data'!$P$6:$P$3761)/J39)</f>
        <v>0</v>
      </c>
      <c r="M39" s="470" cm="1">
        <f t="array" ref="M39">SUMPRODUCT(--(ISNUMBER(SEARCH($A39,'Diags Raw Data'!$A$6:$A$3761))),--('Diags Raw Data'!$Q$6:$Q$3761&lt;&gt;"N/A"),'Diags Raw Data'!$R$6:$R$3761)</f>
        <v>0</v>
      </c>
      <c r="N39" s="471" cm="1">
        <f t="array" ref="N39">SUMPRODUCT(--(ISNUMBER(SEARCH($A39,'Diags Raw Data'!$A$6:$A$3761))),--('Diags Raw Data'!$Q$6:$Q$3761&lt;&gt;"N/A"),'Diags Raw Data'!$T$6:$T$3761)+SUMPRODUCT(--(ISNUMBER(SEARCH($A39,'Diags Raw Data'!$A$6:$A$3761))),--('Diags Raw Data'!$Q$6:$Q$3761&lt;&gt;"N/A"),'Diags Raw Data'!$U$6:$U$3761)</f>
        <v>0</v>
      </c>
      <c r="O39" s="472">
        <f t="shared" si="2"/>
        <v>0</v>
      </c>
      <c r="P39" s="473">
        <f>SUMIF('Diags Raw Data'!$A$6:$A$3761,"*"&amp;$A39&amp;"*",'Diags Raw Data'!$Z$6:$Z$3761)</f>
        <v>0</v>
      </c>
      <c r="Q39" s="474">
        <f>SUM(SUMIF('Diags Raw Data'!$A$6:$A$3761,"*"&amp;$A39&amp;"*",'Diags Raw Data'!$AA$6:$AA$3761),SUMIF('Diags Raw Data'!$A$6:$A$3761,"*"&amp;$A39&amp;"*",'Diags Raw Data'!$AB$6:$AB$3761))</f>
        <v>0</v>
      </c>
      <c r="R39" s="475">
        <f t="shared" si="3"/>
        <v>0</v>
      </c>
      <c r="S39" s="475">
        <f t="shared" si="4"/>
        <v>0</v>
      </c>
      <c r="T39" s="476">
        <f t="shared" si="5"/>
        <v>0</v>
      </c>
      <c r="U39" s="425" t="e">
        <f>VLOOKUP(A39,'Diags Raw Data'!$A$6:$AH$3761,33,FALSE)</f>
        <v>#N/A</v>
      </c>
      <c r="V39" s="181"/>
    </row>
    <row r="40" spans="1:22" ht="30.75" thickBot="1" x14ac:dyDescent="0.3">
      <c r="A40" s="530">
        <v>12.051</v>
      </c>
      <c r="B40" s="427" t="str">
        <f>VLOOKUP(A40,'Feature Raw Data'!$A$3:$B$3922,2,FALSE)</f>
        <v>cache last_use policy (child of 12.041/12.027)</v>
      </c>
      <c r="C40" s="428" t="str">
        <f>VLOOKUP(A40,'Feature Raw Data'!$A$3:$C$3922,3,FALSE)</f>
        <v>P2</v>
      </c>
      <c r="D40" s="429" t="str" cm="1">
        <f t="array" ref="D40">_xlfn.TEXTJOIN("",TRUE,IF(ISNUMBER(SEARCH($A40,'Diags Raw Data'!$A$6:$A$3761)),CONCATENATE('Diags Raw Data'!$H$6:$H$3761,", "),""))</f>
        <v xml:space="preserve">gfx.cmm_cache_last_use_policy_monolithic, </v>
      </c>
      <c r="E40" s="340" t="str">
        <f>VLOOKUP(A40,'Diags Raw Data'!$A$6:$D$3761,4,FALSE)</f>
        <v>CMM</v>
      </c>
      <c r="F40" s="340" t="str">
        <f>VLOOKUP(A40,'Feature Raw Data'!$A$3:$E$3922,5,FALSE)</f>
        <v>New</v>
      </c>
      <c r="G40" s="340" t="str">
        <f t="shared" si="0"/>
        <v>Yes</v>
      </c>
      <c r="H40" s="340" t="str">
        <f t="shared" si="1"/>
        <v>Yes</v>
      </c>
      <c r="I40" s="428">
        <f>SUMIF('Diags Raw Data'!$A$6:$A$3761,"*"&amp;$A40&amp;"*",'Diags Raw Data'!$K$6:$K$3761)</f>
        <v>0</v>
      </c>
      <c r="J40" s="430">
        <f>SUMIF('Diags Raw Data'!$A$6:$A$3761,"*"&amp;$A40&amp;"*",'Diags Raw Data'!$L$6:$L$3761)</f>
        <v>0</v>
      </c>
      <c r="K40" s="468" t="e" cm="1">
        <f t="array" ref="K40">IF(D40="",0, SUMPRODUCT(--(ISNUMBER(SEARCH($A40,'Diags Raw Data'!$A$6:$A$3761))),'Diags Raw Data'!$L$6:$L$3761,'Diags Raw Data'!$N$6:$N$3761)/J40)</f>
        <v>#DIV/0!</v>
      </c>
      <c r="L40" s="469" t="e" cm="1">
        <f t="array" ref="L40">IF(D40="",0, SUMPRODUCT(--(ISNUMBER(SEARCH($A40,'Diags Raw Data'!$A$6:$A$3761))),'Diags Raw Data'!$L$6:$L$3761,'Diags Raw Data'!$P$6:$P$3761)/J40)</f>
        <v>#DIV/0!</v>
      </c>
      <c r="M40" s="470" cm="1">
        <f t="array" ref="M40">SUMPRODUCT(--(ISNUMBER(SEARCH($A40,'Diags Raw Data'!$A$6:$A$3761))),--('Diags Raw Data'!$Q$6:$Q$3761&lt;&gt;"N/A"),'Diags Raw Data'!$R$6:$R$3761)</f>
        <v>0</v>
      </c>
      <c r="N40" s="471" cm="1">
        <f t="array" ref="N40">SUMPRODUCT(--(ISNUMBER(SEARCH($A40,'Diags Raw Data'!$A$6:$A$3761))),--('Diags Raw Data'!$Q$6:$Q$3761&lt;&gt;"N/A"),'Diags Raw Data'!$T$6:$T$3761)+SUMPRODUCT(--(ISNUMBER(SEARCH($A40,'Diags Raw Data'!$A$6:$A$3761))),--('Diags Raw Data'!$Q$6:$Q$3761&lt;&gt;"N/A"),'Diags Raw Data'!$U$6:$U$3761)</f>
        <v>0</v>
      </c>
      <c r="O40" s="472">
        <f t="shared" si="2"/>
        <v>0</v>
      </c>
      <c r="P40" s="473">
        <f>SUMIF('Diags Raw Data'!$A$6:$A$3761,"*"&amp;$A40&amp;"*",'Diags Raw Data'!$Z$6:$Z$3761)</f>
        <v>0</v>
      </c>
      <c r="Q40" s="474">
        <f>SUM(SUMIF('Diags Raw Data'!$A$6:$A$3761,"*"&amp;$A40&amp;"*",'Diags Raw Data'!$AA$6:$AA$3761),SUMIF('Diags Raw Data'!$A$6:$A$3761,"*"&amp;$A40&amp;"*",'Diags Raw Data'!$AB$6:$AB$3761))</f>
        <v>0</v>
      </c>
      <c r="R40" s="475">
        <f t="shared" si="3"/>
        <v>0</v>
      </c>
      <c r="S40" s="475">
        <f t="shared" si="4"/>
        <v>0</v>
      </c>
      <c r="T40" s="476">
        <f t="shared" si="5"/>
        <v>0</v>
      </c>
      <c r="U40" s="425" t="str">
        <f>VLOOKUP(A40,'Diags Raw Data'!$A$6:$AH$3761,33,FALSE)</f>
        <v>WK8</v>
      </c>
      <c r="V40" s="181"/>
    </row>
    <row r="41" spans="1:22" ht="60.75" thickBot="1" x14ac:dyDescent="0.3">
      <c r="A41" s="530">
        <v>12.052999999999971</v>
      </c>
      <c r="B41" s="427" t="str">
        <f>VLOOKUP(A41,'Feature Raw Data'!$A$3:$B$3922,2,FALSE)</f>
        <v>Distributed compression architecture in CMM and client impacts (w/ physical meta-data)</v>
      </c>
      <c r="C41" s="428" t="str">
        <f>VLOOKUP(A41,'Feature Raw Data'!$A$3:$C$3922,3,FALSE)</f>
        <v>P1</v>
      </c>
      <c r="D41" s="429" t="str" cm="1">
        <f t="array" ref="D41">_xlfn.TEXTJOIN("",TRUE,IF(ISNUMBER(SEARCH($A41,'Diags Raw Data'!$A$6:$A$3761)),CONCATENATE('Diags Raw Data'!$H$6:$H$3761,", "),""))</f>
        <v/>
      </c>
      <c r="E41" s="340" t="e">
        <f>VLOOKUP(A41,'Diags Raw Data'!$A$6:$D$3761,4,FALSE)</f>
        <v>#N/A</v>
      </c>
      <c r="F41" s="340" t="str">
        <f>VLOOKUP(A41,'Feature Raw Data'!$A$3:$E$3922,5,FALSE)</f>
        <v>New</v>
      </c>
      <c r="G41" s="340" t="str">
        <f t="shared" si="0"/>
        <v>Yes</v>
      </c>
      <c r="H41" s="340" t="str">
        <f t="shared" si="1"/>
        <v>Yes</v>
      </c>
      <c r="I41" s="428">
        <f>SUMIF('Diags Raw Data'!$A$6:$A$3761,"*"&amp;$A41&amp;"*",'Diags Raw Data'!$K$6:$K$3761)</f>
        <v>0</v>
      </c>
      <c r="J41" s="430">
        <f>SUMIF('Diags Raw Data'!$A$6:$A$3761,"*"&amp;$A41&amp;"*",'Diags Raw Data'!$L$6:$L$3761)</f>
        <v>0</v>
      </c>
      <c r="K41" s="468" cm="1">
        <f t="array" ref="K41">IF(D41="",0, SUMPRODUCT(--(ISNUMBER(SEARCH($A41,'Diags Raw Data'!$A$6:$A$3761))),'Diags Raw Data'!$L$6:$L$3761,'Diags Raw Data'!$N$6:$N$3761)/J41)</f>
        <v>0</v>
      </c>
      <c r="L41" s="469" cm="1">
        <f t="array" ref="L41">IF(D41="",0, SUMPRODUCT(--(ISNUMBER(SEARCH($A41,'Diags Raw Data'!$A$6:$A$3761))),'Diags Raw Data'!$L$6:$L$3761,'Diags Raw Data'!$P$6:$P$3761)/J41)</f>
        <v>0</v>
      </c>
      <c r="M41" s="470" cm="1">
        <f t="array" ref="M41">SUMPRODUCT(--(ISNUMBER(SEARCH($A41,'Diags Raw Data'!$A$6:$A$3761))),--('Diags Raw Data'!$Q$6:$Q$3761&lt;&gt;"N/A"),'Diags Raw Data'!$R$6:$R$3761)</f>
        <v>0</v>
      </c>
      <c r="N41" s="471" cm="1">
        <f t="array" ref="N41">SUMPRODUCT(--(ISNUMBER(SEARCH($A41,'Diags Raw Data'!$A$6:$A$3761))),--('Diags Raw Data'!$Q$6:$Q$3761&lt;&gt;"N/A"),'Diags Raw Data'!$T$6:$T$3761)+SUMPRODUCT(--(ISNUMBER(SEARCH($A41,'Diags Raw Data'!$A$6:$A$3761))),--('Diags Raw Data'!$Q$6:$Q$3761&lt;&gt;"N/A"),'Diags Raw Data'!$U$6:$U$3761)</f>
        <v>0</v>
      </c>
      <c r="O41" s="472">
        <f t="shared" si="2"/>
        <v>0</v>
      </c>
      <c r="P41" s="473">
        <f>SUMIF('Diags Raw Data'!$A$6:$A$3761,"*"&amp;$A41&amp;"*",'Diags Raw Data'!$Z$6:$Z$3761)</f>
        <v>0</v>
      </c>
      <c r="Q41" s="474">
        <f>SUM(SUMIF('Diags Raw Data'!$A$6:$A$3761,"*"&amp;$A41&amp;"*",'Diags Raw Data'!$AA$6:$AA$3761),SUMIF('Diags Raw Data'!$A$6:$A$3761,"*"&amp;$A41&amp;"*",'Diags Raw Data'!$AB$6:$AB$3761))</f>
        <v>0</v>
      </c>
      <c r="R41" s="475">
        <f t="shared" si="3"/>
        <v>0</v>
      </c>
      <c r="S41" s="475">
        <f t="shared" si="4"/>
        <v>0</v>
      </c>
      <c r="T41" s="476">
        <f t="shared" si="5"/>
        <v>0</v>
      </c>
      <c r="U41" s="425" t="e">
        <f>VLOOKUP(A41,'Diags Raw Data'!$A$6:$AH$3761,33,FALSE)</f>
        <v>#N/A</v>
      </c>
      <c r="V41" s="181"/>
    </row>
    <row r="42" spans="1:22" ht="30.75" thickBot="1" x14ac:dyDescent="0.3">
      <c r="A42" s="530">
        <v>12.054</v>
      </c>
      <c r="B42" s="427" t="str">
        <f>VLOOKUP(A42,'Feature Raw Data'!$A$3:$B$3922,2,FALSE)</f>
        <v xml:space="preserve">SQG Ring Bus conversion for multi-chip </v>
      </c>
      <c r="C42" s="428" t="str">
        <f>VLOOKUP(A42,'Feature Raw Data'!$A$3:$C$3922,3,FALSE)</f>
        <v>P1</v>
      </c>
      <c r="D42" s="429" t="str" cm="1">
        <f t="array" ref="D42">_xlfn.TEXTJOIN("",TRUE,IF(ISNUMBER(SEARCH($A42,'Diags Raw Data'!$A$6:$A$3761)),CONCATENATE('Diags Raw Data'!$H$6:$H$3761,", "),""))</f>
        <v xml:space="preserve">gci1301.0, </v>
      </c>
      <c r="E42" s="340" t="e">
        <f>VLOOKUP(A42,'Diags Raw Data'!$A$6:$D$3761,4,FALSE)</f>
        <v>#N/A</v>
      </c>
      <c r="F42" s="340" t="str">
        <f>VLOOKUP(A42,'Feature Raw Data'!$A$3:$E$3922,5,FALSE)</f>
        <v>New</v>
      </c>
      <c r="G42" s="340" t="str">
        <f t="shared" si="0"/>
        <v>Yes</v>
      </c>
      <c r="H42" s="340" t="str">
        <f t="shared" si="1"/>
        <v>Yes</v>
      </c>
      <c r="I42" s="428">
        <f>SUMIF('Diags Raw Data'!$A$6:$A$3761,"*"&amp;$A42&amp;"*",'Diags Raw Data'!$K$6:$K$3761)</f>
        <v>0</v>
      </c>
      <c r="J42" s="430">
        <f>SUMIF('Diags Raw Data'!$A$6:$A$3761,"*"&amp;$A42&amp;"*",'Diags Raw Data'!$L$6:$L$3761)</f>
        <v>0</v>
      </c>
      <c r="K42" s="468" t="e" cm="1">
        <f t="array" ref="K42">IF(D42="",0, SUMPRODUCT(--(ISNUMBER(SEARCH($A42,'Diags Raw Data'!$A$6:$A$3761))),'Diags Raw Data'!$L$6:$L$3761,'Diags Raw Data'!$N$6:$N$3761)/J42)</f>
        <v>#DIV/0!</v>
      </c>
      <c r="L42" s="469" t="e" cm="1">
        <f t="array" ref="L42">IF(D42="",0, SUMPRODUCT(--(ISNUMBER(SEARCH($A42,'Diags Raw Data'!$A$6:$A$3761))),'Diags Raw Data'!$L$6:$L$3761,'Diags Raw Data'!$P$6:$P$3761)/J42)</f>
        <v>#DIV/0!</v>
      </c>
      <c r="M42" s="470" cm="1">
        <f t="array" ref="M42">SUMPRODUCT(--(ISNUMBER(SEARCH($A42,'Diags Raw Data'!$A$6:$A$3761))),--('Diags Raw Data'!$Q$6:$Q$3761&lt;&gt;"N/A"),'Diags Raw Data'!$R$6:$R$3761)</f>
        <v>1</v>
      </c>
      <c r="N42" s="471" cm="1">
        <f t="array" ref="N42">SUMPRODUCT(--(ISNUMBER(SEARCH($A42,'Diags Raw Data'!$A$6:$A$3761))),--('Diags Raw Data'!$Q$6:$Q$3761&lt;&gt;"N/A"),'Diags Raw Data'!$T$6:$T$3761)+SUMPRODUCT(--(ISNUMBER(SEARCH($A42,'Diags Raw Data'!$A$6:$A$3761))),--('Diags Raw Data'!$Q$6:$Q$3761&lt;&gt;"N/A"),'Diags Raw Data'!$U$6:$U$3761)</f>
        <v>1</v>
      </c>
      <c r="O42" s="472">
        <f t="shared" si="2"/>
        <v>1</v>
      </c>
      <c r="P42" s="473">
        <f>SUMIF('Diags Raw Data'!$A$6:$A$3761,"*"&amp;$A42&amp;"*",'Diags Raw Data'!$Z$6:$Z$3761)</f>
        <v>0</v>
      </c>
      <c r="Q42" s="474">
        <f>SUM(SUMIF('Diags Raw Data'!$A$6:$A$3761,"*"&amp;$A42&amp;"*",'Diags Raw Data'!$AA$6:$AA$3761),SUMIF('Diags Raw Data'!$A$6:$A$3761,"*"&amp;$A42&amp;"*",'Diags Raw Data'!$AB$6:$AB$3761))</f>
        <v>0</v>
      </c>
      <c r="R42" s="475">
        <f t="shared" si="3"/>
        <v>0</v>
      </c>
      <c r="S42" s="475">
        <f t="shared" si="4"/>
        <v>0</v>
      </c>
      <c r="T42" s="476">
        <f t="shared" si="5"/>
        <v>0</v>
      </c>
      <c r="U42" s="425" t="e">
        <f>VLOOKUP(A42,'Diags Raw Data'!$A$6:$AH$3761,33,FALSE)</f>
        <v>#N/A</v>
      </c>
      <c r="V42" s="181"/>
    </row>
    <row r="43" spans="1:22" ht="15.75" thickBot="1" x14ac:dyDescent="0.3">
      <c r="A43" s="530">
        <v>12.05499999999997</v>
      </c>
      <c r="B43" s="427" t="str">
        <f>VLOOKUP(A43,'Feature Raw Data'!$A$3:$B$3922,2,FALSE)</f>
        <v>Split workgroup barrier</v>
      </c>
      <c r="C43" s="428" t="str">
        <f>VLOOKUP(A43,'Feature Raw Data'!$A$3:$C$3922,3,FALSE)</f>
        <v>P1</v>
      </c>
      <c r="D43" s="429" t="str" cm="1">
        <f t="array" ref="D43">_xlfn.TEXTJOIN("",TRUE,IF(ISNUMBER(SEARCH($A43,'Diags Raw Data'!$A$6:$A$3761)),CONCATENATE('Diags Raw Data'!$H$6:$H$3761,", "),""))</f>
        <v xml:space="preserve">gci1304.0, </v>
      </c>
      <c r="E43" s="340" t="e">
        <f>VLOOKUP(A43,'Diags Raw Data'!$A$6:$D$3761,4,FALSE)</f>
        <v>#N/A</v>
      </c>
      <c r="F43" s="340" t="str">
        <f>VLOOKUP(A43,'Feature Raw Data'!$A$3:$E$3922,5,FALSE)</f>
        <v>New</v>
      </c>
      <c r="G43" s="340" t="str">
        <f t="shared" si="0"/>
        <v>Yes</v>
      </c>
      <c r="H43" s="340" t="str">
        <f t="shared" si="1"/>
        <v>Yes</v>
      </c>
      <c r="I43" s="428">
        <f>SUMIF('Diags Raw Data'!$A$6:$A$3761,"*"&amp;$A43&amp;"*",'Diags Raw Data'!$K$6:$K$3761)</f>
        <v>0</v>
      </c>
      <c r="J43" s="430">
        <f>SUMIF('Diags Raw Data'!$A$6:$A$3761,"*"&amp;$A43&amp;"*",'Diags Raw Data'!$L$6:$L$3761)</f>
        <v>0</v>
      </c>
      <c r="K43" s="468" t="e" cm="1">
        <f t="array" ref="K43">IF(D43="",0, SUMPRODUCT(--(ISNUMBER(SEARCH($A43,'Diags Raw Data'!$A$6:$A$3761))),'Diags Raw Data'!$L$6:$L$3761,'Diags Raw Data'!$N$6:$N$3761)/J43)</f>
        <v>#DIV/0!</v>
      </c>
      <c r="L43" s="469" t="e" cm="1">
        <f t="array" ref="L43">IF(D43="",0, SUMPRODUCT(--(ISNUMBER(SEARCH($A43,'Diags Raw Data'!$A$6:$A$3761))),'Diags Raw Data'!$L$6:$L$3761,'Diags Raw Data'!$P$6:$P$3761)/J43)</f>
        <v>#DIV/0!</v>
      </c>
      <c r="M43" s="470" cm="1">
        <f t="array" ref="M43">SUMPRODUCT(--(ISNUMBER(SEARCH($A43,'Diags Raw Data'!$A$6:$A$3761))),--('Diags Raw Data'!$Q$6:$Q$3761&lt;&gt;"N/A"),'Diags Raw Data'!$R$6:$R$3761)</f>
        <v>1</v>
      </c>
      <c r="N43" s="471" cm="1">
        <f t="array" ref="N43">SUMPRODUCT(--(ISNUMBER(SEARCH($A43,'Diags Raw Data'!$A$6:$A$3761))),--('Diags Raw Data'!$Q$6:$Q$3761&lt;&gt;"N/A"),'Diags Raw Data'!$T$6:$T$3761)+SUMPRODUCT(--(ISNUMBER(SEARCH($A43,'Diags Raw Data'!$A$6:$A$3761))),--('Diags Raw Data'!$Q$6:$Q$3761&lt;&gt;"N/A"),'Diags Raw Data'!$U$6:$U$3761)</f>
        <v>1</v>
      </c>
      <c r="O43" s="472">
        <f t="shared" si="2"/>
        <v>1</v>
      </c>
      <c r="P43" s="473">
        <f>SUMIF('Diags Raw Data'!$A$6:$A$3761,"*"&amp;$A43&amp;"*",'Diags Raw Data'!$Z$6:$Z$3761)</f>
        <v>0</v>
      </c>
      <c r="Q43" s="474">
        <f>SUM(SUMIF('Diags Raw Data'!$A$6:$A$3761,"*"&amp;$A43&amp;"*",'Diags Raw Data'!$AA$6:$AA$3761),SUMIF('Diags Raw Data'!$A$6:$A$3761,"*"&amp;$A43&amp;"*",'Diags Raw Data'!$AB$6:$AB$3761))</f>
        <v>0</v>
      </c>
      <c r="R43" s="475">
        <f t="shared" si="3"/>
        <v>0</v>
      </c>
      <c r="S43" s="475">
        <f t="shared" si="4"/>
        <v>0</v>
      </c>
      <c r="T43" s="476">
        <f t="shared" si="5"/>
        <v>0</v>
      </c>
      <c r="U43" s="425" t="e">
        <f>VLOOKUP(A43,'Diags Raw Data'!$A$6:$AH$3761,33,FALSE)</f>
        <v>#N/A</v>
      </c>
      <c r="V43" s="181"/>
    </row>
    <row r="44" spans="1:22" ht="30.75" thickBot="1" x14ac:dyDescent="0.3">
      <c r="A44" s="530">
        <v>12.055999999999969</v>
      </c>
      <c r="B44" s="427" t="str">
        <f>VLOOKUP(A44,'Feature Raw Data'!$A$3:$B$3922,2,FALSE)</f>
        <v>Shader Instruction Data Prefetch (viola item)</v>
      </c>
      <c r="C44" s="428" t="str">
        <f>VLOOKUP(A44,'Feature Raw Data'!$A$3:$C$3922,3,FALSE)</f>
        <v>P1</v>
      </c>
      <c r="D44" s="429" t="str" cm="1">
        <f t="array" ref="D44">_xlfn.TEXTJOIN("",TRUE,IF(ISNUMBER(SEARCH($A44,'Diags Raw Data'!$A$6:$A$3761)),CONCATENATE('Diags Raw Data'!$H$6:$H$3761,", "),""))</f>
        <v/>
      </c>
      <c r="E44" s="340" t="e">
        <f>VLOOKUP(A44,'Diags Raw Data'!$A$6:$D$3761,4,FALSE)</f>
        <v>#N/A</v>
      </c>
      <c r="F44" s="340" t="str">
        <f>VLOOKUP(A44,'Feature Raw Data'!$A$3:$E$3922,5,FALSE)</f>
        <v>New</v>
      </c>
      <c r="G44" s="340" t="str">
        <f t="shared" si="0"/>
        <v>Yes</v>
      </c>
      <c r="H44" s="340" t="str">
        <f t="shared" si="1"/>
        <v>Yes</v>
      </c>
      <c r="I44" s="428">
        <f>SUMIF('Diags Raw Data'!$A$6:$A$3761,"*"&amp;$A44&amp;"*",'Diags Raw Data'!$K$6:$K$3761)</f>
        <v>0</v>
      </c>
      <c r="J44" s="430">
        <f>SUMIF('Diags Raw Data'!$A$6:$A$3761,"*"&amp;$A44&amp;"*",'Diags Raw Data'!$L$6:$L$3761)</f>
        <v>0</v>
      </c>
      <c r="K44" s="468" cm="1">
        <f t="array" ref="K44">IF(D44="",0, SUMPRODUCT(--(ISNUMBER(SEARCH($A44,'Diags Raw Data'!$A$6:$A$3761))),'Diags Raw Data'!$L$6:$L$3761,'Diags Raw Data'!$N$6:$N$3761)/J44)</f>
        <v>0</v>
      </c>
      <c r="L44" s="469" cm="1">
        <f t="array" ref="L44">IF(D44="",0, SUMPRODUCT(--(ISNUMBER(SEARCH($A44,'Diags Raw Data'!$A$6:$A$3761))),'Diags Raw Data'!$L$6:$L$3761,'Diags Raw Data'!$P$6:$P$3761)/J44)</f>
        <v>0</v>
      </c>
      <c r="M44" s="470" cm="1">
        <f t="array" ref="M44">SUMPRODUCT(--(ISNUMBER(SEARCH($A44,'Diags Raw Data'!$A$6:$A$3761))),--('Diags Raw Data'!$Q$6:$Q$3761&lt;&gt;"N/A"),'Diags Raw Data'!$R$6:$R$3761)</f>
        <v>0</v>
      </c>
      <c r="N44" s="471" cm="1">
        <f t="array" ref="N44">SUMPRODUCT(--(ISNUMBER(SEARCH($A44,'Diags Raw Data'!$A$6:$A$3761))),--('Diags Raw Data'!$Q$6:$Q$3761&lt;&gt;"N/A"),'Diags Raw Data'!$T$6:$T$3761)+SUMPRODUCT(--(ISNUMBER(SEARCH($A44,'Diags Raw Data'!$A$6:$A$3761))),--('Diags Raw Data'!$Q$6:$Q$3761&lt;&gt;"N/A"),'Diags Raw Data'!$U$6:$U$3761)</f>
        <v>0</v>
      </c>
      <c r="O44" s="472">
        <f t="shared" si="2"/>
        <v>0</v>
      </c>
      <c r="P44" s="473">
        <f>SUMIF('Diags Raw Data'!$A$6:$A$3761,"*"&amp;$A44&amp;"*",'Diags Raw Data'!$Z$6:$Z$3761)</f>
        <v>0</v>
      </c>
      <c r="Q44" s="474">
        <f>SUM(SUMIF('Diags Raw Data'!$A$6:$A$3761,"*"&amp;$A44&amp;"*",'Diags Raw Data'!$AA$6:$AA$3761),SUMIF('Diags Raw Data'!$A$6:$A$3761,"*"&amp;$A44&amp;"*",'Diags Raw Data'!$AB$6:$AB$3761))</f>
        <v>0</v>
      </c>
      <c r="R44" s="475">
        <f t="shared" si="3"/>
        <v>0</v>
      </c>
      <c r="S44" s="475">
        <f t="shared" si="4"/>
        <v>0</v>
      </c>
      <c r="T44" s="476">
        <f t="shared" si="5"/>
        <v>0</v>
      </c>
      <c r="U44" s="425" t="e">
        <f>VLOOKUP(A44,'Diags Raw Data'!$A$6:$AH$3761,33,FALSE)</f>
        <v>#N/A</v>
      </c>
      <c r="V44" s="181"/>
    </row>
    <row r="45" spans="1:22" ht="60.75" thickBot="1" x14ac:dyDescent="0.3">
      <c r="A45" s="530">
        <v>12.057</v>
      </c>
      <c r="B45" s="427" t="str">
        <f>VLOOKUP(A45,'Feature Raw Data'!$A$3:$B$3922,2,FALSE)</f>
        <v>Shader software data dependency control</v>
      </c>
      <c r="C45" s="428" t="str">
        <f>VLOOKUP(A45,'Feature Raw Data'!$A$3:$C$3922,3,FALSE)</f>
        <v>P2</v>
      </c>
      <c r="D45" s="429" t="str" cm="1">
        <f t="array" ref="D45">_xlfn.TEXTJOIN("",TRUE,IF(ISNUMBER(SEARCH($A45,'Diags Raw Data'!$A$6:$A$3761)),CONCATENATE('Diags Raw Data'!$H$6:$H$3761,", "),""))</f>
        <v xml:space="preserve">gfx.inst_perf/sched_mode_dep_mode1,gfx.inst_perf/sched_mode_dep_mode2, </v>
      </c>
      <c r="E45" s="340" t="str">
        <f>VLOOKUP(A45,'Diags Raw Data'!$A$6:$D$3761,4,FALSE)</f>
        <v>SH</v>
      </c>
      <c r="F45" s="340" t="str">
        <f>VLOOKUP(A45,'Feature Raw Data'!$A$3:$E$3922,5,FALSE)</f>
        <v>New</v>
      </c>
      <c r="G45" s="340" t="str">
        <f t="shared" si="0"/>
        <v>Yes</v>
      </c>
      <c r="H45" s="340" t="str">
        <f t="shared" si="1"/>
        <v>Yes</v>
      </c>
      <c r="I45" s="428">
        <f>SUMIF('Diags Raw Data'!$A$6:$A$3761,"*"&amp;$A45&amp;"*",'Diags Raw Data'!$K$6:$K$3761)</f>
        <v>0</v>
      </c>
      <c r="J45" s="430">
        <f>SUMIF('Diags Raw Data'!$A$6:$A$3761,"*"&amp;$A45&amp;"*",'Diags Raw Data'!$L$6:$L$3761)</f>
        <v>0</v>
      </c>
      <c r="K45" s="468" t="e" cm="1">
        <f t="array" ref="K45">IF(D45="",0, SUMPRODUCT(--(ISNUMBER(SEARCH($A45,'Diags Raw Data'!$A$6:$A$3761))),'Diags Raw Data'!$L$6:$L$3761,'Diags Raw Data'!$N$6:$N$3761)/J45)</f>
        <v>#DIV/0!</v>
      </c>
      <c r="L45" s="469" t="e" cm="1">
        <f t="array" ref="L45">IF(D45="",0, SUMPRODUCT(--(ISNUMBER(SEARCH($A45,'Diags Raw Data'!$A$6:$A$3761))),'Diags Raw Data'!$L$6:$L$3761,'Diags Raw Data'!$P$6:$P$3761)/J45)</f>
        <v>#DIV/0!</v>
      </c>
      <c r="M45" s="470" cm="1">
        <f t="array" ref="M45">SUMPRODUCT(--(ISNUMBER(SEARCH($A45,'Diags Raw Data'!$A$6:$A$3761))),--('Diags Raw Data'!$Q$6:$Q$3761&lt;&gt;"N/A"),'Diags Raw Data'!$R$6:$R$3761)</f>
        <v>2</v>
      </c>
      <c r="N45" s="471" cm="1">
        <f t="array" ref="N45">SUMPRODUCT(--(ISNUMBER(SEARCH($A45,'Diags Raw Data'!$A$6:$A$3761))),--('Diags Raw Data'!$Q$6:$Q$3761&lt;&gt;"N/A"),'Diags Raw Data'!$T$6:$T$3761)+SUMPRODUCT(--(ISNUMBER(SEARCH($A45,'Diags Raw Data'!$A$6:$A$3761))),--('Diags Raw Data'!$Q$6:$Q$3761&lt;&gt;"N/A"),'Diags Raw Data'!$U$6:$U$3761)</f>
        <v>2</v>
      </c>
      <c r="O45" s="472">
        <f t="shared" si="2"/>
        <v>1</v>
      </c>
      <c r="P45" s="473">
        <f>SUMIF('Diags Raw Data'!$A$6:$A$3761,"*"&amp;$A45&amp;"*",'Diags Raw Data'!$Z$6:$Z$3761)</f>
        <v>0</v>
      </c>
      <c r="Q45" s="474">
        <f>SUM(SUMIF('Diags Raw Data'!$A$6:$A$3761,"*"&amp;$A45&amp;"*",'Diags Raw Data'!$AA$6:$AA$3761),SUMIF('Diags Raw Data'!$A$6:$A$3761,"*"&amp;$A45&amp;"*",'Diags Raw Data'!$AB$6:$AB$3761))</f>
        <v>0</v>
      </c>
      <c r="R45" s="475">
        <f t="shared" si="3"/>
        <v>0</v>
      </c>
      <c r="S45" s="475">
        <f t="shared" si="4"/>
        <v>0</v>
      </c>
      <c r="T45" s="476">
        <f t="shared" si="5"/>
        <v>0</v>
      </c>
      <c r="U45" s="425" t="str">
        <f>VLOOKUP(A45,'Diags Raw Data'!$A$6:$AH$3761,33,FALSE)</f>
        <v>WK8</v>
      </c>
      <c r="V45" s="181"/>
    </row>
    <row r="46" spans="1:22" ht="409.6" thickBot="1" x14ac:dyDescent="0.3">
      <c r="A46" s="530">
        <v>12.058999999999967</v>
      </c>
      <c r="B46" s="427" t="str">
        <f>VLOOKUP(A46,'Feature Raw Data'!$A$3:$B$3922,2,FALSE)</f>
        <v>Shader SALU Float support (in M1/M2/gfx11.5)</v>
      </c>
      <c r="C46" s="428" t="str">
        <f>VLOOKUP(A46,'Feature Raw Data'!$A$3:$C$3922,3,FALSE)</f>
        <v>P1</v>
      </c>
      <c r="D46" s="429" t="str" cm="1">
        <f t="array" ref="D46">_xlfn.TEXTJOIN("",TRUE,IF(ISNUMBER(SEARCH($A46,'Diags Raw Data'!$A$6:$A$3761)),CONCATENATE('Diags Raw Data'!$H$6:$H$3761,", "),""))</f>
        <v xml:space="preserve">gfx.inst_perf/global_load_block,gfx.inst_perf/global_store_block,gfx.inst_perf/scratch_load_block,gfx.inst_perf/scratch_store_block, </v>
      </c>
      <c r="E46" s="340" t="e">
        <f>VLOOKUP(A46,'Diags Raw Data'!$A$6:$D$3761,4,FALSE)</f>
        <v>#N/A</v>
      </c>
      <c r="F46" s="340" t="str">
        <f>VLOOKUP(A46,'Feature Raw Data'!$A$3:$E$3922,5,FALSE)</f>
        <v>New</v>
      </c>
      <c r="G46" s="340" t="str">
        <f t="shared" si="0"/>
        <v>Yes</v>
      </c>
      <c r="H46" s="340" t="str">
        <f t="shared" si="1"/>
        <v>Yes</v>
      </c>
      <c r="I46" s="428">
        <f>SUMIF('Diags Raw Data'!$A$6:$A$3761,"*"&amp;$A46&amp;"*",'Diags Raw Data'!$K$6:$K$3761)</f>
        <v>0</v>
      </c>
      <c r="J46" s="430">
        <f>SUMIF('Diags Raw Data'!$A$6:$A$3761,"*"&amp;$A46&amp;"*",'Diags Raw Data'!$L$6:$L$3761)</f>
        <v>0</v>
      </c>
      <c r="K46" s="468" t="e" cm="1">
        <f t="array" ref="K46">IF(D46="",0, SUMPRODUCT(--(ISNUMBER(SEARCH($A46,'Diags Raw Data'!$A$6:$A$3761))),'Diags Raw Data'!$L$6:$L$3761,'Diags Raw Data'!$N$6:$N$3761)/J46)</f>
        <v>#DIV/0!</v>
      </c>
      <c r="L46" s="469" t="e" cm="1">
        <f t="array" ref="L46">IF(D46="",0, SUMPRODUCT(--(ISNUMBER(SEARCH($A46,'Diags Raw Data'!$A$6:$A$3761))),'Diags Raw Data'!$L$6:$L$3761,'Diags Raw Data'!$P$6:$P$3761)/J46)</f>
        <v>#DIV/0!</v>
      </c>
      <c r="M46" s="470" cm="1">
        <f t="array" ref="M46">SUMPRODUCT(--(ISNUMBER(SEARCH($A46,'Diags Raw Data'!$A$6:$A$3761))),--('Diags Raw Data'!$Q$6:$Q$3761&lt;&gt;"N/A"),'Diags Raw Data'!$R$6:$R$3761)</f>
        <v>4</v>
      </c>
      <c r="N46" s="471" cm="1">
        <f t="array" ref="N46">SUMPRODUCT(--(ISNUMBER(SEARCH($A46,'Diags Raw Data'!$A$6:$A$3761))),--('Diags Raw Data'!$Q$6:$Q$3761&lt;&gt;"N/A"),'Diags Raw Data'!$T$6:$T$3761)+SUMPRODUCT(--(ISNUMBER(SEARCH($A46,'Diags Raw Data'!$A$6:$A$3761))),--('Diags Raw Data'!$Q$6:$Q$3761&lt;&gt;"N/A"),'Diags Raw Data'!$U$6:$U$3761)</f>
        <v>4</v>
      </c>
      <c r="O46" s="472">
        <f t="shared" si="2"/>
        <v>1</v>
      </c>
      <c r="P46" s="473">
        <f>SUMIF('Diags Raw Data'!$A$6:$A$3761,"*"&amp;$A46&amp;"*",'Diags Raw Data'!$Z$6:$Z$3761)</f>
        <v>0</v>
      </c>
      <c r="Q46" s="474">
        <f>SUM(SUMIF('Diags Raw Data'!$A$6:$A$3761,"*"&amp;$A46&amp;"*",'Diags Raw Data'!$AA$6:$AA$3761),SUMIF('Diags Raw Data'!$A$6:$A$3761,"*"&amp;$A46&amp;"*",'Diags Raw Data'!$AB$6:$AB$3761))</f>
        <v>0</v>
      </c>
      <c r="R46" s="475">
        <f t="shared" si="3"/>
        <v>0</v>
      </c>
      <c r="S46" s="475">
        <f t="shared" si="4"/>
        <v>0</v>
      </c>
      <c r="T46" s="476">
        <f t="shared" si="5"/>
        <v>0</v>
      </c>
      <c r="U46" s="425" t="e">
        <f>VLOOKUP(A46,'Diags Raw Data'!$A$6:$AH$3761,33,FALSE)</f>
        <v>#N/A</v>
      </c>
      <c r="V46" s="181"/>
    </row>
    <row r="47" spans="1:22" ht="315.75" thickBot="1" x14ac:dyDescent="0.3">
      <c r="A47" s="530">
        <v>12.059999999999967</v>
      </c>
      <c r="B47" s="427" t="str">
        <f>VLOOKUP(A47,'Feature Raw Data'!$A$3:$B$3922,2,FALSE)</f>
        <v>VGPR DMA for Function Calls (uniform mask only)</v>
      </c>
      <c r="C47" s="428" t="str">
        <f>VLOOKUP(A47,'Feature Raw Data'!$A$3:$C$3922,3,FALSE)</f>
        <v>P1</v>
      </c>
      <c r="D47" s="429" t="str" cm="1">
        <f t="array" ref="D47">_xlfn.TEXTJOIN("",TRUE,IF(ISNUMBER(SEARCH($A47,'Diags Raw Data'!$A$6:$A$3761)),CONCATENATE('Diags Raw Data'!$H$6:$H$3761,", "),""))</f>
        <v xml:space="preserve">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v>
      </c>
      <c r="E47" s="340" t="e">
        <f>VLOOKUP(A47,'Diags Raw Data'!$A$6:$D$3761,4,FALSE)</f>
        <v>#N/A</v>
      </c>
      <c r="F47" s="340" t="str">
        <f>VLOOKUP(A47,'Feature Raw Data'!$A$3:$E$3922,5,FALSE)</f>
        <v>New</v>
      </c>
      <c r="G47" s="340" t="str">
        <f t="shared" si="0"/>
        <v>Yes</v>
      </c>
      <c r="H47" s="340" t="str">
        <f t="shared" si="1"/>
        <v>Yes</v>
      </c>
      <c r="I47" s="428">
        <f>SUMIF('Diags Raw Data'!$A$6:$A$3761,"*"&amp;$A47&amp;"*",'Diags Raw Data'!$K$6:$K$3761)</f>
        <v>0</v>
      </c>
      <c r="J47" s="430">
        <f>SUMIF('Diags Raw Data'!$A$6:$A$3761,"*"&amp;$A47&amp;"*",'Diags Raw Data'!$L$6:$L$3761)</f>
        <v>0</v>
      </c>
      <c r="K47" s="468" t="e" cm="1">
        <f t="array" ref="K47">IF(D47="",0, SUMPRODUCT(--(ISNUMBER(SEARCH($A47,'Diags Raw Data'!$A$6:$A$3761))),'Diags Raw Data'!$L$6:$L$3761,'Diags Raw Data'!$N$6:$N$3761)/J47)</f>
        <v>#DIV/0!</v>
      </c>
      <c r="L47" s="469" t="e" cm="1">
        <f t="array" ref="L47">IF(D47="",0, SUMPRODUCT(--(ISNUMBER(SEARCH($A47,'Diags Raw Data'!$A$6:$A$3761))),'Diags Raw Data'!$L$6:$L$3761,'Diags Raw Data'!$P$6:$P$3761)/J47)</f>
        <v>#DIV/0!</v>
      </c>
      <c r="M47" s="470" cm="1">
        <f t="array" ref="M47">SUMPRODUCT(--(ISNUMBER(SEARCH($A47,'Diags Raw Data'!$A$6:$A$3761))),--('Diags Raw Data'!$Q$6:$Q$3761&lt;&gt;"N/A"),'Diags Raw Data'!$R$6:$R$3761)</f>
        <v>17</v>
      </c>
      <c r="N47" s="471" cm="1">
        <f t="array" ref="N47">SUMPRODUCT(--(ISNUMBER(SEARCH($A47,'Diags Raw Data'!$A$6:$A$3761))),--('Diags Raw Data'!$Q$6:$Q$3761&lt;&gt;"N/A"),'Diags Raw Data'!$T$6:$T$3761)+SUMPRODUCT(--(ISNUMBER(SEARCH($A47,'Diags Raw Data'!$A$6:$A$3761))),--('Diags Raw Data'!$Q$6:$Q$3761&lt;&gt;"N/A"),'Diags Raw Data'!$U$6:$U$3761)</f>
        <v>17</v>
      </c>
      <c r="O47" s="472">
        <f t="shared" si="2"/>
        <v>1</v>
      </c>
      <c r="P47" s="473">
        <f>SUMIF('Diags Raw Data'!$A$6:$A$3761,"*"&amp;$A47&amp;"*",'Diags Raw Data'!$Z$6:$Z$3761)</f>
        <v>0</v>
      </c>
      <c r="Q47" s="474">
        <f>SUM(SUMIF('Diags Raw Data'!$A$6:$A$3761,"*"&amp;$A47&amp;"*",'Diags Raw Data'!$AA$6:$AA$3761),SUMIF('Diags Raw Data'!$A$6:$A$3761,"*"&amp;$A47&amp;"*",'Diags Raw Data'!$AB$6:$AB$3761))</f>
        <v>0</v>
      </c>
      <c r="R47" s="475">
        <f t="shared" si="3"/>
        <v>0</v>
      </c>
      <c r="S47" s="475">
        <f t="shared" si="4"/>
        <v>0</v>
      </c>
      <c r="T47" s="476">
        <f t="shared" si="5"/>
        <v>0</v>
      </c>
      <c r="U47" s="425" t="e">
        <f>VLOOKUP(A47,'Diags Raw Data'!$A$6:$AH$3761,33,FALSE)</f>
        <v>#N/A</v>
      </c>
      <c r="V47" s="181"/>
    </row>
    <row r="48" spans="1:22" ht="30.75" thickBot="1" x14ac:dyDescent="0.3">
      <c r="A48" s="530">
        <v>12.061999999999966</v>
      </c>
      <c r="B48" s="427" t="str">
        <f>VLOOKUP(A48,'Feature Raw Data'!$A$3:$B$3922,2,FALSE)</f>
        <v xml:space="preserve">Shader Debugger Enablement </v>
      </c>
      <c r="C48" s="428" t="str">
        <f>VLOOKUP(A48,'Feature Raw Data'!$A$3:$C$3922,3,FALSE)</f>
        <v>P1</v>
      </c>
      <c r="D48" s="429" t="str" cm="1">
        <f t="array" ref="D48">_xlfn.TEXTJOIN("",TRUE,IF(ISNUMBER(SEARCH($A48,'Diags Raw Data'!$A$6:$A$3761)),CONCATENATE('Diags Raw Data'!$H$6:$H$3761,", "),""))</f>
        <v xml:space="preserve">gci1305.2, </v>
      </c>
      <c r="E48" s="340" t="e">
        <f>VLOOKUP(A48,'Diags Raw Data'!$A$6:$D$3761,4,FALSE)</f>
        <v>#N/A</v>
      </c>
      <c r="F48" s="340" t="str">
        <f>VLOOKUP(A48,'Feature Raw Data'!$A$3:$E$3922,5,FALSE)</f>
        <v>New</v>
      </c>
      <c r="G48" s="340" t="str">
        <f t="shared" si="0"/>
        <v>Yes</v>
      </c>
      <c r="H48" s="340" t="str">
        <f t="shared" si="1"/>
        <v>Yes</v>
      </c>
      <c r="I48" s="428">
        <f>SUMIF('Diags Raw Data'!$A$6:$A$3761,"*"&amp;$A48&amp;"*",'Diags Raw Data'!$K$6:$K$3761)</f>
        <v>0</v>
      </c>
      <c r="J48" s="430">
        <f>SUMIF('Diags Raw Data'!$A$6:$A$3761,"*"&amp;$A48&amp;"*",'Diags Raw Data'!$L$6:$L$3761)</f>
        <v>0</v>
      </c>
      <c r="K48" s="468" t="e" cm="1">
        <f t="array" ref="K48">IF(D48="",0, SUMPRODUCT(--(ISNUMBER(SEARCH($A48,'Diags Raw Data'!$A$6:$A$3761))),'Diags Raw Data'!$L$6:$L$3761,'Diags Raw Data'!$N$6:$N$3761)/J48)</f>
        <v>#DIV/0!</v>
      </c>
      <c r="L48" s="469" t="e" cm="1">
        <f t="array" ref="L48">IF(D48="",0, SUMPRODUCT(--(ISNUMBER(SEARCH($A48,'Diags Raw Data'!$A$6:$A$3761))),'Diags Raw Data'!$L$6:$L$3761,'Diags Raw Data'!$P$6:$P$3761)/J48)</f>
        <v>#DIV/0!</v>
      </c>
      <c r="M48" s="470" cm="1">
        <f t="array" ref="M48">SUMPRODUCT(--(ISNUMBER(SEARCH($A48,'Diags Raw Data'!$A$6:$A$3761))),--('Diags Raw Data'!$Q$6:$Q$3761&lt;&gt;"N/A"),'Diags Raw Data'!$R$6:$R$3761)</f>
        <v>1</v>
      </c>
      <c r="N48" s="471" cm="1">
        <f t="array" ref="N48">SUMPRODUCT(--(ISNUMBER(SEARCH($A48,'Diags Raw Data'!$A$6:$A$3761))),--('Diags Raw Data'!$Q$6:$Q$3761&lt;&gt;"N/A"),'Diags Raw Data'!$T$6:$T$3761)+SUMPRODUCT(--(ISNUMBER(SEARCH($A48,'Diags Raw Data'!$A$6:$A$3761))),--('Diags Raw Data'!$Q$6:$Q$3761&lt;&gt;"N/A"),'Diags Raw Data'!$U$6:$U$3761)</f>
        <v>1</v>
      </c>
      <c r="O48" s="472">
        <f t="shared" si="2"/>
        <v>1</v>
      </c>
      <c r="P48" s="473">
        <f>SUMIF('Diags Raw Data'!$A$6:$A$3761,"*"&amp;$A48&amp;"*",'Diags Raw Data'!$Z$6:$Z$3761)</f>
        <v>0</v>
      </c>
      <c r="Q48" s="474">
        <f>SUM(SUMIF('Diags Raw Data'!$A$6:$A$3761,"*"&amp;$A48&amp;"*",'Diags Raw Data'!$AA$6:$AA$3761),SUMIF('Diags Raw Data'!$A$6:$A$3761,"*"&amp;$A48&amp;"*",'Diags Raw Data'!$AB$6:$AB$3761))</f>
        <v>0</v>
      </c>
      <c r="R48" s="475">
        <f t="shared" si="3"/>
        <v>0</v>
      </c>
      <c r="S48" s="475">
        <f t="shared" si="4"/>
        <v>0</v>
      </c>
      <c r="T48" s="476">
        <f t="shared" si="5"/>
        <v>0</v>
      </c>
      <c r="U48" s="425" t="e">
        <f>VLOOKUP(A48,'Diags Raw Data'!$A$6:$AH$3761,33,FALSE)</f>
        <v>#N/A</v>
      </c>
      <c r="V48" s="181"/>
    </row>
    <row r="49" spans="1:22" ht="30.75" thickBot="1" x14ac:dyDescent="0.3">
      <c r="A49" s="530">
        <v>12.062999999999965</v>
      </c>
      <c r="B49" s="427" t="str">
        <f>VLOOKUP(A49,'Feature Raw Data'!$A$3:$B$3922,2,FALSE)</f>
        <v xml:space="preserve">Shader Illegal Instruction Detection </v>
      </c>
      <c r="C49" s="428" t="str">
        <f>VLOOKUP(A49,'Feature Raw Data'!$A$3:$C$3922,3,FALSE)</f>
        <v>P2</v>
      </c>
      <c r="D49" s="429" t="str" cm="1">
        <f t="array" ref="D49">_xlfn.TEXTJOIN("",TRUE,IF(ISNUMBER(SEARCH($A49,'Diags Raw Data'!$A$6:$A$3761)),CONCATENATE('Diags Raw Data'!$H$6:$H$3761,", "),""))</f>
        <v xml:space="preserve">gfx.inst_perf/ds_permute_b32_w64,gfx.inst_perf/ds_bpermute_b32_w64, </v>
      </c>
      <c r="E49" s="340" t="e">
        <f>VLOOKUP(A49,'Diags Raw Data'!$A$6:$D$3761,4,FALSE)</f>
        <v>#N/A</v>
      </c>
      <c r="F49" s="340" t="str">
        <f>VLOOKUP(A49,'Feature Raw Data'!$A$3:$E$3922,5,FALSE)</f>
        <v>Delta</v>
      </c>
      <c r="G49" s="340" t="str">
        <f t="shared" si="0"/>
        <v>Yes</v>
      </c>
      <c r="H49" s="340" t="str">
        <f t="shared" si="1"/>
        <v>Yes</v>
      </c>
      <c r="I49" s="428">
        <f>SUMIF('Diags Raw Data'!$A$6:$A$3761,"*"&amp;$A49&amp;"*",'Diags Raw Data'!$K$6:$K$3761)</f>
        <v>0</v>
      </c>
      <c r="J49" s="430">
        <f>SUMIF('Diags Raw Data'!$A$6:$A$3761,"*"&amp;$A49&amp;"*",'Diags Raw Data'!$L$6:$L$3761)</f>
        <v>0</v>
      </c>
      <c r="K49" s="468" t="e" cm="1">
        <f t="array" ref="K49">IF(D49="",0, SUMPRODUCT(--(ISNUMBER(SEARCH($A49,'Diags Raw Data'!$A$6:$A$3761))),'Diags Raw Data'!$L$6:$L$3761,'Diags Raw Data'!$N$6:$N$3761)/J49)</f>
        <v>#DIV/0!</v>
      </c>
      <c r="L49" s="469" t="e" cm="1">
        <f t="array" ref="L49">IF(D49="",0, SUMPRODUCT(--(ISNUMBER(SEARCH($A49,'Diags Raw Data'!$A$6:$A$3761))),'Diags Raw Data'!$L$6:$L$3761,'Diags Raw Data'!$P$6:$P$3761)/J49)</f>
        <v>#DIV/0!</v>
      </c>
      <c r="M49" s="470" cm="1">
        <f t="array" ref="M49">SUMPRODUCT(--(ISNUMBER(SEARCH($A49,'Diags Raw Data'!$A$6:$A$3761))),--('Diags Raw Data'!$Q$6:$Q$3761&lt;&gt;"N/A"),'Diags Raw Data'!$R$6:$R$3761)</f>
        <v>2</v>
      </c>
      <c r="N49" s="471" cm="1">
        <f t="array" ref="N49">SUMPRODUCT(--(ISNUMBER(SEARCH($A49,'Diags Raw Data'!$A$6:$A$3761))),--('Diags Raw Data'!$Q$6:$Q$3761&lt;&gt;"N/A"),'Diags Raw Data'!$T$6:$T$3761)+SUMPRODUCT(--(ISNUMBER(SEARCH($A49,'Diags Raw Data'!$A$6:$A$3761))),--('Diags Raw Data'!$Q$6:$Q$3761&lt;&gt;"N/A"),'Diags Raw Data'!$U$6:$U$3761)</f>
        <v>2</v>
      </c>
      <c r="O49" s="472">
        <f t="shared" si="2"/>
        <v>1</v>
      </c>
      <c r="P49" s="473">
        <f>SUMIF('Diags Raw Data'!$A$6:$A$3761,"*"&amp;$A49&amp;"*",'Diags Raw Data'!$Z$6:$Z$3761)</f>
        <v>0</v>
      </c>
      <c r="Q49" s="474">
        <f>SUM(SUMIF('Diags Raw Data'!$A$6:$A$3761,"*"&amp;$A49&amp;"*",'Diags Raw Data'!$AA$6:$AA$3761),SUMIF('Diags Raw Data'!$A$6:$A$3761,"*"&amp;$A49&amp;"*",'Diags Raw Data'!$AB$6:$AB$3761))</f>
        <v>0</v>
      </c>
      <c r="R49" s="475">
        <f t="shared" si="3"/>
        <v>0</v>
      </c>
      <c r="S49" s="475">
        <f t="shared" si="4"/>
        <v>0</v>
      </c>
      <c r="T49" s="476">
        <f t="shared" si="5"/>
        <v>0</v>
      </c>
      <c r="U49" s="425" t="e">
        <f>VLOOKUP(A49,'Diags Raw Data'!$A$6:$AH$3761,33,FALSE)</f>
        <v>#N/A</v>
      </c>
      <c r="V49" s="181"/>
    </row>
    <row r="50" spans="1:22" ht="45.75" thickBot="1" x14ac:dyDescent="0.3">
      <c r="A50" s="530">
        <v>12.063999999999965</v>
      </c>
      <c r="B50" s="427" t="str">
        <f>VLOOKUP(A50,'Feature Raw Data'!$A$3:$B$3922,2,FALSE)</f>
        <v xml:space="preserve">Support PERMUTE/BPERMUTE for wave64 </v>
      </c>
      <c r="C50" s="428" t="str">
        <f>VLOOKUP(A50,'Feature Raw Data'!$A$3:$C$3922,3,FALSE)</f>
        <v>P2</v>
      </c>
      <c r="D50" s="429" t="str" cm="1">
        <f t="array" ref="D50">_xlfn.TEXTJOIN("",TRUE,IF(ISNUMBER(SEARCH($A50,'Diags Raw Data'!$A$6:$A$3761)),CONCATENATE('Diags Raw Data'!$H$6:$H$3761,", "),""))</f>
        <v xml:space="preserve">gfx.inst_perf/v_permlanex16_var_b32,gfx.inst_perf/v_permlane16_var_b32, </v>
      </c>
      <c r="E50" s="340" t="e">
        <f>VLOOKUP(A50,'Diags Raw Data'!$A$6:$D$3761,4,FALSE)</f>
        <v>#N/A</v>
      </c>
      <c r="F50" s="340" t="str">
        <f>VLOOKUP(A50,'Feature Raw Data'!$A$3:$E$3922,5,FALSE)</f>
        <v>Delta</v>
      </c>
      <c r="G50" s="340" t="str">
        <f t="shared" si="0"/>
        <v>Yes</v>
      </c>
      <c r="H50" s="340" t="str">
        <f t="shared" si="1"/>
        <v>Yes</v>
      </c>
      <c r="I50" s="428">
        <f>SUMIF('Diags Raw Data'!$A$6:$A$3761,"*"&amp;$A50&amp;"*",'Diags Raw Data'!$K$6:$K$3761)</f>
        <v>0</v>
      </c>
      <c r="J50" s="430">
        <f>SUMIF('Diags Raw Data'!$A$6:$A$3761,"*"&amp;$A50&amp;"*",'Diags Raw Data'!$L$6:$L$3761)</f>
        <v>0</v>
      </c>
      <c r="K50" s="468" t="e" cm="1">
        <f t="array" ref="K50">IF(D50="",0, SUMPRODUCT(--(ISNUMBER(SEARCH($A50,'Diags Raw Data'!$A$6:$A$3761))),'Diags Raw Data'!$L$6:$L$3761,'Diags Raw Data'!$N$6:$N$3761)/J50)</f>
        <v>#DIV/0!</v>
      </c>
      <c r="L50" s="469" t="e" cm="1">
        <f t="array" ref="L50">IF(D50="",0, SUMPRODUCT(--(ISNUMBER(SEARCH($A50,'Diags Raw Data'!$A$6:$A$3761))),'Diags Raw Data'!$L$6:$L$3761,'Diags Raw Data'!$P$6:$P$3761)/J50)</f>
        <v>#DIV/0!</v>
      </c>
      <c r="M50" s="470" cm="1">
        <f t="array" ref="M50">SUMPRODUCT(--(ISNUMBER(SEARCH($A50,'Diags Raw Data'!$A$6:$A$3761))),--('Diags Raw Data'!$Q$6:$Q$3761&lt;&gt;"N/A"),'Diags Raw Data'!$R$6:$R$3761)</f>
        <v>2</v>
      </c>
      <c r="N50" s="471" cm="1">
        <f t="array" ref="N50">SUMPRODUCT(--(ISNUMBER(SEARCH($A50,'Diags Raw Data'!$A$6:$A$3761))),--('Diags Raw Data'!$Q$6:$Q$3761&lt;&gt;"N/A"),'Diags Raw Data'!$T$6:$T$3761)+SUMPRODUCT(--(ISNUMBER(SEARCH($A50,'Diags Raw Data'!$A$6:$A$3761))),--('Diags Raw Data'!$Q$6:$Q$3761&lt;&gt;"N/A"),'Diags Raw Data'!$U$6:$U$3761)</f>
        <v>2</v>
      </c>
      <c r="O50" s="472">
        <f t="shared" si="2"/>
        <v>1</v>
      </c>
      <c r="P50" s="473">
        <f>SUMIF('Diags Raw Data'!$A$6:$A$3761,"*"&amp;$A50&amp;"*",'Diags Raw Data'!$Z$6:$Z$3761)</f>
        <v>0</v>
      </c>
      <c r="Q50" s="474">
        <f>SUM(SUMIF('Diags Raw Data'!$A$6:$A$3761,"*"&amp;$A50&amp;"*",'Diags Raw Data'!$AA$6:$AA$3761),SUMIF('Diags Raw Data'!$A$6:$A$3761,"*"&amp;$A50&amp;"*",'Diags Raw Data'!$AB$6:$AB$3761))</f>
        <v>0</v>
      </c>
      <c r="R50" s="475">
        <f t="shared" si="3"/>
        <v>0</v>
      </c>
      <c r="S50" s="475">
        <f t="shared" si="4"/>
        <v>0</v>
      </c>
      <c r="T50" s="476">
        <f t="shared" si="5"/>
        <v>0</v>
      </c>
      <c r="U50" s="425" t="e">
        <f>VLOOKUP(A50,'Diags Raw Data'!$A$6:$AH$3761,33,FALSE)</f>
        <v>#N/A</v>
      </c>
      <c r="V50" s="181"/>
    </row>
    <row r="51" spans="1:22" ht="60.75" thickBot="1" x14ac:dyDescent="0.3">
      <c r="A51" s="530">
        <v>12.064999999999964</v>
      </c>
      <c r="B51" s="427" t="str">
        <f>VLOOKUP(A51,'Feature Raw Data'!$A$3:$B$3922,2,FALSE)</f>
        <v xml:space="preserve">Shader VALU Improvements </v>
      </c>
      <c r="C51" s="428" t="str">
        <f>VLOOKUP(A51,'Feature Raw Data'!$A$3:$C$3922,3,FALSE)</f>
        <v>P1</v>
      </c>
      <c r="D51" s="429" t="str" cm="1">
        <f t="array" ref="D51">_xlfn.TEXTJOIN("",TRUE,IF(ISNUMBER(SEARCH($A51,'Diags Raw Data'!$A$6:$A$3761)),CONCATENATE('Diags Raw Data'!$H$6:$H$3761,", "),""))</f>
        <v xml:space="preserve">gfx.inst_perf/s_sleep_var,gfx.inst_perf/s_sleep,gfx.inst_perf/s_add_nc_u64,gfx.inst_perf/s_sub_nc_u64,gfx.inst_perf/s_mul_u64,gfx.inst_perf/s_mul_i32, </v>
      </c>
      <c r="E51" s="340" t="e">
        <f>VLOOKUP(A51,'Diags Raw Data'!$A$6:$D$3761,4,FALSE)</f>
        <v>#N/A</v>
      </c>
      <c r="F51" s="340" t="str">
        <f>VLOOKUP(A51,'Feature Raw Data'!$A$3:$E$3922,5,FALSE)</f>
        <v>Delta</v>
      </c>
      <c r="G51" s="340" t="str">
        <f t="shared" si="0"/>
        <v>Yes</v>
      </c>
      <c r="H51" s="340" t="str">
        <f t="shared" si="1"/>
        <v>Yes</v>
      </c>
      <c r="I51" s="428">
        <f>SUMIF('Diags Raw Data'!$A$6:$A$3761,"*"&amp;$A51&amp;"*",'Diags Raw Data'!$K$6:$K$3761)</f>
        <v>0</v>
      </c>
      <c r="J51" s="430">
        <f>SUMIF('Diags Raw Data'!$A$6:$A$3761,"*"&amp;$A51&amp;"*",'Diags Raw Data'!$L$6:$L$3761)</f>
        <v>0</v>
      </c>
      <c r="K51" s="468" t="e" cm="1">
        <f t="array" ref="K51">IF(D51="",0, SUMPRODUCT(--(ISNUMBER(SEARCH($A51,'Diags Raw Data'!$A$6:$A$3761))),'Diags Raw Data'!$L$6:$L$3761,'Diags Raw Data'!$N$6:$N$3761)/J51)</f>
        <v>#DIV/0!</v>
      </c>
      <c r="L51" s="469" t="e" cm="1">
        <f t="array" ref="L51">IF(D51="",0, SUMPRODUCT(--(ISNUMBER(SEARCH($A51,'Diags Raw Data'!$A$6:$A$3761))),'Diags Raw Data'!$L$6:$L$3761,'Diags Raw Data'!$P$6:$P$3761)/J51)</f>
        <v>#DIV/0!</v>
      </c>
      <c r="M51" s="470" cm="1">
        <f t="array" ref="M51">SUMPRODUCT(--(ISNUMBER(SEARCH($A51,'Diags Raw Data'!$A$6:$A$3761))),--('Diags Raw Data'!$Q$6:$Q$3761&lt;&gt;"N/A"),'Diags Raw Data'!$R$6:$R$3761)</f>
        <v>6</v>
      </c>
      <c r="N51" s="471" cm="1">
        <f t="array" ref="N51">SUMPRODUCT(--(ISNUMBER(SEARCH($A51,'Diags Raw Data'!$A$6:$A$3761))),--('Diags Raw Data'!$Q$6:$Q$3761&lt;&gt;"N/A"),'Diags Raw Data'!$T$6:$T$3761)+SUMPRODUCT(--(ISNUMBER(SEARCH($A51,'Diags Raw Data'!$A$6:$A$3761))),--('Diags Raw Data'!$Q$6:$Q$3761&lt;&gt;"N/A"),'Diags Raw Data'!$U$6:$U$3761)</f>
        <v>6</v>
      </c>
      <c r="O51" s="472">
        <f t="shared" si="2"/>
        <v>1</v>
      </c>
      <c r="P51" s="473">
        <f>SUMIF('Diags Raw Data'!$A$6:$A$3761,"*"&amp;$A51&amp;"*",'Diags Raw Data'!$Z$6:$Z$3761)</f>
        <v>0</v>
      </c>
      <c r="Q51" s="474">
        <f>SUM(SUMIF('Diags Raw Data'!$A$6:$A$3761,"*"&amp;$A51&amp;"*",'Diags Raw Data'!$AA$6:$AA$3761),SUMIF('Diags Raw Data'!$A$6:$A$3761,"*"&amp;$A51&amp;"*",'Diags Raw Data'!$AB$6:$AB$3761))</f>
        <v>0</v>
      </c>
      <c r="R51" s="475">
        <f t="shared" si="3"/>
        <v>0</v>
      </c>
      <c r="S51" s="475">
        <f t="shared" si="4"/>
        <v>0</v>
      </c>
      <c r="T51" s="476">
        <f t="shared" si="5"/>
        <v>0</v>
      </c>
      <c r="U51" s="425" t="e">
        <f>VLOOKUP(A51,'Diags Raw Data'!$A$6:$AH$3761,33,FALSE)</f>
        <v>#N/A</v>
      </c>
      <c r="V51" s="181"/>
    </row>
    <row r="52" spans="1:22" ht="90.75" thickBot="1" x14ac:dyDescent="0.3">
      <c r="A52" s="530">
        <v>12.065999999999963</v>
      </c>
      <c r="B52" s="427" t="str">
        <f>VLOOKUP(A52,'Feature Raw Data'!$A$3:$B$3922,2,FALSE)</f>
        <v xml:space="preserve">Shader Scalar Improvements </v>
      </c>
      <c r="C52" s="428" t="str">
        <f>VLOOKUP(A52,'Feature Raw Data'!$A$3:$C$3922,3,FALSE)</f>
        <v>P2</v>
      </c>
      <c r="D52" s="429" t="str" cm="1">
        <f t="array" ref="D52">_xlfn.TEXTJOIN("",TRUE,IF(ISNUMBER(SEARCH($A52,'Diags Raw Data'!$A$6:$A$3761)),CONCATENATE('Diags Raw Data'!$H$6:$H$3761,", "),""))</f>
        <v xml:space="preserve">gci1303.0, </v>
      </c>
      <c r="E52" s="340" t="e">
        <f>VLOOKUP(A52,'Diags Raw Data'!$A$6:$D$3761,4,FALSE)</f>
        <v>#N/A</v>
      </c>
      <c r="F52" s="340" t="str">
        <f>VLOOKUP(A52,'Feature Raw Data'!$A$3:$E$3922,5,FALSE)</f>
        <v>Delta</v>
      </c>
      <c r="G52" s="340" t="str">
        <f t="shared" si="0"/>
        <v>Yes</v>
      </c>
      <c r="H52" s="340" t="str">
        <f t="shared" si="1"/>
        <v>Yes</v>
      </c>
      <c r="I52" s="428">
        <f>SUMIF('Diags Raw Data'!$A$6:$A$3761,"*"&amp;$A52&amp;"*",'Diags Raw Data'!$K$6:$K$3761)</f>
        <v>0</v>
      </c>
      <c r="J52" s="430">
        <f>SUMIF('Diags Raw Data'!$A$6:$A$3761,"*"&amp;$A52&amp;"*",'Diags Raw Data'!$L$6:$L$3761)</f>
        <v>0</v>
      </c>
      <c r="K52" s="468" t="e" cm="1">
        <f t="array" ref="K52">IF(D52="",0, SUMPRODUCT(--(ISNUMBER(SEARCH($A52,'Diags Raw Data'!$A$6:$A$3761))),'Diags Raw Data'!$L$6:$L$3761,'Diags Raw Data'!$N$6:$N$3761)/J52)</f>
        <v>#DIV/0!</v>
      </c>
      <c r="L52" s="469" t="e" cm="1">
        <f t="array" ref="L52">IF(D52="",0, SUMPRODUCT(--(ISNUMBER(SEARCH($A52,'Diags Raw Data'!$A$6:$A$3761))),'Diags Raw Data'!$L$6:$L$3761,'Diags Raw Data'!$P$6:$P$3761)/J52)</f>
        <v>#DIV/0!</v>
      </c>
      <c r="M52" s="470" cm="1">
        <f t="array" ref="M52">SUMPRODUCT(--(ISNUMBER(SEARCH($A52,'Diags Raw Data'!$A$6:$A$3761))),--('Diags Raw Data'!$Q$6:$Q$3761&lt;&gt;"N/A"),'Diags Raw Data'!$R$6:$R$3761)</f>
        <v>1</v>
      </c>
      <c r="N52" s="471" cm="1">
        <f t="array" ref="N52">SUMPRODUCT(--(ISNUMBER(SEARCH($A52,'Diags Raw Data'!$A$6:$A$3761))),--('Diags Raw Data'!$Q$6:$Q$3761&lt;&gt;"N/A"),'Diags Raw Data'!$T$6:$T$3761)+SUMPRODUCT(--(ISNUMBER(SEARCH($A52,'Diags Raw Data'!$A$6:$A$3761))),--('Diags Raw Data'!$Q$6:$Q$3761&lt;&gt;"N/A"),'Diags Raw Data'!$U$6:$U$3761)</f>
        <v>1</v>
      </c>
      <c r="O52" s="472">
        <f t="shared" si="2"/>
        <v>1</v>
      </c>
      <c r="P52" s="473">
        <f>SUMIF('Diags Raw Data'!$A$6:$A$3761,"*"&amp;$A52&amp;"*",'Diags Raw Data'!$Z$6:$Z$3761)</f>
        <v>0</v>
      </c>
      <c r="Q52" s="474">
        <f>SUM(SUMIF('Diags Raw Data'!$A$6:$A$3761,"*"&amp;$A52&amp;"*",'Diags Raw Data'!$AA$6:$AA$3761),SUMIF('Diags Raw Data'!$A$6:$A$3761,"*"&amp;$A52&amp;"*",'Diags Raw Data'!$AB$6:$AB$3761))</f>
        <v>0</v>
      </c>
      <c r="R52" s="475">
        <f t="shared" si="3"/>
        <v>0</v>
      </c>
      <c r="S52" s="475">
        <f t="shared" si="4"/>
        <v>0</v>
      </c>
      <c r="T52" s="476">
        <f t="shared" si="5"/>
        <v>0</v>
      </c>
      <c r="U52" s="425" t="e">
        <f>VLOOKUP(A52,'Diags Raw Data'!$A$6:$AH$3761,33,FALSE)</f>
        <v>#N/A</v>
      </c>
      <c r="V52" s="181"/>
    </row>
    <row r="53" spans="1:22" ht="15.75" thickBot="1" x14ac:dyDescent="0.3">
      <c r="A53" s="530">
        <v>12.066999999999963</v>
      </c>
      <c r="B53" s="427" t="str">
        <f>VLOOKUP(A53,'Feature Raw Data'!$A$3:$B$3922,2,FALSE)</f>
        <v xml:space="preserve">Fix SQG GRBM design </v>
      </c>
      <c r="C53" s="428" t="str">
        <f>VLOOKUP(A53,'Feature Raw Data'!$A$3:$C$3922,3,FALSE)</f>
        <v>P1</v>
      </c>
      <c r="D53" s="429" t="str" cm="1">
        <f t="array" ref="D53">_xlfn.TEXTJOIN("",TRUE,IF(ISNUMBER(SEARCH($A53,'Diags Raw Data'!$A$6:$A$3761)),CONCATENATE('Diags Raw Data'!$H$6:$H$3761,", "),""))</f>
        <v/>
      </c>
      <c r="E53" s="340" t="e">
        <f>VLOOKUP(A53,'Diags Raw Data'!$A$6:$D$3761,4,FALSE)</f>
        <v>#N/A</v>
      </c>
      <c r="F53" s="340" t="str">
        <f>VLOOKUP(A53,'Feature Raw Data'!$A$3:$E$3922,5,FALSE)</f>
        <v>Delta</v>
      </c>
      <c r="G53" s="340" t="str">
        <f t="shared" si="0"/>
        <v>Yes</v>
      </c>
      <c r="H53" s="340" t="str">
        <f t="shared" si="1"/>
        <v>Yes</v>
      </c>
      <c r="I53" s="428">
        <f>SUMIF('Diags Raw Data'!$A$6:$A$3761,"*"&amp;$A53&amp;"*",'Diags Raw Data'!$K$6:$K$3761)</f>
        <v>0</v>
      </c>
      <c r="J53" s="430">
        <f>SUMIF('Diags Raw Data'!$A$6:$A$3761,"*"&amp;$A53&amp;"*",'Diags Raw Data'!$L$6:$L$3761)</f>
        <v>0</v>
      </c>
      <c r="K53" s="468" cm="1">
        <f t="array" ref="K53">IF(D53="",0, SUMPRODUCT(--(ISNUMBER(SEARCH($A53,'Diags Raw Data'!$A$6:$A$3761))),'Diags Raw Data'!$L$6:$L$3761,'Diags Raw Data'!$N$6:$N$3761)/J53)</f>
        <v>0</v>
      </c>
      <c r="L53" s="469" cm="1">
        <f t="array" ref="L53">IF(D53="",0, SUMPRODUCT(--(ISNUMBER(SEARCH($A53,'Diags Raw Data'!$A$6:$A$3761))),'Diags Raw Data'!$L$6:$L$3761,'Diags Raw Data'!$P$6:$P$3761)/J53)</f>
        <v>0</v>
      </c>
      <c r="M53" s="470" cm="1">
        <f t="array" ref="M53">SUMPRODUCT(--(ISNUMBER(SEARCH($A53,'Diags Raw Data'!$A$6:$A$3761))),--('Diags Raw Data'!$Q$6:$Q$3761&lt;&gt;"N/A"),'Diags Raw Data'!$R$6:$R$3761)</f>
        <v>0</v>
      </c>
      <c r="N53" s="471" cm="1">
        <f t="array" ref="N53">SUMPRODUCT(--(ISNUMBER(SEARCH($A53,'Diags Raw Data'!$A$6:$A$3761))),--('Diags Raw Data'!$Q$6:$Q$3761&lt;&gt;"N/A"),'Diags Raw Data'!$T$6:$T$3761)+SUMPRODUCT(--(ISNUMBER(SEARCH($A53,'Diags Raw Data'!$A$6:$A$3761))),--('Diags Raw Data'!$Q$6:$Q$3761&lt;&gt;"N/A"),'Diags Raw Data'!$U$6:$U$3761)</f>
        <v>0</v>
      </c>
      <c r="O53" s="472">
        <f t="shared" si="2"/>
        <v>0</v>
      </c>
      <c r="P53" s="473">
        <f>SUMIF('Diags Raw Data'!$A$6:$A$3761,"*"&amp;$A53&amp;"*",'Diags Raw Data'!$Z$6:$Z$3761)</f>
        <v>0</v>
      </c>
      <c r="Q53" s="474">
        <f>SUM(SUMIF('Diags Raw Data'!$A$6:$A$3761,"*"&amp;$A53&amp;"*",'Diags Raw Data'!$AA$6:$AA$3761),SUMIF('Diags Raw Data'!$A$6:$A$3761,"*"&amp;$A53&amp;"*",'Diags Raw Data'!$AB$6:$AB$3761))</f>
        <v>0</v>
      </c>
      <c r="R53" s="475">
        <f t="shared" si="3"/>
        <v>0</v>
      </c>
      <c r="S53" s="475">
        <f t="shared" si="4"/>
        <v>0</v>
      </c>
      <c r="T53" s="476">
        <f t="shared" si="5"/>
        <v>0</v>
      </c>
      <c r="U53" s="425" t="e">
        <f>VLOOKUP(A53,'Diags Raw Data'!$A$6:$AH$3761,33,FALSE)</f>
        <v>#N/A</v>
      </c>
      <c r="V53" s="181"/>
    </row>
    <row r="54" spans="1:22" ht="30.75" thickBot="1" x14ac:dyDescent="0.3">
      <c r="A54" s="530">
        <v>12.067999999999962</v>
      </c>
      <c r="B54" s="427" t="str">
        <f>VLOOKUP(A54,'Feature Raw Data'!$A$3:$B$3922,2,FALSE)</f>
        <v>SQC Latency reduction (inherit approach from mi300)</v>
      </c>
      <c r="C54" s="428" t="str">
        <f>VLOOKUP(A54,'Feature Raw Data'!$A$3:$C$3922,3,FALSE)</f>
        <v>P1</v>
      </c>
      <c r="D54" s="429" t="str" cm="1">
        <f t="array" ref="D54">_xlfn.TEXTJOIN("",TRUE,IF(ISNUMBER(SEARCH($A54,'Diags Raw Data'!$A$6:$A$3761)),CONCATENATE('Diags Raw Data'!$H$6:$H$3761,", "),""))</f>
        <v xml:space="preserve">gci1303.0,gci1303.1,gci1303.2, </v>
      </c>
      <c r="E54" s="340" t="e">
        <f>VLOOKUP(A54,'Diags Raw Data'!$A$6:$D$3761,4,FALSE)</f>
        <v>#N/A</v>
      </c>
      <c r="F54" s="340" t="str">
        <f>VLOOKUP(A54,'Feature Raw Data'!$A$3:$E$3922,5,FALSE)</f>
        <v>Legacy</v>
      </c>
      <c r="G54" s="340" t="str">
        <f t="shared" si="0"/>
        <v>Yes</v>
      </c>
      <c r="H54" s="340" t="str">
        <f t="shared" si="1"/>
        <v>Yes</v>
      </c>
      <c r="I54" s="428">
        <f>SUMIF('Diags Raw Data'!$A$6:$A$3761,"*"&amp;$A54&amp;"*",'Diags Raw Data'!$K$6:$K$3761)</f>
        <v>0</v>
      </c>
      <c r="J54" s="430">
        <f>SUMIF('Diags Raw Data'!$A$6:$A$3761,"*"&amp;$A54&amp;"*",'Diags Raw Data'!$L$6:$L$3761)</f>
        <v>0</v>
      </c>
      <c r="K54" s="468" t="e" cm="1">
        <f t="array" ref="K54">IF(D54="",0, SUMPRODUCT(--(ISNUMBER(SEARCH($A54,'Diags Raw Data'!$A$6:$A$3761))),'Diags Raw Data'!$L$6:$L$3761,'Diags Raw Data'!$N$6:$N$3761)/J54)</f>
        <v>#DIV/0!</v>
      </c>
      <c r="L54" s="469" t="e" cm="1">
        <f t="array" ref="L54">IF(D54="",0, SUMPRODUCT(--(ISNUMBER(SEARCH($A54,'Diags Raw Data'!$A$6:$A$3761))),'Diags Raw Data'!$L$6:$L$3761,'Diags Raw Data'!$P$6:$P$3761)/J54)</f>
        <v>#DIV/0!</v>
      </c>
      <c r="M54" s="470" cm="1">
        <f t="array" ref="M54">SUMPRODUCT(--(ISNUMBER(SEARCH($A54,'Diags Raw Data'!$A$6:$A$3761))),--('Diags Raw Data'!$Q$6:$Q$3761&lt;&gt;"N/A"),'Diags Raw Data'!$R$6:$R$3761)</f>
        <v>3</v>
      </c>
      <c r="N54" s="471" cm="1">
        <f t="array" ref="N54">SUMPRODUCT(--(ISNUMBER(SEARCH($A54,'Diags Raw Data'!$A$6:$A$3761))),--('Diags Raw Data'!$Q$6:$Q$3761&lt;&gt;"N/A"),'Diags Raw Data'!$T$6:$T$3761)+SUMPRODUCT(--(ISNUMBER(SEARCH($A54,'Diags Raw Data'!$A$6:$A$3761))),--('Diags Raw Data'!$Q$6:$Q$3761&lt;&gt;"N/A"),'Diags Raw Data'!$U$6:$U$3761)</f>
        <v>3</v>
      </c>
      <c r="O54" s="472">
        <f t="shared" si="2"/>
        <v>1</v>
      </c>
      <c r="P54" s="473">
        <f>SUMIF('Diags Raw Data'!$A$6:$A$3761,"*"&amp;$A54&amp;"*",'Diags Raw Data'!$Z$6:$Z$3761)</f>
        <v>0</v>
      </c>
      <c r="Q54" s="474">
        <f>SUM(SUMIF('Diags Raw Data'!$A$6:$A$3761,"*"&amp;$A54&amp;"*",'Diags Raw Data'!$AA$6:$AA$3761),SUMIF('Diags Raw Data'!$A$6:$A$3761,"*"&amp;$A54&amp;"*",'Diags Raw Data'!$AB$6:$AB$3761))</f>
        <v>0</v>
      </c>
      <c r="R54" s="475">
        <f t="shared" si="3"/>
        <v>0</v>
      </c>
      <c r="S54" s="475">
        <f t="shared" si="4"/>
        <v>0</v>
      </c>
      <c r="T54" s="476">
        <f t="shared" si="5"/>
        <v>0</v>
      </c>
      <c r="U54" s="425" t="e">
        <f>VLOOKUP(A54,'Diags Raw Data'!$A$6:$AH$3761,33,FALSE)</f>
        <v>#N/A</v>
      </c>
      <c r="V54" s="181"/>
    </row>
    <row r="55" spans="1:22" ht="45.75" thickBot="1" x14ac:dyDescent="0.3">
      <c r="A55" s="530">
        <v>12.068999999999962</v>
      </c>
      <c r="B55" s="427" t="str">
        <f>VLOOKUP(A55,'Feature Raw Data'!$A$3:$B$3922,2,FALSE)</f>
        <v xml:space="preserve">WGP-takeover mode </v>
      </c>
      <c r="C55" s="428" t="str">
        <f>VLOOKUP(A55,'Feature Raw Data'!$A$3:$C$3922,3,FALSE)</f>
        <v>P1</v>
      </c>
      <c r="D55" s="429" t="str" cm="1">
        <f t="array" ref="D55">_xlfn.TEXTJOIN("",TRUE,IF(ISNUMBER(SEARCH($A55,'Diags Raw Data'!$A$6:$A$3761)),CONCATENATE('Diags Raw Data'!$H$6:$H$3761,", "),""))</f>
        <v/>
      </c>
      <c r="E55" s="340" t="e">
        <f>VLOOKUP(A55,'Diags Raw Data'!$A$6:$D$3761,4,FALSE)</f>
        <v>#N/A</v>
      </c>
      <c r="F55" s="340" t="str">
        <f>VLOOKUP(A55,'Feature Raw Data'!$A$3:$E$3922,5,FALSE)</f>
        <v>New</v>
      </c>
      <c r="G55" s="340" t="str">
        <f t="shared" si="0"/>
        <v>Yes</v>
      </c>
      <c r="H55" s="340" t="str">
        <f t="shared" si="1"/>
        <v>Yes</v>
      </c>
      <c r="I55" s="428">
        <f>SUMIF('Diags Raw Data'!$A$6:$A$3761,"*"&amp;$A55&amp;"*",'Diags Raw Data'!$K$6:$K$3761)</f>
        <v>0</v>
      </c>
      <c r="J55" s="430">
        <f>SUMIF('Diags Raw Data'!$A$6:$A$3761,"*"&amp;$A55&amp;"*",'Diags Raw Data'!$L$6:$L$3761)</f>
        <v>0</v>
      </c>
      <c r="K55" s="468" cm="1">
        <f t="array" ref="K55">IF(D55="",0, SUMPRODUCT(--(ISNUMBER(SEARCH($A55,'Diags Raw Data'!$A$6:$A$3761))),'Diags Raw Data'!$L$6:$L$3761,'Diags Raw Data'!$N$6:$N$3761)/J55)</f>
        <v>0</v>
      </c>
      <c r="L55" s="469" cm="1">
        <f t="array" ref="L55">IF(D55="",0, SUMPRODUCT(--(ISNUMBER(SEARCH($A55,'Diags Raw Data'!$A$6:$A$3761))),'Diags Raw Data'!$L$6:$L$3761,'Diags Raw Data'!$P$6:$P$3761)/J55)</f>
        <v>0</v>
      </c>
      <c r="M55" s="470" cm="1">
        <f t="array" ref="M55">SUMPRODUCT(--(ISNUMBER(SEARCH($A55,'Diags Raw Data'!$A$6:$A$3761))),--('Diags Raw Data'!$Q$6:$Q$3761&lt;&gt;"N/A"),'Diags Raw Data'!$R$6:$R$3761)</f>
        <v>0</v>
      </c>
      <c r="N55" s="471" cm="1">
        <f t="array" ref="N55">SUMPRODUCT(--(ISNUMBER(SEARCH($A55,'Diags Raw Data'!$A$6:$A$3761))),--('Diags Raw Data'!$Q$6:$Q$3761&lt;&gt;"N/A"),'Diags Raw Data'!$T$6:$T$3761)+SUMPRODUCT(--(ISNUMBER(SEARCH($A55,'Diags Raw Data'!$A$6:$A$3761))),--('Diags Raw Data'!$Q$6:$Q$3761&lt;&gt;"N/A"),'Diags Raw Data'!$U$6:$U$3761)</f>
        <v>0</v>
      </c>
      <c r="O55" s="472">
        <f t="shared" si="2"/>
        <v>0</v>
      </c>
      <c r="P55" s="473">
        <f>SUMIF('Diags Raw Data'!$A$6:$A$3761,"*"&amp;$A55&amp;"*",'Diags Raw Data'!$Z$6:$Z$3761)</f>
        <v>0</v>
      </c>
      <c r="Q55" s="474">
        <f>SUM(SUMIF('Diags Raw Data'!$A$6:$A$3761,"*"&amp;$A55&amp;"*",'Diags Raw Data'!$AA$6:$AA$3761),SUMIF('Diags Raw Data'!$A$6:$A$3761,"*"&amp;$A55&amp;"*",'Diags Raw Data'!$AB$6:$AB$3761))</f>
        <v>0</v>
      </c>
      <c r="R55" s="475">
        <f t="shared" si="3"/>
        <v>0</v>
      </c>
      <c r="S55" s="475">
        <f t="shared" si="4"/>
        <v>0</v>
      </c>
      <c r="T55" s="476">
        <f t="shared" si="5"/>
        <v>0</v>
      </c>
      <c r="U55" s="425" t="e">
        <f>VLOOKUP(A55,'Diags Raw Data'!$A$6:$AH$3761,33,FALSE)</f>
        <v>#N/A</v>
      </c>
      <c r="V55" s="181"/>
    </row>
    <row r="56" spans="1:22" ht="45.75" thickBot="1" x14ac:dyDescent="0.3">
      <c r="A56" s="530">
        <v>12.070999999999961</v>
      </c>
      <c r="B56" s="427" t="str">
        <f>VLOOKUP(A56,'Feature Raw Data'!$A$3:$B$3922,2,FALSE)</f>
        <v>Shader Instruction Store convert to Cache (likely in M2/gfx11.5)</v>
      </c>
      <c r="C56" s="428" t="str">
        <f>VLOOKUP(A56,'Feature Raw Data'!$A$3:$C$3922,3,FALSE)</f>
        <v>P2</v>
      </c>
      <c r="D56" s="429" t="str" cm="1">
        <f t="array" ref="D56">_xlfn.TEXTJOIN("",TRUE,IF(ISNUMBER(SEARCH($A56,'Diags Raw Data'!$A$6:$A$3761)),CONCATENATE('Diags Raw Data'!$H$6:$H$3761,", "),""))</f>
        <v/>
      </c>
      <c r="E56" s="340" t="e">
        <f>VLOOKUP(A56,'Diags Raw Data'!$A$6:$D$3761,4,FALSE)</f>
        <v>#N/A</v>
      </c>
      <c r="F56" s="340" t="str">
        <f>VLOOKUP(A56,'Feature Raw Data'!$A$3:$E$3922,5,FALSE)</f>
        <v>New</v>
      </c>
      <c r="G56" s="340" t="str">
        <f t="shared" si="0"/>
        <v>Yes</v>
      </c>
      <c r="H56" s="340" t="str">
        <f t="shared" si="1"/>
        <v>Yes</v>
      </c>
      <c r="I56" s="428">
        <f>SUMIF('Diags Raw Data'!$A$6:$A$3761,"*"&amp;$A56&amp;"*",'Diags Raw Data'!$K$6:$K$3761)</f>
        <v>0</v>
      </c>
      <c r="J56" s="430">
        <f>SUMIF('Diags Raw Data'!$A$6:$A$3761,"*"&amp;$A56&amp;"*",'Diags Raw Data'!$L$6:$L$3761)</f>
        <v>0</v>
      </c>
      <c r="K56" s="468" cm="1">
        <f t="array" ref="K56">IF(D56="",0, SUMPRODUCT(--(ISNUMBER(SEARCH($A56,'Diags Raw Data'!$A$6:$A$3761))),'Diags Raw Data'!$L$6:$L$3761,'Diags Raw Data'!$N$6:$N$3761)/J56)</f>
        <v>0</v>
      </c>
      <c r="L56" s="469" cm="1">
        <f t="array" ref="L56">IF(D56="",0, SUMPRODUCT(--(ISNUMBER(SEARCH($A56,'Diags Raw Data'!$A$6:$A$3761))),'Diags Raw Data'!$L$6:$L$3761,'Diags Raw Data'!$P$6:$P$3761)/J56)</f>
        <v>0</v>
      </c>
      <c r="M56" s="470" cm="1">
        <f t="array" ref="M56">SUMPRODUCT(--(ISNUMBER(SEARCH($A56,'Diags Raw Data'!$A$6:$A$3761))),--('Diags Raw Data'!$Q$6:$Q$3761&lt;&gt;"N/A"),'Diags Raw Data'!$R$6:$R$3761)</f>
        <v>0</v>
      </c>
      <c r="N56" s="471" cm="1">
        <f t="array" ref="N56">SUMPRODUCT(--(ISNUMBER(SEARCH($A56,'Diags Raw Data'!$A$6:$A$3761))),--('Diags Raw Data'!$Q$6:$Q$3761&lt;&gt;"N/A"),'Diags Raw Data'!$T$6:$T$3761)+SUMPRODUCT(--(ISNUMBER(SEARCH($A56,'Diags Raw Data'!$A$6:$A$3761))),--('Diags Raw Data'!$Q$6:$Q$3761&lt;&gt;"N/A"),'Diags Raw Data'!$U$6:$U$3761)</f>
        <v>0</v>
      </c>
      <c r="O56" s="472">
        <f t="shared" si="2"/>
        <v>0</v>
      </c>
      <c r="P56" s="473">
        <f>SUMIF('Diags Raw Data'!$A$6:$A$3761,"*"&amp;$A56&amp;"*",'Diags Raw Data'!$Z$6:$Z$3761)</f>
        <v>0</v>
      </c>
      <c r="Q56" s="474">
        <f>SUM(SUMIF('Diags Raw Data'!$A$6:$A$3761,"*"&amp;$A56&amp;"*",'Diags Raw Data'!$AA$6:$AA$3761),SUMIF('Diags Raw Data'!$A$6:$A$3761,"*"&amp;$A56&amp;"*",'Diags Raw Data'!$AB$6:$AB$3761))</f>
        <v>0</v>
      </c>
      <c r="R56" s="475">
        <f t="shared" si="3"/>
        <v>0</v>
      </c>
      <c r="S56" s="475">
        <f t="shared" si="4"/>
        <v>0</v>
      </c>
      <c r="T56" s="476">
        <f t="shared" si="5"/>
        <v>0</v>
      </c>
      <c r="U56" s="425" t="e">
        <f>VLOOKUP(A56,'Diags Raw Data'!$A$6:$AH$3761,33,FALSE)</f>
        <v>#N/A</v>
      </c>
      <c r="V56" s="181"/>
    </row>
    <row r="57" spans="1:22" ht="30.75" thickBot="1" x14ac:dyDescent="0.3">
      <c r="A57" s="530">
        <v>12.07299999999996</v>
      </c>
      <c r="B57" s="427" t="str">
        <f>VLOOKUP(A57,'Feature Raw Data'!$A$3:$B$3922,2,FALSE)</f>
        <v xml:space="preserve">Shader signed memory offsets </v>
      </c>
      <c r="C57" s="428" t="str">
        <f>VLOOKUP(A57,'Feature Raw Data'!$A$3:$C$3922,3,FALSE)</f>
        <v>P2</v>
      </c>
      <c r="D57" s="429" t="str" cm="1">
        <f t="array" ref="D57">_xlfn.TEXTJOIN("",TRUE,IF(ISNUMBER(SEARCH($A57,'Diags Raw Data'!$A$6:$A$3761)),CONCATENATE('Diags Raw Data'!$H$6:$H$3761,", "),""))</f>
        <v/>
      </c>
      <c r="E57" s="340" t="e">
        <f>VLOOKUP(A57,'Diags Raw Data'!$A$6:$D$3761,4,FALSE)</f>
        <v>#N/A</v>
      </c>
      <c r="F57" s="340" t="str">
        <f>VLOOKUP(A57,'Feature Raw Data'!$A$3:$E$3922,5,FALSE)</f>
        <v>New</v>
      </c>
      <c r="G57" s="340" t="str">
        <f t="shared" si="0"/>
        <v>Yes</v>
      </c>
      <c r="H57" s="340" t="str">
        <f t="shared" si="1"/>
        <v>Yes</v>
      </c>
      <c r="I57" s="428">
        <f>SUMIF('Diags Raw Data'!$A$6:$A$3761,"*"&amp;$A57&amp;"*",'Diags Raw Data'!$K$6:$K$3761)</f>
        <v>0</v>
      </c>
      <c r="J57" s="430">
        <f>SUMIF('Diags Raw Data'!$A$6:$A$3761,"*"&amp;$A57&amp;"*",'Diags Raw Data'!$L$6:$L$3761)</f>
        <v>0</v>
      </c>
      <c r="K57" s="468" cm="1">
        <f t="array" ref="K57">IF(D57="",0, SUMPRODUCT(--(ISNUMBER(SEARCH($A57,'Diags Raw Data'!$A$6:$A$3761))),'Diags Raw Data'!$L$6:$L$3761,'Diags Raw Data'!$N$6:$N$3761)/J57)</f>
        <v>0</v>
      </c>
      <c r="L57" s="469" cm="1">
        <f t="array" ref="L57">IF(D57="",0, SUMPRODUCT(--(ISNUMBER(SEARCH($A57,'Diags Raw Data'!$A$6:$A$3761))),'Diags Raw Data'!$L$6:$L$3761,'Diags Raw Data'!$P$6:$P$3761)/J57)</f>
        <v>0</v>
      </c>
      <c r="M57" s="470" cm="1">
        <f t="array" ref="M57">SUMPRODUCT(--(ISNUMBER(SEARCH($A57,'Diags Raw Data'!$A$6:$A$3761))),--('Diags Raw Data'!$Q$6:$Q$3761&lt;&gt;"N/A"),'Diags Raw Data'!$R$6:$R$3761)</f>
        <v>0</v>
      </c>
      <c r="N57" s="471" cm="1">
        <f t="array" ref="N57">SUMPRODUCT(--(ISNUMBER(SEARCH($A57,'Diags Raw Data'!$A$6:$A$3761))),--('Diags Raw Data'!$Q$6:$Q$3761&lt;&gt;"N/A"),'Diags Raw Data'!$T$6:$T$3761)+SUMPRODUCT(--(ISNUMBER(SEARCH($A57,'Diags Raw Data'!$A$6:$A$3761))),--('Diags Raw Data'!$Q$6:$Q$3761&lt;&gt;"N/A"),'Diags Raw Data'!$U$6:$U$3761)</f>
        <v>0</v>
      </c>
      <c r="O57" s="472">
        <f t="shared" si="2"/>
        <v>0</v>
      </c>
      <c r="P57" s="473">
        <f>SUMIF('Diags Raw Data'!$A$6:$A$3761,"*"&amp;$A57&amp;"*",'Diags Raw Data'!$Z$6:$Z$3761)</f>
        <v>0</v>
      </c>
      <c r="Q57" s="474">
        <f>SUM(SUMIF('Diags Raw Data'!$A$6:$A$3761,"*"&amp;$A57&amp;"*",'Diags Raw Data'!$AA$6:$AA$3761),SUMIF('Diags Raw Data'!$A$6:$A$3761,"*"&amp;$A57&amp;"*",'Diags Raw Data'!$AB$6:$AB$3761))</f>
        <v>0</v>
      </c>
      <c r="R57" s="475">
        <f t="shared" si="3"/>
        <v>0</v>
      </c>
      <c r="S57" s="475">
        <f t="shared" si="4"/>
        <v>0</v>
      </c>
      <c r="T57" s="476">
        <f t="shared" si="5"/>
        <v>0</v>
      </c>
      <c r="U57" s="425" t="e">
        <f>VLOOKUP(A57,'Diags Raw Data'!$A$6:$AH$3761,33,FALSE)</f>
        <v>#N/A</v>
      </c>
      <c r="V57" s="181"/>
    </row>
    <row r="58" spans="1:22" ht="15.75" thickBot="1" x14ac:dyDescent="0.3">
      <c r="A58" s="530">
        <v>12.077999999999957</v>
      </c>
      <c r="B58" s="427" t="str">
        <f>VLOOKUP(A58,'Feature Raw Data'!$A$3:$B$3922,2,FALSE)</f>
        <v xml:space="preserve">Move SQG outside of SPI </v>
      </c>
      <c r="C58" s="428" t="str">
        <f>VLOOKUP(A58,'Feature Raw Data'!$A$3:$C$3922,3,FALSE)</f>
        <v>P1</v>
      </c>
      <c r="D58" s="429" t="str" cm="1">
        <f t="array" ref="D58">_xlfn.TEXTJOIN("",TRUE,IF(ISNUMBER(SEARCH($A58,'Diags Raw Data'!$A$6:$A$3761)),CONCATENATE('Diags Raw Data'!$H$6:$H$3761,", "),""))</f>
        <v xml:space="preserve">gci1302.0,/,gci1302.1, </v>
      </c>
      <c r="E58" s="340" t="e">
        <f>VLOOKUP(A58,'Diags Raw Data'!$A$6:$D$3761,4,FALSE)</f>
        <v>#N/A</v>
      </c>
      <c r="F58" s="340" t="str">
        <f>VLOOKUP(A58,'Feature Raw Data'!$A$3:$E$3922,5,FALSE)</f>
        <v>New</v>
      </c>
      <c r="G58" s="340" t="str">
        <f t="shared" si="0"/>
        <v>Yes</v>
      </c>
      <c r="H58" s="340" t="str">
        <f t="shared" si="1"/>
        <v>Yes</v>
      </c>
      <c r="I58" s="428">
        <f>SUMIF('Diags Raw Data'!$A$6:$A$3761,"*"&amp;$A58&amp;"*",'Diags Raw Data'!$K$6:$K$3761)</f>
        <v>0</v>
      </c>
      <c r="J58" s="430">
        <f>SUMIF('Diags Raw Data'!$A$6:$A$3761,"*"&amp;$A58&amp;"*",'Diags Raw Data'!$L$6:$L$3761)</f>
        <v>0</v>
      </c>
      <c r="K58" s="468" t="e" cm="1">
        <f t="array" ref="K58">IF(D58="",0, SUMPRODUCT(--(ISNUMBER(SEARCH($A58,'Diags Raw Data'!$A$6:$A$3761))),'Diags Raw Data'!$L$6:$L$3761,'Diags Raw Data'!$N$6:$N$3761)/J58)</f>
        <v>#DIV/0!</v>
      </c>
      <c r="L58" s="469" t="e" cm="1">
        <f t="array" ref="L58">IF(D58="",0, SUMPRODUCT(--(ISNUMBER(SEARCH($A58,'Diags Raw Data'!$A$6:$A$3761))),'Diags Raw Data'!$L$6:$L$3761,'Diags Raw Data'!$P$6:$P$3761)/J58)</f>
        <v>#DIV/0!</v>
      </c>
      <c r="M58" s="470" cm="1">
        <f t="array" ref="M58">SUMPRODUCT(--(ISNUMBER(SEARCH($A58,'Diags Raw Data'!$A$6:$A$3761))),--('Diags Raw Data'!$Q$6:$Q$3761&lt;&gt;"N/A"),'Diags Raw Data'!$R$6:$R$3761)</f>
        <v>2</v>
      </c>
      <c r="N58" s="471" cm="1">
        <f t="array" ref="N58">SUMPRODUCT(--(ISNUMBER(SEARCH($A58,'Diags Raw Data'!$A$6:$A$3761))),--('Diags Raw Data'!$Q$6:$Q$3761&lt;&gt;"N/A"),'Diags Raw Data'!$T$6:$T$3761)+SUMPRODUCT(--(ISNUMBER(SEARCH($A58,'Diags Raw Data'!$A$6:$A$3761))),--('Diags Raw Data'!$Q$6:$Q$3761&lt;&gt;"N/A"),'Diags Raw Data'!$U$6:$U$3761)</f>
        <v>2</v>
      </c>
      <c r="O58" s="472">
        <f t="shared" si="2"/>
        <v>1</v>
      </c>
      <c r="P58" s="473">
        <f>SUMIF('Diags Raw Data'!$A$6:$A$3761,"*"&amp;$A58&amp;"*",'Diags Raw Data'!$Z$6:$Z$3761)</f>
        <v>0</v>
      </c>
      <c r="Q58" s="474">
        <f>SUM(SUMIF('Diags Raw Data'!$A$6:$A$3761,"*"&amp;$A58&amp;"*",'Diags Raw Data'!$AA$6:$AA$3761),SUMIF('Diags Raw Data'!$A$6:$A$3761,"*"&amp;$A58&amp;"*",'Diags Raw Data'!$AB$6:$AB$3761))</f>
        <v>0</v>
      </c>
      <c r="R58" s="475">
        <f t="shared" si="3"/>
        <v>0</v>
      </c>
      <c r="S58" s="475">
        <f t="shared" si="4"/>
        <v>0</v>
      </c>
      <c r="T58" s="476">
        <f t="shared" si="5"/>
        <v>0</v>
      </c>
      <c r="U58" s="425" t="e">
        <f>VLOOKUP(A58,'Diags Raw Data'!$A$6:$AH$3761,33,FALSE)</f>
        <v>#N/A</v>
      </c>
      <c r="V58" s="181"/>
    </row>
    <row r="59" spans="1:22" ht="15.75" thickBot="1" x14ac:dyDescent="0.3">
      <c r="A59" s="530">
        <v>12.078999999999956</v>
      </c>
      <c r="B59" s="427" t="str">
        <f>VLOOKUP(A59,'Feature Raw Data'!$A$3:$B$3922,2,FALSE)</f>
        <v xml:space="preserve">Dynamic VGPR allocation </v>
      </c>
      <c r="C59" s="428" t="str">
        <f>VLOOKUP(A59,'Feature Raw Data'!$A$3:$C$3922,3,FALSE)</f>
        <v>P1</v>
      </c>
      <c r="D59" s="429" t="str" cm="1">
        <f t="array" ref="D59">_xlfn.TEXTJOIN("",TRUE,IF(ISNUMBER(SEARCH($A59,'Diags Raw Data'!$A$6:$A$3761)),CONCATENATE('Diags Raw Data'!$H$6:$H$3761,", "),""))</f>
        <v/>
      </c>
      <c r="E59" s="340" t="e">
        <f>VLOOKUP(A59,'Diags Raw Data'!$A$6:$D$3761,4,FALSE)</f>
        <v>#N/A</v>
      </c>
      <c r="F59" s="340" t="str">
        <f>VLOOKUP(A59,'Feature Raw Data'!$A$3:$E$3922,5,FALSE)</f>
        <v>New</v>
      </c>
      <c r="G59" s="340" t="str">
        <f t="shared" si="0"/>
        <v>Yes</v>
      </c>
      <c r="H59" s="340" t="str">
        <f t="shared" si="1"/>
        <v>Yes</v>
      </c>
      <c r="I59" s="428">
        <f>SUMIF('Diags Raw Data'!$A$6:$A$3761,"*"&amp;$A59&amp;"*",'Diags Raw Data'!$K$6:$K$3761)</f>
        <v>0</v>
      </c>
      <c r="J59" s="430">
        <f>SUMIF('Diags Raw Data'!$A$6:$A$3761,"*"&amp;$A59&amp;"*",'Diags Raw Data'!$L$6:$L$3761)</f>
        <v>0</v>
      </c>
      <c r="K59" s="468" cm="1">
        <f t="array" ref="K59">IF(D59="",0, SUMPRODUCT(--(ISNUMBER(SEARCH($A59,'Diags Raw Data'!$A$6:$A$3761))),'Diags Raw Data'!$L$6:$L$3761,'Diags Raw Data'!$N$6:$N$3761)/J59)</f>
        <v>0</v>
      </c>
      <c r="L59" s="469" cm="1">
        <f t="array" ref="L59">IF(D59="",0, SUMPRODUCT(--(ISNUMBER(SEARCH($A59,'Diags Raw Data'!$A$6:$A$3761))),'Diags Raw Data'!$L$6:$L$3761,'Diags Raw Data'!$P$6:$P$3761)/J59)</f>
        <v>0</v>
      </c>
      <c r="M59" s="470" cm="1">
        <f t="array" ref="M59">SUMPRODUCT(--(ISNUMBER(SEARCH($A59,'Diags Raw Data'!$A$6:$A$3761))),--('Diags Raw Data'!$Q$6:$Q$3761&lt;&gt;"N/A"),'Diags Raw Data'!$R$6:$R$3761)</f>
        <v>0</v>
      </c>
      <c r="N59" s="471" cm="1">
        <f t="array" ref="N59">SUMPRODUCT(--(ISNUMBER(SEARCH($A59,'Diags Raw Data'!$A$6:$A$3761))),--('Diags Raw Data'!$Q$6:$Q$3761&lt;&gt;"N/A"),'Diags Raw Data'!$T$6:$T$3761)+SUMPRODUCT(--(ISNUMBER(SEARCH($A59,'Diags Raw Data'!$A$6:$A$3761))),--('Diags Raw Data'!$Q$6:$Q$3761&lt;&gt;"N/A"),'Diags Raw Data'!$U$6:$U$3761)</f>
        <v>0</v>
      </c>
      <c r="O59" s="472">
        <f t="shared" si="2"/>
        <v>0</v>
      </c>
      <c r="P59" s="473">
        <f>SUMIF('Diags Raw Data'!$A$6:$A$3761,"*"&amp;$A59&amp;"*",'Diags Raw Data'!$Z$6:$Z$3761)</f>
        <v>0</v>
      </c>
      <c r="Q59" s="474">
        <f>SUM(SUMIF('Diags Raw Data'!$A$6:$A$3761,"*"&amp;$A59&amp;"*",'Diags Raw Data'!$AA$6:$AA$3761),SUMIF('Diags Raw Data'!$A$6:$A$3761,"*"&amp;$A59&amp;"*",'Diags Raw Data'!$AB$6:$AB$3761))</f>
        <v>0</v>
      </c>
      <c r="R59" s="475">
        <f t="shared" si="3"/>
        <v>0</v>
      </c>
      <c r="S59" s="475">
        <f t="shared" si="4"/>
        <v>0</v>
      </c>
      <c r="T59" s="476">
        <f t="shared" si="5"/>
        <v>0</v>
      </c>
      <c r="U59" s="425" t="e">
        <f>VLOOKUP(A59,'Diags Raw Data'!$A$6:$AH$3761,33,FALSE)</f>
        <v>#N/A</v>
      </c>
      <c r="V59" s="181"/>
    </row>
    <row r="60" spans="1:22" ht="45.75" thickBot="1" x14ac:dyDescent="0.3">
      <c r="A60" s="530">
        <v>12.083999999999953</v>
      </c>
      <c r="B60" s="427" t="str">
        <f>VLOOKUP(A60,'Feature Raw Data'!$A$3:$B$3922,2,FALSE)</f>
        <v xml:space="preserve">Prep for Navi + MIx00 shader merge </v>
      </c>
      <c r="C60" s="428" t="str">
        <f>VLOOKUP(A60,'Feature Raw Data'!$A$3:$C$3922,3,FALSE)</f>
        <v>P2</v>
      </c>
      <c r="D60" s="429" t="str" cm="1">
        <f t="array" ref="D60">_xlfn.TEXTJOIN("",TRUE,IF(ISNUMBER(SEARCH($A60,'Diags Raw Data'!$A$6:$A$3761)),CONCATENATE('Diags Raw Data'!$H$6:$H$3761,", "),""))</f>
        <v/>
      </c>
      <c r="E60" s="340" t="e">
        <f>VLOOKUP(A60,'Diags Raw Data'!$A$6:$D$3761,4,FALSE)</f>
        <v>#N/A</v>
      </c>
      <c r="F60" s="340" t="str">
        <f>VLOOKUP(A60,'Feature Raw Data'!$A$3:$E$3922,5,FALSE)</f>
        <v>New</v>
      </c>
      <c r="G60" s="340" t="str">
        <f t="shared" si="0"/>
        <v>Yes</v>
      </c>
      <c r="H60" s="340" t="str">
        <f t="shared" si="1"/>
        <v>Yes</v>
      </c>
      <c r="I60" s="428">
        <f>SUMIF('Diags Raw Data'!$A$6:$A$3761,"*"&amp;$A60&amp;"*",'Diags Raw Data'!$K$6:$K$3761)</f>
        <v>0</v>
      </c>
      <c r="J60" s="430">
        <f>SUMIF('Diags Raw Data'!$A$6:$A$3761,"*"&amp;$A60&amp;"*",'Diags Raw Data'!$L$6:$L$3761)</f>
        <v>0</v>
      </c>
      <c r="K60" s="468" cm="1">
        <f t="array" ref="K60">IF(D60="",0, SUMPRODUCT(--(ISNUMBER(SEARCH($A60,'Diags Raw Data'!$A$6:$A$3761))),'Diags Raw Data'!$L$6:$L$3761,'Diags Raw Data'!$N$6:$N$3761)/J60)</f>
        <v>0</v>
      </c>
      <c r="L60" s="469" cm="1">
        <f t="array" ref="L60">IF(D60="",0, SUMPRODUCT(--(ISNUMBER(SEARCH($A60,'Diags Raw Data'!$A$6:$A$3761))),'Diags Raw Data'!$L$6:$L$3761,'Diags Raw Data'!$P$6:$P$3761)/J60)</f>
        <v>0</v>
      </c>
      <c r="M60" s="470" cm="1">
        <f t="array" ref="M60">SUMPRODUCT(--(ISNUMBER(SEARCH($A60,'Diags Raw Data'!$A$6:$A$3761))),--('Diags Raw Data'!$Q$6:$Q$3761&lt;&gt;"N/A"),'Diags Raw Data'!$R$6:$R$3761)</f>
        <v>0</v>
      </c>
      <c r="N60" s="471" cm="1">
        <f t="array" ref="N60">SUMPRODUCT(--(ISNUMBER(SEARCH($A60,'Diags Raw Data'!$A$6:$A$3761))),--('Diags Raw Data'!$Q$6:$Q$3761&lt;&gt;"N/A"),'Diags Raw Data'!$T$6:$T$3761)+SUMPRODUCT(--(ISNUMBER(SEARCH($A60,'Diags Raw Data'!$A$6:$A$3761))),--('Diags Raw Data'!$Q$6:$Q$3761&lt;&gt;"N/A"),'Diags Raw Data'!$U$6:$U$3761)</f>
        <v>0</v>
      </c>
      <c r="O60" s="472">
        <f t="shared" si="2"/>
        <v>0</v>
      </c>
      <c r="P60" s="473">
        <f>SUMIF('Diags Raw Data'!$A$6:$A$3761,"*"&amp;$A60&amp;"*",'Diags Raw Data'!$Z$6:$Z$3761)</f>
        <v>0</v>
      </c>
      <c r="Q60" s="474">
        <f>SUM(SUMIF('Diags Raw Data'!$A$6:$A$3761,"*"&amp;$A60&amp;"*",'Diags Raw Data'!$AA$6:$AA$3761),SUMIF('Diags Raw Data'!$A$6:$A$3761,"*"&amp;$A60&amp;"*",'Diags Raw Data'!$AB$6:$AB$3761))</f>
        <v>0</v>
      </c>
      <c r="R60" s="475">
        <f t="shared" si="3"/>
        <v>0</v>
      </c>
      <c r="S60" s="475">
        <f t="shared" si="4"/>
        <v>0</v>
      </c>
      <c r="T60" s="476">
        <f t="shared" si="5"/>
        <v>0</v>
      </c>
      <c r="U60" s="425" t="e">
        <f>VLOOKUP(A60,'Diags Raw Data'!$A$6:$AH$3761,33,FALSE)</f>
        <v>#N/A</v>
      </c>
      <c r="V60" s="181"/>
    </row>
    <row r="61" spans="1:22" ht="15.75" thickBot="1" x14ac:dyDescent="0.3">
      <c r="A61" s="530">
        <v>12.092000000000001</v>
      </c>
      <c r="B61" s="427" t="str">
        <f>VLOOKUP(A61,'Feature Raw Data'!$A$3:$B$3922,2,FALSE)</f>
        <v>Documentation - UTCL* MAS</v>
      </c>
      <c r="C61" s="428" t="str">
        <f>VLOOKUP(A61,'Feature Raw Data'!$A$3:$C$3922,3,FALSE)</f>
        <v>P2</v>
      </c>
      <c r="D61" s="429" t="str" cm="1">
        <f t="array" ref="D61">_xlfn.TEXTJOIN("",TRUE,IF(ISNUMBER(SEARCH($A61,'Diags Raw Data'!$A$6:$A$3761)),CONCATENATE('Diags Raw Data'!$H$6:$H$3761,", "),""))</f>
        <v/>
      </c>
      <c r="E61" s="340" t="e">
        <f>VLOOKUP(A61,'Diags Raw Data'!$A$6:$D$3761,4,FALSE)</f>
        <v>#N/A</v>
      </c>
      <c r="F61" s="340" t="str">
        <f>VLOOKUP(A61,'Feature Raw Data'!$A$3:$E$3922,5,FALSE)</f>
        <v>New</v>
      </c>
      <c r="G61" s="340" t="str">
        <f>IF(D61="N/A, ","No","Yes")</f>
        <v>Yes</v>
      </c>
      <c r="H61" s="340" t="str">
        <f t="shared" si="1"/>
        <v>Yes</v>
      </c>
      <c r="I61" s="428">
        <f>SUMIF('Diags Raw Data'!$A$6:$A$3761,"*"&amp;$A61&amp;"*",'Diags Raw Data'!$K$6:$K$3761)</f>
        <v>0</v>
      </c>
      <c r="J61" s="430">
        <f>SUMIF('Diags Raw Data'!$A$6:$A$3761,"*"&amp;$A61&amp;"*",'Diags Raw Data'!$L$6:$L$3761)</f>
        <v>0</v>
      </c>
      <c r="K61" s="468" cm="1">
        <f t="array" ref="K61">IF(D61="",0, SUMPRODUCT(--(ISNUMBER(SEARCH($A61,'Diags Raw Data'!$A$6:$A$3761))),'Diags Raw Data'!$L$6:$L$3761,'Diags Raw Data'!$N$6:$N$3761)/J61)</f>
        <v>0</v>
      </c>
      <c r="L61" s="469" cm="1">
        <f t="array" ref="L61">IF(D61="",0, SUMPRODUCT(--(ISNUMBER(SEARCH($A61,'Diags Raw Data'!$A$6:$A$3761))),'Diags Raw Data'!$L$6:$L$3761,'Diags Raw Data'!$P$6:$P$3761)/J61)</f>
        <v>0</v>
      </c>
      <c r="M61" s="470" cm="1">
        <f t="array" ref="M61">SUMPRODUCT(--(ISNUMBER(SEARCH($A61,'Diags Raw Data'!$A$6:$A$3761))),--('Diags Raw Data'!$Q$6:$Q$3761&lt;&gt;"N/A"),'Diags Raw Data'!$R$6:$R$3761)</f>
        <v>0</v>
      </c>
      <c r="N61" s="471" cm="1">
        <f t="array" ref="N61">SUMPRODUCT(--(ISNUMBER(SEARCH($A61,'Diags Raw Data'!$A$6:$A$3761))),--('Diags Raw Data'!$Q$6:$Q$3761&lt;&gt;"N/A"),'Diags Raw Data'!$T$6:$T$3761)+SUMPRODUCT(--(ISNUMBER(SEARCH($A61,'Diags Raw Data'!$A$6:$A$3761))),--('Diags Raw Data'!$Q$6:$Q$3761&lt;&gt;"N/A"),'Diags Raw Data'!$U$6:$U$3761)</f>
        <v>0</v>
      </c>
      <c r="O61" s="472">
        <f t="shared" si="2"/>
        <v>0</v>
      </c>
      <c r="P61" s="473">
        <f>SUMIF('Diags Raw Data'!$A$6:$A$3761,"*"&amp;$A61&amp;"*",'Diags Raw Data'!$Z$6:$Z$3761)</f>
        <v>0</v>
      </c>
      <c r="Q61" s="474">
        <f>SUM(SUMIF('Diags Raw Data'!$A$6:$A$3761,"*"&amp;$A61&amp;"*",'Diags Raw Data'!$AA$6:$AA$3761),SUMIF('Diags Raw Data'!$A$6:$A$3761,"*"&amp;$A61&amp;"*",'Diags Raw Data'!$AB$6:$AB$3761))</f>
        <v>0</v>
      </c>
      <c r="R61" s="475">
        <f t="shared" si="3"/>
        <v>0</v>
      </c>
      <c r="S61" s="475">
        <f t="shared" si="4"/>
        <v>0</v>
      </c>
      <c r="T61" s="476">
        <f t="shared" si="5"/>
        <v>0</v>
      </c>
      <c r="U61" s="425" t="e">
        <f>VLOOKUP(A61,'Diags Raw Data'!$A$6:$AH$3761,33,FALSE)</f>
        <v>#N/A</v>
      </c>
      <c r="V61" s="535" t="s">
        <v>360</v>
      </c>
    </row>
    <row r="62" spans="1:22" ht="30.75" thickBot="1" x14ac:dyDescent="0.3">
      <c r="A62" s="530">
        <v>12.096</v>
      </c>
      <c r="B62" s="427" t="str">
        <f>VLOOKUP(A62,'Feature Raw Data'!$A$3:$B$3922,2,FALSE)</f>
        <v xml:space="preserve">UTCL1: check page_size using the stored frag_size </v>
      </c>
      <c r="C62" s="428" t="str">
        <f>VLOOKUP(A62,'Feature Raw Data'!$A$3:$C$3922,3,FALSE)</f>
        <v>P2</v>
      </c>
      <c r="D62" s="429" t="str" cm="1">
        <f t="array" ref="D62">_xlfn.TEXTJOIN("",TRUE,IF(ISNUMBER(SEARCH($A62,'Diags Raw Data'!$A$6:$A$3761)),CONCATENATE('Diags Raw Data'!$H$6:$H$3761,", "),""))</f>
        <v/>
      </c>
      <c r="E62" s="340" t="e">
        <f>VLOOKUP(A62,'Diags Raw Data'!$A$6:$D$3761,4,FALSE)</f>
        <v>#N/A</v>
      </c>
      <c r="F62" s="340" t="str">
        <f>VLOOKUP(A62,'Feature Raw Data'!$A$3:$E$3922,5,FALSE)</f>
        <v>New</v>
      </c>
      <c r="G62" s="340" t="str">
        <f t="shared" ref="G62:G125" si="6">IF(D62="N/A, ","No","Yes")</f>
        <v>Yes</v>
      </c>
      <c r="H62" s="340" t="str">
        <f t="shared" si="1"/>
        <v>Yes</v>
      </c>
      <c r="I62" s="428">
        <f>SUMIF('Diags Raw Data'!$A$6:$A$3761,"*"&amp;$A62&amp;"*",'Diags Raw Data'!$K$6:$K$3761)</f>
        <v>0</v>
      </c>
      <c r="J62" s="430">
        <f>SUMIF('Diags Raw Data'!$A$6:$A$3761,"*"&amp;$A62&amp;"*",'Diags Raw Data'!$L$6:$L$3761)</f>
        <v>0</v>
      </c>
      <c r="K62" s="468" cm="1">
        <f t="array" ref="K62">IF(D62="",0, SUMPRODUCT(--(ISNUMBER(SEARCH($A62,'Diags Raw Data'!$A$6:$A$3761))),'Diags Raw Data'!$L$6:$L$3761,'Diags Raw Data'!$N$6:$N$3761)/J62)</f>
        <v>0</v>
      </c>
      <c r="L62" s="469" cm="1">
        <f t="array" ref="L62">IF(D62="",0, SUMPRODUCT(--(ISNUMBER(SEARCH($A62,'Diags Raw Data'!$A$6:$A$3761))),'Diags Raw Data'!$L$6:$L$3761,'Diags Raw Data'!$P$6:$P$3761)/J62)</f>
        <v>0</v>
      </c>
      <c r="M62" s="470" cm="1">
        <f t="array" ref="M62">SUMPRODUCT(--(ISNUMBER(SEARCH($A62,'Diags Raw Data'!$A$6:$A$3761))),--('Diags Raw Data'!$Q$6:$Q$3761&lt;&gt;"N/A"),'Diags Raw Data'!$R$6:$R$3761)</f>
        <v>0</v>
      </c>
      <c r="N62" s="471" cm="1">
        <f t="array" ref="N62">SUMPRODUCT(--(ISNUMBER(SEARCH($A62,'Diags Raw Data'!$A$6:$A$3761))),--('Diags Raw Data'!$Q$6:$Q$3761&lt;&gt;"N/A"),'Diags Raw Data'!$T$6:$T$3761)+SUMPRODUCT(--(ISNUMBER(SEARCH($A62,'Diags Raw Data'!$A$6:$A$3761))),--('Diags Raw Data'!$Q$6:$Q$3761&lt;&gt;"N/A"),'Diags Raw Data'!$U$6:$U$3761)</f>
        <v>0</v>
      </c>
      <c r="O62" s="472">
        <f t="shared" si="2"/>
        <v>0</v>
      </c>
      <c r="P62" s="473">
        <f>SUMIF('Diags Raw Data'!$A$6:$A$3761,"*"&amp;$A62&amp;"*",'Diags Raw Data'!$Z$6:$Z$3761)</f>
        <v>0</v>
      </c>
      <c r="Q62" s="474">
        <f>SUM(SUMIF('Diags Raw Data'!$A$6:$A$3761,"*"&amp;$A62&amp;"*",'Diags Raw Data'!$AA$6:$AA$3761),SUMIF('Diags Raw Data'!$A$6:$A$3761,"*"&amp;$A62&amp;"*",'Diags Raw Data'!$AB$6:$AB$3761))</f>
        <v>0</v>
      </c>
      <c r="R62" s="475">
        <f t="shared" si="3"/>
        <v>0</v>
      </c>
      <c r="S62" s="475">
        <f t="shared" si="4"/>
        <v>0</v>
      </c>
      <c r="T62" s="476">
        <f t="shared" si="5"/>
        <v>0</v>
      </c>
      <c r="U62" s="425" t="e">
        <f>VLOOKUP(A62,'Diags Raw Data'!$A$6:$AH$3761,33,FALSE)</f>
        <v>#N/A</v>
      </c>
      <c r="V62" s="181"/>
    </row>
    <row r="63" spans="1:22" ht="30.75" thickBot="1" x14ac:dyDescent="0.3">
      <c r="A63" s="530">
        <v>12.098000000000001</v>
      </c>
      <c r="B63" s="427" t="str">
        <f>VLOOKUP(A63,'Feature Raw Data'!$A$3:$B$3922,2,FALSE)</f>
        <v xml:space="preserve">Remove unused client shootdown interface </v>
      </c>
      <c r="C63" s="428" t="str">
        <f>VLOOKUP(A63,'Feature Raw Data'!$A$3:$C$3922,3,FALSE)</f>
        <v>P2</v>
      </c>
      <c r="D63" s="429" t="str" cm="1">
        <f t="array" ref="D63">_xlfn.TEXTJOIN("",TRUE,IF(ISNUMBER(SEARCH($A63,'Diags Raw Data'!$A$6:$A$3761)),CONCATENATE('Diags Raw Data'!$H$6:$H$3761,", "),""))</f>
        <v/>
      </c>
      <c r="E63" s="340" t="e">
        <f>VLOOKUP(A63,'Diags Raw Data'!$A$6:$D$3761,4,FALSE)</f>
        <v>#N/A</v>
      </c>
      <c r="F63" s="340" t="str">
        <f>VLOOKUP(A63,'Feature Raw Data'!$A$3:$E$3922,5,FALSE)</f>
        <v>New</v>
      </c>
      <c r="G63" s="340" t="str">
        <f t="shared" si="6"/>
        <v>Yes</v>
      </c>
      <c r="H63" s="340" t="str">
        <f>IF(D63="N/A, ","No","Yes")</f>
        <v>Yes</v>
      </c>
      <c r="I63" s="428">
        <f>SUMIF('Diags Raw Data'!$A$6:$A$3761,"*"&amp;$A63&amp;"*",'Diags Raw Data'!$K$6:$K$3761)</f>
        <v>0</v>
      </c>
      <c r="J63" s="430">
        <f>SUMIF('Diags Raw Data'!$A$6:$A$3761,"*"&amp;$A63&amp;"*",'Diags Raw Data'!$L$6:$L$3761)</f>
        <v>0</v>
      </c>
      <c r="K63" s="468" cm="1">
        <f t="array" ref="K63">IF(D63="",0, SUMPRODUCT(--(ISNUMBER(SEARCH($A63,'Diags Raw Data'!$A$6:$A$3761))),'Diags Raw Data'!$L$6:$L$3761,'Diags Raw Data'!$N$6:$N$3761)/J63)</f>
        <v>0</v>
      </c>
      <c r="L63" s="469" cm="1">
        <f t="array" ref="L63">IF(D63="",0, SUMPRODUCT(--(ISNUMBER(SEARCH($A63,'Diags Raw Data'!$A$6:$A$3761))),'Diags Raw Data'!$L$6:$L$3761,'Diags Raw Data'!$P$6:$P$3761)/J63)</f>
        <v>0</v>
      </c>
      <c r="M63" s="470" cm="1">
        <f t="array" ref="M63">SUMPRODUCT(--(ISNUMBER(SEARCH($A63,'Diags Raw Data'!$A$6:$A$3761))),--('Diags Raw Data'!$Q$6:$Q$3761&lt;&gt;"N/A"),'Diags Raw Data'!$R$6:$R$3761)</f>
        <v>0</v>
      </c>
      <c r="N63" s="471" cm="1">
        <f t="array" ref="N63">SUMPRODUCT(--(ISNUMBER(SEARCH($A63,'Diags Raw Data'!$A$6:$A$3761))),--('Diags Raw Data'!$Q$6:$Q$3761&lt;&gt;"N/A"),'Diags Raw Data'!$T$6:$T$3761)+SUMPRODUCT(--(ISNUMBER(SEARCH($A63,'Diags Raw Data'!$A$6:$A$3761))),--('Diags Raw Data'!$Q$6:$Q$3761&lt;&gt;"N/A"),'Diags Raw Data'!$U$6:$U$3761)</f>
        <v>0</v>
      </c>
      <c r="O63" s="472">
        <f t="shared" si="2"/>
        <v>0</v>
      </c>
      <c r="P63" s="473">
        <f>SUMIF('Diags Raw Data'!$A$6:$A$3761,"*"&amp;$A63&amp;"*",'Diags Raw Data'!$Z$6:$Z$3761)</f>
        <v>0</v>
      </c>
      <c r="Q63" s="474">
        <f>SUM(SUMIF('Diags Raw Data'!$A$6:$A$3761,"*"&amp;$A63&amp;"*",'Diags Raw Data'!$AA$6:$AA$3761),SUMIF('Diags Raw Data'!$A$6:$A$3761,"*"&amp;$A63&amp;"*",'Diags Raw Data'!$AB$6:$AB$3761))</f>
        <v>0</v>
      </c>
      <c r="R63" s="475">
        <f t="shared" si="3"/>
        <v>0</v>
      </c>
      <c r="S63" s="475">
        <f t="shared" si="4"/>
        <v>0</v>
      </c>
      <c r="T63" s="476">
        <f t="shared" si="5"/>
        <v>0</v>
      </c>
      <c r="U63" s="425" t="e">
        <f>VLOOKUP(A63,'Diags Raw Data'!$A$6:$AH$3761,33,FALSE)</f>
        <v>#N/A</v>
      </c>
      <c r="V63" s="535" t="s">
        <v>361</v>
      </c>
    </row>
    <row r="64" spans="1:22" ht="15.75" thickBot="1" x14ac:dyDescent="0.3">
      <c r="A64" s="530">
        <v>12.103999999999999</v>
      </c>
      <c r="B64" s="427" t="str">
        <f>VLOOKUP(A64,'Feature Raw Data'!$A$3:$B$3922,2,FALSE)</f>
        <v xml:space="preserve">GPUVM PTE bits </v>
      </c>
      <c r="C64" s="428" t="str">
        <f>VLOOKUP(A64,'Feature Raw Data'!$A$3:$C$3922,3,FALSE)</f>
        <v>P1</v>
      </c>
      <c r="D64" s="429" t="str" cm="1">
        <f t="array" ref="D64">_xlfn.TEXTJOIN("",TRUE,IF(ISNUMBER(SEARCH($A64,'Diags Raw Data'!$A$6:$A$3761)),CONCATENATE('Diags Raw Data'!$H$6:$H$3761,", "),""))</f>
        <v/>
      </c>
      <c r="E64" s="340" t="e">
        <f>VLOOKUP(A64,'Diags Raw Data'!$A$6:$D$3761,4,FALSE)</f>
        <v>#N/A</v>
      </c>
      <c r="F64" s="340" t="str">
        <f>VLOOKUP(A64,'Feature Raw Data'!$A$3:$E$3922,5,FALSE)</f>
        <v>New</v>
      </c>
      <c r="G64" s="340" t="str">
        <f t="shared" si="6"/>
        <v>Yes</v>
      </c>
      <c r="H64" s="340" t="str">
        <f t="shared" ref="H64:H127" si="7">IF(D64="N/A, ","No","Yes")</f>
        <v>Yes</v>
      </c>
      <c r="I64" s="428">
        <f>SUMIF('Diags Raw Data'!$A$6:$A$3761,"*"&amp;$A64&amp;"*",'Diags Raw Data'!$K$6:$K$3761)</f>
        <v>0</v>
      </c>
      <c r="J64" s="430">
        <f>SUMIF('Diags Raw Data'!$A$6:$A$3761,"*"&amp;$A64&amp;"*",'Diags Raw Data'!$L$6:$L$3761)</f>
        <v>0</v>
      </c>
      <c r="K64" s="468" cm="1">
        <f t="array" ref="K64">IF(D64="",0, SUMPRODUCT(--(ISNUMBER(SEARCH($A64,'Diags Raw Data'!$A$6:$A$3761))),'Diags Raw Data'!$L$6:$L$3761,'Diags Raw Data'!$N$6:$N$3761)/J64)</f>
        <v>0</v>
      </c>
      <c r="L64" s="469" cm="1">
        <f t="array" ref="L64">IF(D64="",0, SUMPRODUCT(--(ISNUMBER(SEARCH($A64,'Diags Raw Data'!$A$6:$A$3761))),'Diags Raw Data'!$L$6:$L$3761,'Diags Raw Data'!$P$6:$P$3761)/J64)</f>
        <v>0</v>
      </c>
      <c r="M64" s="470" cm="1">
        <f t="array" ref="M64">SUMPRODUCT(--(ISNUMBER(SEARCH($A64,'Diags Raw Data'!$A$6:$A$3761))),--('Diags Raw Data'!$Q$6:$Q$3761&lt;&gt;"N/A"),'Diags Raw Data'!$R$6:$R$3761)</f>
        <v>0</v>
      </c>
      <c r="N64" s="471" cm="1">
        <f t="array" ref="N64">SUMPRODUCT(--(ISNUMBER(SEARCH($A64,'Diags Raw Data'!$A$6:$A$3761))),--('Diags Raw Data'!$Q$6:$Q$3761&lt;&gt;"N/A"),'Diags Raw Data'!$T$6:$T$3761)+SUMPRODUCT(--(ISNUMBER(SEARCH($A64,'Diags Raw Data'!$A$6:$A$3761))),--('Diags Raw Data'!$Q$6:$Q$3761&lt;&gt;"N/A"),'Diags Raw Data'!$U$6:$U$3761)</f>
        <v>0</v>
      </c>
      <c r="O64" s="472">
        <f t="shared" si="2"/>
        <v>0</v>
      </c>
      <c r="P64" s="473">
        <f>SUMIF('Diags Raw Data'!$A$6:$A$3761,"*"&amp;$A64&amp;"*",'Diags Raw Data'!$Z$6:$Z$3761)</f>
        <v>0</v>
      </c>
      <c r="Q64" s="474">
        <f>SUM(SUMIF('Diags Raw Data'!$A$6:$A$3761,"*"&amp;$A64&amp;"*",'Diags Raw Data'!$AA$6:$AA$3761),SUMIF('Diags Raw Data'!$A$6:$A$3761,"*"&amp;$A64&amp;"*",'Diags Raw Data'!$AB$6:$AB$3761))</f>
        <v>0</v>
      </c>
      <c r="R64" s="475">
        <f t="shared" si="3"/>
        <v>0</v>
      </c>
      <c r="S64" s="475">
        <f t="shared" si="4"/>
        <v>0</v>
      </c>
      <c r="T64" s="476">
        <f t="shared" si="5"/>
        <v>0</v>
      </c>
      <c r="U64" s="425" t="e">
        <f>VLOOKUP(A64,'Diags Raw Data'!$A$6:$AH$3761,33,FALSE)</f>
        <v>#N/A</v>
      </c>
      <c r="V64" s="181"/>
    </row>
    <row r="65" spans="1:22" ht="45.75" thickBot="1" x14ac:dyDescent="0.3">
      <c r="A65" s="530">
        <v>12.111000000000001</v>
      </c>
      <c r="B65" s="427" t="str">
        <f>VLOOKUP(A65,'Feature Raw Data'!$A$3:$B$3922,2,FALSE)</f>
        <v xml:space="preserve">Deprecate metadata probe and client shootdown in UTCL0 </v>
      </c>
      <c r="C65" s="428" t="str">
        <f>VLOOKUP(A65,'Feature Raw Data'!$A$3:$C$3922,3,FALSE)</f>
        <v>P2</v>
      </c>
      <c r="D65" s="429" t="str" cm="1">
        <f t="array" ref="D65">_xlfn.TEXTJOIN("",TRUE,IF(ISNUMBER(SEARCH($A65,'Diags Raw Data'!$A$6:$A$3761)),CONCATENATE('Diags Raw Data'!$H$6:$H$3761,", "),""))</f>
        <v/>
      </c>
      <c r="E65" s="340" t="e">
        <f>VLOOKUP(A65,'Diags Raw Data'!$A$6:$D$3761,4,FALSE)</f>
        <v>#N/A</v>
      </c>
      <c r="F65" s="340" t="str">
        <f>VLOOKUP(A65,'Feature Raw Data'!$A$3:$E$3922,5,FALSE)</f>
        <v>New</v>
      </c>
      <c r="G65" s="340" t="str">
        <f t="shared" si="6"/>
        <v>Yes</v>
      </c>
      <c r="H65" s="340" t="str">
        <f t="shared" si="7"/>
        <v>Yes</v>
      </c>
      <c r="I65" s="428">
        <f>SUMIF('Diags Raw Data'!$A$6:$A$3761,"*"&amp;$A65&amp;"*",'Diags Raw Data'!$K$6:$K$3761)</f>
        <v>0</v>
      </c>
      <c r="J65" s="430">
        <f>SUMIF('Diags Raw Data'!$A$6:$A$3761,"*"&amp;$A65&amp;"*",'Diags Raw Data'!$L$6:$L$3761)</f>
        <v>0</v>
      </c>
      <c r="K65" s="468" cm="1">
        <f t="array" ref="K65">IF(D65="",0, SUMPRODUCT(--(ISNUMBER(SEARCH($A65,'Diags Raw Data'!$A$6:$A$3761))),'Diags Raw Data'!$L$6:$L$3761,'Diags Raw Data'!$N$6:$N$3761)/J65)</f>
        <v>0</v>
      </c>
      <c r="L65" s="469" cm="1">
        <f t="array" ref="L65">IF(D65="",0, SUMPRODUCT(--(ISNUMBER(SEARCH($A65,'Diags Raw Data'!$A$6:$A$3761))),'Diags Raw Data'!$L$6:$L$3761,'Diags Raw Data'!$P$6:$P$3761)/J65)</f>
        <v>0</v>
      </c>
      <c r="M65" s="470" cm="1">
        <f t="array" ref="M65">SUMPRODUCT(--(ISNUMBER(SEARCH($A65,'Diags Raw Data'!$A$6:$A$3761))),--('Diags Raw Data'!$Q$6:$Q$3761&lt;&gt;"N/A"),'Diags Raw Data'!$R$6:$R$3761)</f>
        <v>0</v>
      </c>
      <c r="N65" s="471" cm="1">
        <f t="array" ref="N65">SUMPRODUCT(--(ISNUMBER(SEARCH($A65,'Diags Raw Data'!$A$6:$A$3761))),--('Diags Raw Data'!$Q$6:$Q$3761&lt;&gt;"N/A"),'Diags Raw Data'!$T$6:$T$3761)+SUMPRODUCT(--(ISNUMBER(SEARCH($A65,'Diags Raw Data'!$A$6:$A$3761))),--('Diags Raw Data'!$Q$6:$Q$3761&lt;&gt;"N/A"),'Diags Raw Data'!$U$6:$U$3761)</f>
        <v>0</v>
      </c>
      <c r="O65" s="472">
        <f t="shared" si="2"/>
        <v>0</v>
      </c>
      <c r="P65" s="473">
        <f>SUMIF('Diags Raw Data'!$A$6:$A$3761,"*"&amp;$A65&amp;"*",'Diags Raw Data'!$Z$6:$Z$3761)</f>
        <v>0</v>
      </c>
      <c r="Q65" s="474">
        <f>SUM(SUMIF('Diags Raw Data'!$A$6:$A$3761,"*"&amp;$A65&amp;"*",'Diags Raw Data'!$AA$6:$AA$3761),SUMIF('Diags Raw Data'!$A$6:$A$3761,"*"&amp;$A65&amp;"*",'Diags Raw Data'!$AB$6:$AB$3761))</f>
        <v>0</v>
      </c>
      <c r="R65" s="475">
        <f t="shared" si="3"/>
        <v>0</v>
      </c>
      <c r="S65" s="475">
        <f t="shared" si="4"/>
        <v>0</v>
      </c>
      <c r="T65" s="476">
        <f t="shared" si="5"/>
        <v>0</v>
      </c>
      <c r="U65" s="425" t="e">
        <f>VLOOKUP(A65,'Diags Raw Data'!$A$6:$AH$3761,33,FALSE)</f>
        <v>#N/A</v>
      </c>
      <c r="V65" s="535" t="s">
        <v>361</v>
      </c>
    </row>
    <row r="66" spans="1:22" ht="30.75" thickBot="1" x14ac:dyDescent="0.3">
      <c r="A66" s="530">
        <v>12.112</v>
      </c>
      <c r="B66" s="427" t="str">
        <f>VLOOKUP(A66,'Feature Raw Data'!$A$3:$B$3922,2,FALSE)</f>
        <v xml:space="preserve">GCR single cycle UTC request interface </v>
      </c>
      <c r="C66" s="428" t="str">
        <f>VLOOKUP(A66,'Feature Raw Data'!$A$3:$C$3922,3,FALSE)</f>
        <v>P2</v>
      </c>
      <c r="D66" s="429" t="str" cm="1">
        <f t="array" ref="D66">_xlfn.TEXTJOIN("",TRUE,IF(ISNUMBER(SEARCH($A66,'Diags Raw Data'!$A$6:$A$3761)),CONCATENATE('Diags Raw Data'!$H$6:$H$3761,", "),""))</f>
        <v xml:space="preserve">glxi82.1-6, </v>
      </c>
      <c r="E66" s="340" t="str">
        <f>VLOOKUP(A66,'Diags Raw Data'!$A$6:$D$3761,4,FALSE)</f>
        <v>CMM</v>
      </c>
      <c r="F66" s="340" t="str">
        <f>VLOOKUP(A66,'Feature Raw Data'!$A$3:$E$3922,5,FALSE)</f>
        <v>New</v>
      </c>
      <c r="G66" s="340" t="str">
        <f t="shared" si="6"/>
        <v>Yes</v>
      </c>
      <c r="H66" s="340" t="str">
        <f t="shared" si="7"/>
        <v>Yes</v>
      </c>
      <c r="I66" s="428">
        <f>SUMIF('Diags Raw Data'!$A$6:$A$3761,"*"&amp;$A66&amp;"*",'Diags Raw Data'!$K$6:$K$3761)</f>
        <v>0</v>
      </c>
      <c r="J66" s="430">
        <f>SUMIF('Diags Raw Data'!$A$6:$A$3761,"*"&amp;$A66&amp;"*",'Diags Raw Data'!$L$6:$L$3761)</f>
        <v>0</v>
      </c>
      <c r="K66" s="468" t="e" cm="1">
        <f t="array" ref="K66">IF(D66="",0, SUMPRODUCT(--(ISNUMBER(SEARCH($A66,'Diags Raw Data'!$A$6:$A$3761))),'Diags Raw Data'!$L$6:$L$3761,'Diags Raw Data'!$N$6:$N$3761)/J66)</f>
        <v>#DIV/0!</v>
      </c>
      <c r="L66" s="469" t="e" cm="1">
        <f t="array" ref="L66">IF(D66="",0, SUMPRODUCT(--(ISNUMBER(SEARCH($A66,'Diags Raw Data'!$A$6:$A$3761))),'Diags Raw Data'!$L$6:$L$3761,'Diags Raw Data'!$P$6:$P$3761)/J66)</f>
        <v>#DIV/0!</v>
      </c>
      <c r="M66" s="470" cm="1">
        <f t="array" ref="M66">SUMPRODUCT(--(ISNUMBER(SEARCH($A66,'Diags Raw Data'!$A$6:$A$3761))),--('Diags Raw Data'!$Q$6:$Q$3761&lt;&gt;"N/A"),'Diags Raw Data'!$R$6:$R$3761)</f>
        <v>1</v>
      </c>
      <c r="N66" s="471" cm="1">
        <f t="array" ref="N66">SUMPRODUCT(--(ISNUMBER(SEARCH($A66,'Diags Raw Data'!$A$6:$A$3761))),--('Diags Raw Data'!$Q$6:$Q$3761&lt;&gt;"N/A"),'Diags Raw Data'!$T$6:$T$3761)+SUMPRODUCT(--(ISNUMBER(SEARCH($A66,'Diags Raw Data'!$A$6:$A$3761))),--('Diags Raw Data'!$Q$6:$Q$3761&lt;&gt;"N/A"),'Diags Raw Data'!$U$6:$U$3761)</f>
        <v>0</v>
      </c>
      <c r="O66" s="472">
        <f t="shared" si="2"/>
        <v>0</v>
      </c>
      <c r="P66" s="473">
        <f>SUMIF('Diags Raw Data'!$A$6:$A$3761,"*"&amp;$A66&amp;"*",'Diags Raw Data'!$Z$6:$Z$3761)</f>
        <v>0</v>
      </c>
      <c r="Q66" s="474">
        <f>SUM(SUMIF('Diags Raw Data'!$A$6:$A$3761,"*"&amp;$A66&amp;"*",'Diags Raw Data'!$AA$6:$AA$3761),SUMIF('Diags Raw Data'!$A$6:$A$3761,"*"&amp;$A66&amp;"*",'Diags Raw Data'!$AB$6:$AB$3761))</f>
        <v>0</v>
      </c>
      <c r="R66" s="475">
        <f t="shared" si="3"/>
        <v>0</v>
      </c>
      <c r="S66" s="475">
        <f t="shared" si="4"/>
        <v>0</v>
      </c>
      <c r="T66" s="476">
        <f t="shared" si="5"/>
        <v>0</v>
      </c>
      <c r="U66" s="425" t="str">
        <f>VLOOKUP(A66,'Diags Raw Data'!$A$6:$AH$3761,33,FALSE)</f>
        <v>WK8</v>
      </c>
      <c r="V66" s="181"/>
    </row>
    <row r="67" spans="1:22" ht="30.75" thickBot="1" x14ac:dyDescent="0.3">
      <c r="A67" s="530">
        <v>12.113</v>
      </c>
      <c r="B67" s="427" t="str">
        <f>VLOOKUP(A67,'Feature Raw Data'!$A$3:$B$3922,2,FALSE)</f>
        <v xml:space="preserve">RLC dont disable CGCG while thread trace is active </v>
      </c>
      <c r="C67" s="428" t="str">
        <f>VLOOKUP(A67,'Feature Raw Data'!$A$3:$C$3922,3,FALSE)</f>
        <v>P2</v>
      </c>
      <c r="D67" s="429" t="str" cm="1">
        <f t="array" ref="D67">_xlfn.TEXTJOIN("",TRUE,IF(ISNUMBER(SEARCH($A67,'Diags Raw Data'!$A$6:$A$3761)),CONCATENATE('Diags Raw Data'!$H$6:$H$3761,", "),""))</f>
        <v/>
      </c>
      <c r="E67" s="340" t="e">
        <f>VLOOKUP(A67,'Diags Raw Data'!$A$6:$D$3761,4,FALSE)</f>
        <v>#N/A</v>
      </c>
      <c r="F67" s="340" t="str">
        <f>VLOOKUP(A67,'Feature Raw Data'!$A$3:$E$3922,5,FALSE)</f>
        <v>New</v>
      </c>
      <c r="G67" s="340" t="str">
        <f t="shared" si="6"/>
        <v>Yes</v>
      </c>
      <c r="H67" s="340" t="str">
        <f t="shared" si="7"/>
        <v>Yes</v>
      </c>
      <c r="I67" s="428">
        <f>SUMIF('Diags Raw Data'!$A$6:$A$3761,"*"&amp;$A67&amp;"*",'Diags Raw Data'!$K$6:$K$3761)</f>
        <v>0</v>
      </c>
      <c r="J67" s="430">
        <f>SUMIF('Diags Raw Data'!$A$6:$A$3761,"*"&amp;$A67&amp;"*",'Diags Raw Data'!$L$6:$L$3761)</f>
        <v>0</v>
      </c>
      <c r="K67" s="468" cm="1">
        <f t="array" ref="K67">IF(D67="",0, SUMPRODUCT(--(ISNUMBER(SEARCH($A67,'Diags Raw Data'!$A$6:$A$3761))),'Diags Raw Data'!$L$6:$L$3761,'Diags Raw Data'!$N$6:$N$3761)/J67)</f>
        <v>0</v>
      </c>
      <c r="L67" s="469" cm="1">
        <f t="array" ref="L67">IF(D67="",0, SUMPRODUCT(--(ISNUMBER(SEARCH($A67,'Diags Raw Data'!$A$6:$A$3761))),'Diags Raw Data'!$L$6:$L$3761,'Diags Raw Data'!$P$6:$P$3761)/J67)</f>
        <v>0</v>
      </c>
      <c r="M67" s="470" cm="1">
        <f t="array" ref="M67">SUMPRODUCT(--(ISNUMBER(SEARCH($A67,'Diags Raw Data'!$A$6:$A$3761))),--('Diags Raw Data'!$Q$6:$Q$3761&lt;&gt;"N/A"),'Diags Raw Data'!$R$6:$R$3761)</f>
        <v>0</v>
      </c>
      <c r="N67" s="471" cm="1">
        <f t="array" ref="N67">SUMPRODUCT(--(ISNUMBER(SEARCH($A67,'Diags Raw Data'!$A$6:$A$3761))),--('Diags Raw Data'!$Q$6:$Q$3761&lt;&gt;"N/A"),'Diags Raw Data'!$T$6:$T$3761)+SUMPRODUCT(--(ISNUMBER(SEARCH($A67,'Diags Raw Data'!$A$6:$A$3761))),--('Diags Raw Data'!$Q$6:$Q$3761&lt;&gt;"N/A"),'Diags Raw Data'!$U$6:$U$3761)</f>
        <v>0</v>
      </c>
      <c r="O67" s="472">
        <f t="shared" si="2"/>
        <v>0</v>
      </c>
      <c r="P67" s="473">
        <f>SUMIF('Diags Raw Data'!$A$6:$A$3761,"*"&amp;$A67&amp;"*",'Diags Raw Data'!$Z$6:$Z$3761)</f>
        <v>0</v>
      </c>
      <c r="Q67" s="474">
        <f>SUM(SUMIF('Diags Raw Data'!$A$6:$A$3761,"*"&amp;$A67&amp;"*",'Diags Raw Data'!$AA$6:$AA$3761),SUMIF('Diags Raw Data'!$A$6:$A$3761,"*"&amp;$A67&amp;"*",'Diags Raw Data'!$AB$6:$AB$3761))</f>
        <v>0</v>
      </c>
      <c r="R67" s="475">
        <f t="shared" si="3"/>
        <v>0</v>
      </c>
      <c r="S67" s="475">
        <f t="shared" si="4"/>
        <v>0</v>
      </c>
      <c r="T67" s="476">
        <f t="shared" si="5"/>
        <v>0</v>
      </c>
      <c r="U67" s="425" t="e">
        <f>VLOOKUP(A67,'Diags Raw Data'!$A$6:$AH$3761,33,FALSE)</f>
        <v>#N/A</v>
      </c>
      <c r="V67" s="181"/>
    </row>
    <row r="68" spans="1:22" ht="30.75" thickBot="1" x14ac:dyDescent="0.3">
      <c r="A68" s="530">
        <v>12.114000000000001</v>
      </c>
      <c r="B68" s="427" t="str">
        <f>VLOOKUP(A68,'Feature Raw Data'!$A$3:$B$3922,2,FALSE)</f>
        <v xml:space="preserve">CP ucode use dispatch index for TTMP init </v>
      </c>
      <c r="C68" s="428" t="str">
        <f>VLOOKUP(A68,'Feature Raw Data'!$A$3:$C$3922,3,FALSE)</f>
        <v>P2</v>
      </c>
      <c r="D68" s="429" t="str" cm="1">
        <f t="array" ref="D68">_xlfn.TEXTJOIN("",TRUE,IF(ISNUMBER(SEARCH($A68,'Diags Raw Data'!$A$6:$A$3761)),CONCATENATE('Diags Raw Data'!$H$6:$H$3761,", "),""))</f>
        <v/>
      </c>
      <c r="E68" s="340" t="e">
        <f>VLOOKUP(A68,'Diags Raw Data'!$A$6:$D$3761,4,FALSE)</f>
        <v>#N/A</v>
      </c>
      <c r="F68" s="340" t="str">
        <f>VLOOKUP(A68,'Feature Raw Data'!$A$3:$E$3922,5,FALSE)</f>
        <v>New</v>
      </c>
      <c r="G68" s="340" t="str">
        <f t="shared" si="6"/>
        <v>Yes</v>
      </c>
      <c r="H68" s="340" t="str">
        <f t="shared" si="7"/>
        <v>Yes</v>
      </c>
      <c r="I68" s="428">
        <f>SUMIF('Diags Raw Data'!$A$6:$A$3761,"*"&amp;$A68&amp;"*",'Diags Raw Data'!$K$6:$K$3761)</f>
        <v>0</v>
      </c>
      <c r="J68" s="430">
        <f>SUMIF('Diags Raw Data'!$A$6:$A$3761,"*"&amp;$A68&amp;"*",'Diags Raw Data'!$L$6:$L$3761)</f>
        <v>0</v>
      </c>
      <c r="K68" s="468" cm="1">
        <f t="array" ref="K68">IF(D68="",0, SUMPRODUCT(--(ISNUMBER(SEARCH($A68,'Diags Raw Data'!$A$6:$A$3761))),'Diags Raw Data'!$L$6:$L$3761,'Diags Raw Data'!$N$6:$N$3761)/J68)</f>
        <v>0</v>
      </c>
      <c r="L68" s="469" cm="1">
        <f t="array" ref="L68">IF(D68="",0, SUMPRODUCT(--(ISNUMBER(SEARCH($A68,'Diags Raw Data'!$A$6:$A$3761))),'Diags Raw Data'!$L$6:$L$3761,'Diags Raw Data'!$P$6:$P$3761)/J68)</f>
        <v>0</v>
      </c>
      <c r="M68" s="470" cm="1">
        <f t="array" ref="M68">SUMPRODUCT(--(ISNUMBER(SEARCH($A68,'Diags Raw Data'!$A$6:$A$3761))),--('Diags Raw Data'!$Q$6:$Q$3761&lt;&gt;"N/A"),'Diags Raw Data'!$R$6:$R$3761)</f>
        <v>0</v>
      </c>
      <c r="N68" s="471" cm="1">
        <f t="array" ref="N68">SUMPRODUCT(--(ISNUMBER(SEARCH($A68,'Diags Raw Data'!$A$6:$A$3761))),--('Diags Raw Data'!$Q$6:$Q$3761&lt;&gt;"N/A"),'Diags Raw Data'!$T$6:$T$3761)+SUMPRODUCT(--(ISNUMBER(SEARCH($A68,'Diags Raw Data'!$A$6:$A$3761))),--('Diags Raw Data'!$Q$6:$Q$3761&lt;&gt;"N/A"),'Diags Raw Data'!$U$6:$U$3761)</f>
        <v>0</v>
      </c>
      <c r="O68" s="472">
        <f t="shared" si="2"/>
        <v>0</v>
      </c>
      <c r="P68" s="473">
        <f>SUMIF('Diags Raw Data'!$A$6:$A$3761,"*"&amp;$A68&amp;"*",'Diags Raw Data'!$Z$6:$Z$3761)</f>
        <v>0</v>
      </c>
      <c r="Q68" s="474">
        <f>SUM(SUMIF('Diags Raw Data'!$A$6:$A$3761,"*"&amp;$A68&amp;"*",'Diags Raw Data'!$AA$6:$AA$3761),SUMIF('Diags Raw Data'!$A$6:$A$3761,"*"&amp;$A68&amp;"*",'Diags Raw Data'!$AB$6:$AB$3761))</f>
        <v>0</v>
      </c>
      <c r="R68" s="475">
        <f t="shared" si="3"/>
        <v>0</v>
      </c>
      <c r="S68" s="475">
        <f t="shared" si="4"/>
        <v>0</v>
      </c>
      <c r="T68" s="476">
        <f t="shared" si="5"/>
        <v>0</v>
      </c>
      <c r="U68" s="425" t="e">
        <f>VLOOKUP(A68,'Diags Raw Data'!$A$6:$AH$3761,33,FALSE)</f>
        <v>#N/A</v>
      </c>
      <c r="V68" s="181"/>
    </row>
    <row r="69" spans="1:22" ht="225.75" thickBot="1" x14ac:dyDescent="0.3">
      <c r="A69" s="530">
        <v>12.115</v>
      </c>
      <c r="B69" s="427" t="str">
        <f>VLOOKUP(A69,'Feature Raw Data'!$A$3:$B$3922,2,FALSE)</f>
        <v>Single Pass Wave64 Trans Issue (in M2)</v>
      </c>
      <c r="C69" s="428" t="str">
        <f>VLOOKUP(A69,'Feature Raw Data'!$A$3:$C$3922,3,FALSE)</f>
        <v>P1</v>
      </c>
      <c r="D69" s="429" t="str" cm="1">
        <f t="array" ref="D69">_xlfn.TEXTJOIN("",TRUE,IF(ISNUMBER(SEARCH($A69,'Diags Raw Data'!$A$6:$A$3761)),CONCATENATE('Diags Raw Data'!$H$6:$H$3761,", "),""))</f>
        <v xml:space="preserve">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v>
      </c>
      <c r="E69" s="340" t="str">
        <f>VLOOKUP(A69,'Diags Raw Data'!$A$6:$D$3761,4,FALSE)</f>
        <v>SH</v>
      </c>
      <c r="F69" s="340" t="str">
        <f>VLOOKUP(A69,'Feature Raw Data'!$A$3:$E$3922,5,FALSE)</f>
        <v>New</v>
      </c>
      <c r="G69" s="340" t="str">
        <f t="shared" si="6"/>
        <v>Yes</v>
      </c>
      <c r="H69" s="340" t="str">
        <f t="shared" si="7"/>
        <v>Yes</v>
      </c>
      <c r="I69" s="428">
        <f>SUMIF('Diags Raw Data'!$A$6:$A$3761,"*"&amp;$A69&amp;"*",'Diags Raw Data'!$K$6:$K$3761)</f>
        <v>0</v>
      </c>
      <c r="J69" s="430">
        <f>SUMIF('Diags Raw Data'!$A$6:$A$3761,"*"&amp;$A69&amp;"*",'Diags Raw Data'!$L$6:$L$3761)</f>
        <v>0</v>
      </c>
      <c r="K69" s="468" t="e" cm="1">
        <f t="array" ref="K69">IF(D69="",0, SUMPRODUCT(--(ISNUMBER(SEARCH($A69,'Diags Raw Data'!$A$6:$A$3761))),'Diags Raw Data'!$L$6:$L$3761,'Diags Raw Data'!$N$6:$N$3761)/J69)</f>
        <v>#DIV/0!</v>
      </c>
      <c r="L69" s="469" t="e" cm="1">
        <f t="array" ref="L69">IF(D69="",0, SUMPRODUCT(--(ISNUMBER(SEARCH($A69,'Diags Raw Data'!$A$6:$A$3761))),'Diags Raw Data'!$L$6:$L$3761,'Diags Raw Data'!$P$6:$P$3761)/J69)</f>
        <v>#DIV/0!</v>
      </c>
      <c r="M69" s="470" cm="1">
        <f t="array" ref="M69">SUMPRODUCT(--(ISNUMBER(SEARCH($A69,'Diags Raw Data'!$A$6:$A$3761))),--('Diags Raw Data'!$Q$6:$Q$3761&lt;&gt;"N/A"),'Diags Raw Data'!$R$6:$R$3761)</f>
        <v>14</v>
      </c>
      <c r="N69" s="471" cm="1">
        <f t="array" ref="N69">SUMPRODUCT(--(ISNUMBER(SEARCH($A69,'Diags Raw Data'!$A$6:$A$3761))),--('Diags Raw Data'!$Q$6:$Q$3761&lt;&gt;"N/A"),'Diags Raw Data'!$T$6:$T$3761)+SUMPRODUCT(--(ISNUMBER(SEARCH($A69,'Diags Raw Data'!$A$6:$A$3761))),--('Diags Raw Data'!$Q$6:$Q$3761&lt;&gt;"N/A"),'Diags Raw Data'!$U$6:$U$3761)</f>
        <v>14</v>
      </c>
      <c r="O69" s="472">
        <f t="shared" si="2"/>
        <v>1</v>
      </c>
      <c r="P69" s="473">
        <f>SUMIF('Diags Raw Data'!$A$6:$A$3761,"*"&amp;$A69&amp;"*",'Diags Raw Data'!$Z$6:$Z$3761)</f>
        <v>0</v>
      </c>
      <c r="Q69" s="474">
        <f>SUM(SUMIF('Diags Raw Data'!$A$6:$A$3761,"*"&amp;$A69&amp;"*",'Diags Raw Data'!$AA$6:$AA$3761),SUMIF('Diags Raw Data'!$A$6:$A$3761,"*"&amp;$A69&amp;"*",'Diags Raw Data'!$AB$6:$AB$3761))</f>
        <v>0</v>
      </c>
      <c r="R69" s="475">
        <f t="shared" si="3"/>
        <v>0</v>
      </c>
      <c r="S69" s="475">
        <f t="shared" si="4"/>
        <v>0</v>
      </c>
      <c r="T69" s="476">
        <f t="shared" si="5"/>
        <v>0</v>
      </c>
      <c r="U69" s="425" t="str">
        <f>VLOOKUP(A69,'Diags Raw Data'!$A$6:$AH$3761,33,FALSE)</f>
        <v>WK5</v>
      </c>
      <c r="V69" s="181"/>
    </row>
    <row r="70" spans="1:22" ht="15.75" thickBot="1" x14ac:dyDescent="0.3">
      <c r="A70" s="530">
        <v>12.118</v>
      </c>
      <c r="B70" s="427" t="str">
        <f>VLOOKUP(A70,'Feature Raw Data'!$A$3:$B$3922,2,FALSE)</f>
        <v xml:space="preserve">PH Memory Queues </v>
      </c>
      <c r="C70" s="428" t="str">
        <f>VLOOKUP(A70,'Feature Raw Data'!$A$3:$C$3922,3,FALSE)</f>
        <v>P1</v>
      </c>
      <c r="D70" s="429" t="str" cm="1">
        <f t="array" ref="D70">_xlfn.TEXTJOIN("",TRUE,IF(ISNUMBER(SEARCH($A70,'Diags Raw Data'!$A$6:$A$3761)),CONCATENATE('Diags Raw Data'!$H$6:$H$3761,", "),""))</f>
        <v xml:space="preserve">ge2.0,ge2.1,std1.6, </v>
      </c>
      <c r="E70" s="340" t="str">
        <f>VLOOKUP(A70,'Diags Raw Data'!$A$6:$D$3761,4,FALSE)</f>
        <v>GEO</v>
      </c>
      <c r="F70" s="340" t="str">
        <f>VLOOKUP(A70,'Feature Raw Data'!$A$3:$E$3922,5,FALSE)</f>
        <v>New</v>
      </c>
      <c r="G70" s="340" t="str">
        <f t="shared" si="6"/>
        <v>Yes</v>
      </c>
      <c r="H70" s="340" t="str">
        <f t="shared" si="7"/>
        <v>Yes</v>
      </c>
      <c r="I70" s="428">
        <f>SUMIF('Diags Raw Data'!$A$6:$A$3761,"*"&amp;$A70&amp;"*",'Diags Raw Data'!$K$6:$K$3761)</f>
        <v>0</v>
      </c>
      <c r="J70" s="430">
        <f>SUMIF('Diags Raw Data'!$A$6:$A$3761,"*"&amp;$A70&amp;"*",'Diags Raw Data'!$L$6:$L$3761)</f>
        <v>0</v>
      </c>
      <c r="K70" s="468" t="e" cm="1">
        <f t="array" ref="K70">IF(D70="",0, SUMPRODUCT(--(ISNUMBER(SEARCH($A70,'Diags Raw Data'!$A$6:$A$3761))),'Diags Raw Data'!$L$6:$L$3761,'Diags Raw Data'!$N$6:$N$3761)/J70)</f>
        <v>#DIV/0!</v>
      </c>
      <c r="L70" s="469" t="e" cm="1">
        <f t="array" ref="L70">IF(D70="",0, SUMPRODUCT(--(ISNUMBER(SEARCH($A70,'Diags Raw Data'!$A$6:$A$3761))),'Diags Raw Data'!$L$6:$L$3761,'Diags Raw Data'!$P$6:$P$3761)/J70)</f>
        <v>#DIV/0!</v>
      </c>
      <c r="M70" s="470" cm="1">
        <f t="array" ref="M70">SUMPRODUCT(--(ISNUMBER(SEARCH($A70,'Diags Raw Data'!$A$6:$A$3761))),--('Diags Raw Data'!$Q$6:$Q$3761&lt;&gt;"N/A"),'Diags Raw Data'!$R$6:$R$3761)</f>
        <v>3</v>
      </c>
      <c r="N70" s="471" cm="1">
        <f t="array" ref="N70">SUMPRODUCT(--(ISNUMBER(SEARCH($A70,'Diags Raw Data'!$A$6:$A$3761))),--('Diags Raw Data'!$Q$6:$Q$3761&lt;&gt;"N/A"),'Diags Raw Data'!$T$6:$T$3761)+SUMPRODUCT(--(ISNUMBER(SEARCH($A70,'Diags Raw Data'!$A$6:$A$3761))),--('Diags Raw Data'!$Q$6:$Q$3761&lt;&gt;"N/A"),'Diags Raw Data'!$U$6:$U$3761)</f>
        <v>3</v>
      </c>
      <c r="O70" s="472">
        <f t="shared" si="2"/>
        <v>1</v>
      </c>
      <c r="P70" s="473">
        <f>SUMIF('Diags Raw Data'!$A$6:$A$3761,"*"&amp;$A70&amp;"*",'Diags Raw Data'!$Z$6:$Z$3761)</f>
        <v>0</v>
      </c>
      <c r="Q70" s="474">
        <f>SUM(SUMIF('Diags Raw Data'!$A$6:$A$3761,"*"&amp;$A70&amp;"*",'Diags Raw Data'!$AA$6:$AA$3761),SUMIF('Diags Raw Data'!$A$6:$A$3761,"*"&amp;$A70&amp;"*",'Diags Raw Data'!$AB$6:$AB$3761))</f>
        <v>0</v>
      </c>
      <c r="R70" s="475">
        <f t="shared" si="3"/>
        <v>0</v>
      </c>
      <c r="S70" s="475">
        <f t="shared" si="4"/>
        <v>0</v>
      </c>
      <c r="T70" s="476">
        <f t="shared" si="5"/>
        <v>0</v>
      </c>
      <c r="U70" s="425" t="str">
        <f>VLOOKUP(A70,'Diags Raw Data'!$A$6:$AH$3761,33,FALSE)</f>
        <v>WK5</v>
      </c>
      <c r="V70" s="181"/>
    </row>
    <row r="71" spans="1:22" ht="15.75" thickBot="1" x14ac:dyDescent="0.3">
      <c r="A71" s="530">
        <v>12.119</v>
      </c>
      <c r="B71" s="427" t="str">
        <f>VLOOKUP(A71,'Feature Raw Data'!$A$3:$B$3922,2,FALSE)</f>
        <v xml:space="preserve">Harvesting enabled by default </v>
      </c>
      <c r="C71" s="428" t="str">
        <f>VLOOKUP(A71,'Feature Raw Data'!$A$3:$C$3922,3,FALSE)</f>
        <v>P1</v>
      </c>
      <c r="D71" s="429" t="str" cm="1">
        <f t="array" ref="D71">_xlfn.TEXTJOIN("",TRUE,IF(ISNUMBER(SEARCH($A71,'Diags Raw Data'!$A$6:$A$3761)),CONCATENATE('Diags Raw Data'!$H$6:$H$3761,", "),""))</f>
        <v/>
      </c>
      <c r="E71" s="340" t="e">
        <f>VLOOKUP(A71,'Diags Raw Data'!$A$6:$D$3761,4,FALSE)</f>
        <v>#N/A</v>
      </c>
      <c r="F71" s="340" t="str">
        <f>VLOOKUP(A71,'Feature Raw Data'!$A$3:$E$3922,5,FALSE)</f>
        <v>New</v>
      </c>
      <c r="G71" s="340" t="str">
        <f t="shared" si="6"/>
        <v>Yes</v>
      </c>
      <c r="H71" s="340" t="str">
        <f t="shared" si="7"/>
        <v>Yes</v>
      </c>
      <c r="I71" s="428">
        <f>SUMIF('Diags Raw Data'!$A$6:$A$3761,"*"&amp;$A71&amp;"*",'Diags Raw Data'!$K$6:$K$3761)</f>
        <v>0</v>
      </c>
      <c r="J71" s="430">
        <f>SUMIF('Diags Raw Data'!$A$6:$A$3761,"*"&amp;$A71&amp;"*",'Diags Raw Data'!$L$6:$L$3761)</f>
        <v>0</v>
      </c>
      <c r="K71" s="468" cm="1">
        <f t="array" ref="K71">IF(D71="",0, SUMPRODUCT(--(ISNUMBER(SEARCH($A71,'Diags Raw Data'!$A$6:$A$3761))),'Diags Raw Data'!$L$6:$L$3761,'Diags Raw Data'!$N$6:$N$3761)/J71)</f>
        <v>0</v>
      </c>
      <c r="L71" s="469" cm="1">
        <f t="array" ref="L71">IF(D71="",0, SUMPRODUCT(--(ISNUMBER(SEARCH($A71,'Diags Raw Data'!$A$6:$A$3761))),'Diags Raw Data'!$L$6:$L$3761,'Diags Raw Data'!$P$6:$P$3761)/J71)</f>
        <v>0</v>
      </c>
      <c r="M71" s="470" cm="1">
        <f t="array" ref="M71">SUMPRODUCT(--(ISNUMBER(SEARCH($A71,'Diags Raw Data'!$A$6:$A$3761))),--('Diags Raw Data'!$Q$6:$Q$3761&lt;&gt;"N/A"),'Diags Raw Data'!$R$6:$R$3761)</f>
        <v>0</v>
      </c>
      <c r="N71" s="471" cm="1">
        <f t="array" ref="N71">SUMPRODUCT(--(ISNUMBER(SEARCH($A71,'Diags Raw Data'!$A$6:$A$3761))),--('Diags Raw Data'!$Q$6:$Q$3761&lt;&gt;"N/A"),'Diags Raw Data'!$T$6:$T$3761)+SUMPRODUCT(--(ISNUMBER(SEARCH($A71,'Diags Raw Data'!$A$6:$A$3761))),--('Diags Raw Data'!$Q$6:$Q$3761&lt;&gt;"N/A"),'Diags Raw Data'!$U$6:$U$3761)</f>
        <v>0</v>
      </c>
      <c r="O71" s="472">
        <f t="shared" si="2"/>
        <v>0</v>
      </c>
      <c r="P71" s="473">
        <f>SUMIF('Diags Raw Data'!$A$6:$A$3761,"*"&amp;$A71&amp;"*",'Diags Raw Data'!$Z$6:$Z$3761)</f>
        <v>0</v>
      </c>
      <c r="Q71" s="474">
        <f>SUM(SUMIF('Diags Raw Data'!$A$6:$A$3761,"*"&amp;$A71&amp;"*",'Diags Raw Data'!$AA$6:$AA$3761),SUMIF('Diags Raw Data'!$A$6:$A$3761,"*"&amp;$A71&amp;"*",'Diags Raw Data'!$AB$6:$AB$3761))</f>
        <v>0</v>
      </c>
      <c r="R71" s="475">
        <f t="shared" ref="R71:R100" si="8">IF((J71=0),0,P71/J71)</f>
        <v>0</v>
      </c>
      <c r="S71" s="475">
        <f t="shared" ref="S71:S103" si="9">IF((P71=0),0,Q71/P71)</f>
        <v>0</v>
      </c>
      <c r="T71" s="476">
        <f t="shared" ref="T71:T102" si="10">R71*S71</f>
        <v>0</v>
      </c>
      <c r="U71" s="425" t="e">
        <f>VLOOKUP(A71,'Diags Raw Data'!$A$6:$AH$3761,33,FALSE)</f>
        <v>#N/A</v>
      </c>
      <c r="V71" s="181"/>
    </row>
    <row r="72" spans="1:22" ht="45.75" thickBot="1" x14ac:dyDescent="0.3">
      <c r="A72" s="530">
        <v>12.12</v>
      </c>
      <c r="B72" s="427" t="str">
        <f>VLOOKUP(A72,'Feature Raw Data'!$A$3:$B$3922,2,FALSE)</f>
        <v>WGP&amp;RB GRBM Index Remapping (possible gfx11.5)</v>
      </c>
      <c r="C72" s="428" t="str">
        <f>VLOOKUP(A72,'Feature Raw Data'!$A$3:$C$3922,3,FALSE)</f>
        <v>P1</v>
      </c>
      <c r="D72" s="429" t="str" cm="1">
        <f t="array" ref="D72">_xlfn.TEXTJOIN("",TRUE,IF(ISNUMBER(SEARCH($A72,'Diags Raw Data'!$A$6:$A$3761)),CONCATENATE('Diags Raw Data'!$H$6:$H$3761,", "),""))</f>
        <v xml:space="preserve">gci1300.0,gci1300.1,gci1300.2,gci1300.3, spi124.0,spi124.1, spi125, placeholder_f.1, </v>
      </c>
      <c r="E72" s="340" t="str">
        <f>VLOOKUP(A72,'Diags Raw Data'!$A$6:$D$3761,4,FALSE)</f>
        <v>CTL</v>
      </c>
      <c r="F72" s="340" t="str">
        <f>VLOOKUP(A72,'Feature Raw Data'!$A$3:$E$3922,5,FALSE)</f>
        <v>New</v>
      </c>
      <c r="G72" s="340" t="str">
        <f t="shared" si="6"/>
        <v>Yes</v>
      </c>
      <c r="H72" s="340" t="str">
        <f t="shared" si="7"/>
        <v>Yes</v>
      </c>
      <c r="I72" s="428">
        <f>SUMIF('Diags Raw Data'!$A$6:$A$3761,"*"&amp;$A72&amp;"*",'Diags Raw Data'!$K$6:$K$3761)</f>
        <v>0</v>
      </c>
      <c r="J72" s="430">
        <f>SUMIF('Diags Raw Data'!$A$6:$A$3761,"*"&amp;$A72&amp;"*",'Diags Raw Data'!$L$6:$L$3761)</f>
        <v>0</v>
      </c>
      <c r="K72" s="468" t="e" cm="1">
        <f t="array" ref="K72">IF(D72="",0, SUMPRODUCT(--(ISNUMBER(SEARCH($A72,'Diags Raw Data'!$A$6:$A$3761))),'Diags Raw Data'!$L$6:$L$3761,'Diags Raw Data'!$N$6:$N$3761)/J72)</f>
        <v>#DIV/0!</v>
      </c>
      <c r="L72" s="469" t="e" cm="1">
        <f t="array" ref="L72">IF(D72="",0, SUMPRODUCT(--(ISNUMBER(SEARCH($A72,'Diags Raw Data'!$A$6:$A$3761))),'Diags Raw Data'!$L$6:$L$3761,'Diags Raw Data'!$P$6:$P$3761)/J72)</f>
        <v>#DIV/0!</v>
      </c>
      <c r="M72" s="470" cm="1">
        <f t="array" ref="M72">SUMPRODUCT(--(ISNUMBER(SEARCH($A72,'Diags Raw Data'!$A$6:$A$3761))),--('Diags Raw Data'!$Q$6:$Q$3761&lt;&gt;"N/A"),'Diags Raw Data'!$R$6:$R$3761)</f>
        <v>8</v>
      </c>
      <c r="N72" s="471" cm="1">
        <f t="array" ref="N72">SUMPRODUCT(--(ISNUMBER(SEARCH($A72,'Diags Raw Data'!$A$6:$A$3761))),--('Diags Raw Data'!$Q$6:$Q$3761&lt;&gt;"N/A"),'Diags Raw Data'!$T$6:$T$3761)+SUMPRODUCT(--(ISNUMBER(SEARCH($A72,'Diags Raw Data'!$A$6:$A$3761))),--('Diags Raw Data'!$Q$6:$Q$3761&lt;&gt;"N/A"),'Diags Raw Data'!$U$6:$U$3761)</f>
        <v>7</v>
      </c>
      <c r="O72" s="472">
        <f t="shared" ref="O72:O103" si="11">IF((M72=0),0,N72/M72)</f>
        <v>0.875</v>
      </c>
      <c r="P72" s="473">
        <f>SUMIF('Diags Raw Data'!$A$6:$A$3761,"*"&amp;$A72&amp;"*",'Diags Raw Data'!$Z$6:$Z$3761)</f>
        <v>0</v>
      </c>
      <c r="Q72" s="474">
        <f>SUM(SUMIF('Diags Raw Data'!$A$6:$A$3761,"*"&amp;$A72&amp;"*",'Diags Raw Data'!$AA$6:$AA$3761),SUMIF('Diags Raw Data'!$A$6:$A$3761,"*"&amp;$A72&amp;"*",'Diags Raw Data'!$AB$6:$AB$3761))</f>
        <v>0</v>
      </c>
      <c r="R72" s="475">
        <f t="shared" si="8"/>
        <v>0</v>
      </c>
      <c r="S72" s="475">
        <f t="shared" si="9"/>
        <v>0</v>
      </c>
      <c r="T72" s="476">
        <f t="shared" si="10"/>
        <v>0</v>
      </c>
      <c r="U72" s="425" t="str">
        <f>VLOOKUP(A72,'Diags Raw Data'!$A$6:$AH$3761,33,FALSE)</f>
        <v>WK5</v>
      </c>
      <c r="V72" s="181"/>
    </row>
    <row r="73" spans="1:22" ht="15.75" thickBot="1" x14ac:dyDescent="0.3">
      <c r="A73" s="530">
        <v>12.124000000000001</v>
      </c>
      <c r="B73" s="427" t="str">
        <f>VLOOKUP(A73,'Feature Raw Data'!$A$3:$B$3922,2,FALSE)</f>
        <v xml:space="preserve">CSC Group Launch guarantee </v>
      </c>
      <c r="C73" s="428" t="str">
        <f>VLOOKUP(A73,'Feature Raw Data'!$A$3:$C$3922,3,FALSE)</f>
        <v>P2</v>
      </c>
      <c r="D73" s="429" t="str" cm="1">
        <f t="array" ref="D73">_xlfn.TEXTJOIN("",TRUE,IF(ISNUMBER(SEARCH($A73,'Diags Raw Data'!$A$6:$A$3761)),CONCATENATE('Diags Raw Data'!$H$6:$H$3761,", "),""))</f>
        <v xml:space="preserve">spi124.0,spi124.1, </v>
      </c>
      <c r="E73" s="340" t="str">
        <f>VLOOKUP(A73,'Diags Raw Data'!$A$6:$D$3761,4,FALSE)</f>
        <v>SIO</v>
      </c>
      <c r="F73" s="340" t="str">
        <f>VLOOKUP(A73,'Feature Raw Data'!$A$3:$E$3922,5,FALSE)</f>
        <v>New</v>
      </c>
      <c r="G73" s="340" t="str">
        <f t="shared" si="6"/>
        <v>Yes</v>
      </c>
      <c r="H73" s="340" t="str">
        <f t="shared" si="7"/>
        <v>Yes</v>
      </c>
      <c r="I73" s="428">
        <f>SUMIF('Diags Raw Data'!$A$6:$A$3761,"*"&amp;$A73&amp;"*",'Diags Raw Data'!$K$6:$K$3761)</f>
        <v>0</v>
      </c>
      <c r="J73" s="430">
        <f>SUMIF('Diags Raw Data'!$A$6:$A$3761,"*"&amp;$A73&amp;"*",'Diags Raw Data'!$L$6:$L$3761)</f>
        <v>0</v>
      </c>
      <c r="K73" s="468" t="e" cm="1">
        <f t="array" ref="K73">IF(D73="",0, SUMPRODUCT(--(ISNUMBER(SEARCH($A73,'Diags Raw Data'!$A$6:$A$3761))),'Diags Raw Data'!$L$6:$L$3761,'Diags Raw Data'!$N$6:$N$3761)/J73)</f>
        <v>#DIV/0!</v>
      </c>
      <c r="L73" s="469" t="e" cm="1">
        <f t="array" ref="L73">IF(D73="",0, SUMPRODUCT(--(ISNUMBER(SEARCH($A73,'Diags Raw Data'!$A$6:$A$3761))),'Diags Raw Data'!$L$6:$L$3761,'Diags Raw Data'!$P$6:$P$3761)/J73)</f>
        <v>#DIV/0!</v>
      </c>
      <c r="M73" s="470" cm="1">
        <f t="array" ref="M73">SUMPRODUCT(--(ISNUMBER(SEARCH($A73,'Diags Raw Data'!$A$6:$A$3761))),--('Diags Raw Data'!$Q$6:$Q$3761&lt;&gt;"N/A"),'Diags Raw Data'!$R$6:$R$3761)</f>
        <v>2</v>
      </c>
      <c r="N73" s="471" cm="1">
        <f t="array" ref="N73">SUMPRODUCT(--(ISNUMBER(SEARCH($A73,'Diags Raw Data'!$A$6:$A$3761))),--('Diags Raw Data'!$Q$6:$Q$3761&lt;&gt;"N/A"),'Diags Raw Data'!$T$6:$T$3761)+SUMPRODUCT(--(ISNUMBER(SEARCH($A73,'Diags Raw Data'!$A$6:$A$3761))),--('Diags Raw Data'!$Q$6:$Q$3761&lt;&gt;"N/A"),'Diags Raw Data'!$U$6:$U$3761)</f>
        <v>2</v>
      </c>
      <c r="O73" s="472">
        <f t="shared" si="11"/>
        <v>1</v>
      </c>
      <c r="P73" s="473">
        <f>SUMIF('Diags Raw Data'!$A$6:$A$3761,"*"&amp;$A73&amp;"*",'Diags Raw Data'!$Z$6:$Z$3761)</f>
        <v>0</v>
      </c>
      <c r="Q73" s="474">
        <f>SUM(SUMIF('Diags Raw Data'!$A$6:$A$3761,"*"&amp;$A73&amp;"*",'Diags Raw Data'!$AA$6:$AA$3761),SUMIF('Diags Raw Data'!$A$6:$A$3761,"*"&amp;$A73&amp;"*",'Diags Raw Data'!$AB$6:$AB$3761))</f>
        <v>0</v>
      </c>
      <c r="R73" s="475">
        <f t="shared" si="8"/>
        <v>0</v>
      </c>
      <c r="S73" s="475">
        <f t="shared" si="9"/>
        <v>0</v>
      </c>
      <c r="T73" s="476">
        <f t="shared" si="10"/>
        <v>0</v>
      </c>
      <c r="U73" s="425" t="str">
        <f>VLOOKUP(A73,'Diags Raw Data'!$A$6:$AH$3761,33,FALSE)</f>
        <v>WK7</v>
      </c>
      <c r="V73" s="181"/>
    </row>
    <row r="74" spans="1:22" ht="30.75" thickBot="1" x14ac:dyDescent="0.3">
      <c r="A74" s="530">
        <v>12.125</v>
      </c>
      <c r="B74" s="427" t="str">
        <f>VLOOKUP(A74,'Feature Raw Data'!$A$3:$B$3922,2,FALSE)</f>
        <v xml:space="preserve">GFX Pipe Group Launch Guarantee </v>
      </c>
      <c r="C74" s="428" t="str">
        <f>VLOOKUP(A74,'Feature Raw Data'!$A$3:$C$3922,3,FALSE)</f>
        <v>P2</v>
      </c>
      <c r="D74" s="429" t="str" cm="1">
        <f t="array" ref="D74">_xlfn.TEXTJOIN("",TRUE,IF(ISNUMBER(SEARCH($A74,'Diags Raw Data'!$A$6:$A$3761)),CONCATENATE('Diags Raw Data'!$H$6:$H$3761,", "),""))</f>
        <v xml:space="preserve">spi125, </v>
      </c>
      <c r="E74" s="340" t="str">
        <f>VLOOKUP(A74,'Diags Raw Data'!$A$6:$D$3761,4,FALSE)</f>
        <v>SIO</v>
      </c>
      <c r="F74" s="340" t="str">
        <f>VLOOKUP(A74,'Feature Raw Data'!$A$3:$E$3922,5,FALSE)</f>
        <v>New</v>
      </c>
      <c r="G74" s="340" t="str">
        <f t="shared" si="6"/>
        <v>Yes</v>
      </c>
      <c r="H74" s="340" t="str">
        <f t="shared" si="7"/>
        <v>Yes</v>
      </c>
      <c r="I74" s="428">
        <f>SUMIF('Diags Raw Data'!$A$6:$A$3761,"*"&amp;$A74&amp;"*",'Diags Raw Data'!$K$6:$K$3761)</f>
        <v>0</v>
      </c>
      <c r="J74" s="430">
        <f>SUMIF('Diags Raw Data'!$A$6:$A$3761,"*"&amp;$A74&amp;"*",'Diags Raw Data'!$L$6:$L$3761)</f>
        <v>0</v>
      </c>
      <c r="K74" s="468" t="e" cm="1">
        <f t="array" ref="K74">IF(D74="",0, SUMPRODUCT(--(ISNUMBER(SEARCH($A74,'Diags Raw Data'!$A$6:$A$3761))),'Diags Raw Data'!$L$6:$L$3761,'Diags Raw Data'!$N$6:$N$3761)/J74)</f>
        <v>#DIV/0!</v>
      </c>
      <c r="L74" s="469" t="e" cm="1">
        <f t="array" ref="L74">IF(D74="",0, SUMPRODUCT(--(ISNUMBER(SEARCH($A74,'Diags Raw Data'!$A$6:$A$3761))),'Diags Raw Data'!$L$6:$L$3761,'Diags Raw Data'!$P$6:$P$3761)/J74)</f>
        <v>#DIV/0!</v>
      </c>
      <c r="M74" s="470" cm="1">
        <f t="array" ref="M74">SUMPRODUCT(--(ISNUMBER(SEARCH($A74,'Diags Raw Data'!$A$6:$A$3761))),--('Diags Raw Data'!$Q$6:$Q$3761&lt;&gt;"N/A"),'Diags Raw Data'!$R$6:$R$3761)</f>
        <v>1</v>
      </c>
      <c r="N74" s="471" cm="1">
        <f t="array" ref="N74">SUMPRODUCT(--(ISNUMBER(SEARCH($A74,'Diags Raw Data'!$A$6:$A$3761))),--('Diags Raw Data'!$Q$6:$Q$3761&lt;&gt;"N/A"),'Diags Raw Data'!$T$6:$T$3761)+SUMPRODUCT(--(ISNUMBER(SEARCH($A74,'Diags Raw Data'!$A$6:$A$3761))),--('Diags Raw Data'!$Q$6:$Q$3761&lt;&gt;"N/A"),'Diags Raw Data'!$U$6:$U$3761)</f>
        <v>1</v>
      </c>
      <c r="O74" s="472">
        <f t="shared" si="11"/>
        <v>1</v>
      </c>
      <c r="P74" s="473">
        <f>SUMIF('Diags Raw Data'!$A$6:$A$3761,"*"&amp;$A74&amp;"*",'Diags Raw Data'!$Z$6:$Z$3761)</f>
        <v>0</v>
      </c>
      <c r="Q74" s="474">
        <f>SUM(SUMIF('Diags Raw Data'!$A$6:$A$3761,"*"&amp;$A74&amp;"*",'Diags Raw Data'!$AA$6:$AA$3761),SUMIF('Diags Raw Data'!$A$6:$A$3761,"*"&amp;$A74&amp;"*",'Diags Raw Data'!$AB$6:$AB$3761))</f>
        <v>0</v>
      </c>
      <c r="R74" s="475">
        <f t="shared" si="8"/>
        <v>0</v>
      </c>
      <c r="S74" s="475">
        <f t="shared" si="9"/>
        <v>0</v>
      </c>
      <c r="T74" s="476">
        <f t="shared" si="10"/>
        <v>0</v>
      </c>
      <c r="U74" s="425" t="str">
        <f>VLOOKUP(A74,'Diags Raw Data'!$A$6:$AH$3761,33,FALSE)</f>
        <v>WK6</v>
      </c>
      <c r="V74" s="181"/>
    </row>
    <row r="75" spans="1:22" ht="30.75" thickBot="1" x14ac:dyDescent="0.3">
      <c r="A75" s="530">
        <v>12.128</v>
      </c>
      <c r="B75" s="427" t="str">
        <f>VLOOKUP(A75,'Feature Raw Data'!$A$3:$B$3922,2,FALSE)</f>
        <v xml:space="preserve">Packet Hardening for Microsoft Telemetry </v>
      </c>
      <c r="C75" s="428" t="str">
        <f>VLOOKUP(A75,'Feature Raw Data'!$A$3:$C$3922,3,FALSE)</f>
        <v>P1</v>
      </c>
      <c r="D75" s="429" t="str" cm="1">
        <f t="array" ref="D75">_xlfn.TEXTJOIN("",TRUE,IF(ISNUMBER(SEARCH($A75,'Diags Raw Data'!$A$6:$A$3761)),CONCATENATE('Diags Raw Data'!$H$6:$H$3761,", "),""))</f>
        <v xml:space="preserve">placeholder_f.1, </v>
      </c>
      <c r="E75" s="340" t="str">
        <f>VLOOKUP(A75,'Diags Raw Data'!$A$6:$D$3761,4,FALSE)</f>
        <v>CTL</v>
      </c>
      <c r="F75" s="340" t="str">
        <f>VLOOKUP(A75,'Feature Raw Data'!$A$3:$E$3922,5,FALSE)</f>
        <v>New</v>
      </c>
      <c r="G75" s="340" t="str">
        <f t="shared" si="6"/>
        <v>Yes</v>
      </c>
      <c r="H75" s="340" t="str">
        <f t="shared" si="7"/>
        <v>Yes</v>
      </c>
      <c r="I75" s="428">
        <f>SUMIF('Diags Raw Data'!$A$6:$A$3761,"*"&amp;$A75&amp;"*",'Diags Raw Data'!$K$6:$K$3761)</f>
        <v>0</v>
      </c>
      <c r="J75" s="430">
        <f>SUMIF('Diags Raw Data'!$A$6:$A$3761,"*"&amp;$A75&amp;"*",'Diags Raw Data'!$L$6:$L$3761)</f>
        <v>0</v>
      </c>
      <c r="K75" s="468" t="e" cm="1">
        <f t="array" ref="K75">IF(D75="",0, SUMPRODUCT(--(ISNUMBER(SEARCH($A75,'Diags Raw Data'!$A$6:$A$3761))),'Diags Raw Data'!$L$6:$L$3761,'Diags Raw Data'!$N$6:$N$3761)/J75)</f>
        <v>#DIV/0!</v>
      </c>
      <c r="L75" s="469" t="e" cm="1">
        <f t="array" ref="L75">IF(D75="",0, SUMPRODUCT(--(ISNUMBER(SEARCH($A75,'Diags Raw Data'!$A$6:$A$3761))),'Diags Raw Data'!$L$6:$L$3761,'Diags Raw Data'!$P$6:$P$3761)/J75)</f>
        <v>#DIV/0!</v>
      </c>
      <c r="M75" s="470" cm="1">
        <f t="array" ref="M75">SUMPRODUCT(--(ISNUMBER(SEARCH($A75,'Diags Raw Data'!$A$6:$A$3761))),--('Diags Raw Data'!$Q$6:$Q$3761&lt;&gt;"N/A"),'Diags Raw Data'!$R$6:$R$3761)</f>
        <v>1</v>
      </c>
      <c r="N75" s="471" cm="1">
        <f t="array" ref="N75">SUMPRODUCT(--(ISNUMBER(SEARCH($A75,'Diags Raw Data'!$A$6:$A$3761))),--('Diags Raw Data'!$Q$6:$Q$3761&lt;&gt;"N/A"),'Diags Raw Data'!$T$6:$T$3761)+SUMPRODUCT(--(ISNUMBER(SEARCH($A75,'Diags Raw Data'!$A$6:$A$3761))),--('Diags Raw Data'!$Q$6:$Q$3761&lt;&gt;"N/A"),'Diags Raw Data'!$U$6:$U$3761)</f>
        <v>0</v>
      </c>
      <c r="O75" s="472">
        <f t="shared" si="11"/>
        <v>0</v>
      </c>
      <c r="P75" s="473">
        <f>SUMIF('Diags Raw Data'!$A$6:$A$3761,"*"&amp;$A75&amp;"*",'Diags Raw Data'!$Z$6:$Z$3761)</f>
        <v>0</v>
      </c>
      <c r="Q75" s="474">
        <f>SUM(SUMIF('Diags Raw Data'!$A$6:$A$3761,"*"&amp;$A75&amp;"*",'Diags Raw Data'!$AA$6:$AA$3761),SUMIF('Diags Raw Data'!$A$6:$A$3761,"*"&amp;$A75&amp;"*",'Diags Raw Data'!$AB$6:$AB$3761))</f>
        <v>0</v>
      </c>
      <c r="R75" s="475">
        <f t="shared" si="8"/>
        <v>0</v>
      </c>
      <c r="S75" s="475">
        <f t="shared" si="9"/>
        <v>0</v>
      </c>
      <c r="T75" s="476">
        <f t="shared" si="10"/>
        <v>0</v>
      </c>
      <c r="U75" s="425" t="str">
        <f>VLOOKUP(A75,'Diags Raw Data'!$A$6:$AH$3761,33,FALSE)</f>
        <v>WK5</v>
      </c>
      <c r="V75" s="181"/>
    </row>
    <row r="76" spans="1:22" ht="45.75" thickBot="1" x14ac:dyDescent="0.3">
      <c r="A76" s="530">
        <v>12.13</v>
      </c>
      <c r="B76" s="427" t="str">
        <f>VLOOKUP(A76,'Feature Raw Data'!$A$3:$B$3922,2,FALSE)</f>
        <v xml:space="preserve">add TCP out of order response support </v>
      </c>
      <c r="C76" s="428" t="str">
        <f>VLOOKUP(A76,'Feature Raw Data'!$A$3:$C$3922,3,FALSE)</f>
        <v>P1</v>
      </c>
      <c r="D76" s="429" t="str" cm="1">
        <f t="array" ref="D76">_xlfn.TEXTJOIN("",TRUE,IF(ISNUMBER(SEARCH($A76,'Diags Raw Data'!$A$6:$A$3761)),CONCATENATE('Diags Raw Data'!$H$6:$H$3761,", "),""))</f>
        <v xml:space="preserve">glxi85.1,+,std,test,+,glxi85.2, cpi400.0, cpi410.0, placeholder_r.1, spi1390,spi1391, </v>
      </c>
      <c r="E76" s="340" t="str">
        <f>VLOOKUP(A76,'Diags Raw Data'!$A$6:$D$3761,4,FALSE)</f>
        <v>CMM</v>
      </c>
      <c r="F76" s="340" t="str">
        <f>VLOOKUP(A76,'Feature Raw Data'!$A$3:$E$3922,5,FALSE)</f>
        <v>New</v>
      </c>
      <c r="G76" s="340" t="str">
        <f t="shared" si="6"/>
        <v>Yes</v>
      </c>
      <c r="H76" s="340" t="str">
        <f t="shared" si="7"/>
        <v>Yes</v>
      </c>
      <c r="I76" s="428">
        <f>SUMIF('Diags Raw Data'!$A$6:$A$3761,"*"&amp;$A76&amp;"*",'Diags Raw Data'!$K$6:$K$3761)</f>
        <v>0</v>
      </c>
      <c r="J76" s="430">
        <f>SUMIF('Diags Raw Data'!$A$6:$A$3761,"*"&amp;$A76&amp;"*",'Diags Raw Data'!$L$6:$L$3761)</f>
        <v>0</v>
      </c>
      <c r="K76" s="468" t="e" cm="1">
        <f t="array" ref="K76">IF(D76="",0, SUMPRODUCT(--(ISNUMBER(SEARCH($A76,'Diags Raw Data'!$A$6:$A$3761))),'Diags Raw Data'!$L$6:$L$3761,'Diags Raw Data'!$N$6:$N$3761)/J76)</f>
        <v>#DIV/0!</v>
      </c>
      <c r="L76" s="469" t="e" cm="1">
        <f t="array" ref="L76">IF(D76="",0, SUMPRODUCT(--(ISNUMBER(SEARCH($A76,'Diags Raw Data'!$A$6:$A$3761))),'Diags Raw Data'!$L$6:$L$3761,'Diags Raw Data'!$P$6:$P$3761)/J76)</f>
        <v>#DIV/0!</v>
      </c>
      <c r="M76" s="470" cm="1">
        <f t="array" ref="M76">SUMPRODUCT(--(ISNUMBER(SEARCH($A76,'Diags Raw Data'!$A$6:$A$3761))),--('Diags Raw Data'!$Q$6:$Q$3761&lt;&gt;"N/A"),'Diags Raw Data'!$R$6:$R$3761)</f>
        <v>7</v>
      </c>
      <c r="N76" s="471" cm="1">
        <f t="array" ref="N76">SUMPRODUCT(--(ISNUMBER(SEARCH($A76,'Diags Raw Data'!$A$6:$A$3761))),--('Diags Raw Data'!$Q$6:$Q$3761&lt;&gt;"N/A"),'Diags Raw Data'!$T$6:$T$3761)+SUMPRODUCT(--(ISNUMBER(SEARCH($A76,'Diags Raw Data'!$A$6:$A$3761))),--('Diags Raw Data'!$Q$6:$Q$3761&lt;&gt;"N/A"),'Diags Raw Data'!$U$6:$U$3761)</f>
        <v>2</v>
      </c>
      <c r="O76" s="472">
        <f t="shared" si="11"/>
        <v>0.2857142857142857</v>
      </c>
      <c r="P76" s="473">
        <f>SUMIF('Diags Raw Data'!$A$6:$A$3761,"*"&amp;$A76&amp;"*",'Diags Raw Data'!$Z$6:$Z$3761)</f>
        <v>0</v>
      </c>
      <c r="Q76" s="474">
        <f>SUM(SUMIF('Diags Raw Data'!$A$6:$A$3761,"*"&amp;$A76&amp;"*",'Diags Raw Data'!$AA$6:$AA$3761),SUMIF('Diags Raw Data'!$A$6:$A$3761,"*"&amp;$A76&amp;"*",'Diags Raw Data'!$AB$6:$AB$3761))</f>
        <v>0</v>
      </c>
      <c r="R76" s="475">
        <f t="shared" si="8"/>
        <v>0</v>
      </c>
      <c r="S76" s="475">
        <f t="shared" si="9"/>
        <v>0</v>
      </c>
      <c r="T76" s="476">
        <f t="shared" si="10"/>
        <v>0</v>
      </c>
      <c r="U76" s="425" t="str">
        <f>VLOOKUP(A76,'Diags Raw Data'!$A$6:$AH$3761,33,FALSE)</f>
        <v>WK4</v>
      </c>
      <c r="V76" s="181"/>
    </row>
    <row r="77" spans="1:22" ht="30.75" thickBot="1" x14ac:dyDescent="0.3">
      <c r="A77" s="530">
        <v>12.132</v>
      </c>
      <c r="B77" s="427" t="str">
        <f>VLOOKUP(A77,'Feature Raw Data'!$A$3:$B$3922,2,FALSE)</f>
        <v xml:space="preserve">CP/RLC/SDMA 40-bit Register Addressing to GRBM&lt;&gt;RSMU </v>
      </c>
      <c r="C77" s="428" t="str">
        <f>VLOOKUP(A77,'Feature Raw Data'!$A$3:$C$3922,3,FALSE)</f>
        <v>P1</v>
      </c>
      <c r="D77" s="429" t="str" cm="1">
        <f t="array" ref="D77">_xlfn.TEXTJOIN("",TRUE,IF(ISNUMBER(SEARCH($A77,'Diags Raw Data'!$A$6:$A$3761)),CONCATENATE('Diags Raw Data'!$H$6:$H$3761,", "),""))</f>
        <v xml:space="preserve">cpi400.0, </v>
      </c>
      <c r="E77" s="340" t="str">
        <f>VLOOKUP(A77,'Diags Raw Data'!$A$6:$D$3761,4,FALSE)</f>
        <v>CTL</v>
      </c>
      <c r="F77" s="340" t="str">
        <f>VLOOKUP(A77,'Feature Raw Data'!$A$3:$E$3922,5,FALSE)</f>
        <v>New</v>
      </c>
      <c r="G77" s="340" t="str">
        <f t="shared" si="6"/>
        <v>Yes</v>
      </c>
      <c r="H77" s="340" t="str">
        <f t="shared" si="7"/>
        <v>Yes</v>
      </c>
      <c r="I77" s="428">
        <f>SUMIF('Diags Raw Data'!$A$6:$A$3761,"*"&amp;$A77&amp;"*",'Diags Raw Data'!$K$6:$K$3761)</f>
        <v>0</v>
      </c>
      <c r="J77" s="430">
        <f>SUMIF('Diags Raw Data'!$A$6:$A$3761,"*"&amp;$A77&amp;"*",'Diags Raw Data'!$L$6:$L$3761)</f>
        <v>0</v>
      </c>
      <c r="K77" s="468" t="e" cm="1">
        <f t="array" ref="K77">IF(D77="",0, SUMPRODUCT(--(ISNUMBER(SEARCH($A77,'Diags Raw Data'!$A$6:$A$3761))),'Diags Raw Data'!$L$6:$L$3761,'Diags Raw Data'!$N$6:$N$3761)/J77)</f>
        <v>#DIV/0!</v>
      </c>
      <c r="L77" s="469" t="e" cm="1">
        <f t="array" ref="L77">IF(D77="",0, SUMPRODUCT(--(ISNUMBER(SEARCH($A77,'Diags Raw Data'!$A$6:$A$3761))),'Diags Raw Data'!$L$6:$L$3761,'Diags Raw Data'!$P$6:$P$3761)/J77)</f>
        <v>#DIV/0!</v>
      </c>
      <c r="M77" s="470" cm="1">
        <f t="array" ref="M77">SUMPRODUCT(--(ISNUMBER(SEARCH($A77,'Diags Raw Data'!$A$6:$A$3761))),--('Diags Raw Data'!$Q$6:$Q$3761&lt;&gt;"N/A"),'Diags Raw Data'!$R$6:$R$3761)</f>
        <v>2</v>
      </c>
      <c r="N77" s="471" cm="1">
        <f t="array" ref="N77">SUMPRODUCT(--(ISNUMBER(SEARCH($A77,'Diags Raw Data'!$A$6:$A$3761))),--('Diags Raw Data'!$Q$6:$Q$3761&lt;&gt;"N/A"),'Diags Raw Data'!$T$6:$T$3761)+SUMPRODUCT(--(ISNUMBER(SEARCH($A77,'Diags Raw Data'!$A$6:$A$3761))),--('Diags Raw Data'!$Q$6:$Q$3761&lt;&gt;"N/A"),'Diags Raw Data'!$U$6:$U$3761)</f>
        <v>0</v>
      </c>
      <c r="O77" s="472">
        <f t="shared" si="11"/>
        <v>0</v>
      </c>
      <c r="P77" s="473">
        <f>SUMIF('Diags Raw Data'!$A$6:$A$3761,"*"&amp;$A77&amp;"*",'Diags Raw Data'!$Z$6:$Z$3761)</f>
        <v>0</v>
      </c>
      <c r="Q77" s="474">
        <f>SUM(SUMIF('Diags Raw Data'!$A$6:$A$3761,"*"&amp;$A77&amp;"*",'Diags Raw Data'!$AA$6:$AA$3761),SUMIF('Diags Raw Data'!$A$6:$A$3761,"*"&amp;$A77&amp;"*",'Diags Raw Data'!$AB$6:$AB$3761))</f>
        <v>0</v>
      </c>
      <c r="R77" s="475">
        <f t="shared" si="8"/>
        <v>0</v>
      </c>
      <c r="S77" s="475">
        <f t="shared" si="9"/>
        <v>0</v>
      </c>
      <c r="T77" s="476">
        <f t="shared" si="10"/>
        <v>0</v>
      </c>
      <c r="U77" s="425" t="str">
        <f>VLOOKUP(A77,'Diags Raw Data'!$A$6:$AH$3761,33,FALSE)</f>
        <v>WK2</v>
      </c>
      <c r="V77" s="181"/>
    </row>
    <row r="78" spans="1:22" ht="45.75" thickBot="1" x14ac:dyDescent="0.3">
      <c r="A78" s="530">
        <v>12.132999999999999</v>
      </c>
      <c r="B78" s="427" t="str">
        <f>VLOOKUP(A78,'Feature Raw Data'!$A$3:$B$3922,2,FALSE)</f>
        <v xml:space="preserve">Removal of Clear State Context 0 and reclamation for rendering </v>
      </c>
      <c r="C78" s="428" t="str">
        <f>VLOOKUP(A78,'Feature Raw Data'!$A$3:$C$3922,3,FALSE)</f>
        <v>P1</v>
      </c>
      <c r="D78" s="429" t="str" cm="1">
        <f t="array" ref="D78">_xlfn.TEXTJOIN("",TRUE,IF(ISNUMBER(SEARCH($A78,'Diags Raw Data'!$A$6:$A$3761)),CONCATENATE('Diags Raw Data'!$H$6:$H$3761,", "),""))</f>
        <v xml:space="preserve">cpi410.0, </v>
      </c>
      <c r="E78" s="340" t="str">
        <f>VLOOKUP(A78,'Diags Raw Data'!$A$6:$D$3761,4,FALSE)</f>
        <v>CTL</v>
      </c>
      <c r="F78" s="340" t="str">
        <f>VLOOKUP(A78,'Feature Raw Data'!$A$3:$E$3922,5,FALSE)</f>
        <v>New</v>
      </c>
      <c r="G78" s="340" t="str">
        <f t="shared" si="6"/>
        <v>Yes</v>
      </c>
      <c r="H78" s="340" t="str">
        <f t="shared" si="7"/>
        <v>Yes</v>
      </c>
      <c r="I78" s="428">
        <f>SUMIF('Diags Raw Data'!$A$6:$A$3761,"*"&amp;$A78&amp;"*",'Diags Raw Data'!$K$6:$K$3761)</f>
        <v>0</v>
      </c>
      <c r="J78" s="430">
        <f>SUMIF('Diags Raw Data'!$A$6:$A$3761,"*"&amp;$A78&amp;"*",'Diags Raw Data'!$L$6:$L$3761)</f>
        <v>0</v>
      </c>
      <c r="K78" s="468" t="e" cm="1">
        <f t="array" ref="K78">IF(D78="",0, SUMPRODUCT(--(ISNUMBER(SEARCH($A78,'Diags Raw Data'!$A$6:$A$3761))),'Diags Raw Data'!$L$6:$L$3761,'Diags Raw Data'!$N$6:$N$3761)/J78)</f>
        <v>#DIV/0!</v>
      </c>
      <c r="L78" s="469" t="e" cm="1">
        <f t="array" ref="L78">IF(D78="",0, SUMPRODUCT(--(ISNUMBER(SEARCH($A78,'Diags Raw Data'!$A$6:$A$3761))),'Diags Raw Data'!$L$6:$L$3761,'Diags Raw Data'!$P$6:$P$3761)/J78)</f>
        <v>#DIV/0!</v>
      </c>
      <c r="M78" s="470" cm="1">
        <f t="array" ref="M78">SUMPRODUCT(--(ISNUMBER(SEARCH($A78,'Diags Raw Data'!$A$6:$A$3761))),--('Diags Raw Data'!$Q$6:$Q$3761&lt;&gt;"N/A"),'Diags Raw Data'!$R$6:$R$3761)</f>
        <v>1</v>
      </c>
      <c r="N78" s="471" cm="1">
        <f t="array" ref="N78">SUMPRODUCT(--(ISNUMBER(SEARCH($A78,'Diags Raw Data'!$A$6:$A$3761))),--('Diags Raw Data'!$Q$6:$Q$3761&lt;&gt;"N/A"),'Diags Raw Data'!$T$6:$T$3761)+SUMPRODUCT(--(ISNUMBER(SEARCH($A78,'Diags Raw Data'!$A$6:$A$3761))),--('Diags Raw Data'!$Q$6:$Q$3761&lt;&gt;"N/A"),'Diags Raw Data'!$U$6:$U$3761)</f>
        <v>0</v>
      </c>
      <c r="O78" s="472">
        <f t="shared" si="11"/>
        <v>0</v>
      </c>
      <c r="P78" s="473">
        <f>SUMIF('Diags Raw Data'!$A$6:$A$3761,"*"&amp;$A78&amp;"*",'Diags Raw Data'!$Z$6:$Z$3761)</f>
        <v>0</v>
      </c>
      <c r="Q78" s="474">
        <f>SUM(SUMIF('Diags Raw Data'!$A$6:$A$3761,"*"&amp;$A78&amp;"*",'Diags Raw Data'!$AA$6:$AA$3761),SUMIF('Diags Raw Data'!$A$6:$A$3761,"*"&amp;$A78&amp;"*",'Diags Raw Data'!$AB$6:$AB$3761))</f>
        <v>0</v>
      </c>
      <c r="R78" s="475">
        <f t="shared" si="8"/>
        <v>0</v>
      </c>
      <c r="S78" s="475">
        <f t="shared" si="9"/>
        <v>0</v>
      </c>
      <c r="T78" s="476">
        <f t="shared" si="10"/>
        <v>0</v>
      </c>
      <c r="U78" s="425" t="str">
        <f>VLOOKUP(A78,'Diags Raw Data'!$A$6:$AH$3761,33,FALSE)</f>
        <v>WK5</v>
      </c>
      <c r="V78" s="181"/>
    </row>
    <row r="79" spans="1:22" ht="15.75" thickBot="1" x14ac:dyDescent="0.3">
      <c r="A79" s="530">
        <v>12.134</v>
      </c>
      <c r="B79" s="427" t="str">
        <f>VLOOKUP(A79,'Feature Raw Data'!$A$3:$B$3922,2,FALSE)</f>
        <v xml:space="preserve">MES Handling Doorbell Misses </v>
      </c>
      <c r="C79" s="428" t="str">
        <f>VLOOKUP(A79,'Feature Raw Data'!$A$3:$C$3922,3,FALSE)</f>
        <v>P1</v>
      </c>
      <c r="D79" s="429" t="str" cm="1">
        <f t="array" ref="D79">_xlfn.TEXTJOIN("",TRUE,IF(ISNUMBER(SEARCH($A79,'Diags Raw Data'!$A$6:$A$3761)),CONCATENATE('Diags Raw Data'!$H$6:$H$3761,", "),""))</f>
        <v xml:space="preserve">placeholder_r.1, </v>
      </c>
      <c r="E79" s="340" t="str">
        <f>VLOOKUP(A79,'Diags Raw Data'!$A$6:$D$3761,4,FALSE)</f>
        <v>CTL</v>
      </c>
      <c r="F79" s="340" t="str">
        <f>VLOOKUP(A79,'Feature Raw Data'!$A$3:$E$3922,5,FALSE)</f>
        <v>New</v>
      </c>
      <c r="G79" s="340" t="str">
        <f t="shared" si="6"/>
        <v>Yes</v>
      </c>
      <c r="H79" s="340" t="str">
        <f t="shared" si="7"/>
        <v>Yes</v>
      </c>
      <c r="I79" s="428">
        <f>SUMIF('Diags Raw Data'!$A$6:$A$3761,"*"&amp;$A79&amp;"*",'Diags Raw Data'!$K$6:$K$3761)</f>
        <v>0</v>
      </c>
      <c r="J79" s="430">
        <f>SUMIF('Diags Raw Data'!$A$6:$A$3761,"*"&amp;$A79&amp;"*",'Diags Raw Data'!$L$6:$L$3761)</f>
        <v>0</v>
      </c>
      <c r="K79" s="468" t="e" cm="1">
        <f t="array" ref="K79">IF(D79="",0, SUMPRODUCT(--(ISNUMBER(SEARCH($A79,'Diags Raw Data'!$A$6:$A$3761))),'Diags Raw Data'!$L$6:$L$3761,'Diags Raw Data'!$N$6:$N$3761)/J79)</f>
        <v>#DIV/0!</v>
      </c>
      <c r="L79" s="469" t="e" cm="1">
        <f t="array" ref="L79">IF(D79="",0, SUMPRODUCT(--(ISNUMBER(SEARCH($A79,'Diags Raw Data'!$A$6:$A$3761))),'Diags Raw Data'!$L$6:$L$3761,'Diags Raw Data'!$P$6:$P$3761)/J79)</f>
        <v>#DIV/0!</v>
      </c>
      <c r="M79" s="470" cm="1">
        <f t="array" ref="M79">SUMPRODUCT(--(ISNUMBER(SEARCH($A79,'Diags Raw Data'!$A$6:$A$3761))),--('Diags Raw Data'!$Q$6:$Q$3761&lt;&gt;"N/A"),'Diags Raw Data'!$R$6:$R$3761)</f>
        <v>1</v>
      </c>
      <c r="N79" s="471" cm="1">
        <f t="array" ref="N79">SUMPRODUCT(--(ISNUMBER(SEARCH($A79,'Diags Raw Data'!$A$6:$A$3761))),--('Diags Raw Data'!$Q$6:$Q$3761&lt;&gt;"N/A"),'Diags Raw Data'!$T$6:$T$3761)+SUMPRODUCT(--(ISNUMBER(SEARCH($A79,'Diags Raw Data'!$A$6:$A$3761))),--('Diags Raw Data'!$Q$6:$Q$3761&lt;&gt;"N/A"),'Diags Raw Data'!$U$6:$U$3761)</f>
        <v>0</v>
      </c>
      <c r="O79" s="472">
        <f t="shared" si="11"/>
        <v>0</v>
      </c>
      <c r="P79" s="473">
        <f>SUMIF('Diags Raw Data'!$A$6:$A$3761,"*"&amp;$A79&amp;"*",'Diags Raw Data'!$Z$6:$Z$3761)</f>
        <v>0</v>
      </c>
      <c r="Q79" s="474">
        <f>SUM(SUMIF('Diags Raw Data'!$A$6:$A$3761,"*"&amp;$A79&amp;"*",'Diags Raw Data'!$AA$6:$AA$3761),SUMIF('Diags Raw Data'!$A$6:$A$3761,"*"&amp;$A79&amp;"*",'Diags Raw Data'!$AB$6:$AB$3761))</f>
        <v>0</v>
      </c>
      <c r="R79" s="475">
        <f t="shared" si="8"/>
        <v>0</v>
      </c>
      <c r="S79" s="475">
        <f t="shared" si="9"/>
        <v>0</v>
      </c>
      <c r="T79" s="476">
        <f t="shared" si="10"/>
        <v>0</v>
      </c>
      <c r="U79" s="425" t="str">
        <f>VLOOKUP(A79,'Diags Raw Data'!$A$6:$AH$3761,33,FALSE)</f>
        <v>WK5</v>
      </c>
      <c r="V79" s="181"/>
    </row>
    <row r="80" spans="1:22" ht="30.75" thickBot="1" x14ac:dyDescent="0.3">
      <c r="A80" s="530">
        <v>12.138999999999999</v>
      </c>
      <c r="B80" s="427" t="str">
        <f>VLOOKUP(A80,'Feature Raw Data'!$A$3:$B$3922,2,FALSE)</f>
        <v xml:space="preserve">Simplify software debugger register change process </v>
      </c>
      <c r="C80" s="428" t="str">
        <f>VLOOKUP(A80,'Feature Raw Data'!$A$3:$C$3922,3,FALSE)</f>
        <v>P1</v>
      </c>
      <c r="D80" s="429" t="str" cm="1">
        <f t="array" ref="D80">_xlfn.TEXTJOIN("",TRUE,IF(ISNUMBER(SEARCH($A80,'Diags Raw Data'!$A$6:$A$3761)),CONCATENATE('Diags Raw Data'!$H$6:$H$3761,", "),""))</f>
        <v xml:space="preserve">spi1390,spi1391, </v>
      </c>
      <c r="E80" s="340" t="str">
        <f>VLOOKUP(A80,'Diags Raw Data'!$A$6:$D$3761,4,FALSE)</f>
        <v>SIO</v>
      </c>
      <c r="F80" s="340" t="str">
        <f>VLOOKUP(A80,'Feature Raw Data'!$A$3:$E$3922,5,FALSE)</f>
        <v>New</v>
      </c>
      <c r="G80" s="340" t="str">
        <f t="shared" si="6"/>
        <v>Yes</v>
      </c>
      <c r="H80" s="340" t="str">
        <f t="shared" si="7"/>
        <v>Yes</v>
      </c>
      <c r="I80" s="428">
        <f>SUMIF('Diags Raw Data'!$A$6:$A$3761,"*"&amp;$A80&amp;"*",'Diags Raw Data'!$K$6:$K$3761)</f>
        <v>0</v>
      </c>
      <c r="J80" s="430">
        <f>SUMIF('Diags Raw Data'!$A$6:$A$3761,"*"&amp;$A80&amp;"*",'Diags Raw Data'!$L$6:$L$3761)</f>
        <v>0</v>
      </c>
      <c r="K80" s="468" t="e" cm="1">
        <f t="array" ref="K80">IF(D80="",0, SUMPRODUCT(--(ISNUMBER(SEARCH($A80,'Diags Raw Data'!$A$6:$A$3761))),'Diags Raw Data'!$L$6:$L$3761,'Diags Raw Data'!$N$6:$N$3761)/J80)</f>
        <v>#DIV/0!</v>
      </c>
      <c r="L80" s="469" t="e" cm="1">
        <f t="array" ref="L80">IF(D80="",0, SUMPRODUCT(--(ISNUMBER(SEARCH($A80,'Diags Raw Data'!$A$6:$A$3761))),'Diags Raw Data'!$L$6:$L$3761,'Diags Raw Data'!$P$6:$P$3761)/J80)</f>
        <v>#DIV/0!</v>
      </c>
      <c r="M80" s="470" cm="1">
        <f t="array" ref="M80">SUMPRODUCT(--(ISNUMBER(SEARCH($A80,'Diags Raw Data'!$A$6:$A$3761))),--('Diags Raw Data'!$Q$6:$Q$3761&lt;&gt;"N/A"),'Diags Raw Data'!$R$6:$R$3761)</f>
        <v>2</v>
      </c>
      <c r="N80" s="471" cm="1">
        <f t="array" ref="N80">SUMPRODUCT(--(ISNUMBER(SEARCH($A80,'Diags Raw Data'!$A$6:$A$3761))),--('Diags Raw Data'!$Q$6:$Q$3761&lt;&gt;"N/A"),'Diags Raw Data'!$T$6:$T$3761)+SUMPRODUCT(--(ISNUMBER(SEARCH($A80,'Diags Raw Data'!$A$6:$A$3761))),--('Diags Raw Data'!$Q$6:$Q$3761&lt;&gt;"N/A"),'Diags Raw Data'!$U$6:$U$3761)</f>
        <v>2</v>
      </c>
      <c r="O80" s="472">
        <f t="shared" si="11"/>
        <v>1</v>
      </c>
      <c r="P80" s="473">
        <f>SUMIF('Diags Raw Data'!$A$6:$A$3761,"*"&amp;$A80&amp;"*",'Diags Raw Data'!$Z$6:$Z$3761)</f>
        <v>0</v>
      </c>
      <c r="Q80" s="474">
        <f>SUM(SUMIF('Diags Raw Data'!$A$6:$A$3761,"*"&amp;$A80&amp;"*",'Diags Raw Data'!$AA$6:$AA$3761),SUMIF('Diags Raw Data'!$A$6:$A$3761,"*"&amp;$A80&amp;"*",'Diags Raw Data'!$AB$6:$AB$3761))</f>
        <v>0</v>
      </c>
      <c r="R80" s="475">
        <f t="shared" si="8"/>
        <v>0</v>
      </c>
      <c r="S80" s="475">
        <f t="shared" si="9"/>
        <v>0</v>
      </c>
      <c r="T80" s="476">
        <f t="shared" si="10"/>
        <v>0</v>
      </c>
      <c r="U80" s="425" t="str">
        <f>VLOOKUP(A80,'Diags Raw Data'!$A$6:$AH$3761,33,FALSE)</f>
        <v>WK4</v>
      </c>
      <c r="V80" s="181"/>
    </row>
    <row r="81" spans="1:22" ht="150.75" thickBot="1" x14ac:dyDescent="0.3">
      <c r="A81" s="530">
        <v>12.141999999999999</v>
      </c>
      <c r="B81" s="427" t="str">
        <f>VLOOKUP(A81,'Feature Raw Data'!$A$3:$B$3922,2,FALSE)</f>
        <v xml:space="preserve">Double shader DOT Int4 and Int8 rates </v>
      </c>
      <c r="C81" s="428" t="str">
        <f>VLOOKUP(A81,'Feature Raw Data'!$A$3:$C$3922,3,FALSE)</f>
        <v>P1</v>
      </c>
      <c r="D81" s="429" t="str" cm="1">
        <f t="array" ref="D81">_xlfn.TEXTJOIN("",TRUE,IF(ISNUMBER(SEARCH($A81,'Diags Raw Data'!$A$6:$A$3761)),CONCATENATE('Diags Raw Data'!$H$6:$H$3761,", "),""))</f>
        <v xml:space="preserve">gfx.inst_perf/v_dot4_i32_iu8,gfx.inst_perf/v_dot4_u32_u8,gfx.inst_perf/v_dot8_i32_iu4,gfx.inst_perf/v_dot8_u32_u4,gfx.inst_perf/v_wmma_i32_16x16x16_iu4,gfx.inst_perf/v_wmma_i32_16x16x32_iu4,gfx.inst_perf/v_wmma_i32_16x16x16_iu8, </v>
      </c>
      <c r="E81" s="340" t="str">
        <f>VLOOKUP(A81,'Diags Raw Data'!$A$6:$D$3761,4,FALSE)</f>
        <v>SH</v>
      </c>
      <c r="F81" s="340" t="str">
        <f>VLOOKUP(A81,'Feature Raw Data'!$A$3:$E$3922,5,FALSE)</f>
        <v>Delta</v>
      </c>
      <c r="G81" s="340" t="str">
        <f t="shared" si="6"/>
        <v>Yes</v>
      </c>
      <c r="H81" s="340" t="str">
        <f t="shared" si="7"/>
        <v>Yes</v>
      </c>
      <c r="I81" s="428">
        <f>SUMIF('Diags Raw Data'!$A$6:$A$3761,"*"&amp;$A81&amp;"*",'Diags Raw Data'!$K$6:$K$3761)</f>
        <v>0</v>
      </c>
      <c r="J81" s="430">
        <f>SUMIF('Diags Raw Data'!$A$6:$A$3761,"*"&amp;$A81&amp;"*",'Diags Raw Data'!$L$6:$L$3761)</f>
        <v>0</v>
      </c>
      <c r="K81" s="468" t="e" cm="1">
        <f t="array" ref="K81">IF(D81="",0, SUMPRODUCT(--(ISNUMBER(SEARCH($A81,'Diags Raw Data'!$A$6:$A$3761))),'Diags Raw Data'!$L$6:$L$3761,'Diags Raw Data'!$N$6:$N$3761)/J81)</f>
        <v>#DIV/0!</v>
      </c>
      <c r="L81" s="469" t="e" cm="1">
        <f t="array" ref="L81">IF(D81="",0, SUMPRODUCT(--(ISNUMBER(SEARCH($A81,'Diags Raw Data'!$A$6:$A$3761))),'Diags Raw Data'!$L$6:$L$3761,'Diags Raw Data'!$P$6:$P$3761)/J81)</f>
        <v>#DIV/0!</v>
      </c>
      <c r="M81" s="470" cm="1">
        <f t="array" ref="M81">SUMPRODUCT(--(ISNUMBER(SEARCH($A81,'Diags Raw Data'!$A$6:$A$3761))),--('Diags Raw Data'!$Q$6:$Q$3761&lt;&gt;"N/A"),'Diags Raw Data'!$R$6:$R$3761)</f>
        <v>7</v>
      </c>
      <c r="N81" s="471" cm="1">
        <f t="array" ref="N81">SUMPRODUCT(--(ISNUMBER(SEARCH($A81,'Diags Raw Data'!$A$6:$A$3761))),--('Diags Raw Data'!$Q$6:$Q$3761&lt;&gt;"N/A"),'Diags Raw Data'!$T$6:$T$3761)+SUMPRODUCT(--(ISNUMBER(SEARCH($A81,'Diags Raw Data'!$A$6:$A$3761))),--('Diags Raw Data'!$Q$6:$Q$3761&lt;&gt;"N/A"),'Diags Raw Data'!$U$6:$U$3761)</f>
        <v>7</v>
      </c>
      <c r="O81" s="472">
        <f t="shared" si="11"/>
        <v>1</v>
      </c>
      <c r="P81" s="473">
        <f>SUMIF('Diags Raw Data'!$A$6:$A$3761,"*"&amp;$A81&amp;"*",'Diags Raw Data'!$Z$6:$Z$3761)</f>
        <v>0</v>
      </c>
      <c r="Q81" s="474">
        <f>SUM(SUMIF('Diags Raw Data'!$A$6:$A$3761,"*"&amp;$A81&amp;"*",'Diags Raw Data'!$AA$6:$AA$3761),SUMIF('Diags Raw Data'!$A$6:$A$3761,"*"&amp;$A81&amp;"*",'Diags Raw Data'!$AB$6:$AB$3761))</f>
        <v>0</v>
      </c>
      <c r="R81" s="475">
        <f t="shared" si="8"/>
        <v>0</v>
      </c>
      <c r="S81" s="475">
        <f t="shared" si="9"/>
        <v>0</v>
      </c>
      <c r="T81" s="476">
        <f t="shared" si="10"/>
        <v>0</v>
      </c>
      <c r="U81" s="425" t="str">
        <f>VLOOKUP(A81,'Diags Raw Data'!$A$6:$AH$3761,33,FALSE)</f>
        <v>WK1</v>
      </c>
      <c r="V81" s="181"/>
    </row>
    <row r="82" spans="1:22" ht="30.75" thickBot="1" x14ac:dyDescent="0.3">
      <c r="A82" s="530">
        <v>12.143000000000001</v>
      </c>
      <c r="B82" s="427" t="str">
        <f>VLOOKUP(A82,'Feature Raw Data'!$A$3:$B$3922,2,FALSE)</f>
        <v xml:space="preserve">Remove SA Affinity for Pixel Shaders </v>
      </c>
      <c r="C82" s="428" t="str">
        <f>VLOOKUP(A82,'Feature Raw Data'!$A$3:$C$3922,3,FALSE)</f>
        <v>P1</v>
      </c>
      <c r="D82" s="429" t="str" cm="1">
        <f t="array" ref="D82">_xlfn.TEXTJOIN("",TRUE,IF(ISNUMBER(SEARCH($A82,'Diags Raw Data'!$A$6:$A$3761)),CONCATENATE('Diags Raw Data'!$H$6:$H$3761,", "),""))</f>
        <v/>
      </c>
      <c r="E82" s="340" t="e">
        <f>VLOOKUP(A82,'Diags Raw Data'!$A$6:$D$3761,4,FALSE)</f>
        <v>#N/A</v>
      </c>
      <c r="F82" s="340" t="str">
        <f>VLOOKUP(A82,'Feature Raw Data'!$A$3:$E$3922,5,FALSE)</f>
        <v>New</v>
      </c>
      <c r="G82" s="340" t="str">
        <f t="shared" si="6"/>
        <v>Yes</v>
      </c>
      <c r="H82" s="340" t="str">
        <f t="shared" si="7"/>
        <v>Yes</v>
      </c>
      <c r="I82" s="428">
        <f>SUMIF('Diags Raw Data'!$A$6:$A$3761,"*"&amp;$A82&amp;"*",'Diags Raw Data'!$K$6:$K$3761)</f>
        <v>0</v>
      </c>
      <c r="J82" s="430">
        <f>SUMIF('Diags Raw Data'!$A$6:$A$3761,"*"&amp;$A82&amp;"*",'Diags Raw Data'!$L$6:$L$3761)</f>
        <v>0</v>
      </c>
      <c r="K82" s="468" cm="1">
        <f t="array" ref="K82">IF(D82="",0, SUMPRODUCT(--(ISNUMBER(SEARCH($A82,'Diags Raw Data'!$A$6:$A$3761))),'Diags Raw Data'!$L$6:$L$3761,'Diags Raw Data'!$N$6:$N$3761)/J82)</f>
        <v>0</v>
      </c>
      <c r="L82" s="469" cm="1">
        <f t="array" ref="L82">IF(D82="",0, SUMPRODUCT(--(ISNUMBER(SEARCH($A82,'Diags Raw Data'!$A$6:$A$3761))),'Diags Raw Data'!$L$6:$L$3761,'Diags Raw Data'!$P$6:$P$3761)/J82)</f>
        <v>0</v>
      </c>
      <c r="M82" s="470" cm="1">
        <f t="array" ref="M82">SUMPRODUCT(--(ISNUMBER(SEARCH($A82,'Diags Raw Data'!$A$6:$A$3761))),--('Diags Raw Data'!$Q$6:$Q$3761&lt;&gt;"N/A"),'Diags Raw Data'!$R$6:$R$3761)</f>
        <v>0</v>
      </c>
      <c r="N82" s="471" cm="1">
        <f t="array" ref="N82">SUMPRODUCT(--(ISNUMBER(SEARCH($A82,'Diags Raw Data'!$A$6:$A$3761))),--('Diags Raw Data'!$Q$6:$Q$3761&lt;&gt;"N/A"),'Diags Raw Data'!$T$6:$T$3761)+SUMPRODUCT(--(ISNUMBER(SEARCH($A82,'Diags Raw Data'!$A$6:$A$3761))),--('Diags Raw Data'!$Q$6:$Q$3761&lt;&gt;"N/A"),'Diags Raw Data'!$U$6:$U$3761)</f>
        <v>0</v>
      </c>
      <c r="O82" s="472">
        <f t="shared" si="11"/>
        <v>0</v>
      </c>
      <c r="P82" s="473">
        <f>SUMIF('Diags Raw Data'!$A$6:$A$3761,"*"&amp;$A82&amp;"*",'Diags Raw Data'!$Z$6:$Z$3761)</f>
        <v>0</v>
      </c>
      <c r="Q82" s="474">
        <f>SUM(SUMIF('Diags Raw Data'!$A$6:$A$3761,"*"&amp;$A82&amp;"*",'Diags Raw Data'!$AA$6:$AA$3761),SUMIF('Diags Raw Data'!$A$6:$A$3761,"*"&amp;$A82&amp;"*",'Diags Raw Data'!$AB$6:$AB$3761))</f>
        <v>0</v>
      </c>
      <c r="R82" s="475">
        <f t="shared" si="8"/>
        <v>0</v>
      </c>
      <c r="S82" s="475">
        <f t="shared" si="9"/>
        <v>0</v>
      </c>
      <c r="T82" s="476">
        <f t="shared" si="10"/>
        <v>0</v>
      </c>
      <c r="U82" s="425" t="e">
        <f>VLOOKUP(A82,'Diags Raw Data'!$A$6:$AH$3761,33,FALSE)</f>
        <v>#N/A</v>
      </c>
      <c r="V82" s="535" t="s">
        <v>376</v>
      </c>
    </row>
    <row r="83" spans="1:22" ht="15.75" thickBot="1" x14ac:dyDescent="0.3">
      <c r="A83" s="530">
        <v>12.146000000000001</v>
      </c>
      <c r="B83" s="427" t="str">
        <f>VLOOKUP(A83,'Feature Raw Data'!$A$3:$B$3922,2,FALSE)</f>
        <v xml:space="preserve">RS64 L0 Instr Cache </v>
      </c>
      <c r="C83" s="428" t="str">
        <f>VLOOKUP(A83,'Feature Raw Data'!$A$3:$C$3922,3,FALSE)</f>
        <v>P1</v>
      </c>
      <c r="D83" s="429" t="str" cm="1">
        <f t="array" ref="D83">_xlfn.TEXTJOIN("",TRUE,IF(ISNUMBER(SEARCH($A83,'Diags Raw Data'!$A$6:$A$3761)),CONCATENATE('Diags Raw Data'!$H$6:$H$3761,", "),""))</f>
        <v xml:space="preserve">std1.1,gci30.4, </v>
      </c>
      <c r="E83" s="340" t="str">
        <f>VLOOKUP(A83,'Diags Raw Data'!$A$6:$D$3761,4,FALSE)</f>
        <v>CTL</v>
      </c>
      <c r="F83" s="340" t="str">
        <f>VLOOKUP(A83,'Feature Raw Data'!$A$3:$E$3922,5,FALSE)</f>
        <v>New</v>
      </c>
      <c r="G83" s="340" t="str">
        <f t="shared" si="6"/>
        <v>Yes</v>
      </c>
      <c r="H83" s="340" t="str">
        <f t="shared" si="7"/>
        <v>Yes</v>
      </c>
      <c r="I83" s="428">
        <f>SUMIF('Diags Raw Data'!$A$6:$A$3761,"*"&amp;$A83&amp;"*",'Diags Raw Data'!$K$6:$K$3761)</f>
        <v>0</v>
      </c>
      <c r="J83" s="430">
        <f>SUMIF('Diags Raw Data'!$A$6:$A$3761,"*"&amp;$A83&amp;"*",'Diags Raw Data'!$L$6:$L$3761)</f>
        <v>0</v>
      </c>
      <c r="K83" s="468" t="e" cm="1">
        <f t="array" ref="K83">IF(D83="",0, SUMPRODUCT(--(ISNUMBER(SEARCH($A83,'Diags Raw Data'!$A$6:$A$3761))),'Diags Raw Data'!$L$6:$L$3761,'Diags Raw Data'!$N$6:$N$3761)/J83)</f>
        <v>#DIV/0!</v>
      </c>
      <c r="L83" s="469" t="e" cm="1">
        <f t="array" ref="L83">IF(D83="",0, SUMPRODUCT(--(ISNUMBER(SEARCH($A83,'Diags Raw Data'!$A$6:$A$3761))),'Diags Raw Data'!$L$6:$L$3761,'Diags Raw Data'!$P$6:$P$3761)/J83)</f>
        <v>#DIV/0!</v>
      </c>
      <c r="M83" s="470" cm="1">
        <f t="array" ref="M83">SUMPRODUCT(--(ISNUMBER(SEARCH($A83,'Diags Raw Data'!$A$6:$A$3761))),--('Diags Raw Data'!$Q$6:$Q$3761&lt;&gt;"N/A"),'Diags Raw Data'!$R$6:$R$3761)</f>
        <v>2</v>
      </c>
      <c r="N83" s="471" cm="1">
        <f t="array" ref="N83">SUMPRODUCT(--(ISNUMBER(SEARCH($A83,'Diags Raw Data'!$A$6:$A$3761))),--('Diags Raw Data'!$Q$6:$Q$3761&lt;&gt;"N/A"),'Diags Raw Data'!$T$6:$T$3761)+SUMPRODUCT(--(ISNUMBER(SEARCH($A83,'Diags Raw Data'!$A$6:$A$3761))),--('Diags Raw Data'!$Q$6:$Q$3761&lt;&gt;"N/A"),'Diags Raw Data'!$U$6:$U$3761)</f>
        <v>1</v>
      </c>
      <c r="O83" s="472">
        <f t="shared" si="11"/>
        <v>0.5</v>
      </c>
      <c r="P83" s="473">
        <f>SUMIF('Diags Raw Data'!$A$6:$A$3761,"*"&amp;$A83&amp;"*",'Diags Raw Data'!$Z$6:$Z$3761)</f>
        <v>0</v>
      </c>
      <c r="Q83" s="474">
        <f>SUM(SUMIF('Diags Raw Data'!$A$6:$A$3761,"*"&amp;$A83&amp;"*",'Diags Raw Data'!$AA$6:$AA$3761),SUMIF('Diags Raw Data'!$A$6:$A$3761,"*"&amp;$A83&amp;"*",'Diags Raw Data'!$AB$6:$AB$3761))</f>
        <v>0</v>
      </c>
      <c r="R83" s="475">
        <f t="shared" si="8"/>
        <v>0</v>
      </c>
      <c r="S83" s="475">
        <f t="shared" si="9"/>
        <v>0</v>
      </c>
      <c r="T83" s="476">
        <f t="shared" si="10"/>
        <v>0</v>
      </c>
      <c r="U83" s="425" t="str">
        <f>VLOOKUP(A83,'Diags Raw Data'!$A$6:$AH$3761,33,FALSE)</f>
        <v>WK5</v>
      </c>
      <c r="V83" s="181"/>
    </row>
    <row r="84" spans="1:22" ht="15.75" thickBot="1" x14ac:dyDescent="0.3">
      <c r="A84" s="530">
        <v>12.148</v>
      </c>
      <c r="B84" s="427" t="str">
        <f>VLOOKUP(A84,'Feature Raw Data'!$A$3:$B$3922,2,FALSE)</f>
        <v xml:space="preserve">RS64 L0 Data Cache </v>
      </c>
      <c r="C84" s="428" t="str">
        <f>VLOOKUP(A84,'Feature Raw Data'!$A$3:$C$3922,3,FALSE)</f>
        <v>P1</v>
      </c>
      <c r="D84" s="429" t="str" cm="1">
        <f t="array" ref="D84">_xlfn.TEXTJOIN("",TRUE,IF(ISNUMBER(SEARCH($A84,'Diags Raw Data'!$A$6:$A$3761)),CONCATENATE('Diags Raw Data'!$H$6:$H$3761,", "),""))</f>
        <v xml:space="preserve">std1.1,gci30.4, </v>
      </c>
      <c r="E84" s="340" t="str">
        <f>VLOOKUP(A84,'Diags Raw Data'!$A$6:$D$3761,4,FALSE)</f>
        <v>CTL</v>
      </c>
      <c r="F84" s="340" t="str">
        <f>VLOOKUP(A84,'Feature Raw Data'!$A$3:$E$3922,5,FALSE)</f>
        <v>New</v>
      </c>
      <c r="G84" s="340" t="str">
        <f t="shared" si="6"/>
        <v>Yes</v>
      </c>
      <c r="H84" s="340" t="str">
        <f t="shared" si="7"/>
        <v>Yes</v>
      </c>
      <c r="I84" s="428">
        <f>SUMIF('Diags Raw Data'!$A$6:$A$3761,"*"&amp;$A84&amp;"*",'Diags Raw Data'!$K$6:$K$3761)</f>
        <v>0</v>
      </c>
      <c r="J84" s="430">
        <f>SUMIF('Diags Raw Data'!$A$6:$A$3761,"*"&amp;$A84&amp;"*",'Diags Raw Data'!$L$6:$L$3761)</f>
        <v>0</v>
      </c>
      <c r="K84" s="468" t="e" cm="1">
        <f t="array" ref="K84">IF(D84="",0, SUMPRODUCT(--(ISNUMBER(SEARCH($A84,'Diags Raw Data'!$A$6:$A$3761))),'Diags Raw Data'!$L$6:$L$3761,'Diags Raw Data'!$N$6:$N$3761)/J84)</f>
        <v>#DIV/0!</v>
      </c>
      <c r="L84" s="469" t="e" cm="1">
        <f t="array" ref="L84">IF(D84="",0, SUMPRODUCT(--(ISNUMBER(SEARCH($A84,'Diags Raw Data'!$A$6:$A$3761))),'Diags Raw Data'!$L$6:$L$3761,'Diags Raw Data'!$P$6:$P$3761)/J84)</f>
        <v>#DIV/0!</v>
      </c>
      <c r="M84" s="470" cm="1">
        <f t="array" ref="M84">SUMPRODUCT(--(ISNUMBER(SEARCH($A84,'Diags Raw Data'!$A$6:$A$3761))),--('Diags Raw Data'!$Q$6:$Q$3761&lt;&gt;"N/A"),'Diags Raw Data'!$R$6:$R$3761)</f>
        <v>2</v>
      </c>
      <c r="N84" s="471" cm="1">
        <f t="array" ref="N84">SUMPRODUCT(--(ISNUMBER(SEARCH($A84,'Diags Raw Data'!$A$6:$A$3761))),--('Diags Raw Data'!$Q$6:$Q$3761&lt;&gt;"N/A"),'Diags Raw Data'!$T$6:$T$3761)+SUMPRODUCT(--(ISNUMBER(SEARCH($A84,'Diags Raw Data'!$A$6:$A$3761))),--('Diags Raw Data'!$Q$6:$Q$3761&lt;&gt;"N/A"),'Diags Raw Data'!$U$6:$U$3761)</f>
        <v>1</v>
      </c>
      <c r="O84" s="472">
        <f t="shared" si="11"/>
        <v>0.5</v>
      </c>
      <c r="P84" s="473">
        <f>SUMIF('Diags Raw Data'!$A$6:$A$3761,"*"&amp;$A84&amp;"*",'Diags Raw Data'!$Z$6:$Z$3761)</f>
        <v>0</v>
      </c>
      <c r="Q84" s="474">
        <f>SUM(SUMIF('Diags Raw Data'!$A$6:$A$3761,"*"&amp;$A84&amp;"*",'Diags Raw Data'!$AA$6:$AA$3761),SUMIF('Diags Raw Data'!$A$6:$A$3761,"*"&amp;$A84&amp;"*",'Diags Raw Data'!$AB$6:$AB$3761))</f>
        <v>0</v>
      </c>
      <c r="R84" s="475">
        <f t="shared" si="8"/>
        <v>0</v>
      </c>
      <c r="S84" s="475">
        <f t="shared" si="9"/>
        <v>0</v>
      </c>
      <c r="T84" s="476">
        <f t="shared" si="10"/>
        <v>0</v>
      </c>
      <c r="U84" s="425" t="str">
        <f>VLOOKUP(A84,'Diags Raw Data'!$A$6:$AH$3761,33,FALSE)</f>
        <v>WK5</v>
      </c>
      <c r="V84" s="181"/>
    </row>
    <row r="85" spans="1:22" ht="30.75" thickBot="1" x14ac:dyDescent="0.3">
      <c r="A85" s="530">
        <v>12.15</v>
      </c>
      <c r="B85" s="427" t="str">
        <f>VLOOKUP(A85,'Feature Raw Data'!$A$3:$B$3922,2,FALSE)</f>
        <v xml:space="preserve">RS64 Bit Manip Instructions </v>
      </c>
      <c r="C85" s="428" t="str">
        <f>VLOOKUP(A85,'Feature Raw Data'!$A$3:$C$3922,3,FALSE)</f>
        <v>P1</v>
      </c>
      <c r="D85" s="429" t="str" cm="1">
        <f t="array" ref="D85">_xlfn.TEXTJOIN("",TRUE,IF(ISNUMBER(SEARCH($A85,'Diags Raw Data'!$A$6:$A$3761)),CONCATENATE('Diags Raw Data'!$H$6:$H$3761,", "),""))</f>
        <v xml:space="preserve">gci3.12, gfx.inst_perf/v_s_.*, shci2038.0-3,shci2038.104, </v>
      </c>
      <c r="E85" s="340" t="str">
        <f>VLOOKUP(A85,'Diags Raw Data'!$A$6:$D$3761,4,FALSE)</f>
        <v>CTL</v>
      </c>
      <c r="F85" s="340" t="str">
        <f>VLOOKUP(A85,'Feature Raw Data'!$A$3:$E$3922,5,FALSE)</f>
        <v>New</v>
      </c>
      <c r="G85" s="340" t="str">
        <f t="shared" si="6"/>
        <v>Yes</v>
      </c>
      <c r="H85" s="340" t="str">
        <f t="shared" si="7"/>
        <v>Yes</v>
      </c>
      <c r="I85" s="428">
        <f>SUMIF('Diags Raw Data'!$A$6:$A$3761,"*"&amp;$A85&amp;"*",'Diags Raw Data'!$K$6:$K$3761)</f>
        <v>0</v>
      </c>
      <c r="J85" s="430">
        <f>SUMIF('Diags Raw Data'!$A$6:$A$3761,"*"&amp;$A85&amp;"*",'Diags Raw Data'!$L$6:$L$3761)</f>
        <v>0</v>
      </c>
      <c r="K85" s="468" t="e" cm="1">
        <f t="array" ref="K85">IF(D85="",0, SUMPRODUCT(--(ISNUMBER(SEARCH($A85,'Diags Raw Data'!$A$6:$A$3761))),'Diags Raw Data'!$L$6:$L$3761,'Diags Raw Data'!$N$6:$N$3761)/J85)</f>
        <v>#DIV/0!</v>
      </c>
      <c r="L85" s="469" t="e" cm="1">
        <f t="array" ref="L85">IF(D85="",0, SUMPRODUCT(--(ISNUMBER(SEARCH($A85,'Diags Raw Data'!$A$6:$A$3761))),'Diags Raw Data'!$L$6:$L$3761,'Diags Raw Data'!$P$6:$P$3761)/J85)</f>
        <v>#DIV/0!</v>
      </c>
      <c r="M85" s="470" cm="1">
        <f t="array" ref="M85">SUMPRODUCT(--(ISNUMBER(SEARCH($A85,'Diags Raw Data'!$A$6:$A$3761))),--('Diags Raw Data'!$Q$6:$Q$3761&lt;&gt;"N/A"),'Diags Raw Data'!$R$6:$R$3761)</f>
        <v>16</v>
      </c>
      <c r="N85" s="471" cm="1">
        <f t="array" ref="N85">SUMPRODUCT(--(ISNUMBER(SEARCH($A85,'Diags Raw Data'!$A$6:$A$3761))),--('Diags Raw Data'!$Q$6:$Q$3761&lt;&gt;"N/A"),'Diags Raw Data'!$T$6:$T$3761)+SUMPRODUCT(--(ISNUMBER(SEARCH($A85,'Diags Raw Data'!$A$6:$A$3761))),--('Diags Raw Data'!$Q$6:$Q$3761&lt;&gt;"N/A"),'Diags Raw Data'!$U$6:$U$3761)</f>
        <v>16</v>
      </c>
      <c r="O85" s="472">
        <f t="shared" si="11"/>
        <v>1</v>
      </c>
      <c r="P85" s="473">
        <f>SUMIF('Diags Raw Data'!$A$6:$A$3761,"*"&amp;$A85&amp;"*",'Diags Raw Data'!$Z$6:$Z$3761)</f>
        <v>0</v>
      </c>
      <c r="Q85" s="474">
        <f>SUM(SUMIF('Diags Raw Data'!$A$6:$A$3761,"*"&amp;$A85&amp;"*",'Diags Raw Data'!$AA$6:$AA$3761),SUMIF('Diags Raw Data'!$A$6:$A$3761,"*"&amp;$A85&amp;"*",'Diags Raw Data'!$AB$6:$AB$3761))</f>
        <v>0</v>
      </c>
      <c r="R85" s="475">
        <f t="shared" si="8"/>
        <v>0</v>
      </c>
      <c r="S85" s="475">
        <f t="shared" si="9"/>
        <v>0</v>
      </c>
      <c r="T85" s="476">
        <f t="shared" si="10"/>
        <v>0</v>
      </c>
      <c r="U85" s="425" t="str">
        <f>VLOOKUP(A85,'Diags Raw Data'!$A$6:$AH$3761,33,FALSE)</f>
        <v>WK5</v>
      </c>
      <c r="V85" s="181"/>
    </row>
    <row r="86" spans="1:22" ht="15.75" thickBot="1" x14ac:dyDescent="0.3">
      <c r="A86" s="530">
        <v>12.151999999999999</v>
      </c>
      <c r="B86" s="427" t="str">
        <f>VLOOKUP(A86,'Feature Raw Data'!$A$3:$B$3922,2,FALSE)</f>
        <v>RS64 Dynamic TMR Loading</v>
      </c>
      <c r="C86" s="428" t="str">
        <f>VLOOKUP(A86,'Feature Raw Data'!$A$3:$C$3922,3,FALSE)</f>
        <v>P1</v>
      </c>
      <c r="D86" s="429" t="str" cm="1">
        <f t="array" ref="D86">_xlfn.TEXTJOIN("",TRUE,IF(ISNUMBER(SEARCH($A86,'Diags Raw Data'!$A$6:$A$3761)),CONCATENATE('Diags Raw Data'!$H$6:$H$3761,", "),""))</f>
        <v/>
      </c>
      <c r="E86" s="340" t="e">
        <f>VLOOKUP(A86,'Diags Raw Data'!$A$6:$D$3761,4,FALSE)</f>
        <v>#N/A</v>
      </c>
      <c r="F86" s="340" t="str">
        <f>VLOOKUP(A86,'Feature Raw Data'!$A$3:$E$3922,5,FALSE)</f>
        <v>New</v>
      </c>
      <c r="G86" s="340" t="str">
        <f t="shared" si="6"/>
        <v>Yes</v>
      </c>
      <c r="H86" s="340" t="str">
        <f t="shared" si="7"/>
        <v>Yes</v>
      </c>
      <c r="I86" s="428">
        <f>SUMIF('Diags Raw Data'!$A$6:$A$3761,"*"&amp;$A86&amp;"*",'Diags Raw Data'!$K$6:$K$3761)</f>
        <v>0</v>
      </c>
      <c r="J86" s="430">
        <f>SUMIF('Diags Raw Data'!$A$6:$A$3761,"*"&amp;$A86&amp;"*",'Diags Raw Data'!$L$6:$L$3761)</f>
        <v>0</v>
      </c>
      <c r="K86" s="468" cm="1">
        <f t="array" ref="K86">IF(D86="",0, SUMPRODUCT(--(ISNUMBER(SEARCH($A86,'Diags Raw Data'!$A$6:$A$3761))),'Diags Raw Data'!$L$6:$L$3761,'Diags Raw Data'!$N$6:$N$3761)/J86)</f>
        <v>0</v>
      </c>
      <c r="L86" s="469" cm="1">
        <f t="array" ref="L86">IF(D86="",0, SUMPRODUCT(--(ISNUMBER(SEARCH($A86,'Diags Raw Data'!$A$6:$A$3761))),'Diags Raw Data'!$L$6:$L$3761,'Diags Raw Data'!$P$6:$P$3761)/J86)</f>
        <v>0</v>
      </c>
      <c r="M86" s="470" cm="1">
        <f t="array" ref="M86">SUMPRODUCT(--(ISNUMBER(SEARCH($A86,'Diags Raw Data'!$A$6:$A$3761))),--('Diags Raw Data'!$Q$6:$Q$3761&lt;&gt;"N/A"),'Diags Raw Data'!$R$6:$R$3761)</f>
        <v>0</v>
      </c>
      <c r="N86" s="471" cm="1">
        <f t="array" ref="N86">SUMPRODUCT(--(ISNUMBER(SEARCH($A86,'Diags Raw Data'!$A$6:$A$3761))),--('Diags Raw Data'!$Q$6:$Q$3761&lt;&gt;"N/A"),'Diags Raw Data'!$T$6:$T$3761)+SUMPRODUCT(--(ISNUMBER(SEARCH($A86,'Diags Raw Data'!$A$6:$A$3761))),--('Diags Raw Data'!$Q$6:$Q$3761&lt;&gt;"N/A"),'Diags Raw Data'!$U$6:$U$3761)</f>
        <v>0</v>
      </c>
      <c r="O86" s="472">
        <f t="shared" si="11"/>
        <v>0</v>
      </c>
      <c r="P86" s="473">
        <f>SUMIF('Diags Raw Data'!$A$6:$A$3761,"*"&amp;$A86&amp;"*",'Diags Raw Data'!$Z$6:$Z$3761)</f>
        <v>0</v>
      </c>
      <c r="Q86" s="474">
        <f>SUM(SUMIF('Diags Raw Data'!$A$6:$A$3761,"*"&amp;$A86&amp;"*",'Diags Raw Data'!$AA$6:$AA$3761),SUMIF('Diags Raw Data'!$A$6:$A$3761,"*"&amp;$A86&amp;"*",'Diags Raw Data'!$AB$6:$AB$3761))</f>
        <v>0</v>
      </c>
      <c r="R86" s="475">
        <f t="shared" si="8"/>
        <v>0</v>
      </c>
      <c r="S86" s="475">
        <f t="shared" si="9"/>
        <v>0</v>
      </c>
      <c r="T86" s="476">
        <f t="shared" si="10"/>
        <v>0</v>
      </c>
      <c r="U86" s="425" t="e">
        <f>VLOOKUP(A86,'Diags Raw Data'!$A$6:$AH$3761,33,FALSE)</f>
        <v>#N/A</v>
      </c>
      <c r="V86" s="181"/>
    </row>
    <row r="87" spans="1:22" ht="30.75" thickBot="1" x14ac:dyDescent="0.3">
      <c r="A87" s="530">
        <v>12.157</v>
      </c>
      <c r="B87" s="427" t="str">
        <f>VLOOKUP(A87,'Feature Raw Data'!$A$3:$B$3922,2,FALSE)</f>
        <v>Shader pseudo-scalar trans ops (M2 item)</v>
      </c>
      <c r="C87" s="428" t="str">
        <f>VLOOKUP(A87,'Feature Raw Data'!$A$3:$C$3922,3,FALSE)</f>
        <v>P2</v>
      </c>
      <c r="D87" s="429" t="str" cm="1">
        <f t="array" ref="D87">_xlfn.TEXTJOIN("",TRUE,IF(ISNUMBER(SEARCH($A87,'Diags Raw Data'!$A$6:$A$3761)),CONCATENATE('Diags Raw Data'!$H$6:$H$3761,", "),""))</f>
        <v xml:space="preserve">gfx.inst_perf/v_s_.*, </v>
      </c>
      <c r="E87" s="340" t="str">
        <f>VLOOKUP(A87,'Diags Raw Data'!$A$6:$D$3761,4,FALSE)</f>
        <v>SH</v>
      </c>
      <c r="F87" s="340" t="str">
        <f>VLOOKUP(A87,'Feature Raw Data'!$A$3:$E$3922,5,FALSE)</f>
        <v>New</v>
      </c>
      <c r="G87" s="340" t="str">
        <f t="shared" si="6"/>
        <v>Yes</v>
      </c>
      <c r="H87" s="340" t="str">
        <f t="shared" si="7"/>
        <v>Yes</v>
      </c>
      <c r="I87" s="428">
        <f>SUMIF('Diags Raw Data'!$A$6:$A$3761,"*"&amp;$A87&amp;"*",'Diags Raw Data'!$K$6:$K$3761)</f>
        <v>0</v>
      </c>
      <c r="J87" s="430">
        <f>SUMIF('Diags Raw Data'!$A$6:$A$3761,"*"&amp;$A87&amp;"*",'Diags Raw Data'!$L$6:$L$3761)</f>
        <v>0</v>
      </c>
      <c r="K87" s="468" t="e" cm="1">
        <f t="array" ref="K87">IF(D87="",0, SUMPRODUCT(--(ISNUMBER(SEARCH($A87,'Diags Raw Data'!$A$6:$A$3761))),'Diags Raw Data'!$L$6:$L$3761,'Diags Raw Data'!$N$6:$N$3761)/J87)</f>
        <v>#DIV/0!</v>
      </c>
      <c r="L87" s="469" t="e" cm="1">
        <f t="array" ref="L87">IF(D87="",0, SUMPRODUCT(--(ISNUMBER(SEARCH($A87,'Diags Raw Data'!$A$6:$A$3761))),'Diags Raw Data'!$L$6:$L$3761,'Diags Raw Data'!$P$6:$P$3761)/J87)</f>
        <v>#DIV/0!</v>
      </c>
      <c r="M87" s="470" cm="1">
        <f t="array" ref="M87">SUMPRODUCT(--(ISNUMBER(SEARCH($A87,'Diags Raw Data'!$A$6:$A$3761))),--('Diags Raw Data'!$Q$6:$Q$3761&lt;&gt;"N/A"),'Diags Raw Data'!$R$6:$R$3761)</f>
        <v>10</v>
      </c>
      <c r="N87" s="471" cm="1">
        <f t="array" ref="N87">SUMPRODUCT(--(ISNUMBER(SEARCH($A87,'Diags Raw Data'!$A$6:$A$3761))),--('Diags Raw Data'!$Q$6:$Q$3761&lt;&gt;"N/A"),'Diags Raw Data'!$T$6:$T$3761)+SUMPRODUCT(--(ISNUMBER(SEARCH($A87,'Diags Raw Data'!$A$6:$A$3761))),--('Diags Raw Data'!$Q$6:$Q$3761&lt;&gt;"N/A"),'Diags Raw Data'!$U$6:$U$3761)</f>
        <v>10</v>
      </c>
      <c r="O87" s="472">
        <f t="shared" si="11"/>
        <v>1</v>
      </c>
      <c r="P87" s="473">
        <f>SUMIF('Diags Raw Data'!$A$6:$A$3761,"*"&amp;$A87&amp;"*",'Diags Raw Data'!$Z$6:$Z$3761)</f>
        <v>0</v>
      </c>
      <c r="Q87" s="474">
        <f>SUM(SUMIF('Diags Raw Data'!$A$6:$A$3761,"*"&amp;$A87&amp;"*",'Diags Raw Data'!$AA$6:$AA$3761),SUMIF('Diags Raw Data'!$A$6:$A$3761,"*"&amp;$A87&amp;"*",'Diags Raw Data'!$AB$6:$AB$3761))</f>
        <v>0</v>
      </c>
      <c r="R87" s="475">
        <f t="shared" si="8"/>
        <v>0</v>
      </c>
      <c r="S87" s="475">
        <f t="shared" si="9"/>
        <v>0</v>
      </c>
      <c r="T87" s="476">
        <f t="shared" si="10"/>
        <v>0</v>
      </c>
      <c r="U87" s="425" t="str">
        <f>VLOOKUP(A87,'Diags Raw Data'!$A$6:$AH$3761,33,FALSE)</f>
        <v>WK8</v>
      </c>
      <c r="V87" s="181"/>
    </row>
    <row r="88" spans="1:22" ht="45.75" thickBot="1" x14ac:dyDescent="0.3">
      <c r="A88" s="530">
        <v>12.159000000000001</v>
      </c>
      <c r="B88" s="427" t="str">
        <f>VLOOKUP(A88,'Feature Raw Data'!$A$3:$B$3922,2,FALSE)</f>
        <v>Shader reduce VGPR writes (M2 item, evaluate for gaming)</v>
      </c>
      <c r="C88" s="428" t="str">
        <f>VLOOKUP(A88,'Feature Raw Data'!$A$3:$C$3922,3,FALSE)</f>
        <v>P1</v>
      </c>
      <c r="D88" s="429" t="str" cm="1">
        <f t="array" ref="D88">_xlfn.TEXTJOIN("",TRUE,IF(ISNUMBER(SEARCH($A88,'Diags Raw Data'!$A$6:$A$3761)),CONCATENATE('Diags Raw Data'!$H$6:$H$3761,", "),""))</f>
        <v xml:space="preserve">shci2038.0-3,shci2038.104, </v>
      </c>
      <c r="E88" s="340" t="str">
        <f>VLOOKUP(A88,'Diags Raw Data'!$A$6:$D$3761,4,FALSE)</f>
        <v>SH</v>
      </c>
      <c r="F88" s="340" t="str">
        <f>VLOOKUP(A88,'Feature Raw Data'!$A$3:$E$3922,5,FALSE)</f>
        <v>New</v>
      </c>
      <c r="G88" s="340" t="str">
        <f t="shared" si="6"/>
        <v>Yes</v>
      </c>
      <c r="H88" s="340" t="str">
        <f t="shared" si="7"/>
        <v>Yes</v>
      </c>
      <c r="I88" s="428">
        <f>SUMIF('Diags Raw Data'!$A$6:$A$3761,"*"&amp;$A88&amp;"*",'Diags Raw Data'!$K$6:$K$3761)</f>
        <v>0</v>
      </c>
      <c r="J88" s="430">
        <f>SUMIF('Diags Raw Data'!$A$6:$A$3761,"*"&amp;$A88&amp;"*",'Diags Raw Data'!$L$6:$L$3761)</f>
        <v>0</v>
      </c>
      <c r="K88" s="468" t="e" cm="1">
        <f t="array" ref="K88">IF(D88="",0, SUMPRODUCT(--(ISNUMBER(SEARCH($A88,'Diags Raw Data'!$A$6:$A$3761))),'Diags Raw Data'!$L$6:$L$3761,'Diags Raw Data'!$N$6:$N$3761)/J88)</f>
        <v>#DIV/0!</v>
      </c>
      <c r="L88" s="469" t="e" cm="1">
        <f t="array" ref="L88">IF(D88="",0, SUMPRODUCT(--(ISNUMBER(SEARCH($A88,'Diags Raw Data'!$A$6:$A$3761))),'Diags Raw Data'!$L$6:$L$3761,'Diags Raw Data'!$P$6:$P$3761)/J88)</f>
        <v>#DIV/0!</v>
      </c>
      <c r="M88" s="470" cm="1">
        <f t="array" ref="M88">SUMPRODUCT(--(ISNUMBER(SEARCH($A88,'Diags Raw Data'!$A$6:$A$3761))),--('Diags Raw Data'!$Q$6:$Q$3761&lt;&gt;"N/A"),'Diags Raw Data'!$R$6:$R$3761)</f>
        <v>5</v>
      </c>
      <c r="N88" s="471" cm="1">
        <f t="array" ref="N88">SUMPRODUCT(--(ISNUMBER(SEARCH($A88,'Diags Raw Data'!$A$6:$A$3761))),--('Diags Raw Data'!$Q$6:$Q$3761&lt;&gt;"N/A"),'Diags Raw Data'!$T$6:$T$3761)+SUMPRODUCT(--(ISNUMBER(SEARCH($A88,'Diags Raw Data'!$A$6:$A$3761))),--('Diags Raw Data'!$Q$6:$Q$3761&lt;&gt;"N/A"),'Diags Raw Data'!$U$6:$U$3761)</f>
        <v>5</v>
      </c>
      <c r="O88" s="472">
        <f t="shared" si="11"/>
        <v>1</v>
      </c>
      <c r="P88" s="473">
        <f>SUMIF('Diags Raw Data'!$A$6:$A$3761,"*"&amp;$A88&amp;"*",'Diags Raw Data'!$Z$6:$Z$3761)</f>
        <v>0</v>
      </c>
      <c r="Q88" s="474">
        <f>SUM(SUMIF('Diags Raw Data'!$A$6:$A$3761,"*"&amp;$A88&amp;"*",'Diags Raw Data'!$AA$6:$AA$3761),SUMIF('Diags Raw Data'!$A$6:$A$3761,"*"&amp;$A88&amp;"*",'Diags Raw Data'!$AB$6:$AB$3761))</f>
        <v>0</v>
      </c>
      <c r="R88" s="475">
        <f t="shared" si="8"/>
        <v>0</v>
      </c>
      <c r="S88" s="475">
        <f t="shared" si="9"/>
        <v>0</v>
      </c>
      <c r="T88" s="476">
        <f t="shared" si="10"/>
        <v>0</v>
      </c>
      <c r="U88" s="425" t="str">
        <f>VLOOKUP(A88,'Diags Raw Data'!$A$6:$AH$3761,33,FALSE)</f>
        <v>WK1</v>
      </c>
      <c r="V88" s="181"/>
    </row>
    <row r="89" spans="1:22" ht="210.75" thickBot="1" x14ac:dyDescent="0.3">
      <c r="A89" s="530">
        <v>12.16</v>
      </c>
      <c r="B89" s="427" t="str">
        <f>VLOOKUP(A89,'Feature Raw Data'!$A$3:$B$3922,2,FALSE)</f>
        <v>Shader double wave64 VINTERP rate (por gfx11.5, evaluate gaming)</v>
      </c>
      <c r="C89" s="428" t="str">
        <f>VLOOKUP(A89,'Feature Raw Data'!$A$3:$C$3922,3,FALSE)</f>
        <v>P2</v>
      </c>
      <c r="D89" s="429" t="str" cm="1">
        <f t="array" ref="D89">_xlfn.TEXTJOIN("",TRUE,IF(ISNUMBER(SEARCH($A89,'Diags Raw Data'!$A$6:$A$3761)),CONCATENATE('Diags Raw Data'!$H$6:$H$3761,", "),""))</f>
        <v xml:space="preserve">shci2041, std1.1,std3.1,std4.1,rt1.300,rt1.320,gci1304,gci1305,gci1308,shci2033,shci2036,gssi212.10, sh1630,sh1631, PPI406.1-8,PPI406.11-18,PPI406.21-28,PPI406.31-38,PPI406.41-48, std5.9, Same,to,12.164, </v>
      </c>
      <c r="E89" s="340" t="str">
        <f>VLOOKUP(A89,'Diags Raw Data'!$A$6:$D$3761,4,FALSE)</f>
        <v>SH</v>
      </c>
      <c r="F89" s="340" t="str">
        <f>VLOOKUP(A89,'Feature Raw Data'!$A$3:$E$3922,5,FALSE)</f>
        <v>New</v>
      </c>
      <c r="G89" s="340" t="str">
        <f t="shared" si="6"/>
        <v>Yes</v>
      </c>
      <c r="H89" s="340" t="str">
        <f t="shared" si="7"/>
        <v>Yes</v>
      </c>
      <c r="I89" s="428">
        <f>SUMIF('Diags Raw Data'!$A$6:$A$3761,"*"&amp;$A89&amp;"*",'Diags Raw Data'!$K$6:$K$3761)</f>
        <v>0</v>
      </c>
      <c r="J89" s="430">
        <f>SUMIF('Diags Raw Data'!$A$6:$A$3761,"*"&amp;$A89&amp;"*",'Diags Raw Data'!$L$6:$L$3761)</f>
        <v>0</v>
      </c>
      <c r="K89" s="468" t="e" cm="1">
        <f t="array" ref="K89">IF(D89="",0, SUMPRODUCT(--(ISNUMBER(SEARCH($A89,'Diags Raw Data'!$A$6:$A$3761))),'Diags Raw Data'!$L$6:$L$3761,'Diags Raw Data'!$N$6:$N$3761)/J89)</f>
        <v>#DIV/0!</v>
      </c>
      <c r="L89" s="469" t="e" cm="1">
        <f t="array" ref="L89">IF(D89="",0, SUMPRODUCT(--(ISNUMBER(SEARCH($A89,'Diags Raw Data'!$A$6:$A$3761))),'Diags Raw Data'!$L$6:$L$3761,'Diags Raw Data'!$P$6:$P$3761)/J89)</f>
        <v>#DIV/0!</v>
      </c>
      <c r="M89" s="470" cm="1">
        <f t="array" ref="M89">SUMPRODUCT(--(ISNUMBER(SEARCH($A89,'Diags Raw Data'!$A$6:$A$3761))),--('Diags Raw Data'!$Q$6:$Q$3761&lt;&gt;"N/A"),'Diags Raw Data'!$R$6:$R$3761)</f>
        <v>23</v>
      </c>
      <c r="N89" s="471" cm="1">
        <f t="array" ref="N89">SUMPRODUCT(--(ISNUMBER(SEARCH($A89,'Diags Raw Data'!$A$6:$A$3761))),--('Diags Raw Data'!$Q$6:$Q$3761&lt;&gt;"N/A"),'Diags Raw Data'!$T$6:$T$3761)+SUMPRODUCT(--(ISNUMBER(SEARCH($A89,'Diags Raw Data'!$A$6:$A$3761))),--('Diags Raw Data'!$Q$6:$Q$3761&lt;&gt;"N/A"),'Diags Raw Data'!$U$6:$U$3761)</f>
        <v>18</v>
      </c>
      <c r="O89" s="472">
        <f t="shared" si="11"/>
        <v>0.78260869565217395</v>
      </c>
      <c r="P89" s="473">
        <f>SUMIF('Diags Raw Data'!$A$6:$A$3761,"*"&amp;$A89&amp;"*",'Diags Raw Data'!$Z$6:$Z$3761)</f>
        <v>0</v>
      </c>
      <c r="Q89" s="474">
        <f>SUM(SUMIF('Diags Raw Data'!$A$6:$A$3761,"*"&amp;$A89&amp;"*",'Diags Raw Data'!$AA$6:$AA$3761),SUMIF('Diags Raw Data'!$A$6:$A$3761,"*"&amp;$A89&amp;"*",'Diags Raw Data'!$AB$6:$AB$3761))</f>
        <v>0</v>
      </c>
      <c r="R89" s="475">
        <f t="shared" si="8"/>
        <v>0</v>
      </c>
      <c r="S89" s="475">
        <f t="shared" si="9"/>
        <v>0</v>
      </c>
      <c r="T89" s="476">
        <f t="shared" si="10"/>
        <v>0</v>
      </c>
      <c r="U89" s="425" t="str">
        <f>VLOOKUP(A89,'Diags Raw Data'!$A$6:$AH$3761,33,FALSE)</f>
        <v>WK6</v>
      </c>
      <c r="V89" s="181"/>
    </row>
    <row r="90" spans="1:22" ht="165.75" thickBot="1" x14ac:dyDescent="0.3">
      <c r="A90" s="530">
        <v>12.162000000000001</v>
      </c>
      <c r="B90" s="427" t="str">
        <f>VLOOKUP(A90,'Feature Raw Data'!$A$3:$B$3922,2,FALSE)</f>
        <v xml:space="preserve">Shader Performance Profiler Enablement </v>
      </c>
      <c r="C90" s="428" t="str">
        <f>VLOOKUP(A90,'Feature Raw Data'!$A$3:$C$3922,3,FALSE)</f>
        <v>P1</v>
      </c>
      <c r="D90" s="429" t="str" cm="1">
        <f t="array" ref="D90">_xlfn.TEXTJOIN("",TRUE,IF(ISNUMBER(SEARCH($A90,'Diags Raw Data'!$A$6:$A$3761)),CONCATENATE('Diags Raw Data'!$H$6:$H$3761,", "),""))</f>
        <v xml:space="preserve">std1.1,std3.1,std4.1,rt1.300,rt1.320,gci1304,gci1305,gci1308,shci2033,shci2036,gssi212.10, </v>
      </c>
      <c r="E90" s="340" t="str">
        <f>VLOOKUP(A90,'Diags Raw Data'!$A$6:$D$3761,4,FALSE)</f>
        <v>SH</v>
      </c>
      <c r="F90" s="340" t="str">
        <f>VLOOKUP(A90,'Feature Raw Data'!$A$3:$E$3922,5,FALSE)</f>
        <v>Delta</v>
      </c>
      <c r="G90" s="340" t="str">
        <f t="shared" si="6"/>
        <v>Yes</v>
      </c>
      <c r="H90" s="340" t="str">
        <f t="shared" si="7"/>
        <v>Yes</v>
      </c>
      <c r="I90" s="428">
        <f>SUMIF('Diags Raw Data'!$A$6:$A$3761,"*"&amp;$A90&amp;"*",'Diags Raw Data'!$K$6:$K$3761)</f>
        <v>0</v>
      </c>
      <c r="J90" s="430">
        <f>SUMIF('Diags Raw Data'!$A$6:$A$3761,"*"&amp;$A90&amp;"*",'Diags Raw Data'!$L$6:$L$3761)</f>
        <v>0</v>
      </c>
      <c r="K90" s="468" t="e" cm="1">
        <f t="array" ref="K90">IF(D90="",0, SUMPRODUCT(--(ISNUMBER(SEARCH($A90,'Diags Raw Data'!$A$6:$A$3761))),'Diags Raw Data'!$L$6:$L$3761,'Diags Raw Data'!$N$6:$N$3761)/J90)</f>
        <v>#DIV/0!</v>
      </c>
      <c r="L90" s="469" t="e" cm="1">
        <f t="array" ref="L90">IF(D90="",0, SUMPRODUCT(--(ISNUMBER(SEARCH($A90,'Diags Raw Data'!$A$6:$A$3761))),'Diags Raw Data'!$L$6:$L$3761,'Diags Raw Data'!$P$6:$P$3761)/J90)</f>
        <v>#DIV/0!</v>
      </c>
      <c r="M90" s="470" cm="1">
        <f t="array" ref="M90">SUMPRODUCT(--(ISNUMBER(SEARCH($A90,'Diags Raw Data'!$A$6:$A$3761))),--('Diags Raw Data'!$Q$6:$Q$3761&lt;&gt;"N/A"),'Diags Raw Data'!$R$6:$R$3761)</f>
        <v>14</v>
      </c>
      <c r="N90" s="471" cm="1">
        <f t="array" ref="N90">SUMPRODUCT(--(ISNUMBER(SEARCH($A90,'Diags Raw Data'!$A$6:$A$3761))),--('Diags Raw Data'!$Q$6:$Q$3761&lt;&gt;"N/A"),'Diags Raw Data'!$T$6:$T$3761)+SUMPRODUCT(--(ISNUMBER(SEARCH($A90,'Diags Raw Data'!$A$6:$A$3761))),--('Diags Raw Data'!$Q$6:$Q$3761&lt;&gt;"N/A"),'Diags Raw Data'!$U$6:$U$3761)</f>
        <v>11</v>
      </c>
      <c r="O90" s="472">
        <f>IF((M90=0),0,N90/M90)</f>
        <v>0.7857142857142857</v>
      </c>
      <c r="P90" s="473">
        <f>SUMIF('Diags Raw Data'!$A$6:$A$3761,"*"&amp;$A90&amp;"*",'Diags Raw Data'!$Z$6:$Z$3761)</f>
        <v>0</v>
      </c>
      <c r="Q90" s="474">
        <f>SUM(SUMIF('Diags Raw Data'!$A$6:$A$3761,"*"&amp;$A90&amp;"*",'Diags Raw Data'!$AA$6:$AA$3761),SUMIF('Diags Raw Data'!$A$6:$A$3761,"*"&amp;$A90&amp;"*",'Diags Raw Data'!$AB$6:$AB$3761))</f>
        <v>0</v>
      </c>
      <c r="R90" s="475">
        <f>IF((J90=0),0,P90/J90)</f>
        <v>0</v>
      </c>
      <c r="S90" s="475">
        <f>IF((P90=0),0,Q90/P90)</f>
        <v>0</v>
      </c>
      <c r="T90" s="476">
        <f>R90*S90</f>
        <v>0</v>
      </c>
      <c r="U90" s="425" t="str">
        <f>VLOOKUP(A90,'Diags Raw Data'!$A$6:$AH$3761,33,FALSE)</f>
        <v>WK5</v>
      </c>
      <c r="V90" s="181"/>
    </row>
    <row r="91" spans="1:22" ht="15.75" thickBot="1" x14ac:dyDescent="0.3">
      <c r="A91" s="530">
        <v>12.163</v>
      </c>
      <c r="B91" s="427" t="str">
        <f>VLOOKUP(A91,'Feature Raw Data'!$A$3:$B$3922,2,FALSE)</f>
        <v xml:space="preserve">Architected SGPR Values </v>
      </c>
      <c r="C91" s="428" t="str">
        <f>VLOOKUP(A91,'Feature Raw Data'!$A$3:$C$3922,3,FALSE)</f>
        <v>P2</v>
      </c>
      <c r="D91" s="429" t="str" cm="1">
        <f t="array" ref="D91">_xlfn.TEXTJOIN("",TRUE,IF(ISNUMBER(SEARCH($A91,'Diags Raw Data'!$A$6:$A$3761)),CONCATENATE('Diags Raw Data'!$H$6:$H$3761,", "),""))</f>
        <v xml:space="preserve">sh1630,sh1631, </v>
      </c>
      <c r="E91" s="340" t="str">
        <f>VLOOKUP(A91,'Diags Raw Data'!$A$6:$D$3761,4,FALSE)</f>
        <v>SIO</v>
      </c>
      <c r="F91" s="340" t="str">
        <f>VLOOKUP(A91,'Feature Raw Data'!$A$3:$E$3922,5,FALSE)</f>
        <v>New</v>
      </c>
      <c r="G91" s="340" t="str">
        <f t="shared" si="6"/>
        <v>Yes</v>
      </c>
      <c r="H91" s="340" t="str">
        <f t="shared" si="7"/>
        <v>Yes</v>
      </c>
      <c r="I91" s="428">
        <f>SUMIF('Diags Raw Data'!$A$6:$A$3761,"*"&amp;$A91&amp;"*",'Diags Raw Data'!$K$6:$K$3761)</f>
        <v>0</v>
      </c>
      <c r="J91" s="430">
        <f>SUMIF('Diags Raw Data'!$A$6:$A$3761,"*"&amp;$A91&amp;"*",'Diags Raw Data'!$L$6:$L$3761)</f>
        <v>0</v>
      </c>
      <c r="K91" s="468" t="e" cm="1">
        <f t="array" ref="K91">IF(D91="",0, SUMPRODUCT(--(ISNUMBER(SEARCH($A91,'Diags Raw Data'!$A$6:$A$3761))),'Diags Raw Data'!$L$6:$L$3761,'Diags Raw Data'!$N$6:$N$3761)/J91)</f>
        <v>#DIV/0!</v>
      </c>
      <c r="L91" s="469" t="e" cm="1">
        <f t="array" ref="L91">IF(D91="",0, SUMPRODUCT(--(ISNUMBER(SEARCH($A91,'Diags Raw Data'!$A$6:$A$3761))),'Diags Raw Data'!$L$6:$L$3761,'Diags Raw Data'!$P$6:$P$3761)/J91)</f>
        <v>#DIV/0!</v>
      </c>
      <c r="M91" s="470" cm="1">
        <f t="array" ref="M91">SUMPRODUCT(--(ISNUMBER(SEARCH($A91,'Diags Raw Data'!$A$6:$A$3761))),--('Diags Raw Data'!$Q$6:$Q$3761&lt;&gt;"N/A"),'Diags Raw Data'!$R$6:$R$3761)</f>
        <v>2</v>
      </c>
      <c r="N91" s="471" cm="1">
        <f t="array" ref="N91">SUMPRODUCT(--(ISNUMBER(SEARCH($A91,'Diags Raw Data'!$A$6:$A$3761))),--('Diags Raw Data'!$Q$6:$Q$3761&lt;&gt;"N/A"),'Diags Raw Data'!$T$6:$T$3761)+SUMPRODUCT(--(ISNUMBER(SEARCH($A91,'Diags Raw Data'!$A$6:$A$3761))),--('Diags Raw Data'!$Q$6:$Q$3761&lt;&gt;"N/A"),'Diags Raw Data'!$U$6:$U$3761)</f>
        <v>1</v>
      </c>
      <c r="O91" s="472">
        <f>IF((M91=0),0,N91/M91)</f>
        <v>0.5</v>
      </c>
      <c r="P91" s="473">
        <f>SUMIF('Diags Raw Data'!$A$6:$A$3761,"*"&amp;$A91&amp;"*",'Diags Raw Data'!$Z$6:$Z$3761)</f>
        <v>0</v>
      </c>
      <c r="Q91" s="474">
        <f>SUM(SUMIF('Diags Raw Data'!$A$6:$A$3761,"*"&amp;$A91&amp;"*",'Diags Raw Data'!$AA$6:$AA$3761),SUMIF('Diags Raw Data'!$A$6:$A$3761,"*"&amp;$A91&amp;"*",'Diags Raw Data'!$AB$6:$AB$3761))</f>
        <v>0</v>
      </c>
      <c r="R91" s="475">
        <f>IF((J91=0),0,P91/J91)</f>
        <v>0</v>
      </c>
      <c r="S91" s="475">
        <f>IF((P91=0),0,Q91/P91)</f>
        <v>0</v>
      </c>
      <c r="T91" s="476">
        <f>R91*S91</f>
        <v>0</v>
      </c>
      <c r="U91" s="425" t="str">
        <f>VLOOKUP(A91,'Diags Raw Data'!$A$6:$AH$3761,33,FALSE)</f>
        <v>WK6</v>
      </c>
      <c r="V91" s="181"/>
    </row>
    <row r="92" spans="1:22" ht="30.75" thickBot="1" x14ac:dyDescent="0.3">
      <c r="A92" s="530">
        <v>12.164</v>
      </c>
      <c r="B92" s="427" t="str">
        <f>VLOOKUP(A92,'Feature Raw Data'!$A$3:$B$3922,2,FALSE)</f>
        <v xml:space="preserve">Hybrid Depth Compression </v>
      </c>
      <c r="C92" s="428" t="str">
        <f>VLOOKUP(A92,'Feature Raw Data'!$A$3:$C$3922,3,FALSE)</f>
        <v>P1</v>
      </c>
      <c r="D92" s="429" t="str" cm="1">
        <f t="array" ref="D92">_xlfn.TEXTJOIN("",TRUE,IF(ISNUMBER(SEARCH($A92,'Diags Raw Data'!$A$6:$A$3761)),CONCATENATE('Diags Raw Data'!$H$6:$H$3761,", "),""))</f>
        <v xml:space="preserve">PPI406.1-8,PPI406.11-18,PPI406.21-28,PPI406.31-38,PPI406.41-48, </v>
      </c>
      <c r="E92" s="340" t="str">
        <f>VLOOKUP(A92,'Diags Raw Data'!$A$6:$D$3761,4,FALSE)</f>
        <v>PP</v>
      </c>
      <c r="F92" s="340" t="str">
        <f>VLOOKUP(A92,'Feature Raw Data'!$A$3:$E$3922,5,FALSE)</f>
        <v>New</v>
      </c>
      <c r="G92" s="340" t="str">
        <f t="shared" si="6"/>
        <v>Yes</v>
      </c>
      <c r="H92" s="340" t="str">
        <f t="shared" si="7"/>
        <v>Yes</v>
      </c>
      <c r="I92" s="428">
        <f>SUMIF('Diags Raw Data'!$A$6:$A$3761,"*"&amp;$A92&amp;"*",'Diags Raw Data'!$K$6:$K$3761)</f>
        <v>0</v>
      </c>
      <c r="J92" s="430">
        <f>SUMIF('Diags Raw Data'!$A$6:$A$3761,"*"&amp;$A92&amp;"*",'Diags Raw Data'!$L$6:$L$3761)</f>
        <v>0</v>
      </c>
      <c r="K92" s="468" t="e" cm="1">
        <f t="array" ref="K92">IF(D92="",0, SUMPRODUCT(--(ISNUMBER(SEARCH($A92,'Diags Raw Data'!$A$6:$A$3761))),'Diags Raw Data'!$L$6:$L$3761,'Diags Raw Data'!$N$6:$N$3761)/J92)</f>
        <v>#DIV/0!</v>
      </c>
      <c r="L92" s="469" t="e" cm="1">
        <f t="array" ref="L92">IF(D92="",0, SUMPRODUCT(--(ISNUMBER(SEARCH($A92,'Diags Raw Data'!$A$6:$A$3761))),'Diags Raw Data'!$L$6:$L$3761,'Diags Raw Data'!$P$6:$P$3761)/J92)</f>
        <v>#DIV/0!</v>
      </c>
      <c r="M92" s="470" cm="1">
        <f t="array" ref="M92">SUMPRODUCT(--(ISNUMBER(SEARCH($A92,'Diags Raw Data'!$A$6:$A$3761))),--('Diags Raw Data'!$Q$6:$Q$3761&lt;&gt;"N/A"),'Diags Raw Data'!$R$6:$R$3761)</f>
        <v>4</v>
      </c>
      <c r="N92" s="471" cm="1">
        <f t="array" ref="N92">SUMPRODUCT(--(ISNUMBER(SEARCH($A92,'Diags Raw Data'!$A$6:$A$3761))),--('Diags Raw Data'!$Q$6:$Q$3761&lt;&gt;"N/A"),'Diags Raw Data'!$T$6:$T$3761)+SUMPRODUCT(--(ISNUMBER(SEARCH($A92,'Diags Raw Data'!$A$6:$A$3761))),--('Diags Raw Data'!$Q$6:$Q$3761&lt;&gt;"N/A"),'Diags Raw Data'!$U$6:$U$3761)</f>
        <v>4</v>
      </c>
      <c r="O92" s="472">
        <f t="shared" si="11"/>
        <v>1</v>
      </c>
      <c r="P92" s="473">
        <f>SUMIF('Diags Raw Data'!$A$6:$A$3761,"*"&amp;$A92&amp;"*",'Diags Raw Data'!$Z$6:$Z$3761)</f>
        <v>0</v>
      </c>
      <c r="Q92" s="474">
        <f>SUM(SUMIF('Diags Raw Data'!$A$6:$A$3761,"*"&amp;$A92&amp;"*",'Diags Raw Data'!$AA$6:$AA$3761),SUMIF('Diags Raw Data'!$A$6:$A$3761,"*"&amp;$A92&amp;"*",'Diags Raw Data'!$AB$6:$AB$3761))</f>
        <v>0</v>
      </c>
      <c r="R92" s="475">
        <f t="shared" si="8"/>
        <v>0</v>
      </c>
      <c r="S92" s="475">
        <f t="shared" si="9"/>
        <v>0</v>
      </c>
      <c r="T92" s="476">
        <f t="shared" si="10"/>
        <v>0</v>
      </c>
      <c r="U92" s="425" t="str">
        <f>VLOOKUP(A92,'Diags Raw Data'!$A$6:$AH$3761,33,FALSE)</f>
        <v>WK2</v>
      </c>
      <c r="V92" s="181"/>
    </row>
    <row r="93" spans="1:22" ht="15.75" thickBot="1" x14ac:dyDescent="0.3">
      <c r="A93" s="530">
        <v>12.164999999999999</v>
      </c>
      <c r="B93" s="427" t="str">
        <f>VLOOKUP(A93,'Feature Raw Data'!$A$3:$B$3922,2,FALSE)</f>
        <v xml:space="preserve">HiZ/S in SC </v>
      </c>
      <c r="C93" s="428" t="str">
        <f>VLOOKUP(A93,'Feature Raw Data'!$A$3:$C$3922,3,FALSE)</f>
        <v>P1</v>
      </c>
      <c r="D93" s="429" t="str" cm="1">
        <f t="array" ref="D93">_xlfn.TEXTJOIN("",TRUE,IF(ISNUMBER(SEARCH($A93,'Diags Raw Data'!$A$6:$A$3761)),CONCATENATE('Diags Raw Data'!$H$6:$H$3761,", "),""))</f>
        <v xml:space="preserve">std5.9, </v>
      </c>
      <c r="E93" s="340" t="str">
        <f>VLOOKUP(A93,'Diags Raw Data'!$A$6:$D$3761,4,FALSE)</f>
        <v>PP</v>
      </c>
      <c r="F93" s="340" t="str">
        <f>VLOOKUP(A93,'Feature Raw Data'!$A$3:$E$3922,5,FALSE)</f>
        <v>New</v>
      </c>
      <c r="G93" s="340" t="str">
        <f t="shared" si="6"/>
        <v>Yes</v>
      </c>
      <c r="H93" s="340" t="str">
        <f t="shared" si="7"/>
        <v>Yes</v>
      </c>
      <c r="I93" s="428">
        <f>SUMIF('Diags Raw Data'!$A$6:$A$3761,"*"&amp;$A93&amp;"*",'Diags Raw Data'!$K$6:$K$3761)</f>
        <v>0</v>
      </c>
      <c r="J93" s="430">
        <f>SUMIF('Diags Raw Data'!$A$6:$A$3761,"*"&amp;$A93&amp;"*",'Diags Raw Data'!$L$6:$L$3761)</f>
        <v>0</v>
      </c>
      <c r="K93" s="468" t="e" cm="1">
        <f t="array" ref="K93">IF(D93="",0, SUMPRODUCT(--(ISNUMBER(SEARCH($A93,'Diags Raw Data'!$A$6:$A$3761))),'Diags Raw Data'!$L$6:$L$3761,'Diags Raw Data'!$N$6:$N$3761)/J93)</f>
        <v>#DIV/0!</v>
      </c>
      <c r="L93" s="469" t="e" cm="1">
        <f t="array" ref="L93">IF(D93="",0, SUMPRODUCT(--(ISNUMBER(SEARCH($A93,'Diags Raw Data'!$A$6:$A$3761))),'Diags Raw Data'!$L$6:$L$3761,'Diags Raw Data'!$P$6:$P$3761)/J93)</f>
        <v>#DIV/0!</v>
      </c>
      <c r="M93" s="470" cm="1">
        <f t="array" ref="M93">SUMPRODUCT(--(ISNUMBER(SEARCH($A93,'Diags Raw Data'!$A$6:$A$3761))),--('Diags Raw Data'!$Q$6:$Q$3761&lt;&gt;"N/A"),'Diags Raw Data'!$R$6:$R$3761)</f>
        <v>1</v>
      </c>
      <c r="N93" s="471" cm="1">
        <f t="array" ref="N93">SUMPRODUCT(--(ISNUMBER(SEARCH($A93,'Diags Raw Data'!$A$6:$A$3761))),--('Diags Raw Data'!$Q$6:$Q$3761&lt;&gt;"N/A"),'Diags Raw Data'!$T$6:$T$3761)+SUMPRODUCT(--(ISNUMBER(SEARCH($A93,'Diags Raw Data'!$A$6:$A$3761))),--('Diags Raw Data'!$Q$6:$Q$3761&lt;&gt;"N/A"),'Diags Raw Data'!$U$6:$U$3761)</f>
        <v>1</v>
      </c>
      <c r="O93" s="472">
        <f t="shared" si="11"/>
        <v>1</v>
      </c>
      <c r="P93" s="473">
        <f>SUMIF('Diags Raw Data'!$A$6:$A$3761,"*"&amp;$A93&amp;"*",'Diags Raw Data'!$Z$6:$Z$3761)</f>
        <v>0</v>
      </c>
      <c r="Q93" s="474">
        <f>SUM(SUMIF('Diags Raw Data'!$A$6:$A$3761,"*"&amp;$A93&amp;"*",'Diags Raw Data'!$AA$6:$AA$3761),SUMIF('Diags Raw Data'!$A$6:$A$3761,"*"&amp;$A93&amp;"*",'Diags Raw Data'!$AB$6:$AB$3761))</f>
        <v>0</v>
      </c>
      <c r="R93" s="475">
        <f t="shared" si="8"/>
        <v>0</v>
      </c>
      <c r="S93" s="475">
        <f>IF((P93=0),0,Q93/P93)</f>
        <v>0</v>
      </c>
      <c r="T93" s="476">
        <f>R93*S93</f>
        <v>0</v>
      </c>
      <c r="U93" s="425" t="str">
        <f>VLOOKUP(A93,'Diags Raw Data'!$A$6:$AH$3761,33,FALSE)</f>
        <v>WK2</v>
      </c>
      <c r="V93" s="181"/>
    </row>
    <row r="94" spans="1:22" ht="30.75" thickBot="1" x14ac:dyDescent="0.3">
      <c r="A94" s="530">
        <v>12.167</v>
      </c>
      <c r="B94" s="427" t="str">
        <f>VLOOKUP(A94,'Feature Raw Data'!$A$3:$B$3922,2,FALSE)</f>
        <v xml:space="preserve">CB codec removal/simplifications </v>
      </c>
      <c r="C94" s="428" t="str">
        <f>VLOOKUP(A94,'Feature Raw Data'!$A$3:$C$3922,3,FALSE)</f>
        <v>P1</v>
      </c>
      <c r="D94" s="429" t="str" cm="1">
        <f t="array" ref="D94">_xlfn.TEXTJOIN("",TRUE,IF(ISNUMBER(SEARCH($A94,'Diags Raw Data'!$A$6:$A$3761)),CONCATENATE('Diags Raw Data'!$H$6:$H$3761,", "),""))</f>
        <v xml:space="preserve">Same,to,12.164, </v>
      </c>
      <c r="E94" s="340" t="str">
        <f>VLOOKUP(A94,'Diags Raw Data'!$A$6:$D$3761,4,FALSE)</f>
        <v>PP</v>
      </c>
      <c r="F94" s="340" t="str">
        <f>VLOOKUP(A94,'Feature Raw Data'!$A$3:$E$3922,5,FALSE)</f>
        <v>New</v>
      </c>
      <c r="G94" s="340" t="str">
        <f t="shared" si="6"/>
        <v>Yes</v>
      </c>
      <c r="H94" s="340" t="str">
        <f t="shared" si="7"/>
        <v>Yes</v>
      </c>
      <c r="I94" s="428">
        <f>SUMIF('Diags Raw Data'!$A$6:$A$3761,"*"&amp;$A94&amp;"*",'Diags Raw Data'!$K$6:$K$3761)</f>
        <v>0</v>
      </c>
      <c r="J94" s="430">
        <f>SUMIF('Diags Raw Data'!$A$6:$A$3761,"*"&amp;$A94&amp;"*",'Diags Raw Data'!$L$6:$L$3761)</f>
        <v>0</v>
      </c>
      <c r="K94" s="468" t="e" cm="1">
        <f t="array" ref="K94">IF(D94="",0, SUMPRODUCT(--(ISNUMBER(SEARCH($A94,'Diags Raw Data'!$A$6:$A$3761))),'Diags Raw Data'!$L$6:$L$3761,'Diags Raw Data'!$N$6:$N$3761)/J94)</f>
        <v>#DIV/0!</v>
      </c>
      <c r="L94" s="469" t="e" cm="1">
        <f t="array" ref="L94">IF(D94="",0, SUMPRODUCT(--(ISNUMBER(SEARCH($A94,'Diags Raw Data'!$A$6:$A$3761))),'Diags Raw Data'!$L$6:$L$3761,'Diags Raw Data'!$P$6:$P$3761)/J94)</f>
        <v>#DIV/0!</v>
      </c>
      <c r="M94" s="470" cm="1">
        <f t="array" ref="M94">SUMPRODUCT(--(ISNUMBER(SEARCH($A94,'Diags Raw Data'!$A$6:$A$3761))),--('Diags Raw Data'!$Q$6:$Q$3761&lt;&gt;"N/A"),'Diags Raw Data'!$R$6:$R$3761)</f>
        <v>1</v>
      </c>
      <c r="N94" s="471" cm="1">
        <f t="array" ref="N94">SUMPRODUCT(--(ISNUMBER(SEARCH($A94,'Diags Raw Data'!$A$6:$A$3761))),--('Diags Raw Data'!$Q$6:$Q$3761&lt;&gt;"N/A"),'Diags Raw Data'!$T$6:$T$3761)+SUMPRODUCT(--(ISNUMBER(SEARCH($A94,'Diags Raw Data'!$A$6:$A$3761))),--('Diags Raw Data'!$Q$6:$Q$3761&lt;&gt;"N/A"),'Diags Raw Data'!$U$6:$U$3761)</f>
        <v>0</v>
      </c>
      <c r="O94" s="472">
        <f>IF((M94=0),0,N94/M94)</f>
        <v>0</v>
      </c>
      <c r="P94" s="473">
        <f>SUMIF('Diags Raw Data'!$A$6:$A$3761,"*"&amp;$A94&amp;"*",'Diags Raw Data'!$Z$6:$Z$3761)</f>
        <v>0</v>
      </c>
      <c r="Q94" s="474">
        <f>SUM(SUMIF('Diags Raw Data'!$A$6:$A$3761,"*"&amp;$A94&amp;"*",'Diags Raw Data'!$AA$6:$AA$3761),SUMIF('Diags Raw Data'!$A$6:$A$3761,"*"&amp;$A94&amp;"*",'Diags Raw Data'!$AB$6:$AB$3761))</f>
        <v>0</v>
      </c>
      <c r="R94" s="475">
        <f>IF((J94=0),0,P94/J94)</f>
        <v>0</v>
      </c>
      <c r="S94" s="475">
        <f t="shared" si="9"/>
        <v>0</v>
      </c>
      <c r="T94" s="476">
        <f t="shared" si="10"/>
        <v>0</v>
      </c>
      <c r="U94" s="425" t="str">
        <f>VLOOKUP(A94,'Diags Raw Data'!$A$6:$AH$3761,33,FALSE)</f>
        <v>WK5</v>
      </c>
      <c r="V94" s="181"/>
    </row>
    <row r="95" spans="1:22" ht="15.75" thickBot="1" x14ac:dyDescent="0.3">
      <c r="A95" s="530">
        <v>12.167999999999999</v>
      </c>
      <c r="B95" s="427" t="str">
        <f>VLOOKUP(A95,'Feature Raw Data'!$A$3:$B$3922,2,FALSE)</f>
        <v xml:space="preserve">VRS fragment compression </v>
      </c>
      <c r="C95" s="428" t="str">
        <f>VLOOKUP(A95,'Feature Raw Data'!$A$3:$C$3922,3,FALSE)</f>
        <v>P1</v>
      </c>
      <c r="D95" s="429" t="str" cm="1">
        <f t="array" ref="D95">_xlfn.TEXTJOIN("",TRUE,IF(ISNUMBER(SEARCH($A95,'Diags Raw Data'!$A$6:$A$3761)),CONCATENATE('Diags Raw Data'!$H$6:$H$3761,", "),""))</f>
        <v/>
      </c>
      <c r="E95" s="340" t="e">
        <f>VLOOKUP(A95,'Diags Raw Data'!$A$6:$D$3761,4,FALSE)</f>
        <v>#N/A</v>
      </c>
      <c r="F95" s="340" t="str">
        <f>VLOOKUP(A95,'Feature Raw Data'!$A$3:$E$3922,5,FALSE)</f>
        <v>New</v>
      </c>
      <c r="G95" s="340" t="str">
        <f t="shared" si="6"/>
        <v>Yes</v>
      </c>
      <c r="H95" s="340" t="str">
        <f t="shared" si="7"/>
        <v>Yes</v>
      </c>
      <c r="I95" s="428">
        <f>SUMIF('Diags Raw Data'!$A$6:$A$3761,"*"&amp;$A95&amp;"*",'Diags Raw Data'!$K$6:$K$3761)</f>
        <v>0</v>
      </c>
      <c r="J95" s="430">
        <f>SUMIF('Diags Raw Data'!$A$6:$A$3761,"*"&amp;$A95&amp;"*",'Diags Raw Data'!$L$6:$L$3761)</f>
        <v>0</v>
      </c>
      <c r="K95" s="468" cm="1">
        <f t="array" ref="K95">IF(D95="",0, SUMPRODUCT(--(ISNUMBER(SEARCH($A95,'Diags Raw Data'!$A$6:$A$3761))),'Diags Raw Data'!$L$6:$L$3761,'Diags Raw Data'!$N$6:$N$3761)/J95)</f>
        <v>0</v>
      </c>
      <c r="L95" s="469" cm="1">
        <f t="array" ref="L95">IF(D95="",0, SUMPRODUCT(--(ISNUMBER(SEARCH($A95,'Diags Raw Data'!$A$6:$A$3761))),'Diags Raw Data'!$L$6:$L$3761,'Diags Raw Data'!$P$6:$P$3761)/J95)</f>
        <v>0</v>
      </c>
      <c r="M95" s="470" cm="1">
        <f t="array" ref="M95">SUMPRODUCT(--(ISNUMBER(SEARCH($A95,'Diags Raw Data'!$A$6:$A$3761))),--('Diags Raw Data'!$Q$6:$Q$3761&lt;&gt;"N/A"),'Diags Raw Data'!$R$6:$R$3761)</f>
        <v>0</v>
      </c>
      <c r="N95" s="471" cm="1">
        <f t="array" ref="N95">SUMPRODUCT(--(ISNUMBER(SEARCH($A95,'Diags Raw Data'!$A$6:$A$3761))),--('Diags Raw Data'!$Q$6:$Q$3761&lt;&gt;"N/A"),'Diags Raw Data'!$T$6:$T$3761)+SUMPRODUCT(--(ISNUMBER(SEARCH($A95,'Diags Raw Data'!$A$6:$A$3761))),--('Diags Raw Data'!$Q$6:$Q$3761&lt;&gt;"N/A"),'Diags Raw Data'!$U$6:$U$3761)</f>
        <v>0</v>
      </c>
      <c r="O95" s="472">
        <f>IF((M95=0),0,N95/M95)</f>
        <v>0</v>
      </c>
      <c r="P95" s="473">
        <f>SUMIF('Diags Raw Data'!$A$6:$A$3761,"*"&amp;$A95&amp;"*",'Diags Raw Data'!$Z$6:$Z$3761)</f>
        <v>0</v>
      </c>
      <c r="Q95" s="474">
        <f>SUM(SUMIF('Diags Raw Data'!$A$6:$A$3761,"*"&amp;$A95&amp;"*",'Diags Raw Data'!$AA$6:$AA$3761),SUMIF('Diags Raw Data'!$A$6:$A$3761,"*"&amp;$A95&amp;"*",'Diags Raw Data'!$AB$6:$AB$3761))</f>
        <v>0</v>
      </c>
      <c r="R95" s="475">
        <f t="shared" si="8"/>
        <v>0</v>
      </c>
      <c r="S95" s="475">
        <f t="shared" si="9"/>
        <v>0</v>
      </c>
      <c r="T95" s="476">
        <f t="shared" si="10"/>
        <v>0</v>
      </c>
      <c r="U95" s="425" t="e">
        <f>VLOOKUP(A95,'Diags Raw Data'!$A$6:$AH$3761,33,FALSE)</f>
        <v>#N/A</v>
      </c>
      <c r="V95" s="181"/>
    </row>
    <row r="96" spans="1:22" ht="15.75" thickBot="1" x14ac:dyDescent="0.3">
      <c r="A96" s="530">
        <v>12.173999999999999</v>
      </c>
      <c r="B96" s="427" t="str">
        <f>VLOOKUP(A96,'Feature Raw Data'!$A$3:$B$3922,2,FALSE)</f>
        <v>RS64 64bit Stream Input</v>
      </c>
      <c r="C96" s="428" t="str">
        <f>VLOOKUP(A96,'Feature Raw Data'!$A$3:$C$3922,3,FALSE)</f>
        <v>P1</v>
      </c>
      <c r="D96" s="429" t="str" cm="1">
        <f t="array" ref="D96">_xlfn.TEXTJOIN("",TRUE,IF(ISNUMBER(SEARCH($A96,'Diags Raw Data'!$A$6:$A$3761)),CONCATENATE('Diags Raw Data'!$H$6:$H$3761,", "),""))</f>
        <v/>
      </c>
      <c r="E96" s="340" t="e">
        <f>VLOOKUP(A96,'Diags Raw Data'!$A$6:$D$3761,4,FALSE)</f>
        <v>#N/A</v>
      </c>
      <c r="F96" s="340" t="str">
        <f>VLOOKUP(A96,'Feature Raw Data'!$A$3:$E$3922,5,FALSE)</f>
        <v>New</v>
      </c>
      <c r="G96" s="340" t="str">
        <f t="shared" si="6"/>
        <v>Yes</v>
      </c>
      <c r="H96" s="340" t="str">
        <f t="shared" si="7"/>
        <v>Yes</v>
      </c>
      <c r="I96" s="428">
        <f>SUMIF('Diags Raw Data'!$A$6:$A$3761,"*"&amp;$A96&amp;"*",'Diags Raw Data'!$K$6:$K$3761)</f>
        <v>0</v>
      </c>
      <c r="J96" s="430">
        <f>SUMIF('Diags Raw Data'!$A$6:$A$3761,"*"&amp;$A96&amp;"*",'Diags Raw Data'!$L$6:$L$3761)</f>
        <v>0</v>
      </c>
      <c r="K96" s="468" cm="1">
        <f t="array" ref="K96">IF(D96="",0, SUMPRODUCT(--(ISNUMBER(SEARCH($A96,'Diags Raw Data'!$A$6:$A$3761))),'Diags Raw Data'!$L$6:$L$3761,'Diags Raw Data'!$N$6:$N$3761)/J96)</f>
        <v>0</v>
      </c>
      <c r="L96" s="469" cm="1">
        <f t="array" ref="L96">IF(D96="",0, SUMPRODUCT(--(ISNUMBER(SEARCH($A96,'Diags Raw Data'!$A$6:$A$3761))),'Diags Raw Data'!$L$6:$L$3761,'Diags Raw Data'!$P$6:$P$3761)/J96)</f>
        <v>0</v>
      </c>
      <c r="M96" s="470" cm="1">
        <f t="array" ref="M96">SUMPRODUCT(--(ISNUMBER(SEARCH($A96,'Diags Raw Data'!$A$6:$A$3761))),--('Diags Raw Data'!$Q$6:$Q$3761&lt;&gt;"N/A"),'Diags Raw Data'!$R$6:$R$3761)</f>
        <v>0</v>
      </c>
      <c r="N96" s="471" cm="1">
        <f t="array" ref="N96">SUMPRODUCT(--(ISNUMBER(SEARCH($A96,'Diags Raw Data'!$A$6:$A$3761))),--('Diags Raw Data'!$Q$6:$Q$3761&lt;&gt;"N/A"),'Diags Raw Data'!$T$6:$T$3761)+SUMPRODUCT(--(ISNUMBER(SEARCH($A96,'Diags Raw Data'!$A$6:$A$3761))),--('Diags Raw Data'!$Q$6:$Q$3761&lt;&gt;"N/A"),'Diags Raw Data'!$U$6:$U$3761)</f>
        <v>0</v>
      </c>
      <c r="O96" s="472">
        <f>IF((M96=0),0,N96/M96)</f>
        <v>0</v>
      </c>
      <c r="P96" s="473">
        <f>SUMIF('Diags Raw Data'!$A$6:$A$3761,"*"&amp;$A96&amp;"*",'Diags Raw Data'!$Z$6:$Z$3761)</f>
        <v>0</v>
      </c>
      <c r="Q96" s="474">
        <f>SUM(SUMIF('Diags Raw Data'!$A$6:$A$3761,"*"&amp;$A96&amp;"*",'Diags Raw Data'!$AA$6:$AA$3761),SUMIF('Diags Raw Data'!$A$6:$A$3761,"*"&amp;$A96&amp;"*",'Diags Raw Data'!$AB$6:$AB$3761))</f>
        <v>0</v>
      </c>
      <c r="R96" s="475">
        <f t="shared" si="8"/>
        <v>0</v>
      </c>
      <c r="S96" s="475">
        <f t="shared" si="9"/>
        <v>0</v>
      </c>
      <c r="T96" s="476">
        <f t="shared" si="10"/>
        <v>0</v>
      </c>
      <c r="U96" s="425" t="e">
        <f>VLOOKUP(A96,'Diags Raw Data'!$A$6:$AH$3761,33,FALSE)</f>
        <v>#N/A</v>
      </c>
      <c r="V96" s="181"/>
    </row>
    <row r="97" spans="1:22" ht="15.75" thickBot="1" x14ac:dyDescent="0.3">
      <c r="A97" s="530">
        <v>12.175000000000001</v>
      </c>
      <c r="B97" s="427" t="str">
        <f>VLOOKUP(A97,'Feature Raw Data'!$A$3:$B$3922,2,FALSE)</f>
        <v>RS64 Atomic ISA Ext</v>
      </c>
      <c r="C97" s="428" t="str">
        <f>VLOOKUP(A97,'Feature Raw Data'!$A$3:$C$3922,3,FALSE)</f>
        <v>P1</v>
      </c>
      <c r="D97" s="429" t="str" cm="1">
        <f t="array" ref="D97">_xlfn.TEXTJOIN("",TRUE,IF(ISNUMBER(SEARCH($A97,'Diags Raw Data'!$A$6:$A$3761)),CONCATENATE('Diags Raw Data'!$H$6:$H$3761,", "),""))</f>
        <v xml:space="preserve">gci30.3,with,aql, </v>
      </c>
      <c r="E97" s="340" t="str">
        <f>VLOOKUP(A97,'Diags Raw Data'!$A$6:$D$3761,4,FALSE)</f>
        <v>CTL</v>
      </c>
      <c r="F97" s="340" t="str">
        <f>VLOOKUP(A97,'Feature Raw Data'!$A$3:$E$3922,5,FALSE)</f>
        <v>New</v>
      </c>
      <c r="G97" s="340" t="str">
        <f t="shared" si="6"/>
        <v>Yes</v>
      </c>
      <c r="H97" s="340" t="str">
        <f t="shared" si="7"/>
        <v>Yes</v>
      </c>
      <c r="I97" s="428">
        <f>SUMIF('Diags Raw Data'!$A$6:$A$3761,"*"&amp;$A97&amp;"*",'Diags Raw Data'!$K$6:$K$3761)</f>
        <v>0</v>
      </c>
      <c r="J97" s="430">
        <f>SUMIF('Diags Raw Data'!$A$6:$A$3761,"*"&amp;$A97&amp;"*",'Diags Raw Data'!$L$6:$L$3761)</f>
        <v>0</v>
      </c>
      <c r="K97" s="468" t="e" cm="1">
        <f t="array" ref="K97">IF(D97="",0, SUMPRODUCT(--(ISNUMBER(SEARCH($A97,'Diags Raw Data'!$A$6:$A$3761))),'Diags Raw Data'!$L$6:$L$3761,'Diags Raw Data'!$N$6:$N$3761)/J97)</f>
        <v>#DIV/0!</v>
      </c>
      <c r="L97" s="469" t="e" cm="1">
        <f t="array" ref="L97">IF(D97="",0, SUMPRODUCT(--(ISNUMBER(SEARCH($A97,'Diags Raw Data'!$A$6:$A$3761))),'Diags Raw Data'!$L$6:$L$3761,'Diags Raw Data'!$P$6:$P$3761)/J97)</f>
        <v>#DIV/0!</v>
      </c>
      <c r="M97" s="470" cm="1">
        <f t="array" ref="M97">SUMPRODUCT(--(ISNUMBER(SEARCH($A97,'Diags Raw Data'!$A$6:$A$3761))),--('Diags Raw Data'!$Q$6:$Q$3761&lt;&gt;"N/A"),'Diags Raw Data'!$R$6:$R$3761)</f>
        <v>1</v>
      </c>
      <c r="N97" s="471" cm="1">
        <f t="array" ref="N97">SUMPRODUCT(--(ISNUMBER(SEARCH($A97,'Diags Raw Data'!$A$6:$A$3761))),--('Diags Raw Data'!$Q$6:$Q$3761&lt;&gt;"N/A"),'Diags Raw Data'!$T$6:$T$3761)+SUMPRODUCT(--(ISNUMBER(SEARCH($A97,'Diags Raw Data'!$A$6:$A$3761))),--('Diags Raw Data'!$Q$6:$Q$3761&lt;&gt;"N/A"),'Diags Raw Data'!$U$6:$U$3761)</f>
        <v>0</v>
      </c>
      <c r="O97" s="472">
        <f>IF((M97=0),0,N97/M97)</f>
        <v>0</v>
      </c>
      <c r="P97" s="473">
        <f>SUMIF('Diags Raw Data'!$A$6:$A$3761,"*"&amp;$A97&amp;"*",'Diags Raw Data'!$Z$6:$Z$3761)</f>
        <v>0</v>
      </c>
      <c r="Q97" s="474">
        <f>SUM(SUMIF('Diags Raw Data'!$A$6:$A$3761,"*"&amp;$A97&amp;"*",'Diags Raw Data'!$AA$6:$AA$3761),SUMIF('Diags Raw Data'!$A$6:$A$3761,"*"&amp;$A97&amp;"*",'Diags Raw Data'!$AB$6:$AB$3761))</f>
        <v>0</v>
      </c>
      <c r="R97" s="475">
        <f>IF((J97=0),0,P97/J97)</f>
        <v>0</v>
      </c>
      <c r="S97" s="475">
        <f>IF((P97=0),0,Q97/P97)</f>
        <v>0</v>
      </c>
      <c r="T97" s="476">
        <f>R97*S97</f>
        <v>0</v>
      </c>
      <c r="U97" s="425" t="str">
        <f>VLOOKUP(A97,'Diags Raw Data'!$A$6:$AH$3761,33,FALSE)</f>
        <v>WK5</v>
      </c>
      <c r="V97" s="181"/>
    </row>
    <row r="98" spans="1:22" ht="30.75" thickBot="1" x14ac:dyDescent="0.3">
      <c r="A98" s="530">
        <v>12.183999999999999</v>
      </c>
      <c r="B98" s="427" t="str">
        <f>VLOOKUP(A98,'Feature Raw Data'!$A$3:$B$3922,2,FALSE)</f>
        <v>GLx bus widths and configuration</v>
      </c>
      <c r="C98" s="428" t="str">
        <f>VLOOKUP(A98,'Feature Raw Data'!$A$3:$C$3922,3,FALSE)</f>
        <v>P1</v>
      </c>
      <c r="D98" s="429" t="str" cm="1">
        <f t="array" ref="D98">_xlfn.TEXTJOIN("",TRUE,IF(ISNUMBER(SEARCH($A98,'Diags Raw Data'!$A$6:$A$3761)),CONCATENATE('Diags Raw Data'!$H$6:$H$3761,", "),""))</f>
        <v xml:space="preserve">placeholder_g.1-8, </v>
      </c>
      <c r="E98" s="340" t="str">
        <f>VLOOKUP(A98,'Diags Raw Data'!$A$6:$D$3761,4,FALSE)</f>
        <v>CMM</v>
      </c>
      <c r="F98" s="340" t="str">
        <f>VLOOKUP(A98,'Feature Raw Data'!$A$3:$E$3922,5,FALSE)</f>
        <v>New</v>
      </c>
      <c r="G98" s="340" t="str">
        <f t="shared" si="6"/>
        <v>Yes</v>
      </c>
      <c r="H98" s="340" t="str">
        <f t="shared" si="7"/>
        <v>Yes</v>
      </c>
      <c r="I98" s="428">
        <f>SUMIF('Diags Raw Data'!$A$6:$A$3761,"*"&amp;$A98&amp;"*",'Diags Raw Data'!$K$6:$K$3761)</f>
        <v>0</v>
      </c>
      <c r="J98" s="430">
        <f>SUMIF('Diags Raw Data'!$A$6:$A$3761,"*"&amp;$A98&amp;"*",'Diags Raw Data'!$L$6:$L$3761)</f>
        <v>0</v>
      </c>
      <c r="K98" s="468" t="e" cm="1">
        <f t="array" ref="K98">IF(D98="",0, SUMPRODUCT(--(ISNUMBER(SEARCH($A98,'Diags Raw Data'!$A$6:$A$3761))),'Diags Raw Data'!$L$6:$L$3761,'Diags Raw Data'!$N$6:$N$3761)/J98)</f>
        <v>#DIV/0!</v>
      </c>
      <c r="L98" s="469" t="e" cm="1">
        <f t="array" ref="L98">IF(D98="",0, SUMPRODUCT(--(ISNUMBER(SEARCH($A98,'Diags Raw Data'!$A$6:$A$3761))),'Diags Raw Data'!$L$6:$L$3761,'Diags Raw Data'!$P$6:$P$3761)/J98)</f>
        <v>#DIV/0!</v>
      </c>
      <c r="M98" s="470" cm="1">
        <f t="array" ref="M98">SUMPRODUCT(--(ISNUMBER(SEARCH($A98,'Diags Raw Data'!$A$6:$A$3761))),--('Diags Raw Data'!$Q$6:$Q$3761&lt;&gt;"N/A"),'Diags Raw Data'!$R$6:$R$3761)</f>
        <v>8</v>
      </c>
      <c r="N98" s="471" cm="1">
        <f t="array" ref="N98">SUMPRODUCT(--(ISNUMBER(SEARCH($A98,'Diags Raw Data'!$A$6:$A$3761))),--('Diags Raw Data'!$Q$6:$Q$3761&lt;&gt;"N/A"),'Diags Raw Data'!$T$6:$T$3761)+SUMPRODUCT(--(ISNUMBER(SEARCH($A98,'Diags Raw Data'!$A$6:$A$3761))),--('Diags Raw Data'!$Q$6:$Q$3761&lt;&gt;"N/A"),'Diags Raw Data'!$U$6:$U$3761)</f>
        <v>8</v>
      </c>
      <c r="O98" s="472">
        <f t="shared" si="11"/>
        <v>1</v>
      </c>
      <c r="P98" s="473">
        <f>SUMIF('Diags Raw Data'!$A$6:$A$3761,"*"&amp;$A98&amp;"*",'Diags Raw Data'!$Z$6:$Z$3761)</f>
        <v>0</v>
      </c>
      <c r="Q98" s="474">
        <f>SUM(SUMIF('Diags Raw Data'!$A$6:$A$3761,"*"&amp;$A98&amp;"*",'Diags Raw Data'!$AA$6:$AA$3761),SUMIF('Diags Raw Data'!$A$6:$A$3761,"*"&amp;$A98&amp;"*",'Diags Raw Data'!$AB$6:$AB$3761))</f>
        <v>0</v>
      </c>
      <c r="R98" s="475">
        <f t="shared" si="8"/>
        <v>0</v>
      </c>
      <c r="S98" s="475">
        <f t="shared" si="9"/>
        <v>0</v>
      </c>
      <c r="T98" s="476">
        <f t="shared" si="10"/>
        <v>0</v>
      </c>
      <c r="U98" s="425" t="str">
        <f>VLOOKUP(A98,'Diags Raw Data'!$A$6:$AH$3761,33,FALSE)</f>
        <v>WK2</v>
      </c>
      <c r="V98" s="181"/>
    </row>
    <row r="99" spans="1:22" ht="60.75" thickBot="1" x14ac:dyDescent="0.3">
      <c r="A99" s="530">
        <v>12.185</v>
      </c>
      <c r="B99" s="427" t="str">
        <f>VLOOKUP(A99,'Feature Raw Data'!$A$3:$B$3922,2,FALSE)</f>
        <v>CH 256B read/write support</v>
      </c>
      <c r="C99" s="428" t="str">
        <f>VLOOKUP(A99,'Feature Raw Data'!$A$3:$C$3922,3,FALSE)</f>
        <v>P1</v>
      </c>
      <c r="D99" s="429" t="str" cm="1">
        <f t="array" ref="D99">_xlfn.TEXTJOIN("",TRUE,IF(ISNUMBER(SEARCH($A99,'Diags Raw Data'!$A$6:$A$3761)),CONCATENATE('Diags Raw Data'!$H$6:$H$3761,", "),""))</f>
        <v xml:space="preserve">gfx.cmm_cp_ch_access_size_monolithic_gfx12,gfx.cmm_sdma_access_size_monolithic, </v>
      </c>
      <c r="E99" s="340" t="str">
        <f>VLOOKUP(A99,'Diags Raw Data'!$A$6:$D$3761,4,FALSE)</f>
        <v>CMM</v>
      </c>
      <c r="F99" s="340" t="str">
        <f>VLOOKUP(A99,'Feature Raw Data'!$A$3:$E$3922,5,FALSE)</f>
        <v>New</v>
      </c>
      <c r="G99" s="340" t="str">
        <f t="shared" si="6"/>
        <v>Yes</v>
      </c>
      <c r="H99" s="340" t="str">
        <f t="shared" si="7"/>
        <v>Yes</v>
      </c>
      <c r="I99" s="428">
        <f>SUMIF('Diags Raw Data'!$A$6:$A$3761,"*"&amp;$A99&amp;"*",'Diags Raw Data'!$K$6:$K$3761)</f>
        <v>0</v>
      </c>
      <c r="J99" s="430">
        <f>SUMIF('Diags Raw Data'!$A$6:$A$3761,"*"&amp;$A99&amp;"*",'Diags Raw Data'!$L$6:$L$3761)</f>
        <v>0</v>
      </c>
      <c r="K99" s="468" t="e" cm="1">
        <f t="array" ref="K99">IF(D99="",0, SUMPRODUCT(--(ISNUMBER(SEARCH($A99,'Diags Raw Data'!$A$6:$A$3761))),'Diags Raw Data'!$L$6:$L$3761,'Diags Raw Data'!$N$6:$N$3761)/J99)</f>
        <v>#DIV/0!</v>
      </c>
      <c r="L99" s="469" t="e" cm="1">
        <f t="array" ref="L99">IF(D99="",0, SUMPRODUCT(--(ISNUMBER(SEARCH($A99,'Diags Raw Data'!$A$6:$A$3761))),'Diags Raw Data'!$L$6:$L$3761,'Diags Raw Data'!$P$6:$P$3761)/J99)</f>
        <v>#DIV/0!</v>
      </c>
      <c r="M99" s="470" cm="1">
        <f t="array" ref="M99">SUMPRODUCT(--(ISNUMBER(SEARCH($A99,'Diags Raw Data'!$A$6:$A$3761))),--('Diags Raw Data'!$Q$6:$Q$3761&lt;&gt;"N/A"),'Diags Raw Data'!$R$6:$R$3761)</f>
        <v>2</v>
      </c>
      <c r="N99" s="471" cm="1">
        <f t="array" ref="N99">SUMPRODUCT(--(ISNUMBER(SEARCH($A99,'Diags Raw Data'!$A$6:$A$3761))),--('Diags Raw Data'!$Q$6:$Q$3761&lt;&gt;"N/A"),'Diags Raw Data'!$T$6:$T$3761)+SUMPRODUCT(--(ISNUMBER(SEARCH($A99,'Diags Raw Data'!$A$6:$A$3761))),--('Diags Raw Data'!$Q$6:$Q$3761&lt;&gt;"N/A"),'Diags Raw Data'!$U$6:$U$3761)</f>
        <v>2</v>
      </c>
      <c r="O99" s="472">
        <f t="shared" si="11"/>
        <v>1</v>
      </c>
      <c r="P99" s="473">
        <f>SUMIF('Diags Raw Data'!$A$6:$A$3761,"*"&amp;$A99&amp;"*",'Diags Raw Data'!$Z$6:$Z$3761)</f>
        <v>0</v>
      </c>
      <c r="Q99" s="474">
        <f>SUM(SUMIF('Diags Raw Data'!$A$6:$A$3761,"*"&amp;$A99&amp;"*",'Diags Raw Data'!$AA$6:$AA$3761),SUMIF('Diags Raw Data'!$A$6:$A$3761,"*"&amp;$A99&amp;"*",'Diags Raw Data'!$AB$6:$AB$3761))</f>
        <v>0</v>
      </c>
      <c r="R99" s="475">
        <f t="shared" si="8"/>
        <v>0</v>
      </c>
      <c r="S99" s="475">
        <f t="shared" si="9"/>
        <v>0</v>
      </c>
      <c r="T99" s="476">
        <f t="shared" si="10"/>
        <v>0</v>
      </c>
      <c r="U99" s="425" t="str">
        <f>VLOOKUP(A99,'Diags Raw Data'!$A$6:$AH$3761,33,FALSE)</f>
        <v>WK3</v>
      </c>
      <c r="V99" s="181"/>
    </row>
    <row r="100" spans="1:22" ht="45.75" thickBot="1" x14ac:dyDescent="0.3">
      <c r="A100" s="530">
        <v>12.186</v>
      </c>
      <c r="B100" s="427" t="str">
        <f>VLOOKUP(A100,'Feature Raw Data'!$A$3:$B$3922,2,FALSE)</f>
        <v>Add SP support for float8 (fp8/bf8) dot products (ieee and/or non-ieee)</v>
      </c>
      <c r="C100" s="428" t="str">
        <f>VLOOKUP(A100,'Feature Raw Data'!$A$3:$C$3922,3,FALSE)</f>
        <v>P1</v>
      </c>
      <c r="D100" s="429" t="str" cm="1">
        <f t="array" ref="D100">_xlfn.TEXTJOIN("",TRUE,IF(ISNUMBER(SEARCH($A100,'Diags Raw Data'!$A$6:$A$3761)),CONCATENATE('Diags Raw Data'!$H$6:$H$3761,", "),""))</f>
        <v xml:space="preserve">gfx.inst_perf/v_wmma.*,gfx.inst_perf/v_cvt.*,gfx.inst_perf/v_dot4_f32.*, </v>
      </c>
      <c r="E100" s="340" t="str">
        <f>VLOOKUP(A100,'Diags Raw Data'!$A$6:$D$3761,4,FALSE)</f>
        <v>SH</v>
      </c>
      <c r="F100" s="340" t="str">
        <f>VLOOKUP(A100,'Feature Raw Data'!$A$3:$E$3922,5,FALSE)</f>
        <v>New</v>
      </c>
      <c r="G100" s="340" t="str">
        <f t="shared" si="6"/>
        <v>Yes</v>
      </c>
      <c r="H100" s="340" t="str">
        <f t="shared" si="7"/>
        <v>Yes</v>
      </c>
      <c r="I100" s="428">
        <f>SUMIF('Diags Raw Data'!$A$6:$A$3761,"*"&amp;$A100&amp;"*",'Diags Raw Data'!$K$6:$K$3761)</f>
        <v>0</v>
      </c>
      <c r="J100" s="430">
        <f>SUMIF('Diags Raw Data'!$A$6:$A$3761,"*"&amp;$A100&amp;"*",'Diags Raw Data'!$L$6:$L$3761)</f>
        <v>0</v>
      </c>
      <c r="K100" s="468" t="e" cm="1">
        <f t="array" ref="K100">IF(D100="",0, SUMPRODUCT(--(ISNUMBER(SEARCH($A100,'Diags Raw Data'!$A$6:$A$3761))),'Diags Raw Data'!$L$6:$L$3761,'Diags Raw Data'!$N$6:$N$3761)/J100)</f>
        <v>#DIV/0!</v>
      </c>
      <c r="L100" s="469" t="e" cm="1">
        <f t="array" ref="L100">IF(D100="",0, SUMPRODUCT(--(ISNUMBER(SEARCH($A100,'Diags Raw Data'!$A$6:$A$3761))),'Diags Raw Data'!$L$6:$L$3761,'Diags Raw Data'!$P$6:$P$3761)/J100)</f>
        <v>#DIV/0!</v>
      </c>
      <c r="M100" s="470" cm="1">
        <f t="array" ref="M100">SUMPRODUCT(--(ISNUMBER(SEARCH($A100,'Diags Raw Data'!$A$6:$A$3761))),--('Diags Raw Data'!$Q$6:$Q$3761&lt;&gt;"N/A"),'Diags Raw Data'!$R$6:$R$3761)</f>
        <v>15</v>
      </c>
      <c r="N100" s="471" cm="1">
        <f t="array" ref="N100">SUMPRODUCT(--(ISNUMBER(SEARCH($A100,'Diags Raw Data'!$A$6:$A$3761))),--('Diags Raw Data'!$Q$6:$Q$3761&lt;&gt;"N/A"),'Diags Raw Data'!$T$6:$T$3761)+SUMPRODUCT(--(ISNUMBER(SEARCH($A100,'Diags Raw Data'!$A$6:$A$3761))),--('Diags Raw Data'!$Q$6:$Q$3761&lt;&gt;"N/A"),'Diags Raw Data'!$U$6:$U$3761)</f>
        <v>15</v>
      </c>
      <c r="O100" s="472">
        <f t="shared" si="11"/>
        <v>1</v>
      </c>
      <c r="P100" s="473">
        <f>SUMIF('Diags Raw Data'!$A$6:$A$3761,"*"&amp;$A100&amp;"*",'Diags Raw Data'!$Z$6:$Z$3761)</f>
        <v>0</v>
      </c>
      <c r="Q100" s="474">
        <f>SUM(SUMIF('Diags Raw Data'!$A$6:$A$3761,"*"&amp;$A100&amp;"*",'Diags Raw Data'!$AA$6:$AA$3761),SUMIF('Diags Raw Data'!$A$6:$A$3761,"*"&amp;$A100&amp;"*",'Diags Raw Data'!$AB$6:$AB$3761))</f>
        <v>0</v>
      </c>
      <c r="R100" s="475">
        <f t="shared" si="8"/>
        <v>0</v>
      </c>
      <c r="S100" s="475">
        <f t="shared" si="9"/>
        <v>0</v>
      </c>
      <c r="T100" s="476">
        <f t="shared" si="10"/>
        <v>0</v>
      </c>
      <c r="U100" s="425" t="str">
        <f>VLOOKUP(A100,'Diags Raw Data'!$A$6:$AH$3761,33,FALSE)</f>
        <v>WK3</v>
      </c>
      <c r="V100" s="181"/>
    </row>
    <row r="101" spans="1:22" ht="30.75" thickBot="1" x14ac:dyDescent="0.3">
      <c r="A101" s="530">
        <v>12.188000000000001</v>
      </c>
      <c r="B101" s="427" t="str">
        <f>VLOOKUP(A101,'Feature Raw Data'!$A$3:$B$3922,2,FALSE)</f>
        <v>Make shader round-robin arb in workgroup usable by driver</v>
      </c>
      <c r="C101" s="428" t="str">
        <f>VLOOKUP(A101,'Feature Raw Data'!$A$3:$C$3922,3,FALSE)</f>
        <v>P1</v>
      </c>
      <c r="D101" s="429" t="str" cm="1">
        <f t="array" ref="D101">_xlfn.TEXTJOIN("",TRUE,IF(ISNUMBER(SEARCH($A101,'Diags Raw Data'!$A$6:$A$3761)),CONCATENATE('Diags Raw Data'!$H$6:$H$3761,", "),""))</f>
        <v xml:space="preserve">gci1306.0-2,gssi212.11, </v>
      </c>
      <c r="E101" s="340" t="str">
        <f>VLOOKUP(A101,'Diags Raw Data'!$A$6:$D$3761,4,FALSE)</f>
        <v>SH</v>
      </c>
      <c r="F101" s="340" t="str">
        <f>VLOOKUP(A101,'Feature Raw Data'!$A$3:$E$3922,5,FALSE)</f>
        <v>New</v>
      </c>
      <c r="G101" s="340" t="str">
        <f t="shared" si="6"/>
        <v>Yes</v>
      </c>
      <c r="H101" s="340" t="str">
        <f t="shared" si="7"/>
        <v>Yes</v>
      </c>
      <c r="I101" s="428">
        <f>SUMIF('Diags Raw Data'!$A$6:$A$3761,"*"&amp;$A101&amp;"*",'Diags Raw Data'!$K$6:$K$3761)</f>
        <v>0</v>
      </c>
      <c r="J101" s="430">
        <f>SUMIF('Diags Raw Data'!$A$6:$A$3761,"*"&amp;$A101&amp;"*",'Diags Raw Data'!$L$6:$L$3761)</f>
        <v>0</v>
      </c>
      <c r="K101" s="468" t="e" cm="1">
        <f t="array" ref="K101">IF(D101="",0, SUMPRODUCT(--(ISNUMBER(SEARCH($A101,'Diags Raw Data'!$A$6:$A$3761))),'Diags Raw Data'!$L$6:$L$3761,'Diags Raw Data'!$N$6:$N$3761)/J101)</f>
        <v>#DIV/0!</v>
      </c>
      <c r="L101" s="469" t="e" cm="1">
        <f t="array" ref="L101">IF(D101="",0, SUMPRODUCT(--(ISNUMBER(SEARCH($A101,'Diags Raw Data'!$A$6:$A$3761))),'Diags Raw Data'!$L$6:$L$3761,'Diags Raw Data'!$P$6:$P$3761)/J101)</f>
        <v>#DIV/0!</v>
      </c>
      <c r="M101" s="470" cm="1">
        <f t="array" ref="M101">SUMPRODUCT(--(ISNUMBER(SEARCH($A101,'Diags Raw Data'!$A$6:$A$3761))),--('Diags Raw Data'!$Q$6:$Q$3761&lt;&gt;"N/A"),'Diags Raw Data'!$R$6:$R$3761)</f>
        <v>3</v>
      </c>
      <c r="N101" s="471" cm="1">
        <f t="array" ref="N101">SUMPRODUCT(--(ISNUMBER(SEARCH($A101,'Diags Raw Data'!$A$6:$A$3761))),--('Diags Raw Data'!$Q$6:$Q$3761&lt;&gt;"N/A"),'Diags Raw Data'!$T$6:$T$3761)+SUMPRODUCT(--(ISNUMBER(SEARCH($A101,'Diags Raw Data'!$A$6:$A$3761))),--('Diags Raw Data'!$Q$6:$Q$3761&lt;&gt;"N/A"),'Diags Raw Data'!$U$6:$U$3761)</f>
        <v>3</v>
      </c>
      <c r="O101" s="472">
        <f>IF((M101=0),0,N101/M101)</f>
        <v>1</v>
      </c>
      <c r="P101" s="473">
        <f>SUMIF('Diags Raw Data'!$A$6:$A$3761,"*"&amp;$A101&amp;"*",'Diags Raw Data'!$Z$6:$Z$3761)</f>
        <v>0</v>
      </c>
      <c r="Q101" s="474">
        <f>SUM(SUMIF('Diags Raw Data'!$A$6:$A$3761,"*"&amp;$A101&amp;"*",'Diags Raw Data'!$AA$6:$AA$3761),SUMIF('Diags Raw Data'!$A$6:$A$3761,"*"&amp;$A101&amp;"*",'Diags Raw Data'!$AB$6:$AB$3761))</f>
        <v>0</v>
      </c>
      <c r="R101" s="475">
        <f>IF((J101=0),0,P101/J101)</f>
        <v>0</v>
      </c>
      <c r="S101" s="475">
        <f t="shared" si="9"/>
        <v>0</v>
      </c>
      <c r="T101" s="476">
        <f t="shared" si="10"/>
        <v>0</v>
      </c>
      <c r="U101" s="425" t="str">
        <f>VLOOKUP(A101,'Diags Raw Data'!$A$6:$AH$3761,33,FALSE)</f>
        <v>WK4</v>
      </c>
      <c r="V101" s="181"/>
    </row>
    <row r="102" spans="1:22" ht="45.75" thickBot="1" x14ac:dyDescent="0.3">
      <c r="A102" s="530">
        <v>12.191000000000001</v>
      </c>
      <c r="B102" s="427" t="str">
        <f>VLOOKUP(A102,'Feature Raw Data'!$A$3:$B$3922,2,FALSE)</f>
        <v>Capture shader memviol source to speed up bringup debug</v>
      </c>
      <c r="C102" s="428" t="str">
        <f>VLOOKUP(A102,'Feature Raw Data'!$A$3:$C$3922,3,FALSE)</f>
        <v>P1</v>
      </c>
      <c r="D102" s="429" t="str" cm="1">
        <f t="array" ref="D102">_xlfn.TEXTJOIN("",TRUE,IF(ISNUMBER(SEARCH($A102,'Diags Raw Data'!$A$6:$A$3761)),CONCATENATE('Diags Raw Data'!$H$6:$H$3761,", "),""))</f>
        <v xml:space="preserve">gci1305.0,gci1305.3,gci1305.4,gci1305.5,gci1305.6, </v>
      </c>
      <c r="E102" s="340" t="str">
        <f>VLOOKUP(A102,'Diags Raw Data'!$A$6:$D$3761,4,FALSE)</f>
        <v>SH</v>
      </c>
      <c r="F102" s="340" t="str">
        <f>VLOOKUP(A102,'Feature Raw Data'!$A$3:$E$3922,5,FALSE)</f>
        <v>New</v>
      </c>
      <c r="G102" s="340" t="str">
        <f t="shared" si="6"/>
        <v>Yes</v>
      </c>
      <c r="H102" s="340" t="str">
        <f t="shared" si="7"/>
        <v>Yes</v>
      </c>
      <c r="I102" s="428">
        <f>SUMIF('Diags Raw Data'!$A$6:$A$3761,"*"&amp;$A102&amp;"*",'Diags Raw Data'!$K$6:$K$3761)</f>
        <v>0</v>
      </c>
      <c r="J102" s="430">
        <f>SUMIF('Diags Raw Data'!$A$6:$A$3761,"*"&amp;$A102&amp;"*",'Diags Raw Data'!$L$6:$L$3761)</f>
        <v>0</v>
      </c>
      <c r="K102" s="468" t="e" cm="1">
        <f t="array" ref="K102">IF(D102="",0, SUMPRODUCT(--(ISNUMBER(SEARCH($A102,'Diags Raw Data'!$A$6:$A$3761))),'Diags Raw Data'!$L$6:$L$3761,'Diags Raw Data'!$N$6:$N$3761)/J102)</f>
        <v>#DIV/0!</v>
      </c>
      <c r="L102" s="469" t="e" cm="1">
        <f t="array" ref="L102">IF(D102="",0, SUMPRODUCT(--(ISNUMBER(SEARCH($A102,'Diags Raw Data'!$A$6:$A$3761))),'Diags Raw Data'!$L$6:$L$3761,'Diags Raw Data'!$P$6:$P$3761)/J102)</f>
        <v>#DIV/0!</v>
      </c>
      <c r="M102" s="470" cm="1">
        <f t="array" ref="M102">SUMPRODUCT(--(ISNUMBER(SEARCH($A102,'Diags Raw Data'!$A$6:$A$3761))),--('Diags Raw Data'!$Q$6:$Q$3761&lt;&gt;"N/A"),'Diags Raw Data'!$R$6:$R$3761)</f>
        <v>5</v>
      </c>
      <c r="N102" s="471" cm="1">
        <f t="array" ref="N102">SUMPRODUCT(--(ISNUMBER(SEARCH($A102,'Diags Raw Data'!$A$6:$A$3761))),--('Diags Raw Data'!$Q$6:$Q$3761&lt;&gt;"N/A"),'Diags Raw Data'!$T$6:$T$3761)+SUMPRODUCT(--(ISNUMBER(SEARCH($A102,'Diags Raw Data'!$A$6:$A$3761))),--('Diags Raw Data'!$Q$6:$Q$3761&lt;&gt;"N/A"),'Diags Raw Data'!$U$6:$U$3761)</f>
        <v>5</v>
      </c>
      <c r="O102" s="472">
        <f t="shared" si="11"/>
        <v>1</v>
      </c>
      <c r="P102" s="473">
        <f>SUMIF('Diags Raw Data'!$A$6:$A$3761,"*"&amp;$A102&amp;"*",'Diags Raw Data'!$Z$6:$Z$3761)</f>
        <v>0</v>
      </c>
      <c r="Q102" s="474">
        <f>SUM(SUMIF('Diags Raw Data'!$A$6:$A$3761,"*"&amp;$A102&amp;"*",'Diags Raw Data'!$AA$6:$AA$3761),SUMIF('Diags Raw Data'!$A$6:$A$3761,"*"&amp;$A102&amp;"*",'Diags Raw Data'!$AB$6:$AB$3761))</f>
        <v>0</v>
      </c>
      <c r="R102" s="475">
        <f>IF((J102=0),0,P102/J102)</f>
        <v>0</v>
      </c>
      <c r="S102" s="475">
        <f t="shared" si="9"/>
        <v>0</v>
      </c>
      <c r="T102" s="476">
        <f t="shared" si="10"/>
        <v>0</v>
      </c>
      <c r="U102" s="425" t="str">
        <f>VLOOKUP(A102,'Diags Raw Data'!$A$6:$AH$3761,33,FALSE)</f>
        <v>WK5</v>
      </c>
      <c r="V102" s="181"/>
    </row>
    <row r="103" spans="1:22" ht="30.75" thickBot="1" x14ac:dyDescent="0.3">
      <c r="A103" s="530">
        <v>12.192</v>
      </c>
      <c r="B103" s="427" t="str">
        <f>VLOOKUP(A103,'Feature Raw Data'!$A$3:$B$3922,2,FALSE)</f>
        <v>UTCL2 UTCL1 Dummy INV interface removal</v>
      </c>
      <c r="C103" s="428" t="str">
        <f>VLOOKUP(A103,'Feature Raw Data'!$A$3:$C$3922,3,FALSE)</f>
        <v>P2</v>
      </c>
      <c r="D103" s="429" t="str" cm="1">
        <f t="array" ref="D103">_xlfn.TEXTJOIN("",TRUE,IF(ISNUMBER(SEARCH($A103,'Diags Raw Data'!$A$6:$A$3761)),CONCATENATE('Diags Raw Data'!$H$6:$H$3761,", "),""))</f>
        <v/>
      </c>
      <c r="E103" s="340" t="e">
        <f>VLOOKUP(A103,'Diags Raw Data'!$A$6:$D$3761,4,FALSE)</f>
        <v>#N/A</v>
      </c>
      <c r="F103" s="340" t="str">
        <f>VLOOKUP(A103,'Feature Raw Data'!$A$3:$E$3922,5,FALSE)</f>
        <v>New</v>
      </c>
      <c r="G103" s="340" t="str">
        <f t="shared" si="6"/>
        <v>Yes</v>
      </c>
      <c r="H103" s="340" t="str">
        <f t="shared" si="7"/>
        <v>Yes</v>
      </c>
      <c r="I103" s="428">
        <f>SUMIF('Diags Raw Data'!$A$6:$A$3761,"*"&amp;$A103&amp;"*",'Diags Raw Data'!$K$6:$K$3761)</f>
        <v>0</v>
      </c>
      <c r="J103" s="430">
        <f>SUMIF('Diags Raw Data'!$A$6:$A$3761,"*"&amp;$A103&amp;"*",'Diags Raw Data'!$L$6:$L$3761)</f>
        <v>0</v>
      </c>
      <c r="K103" s="468" cm="1">
        <f t="array" ref="K103">IF(D103="",0, SUMPRODUCT(--(ISNUMBER(SEARCH($A103,'Diags Raw Data'!$A$6:$A$3761))),'Diags Raw Data'!$L$6:$L$3761,'Diags Raw Data'!$N$6:$N$3761)/J103)</f>
        <v>0</v>
      </c>
      <c r="L103" s="469" cm="1">
        <f t="array" ref="L103">IF(D103="",0, SUMPRODUCT(--(ISNUMBER(SEARCH($A103,'Diags Raw Data'!$A$6:$A$3761))),'Diags Raw Data'!$L$6:$L$3761,'Diags Raw Data'!$P$6:$P$3761)/J103)</f>
        <v>0</v>
      </c>
      <c r="M103" s="470" cm="1">
        <f t="array" ref="M103">SUMPRODUCT(--(ISNUMBER(SEARCH($A103,'Diags Raw Data'!$A$6:$A$3761))),--('Diags Raw Data'!$Q$6:$Q$3761&lt;&gt;"N/A"),'Diags Raw Data'!$R$6:$R$3761)</f>
        <v>0</v>
      </c>
      <c r="N103" s="471" cm="1">
        <f t="array" ref="N103">SUMPRODUCT(--(ISNUMBER(SEARCH($A103,'Diags Raw Data'!$A$6:$A$3761))),--('Diags Raw Data'!$Q$6:$Q$3761&lt;&gt;"N/A"),'Diags Raw Data'!$T$6:$T$3761)+SUMPRODUCT(--(ISNUMBER(SEARCH($A103,'Diags Raw Data'!$A$6:$A$3761))),--('Diags Raw Data'!$Q$6:$Q$3761&lt;&gt;"N/A"),'Diags Raw Data'!$U$6:$U$3761)</f>
        <v>0</v>
      </c>
      <c r="O103" s="472">
        <f t="shared" si="11"/>
        <v>0</v>
      </c>
      <c r="P103" s="473">
        <f>SUMIF('Diags Raw Data'!$A$6:$A$3761,"*"&amp;$A103&amp;"*",'Diags Raw Data'!$Z$6:$Z$3761)</f>
        <v>0</v>
      </c>
      <c r="Q103" s="474">
        <f>SUM(SUMIF('Diags Raw Data'!$A$6:$A$3761,"*"&amp;$A103&amp;"*",'Diags Raw Data'!$AA$6:$AA$3761),SUMIF('Diags Raw Data'!$A$6:$A$3761,"*"&amp;$A103&amp;"*",'Diags Raw Data'!$AB$6:$AB$3761))</f>
        <v>0</v>
      </c>
      <c r="R103" s="475">
        <f>IF((J103=0),0,P103/J103)</f>
        <v>0</v>
      </c>
      <c r="S103" s="475">
        <f t="shared" si="9"/>
        <v>0</v>
      </c>
      <c r="T103" s="476">
        <f>R103*S103</f>
        <v>0</v>
      </c>
      <c r="U103" s="425" t="e">
        <f>VLOOKUP(A103,'Diags Raw Data'!$A$6:$AH$3761,33,FALSE)</f>
        <v>#N/A</v>
      </c>
      <c r="V103" s="535" t="s">
        <v>361</v>
      </c>
    </row>
    <row r="104" spans="1:22" ht="30.75" thickBot="1" x14ac:dyDescent="0.3">
      <c r="A104" s="530">
        <v>12.193</v>
      </c>
      <c r="B104" s="427" t="str">
        <f>VLOOKUP(A104,'Feature Raw Data'!$A$3:$B$3922,2,FALSE)</f>
        <v>Additional SAx client to UTCL1 (from 12.</v>
      </c>
      <c r="C104" s="428" t="str">
        <f>VLOOKUP(A104,'Feature Raw Data'!$A$3:$C$3922,3,FALSE)</f>
        <v>P1</v>
      </c>
      <c r="D104" s="429" t="str" cm="1">
        <f t="array" ref="D104">_xlfn.TEXTJOIN("",TRUE,IF(ISNUMBER(SEARCH($A104,'Diags Raw Data'!$A$6:$A$3761)),CONCATENATE('Diags Raw Data'!$H$6:$H$3761,", "),""))</f>
        <v xml:space="preserve">gfx.cmm_sax_utcl1_monolithic/utcl0_disable, </v>
      </c>
      <c r="E104" s="340" t="str">
        <f>VLOOKUP(A104,'Diags Raw Data'!$A$6:$D$3761,4,FALSE)</f>
        <v>CMM</v>
      </c>
      <c r="F104" s="340" t="str">
        <f>VLOOKUP(A104,'Feature Raw Data'!$A$3:$E$3922,5,FALSE)</f>
        <v>New</v>
      </c>
      <c r="G104" s="340" t="str">
        <f t="shared" si="6"/>
        <v>Yes</v>
      </c>
      <c r="H104" s="340" t="str">
        <f t="shared" si="7"/>
        <v>Yes</v>
      </c>
      <c r="I104" s="428">
        <f>SUMIF('Diags Raw Data'!$A$6:$A$3761,"*"&amp;$A104&amp;"*",'Diags Raw Data'!$K$6:$K$3761)</f>
        <v>0</v>
      </c>
      <c r="J104" s="430">
        <f>SUMIF('Diags Raw Data'!$A$6:$A$3761,"*"&amp;$A104&amp;"*",'Diags Raw Data'!$L$6:$L$3761)</f>
        <v>0</v>
      </c>
      <c r="K104" s="468" t="e" cm="1">
        <f t="array" ref="K104">IF(D104="",0, SUMPRODUCT(--(ISNUMBER(SEARCH($A104,'Diags Raw Data'!$A$6:$A$3761))),'Diags Raw Data'!$L$6:$L$3761,'Diags Raw Data'!$N$6:$N$3761)/J104)</f>
        <v>#DIV/0!</v>
      </c>
      <c r="L104" s="469" t="e" cm="1">
        <f t="array" ref="L104">IF(D104="",0, SUMPRODUCT(--(ISNUMBER(SEARCH($A104,'Diags Raw Data'!$A$6:$A$3761))),'Diags Raw Data'!$L$6:$L$3761,'Diags Raw Data'!$P$6:$P$3761)/J104)</f>
        <v>#DIV/0!</v>
      </c>
      <c r="M104" s="470" cm="1">
        <f t="array" ref="M104">SUMPRODUCT(--(ISNUMBER(SEARCH($A104,'Diags Raw Data'!$A$6:$A$3761))),--('Diags Raw Data'!$Q$6:$Q$3761&lt;&gt;"N/A"),'Diags Raw Data'!$R$6:$R$3761)</f>
        <v>1</v>
      </c>
      <c r="N104" s="471" cm="1">
        <f t="array" ref="N104">SUMPRODUCT(--(ISNUMBER(SEARCH($A104,'Diags Raw Data'!$A$6:$A$3761))),--('Diags Raw Data'!$Q$6:$Q$3761&lt;&gt;"N/A"),'Diags Raw Data'!$T$6:$T$3761)+SUMPRODUCT(--(ISNUMBER(SEARCH($A104,'Diags Raw Data'!$A$6:$A$3761))),--('Diags Raw Data'!$Q$6:$Q$3761&lt;&gt;"N/A"),'Diags Raw Data'!$U$6:$U$3761)</f>
        <v>1</v>
      </c>
      <c r="O104" s="472">
        <f>IF((M104=0),0,N104/M104)</f>
        <v>1</v>
      </c>
      <c r="P104" s="473">
        <f>SUMIF('Diags Raw Data'!$A$6:$A$3761,"*"&amp;$A104&amp;"*",'Diags Raw Data'!$Z$6:$Z$3761)</f>
        <v>0</v>
      </c>
      <c r="Q104" s="474">
        <f>SUM(SUMIF('Diags Raw Data'!$A$6:$A$3761,"*"&amp;$A104&amp;"*",'Diags Raw Data'!$AA$6:$AA$3761),SUMIF('Diags Raw Data'!$A$6:$A$3761,"*"&amp;$A104&amp;"*",'Diags Raw Data'!$AB$6:$AB$3761))</f>
        <v>0</v>
      </c>
      <c r="R104" s="475">
        <f>IF((J104=0),0,P104/J104)</f>
        <v>0</v>
      </c>
      <c r="S104" s="475">
        <f>IF((P104=0),0,Q104/P104)</f>
        <v>0</v>
      </c>
      <c r="T104" s="476">
        <f>R104*S104</f>
        <v>0</v>
      </c>
      <c r="U104" s="425" t="str">
        <f>VLOOKUP(A104,'Diags Raw Data'!$A$6:$AH$3761,33,FALSE)</f>
        <v>WK5</v>
      </c>
      <c r="V104" s="181"/>
    </row>
    <row r="105" spans="1:22" ht="30.75" thickBot="1" x14ac:dyDescent="0.3">
      <c r="A105" s="530">
        <v>12.196999999999999</v>
      </c>
      <c r="B105" s="427" t="str">
        <f>VLOOKUP(A105,'Feature Raw Data'!$A$3:$B$3922,2,FALSE)</f>
        <v>Ping-Pong walking for dispatches</v>
      </c>
      <c r="C105" s="428" t="str">
        <f>VLOOKUP(A105,'Feature Raw Data'!$A$3:$C$3922,3,FALSE)</f>
        <v>P2</v>
      </c>
      <c r="D105" s="429" t="str" cm="1">
        <f t="array" ref="D105">_xlfn.TEXTJOIN("",TRUE,IF(ISNUMBER(SEARCH($A105,'Diags Raw Data'!$A$6:$A$3761)),CONCATENATE('Diags Raw Data'!$H$6:$H$3761,", "),""))</f>
        <v xml:space="preserve">spi197, </v>
      </c>
      <c r="E105" s="340" t="str">
        <f>VLOOKUP(A105,'Diags Raw Data'!$A$6:$D$3761,4,FALSE)</f>
        <v>SIO</v>
      </c>
      <c r="F105" s="340" t="str">
        <f>VLOOKUP(A105,'Feature Raw Data'!$A$3:$E$3922,5,FALSE)</f>
        <v>New</v>
      </c>
      <c r="G105" s="340" t="str">
        <f t="shared" si="6"/>
        <v>Yes</v>
      </c>
      <c r="H105" s="340" t="str">
        <f t="shared" si="7"/>
        <v>Yes</v>
      </c>
      <c r="I105" s="428">
        <f>SUMIF('Diags Raw Data'!$A$6:$A$3761,"*"&amp;$A105&amp;"*",'Diags Raw Data'!$K$6:$K$3761)</f>
        <v>0</v>
      </c>
      <c r="J105" s="430">
        <f>SUMIF('Diags Raw Data'!$A$6:$A$3761,"*"&amp;$A105&amp;"*",'Diags Raw Data'!$L$6:$L$3761)</f>
        <v>0</v>
      </c>
      <c r="K105" s="468" t="e" cm="1">
        <f t="array" ref="K105">IF(D105="",0, SUMPRODUCT(--(ISNUMBER(SEARCH($A105,'Diags Raw Data'!$A$6:$A$3761))),'Diags Raw Data'!$L$6:$L$3761,'Diags Raw Data'!$N$6:$N$3761)/J105)</f>
        <v>#DIV/0!</v>
      </c>
      <c r="L105" s="469" t="e" cm="1">
        <f t="array" ref="L105">IF(D105="",0, SUMPRODUCT(--(ISNUMBER(SEARCH($A105,'Diags Raw Data'!$A$6:$A$3761))),'Diags Raw Data'!$L$6:$L$3761,'Diags Raw Data'!$P$6:$P$3761)/J105)</f>
        <v>#DIV/0!</v>
      </c>
      <c r="M105" s="470" cm="1">
        <f t="array" ref="M105">SUMPRODUCT(--(ISNUMBER(SEARCH($A105,'Diags Raw Data'!$A$6:$A$3761))),--('Diags Raw Data'!$Q$6:$Q$3761&lt;&gt;"N/A"),'Diags Raw Data'!$R$6:$R$3761)</f>
        <v>1</v>
      </c>
      <c r="N105" s="471" cm="1">
        <f t="array" ref="N105">SUMPRODUCT(--(ISNUMBER(SEARCH($A105,'Diags Raw Data'!$A$6:$A$3761))),--('Diags Raw Data'!$Q$6:$Q$3761&lt;&gt;"N/A"),'Diags Raw Data'!$T$6:$T$3761)+SUMPRODUCT(--(ISNUMBER(SEARCH($A105,'Diags Raw Data'!$A$6:$A$3761))),--('Diags Raw Data'!$Q$6:$Q$3761&lt;&gt;"N/A"),'Diags Raw Data'!$U$6:$U$3761)</f>
        <v>1</v>
      </c>
      <c r="O105" s="472">
        <f t="shared" ref="O105:O110" si="12">IF((M105=0),0,N105/M105)</f>
        <v>1</v>
      </c>
      <c r="P105" s="473">
        <f>SUMIF('Diags Raw Data'!$A$6:$A$3761,"*"&amp;$A105&amp;"*",'Diags Raw Data'!$Z$6:$Z$3761)</f>
        <v>0</v>
      </c>
      <c r="Q105" s="474">
        <f>SUM(SUMIF('Diags Raw Data'!$A$6:$A$3761,"*"&amp;$A105&amp;"*",'Diags Raw Data'!$AA$6:$AA$3761),SUMIF('Diags Raw Data'!$A$6:$A$3761,"*"&amp;$A105&amp;"*",'Diags Raw Data'!$AB$6:$AB$3761))</f>
        <v>0</v>
      </c>
      <c r="R105" s="475">
        <f t="shared" ref="R105:R127" si="13">IF((J105=0),0,P105/J105)</f>
        <v>0</v>
      </c>
      <c r="S105" s="475">
        <f t="shared" ref="S105:S127" si="14">IF((P105=0),0,Q105/P105)</f>
        <v>0</v>
      </c>
      <c r="T105" s="476">
        <f>R105*S105</f>
        <v>0</v>
      </c>
      <c r="U105" s="425" t="str">
        <f>VLOOKUP(A105,'Diags Raw Data'!$A$6:$AH$3761,33,FALSE)</f>
        <v>WK8</v>
      </c>
      <c r="V105" s="181"/>
    </row>
    <row r="106" spans="1:22" ht="105.75" thickBot="1" x14ac:dyDescent="0.3">
      <c r="A106" s="530">
        <v>12.201000000000001</v>
      </c>
      <c r="B106" s="427" t="str">
        <f>VLOOKUP(A106,'Feature Raw Data'!$A$3:$B$3922,2,FALSE)</f>
        <v>Compute Grid Programmable Walk Order (cs_grid_walk_order).   If not doing morton'ish (ex. 2x2) then improving launch rate for existing typewriter (ex 4x1) is P1)</v>
      </c>
      <c r="C106" s="428" t="str">
        <f>VLOOKUP(A106,'Feature Raw Data'!$A$3:$C$3922,3,FALSE)</f>
        <v>P1</v>
      </c>
      <c r="D106" s="429" t="str" cm="1">
        <f t="array" ref="D106">_xlfn.TEXTJOIN("",TRUE,IF(ISNUMBER(SEARCH($A106,'Diags Raw Data'!$A$6:$A$3761)),CONCATENATE('Diags Raw Data'!$H$6:$H$3761,", "),""))</f>
        <v xml:space="preserve">spi2010,spi2011, </v>
      </c>
      <c r="E106" s="340" t="str">
        <f>VLOOKUP(A106,'Diags Raw Data'!$A$6:$D$3761,4,FALSE)</f>
        <v>SIO</v>
      </c>
      <c r="F106" s="340" t="str">
        <f>VLOOKUP(A106,'Feature Raw Data'!$A$3:$E$3922,5,FALSE)</f>
        <v>New</v>
      </c>
      <c r="G106" s="340" t="str">
        <f t="shared" si="6"/>
        <v>Yes</v>
      </c>
      <c r="H106" s="340" t="str">
        <f t="shared" si="7"/>
        <v>Yes</v>
      </c>
      <c r="I106" s="428">
        <f>SUMIF('Diags Raw Data'!$A$6:$A$3761,"*"&amp;$A106&amp;"*",'Diags Raw Data'!$K$6:$K$3761)</f>
        <v>0</v>
      </c>
      <c r="J106" s="430">
        <f>SUMIF('Diags Raw Data'!$A$6:$A$3761,"*"&amp;$A106&amp;"*",'Diags Raw Data'!$L$6:$L$3761)</f>
        <v>0</v>
      </c>
      <c r="K106" s="468" t="e" cm="1">
        <f t="array" ref="K106">IF(D106="",0, SUMPRODUCT(--(ISNUMBER(SEARCH($A106,'Diags Raw Data'!$A$6:$A$3761))),'Diags Raw Data'!$L$6:$L$3761,'Diags Raw Data'!$N$6:$N$3761)/J106)</f>
        <v>#DIV/0!</v>
      </c>
      <c r="L106" s="469" t="e" cm="1">
        <f t="array" ref="L106">IF(D106="",0, SUMPRODUCT(--(ISNUMBER(SEARCH($A106,'Diags Raw Data'!$A$6:$A$3761))),'Diags Raw Data'!$L$6:$L$3761,'Diags Raw Data'!$P$6:$P$3761)/J106)</f>
        <v>#DIV/0!</v>
      </c>
      <c r="M106" s="470" cm="1">
        <f t="array" ref="M106">SUMPRODUCT(--(ISNUMBER(SEARCH($A106,'Diags Raw Data'!$A$6:$A$3761))),--('Diags Raw Data'!$Q$6:$Q$3761&lt;&gt;"N/A"),'Diags Raw Data'!$R$6:$R$3761)</f>
        <v>2</v>
      </c>
      <c r="N106" s="471" cm="1">
        <f t="array" ref="N106">SUMPRODUCT(--(ISNUMBER(SEARCH($A106,'Diags Raw Data'!$A$6:$A$3761))),--('Diags Raw Data'!$Q$6:$Q$3761&lt;&gt;"N/A"),'Diags Raw Data'!$T$6:$T$3761)+SUMPRODUCT(--(ISNUMBER(SEARCH($A106,'Diags Raw Data'!$A$6:$A$3761))),--('Diags Raw Data'!$Q$6:$Q$3761&lt;&gt;"N/A"),'Diags Raw Data'!$U$6:$U$3761)</f>
        <v>2</v>
      </c>
      <c r="O106" s="472">
        <f t="shared" si="12"/>
        <v>1</v>
      </c>
      <c r="P106" s="473">
        <f>SUMIF('Diags Raw Data'!$A$6:$A$3761,"*"&amp;$A106&amp;"*",'Diags Raw Data'!$Z$6:$Z$3761)</f>
        <v>0</v>
      </c>
      <c r="Q106" s="474">
        <f>SUM(SUMIF('Diags Raw Data'!$A$6:$A$3761,"*"&amp;$A106&amp;"*",'Diags Raw Data'!$AA$6:$AA$3761),SUMIF('Diags Raw Data'!$A$6:$A$3761,"*"&amp;$A106&amp;"*",'Diags Raw Data'!$AB$6:$AB$3761))</f>
        <v>0</v>
      </c>
      <c r="R106" s="475">
        <f t="shared" si="13"/>
        <v>0</v>
      </c>
      <c r="S106" s="475">
        <f t="shared" si="14"/>
        <v>0</v>
      </c>
      <c r="T106" s="476">
        <f t="shared" ref="T106:T127" si="15">R106*S106</f>
        <v>0</v>
      </c>
      <c r="U106" s="425" t="str">
        <f>VLOOKUP(A106,'Diags Raw Data'!$A$6:$AH$3761,33,FALSE)</f>
        <v>WK5</v>
      </c>
      <c r="V106" s="181"/>
    </row>
    <row r="107" spans="1:22" ht="30.75" thickBot="1" x14ac:dyDescent="0.3">
      <c r="A107" s="530">
        <v>12.202</v>
      </c>
      <c r="B107" s="427" t="str">
        <f>VLOOKUP(A107,'Feature Raw Data'!$A$3:$B$3922,2,FALSE)</f>
        <v>Compute Thread Walk Order (cs_thread_walk_order)</v>
      </c>
      <c r="C107" s="428" t="str">
        <f>VLOOKUP(A107,'Feature Raw Data'!$A$3:$C$3922,3,FALSE)</f>
        <v>P1</v>
      </c>
      <c r="D107" s="429" t="str" cm="1">
        <f t="array" ref="D107">_xlfn.TEXTJOIN("",TRUE,IF(ISNUMBER(SEARCH($A107,'Diags Raw Data'!$A$6:$A$3761)),CONCATENATE('Diags Raw Data'!$H$6:$H$3761,", "),""))</f>
        <v xml:space="preserve">spi2020,spi2021, </v>
      </c>
      <c r="E107" s="340" t="str">
        <f>VLOOKUP(A107,'Diags Raw Data'!$A$6:$D$3761,4,FALSE)</f>
        <v>SIO</v>
      </c>
      <c r="F107" s="340" t="str">
        <f>VLOOKUP(A107,'Feature Raw Data'!$A$3:$E$3922,5,FALSE)</f>
        <v>New</v>
      </c>
      <c r="G107" s="340" t="str">
        <f t="shared" si="6"/>
        <v>Yes</v>
      </c>
      <c r="H107" s="340" t="str">
        <f t="shared" si="7"/>
        <v>Yes</v>
      </c>
      <c r="I107" s="428">
        <f>SUMIF('Diags Raw Data'!$A$6:$A$3761,"*"&amp;$A107&amp;"*",'Diags Raw Data'!$K$6:$K$3761)</f>
        <v>0</v>
      </c>
      <c r="J107" s="430">
        <f>SUMIF('Diags Raw Data'!$A$6:$A$3761,"*"&amp;$A107&amp;"*",'Diags Raw Data'!$L$6:$L$3761)</f>
        <v>0</v>
      </c>
      <c r="K107" s="468" t="e" cm="1">
        <f t="array" ref="K107">IF(D107="",0, SUMPRODUCT(--(ISNUMBER(SEARCH($A107,'Diags Raw Data'!$A$6:$A$3761))),'Diags Raw Data'!$L$6:$L$3761,'Diags Raw Data'!$N$6:$N$3761)/J107)</f>
        <v>#DIV/0!</v>
      </c>
      <c r="L107" s="469" t="e" cm="1">
        <f t="array" ref="L107">IF(D107="",0, SUMPRODUCT(--(ISNUMBER(SEARCH($A107,'Diags Raw Data'!$A$6:$A$3761))),'Diags Raw Data'!$L$6:$L$3761,'Diags Raw Data'!$P$6:$P$3761)/J107)</f>
        <v>#DIV/0!</v>
      </c>
      <c r="M107" s="470" cm="1">
        <f t="array" ref="M107">SUMPRODUCT(--(ISNUMBER(SEARCH($A107,'Diags Raw Data'!$A$6:$A$3761))),--('Diags Raw Data'!$Q$6:$Q$3761&lt;&gt;"N/A"),'Diags Raw Data'!$R$6:$R$3761)</f>
        <v>2</v>
      </c>
      <c r="N107" s="471" cm="1">
        <f t="array" ref="N107">SUMPRODUCT(--(ISNUMBER(SEARCH($A107,'Diags Raw Data'!$A$6:$A$3761))),--('Diags Raw Data'!$Q$6:$Q$3761&lt;&gt;"N/A"),'Diags Raw Data'!$T$6:$T$3761)+SUMPRODUCT(--(ISNUMBER(SEARCH($A107,'Diags Raw Data'!$A$6:$A$3761))),--('Diags Raw Data'!$Q$6:$Q$3761&lt;&gt;"N/A"),'Diags Raw Data'!$U$6:$U$3761)</f>
        <v>2</v>
      </c>
      <c r="O107" s="472">
        <f t="shared" si="12"/>
        <v>1</v>
      </c>
      <c r="P107" s="473">
        <f>SUMIF('Diags Raw Data'!$A$6:$A$3761,"*"&amp;$A107&amp;"*",'Diags Raw Data'!$Z$6:$Z$3761)</f>
        <v>0</v>
      </c>
      <c r="Q107" s="474">
        <f>SUM(SUMIF('Diags Raw Data'!$A$6:$A$3761,"*"&amp;$A107&amp;"*",'Diags Raw Data'!$AA$6:$AA$3761),SUMIF('Diags Raw Data'!$A$6:$A$3761,"*"&amp;$A107&amp;"*",'Diags Raw Data'!$AB$6:$AB$3761))</f>
        <v>0</v>
      </c>
      <c r="R107" s="475">
        <f t="shared" si="13"/>
        <v>0</v>
      </c>
      <c r="S107" s="475">
        <f t="shared" si="14"/>
        <v>0</v>
      </c>
      <c r="T107" s="476">
        <f t="shared" si="15"/>
        <v>0</v>
      </c>
      <c r="U107" s="425" t="str">
        <f>VLOOKUP(A107,'Diags Raw Data'!$A$6:$AH$3761,33,FALSE)</f>
        <v>WK4</v>
      </c>
      <c r="V107" s="181"/>
    </row>
    <row r="108" spans="1:22" ht="15.75" thickBot="1" x14ac:dyDescent="0.3">
      <c r="A108" s="530">
        <v>12.206</v>
      </c>
      <c r="B108" s="427" t="str">
        <f>VLOOKUP(A108,'Feature Raw Data'!$A$3:$B$3922,2,FALSE)</f>
        <v>DC-&gt;SPI wire reduction</v>
      </c>
      <c r="C108" s="428" t="str">
        <f>VLOOKUP(A108,'Feature Raw Data'!$A$3:$C$3922,3,FALSE)</f>
        <v>P1</v>
      </c>
      <c r="D108" s="429" t="str" cm="1">
        <f t="array" ref="D108">_xlfn.TEXTJOIN("",TRUE,IF(ISNUMBER(SEARCH($A108,'Diags Raw Data'!$A$6:$A$3761)),CONCATENATE('Diags Raw Data'!$H$6:$H$3761,", "),""))</f>
        <v/>
      </c>
      <c r="E108" s="340" t="e">
        <f>VLOOKUP(A108,'Diags Raw Data'!$A$6:$D$3761,4,FALSE)</f>
        <v>#N/A</v>
      </c>
      <c r="F108" s="340" t="str">
        <f>VLOOKUP(A108,'Feature Raw Data'!$A$3:$E$3922,5,FALSE)</f>
        <v>New</v>
      </c>
      <c r="G108" s="340" t="str">
        <f t="shared" si="6"/>
        <v>Yes</v>
      </c>
      <c r="H108" s="340" t="str">
        <f t="shared" si="7"/>
        <v>Yes</v>
      </c>
      <c r="I108" s="428">
        <f>SUMIF('Diags Raw Data'!$A$6:$A$3761,"*"&amp;$A108&amp;"*",'Diags Raw Data'!$K$6:$K$3761)</f>
        <v>0</v>
      </c>
      <c r="J108" s="430">
        <f>SUMIF('Diags Raw Data'!$A$6:$A$3761,"*"&amp;$A108&amp;"*",'Diags Raw Data'!$L$6:$L$3761)</f>
        <v>0</v>
      </c>
      <c r="K108" s="468" cm="1">
        <f t="array" ref="K108">IF(D108="",0, SUMPRODUCT(--(ISNUMBER(SEARCH($A108,'Diags Raw Data'!$A$6:$A$3761))),'Diags Raw Data'!$L$6:$L$3761,'Diags Raw Data'!$N$6:$N$3761)/J108)</f>
        <v>0</v>
      </c>
      <c r="L108" s="469" cm="1">
        <f t="array" ref="L108">IF(D108="",0, SUMPRODUCT(--(ISNUMBER(SEARCH($A108,'Diags Raw Data'!$A$6:$A$3761))),'Diags Raw Data'!$L$6:$L$3761,'Diags Raw Data'!$P$6:$P$3761)/J108)</f>
        <v>0</v>
      </c>
      <c r="M108" s="470" cm="1">
        <f t="array" ref="M108">SUMPRODUCT(--(ISNUMBER(SEARCH($A108,'Diags Raw Data'!$A$6:$A$3761))),--('Diags Raw Data'!$Q$6:$Q$3761&lt;&gt;"N/A"),'Diags Raw Data'!$R$6:$R$3761)</f>
        <v>0</v>
      </c>
      <c r="N108" s="471" cm="1">
        <f t="array" ref="N108">SUMPRODUCT(--(ISNUMBER(SEARCH($A108,'Diags Raw Data'!$A$6:$A$3761))),--('Diags Raw Data'!$Q$6:$Q$3761&lt;&gt;"N/A"),'Diags Raw Data'!$T$6:$T$3761)+SUMPRODUCT(--(ISNUMBER(SEARCH($A108,'Diags Raw Data'!$A$6:$A$3761))),--('Diags Raw Data'!$Q$6:$Q$3761&lt;&gt;"N/A"),'Diags Raw Data'!$U$6:$U$3761)</f>
        <v>0</v>
      </c>
      <c r="O108" s="472">
        <f t="shared" si="12"/>
        <v>0</v>
      </c>
      <c r="P108" s="473">
        <f>SUMIF('Diags Raw Data'!$A$6:$A$3761,"*"&amp;$A108&amp;"*",'Diags Raw Data'!$Z$6:$Z$3761)</f>
        <v>0</v>
      </c>
      <c r="Q108" s="474">
        <f>SUM(SUMIF('Diags Raw Data'!$A$6:$A$3761,"*"&amp;$A108&amp;"*",'Diags Raw Data'!$AA$6:$AA$3761),SUMIF('Diags Raw Data'!$A$6:$A$3761,"*"&amp;$A108&amp;"*",'Diags Raw Data'!$AB$6:$AB$3761))</f>
        <v>0</v>
      </c>
      <c r="R108" s="475">
        <f t="shared" si="13"/>
        <v>0</v>
      </c>
      <c r="S108" s="475">
        <f t="shared" si="14"/>
        <v>0</v>
      </c>
      <c r="T108" s="476">
        <f t="shared" si="15"/>
        <v>0</v>
      </c>
      <c r="U108" s="425" t="e">
        <f>VLOOKUP(A108,'Diags Raw Data'!$A$6:$AH$3761,33,FALSE)</f>
        <v>#N/A</v>
      </c>
      <c r="V108" s="181"/>
    </row>
    <row r="109" spans="1:22" ht="345.75" thickBot="1" x14ac:dyDescent="0.3">
      <c r="A109" s="530">
        <v>12.208</v>
      </c>
      <c r="B109" s="427" t="str">
        <f>VLOOKUP(A109,'Feature Raw Data'!$A$3:$B$3922,2,FALSE)</f>
        <v>wave64 FMAF32 power reduction (M2 item) -&gt; large area</v>
      </c>
      <c r="C109" s="428" t="str">
        <f>VLOOKUP(A109,'Feature Raw Data'!$A$3:$C$3922,3,FALSE)</f>
        <v>P2</v>
      </c>
      <c r="D109" s="429" t="str" cm="1">
        <f t="array" ref="D109">_xlfn.TEXTJOIN("",TRUE,IF(ISNUMBER(SEARCH($A109,'Diags Raw Data'!$A$6:$A$3761)),CONCATENATE('Diags Raw Data'!$H$6:$H$3761,", "),""))</f>
        <v xml:space="preserve">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 </v>
      </c>
      <c r="E109" s="340" t="str">
        <f>VLOOKUP(A109,'Diags Raw Data'!$A$6:$D$3761,4,FALSE)</f>
        <v>SH</v>
      </c>
      <c r="F109" s="340" t="str">
        <f>VLOOKUP(A109,'Feature Raw Data'!$A$3:$E$3922,5,FALSE)</f>
        <v>New</v>
      </c>
      <c r="G109" s="340" t="str">
        <f t="shared" si="6"/>
        <v>Yes</v>
      </c>
      <c r="H109" s="340" t="str">
        <f t="shared" si="7"/>
        <v>Yes</v>
      </c>
      <c r="I109" s="428">
        <f>SUMIF('Diags Raw Data'!$A$6:$A$3761,"*"&amp;$A109&amp;"*",'Diags Raw Data'!$K$6:$K$3761)</f>
        <v>0</v>
      </c>
      <c r="J109" s="430">
        <f>SUMIF('Diags Raw Data'!$A$6:$A$3761,"*"&amp;$A109&amp;"*",'Diags Raw Data'!$L$6:$L$3761)</f>
        <v>0</v>
      </c>
      <c r="K109" s="468" t="e" cm="1">
        <f t="array" ref="K109">IF(D109="",0, SUMPRODUCT(--(ISNUMBER(SEARCH($A109,'Diags Raw Data'!$A$6:$A$3761))),'Diags Raw Data'!$L$6:$L$3761,'Diags Raw Data'!$N$6:$N$3761)/J109)</f>
        <v>#DIV/0!</v>
      </c>
      <c r="L109" s="469" t="e" cm="1">
        <f t="array" ref="L109">IF(D109="",0, SUMPRODUCT(--(ISNUMBER(SEARCH($A109,'Diags Raw Data'!$A$6:$A$3761))),'Diags Raw Data'!$L$6:$L$3761,'Diags Raw Data'!$P$6:$P$3761)/J109)</f>
        <v>#DIV/0!</v>
      </c>
      <c r="M109" s="470" cm="1">
        <f t="array" ref="M109">SUMPRODUCT(--(ISNUMBER(SEARCH($A109,'Diags Raw Data'!$A$6:$A$3761))),--('Diags Raw Data'!$Q$6:$Q$3761&lt;&gt;"N/A"),'Diags Raw Data'!$R$6:$R$3761)</f>
        <v>64</v>
      </c>
      <c r="N109" s="471" cm="1">
        <f t="array" ref="N109">SUMPRODUCT(--(ISNUMBER(SEARCH($A109,'Diags Raw Data'!$A$6:$A$3761))),--('Diags Raw Data'!$Q$6:$Q$3761&lt;&gt;"N/A"),'Diags Raw Data'!$T$6:$T$3761)+SUMPRODUCT(--(ISNUMBER(SEARCH($A109,'Diags Raw Data'!$A$6:$A$3761))),--('Diags Raw Data'!$Q$6:$Q$3761&lt;&gt;"N/A"),'Diags Raw Data'!$U$6:$U$3761)</f>
        <v>64</v>
      </c>
      <c r="O109" s="472">
        <f t="shared" si="12"/>
        <v>1</v>
      </c>
      <c r="P109" s="473">
        <f>SUMIF('Diags Raw Data'!$A$6:$A$3761,"*"&amp;$A109&amp;"*",'Diags Raw Data'!$Z$6:$Z$3761)</f>
        <v>0</v>
      </c>
      <c r="Q109" s="474">
        <f>SUM(SUMIF('Diags Raw Data'!$A$6:$A$3761,"*"&amp;$A109&amp;"*",'Diags Raw Data'!$AA$6:$AA$3761),SUMIF('Diags Raw Data'!$A$6:$A$3761,"*"&amp;$A109&amp;"*",'Diags Raw Data'!$AB$6:$AB$3761))</f>
        <v>0</v>
      </c>
      <c r="R109" s="475">
        <f t="shared" si="13"/>
        <v>0</v>
      </c>
      <c r="S109" s="475">
        <f t="shared" si="14"/>
        <v>0</v>
      </c>
      <c r="T109" s="476">
        <f t="shared" si="15"/>
        <v>0</v>
      </c>
      <c r="U109" s="425" t="str">
        <f>VLOOKUP(A109,'Diags Raw Data'!$A$6:$AH$3761,33,FALSE)</f>
        <v>WK8</v>
      </c>
      <c r="V109" s="181"/>
    </row>
    <row r="110" spans="1:22" ht="30.75" thickBot="1" x14ac:dyDescent="0.3">
      <c r="A110" s="530">
        <v>12.209</v>
      </c>
      <c r="B110" s="427" t="str">
        <f>VLOOKUP(A110,'Feature Raw Data'!$A$3:$B$3922,2,FALSE)</f>
        <v>Add Structured Sparsity Support</v>
      </c>
      <c r="C110" s="428" t="str">
        <f>VLOOKUP(A110,'Feature Raw Data'!$A$3:$C$3922,3,FALSE)</f>
        <v>P1</v>
      </c>
      <c r="D110" s="429" t="str" cm="1">
        <f t="array" ref="D110">_xlfn.TEXTJOIN("",TRUE,IF(ISNUMBER(SEARCH($A110,'Diags Raw Data'!$A$6:$A$3761)),CONCATENATE('Diags Raw Data'!$H$6:$H$3761,", "),""))</f>
        <v xml:space="preserve">gci950-960.0,for,wave32,.1,for,wave64, </v>
      </c>
      <c r="E110" s="340" t="str">
        <f>VLOOKUP(A110,'Diags Raw Data'!$A$6:$D$3761,4,FALSE)</f>
        <v>SH</v>
      </c>
      <c r="F110" s="340" t="str">
        <f>VLOOKUP(A110,'Feature Raw Data'!$A$3:$E$3922,5,FALSE)</f>
        <v>New</v>
      </c>
      <c r="G110" s="340" t="str">
        <f t="shared" si="6"/>
        <v>Yes</v>
      </c>
      <c r="H110" s="340" t="str">
        <f t="shared" si="7"/>
        <v>Yes</v>
      </c>
      <c r="I110" s="428">
        <f>SUMIF('Diags Raw Data'!$A$6:$A$3761,"*"&amp;$A110&amp;"*",'Diags Raw Data'!$K$6:$K$3761)</f>
        <v>0</v>
      </c>
      <c r="J110" s="430">
        <f>SUMIF('Diags Raw Data'!$A$6:$A$3761,"*"&amp;$A110&amp;"*",'Diags Raw Data'!$L$6:$L$3761)</f>
        <v>0</v>
      </c>
      <c r="K110" s="468" t="e" cm="1">
        <f t="array" ref="K110">IF(D110="",0, SUMPRODUCT(--(ISNUMBER(SEARCH($A110,'Diags Raw Data'!$A$6:$A$3761))),'Diags Raw Data'!$L$6:$L$3761,'Diags Raw Data'!$N$6:$N$3761)/J110)</f>
        <v>#DIV/0!</v>
      </c>
      <c r="L110" s="469" t="e" cm="1">
        <f t="array" ref="L110">IF(D110="",0, SUMPRODUCT(--(ISNUMBER(SEARCH($A110,'Diags Raw Data'!$A$6:$A$3761))),'Diags Raw Data'!$L$6:$L$3761,'Diags Raw Data'!$P$6:$P$3761)/J110)</f>
        <v>#DIV/0!</v>
      </c>
      <c r="M110" s="470" cm="1">
        <f t="array" ref="M110">SUMPRODUCT(--(ISNUMBER(SEARCH($A110,'Diags Raw Data'!$A$6:$A$3761))),--('Diags Raw Data'!$Q$6:$Q$3761&lt;&gt;"N/A"),'Diags Raw Data'!$R$6:$R$3761)</f>
        <v>22</v>
      </c>
      <c r="N110" s="471" cm="1">
        <f t="array" ref="N110">SUMPRODUCT(--(ISNUMBER(SEARCH($A110,'Diags Raw Data'!$A$6:$A$3761))),--('Diags Raw Data'!$Q$6:$Q$3761&lt;&gt;"N/A"),'Diags Raw Data'!$T$6:$T$3761)+SUMPRODUCT(--(ISNUMBER(SEARCH($A110,'Diags Raw Data'!$A$6:$A$3761))),--('Diags Raw Data'!$Q$6:$Q$3761&lt;&gt;"N/A"),'Diags Raw Data'!$U$6:$U$3761)</f>
        <v>2</v>
      </c>
      <c r="O110" s="472">
        <f t="shared" si="12"/>
        <v>9.0909090909090912E-2</v>
      </c>
      <c r="P110" s="473">
        <f>SUMIF('Diags Raw Data'!$A$6:$A$3761,"*"&amp;$A110&amp;"*",'Diags Raw Data'!$Z$6:$Z$3761)</f>
        <v>0</v>
      </c>
      <c r="Q110" s="474">
        <f>SUM(SUMIF('Diags Raw Data'!$A$6:$A$3761,"*"&amp;$A110&amp;"*",'Diags Raw Data'!$AA$6:$AA$3761),SUMIF('Diags Raw Data'!$A$6:$A$3761,"*"&amp;$A110&amp;"*",'Diags Raw Data'!$AB$6:$AB$3761))</f>
        <v>0</v>
      </c>
      <c r="R110" s="475">
        <f t="shared" si="13"/>
        <v>0</v>
      </c>
      <c r="S110" s="475">
        <f t="shared" si="14"/>
        <v>0</v>
      </c>
      <c r="T110" s="476">
        <f t="shared" si="15"/>
        <v>0</v>
      </c>
      <c r="U110" s="425" t="str">
        <f>VLOOKUP(A110,'Diags Raw Data'!$A$6:$AH$3761,33,FALSE)</f>
        <v>WK3</v>
      </c>
      <c r="V110" s="181"/>
    </row>
    <row r="111" spans="1:22" ht="45.75" thickBot="1" x14ac:dyDescent="0.3">
      <c r="A111" s="530">
        <v>12.21</v>
      </c>
      <c r="B111" s="427" t="str">
        <f>VLOOKUP(A111,'Feature Raw Data'!$A$3:$B$3922,2,FALSE)</f>
        <v>Fully connect capability to use high and normal MALL reuse hint (child of 12.027/12.041)</v>
      </c>
      <c r="C111" s="428" t="str">
        <f>VLOOKUP(A111,'Feature Raw Data'!$A$3:$C$3922,3,FALSE)</f>
        <v>P1</v>
      </c>
      <c r="D111" s="429" t="str" cm="1">
        <f t="array" ref="D111">_xlfn.TEXTJOIN("",TRUE,IF(ISNUMBER(SEARCH($A111,'Diags Raw Data'!$A$6:$A$3761)),CONCATENATE('Diags Raw Data'!$H$6:$H$3761,", "),""))</f>
        <v xml:space="preserve">gci669.1-12, gfx.red_triangle_draw_composite, </v>
      </c>
      <c r="E111" s="340" t="str">
        <f>VLOOKUP(A111,'Diags Raw Data'!$A$6:$D$3761,4,FALSE)</f>
        <v>CMM</v>
      </c>
      <c r="F111" s="340" t="str">
        <f>VLOOKUP(A111,'Feature Raw Data'!$A$3:$E$3922,5,FALSE)</f>
        <v>New</v>
      </c>
      <c r="G111" s="340" t="str">
        <f t="shared" si="6"/>
        <v>Yes</v>
      </c>
      <c r="H111" s="340" t="str">
        <f t="shared" si="7"/>
        <v>Yes</v>
      </c>
      <c r="I111" s="428">
        <f>SUMIF('Diags Raw Data'!$A$6:$A$3761,"*"&amp;$A111&amp;"*",'Diags Raw Data'!$K$6:$K$3761)</f>
        <v>0</v>
      </c>
      <c r="J111" s="430">
        <f>SUMIF('Diags Raw Data'!$A$6:$A$3761,"*"&amp;$A111&amp;"*",'Diags Raw Data'!$L$6:$L$3761)</f>
        <v>0</v>
      </c>
      <c r="K111" s="468" t="e" cm="1">
        <f t="array" ref="K111">IF(D111="",0, SUMPRODUCT(--(ISNUMBER(SEARCH($A111,'Diags Raw Data'!$A$6:$A$3761))),'Diags Raw Data'!$L$6:$L$3761,'Diags Raw Data'!$N$6:$N$3761)/J111)</f>
        <v>#DIV/0!</v>
      </c>
      <c r="L111" s="469" t="e" cm="1">
        <f t="array" ref="L111">IF(D111="",0, SUMPRODUCT(--(ISNUMBER(SEARCH($A111,'Diags Raw Data'!$A$6:$A$3761))),'Diags Raw Data'!$L$6:$L$3761,'Diags Raw Data'!$P$6:$P$3761)/J111)</f>
        <v>#DIV/0!</v>
      </c>
      <c r="M111" s="470" cm="1">
        <f t="array" ref="M111">SUMPRODUCT(--(ISNUMBER(SEARCH($A111,'Diags Raw Data'!$A$6:$A$3761))),--('Diags Raw Data'!$Q$6:$Q$3761&lt;&gt;"N/A"),'Diags Raw Data'!$R$6:$R$3761)</f>
        <v>2</v>
      </c>
      <c r="N111" s="471" cm="1">
        <f t="array" ref="N111">SUMPRODUCT(--(ISNUMBER(SEARCH($A111,'Diags Raw Data'!$A$6:$A$3761))),--('Diags Raw Data'!$Q$6:$Q$3761&lt;&gt;"N/A"),'Diags Raw Data'!$T$6:$T$3761)+SUMPRODUCT(--(ISNUMBER(SEARCH($A111,'Diags Raw Data'!$A$6:$A$3761))),--('Diags Raw Data'!$Q$6:$Q$3761&lt;&gt;"N/A"),'Diags Raw Data'!$U$6:$U$3761)</f>
        <v>0</v>
      </c>
      <c r="O111" s="472">
        <f>IF((M111=0),0,N111/M111)</f>
        <v>0</v>
      </c>
      <c r="P111" s="473">
        <f>SUMIF('Diags Raw Data'!$A$6:$A$3761,"*"&amp;$A111&amp;"*",'Diags Raw Data'!$Z$6:$Z$3761)</f>
        <v>0</v>
      </c>
      <c r="Q111" s="474">
        <f>SUM(SUMIF('Diags Raw Data'!$A$6:$A$3761,"*"&amp;$A111&amp;"*",'Diags Raw Data'!$AA$6:$AA$3761),SUMIF('Diags Raw Data'!$A$6:$A$3761,"*"&amp;$A111&amp;"*",'Diags Raw Data'!$AB$6:$AB$3761))</f>
        <v>0</v>
      </c>
      <c r="R111" s="475">
        <f t="shared" si="13"/>
        <v>0</v>
      </c>
      <c r="S111" s="475">
        <f t="shared" si="14"/>
        <v>0</v>
      </c>
      <c r="T111" s="476">
        <f t="shared" si="15"/>
        <v>0</v>
      </c>
      <c r="U111" s="425" t="str">
        <f>VLOOKUP(A111,'Diags Raw Data'!$A$6:$AH$3761,33,FALSE)</f>
        <v>WK4</v>
      </c>
      <c r="V111" s="181"/>
    </row>
    <row r="112" spans="1:22" ht="30.75" thickBot="1" x14ac:dyDescent="0.3">
      <c r="A112" s="530">
        <v>12.211</v>
      </c>
      <c r="B112" s="427" t="str">
        <f>VLOOKUP(A112,'Feature Raw Data'!$A$3:$B$3922,2,FALSE)</f>
        <v>UTCL1_identity_mode  (SED Crest)</v>
      </c>
      <c r="C112" s="428" t="str">
        <f>VLOOKUP(A112,'Feature Raw Data'!$A$3:$C$3922,3,FALSE)</f>
        <v>P1</v>
      </c>
      <c r="D112" s="429" t="str" cm="1">
        <f t="array" ref="D112">_xlfn.TEXTJOIN("",TRUE,IF(ISNUMBER(SEARCH($A112,'Diags Raw Data'!$A$6:$A$3761)),CONCATENATE('Diags Raw Data'!$H$6:$H$3761,", "),""))</f>
        <v/>
      </c>
      <c r="E112" s="340" t="e">
        <f>VLOOKUP(A112,'Diags Raw Data'!$A$6:$D$3761,4,FALSE)</f>
        <v>#N/A</v>
      </c>
      <c r="F112" s="340" t="str">
        <f>VLOOKUP(A112,'Feature Raw Data'!$A$3:$E$3922,5,FALSE)</f>
        <v>New</v>
      </c>
      <c r="G112" s="340" t="str">
        <f t="shared" si="6"/>
        <v>Yes</v>
      </c>
      <c r="H112" s="340" t="str">
        <f t="shared" si="7"/>
        <v>Yes</v>
      </c>
      <c r="I112" s="428">
        <f>SUMIF('Diags Raw Data'!$A$6:$A$3761,"*"&amp;$A112&amp;"*",'Diags Raw Data'!$K$6:$K$3761)</f>
        <v>0</v>
      </c>
      <c r="J112" s="430">
        <f>SUMIF('Diags Raw Data'!$A$6:$A$3761,"*"&amp;$A112&amp;"*",'Diags Raw Data'!$L$6:$L$3761)</f>
        <v>0</v>
      </c>
      <c r="K112" s="468" cm="1">
        <f t="array" ref="K112">IF(D112="",0, SUMPRODUCT(--(ISNUMBER(SEARCH($A112,'Diags Raw Data'!$A$6:$A$3761))),'Diags Raw Data'!$L$6:$L$3761,'Diags Raw Data'!$N$6:$N$3761)/J112)</f>
        <v>0</v>
      </c>
      <c r="L112" s="469" cm="1">
        <f t="array" ref="L112">IF(D112="",0, SUMPRODUCT(--(ISNUMBER(SEARCH($A112,'Diags Raw Data'!$A$6:$A$3761))),'Diags Raw Data'!$L$6:$L$3761,'Diags Raw Data'!$P$6:$P$3761)/J112)</f>
        <v>0</v>
      </c>
      <c r="M112" s="470" cm="1">
        <f t="array" ref="M112">SUMPRODUCT(--(ISNUMBER(SEARCH($A112,'Diags Raw Data'!$A$6:$A$3761))),--('Diags Raw Data'!$Q$6:$Q$3761&lt;&gt;"N/A"),'Diags Raw Data'!$R$6:$R$3761)</f>
        <v>0</v>
      </c>
      <c r="N112" s="471" cm="1">
        <f t="array" ref="N112">SUMPRODUCT(--(ISNUMBER(SEARCH($A112,'Diags Raw Data'!$A$6:$A$3761))),--('Diags Raw Data'!$Q$6:$Q$3761&lt;&gt;"N/A"),'Diags Raw Data'!$T$6:$T$3761)+SUMPRODUCT(--(ISNUMBER(SEARCH($A112,'Diags Raw Data'!$A$6:$A$3761))),--('Diags Raw Data'!$Q$6:$Q$3761&lt;&gt;"N/A"),'Diags Raw Data'!$U$6:$U$3761)</f>
        <v>0</v>
      </c>
      <c r="O112" s="472">
        <f t="shared" ref="O112:O127" si="16">IF((M112=0),0,N112/M112)</f>
        <v>0</v>
      </c>
      <c r="P112" s="473">
        <f>SUMIF('Diags Raw Data'!$A$6:$A$3761,"*"&amp;$A112&amp;"*",'Diags Raw Data'!$Z$6:$Z$3761)</f>
        <v>0</v>
      </c>
      <c r="Q112" s="474">
        <f>SUM(SUMIF('Diags Raw Data'!$A$6:$A$3761,"*"&amp;$A112&amp;"*",'Diags Raw Data'!$AA$6:$AA$3761),SUMIF('Diags Raw Data'!$A$6:$A$3761,"*"&amp;$A112&amp;"*",'Diags Raw Data'!$AB$6:$AB$3761))</f>
        <v>0</v>
      </c>
      <c r="R112" s="475">
        <f t="shared" si="13"/>
        <v>0</v>
      </c>
      <c r="S112" s="475">
        <f t="shared" si="14"/>
        <v>0</v>
      </c>
      <c r="T112" s="476">
        <f t="shared" si="15"/>
        <v>0</v>
      </c>
      <c r="U112" s="425" t="e">
        <f>VLOOKUP(A112,'Diags Raw Data'!$A$6:$AH$3761,33,FALSE)</f>
        <v>#N/A</v>
      </c>
      <c r="V112" s="181"/>
    </row>
    <row r="113" spans="1:22" ht="15.75" thickBot="1" x14ac:dyDescent="0.3">
      <c r="A113" s="530">
        <v>12.212999999999999</v>
      </c>
      <c r="B113" s="427" t="str">
        <f>VLOOKUP(A113,'Feature Raw Data'!$A$3:$B$3922,2,FALSE)</f>
        <v>deprecate HPG</v>
      </c>
      <c r="C113" s="428" t="str">
        <f>VLOOKUP(A113,'Feature Raw Data'!$A$3:$C$3922,3,FALSE)</f>
        <v>P1</v>
      </c>
      <c r="D113" s="429" t="str" cm="1">
        <f t="array" ref="D113">_xlfn.TEXTJOIN("",TRUE,IF(ISNUMBER(SEARCH($A113,'Diags Raw Data'!$A$6:$A$3761)),CONCATENATE('Diags Raw Data'!$H$6:$H$3761,", "),""))</f>
        <v/>
      </c>
      <c r="E113" s="340" t="e">
        <f>VLOOKUP(A113,'Diags Raw Data'!$A$6:$D$3761,4,FALSE)</f>
        <v>#N/A</v>
      </c>
      <c r="F113" s="340" t="str">
        <f>VLOOKUP(A113,'Feature Raw Data'!$A$3:$E$3922,5,FALSE)</f>
        <v>New</v>
      </c>
      <c r="G113" s="340" t="str">
        <f t="shared" si="6"/>
        <v>Yes</v>
      </c>
      <c r="H113" s="340" t="str">
        <f t="shared" si="7"/>
        <v>Yes</v>
      </c>
      <c r="I113" s="428">
        <f>SUMIF('Diags Raw Data'!$A$6:$A$3761,"*"&amp;$A113&amp;"*",'Diags Raw Data'!$K$6:$K$3761)</f>
        <v>0</v>
      </c>
      <c r="J113" s="430">
        <f>SUMIF('Diags Raw Data'!$A$6:$A$3761,"*"&amp;$A113&amp;"*",'Diags Raw Data'!$L$6:$L$3761)</f>
        <v>0</v>
      </c>
      <c r="K113" s="468" cm="1">
        <f t="array" ref="K113">IF(D113="",0, SUMPRODUCT(--(ISNUMBER(SEARCH($A113,'Diags Raw Data'!$A$6:$A$3761))),'Diags Raw Data'!$L$6:$L$3761,'Diags Raw Data'!$N$6:$N$3761)/J113)</f>
        <v>0</v>
      </c>
      <c r="L113" s="469" cm="1">
        <f t="array" ref="L113">IF(D113="",0, SUMPRODUCT(--(ISNUMBER(SEARCH($A113,'Diags Raw Data'!$A$6:$A$3761))),'Diags Raw Data'!$L$6:$L$3761,'Diags Raw Data'!$P$6:$P$3761)/J113)</f>
        <v>0</v>
      </c>
      <c r="M113" s="470" cm="1">
        <f t="array" ref="M113">SUMPRODUCT(--(ISNUMBER(SEARCH($A113,'Diags Raw Data'!$A$6:$A$3761))),--('Diags Raw Data'!$Q$6:$Q$3761&lt;&gt;"N/A"),'Diags Raw Data'!$R$6:$R$3761)</f>
        <v>0</v>
      </c>
      <c r="N113" s="471" cm="1">
        <f t="array" ref="N113">SUMPRODUCT(--(ISNUMBER(SEARCH($A113,'Diags Raw Data'!$A$6:$A$3761))),--('Diags Raw Data'!$Q$6:$Q$3761&lt;&gt;"N/A"),'Diags Raw Data'!$T$6:$T$3761)+SUMPRODUCT(--(ISNUMBER(SEARCH($A113,'Diags Raw Data'!$A$6:$A$3761))),--('Diags Raw Data'!$Q$6:$Q$3761&lt;&gt;"N/A"),'Diags Raw Data'!$U$6:$U$3761)</f>
        <v>0</v>
      </c>
      <c r="O113" s="472">
        <f t="shared" si="16"/>
        <v>0</v>
      </c>
      <c r="P113" s="473">
        <f>SUMIF('Diags Raw Data'!$A$6:$A$3761,"*"&amp;$A113&amp;"*",'Diags Raw Data'!$Z$6:$Z$3761)</f>
        <v>0</v>
      </c>
      <c r="Q113" s="474">
        <f>SUM(SUMIF('Diags Raw Data'!$A$6:$A$3761,"*"&amp;$A113&amp;"*",'Diags Raw Data'!$AA$6:$AA$3761),SUMIF('Diags Raw Data'!$A$6:$A$3761,"*"&amp;$A113&amp;"*",'Diags Raw Data'!$AB$6:$AB$3761))</f>
        <v>0</v>
      </c>
      <c r="R113" s="475">
        <f t="shared" si="13"/>
        <v>0</v>
      </c>
      <c r="S113" s="475">
        <f t="shared" si="14"/>
        <v>0</v>
      </c>
      <c r="T113" s="476">
        <f t="shared" si="15"/>
        <v>0</v>
      </c>
      <c r="U113" s="425" t="e">
        <f>VLOOKUP(A113,'Diags Raw Data'!$A$6:$AH$3761,33,FALSE)</f>
        <v>#N/A</v>
      </c>
      <c r="V113" s="535" t="s">
        <v>397</v>
      </c>
    </row>
    <row r="114" spans="1:22" ht="30.75" thickBot="1" x14ac:dyDescent="0.3">
      <c r="A114" s="530">
        <v>12.214</v>
      </c>
      <c r="B114" s="427" t="str">
        <f>VLOOKUP(A114,'Feature Raw Data'!$A$3:$B$3922,2,FALSE)</f>
        <v>reduce GE_DIST to GE_SE wire count</v>
      </c>
      <c r="C114" s="428" t="str">
        <f>VLOOKUP(A114,'Feature Raw Data'!$A$3:$C$3922,3,FALSE)</f>
        <v>P1</v>
      </c>
      <c r="D114" s="429" t="str" cm="1">
        <f t="array" ref="D114">_xlfn.TEXTJOIN("",TRUE,IF(ISNUMBER(SEARCH($A114,'Diags Raw Data'!$A$6:$A$3761)),CONCATENATE('Diags Raw Data'!$H$6:$H$3761,", "),""))</f>
        <v/>
      </c>
      <c r="E114" s="340" t="e">
        <f>VLOOKUP(A114,'Diags Raw Data'!$A$6:$D$3761,4,FALSE)</f>
        <v>#N/A</v>
      </c>
      <c r="F114" s="340" t="str">
        <f>VLOOKUP(A114,'Feature Raw Data'!$A$3:$E$3922,5,FALSE)</f>
        <v>New</v>
      </c>
      <c r="G114" s="340" t="str">
        <f t="shared" si="6"/>
        <v>Yes</v>
      </c>
      <c r="H114" s="340" t="str">
        <f t="shared" si="7"/>
        <v>Yes</v>
      </c>
      <c r="I114" s="428">
        <f>SUMIF('Diags Raw Data'!$A$6:$A$3761,"*"&amp;$A114&amp;"*",'Diags Raw Data'!$K$6:$K$3761)</f>
        <v>0</v>
      </c>
      <c r="J114" s="430">
        <f>SUMIF('Diags Raw Data'!$A$6:$A$3761,"*"&amp;$A114&amp;"*",'Diags Raw Data'!$L$6:$L$3761)</f>
        <v>0</v>
      </c>
      <c r="K114" s="468" cm="1">
        <f t="array" ref="K114">IF(D114="",0, SUMPRODUCT(--(ISNUMBER(SEARCH($A114,'Diags Raw Data'!$A$6:$A$3761))),'Diags Raw Data'!$L$6:$L$3761,'Diags Raw Data'!$N$6:$N$3761)/J114)</f>
        <v>0</v>
      </c>
      <c r="L114" s="469" cm="1">
        <f t="array" ref="L114">IF(D114="",0, SUMPRODUCT(--(ISNUMBER(SEARCH($A114,'Diags Raw Data'!$A$6:$A$3761))),'Diags Raw Data'!$L$6:$L$3761,'Diags Raw Data'!$P$6:$P$3761)/J114)</f>
        <v>0</v>
      </c>
      <c r="M114" s="470" cm="1">
        <f t="array" ref="M114">SUMPRODUCT(--(ISNUMBER(SEARCH($A114,'Diags Raw Data'!$A$6:$A$3761))),--('Diags Raw Data'!$Q$6:$Q$3761&lt;&gt;"N/A"),'Diags Raw Data'!$R$6:$R$3761)</f>
        <v>0</v>
      </c>
      <c r="N114" s="471" cm="1">
        <f t="array" ref="N114">SUMPRODUCT(--(ISNUMBER(SEARCH($A114,'Diags Raw Data'!$A$6:$A$3761))),--('Diags Raw Data'!$Q$6:$Q$3761&lt;&gt;"N/A"),'Diags Raw Data'!$T$6:$T$3761)+SUMPRODUCT(--(ISNUMBER(SEARCH($A114,'Diags Raw Data'!$A$6:$A$3761))),--('Diags Raw Data'!$Q$6:$Q$3761&lt;&gt;"N/A"),'Diags Raw Data'!$U$6:$U$3761)</f>
        <v>0</v>
      </c>
      <c r="O114" s="472">
        <f t="shared" si="16"/>
        <v>0</v>
      </c>
      <c r="P114" s="473">
        <f>SUMIF('Diags Raw Data'!$A$6:$A$3761,"*"&amp;$A114&amp;"*",'Diags Raw Data'!$Z$6:$Z$3761)</f>
        <v>0</v>
      </c>
      <c r="Q114" s="474">
        <f>SUM(SUMIF('Diags Raw Data'!$A$6:$A$3761,"*"&amp;$A114&amp;"*",'Diags Raw Data'!$AA$6:$AA$3761),SUMIF('Diags Raw Data'!$A$6:$A$3761,"*"&amp;$A114&amp;"*",'Diags Raw Data'!$AB$6:$AB$3761))</f>
        <v>0</v>
      </c>
      <c r="R114" s="475">
        <f t="shared" si="13"/>
        <v>0</v>
      </c>
      <c r="S114" s="475">
        <f t="shared" si="14"/>
        <v>0</v>
      </c>
      <c r="T114" s="476">
        <f t="shared" si="15"/>
        <v>0</v>
      </c>
      <c r="U114" s="425" t="e">
        <f>VLOOKUP(A114,'Diags Raw Data'!$A$6:$AH$3761,33,FALSE)</f>
        <v>#N/A</v>
      </c>
      <c r="V114" s="181"/>
    </row>
    <row r="115" spans="1:22" s="184" customFormat="1" ht="30.75" thickBot="1" x14ac:dyDescent="0.3">
      <c r="A115" s="530">
        <v>12.215999999999999</v>
      </c>
      <c r="B115" s="427" t="str">
        <f>VLOOKUP(A115,'Feature Raw Data'!$A$3:$B$3922,2,FALSE)</f>
        <v>All debug bus buffers to 4K size</v>
      </c>
      <c r="C115" s="428" t="str">
        <f>VLOOKUP(A115,'Feature Raw Data'!$A$3:$C$3922,3,FALSE)</f>
        <v>P1</v>
      </c>
      <c r="D115" s="429" t="str" cm="1">
        <f t="array" ref="D115">_xlfn.TEXTJOIN("",TRUE,IF(ISNUMBER(SEARCH($A115,'Diags Raw Data'!$A$6:$A$3761)),CONCATENATE('Diags Raw Data'!$H$6:$H$3761,", "),""))</f>
        <v/>
      </c>
      <c r="E115" s="340" t="e">
        <f>VLOOKUP(A115,'Diags Raw Data'!$A$6:$D$3761,4,FALSE)</f>
        <v>#N/A</v>
      </c>
      <c r="F115" s="340" t="str">
        <f>VLOOKUP(A115,'Feature Raw Data'!$A$3:$E$3922,5,FALSE)</f>
        <v>New</v>
      </c>
      <c r="G115" s="340" t="str">
        <f t="shared" si="6"/>
        <v>Yes</v>
      </c>
      <c r="H115" s="340" t="str">
        <f t="shared" si="7"/>
        <v>Yes</v>
      </c>
      <c r="I115" s="428">
        <f>SUMIF('Diags Raw Data'!$A$6:$A$3761,"*"&amp;$A115&amp;"*",'Diags Raw Data'!$K$6:$K$3761)</f>
        <v>0</v>
      </c>
      <c r="J115" s="430">
        <f>SUMIF('Diags Raw Data'!$A$6:$A$3761,"*"&amp;$A115&amp;"*",'Diags Raw Data'!$L$6:$L$3761)</f>
        <v>0</v>
      </c>
      <c r="K115" s="468" cm="1">
        <f t="array" ref="K115">IF(D115="",0, SUMPRODUCT(--(ISNUMBER(SEARCH($A115,'Diags Raw Data'!$A$6:$A$3761))),'Diags Raw Data'!$L$6:$L$3761,'Diags Raw Data'!$N$6:$N$3761)/J115)</f>
        <v>0</v>
      </c>
      <c r="L115" s="469" cm="1">
        <f t="array" ref="L115">IF(D115="",0, SUMPRODUCT(--(ISNUMBER(SEARCH($A115,'Diags Raw Data'!$A$6:$A$3761))),'Diags Raw Data'!$L$6:$L$3761,'Diags Raw Data'!$P$6:$P$3761)/J115)</f>
        <v>0</v>
      </c>
      <c r="M115" s="470" cm="1">
        <f t="array" ref="M115">SUMPRODUCT(--(ISNUMBER(SEARCH($A115,'Diags Raw Data'!$A$6:$A$3761))),--('Diags Raw Data'!$Q$6:$Q$3761&lt;&gt;"N/A"),'Diags Raw Data'!$R$6:$R$3761)</f>
        <v>0</v>
      </c>
      <c r="N115" s="471" cm="1">
        <f t="array" ref="N115">SUMPRODUCT(--(ISNUMBER(SEARCH($A115,'Diags Raw Data'!$A$6:$A$3761))),--('Diags Raw Data'!$Q$6:$Q$3761&lt;&gt;"N/A"),'Diags Raw Data'!$T$6:$T$3761)+SUMPRODUCT(--(ISNUMBER(SEARCH($A115,'Diags Raw Data'!$A$6:$A$3761))),--('Diags Raw Data'!$Q$6:$Q$3761&lt;&gt;"N/A"),'Diags Raw Data'!$U$6:$U$3761)</f>
        <v>0</v>
      </c>
      <c r="O115" s="472">
        <f t="shared" si="16"/>
        <v>0</v>
      </c>
      <c r="P115" s="473">
        <f>SUMIF('Diags Raw Data'!$A$6:$A$3761,"*"&amp;$A115&amp;"*",'Diags Raw Data'!$Z$6:$Z$3761)</f>
        <v>0</v>
      </c>
      <c r="Q115" s="474">
        <f>SUM(SUMIF('Diags Raw Data'!$A$6:$A$3761,"*"&amp;$A115&amp;"*",'Diags Raw Data'!$AA$6:$AA$3761),SUMIF('Diags Raw Data'!$A$6:$A$3761,"*"&amp;$A115&amp;"*",'Diags Raw Data'!$AB$6:$AB$3761))</f>
        <v>0</v>
      </c>
      <c r="R115" s="475">
        <f t="shared" si="13"/>
        <v>0</v>
      </c>
      <c r="S115" s="475">
        <f t="shared" si="14"/>
        <v>0</v>
      </c>
      <c r="T115" s="476">
        <f t="shared" si="15"/>
        <v>0</v>
      </c>
      <c r="U115" s="425" t="e">
        <f>VLOOKUP(A115,'Diags Raw Data'!$A$6:$AH$3761,33,FALSE)</f>
        <v>#N/A</v>
      </c>
      <c r="V115" s="183"/>
    </row>
    <row r="116" spans="1:22" ht="30.75" thickBot="1" x14ac:dyDescent="0.3">
      <c r="A116" s="530">
        <v>12.218999999999999</v>
      </c>
      <c r="B116" s="427" t="str">
        <f>VLOOKUP(A116,'Feature Raw Data'!$A$3:$B$3922,2,FALSE)</f>
        <v>ge_se in sed.  Sub item under basic configuration</v>
      </c>
      <c r="C116" s="428" t="str">
        <f>VLOOKUP(A116,'Feature Raw Data'!$A$3:$C$3922,3,FALSE)</f>
        <v>P1</v>
      </c>
      <c r="D116" s="429" t="str" cm="1">
        <f t="array" ref="D116">_xlfn.TEXTJOIN("",TRUE,IF(ISNUMBER(SEARCH($A116,'Diags Raw Data'!$A$6:$A$3761)),CONCATENATE('Diags Raw Data'!$H$6:$H$3761,", "),""))</f>
        <v xml:space="preserve">gfx.red_triangle_draw_composite, </v>
      </c>
      <c r="E116" s="340" t="str">
        <f>VLOOKUP(A116,'Diags Raw Data'!$A$6:$D$3761,4,FALSE)</f>
        <v>GEO</v>
      </c>
      <c r="F116" s="340" t="str">
        <f>VLOOKUP(A116,'Feature Raw Data'!$A$3:$E$3922,5,FALSE)</f>
        <v>New</v>
      </c>
      <c r="G116" s="340" t="str">
        <f t="shared" si="6"/>
        <v>Yes</v>
      </c>
      <c r="H116" s="340" t="str">
        <f t="shared" si="7"/>
        <v>Yes</v>
      </c>
      <c r="I116" s="428">
        <f>SUMIF('Diags Raw Data'!$A$6:$A$3761,"*"&amp;$A116&amp;"*",'Diags Raw Data'!$K$6:$K$3761)</f>
        <v>0</v>
      </c>
      <c r="J116" s="430">
        <f>SUMIF('Diags Raw Data'!$A$6:$A$3761,"*"&amp;$A116&amp;"*",'Diags Raw Data'!$L$6:$L$3761)</f>
        <v>0</v>
      </c>
      <c r="K116" s="468" t="e" cm="1">
        <f t="array" ref="K116">IF(D116="",0, SUMPRODUCT(--(ISNUMBER(SEARCH($A116,'Diags Raw Data'!$A$6:$A$3761))),'Diags Raw Data'!$L$6:$L$3761,'Diags Raw Data'!$N$6:$N$3761)/J116)</f>
        <v>#DIV/0!</v>
      </c>
      <c r="L116" s="469" t="e" cm="1">
        <f t="array" ref="L116">IF(D116="",0, SUMPRODUCT(--(ISNUMBER(SEARCH($A116,'Diags Raw Data'!$A$6:$A$3761))),'Diags Raw Data'!$L$6:$L$3761,'Diags Raw Data'!$P$6:$P$3761)/J116)</f>
        <v>#DIV/0!</v>
      </c>
      <c r="M116" s="470" cm="1">
        <f t="array" ref="M116">SUMPRODUCT(--(ISNUMBER(SEARCH($A116,'Diags Raw Data'!$A$6:$A$3761))),--('Diags Raw Data'!$Q$6:$Q$3761&lt;&gt;"N/A"),'Diags Raw Data'!$R$6:$R$3761)</f>
        <v>1</v>
      </c>
      <c r="N116" s="471" cm="1">
        <f t="array" ref="N116">SUMPRODUCT(--(ISNUMBER(SEARCH($A116,'Diags Raw Data'!$A$6:$A$3761))),--('Diags Raw Data'!$Q$6:$Q$3761&lt;&gt;"N/A"),'Diags Raw Data'!$T$6:$T$3761)+SUMPRODUCT(--(ISNUMBER(SEARCH($A116,'Diags Raw Data'!$A$6:$A$3761))),--('Diags Raw Data'!$Q$6:$Q$3761&lt;&gt;"N/A"),'Diags Raw Data'!$U$6:$U$3761)</f>
        <v>0</v>
      </c>
      <c r="O116" s="472">
        <f t="shared" si="16"/>
        <v>0</v>
      </c>
      <c r="P116" s="473">
        <f>SUMIF('Diags Raw Data'!$A$6:$A$3761,"*"&amp;$A116&amp;"*",'Diags Raw Data'!$Z$6:$Z$3761)</f>
        <v>0</v>
      </c>
      <c r="Q116" s="474">
        <f>SUM(SUMIF('Diags Raw Data'!$A$6:$A$3761,"*"&amp;$A116&amp;"*",'Diags Raw Data'!$AA$6:$AA$3761),SUMIF('Diags Raw Data'!$A$6:$A$3761,"*"&amp;$A116&amp;"*",'Diags Raw Data'!$AB$6:$AB$3761))</f>
        <v>0</v>
      </c>
      <c r="R116" s="475">
        <f t="shared" si="13"/>
        <v>0</v>
      </c>
      <c r="S116" s="475">
        <f t="shared" si="14"/>
        <v>0</v>
      </c>
      <c r="T116" s="476">
        <f t="shared" si="15"/>
        <v>0</v>
      </c>
      <c r="U116" s="425" t="str">
        <f>VLOOKUP(A116,'Diags Raw Data'!$A$6:$AH$3761,33,FALSE)</f>
        <v>WK4</v>
      </c>
      <c r="V116" s="181"/>
    </row>
    <row r="117" spans="1:22" ht="30.75" thickBot="1" x14ac:dyDescent="0.3">
      <c r="A117" s="530">
        <v>12.22</v>
      </c>
      <c r="B117" s="427" t="str">
        <f>VLOOKUP(A117,'Feature Raw Data'!$A$3:$B$3922,2,FALSE)</f>
        <v>register cleanup</v>
      </c>
      <c r="C117" s="428" t="str">
        <f>VLOOKUP(A117,'Feature Raw Data'!$A$3:$C$3922,3,FALSE)</f>
        <v>P1</v>
      </c>
      <c r="D117" s="429" t="str" cm="1">
        <f t="array" ref="D117">_xlfn.TEXTJOIN("",TRUE,IF(ISNUMBER(SEARCH($A117,'Diags Raw Data'!$A$6:$A$3761)),CONCATENATE('Diags Raw Data'!$H$6:$H$3761,", "),""))</f>
        <v xml:space="preserve">navi48.gfx.ge.register_access, STD1.6,GCI30.3, Same,to,12.164, </v>
      </c>
      <c r="E117" s="340" t="str">
        <f>VLOOKUP(A117,'Diags Raw Data'!$A$6:$D$3761,4,FALSE)</f>
        <v>GEO</v>
      </c>
      <c r="F117" s="340" t="str">
        <f>VLOOKUP(A117,'Feature Raw Data'!$A$3:$E$3922,5,FALSE)</f>
        <v>New</v>
      </c>
      <c r="G117" s="340" t="str">
        <f t="shared" si="6"/>
        <v>Yes</v>
      </c>
      <c r="H117" s="340" t="str">
        <f t="shared" si="7"/>
        <v>Yes</v>
      </c>
      <c r="I117" s="428">
        <f>SUMIF('Diags Raw Data'!$A$6:$A$3761,"*"&amp;$A117&amp;"*",'Diags Raw Data'!$K$6:$K$3761)</f>
        <v>0</v>
      </c>
      <c r="J117" s="430">
        <f>SUMIF('Diags Raw Data'!$A$6:$A$3761,"*"&amp;$A117&amp;"*",'Diags Raw Data'!$L$6:$L$3761)</f>
        <v>0</v>
      </c>
      <c r="K117" s="468" t="e" cm="1">
        <f t="array" ref="K117">IF(D117="",0, SUMPRODUCT(--(ISNUMBER(SEARCH($A117,'Diags Raw Data'!$A$6:$A$3761))),'Diags Raw Data'!$L$6:$L$3761,'Diags Raw Data'!$N$6:$N$3761)/J117)</f>
        <v>#DIV/0!</v>
      </c>
      <c r="L117" s="469" t="e" cm="1">
        <f t="array" ref="L117">IF(D117="",0, SUMPRODUCT(--(ISNUMBER(SEARCH($A117,'Diags Raw Data'!$A$6:$A$3761))),'Diags Raw Data'!$L$6:$L$3761,'Diags Raw Data'!$P$6:$P$3761)/J117)</f>
        <v>#DIV/0!</v>
      </c>
      <c r="M117" s="470" cm="1">
        <f t="array" ref="M117">SUMPRODUCT(--(ISNUMBER(SEARCH($A117,'Diags Raw Data'!$A$6:$A$3761))),--('Diags Raw Data'!$Q$6:$Q$3761&lt;&gt;"N/A"),'Diags Raw Data'!$R$6:$R$3761)</f>
        <v>3</v>
      </c>
      <c r="N117" s="471" cm="1">
        <f t="array" ref="N117">SUMPRODUCT(--(ISNUMBER(SEARCH($A117,'Diags Raw Data'!$A$6:$A$3761))),--('Diags Raw Data'!$Q$6:$Q$3761&lt;&gt;"N/A"),'Diags Raw Data'!$T$6:$T$3761)+SUMPRODUCT(--(ISNUMBER(SEARCH($A117,'Diags Raw Data'!$A$6:$A$3761))),--('Diags Raw Data'!$Q$6:$Q$3761&lt;&gt;"N/A"),'Diags Raw Data'!$U$6:$U$3761)</f>
        <v>2</v>
      </c>
      <c r="O117" s="472">
        <f t="shared" si="16"/>
        <v>0.66666666666666663</v>
      </c>
      <c r="P117" s="473">
        <f>SUMIF('Diags Raw Data'!$A$6:$A$3761,"*"&amp;$A117&amp;"*",'Diags Raw Data'!$Z$6:$Z$3761)</f>
        <v>0</v>
      </c>
      <c r="Q117" s="474">
        <f>SUM(SUMIF('Diags Raw Data'!$A$6:$A$3761,"*"&amp;$A117&amp;"*",'Diags Raw Data'!$AA$6:$AA$3761),SUMIF('Diags Raw Data'!$A$6:$A$3761,"*"&amp;$A117&amp;"*",'Diags Raw Data'!$AB$6:$AB$3761))</f>
        <v>0</v>
      </c>
      <c r="R117" s="475">
        <f t="shared" si="13"/>
        <v>0</v>
      </c>
      <c r="S117" s="475">
        <f t="shared" si="14"/>
        <v>0</v>
      </c>
      <c r="T117" s="476">
        <f t="shared" si="15"/>
        <v>0</v>
      </c>
      <c r="U117" s="425" t="str">
        <f>VLOOKUP(A117,'Diags Raw Data'!$A$6:$AH$3761,33,FALSE)</f>
        <v>WK4</v>
      </c>
      <c r="V117" s="181"/>
    </row>
    <row r="118" spans="1:22" ht="45.75" thickBot="1" x14ac:dyDescent="0.3">
      <c r="A118" s="530">
        <v>12.221</v>
      </c>
      <c r="B118" s="427" t="str">
        <f>VLOOKUP(A118,'Feature Raw Data'!$A$3:$B$3922,2,FALSE)</f>
        <v>Add support to the SDMA to dequeue similar to the way the CP does</v>
      </c>
      <c r="C118" s="428" t="str">
        <f>VLOOKUP(A118,'Feature Raw Data'!$A$3:$C$3922,3,FALSE)</f>
        <v>P1</v>
      </c>
      <c r="D118" s="429" t="str" cm="1">
        <f t="array" ref="D118">_xlfn.TEXTJOIN("",TRUE,IF(ISNUMBER(SEARCH($A118,'Diags Raw Data'!$A$6:$A$3761)),CONCATENATE('Diags Raw Data'!$H$6:$H$3761,", "),""))</f>
        <v/>
      </c>
      <c r="E118" s="340" t="e">
        <f>VLOOKUP(A118,'Diags Raw Data'!$A$6:$D$3761,4,FALSE)</f>
        <v>#N/A</v>
      </c>
      <c r="F118" s="340" t="str">
        <f>VLOOKUP(A118,'Feature Raw Data'!$A$3:$E$3922,5,FALSE)</f>
        <v>New</v>
      </c>
      <c r="G118" s="340" t="str">
        <f t="shared" si="6"/>
        <v>Yes</v>
      </c>
      <c r="H118" s="340" t="str">
        <f t="shared" si="7"/>
        <v>Yes</v>
      </c>
      <c r="I118" s="428">
        <f>SUMIF('Diags Raw Data'!$A$6:$A$3761,"*"&amp;$A118&amp;"*",'Diags Raw Data'!$K$6:$K$3761)</f>
        <v>0</v>
      </c>
      <c r="J118" s="430">
        <f>SUMIF('Diags Raw Data'!$A$6:$A$3761,"*"&amp;$A118&amp;"*",'Diags Raw Data'!$L$6:$L$3761)</f>
        <v>0</v>
      </c>
      <c r="K118" s="468" cm="1">
        <f t="array" ref="K118">IF(D118="",0, SUMPRODUCT(--(ISNUMBER(SEARCH($A118,'Diags Raw Data'!$A$6:$A$3761))),'Diags Raw Data'!$L$6:$L$3761,'Diags Raw Data'!$N$6:$N$3761)/J118)</f>
        <v>0</v>
      </c>
      <c r="L118" s="469" cm="1">
        <f t="array" ref="L118">IF(D118="",0, SUMPRODUCT(--(ISNUMBER(SEARCH($A118,'Diags Raw Data'!$A$6:$A$3761))),'Diags Raw Data'!$L$6:$L$3761,'Diags Raw Data'!$P$6:$P$3761)/J118)</f>
        <v>0</v>
      </c>
      <c r="M118" s="470" cm="1">
        <f t="array" ref="M118">SUMPRODUCT(--(ISNUMBER(SEARCH($A118,'Diags Raw Data'!$A$6:$A$3761))),--('Diags Raw Data'!$Q$6:$Q$3761&lt;&gt;"N/A"),'Diags Raw Data'!$R$6:$R$3761)</f>
        <v>0</v>
      </c>
      <c r="N118" s="471" cm="1">
        <f t="array" ref="N118">SUMPRODUCT(--(ISNUMBER(SEARCH($A118,'Diags Raw Data'!$A$6:$A$3761))),--('Diags Raw Data'!$Q$6:$Q$3761&lt;&gt;"N/A"),'Diags Raw Data'!$T$6:$T$3761)+SUMPRODUCT(--(ISNUMBER(SEARCH($A118,'Diags Raw Data'!$A$6:$A$3761))),--('Diags Raw Data'!$Q$6:$Q$3761&lt;&gt;"N/A"),'Diags Raw Data'!$U$6:$U$3761)</f>
        <v>0</v>
      </c>
      <c r="O118" s="472">
        <f t="shared" si="16"/>
        <v>0</v>
      </c>
      <c r="P118" s="473">
        <f>SUMIF('Diags Raw Data'!$A$6:$A$3761,"*"&amp;$A118&amp;"*",'Diags Raw Data'!$Z$6:$Z$3761)</f>
        <v>0</v>
      </c>
      <c r="Q118" s="474">
        <f>SUM(SUMIF('Diags Raw Data'!$A$6:$A$3761,"*"&amp;$A118&amp;"*",'Diags Raw Data'!$AA$6:$AA$3761),SUMIF('Diags Raw Data'!$A$6:$A$3761,"*"&amp;$A118&amp;"*",'Diags Raw Data'!$AB$6:$AB$3761))</f>
        <v>0</v>
      </c>
      <c r="R118" s="475">
        <f t="shared" si="13"/>
        <v>0</v>
      </c>
      <c r="S118" s="475">
        <f t="shared" si="14"/>
        <v>0</v>
      </c>
      <c r="T118" s="476">
        <f t="shared" si="15"/>
        <v>0</v>
      </c>
      <c r="U118" s="425" t="e">
        <f>VLOOKUP(A118,'Diags Raw Data'!$A$6:$AH$3761,33,FALSE)</f>
        <v>#N/A</v>
      </c>
      <c r="V118" s="181"/>
    </row>
    <row r="119" spans="1:22" ht="45.75" thickBot="1" x14ac:dyDescent="0.3">
      <c r="A119" s="530">
        <v>12.223000000000001</v>
      </c>
      <c r="B119" s="427" t="str">
        <f>VLOOKUP(A119,'Feature Raw Data'!$A$3:$B$3922,2,FALSE)</f>
        <v>Update PA/SC support for 1 to 9SE and updated pix distribution algorithm</v>
      </c>
      <c r="C119" s="428" t="str">
        <f>VLOOKUP(A119,'Feature Raw Data'!$A$3:$C$3922,3,FALSE)</f>
        <v>P1</v>
      </c>
      <c r="D119" s="429" t="str" cm="1">
        <f t="array" ref="D119">_xlfn.TEXTJOIN("",TRUE,IF(ISNUMBER(SEARCH($A119,'Diags Raw Data'!$A$6:$A$3761)),CONCATENATE('Diags Raw Data'!$H$6:$H$3761,", "),""))</f>
        <v xml:space="preserve">STD1.6,GCI30.3, </v>
      </c>
      <c r="E119" s="340" t="str">
        <f>VLOOKUP(A119,'Diags Raw Data'!$A$6:$D$3761,4,FALSE)</f>
        <v>PP</v>
      </c>
      <c r="F119" s="340" t="str">
        <f>VLOOKUP(A119,'Feature Raw Data'!$A$3:$E$3922,5,FALSE)</f>
        <v>New</v>
      </c>
      <c r="G119" s="340" t="str">
        <f t="shared" si="6"/>
        <v>Yes</v>
      </c>
      <c r="H119" s="340" t="str">
        <f t="shared" si="7"/>
        <v>Yes</v>
      </c>
      <c r="I119" s="428">
        <f>SUMIF('Diags Raw Data'!$A$6:$A$3761,"*"&amp;$A119&amp;"*",'Diags Raw Data'!$K$6:$K$3761)</f>
        <v>0</v>
      </c>
      <c r="J119" s="430">
        <f>SUMIF('Diags Raw Data'!$A$6:$A$3761,"*"&amp;$A119&amp;"*",'Diags Raw Data'!$L$6:$L$3761)</f>
        <v>0</v>
      </c>
      <c r="K119" s="468" t="e" cm="1">
        <f t="array" ref="K119">IF(D119="",0, SUMPRODUCT(--(ISNUMBER(SEARCH($A119,'Diags Raw Data'!$A$6:$A$3761))),'Diags Raw Data'!$L$6:$L$3761,'Diags Raw Data'!$N$6:$N$3761)/J119)</f>
        <v>#DIV/0!</v>
      </c>
      <c r="L119" s="469" t="e" cm="1">
        <f t="array" ref="L119">IF(D119="",0, SUMPRODUCT(--(ISNUMBER(SEARCH($A119,'Diags Raw Data'!$A$6:$A$3761))),'Diags Raw Data'!$L$6:$L$3761,'Diags Raw Data'!$P$6:$P$3761)/J119)</f>
        <v>#DIV/0!</v>
      </c>
      <c r="M119" s="470" cm="1">
        <f t="array" ref="M119">SUMPRODUCT(--(ISNUMBER(SEARCH($A119,'Diags Raw Data'!$A$6:$A$3761))),--('Diags Raw Data'!$Q$6:$Q$3761&lt;&gt;"N/A"),'Diags Raw Data'!$R$6:$R$3761)</f>
        <v>1</v>
      </c>
      <c r="N119" s="471" cm="1">
        <f t="array" ref="N119">SUMPRODUCT(--(ISNUMBER(SEARCH($A119,'Diags Raw Data'!$A$6:$A$3761))),--('Diags Raw Data'!$Q$6:$Q$3761&lt;&gt;"N/A"),'Diags Raw Data'!$T$6:$T$3761)+SUMPRODUCT(--(ISNUMBER(SEARCH($A119,'Diags Raw Data'!$A$6:$A$3761))),--('Diags Raw Data'!$Q$6:$Q$3761&lt;&gt;"N/A"),'Diags Raw Data'!$U$6:$U$3761)</f>
        <v>1</v>
      </c>
      <c r="O119" s="472">
        <f t="shared" si="16"/>
        <v>1</v>
      </c>
      <c r="P119" s="473">
        <f>SUMIF('Diags Raw Data'!$A$6:$A$3761,"*"&amp;$A119&amp;"*",'Diags Raw Data'!$Z$6:$Z$3761)</f>
        <v>0</v>
      </c>
      <c r="Q119" s="474">
        <f>SUM(SUMIF('Diags Raw Data'!$A$6:$A$3761,"*"&amp;$A119&amp;"*",'Diags Raw Data'!$AA$6:$AA$3761),SUMIF('Diags Raw Data'!$A$6:$A$3761,"*"&amp;$A119&amp;"*",'Diags Raw Data'!$AB$6:$AB$3761))</f>
        <v>0</v>
      </c>
      <c r="R119" s="475">
        <f t="shared" si="13"/>
        <v>0</v>
      </c>
      <c r="S119" s="475">
        <f t="shared" si="14"/>
        <v>0</v>
      </c>
      <c r="T119" s="476">
        <f t="shared" si="15"/>
        <v>0</v>
      </c>
      <c r="U119" s="425" t="str">
        <f>VLOOKUP(A119,'Diags Raw Data'!$A$6:$AH$3761,33,FALSE)</f>
        <v>WK5</v>
      </c>
      <c r="V119" s="181"/>
    </row>
    <row r="120" spans="1:22" ht="30.75" thickBot="1" x14ac:dyDescent="0.3">
      <c r="A120" s="530">
        <v>12.224</v>
      </c>
      <c r="B120" s="427" t="str">
        <f>VLOOKUP(A120,'Feature Raw Data'!$A$3:$B$3922,2,FALSE)</f>
        <v>Drop the FSR support from SC PBB implementation</v>
      </c>
      <c r="C120" s="428" t="str">
        <f>VLOOKUP(A120,'Feature Raw Data'!$A$3:$C$3922,3,FALSE)</f>
        <v>P1</v>
      </c>
      <c r="D120" s="429" t="str" cm="1">
        <f t="array" ref="D120">_xlfn.TEXTJOIN("",TRUE,IF(ISNUMBER(SEARCH($A120,'Diags Raw Data'!$A$6:$A$3761)),CONCATENATE('Diags Raw Data'!$H$6:$H$3761,", "),""))</f>
        <v/>
      </c>
      <c r="E120" s="340" t="e">
        <f>VLOOKUP(A120,'Diags Raw Data'!$A$6:$D$3761,4,FALSE)</f>
        <v>#N/A</v>
      </c>
      <c r="F120" s="340" t="str">
        <f>VLOOKUP(A120,'Feature Raw Data'!$A$3:$E$3922,5,FALSE)</f>
        <v>New</v>
      </c>
      <c r="G120" s="340" t="str">
        <f t="shared" si="6"/>
        <v>Yes</v>
      </c>
      <c r="H120" s="340" t="str">
        <f t="shared" si="7"/>
        <v>Yes</v>
      </c>
      <c r="I120" s="428">
        <f>SUMIF('Diags Raw Data'!$A$6:$A$3761,"*"&amp;$A120&amp;"*",'Diags Raw Data'!$K$6:$K$3761)</f>
        <v>0</v>
      </c>
      <c r="J120" s="430">
        <f>SUMIF('Diags Raw Data'!$A$6:$A$3761,"*"&amp;$A120&amp;"*",'Diags Raw Data'!$L$6:$L$3761)</f>
        <v>0</v>
      </c>
      <c r="K120" s="468" cm="1">
        <f t="array" ref="K120">IF(D120="",0, SUMPRODUCT(--(ISNUMBER(SEARCH($A120,'Diags Raw Data'!$A$6:$A$3761))),'Diags Raw Data'!$L$6:$L$3761,'Diags Raw Data'!$N$6:$N$3761)/J120)</f>
        <v>0</v>
      </c>
      <c r="L120" s="469" cm="1">
        <f t="array" ref="L120">IF(D120="",0, SUMPRODUCT(--(ISNUMBER(SEARCH($A120,'Diags Raw Data'!$A$6:$A$3761))),'Diags Raw Data'!$L$6:$L$3761,'Diags Raw Data'!$P$6:$P$3761)/J120)</f>
        <v>0</v>
      </c>
      <c r="M120" s="470" cm="1">
        <f t="array" ref="M120">SUMPRODUCT(--(ISNUMBER(SEARCH($A120,'Diags Raw Data'!$A$6:$A$3761))),--('Diags Raw Data'!$Q$6:$Q$3761&lt;&gt;"N/A"),'Diags Raw Data'!$R$6:$R$3761)</f>
        <v>0</v>
      </c>
      <c r="N120" s="471" cm="1">
        <f t="array" ref="N120">SUMPRODUCT(--(ISNUMBER(SEARCH($A120,'Diags Raw Data'!$A$6:$A$3761))),--('Diags Raw Data'!$Q$6:$Q$3761&lt;&gt;"N/A"),'Diags Raw Data'!$T$6:$T$3761)+SUMPRODUCT(--(ISNUMBER(SEARCH($A120,'Diags Raw Data'!$A$6:$A$3761))),--('Diags Raw Data'!$Q$6:$Q$3761&lt;&gt;"N/A"),'Diags Raw Data'!$U$6:$U$3761)</f>
        <v>0</v>
      </c>
      <c r="O120" s="472">
        <f t="shared" si="16"/>
        <v>0</v>
      </c>
      <c r="P120" s="473">
        <f>SUMIF('Diags Raw Data'!$A$6:$A$3761,"*"&amp;$A120&amp;"*",'Diags Raw Data'!$Z$6:$Z$3761)</f>
        <v>0</v>
      </c>
      <c r="Q120" s="474">
        <f>SUM(SUMIF('Diags Raw Data'!$A$6:$A$3761,"*"&amp;$A120&amp;"*",'Diags Raw Data'!$AA$6:$AA$3761),SUMIF('Diags Raw Data'!$A$6:$A$3761,"*"&amp;$A120&amp;"*",'Diags Raw Data'!$AB$6:$AB$3761))</f>
        <v>0</v>
      </c>
      <c r="R120" s="475">
        <f t="shared" si="13"/>
        <v>0</v>
      </c>
      <c r="S120" s="475">
        <f t="shared" si="14"/>
        <v>0</v>
      </c>
      <c r="T120" s="476">
        <f t="shared" si="15"/>
        <v>0</v>
      </c>
      <c r="U120" s="425" t="e">
        <f>VLOOKUP(A120,'Diags Raw Data'!$A$6:$AH$3761,33,FALSE)</f>
        <v>#N/A</v>
      </c>
      <c r="V120" s="181"/>
    </row>
    <row r="121" spans="1:22" ht="45.75" thickBot="1" x14ac:dyDescent="0.3">
      <c r="A121" s="530">
        <v>12.225</v>
      </c>
      <c r="B121" s="427" t="str">
        <f>VLOOKUP(A121,'Feature Raw Data'!$A$3:$B$3922,2,FALSE)</f>
        <v>DB design simplificaitons while updating for hybrid depth compression</v>
      </c>
      <c r="C121" s="428" t="str">
        <f>VLOOKUP(A121,'Feature Raw Data'!$A$3:$C$3922,3,FALSE)</f>
        <v>P1</v>
      </c>
      <c r="D121" s="429" t="str" cm="1">
        <f t="array" ref="D121">_xlfn.TEXTJOIN("",TRUE,IF(ISNUMBER(SEARCH($A121,'Diags Raw Data'!$A$6:$A$3761)),CONCATENATE('Diags Raw Data'!$H$6:$H$3761,", "),""))</f>
        <v xml:space="preserve">Same,to,12.164, </v>
      </c>
      <c r="E121" s="340" t="str">
        <f>VLOOKUP(A121,'Diags Raw Data'!$A$6:$D$3761,4,FALSE)</f>
        <v>PP</v>
      </c>
      <c r="F121" s="340" t="str">
        <f>VLOOKUP(A121,'Feature Raw Data'!$A$3:$E$3922,5,FALSE)</f>
        <v>New</v>
      </c>
      <c r="G121" s="340" t="str">
        <f t="shared" si="6"/>
        <v>Yes</v>
      </c>
      <c r="H121" s="340" t="str">
        <f t="shared" si="7"/>
        <v>Yes</v>
      </c>
      <c r="I121" s="428">
        <f>SUMIF('Diags Raw Data'!$A$6:$A$3761,"*"&amp;$A121&amp;"*",'Diags Raw Data'!$K$6:$K$3761)</f>
        <v>0</v>
      </c>
      <c r="J121" s="430">
        <f>SUMIF('Diags Raw Data'!$A$6:$A$3761,"*"&amp;$A121&amp;"*",'Diags Raw Data'!$L$6:$L$3761)</f>
        <v>0</v>
      </c>
      <c r="K121" s="468" t="e" cm="1">
        <f t="array" ref="K121">IF(D121="",0, SUMPRODUCT(--(ISNUMBER(SEARCH($A121,'Diags Raw Data'!$A$6:$A$3761))),'Diags Raw Data'!$L$6:$L$3761,'Diags Raw Data'!$N$6:$N$3761)/J121)</f>
        <v>#DIV/0!</v>
      </c>
      <c r="L121" s="469" t="e" cm="1">
        <f t="array" ref="L121">IF(D121="",0, SUMPRODUCT(--(ISNUMBER(SEARCH($A121,'Diags Raw Data'!$A$6:$A$3761))),'Diags Raw Data'!$L$6:$L$3761,'Diags Raw Data'!$P$6:$P$3761)/J121)</f>
        <v>#DIV/0!</v>
      </c>
      <c r="M121" s="470" cm="1">
        <f t="array" ref="M121">SUMPRODUCT(--(ISNUMBER(SEARCH($A121,'Diags Raw Data'!$A$6:$A$3761))),--('Diags Raw Data'!$Q$6:$Q$3761&lt;&gt;"N/A"),'Diags Raw Data'!$R$6:$R$3761)</f>
        <v>1</v>
      </c>
      <c r="N121" s="471" cm="1">
        <f t="array" ref="N121">SUMPRODUCT(--(ISNUMBER(SEARCH($A121,'Diags Raw Data'!$A$6:$A$3761))),--('Diags Raw Data'!$Q$6:$Q$3761&lt;&gt;"N/A"),'Diags Raw Data'!$T$6:$T$3761)+SUMPRODUCT(--(ISNUMBER(SEARCH($A121,'Diags Raw Data'!$A$6:$A$3761))),--('Diags Raw Data'!$Q$6:$Q$3761&lt;&gt;"N/A"),'Diags Raw Data'!$U$6:$U$3761)</f>
        <v>0</v>
      </c>
      <c r="O121" s="472">
        <f t="shared" si="16"/>
        <v>0</v>
      </c>
      <c r="P121" s="473">
        <f>SUMIF('Diags Raw Data'!$A$6:$A$3761,"*"&amp;$A121&amp;"*",'Diags Raw Data'!$Z$6:$Z$3761)</f>
        <v>0</v>
      </c>
      <c r="Q121" s="474">
        <f>SUM(SUMIF('Diags Raw Data'!$A$6:$A$3761,"*"&amp;$A121&amp;"*",'Diags Raw Data'!$AA$6:$AA$3761),SUMIF('Diags Raw Data'!$A$6:$A$3761,"*"&amp;$A121&amp;"*",'Diags Raw Data'!$AB$6:$AB$3761))</f>
        <v>0</v>
      </c>
      <c r="R121" s="475">
        <f t="shared" si="13"/>
        <v>0</v>
      </c>
      <c r="S121" s="475">
        <f t="shared" si="14"/>
        <v>0</v>
      </c>
      <c r="T121" s="476">
        <f t="shared" si="15"/>
        <v>0</v>
      </c>
      <c r="U121" s="425" t="str">
        <f>VLOOKUP(A121,'Diags Raw Data'!$A$6:$AH$3761,33,FALSE)</f>
        <v>WK5</v>
      </c>
      <c r="V121" s="181"/>
    </row>
    <row r="122" spans="1:22" ht="30.75" thickBot="1" x14ac:dyDescent="0.3">
      <c r="A122" s="530">
        <v>12.233000000000001</v>
      </c>
      <c r="B122" s="427" t="str">
        <f>VLOOKUP(A122,'Feature Raw Data'!$A$3:$B$3922,2,FALSE)</f>
        <v>add DRAM logging support for RLC</v>
      </c>
      <c r="C122" s="428" t="str">
        <f>VLOOKUP(A122,'Feature Raw Data'!$A$3:$C$3922,3,FALSE)</f>
        <v>P2</v>
      </c>
      <c r="D122" s="429" t="str" cm="1">
        <f t="array" ref="D122">_xlfn.TEXTJOIN("",TRUE,IF(ISNUMBER(SEARCH($A122,'Diags Raw Data'!$A$6:$A$3761)),CONCATENATE('Diags Raw Data'!$H$6:$H$3761,", "),""))</f>
        <v/>
      </c>
      <c r="E122" s="340" t="e">
        <f>VLOOKUP(A122,'Diags Raw Data'!$A$6:$D$3761,4,FALSE)</f>
        <v>#N/A</v>
      </c>
      <c r="F122" s="340" t="str">
        <f>VLOOKUP(A122,'Feature Raw Data'!$A$3:$E$3922,5,FALSE)</f>
        <v>New</v>
      </c>
      <c r="G122" s="340" t="str">
        <f t="shared" si="6"/>
        <v>Yes</v>
      </c>
      <c r="H122" s="340" t="str">
        <f t="shared" si="7"/>
        <v>Yes</v>
      </c>
      <c r="I122" s="428">
        <f>SUMIF('Diags Raw Data'!$A$6:$A$3761,"*"&amp;$A122&amp;"*",'Diags Raw Data'!$K$6:$K$3761)</f>
        <v>0</v>
      </c>
      <c r="J122" s="430">
        <f>SUMIF('Diags Raw Data'!$A$6:$A$3761,"*"&amp;$A122&amp;"*",'Diags Raw Data'!$L$6:$L$3761)</f>
        <v>0</v>
      </c>
      <c r="K122" s="468" cm="1">
        <f t="array" ref="K122">IF(D122="",0, SUMPRODUCT(--(ISNUMBER(SEARCH($A122,'Diags Raw Data'!$A$6:$A$3761))),'Diags Raw Data'!$L$6:$L$3761,'Diags Raw Data'!$N$6:$N$3761)/J122)</f>
        <v>0</v>
      </c>
      <c r="L122" s="469" cm="1">
        <f t="array" ref="L122">IF(D122="",0, SUMPRODUCT(--(ISNUMBER(SEARCH($A122,'Diags Raw Data'!$A$6:$A$3761))),'Diags Raw Data'!$L$6:$L$3761,'Diags Raw Data'!$P$6:$P$3761)/J122)</f>
        <v>0</v>
      </c>
      <c r="M122" s="470" cm="1">
        <f t="array" ref="M122">SUMPRODUCT(--(ISNUMBER(SEARCH($A122,'Diags Raw Data'!$A$6:$A$3761))),--('Diags Raw Data'!$Q$6:$Q$3761&lt;&gt;"N/A"),'Diags Raw Data'!$R$6:$R$3761)</f>
        <v>0</v>
      </c>
      <c r="N122" s="471" cm="1">
        <f t="array" ref="N122">SUMPRODUCT(--(ISNUMBER(SEARCH($A122,'Diags Raw Data'!$A$6:$A$3761))),--('Diags Raw Data'!$Q$6:$Q$3761&lt;&gt;"N/A"),'Diags Raw Data'!$T$6:$T$3761)+SUMPRODUCT(--(ISNUMBER(SEARCH($A122,'Diags Raw Data'!$A$6:$A$3761))),--('Diags Raw Data'!$Q$6:$Q$3761&lt;&gt;"N/A"),'Diags Raw Data'!$U$6:$U$3761)</f>
        <v>0</v>
      </c>
      <c r="O122" s="472">
        <f t="shared" si="16"/>
        <v>0</v>
      </c>
      <c r="P122" s="473">
        <f>SUMIF('Diags Raw Data'!$A$6:$A$3761,"*"&amp;$A122&amp;"*",'Diags Raw Data'!$Z$6:$Z$3761)</f>
        <v>0</v>
      </c>
      <c r="Q122" s="474">
        <f>SUM(SUMIF('Diags Raw Data'!$A$6:$A$3761,"*"&amp;$A122&amp;"*",'Diags Raw Data'!$AA$6:$AA$3761),SUMIF('Diags Raw Data'!$A$6:$A$3761,"*"&amp;$A122&amp;"*",'Diags Raw Data'!$AB$6:$AB$3761))</f>
        <v>0</v>
      </c>
      <c r="R122" s="475">
        <f t="shared" si="13"/>
        <v>0</v>
      </c>
      <c r="S122" s="475">
        <f t="shared" si="14"/>
        <v>0</v>
      </c>
      <c r="T122" s="476">
        <f t="shared" si="15"/>
        <v>0</v>
      </c>
      <c r="U122" s="425" t="e">
        <f>VLOOKUP(A122,'Diags Raw Data'!$A$6:$AH$3761,33,FALSE)</f>
        <v>#N/A</v>
      </c>
      <c r="V122" s="181"/>
    </row>
    <row r="123" spans="1:22" ht="30.75" thickBot="1" x14ac:dyDescent="0.3">
      <c r="A123" s="530">
        <v>12.234999999999999</v>
      </c>
      <c r="B123" s="427" t="str">
        <f>VLOOKUP(A123,'Feature Raw Data'!$A$3:$B$3922,2,FALSE)</f>
        <v>Add RLC SRM as an RLC_CH client</v>
      </c>
      <c r="C123" s="428" t="str">
        <f>VLOOKUP(A123,'Feature Raw Data'!$A$3:$C$3922,3,FALSE)</f>
        <v>P2</v>
      </c>
      <c r="D123" s="429" t="str" cm="1">
        <f t="array" ref="D123">_xlfn.TEXTJOIN("",TRUE,IF(ISNUMBER(SEARCH($A123,'Diags Raw Data'!$A$6:$A$3761)),CONCATENATE('Diags Raw Data'!$H$6:$H$3761,", "),""))</f>
        <v/>
      </c>
      <c r="E123" s="340" t="e">
        <f>VLOOKUP(A123,'Diags Raw Data'!$A$6:$D$3761,4,FALSE)</f>
        <v>#N/A</v>
      </c>
      <c r="F123" s="340" t="str">
        <f>VLOOKUP(A123,'Feature Raw Data'!$A$3:$E$3922,5,FALSE)</f>
        <v>New</v>
      </c>
      <c r="G123" s="340" t="str">
        <f t="shared" si="6"/>
        <v>Yes</v>
      </c>
      <c r="H123" s="340" t="str">
        <f t="shared" si="7"/>
        <v>Yes</v>
      </c>
      <c r="I123" s="428">
        <f>SUMIF('Diags Raw Data'!$A$6:$A$3761,"*"&amp;$A123&amp;"*",'Diags Raw Data'!$K$6:$K$3761)</f>
        <v>0</v>
      </c>
      <c r="J123" s="430">
        <f>SUMIF('Diags Raw Data'!$A$6:$A$3761,"*"&amp;$A123&amp;"*",'Diags Raw Data'!$L$6:$L$3761)</f>
        <v>0</v>
      </c>
      <c r="K123" s="468" cm="1">
        <f t="array" ref="K123">IF(D123="",0, SUMPRODUCT(--(ISNUMBER(SEARCH($A123,'Diags Raw Data'!$A$6:$A$3761))),'Diags Raw Data'!$L$6:$L$3761,'Diags Raw Data'!$N$6:$N$3761)/J123)</f>
        <v>0</v>
      </c>
      <c r="L123" s="469" cm="1">
        <f t="array" ref="L123">IF(D123="",0, SUMPRODUCT(--(ISNUMBER(SEARCH($A123,'Diags Raw Data'!$A$6:$A$3761))),'Diags Raw Data'!$L$6:$L$3761,'Diags Raw Data'!$P$6:$P$3761)/J123)</f>
        <v>0</v>
      </c>
      <c r="M123" s="470" cm="1">
        <f t="array" ref="M123">SUMPRODUCT(--(ISNUMBER(SEARCH($A123,'Diags Raw Data'!$A$6:$A$3761))),--('Diags Raw Data'!$Q$6:$Q$3761&lt;&gt;"N/A"),'Diags Raw Data'!$R$6:$R$3761)</f>
        <v>0</v>
      </c>
      <c r="N123" s="471" cm="1">
        <f t="array" ref="N123">SUMPRODUCT(--(ISNUMBER(SEARCH($A123,'Diags Raw Data'!$A$6:$A$3761))),--('Diags Raw Data'!$Q$6:$Q$3761&lt;&gt;"N/A"),'Diags Raw Data'!$T$6:$T$3761)+SUMPRODUCT(--(ISNUMBER(SEARCH($A123,'Diags Raw Data'!$A$6:$A$3761))),--('Diags Raw Data'!$Q$6:$Q$3761&lt;&gt;"N/A"),'Diags Raw Data'!$U$6:$U$3761)</f>
        <v>0</v>
      </c>
      <c r="O123" s="472">
        <f t="shared" si="16"/>
        <v>0</v>
      </c>
      <c r="P123" s="473">
        <f>SUMIF('Diags Raw Data'!$A$6:$A$3761,"*"&amp;$A123&amp;"*",'Diags Raw Data'!$Z$6:$Z$3761)</f>
        <v>0</v>
      </c>
      <c r="Q123" s="474">
        <f>SUM(SUMIF('Diags Raw Data'!$A$6:$A$3761,"*"&amp;$A123&amp;"*",'Diags Raw Data'!$AA$6:$AA$3761),SUMIF('Diags Raw Data'!$A$6:$A$3761,"*"&amp;$A123&amp;"*",'Diags Raw Data'!$AB$6:$AB$3761))</f>
        <v>0</v>
      </c>
      <c r="R123" s="475">
        <f t="shared" si="13"/>
        <v>0</v>
      </c>
      <c r="S123" s="475">
        <f t="shared" si="14"/>
        <v>0</v>
      </c>
      <c r="T123" s="476">
        <f t="shared" si="15"/>
        <v>0</v>
      </c>
      <c r="U123" s="425" t="e">
        <f>VLOOKUP(A123,'Diags Raw Data'!$A$6:$AH$3761,33,FALSE)</f>
        <v>#N/A</v>
      </c>
      <c r="V123" s="181"/>
    </row>
    <row r="124" spans="1:22" ht="30.75" thickBot="1" x14ac:dyDescent="0.3">
      <c r="A124" s="530">
        <v>12.236000000000001</v>
      </c>
      <c r="B124" s="427" t="str">
        <f>VLOOKUP(A124,'Feature Raw Data'!$A$3:$B$3922,2,FALSE)</f>
        <v>change RLC LX7 config used for power management</v>
      </c>
      <c r="C124" s="428" t="str">
        <f>VLOOKUP(A124,'Feature Raw Data'!$A$3:$C$3922,3,FALSE)</f>
        <v>P1</v>
      </c>
      <c r="D124" s="429" t="str" cm="1">
        <f t="array" ref="D124">_xlfn.TEXTJOIN("",TRUE,IF(ISNUMBER(SEARCH($A124,'Diags Raw Data'!$A$6:$A$3761)),CONCATENATE('Diags Raw Data'!$H$6:$H$3761,", "),""))</f>
        <v/>
      </c>
      <c r="E124" s="340" t="e">
        <f>VLOOKUP(A124,'Diags Raw Data'!$A$6:$D$3761,4,FALSE)</f>
        <v>#N/A</v>
      </c>
      <c r="F124" s="340" t="str">
        <f>VLOOKUP(A124,'Feature Raw Data'!$A$3:$E$3922,5,FALSE)</f>
        <v>New</v>
      </c>
      <c r="G124" s="340" t="str">
        <f t="shared" si="6"/>
        <v>Yes</v>
      </c>
      <c r="H124" s="340" t="str">
        <f t="shared" si="7"/>
        <v>Yes</v>
      </c>
      <c r="I124" s="428">
        <f>SUMIF('Diags Raw Data'!$A$6:$A$3761,"*"&amp;$A124&amp;"*",'Diags Raw Data'!$K$6:$K$3761)</f>
        <v>0</v>
      </c>
      <c r="J124" s="430">
        <f>SUMIF('Diags Raw Data'!$A$6:$A$3761,"*"&amp;$A124&amp;"*",'Diags Raw Data'!$L$6:$L$3761)</f>
        <v>0</v>
      </c>
      <c r="K124" s="468" cm="1">
        <f t="array" ref="K124">IF(D124="",0, SUMPRODUCT(--(ISNUMBER(SEARCH($A124,'Diags Raw Data'!$A$6:$A$3761))),'Diags Raw Data'!$L$6:$L$3761,'Diags Raw Data'!$N$6:$N$3761)/J124)</f>
        <v>0</v>
      </c>
      <c r="L124" s="469" cm="1">
        <f t="array" ref="L124">IF(D124="",0, SUMPRODUCT(--(ISNUMBER(SEARCH($A124,'Diags Raw Data'!$A$6:$A$3761))),'Diags Raw Data'!$L$6:$L$3761,'Diags Raw Data'!$P$6:$P$3761)/J124)</f>
        <v>0</v>
      </c>
      <c r="M124" s="470" cm="1">
        <f t="array" ref="M124">SUMPRODUCT(--(ISNUMBER(SEARCH($A124,'Diags Raw Data'!$A$6:$A$3761))),--('Diags Raw Data'!$Q$6:$Q$3761&lt;&gt;"N/A"),'Diags Raw Data'!$R$6:$R$3761)</f>
        <v>0</v>
      </c>
      <c r="N124" s="471" cm="1">
        <f t="array" ref="N124">SUMPRODUCT(--(ISNUMBER(SEARCH($A124,'Diags Raw Data'!$A$6:$A$3761))),--('Diags Raw Data'!$Q$6:$Q$3761&lt;&gt;"N/A"),'Diags Raw Data'!$T$6:$T$3761)+SUMPRODUCT(--(ISNUMBER(SEARCH($A124,'Diags Raw Data'!$A$6:$A$3761))),--('Diags Raw Data'!$Q$6:$Q$3761&lt;&gt;"N/A"),'Diags Raw Data'!$U$6:$U$3761)</f>
        <v>0</v>
      </c>
      <c r="O124" s="472">
        <f t="shared" si="16"/>
        <v>0</v>
      </c>
      <c r="P124" s="473">
        <f>SUMIF('Diags Raw Data'!$A$6:$A$3761,"*"&amp;$A124&amp;"*",'Diags Raw Data'!$Z$6:$Z$3761)</f>
        <v>0</v>
      </c>
      <c r="Q124" s="474">
        <f>SUM(SUMIF('Diags Raw Data'!$A$6:$A$3761,"*"&amp;$A124&amp;"*",'Diags Raw Data'!$AA$6:$AA$3761),SUMIF('Diags Raw Data'!$A$6:$A$3761,"*"&amp;$A124&amp;"*",'Diags Raw Data'!$AB$6:$AB$3761))</f>
        <v>0</v>
      </c>
      <c r="R124" s="475">
        <f t="shared" si="13"/>
        <v>0</v>
      </c>
      <c r="S124" s="475">
        <f t="shared" si="14"/>
        <v>0</v>
      </c>
      <c r="T124" s="476">
        <f t="shared" si="15"/>
        <v>0</v>
      </c>
      <c r="U124" s="425" t="e">
        <f>VLOOKUP(A124,'Diags Raw Data'!$A$6:$AH$3761,33,FALSE)</f>
        <v>#N/A</v>
      </c>
      <c r="V124" s="181"/>
    </row>
    <row r="125" spans="1:22" ht="30.75" thickBot="1" x14ac:dyDescent="0.3">
      <c r="A125" s="530">
        <v>12.239000000000001</v>
      </c>
      <c r="B125" s="427" t="str">
        <f>VLOOKUP(A125,'Feature Raw Data'!$A$3:$B$3922,2,FALSE)</f>
        <v>increase adaptive stretch response of GDFLL</v>
      </c>
      <c r="C125" s="428" t="str">
        <f>VLOOKUP(A125,'Feature Raw Data'!$A$3:$C$3922,3,FALSE)</f>
        <v>P2</v>
      </c>
      <c r="D125" s="429" t="str" cm="1">
        <f t="array" ref="D125">_xlfn.TEXTJOIN("",TRUE,IF(ISNUMBER(SEARCH($A125,'Diags Raw Data'!$A$6:$A$3761)),CONCATENATE('Diags Raw Data'!$H$6:$H$3761,", "),""))</f>
        <v/>
      </c>
      <c r="E125" s="340" t="e">
        <f>VLOOKUP(A125,'Diags Raw Data'!$A$6:$D$3761,4,FALSE)</f>
        <v>#N/A</v>
      </c>
      <c r="F125" s="340" t="str">
        <f>VLOOKUP(A125,'Feature Raw Data'!$A$3:$E$3922,5,FALSE)</f>
        <v>New</v>
      </c>
      <c r="G125" s="340" t="str">
        <f t="shared" si="6"/>
        <v>Yes</v>
      </c>
      <c r="H125" s="340" t="str">
        <f t="shared" si="7"/>
        <v>Yes</v>
      </c>
      <c r="I125" s="428">
        <f>SUMIF('Diags Raw Data'!$A$6:$A$3761,"*"&amp;$A125&amp;"*",'Diags Raw Data'!$K$6:$K$3761)</f>
        <v>0</v>
      </c>
      <c r="J125" s="430">
        <f>SUMIF('Diags Raw Data'!$A$6:$A$3761,"*"&amp;$A125&amp;"*",'Diags Raw Data'!$L$6:$L$3761)</f>
        <v>0</v>
      </c>
      <c r="K125" s="468" cm="1">
        <f t="array" ref="K125">IF(D125="",0, SUMPRODUCT(--(ISNUMBER(SEARCH($A125,'Diags Raw Data'!$A$6:$A$3761))),'Diags Raw Data'!$L$6:$L$3761,'Diags Raw Data'!$N$6:$N$3761)/J125)</f>
        <v>0</v>
      </c>
      <c r="L125" s="469" cm="1">
        <f t="array" ref="L125">IF(D125="",0, SUMPRODUCT(--(ISNUMBER(SEARCH($A125,'Diags Raw Data'!$A$6:$A$3761))),'Diags Raw Data'!$L$6:$L$3761,'Diags Raw Data'!$P$6:$P$3761)/J125)</f>
        <v>0</v>
      </c>
      <c r="M125" s="470" cm="1">
        <f t="array" ref="M125">SUMPRODUCT(--(ISNUMBER(SEARCH($A125,'Diags Raw Data'!$A$6:$A$3761))),--('Diags Raw Data'!$Q$6:$Q$3761&lt;&gt;"N/A"),'Diags Raw Data'!$R$6:$R$3761)</f>
        <v>0</v>
      </c>
      <c r="N125" s="471" cm="1">
        <f t="array" ref="N125">SUMPRODUCT(--(ISNUMBER(SEARCH($A125,'Diags Raw Data'!$A$6:$A$3761))),--('Diags Raw Data'!$Q$6:$Q$3761&lt;&gt;"N/A"),'Diags Raw Data'!$T$6:$T$3761)+SUMPRODUCT(--(ISNUMBER(SEARCH($A125,'Diags Raw Data'!$A$6:$A$3761))),--('Diags Raw Data'!$Q$6:$Q$3761&lt;&gt;"N/A"),'Diags Raw Data'!$U$6:$U$3761)</f>
        <v>0</v>
      </c>
      <c r="O125" s="472">
        <f t="shared" si="16"/>
        <v>0</v>
      </c>
      <c r="P125" s="473">
        <f>SUMIF('Diags Raw Data'!$A$6:$A$3761,"*"&amp;$A125&amp;"*",'Diags Raw Data'!$Z$6:$Z$3761)</f>
        <v>0</v>
      </c>
      <c r="Q125" s="474">
        <f>SUM(SUMIF('Diags Raw Data'!$A$6:$A$3761,"*"&amp;$A125&amp;"*",'Diags Raw Data'!$AA$6:$AA$3761),SUMIF('Diags Raw Data'!$A$6:$A$3761,"*"&amp;$A125&amp;"*",'Diags Raw Data'!$AB$6:$AB$3761))</f>
        <v>0</v>
      </c>
      <c r="R125" s="475">
        <f t="shared" si="13"/>
        <v>0</v>
      </c>
      <c r="S125" s="475">
        <f t="shared" si="14"/>
        <v>0</v>
      </c>
      <c r="T125" s="476">
        <f t="shared" si="15"/>
        <v>0</v>
      </c>
      <c r="U125" s="425" t="e">
        <f>VLOOKUP(A125,'Diags Raw Data'!$A$6:$AH$3761,33,FALSE)</f>
        <v>#N/A</v>
      </c>
      <c r="V125" s="181"/>
    </row>
    <row r="126" spans="1:22" ht="30.75" thickBot="1" x14ac:dyDescent="0.3">
      <c r="A126" s="530">
        <v>12.247</v>
      </c>
      <c r="B126" s="427" t="str">
        <f>VLOOKUP(A126,'Feature Raw Data'!$A$3:$B$3922,2,FALSE)</f>
        <v>Register remap to match M1</v>
      </c>
      <c r="C126" s="428" t="str">
        <f>VLOOKUP(A126,'Feature Raw Data'!$A$3:$C$3922,3,FALSE)</f>
        <v>P1</v>
      </c>
      <c r="D126" s="429" t="str" cm="1">
        <f t="array" ref="D126">_xlfn.TEXTJOIN("",TRUE,IF(ISNUMBER(SEARCH($A126,'Diags Raw Data'!$A$6:$A$3761)),CONCATENATE('Diags Raw Data'!$H$6:$H$3761,", "),""))</f>
        <v xml:space="preserve">food_store,mountain_range,navi48.gfx.ge.register_access, </v>
      </c>
      <c r="E126" s="340" t="str">
        <f>VLOOKUP(A126,'Diags Raw Data'!$A$6:$D$3761,4,FALSE)</f>
        <v>GEO</v>
      </c>
      <c r="F126" s="340" t="str">
        <f>VLOOKUP(A126,'Feature Raw Data'!$A$3:$E$3922,5,FALSE)</f>
        <v>New</v>
      </c>
      <c r="G126" s="340" t="str">
        <f t="shared" ref="G126:G189" si="17">IF(D126="N/A, ","No","Yes")</f>
        <v>Yes</v>
      </c>
      <c r="H126" s="340" t="str">
        <f t="shared" si="7"/>
        <v>Yes</v>
      </c>
      <c r="I126" s="428">
        <f>SUMIF('Diags Raw Data'!$A$6:$A$3761,"*"&amp;$A126&amp;"*",'Diags Raw Data'!$K$6:$K$3761)</f>
        <v>0</v>
      </c>
      <c r="J126" s="430">
        <f>SUMIF('Diags Raw Data'!$A$6:$A$3761,"*"&amp;$A126&amp;"*",'Diags Raw Data'!$L$6:$L$3761)</f>
        <v>0</v>
      </c>
      <c r="K126" s="468" t="e" cm="1">
        <f t="array" ref="K126">IF(D126="",0, SUMPRODUCT(--(ISNUMBER(SEARCH($A126,'Diags Raw Data'!$A$6:$A$3761))),'Diags Raw Data'!$L$6:$L$3761,'Diags Raw Data'!$N$6:$N$3761)/J126)</f>
        <v>#DIV/0!</v>
      </c>
      <c r="L126" s="469" t="e" cm="1">
        <f t="array" ref="L126">IF(D126="",0, SUMPRODUCT(--(ISNUMBER(SEARCH($A126,'Diags Raw Data'!$A$6:$A$3761))),'Diags Raw Data'!$L$6:$L$3761,'Diags Raw Data'!$P$6:$P$3761)/J126)</f>
        <v>#DIV/0!</v>
      </c>
      <c r="M126" s="470" cm="1">
        <f t="array" ref="M126">SUMPRODUCT(--(ISNUMBER(SEARCH($A126,'Diags Raw Data'!$A$6:$A$3761))),--('Diags Raw Data'!$Q$6:$Q$3761&lt;&gt;"N/A"),'Diags Raw Data'!$R$6:$R$3761)</f>
        <v>1</v>
      </c>
      <c r="N126" s="471" cm="1">
        <f t="array" ref="N126">SUMPRODUCT(--(ISNUMBER(SEARCH($A126,'Diags Raw Data'!$A$6:$A$3761))),--('Diags Raw Data'!$Q$6:$Q$3761&lt;&gt;"N/A"),'Diags Raw Data'!$T$6:$T$3761)+SUMPRODUCT(--(ISNUMBER(SEARCH($A126,'Diags Raw Data'!$A$6:$A$3761))),--('Diags Raw Data'!$Q$6:$Q$3761&lt;&gt;"N/A"),'Diags Raw Data'!$U$6:$U$3761)</f>
        <v>1</v>
      </c>
      <c r="O126" s="472">
        <f t="shared" si="16"/>
        <v>1</v>
      </c>
      <c r="P126" s="473">
        <f>SUMIF('Diags Raw Data'!$A$6:$A$3761,"*"&amp;$A126&amp;"*",'Diags Raw Data'!$Z$6:$Z$3761)</f>
        <v>0</v>
      </c>
      <c r="Q126" s="474">
        <f>SUM(SUMIF('Diags Raw Data'!$A$6:$A$3761,"*"&amp;$A126&amp;"*",'Diags Raw Data'!$AA$6:$AA$3761),SUMIF('Diags Raw Data'!$A$6:$A$3761,"*"&amp;$A126&amp;"*",'Diags Raw Data'!$AB$6:$AB$3761))</f>
        <v>0</v>
      </c>
      <c r="R126" s="475">
        <f t="shared" si="13"/>
        <v>0</v>
      </c>
      <c r="S126" s="475">
        <f t="shared" si="14"/>
        <v>0</v>
      </c>
      <c r="T126" s="476">
        <f t="shared" si="15"/>
        <v>0</v>
      </c>
      <c r="U126" s="425" t="str">
        <f>VLOOKUP(A126,'Diags Raw Data'!$A$6:$AH$3761,33,FALSE)</f>
        <v>WK4</v>
      </c>
      <c r="V126" s="181"/>
    </row>
    <row r="127" spans="1:22" ht="45.75" thickBot="1" x14ac:dyDescent="0.3">
      <c r="A127" s="530">
        <v>12.253</v>
      </c>
      <c r="B127" s="427" t="str">
        <f>VLOOKUP(A127,'Feature Raw Data'!$A$3:$B$3922,2,FALSE)</f>
        <v>GFX12 IMU - Remove CPAXI and send doorbells directly to CP/RLC/SDMA</v>
      </c>
      <c r="C127" s="428" t="str">
        <f>VLOOKUP(A127,'Feature Raw Data'!$A$3:$C$3922,3,FALSE)</f>
        <v>P1</v>
      </c>
      <c r="D127" s="429" t="str" cm="1">
        <f t="array" ref="D127">_xlfn.TEXTJOIN("",TRUE,IF(ISNUMBER(SEARCH($A127,'Diags Raw Data'!$A$6:$A$3761)),CONCATENATE('Diags Raw Data'!$H$6:$H$3761,", "),""))</f>
        <v/>
      </c>
      <c r="E127" s="340" t="e">
        <f>VLOOKUP(A127,'Diags Raw Data'!$A$6:$D$3761,4,FALSE)</f>
        <v>#N/A</v>
      </c>
      <c r="F127" s="340" t="str">
        <f>VLOOKUP(A127,'Feature Raw Data'!$A$3:$E$3922,5,FALSE)</f>
        <v>New</v>
      </c>
      <c r="G127" s="340" t="str">
        <f t="shared" si="17"/>
        <v>Yes</v>
      </c>
      <c r="H127" s="340" t="str">
        <f t="shared" si="7"/>
        <v>Yes</v>
      </c>
      <c r="I127" s="428">
        <f>SUMIF('Diags Raw Data'!$A$6:$A$3761,"*"&amp;$A127&amp;"*",'Diags Raw Data'!$K$6:$K$3761)</f>
        <v>0</v>
      </c>
      <c r="J127" s="430">
        <f>SUMIF('Diags Raw Data'!$A$6:$A$3761,"*"&amp;$A127&amp;"*",'Diags Raw Data'!$L$6:$L$3761)</f>
        <v>0</v>
      </c>
      <c r="K127" s="468" cm="1">
        <f t="array" ref="K127">IF(D127="",0, SUMPRODUCT(--(ISNUMBER(SEARCH($A127,'Diags Raw Data'!$A$6:$A$3761))),'Diags Raw Data'!$L$6:$L$3761,'Diags Raw Data'!$N$6:$N$3761)/J127)</f>
        <v>0</v>
      </c>
      <c r="L127" s="469" cm="1">
        <f t="array" ref="L127">IF(D127="",0, SUMPRODUCT(--(ISNUMBER(SEARCH($A127,'Diags Raw Data'!$A$6:$A$3761))),'Diags Raw Data'!$L$6:$L$3761,'Diags Raw Data'!$P$6:$P$3761)/J127)</f>
        <v>0</v>
      </c>
      <c r="M127" s="470" cm="1">
        <f t="array" ref="M127">SUMPRODUCT(--(ISNUMBER(SEARCH($A127,'Diags Raw Data'!$A$6:$A$3761))),--('Diags Raw Data'!$Q$6:$Q$3761&lt;&gt;"N/A"),'Diags Raw Data'!$R$6:$R$3761)</f>
        <v>0</v>
      </c>
      <c r="N127" s="471" cm="1">
        <f t="array" ref="N127">SUMPRODUCT(--(ISNUMBER(SEARCH($A127,'Diags Raw Data'!$A$6:$A$3761))),--('Diags Raw Data'!$Q$6:$Q$3761&lt;&gt;"N/A"),'Diags Raw Data'!$T$6:$T$3761)+SUMPRODUCT(--(ISNUMBER(SEARCH($A127,'Diags Raw Data'!$A$6:$A$3761))),--('Diags Raw Data'!$Q$6:$Q$3761&lt;&gt;"N/A"),'Diags Raw Data'!$U$6:$U$3761)</f>
        <v>0</v>
      </c>
      <c r="O127" s="472">
        <f t="shared" si="16"/>
        <v>0</v>
      </c>
      <c r="P127" s="473">
        <f>SUMIF('Diags Raw Data'!$A$6:$A$3761,"*"&amp;$A127&amp;"*",'Diags Raw Data'!$Z$6:$Z$3761)</f>
        <v>0</v>
      </c>
      <c r="Q127" s="474">
        <f>SUM(SUMIF('Diags Raw Data'!$A$6:$A$3761,"*"&amp;$A127&amp;"*",'Diags Raw Data'!$AA$6:$AA$3761),SUMIF('Diags Raw Data'!$A$6:$A$3761,"*"&amp;$A127&amp;"*",'Diags Raw Data'!$AB$6:$AB$3761))</f>
        <v>0</v>
      </c>
      <c r="R127" s="475">
        <f t="shared" si="13"/>
        <v>0</v>
      </c>
      <c r="S127" s="475">
        <f t="shared" si="14"/>
        <v>0</v>
      </c>
      <c r="T127" s="476">
        <f t="shared" si="15"/>
        <v>0</v>
      </c>
      <c r="U127" s="425" t="e">
        <f>VLOOKUP(A127,'Diags Raw Data'!$A$6:$AH$3761,33,FALSE)</f>
        <v>#N/A</v>
      </c>
      <c r="V127" s="181"/>
    </row>
    <row r="128" spans="1:22" ht="30.75" thickBot="1" x14ac:dyDescent="0.3">
      <c r="A128" s="530">
        <v>12.255000000000001</v>
      </c>
      <c r="B128" s="427" t="str">
        <f>VLOOKUP(A128,'Feature Raw Data'!$A$3:$B$3922,2,FALSE)</f>
        <v>GFX12 IMU - Modify doorbell interface from Syshub to IMU</v>
      </c>
      <c r="C128" s="428" t="str">
        <f>VLOOKUP(A128,'Feature Raw Data'!$A$3:$C$3922,3,FALSE)</f>
        <v>P1</v>
      </c>
      <c r="D128" s="429" t="str" cm="1">
        <f t="array" ref="D128">_xlfn.TEXTJOIN("",TRUE,IF(ISNUMBER(SEARCH($A128,'Diags Raw Data'!$A$6:$A$3761)),CONCATENATE('Diags Raw Data'!$H$6:$H$3761,", "),""))</f>
        <v/>
      </c>
      <c r="E128" s="340" t="e">
        <f>VLOOKUP(A128,'Diags Raw Data'!$A$6:$D$3761,4,FALSE)</f>
        <v>#N/A</v>
      </c>
      <c r="F128" s="340" t="str">
        <f>VLOOKUP(A128,'Feature Raw Data'!$A$3:$E$3922,5,FALSE)</f>
        <v>New</v>
      </c>
      <c r="G128" s="340" t="str">
        <f t="shared" si="17"/>
        <v>Yes</v>
      </c>
      <c r="H128" s="340" t="str">
        <f t="shared" ref="H128:H191" si="18">IF(D128="N/A, ","No","Yes")</f>
        <v>Yes</v>
      </c>
      <c r="I128" s="428">
        <f>SUMIF('Diags Raw Data'!$A$6:$A$3761,"*"&amp;$A128&amp;"*",'Diags Raw Data'!$K$6:$K$3761)</f>
        <v>0</v>
      </c>
      <c r="J128" s="430">
        <f>SUMIF('Diags Raw Data'!$A$6:$A$3761,"*"&amp;$A128&amp;"*",'Diags Raw Data'!$L$6:$L$3761)</f>
        <v>0</v>
      </c>
      <c r="K128" s="468" cm="1">
        <f t="array" ref="K128">IF(D128="",0, SUMPRODUCT(--(ISNUMBER(SEARCH($A128,'Diags Raw Data'!$A$6:$A$3761))),'Diags Raw Data'!$L$6:$L$3761,'Diags Raw Data'!$N$6:$N$3761)/J128)</f>
        <v>0</v>
      </c>
      <c r="L128" s="469" cm="1">
        <f t="array" ref="L128">IF(D128="",0, SUMPRODUCT(--(ISNUMBER(SEARCH($A128,'Diags Raw Data'!$A$6:$A$3761))),'Diags Raw Data'!$L$6:$L$3761,'Diags Raw Data'!$P$6:$P$3761)/J128)</f>
        <v>0</v>
      </c>
      <c r="M128" s="470" cm="1">
        <f t="array" ref="M128">SUMPRODUCT(--(ISNUMBER(SEARCH($A128,'Diags Raw Data'!$A$6:$A$3761))),--('Diags Raw Data'!$Q$6:$Q$3761&lt;&gt;"N/A"),'Diags Raw Data'!$R$6:$R$3761)</f>
        <v>0</v>
      </c>
      <c r="N128" s="471" cm="1">
        <f t="array" ref="N128">SUMPRODUCT(--(ISNUMBER(SEARCH($A128,'Diags Raw Data'!$A$6:$A$3761))),--('Diags Raw Data'!$Q$6:$Q$3761&lt;&gt;"N/A"),'Diags Raw Data'!$T$6:$T$3761)+SUMPRODUCT(--(ISNUMBER(SEARCH($A128,'Diags Raw Data'!$A$6:$A$3761))),--('Diags Raw Data'!$Q$6:$Q$3761&lt;&gt;"N/A"),'Diags Raw Data'!$U$6:$U$3761)</f>
        <v>0</v>
      </c>
      <c r="O128" s="472">
        <f>IF((M128=0),0,N128/M128)</f>
        <v>0</v>
      </c>
      <c r="P128" s="473">
        <f>SUMIF('Diags Raw Data'!$A$6:$A$3761,"*"&amp;$A128&amp;"*",'Diags Raw Data'!$Z$6:$Z$3761)</f>
        <v>0</v>
      </c>
      <c r="Q128" s="474">
        <f>SUM(SUMIF('Diags Raw Data'!$A$6:$A$3761,"*"&amp;$A128&amp;"*",'Diags Raw Data'!$AA$6:$AA$3761),SUMIF('Diags Raw Data'!$A$6:$A$3761,"*"&amp;$A128&amp;"*",'Diags Raw Data'!$AB$6:$AB$3761))</f>
        <v>0</v>
      </c>
      <c r="R128" s="475">
        <f>IF((J128=0),0,P128/J128)</f>
        <v>0</v>
      </c>
      <c r="S128" s="475">
        <f>IF((P128=0),0,Q128/P128)</f>
        <v>0</v>
      </c>
      <c r="T128" s="476">
        <f>R128*S128</f>
        <v>0</v>
      </c>
      <c r="U128" s="425" t="e">
        <f>VLOOKUP(A128,'Diags Raw Data'!$A$6:$AH$3761,33,FALSE)</f>
        <v>#N/A</v>
      </c>
      <c r="V128" s="181"/>
    </row>
    <row r="129" spans="1:22" ht="30.75" thickBot="1" x14ac:dyDescent="0.3">
      <c r="A129" s="530">
        <v>12.263</v>
      </c>
      <c r="B129" s="427" t="str">
        <f>VLOOKUP(A129,'Feature Raw Data'!$A$3:$B$3922,2,FALSE)</f>
        <v>GFX12 IMU - Add Resets and idle sidebands</v>
      </c>
      <c r="C129" s="428" t="str">
        <f>VLOOKUP(A129,'Feature Raw Data'!$A$3:$C$3922,3,FALSE)</f>
        <v>P1</v>
      </c>
      <c r="D129" s="429" t="str" cm="1">
        <f t="array" ref="D129">_xlfn.TEXTJOIN("",TRUE,IF(ISNUMBER(SEARCH($A129,'Diags Raw Data'!$A$6:$A$3761)),CONCATENATE('Diags Raw Data'!$H$6:$H$3761,", "),""))</f>
        <v/>
      </c>
      <c r="E129" s="340" t="e">
        <f>VLOOKUP(A129,'Diags Raw Data'!$A$6:$D$3761,4,FALSE)</f>
        <v>#N/A</v>
      </c>
      <c r="F129" s="340" t="str">
        <f>VLOOKUP(A129,'Feature Raw Data'!$A$3:$E$3922,5,FALSE)</f>
        <v>New</v>
      </c>
      <c r="G129" s="340" t="str">
        <f t="shared" si="17"/>
        <v>Yes</v>
      </c>
      <c r="H129" s="340" t="str">
        <f t="shared" si="18"/>
        <v>Yes</v>
      </c>
      <c r="I129" s="428">
        <f>SUMIF('Diags Raw Data'!$A$6:$A$3761,"*"&amp;$A129&amp;"*",'Diags Raw Data'!$K$6:$K$3761)</f>
        <v>0</v>
      </c>
      <c r="J129" s="430">
        <f>SUMIF('Diags Raw Data'!$A$6:$A$3761,"*"&amp;$A129&amp;"*",'Diags Raw Data'!$L$6:$L$3761)</f>
        <v>0</v>
      </c>
      <c r="K129" s="468" cm="1">
        <f t="array" ref="K129">IF(D129="",0, SUMPRODUCT(--(ISNUMBER(SEARCH($A129,'Diags Raw Data'!$A$6:$A$3761))),'Diags Raw Data'!$L$6:$L$3761,'Diags Raw Data'!$N$6:$N$3761)/J129)</f>
        <v>0</v>
      </c>
      <c r="L129" s="469" cm="1">
        <f t="array" ref="L129">IF(D129="",0, SUMPRODUCT(--(ISNUMBER(SEARCH($A129,'Diags Raw Data'!$A$6:$A$3761))),'Diags Raw Data'!$L$6:$L$3761,'Diags Raw Data'!$P$6:$P$3761)/J129)</f>
        <v>0</v>
      </c>
      <c r="M129" s="470" cm="1">
        <f t="array" ref="M129">SUMPRODUCT(--(ISNUMBER(SEARCH($A129,'Diags Raw Data'!$A$6:$A$3761))),--('Diags Raw Data'!$Q$6:$Q$3761&lt;&gt;"N/A"),'Diags Raw Data'!$R$6:$R$3761)</f>
        <v>0</v>
      </c>
      <c r="N129" s="471" cm="1">
        <f t="array" ref="N129">SUMPRODUCT(--(ISNUMBER(SEARCH($A129,'Diags Raw Data'!$A$6:$A$3761))),--('Diags Raw Data'!$Q$6:$Q$3761&lt;&gt;"N/A"),'Diags Raw Data'!$T$6:$T$3761)+SUMPRODUCT(--(ISNUMBER(SEARCH($A129,'Diags Raw Data'!$A$6:$A$3761))),--('Diags Raw Data'!$Q$6:$Q$3761&lt;&gt;"N/A"),'Diags Raw Data'!$U$6:$U$3761)</f>
        <v>0</v>
      </c>
      <c r="O129" s="472">
        <f t="shared" ref="O129:O187" si="19">IF((M129=0),0,N129/M129)</f>
        <v>0</v>
      </c>
      <c r="P129" s="473">
        <f>SUMIF('Diags Raw Data'!$A$6:$A$3761,"*"&amp;$A129&amp;"*",'Diags Raw Data'!$Z$6:$Z$3761)</f>
        <v>0</v>
      </c>
      <c r="Q129" s="474">
        <f>SUM(SUMIF('Diags Raw Data'!$A$6:$A$3761,"*"&amp;$A129&amp;"*",'Diags Raw Data'!$AA$6:$AA$3761),SUMIF('Diags Raw Data'!$A$6:$A$3761,"*"&amp;$A129&amp;"*",'Diags Raw Data'!$AB$6:$AB$3761))</f>
        <v>0</v>
      </c>
      <c r="R129" s="475">
        <f t="shared" ref="R129:R187" si="20">IF((J129=0),0,P129/J129)</f>
        <v>0</v>
      </c>
      <c r="S129" s="475">
        <f t="shared" ref="S129:S187" si="21">IF((P129=0),0,Q129/P129)</f>
        <v>0</v>
      </c>
      <c r="T129" s="476">
        <f t="shared" ref="T129:T187" si="22">R129*S129</f>
        <v>0</v>
      </c>
      <c r="U129" s="425" t="e">
        <f>VLOOKUP(A129,'Diags Raw Data'!$A$6:$AH$3761,33,FALSE)</f>
        <v>#N/A</v>
      </c>
      <c r="V129" s="181"/>
    </row>
    <row r="130" spans="1:22" ht="30.75" thickBot="1" x14ac:dyDescent="0.3">
      <c r="A130" s="530">
        <v>12.266</v>
      </c>
      <c r="B130" s="427" t="str">
        <f>VLOOKUP(A130,'Feature Raw Data'!$A$3:$B$3922,2,FALSE)</f>
        <v>GFX12 Firewall update for 40 bit address</v>
      </c>
      <c r="C130" s="428" t="str">
        <f>VLOOKUP(A130,'Feature Raw Data'!$A$3:$C$3922,3,FALSE)</f>
        <v>P1</v>
      </c>
      <c r="D130" s="429" t="str" cm="1">
        <f t="array" ref="D130">_xlfn.TEXTJOIN("",TRUE,IF(ISNUMBER(SEARCH($A130,'Diags Raw Data'!$A$6:$A$3761)),CONCATENATE('Diags Raw Data'!$H$6:$H$3761,", "),""))</f>
        <v xml:space="preserve">rlci9.1,rlc_firewall_40bit_address,rlci10.1,cp_firewall_40bit_address, </v>
      </c>
      <c r="E130" s="340" t="str">
        <f>VLOOKUP(A130,'Diags Raw Data'!$A$6:$D$3761,4,FALSE)</f>
        <v>CTL</v>
      </c>
      <c r="F130" s="340" t="str">
        <f>VLOOKUP(A130,'Feature Raw Data'!$A$3:$E$3922,5,FALSE)</f>
        <v>New</v>
      </c>
      <c r="G130" s="340" t="str">
        <f t="shared" si="17"/>
        <v>Yes</v>
      </c>
      <c r="H130" s="340" t="str">
        <f t="shared" si="18"/>
        <v>Yes</v>
      </c>
      <c r="I130" s="428">
        <f>SUMIF('Diags Raw Data'!$A$6:$A$3761,"*"&amp;$A130&amp;"*",'Diags Raw Data'!$K$6:$K$3761)</f>
        <v>0</v>
      </c>
      <c r="J130" s="430">
        <f>SUMIF('Diags Raw Data'!$A$6:$A$3761,"*"&amp;$A130&amp;"*",'Diags Raw Data'!$L$6:$L$3761)</f>
        <v>0</v>
      </c>
      <c r="K130" s="468" t="e" cm="1">
        <f t="array" ref="K130">IF(D130="",0, SUMPRODUCT(--(ISNUMBER(SEARCH($A130,'Diags Raw Data'!$A$6:$A$3761))),'Diags Raw Data'!$L$6:$L$3761,'Diags Raw Data'!$N$6:$N$3761)/J130)</f>
        <v>#DIV/0!</v>
      </c>
      <c r="L130" s="469" t="e" cm="1">
        <f t="array" ref="L130">IF(D130="",0, SUMPRODUCT(--(ISNUMBER(SEARCH($A130,'Diags Raw Data'!$A$6:$A$3761))),'Diags Raw Data'!$L$6:$L$3761,'Diags Raw Data'!$P$6:$P$3761)/J130)</f>
        <v>#DIV/0!</v>
      </c>
      <c r="M130" s="470" cm="1">
        <f t="array" ref="M130">SUMPRODUCT(--(ISNUMBER(SEARCH($A130,'Diags Raw Data'!$A$6:$A$3761))),--('Diags Raw Data'!$Q$6:$Q$3761&lt;&gt;"N/A"),'Diags Raw Data'!$R$6:$R$3761)</f>
        <v>1</v>
      </c>
      <c r="N130" s="471" cm="1">
        <f t="array" ref="N130">SUMPRODUCT(--(ISNUMBER(SEARCH($A130,'Diags Raw Data'!$A$6:$A$3761))),--('Diags Raw Data'!$Q$6:$Q$3761&lt;&gt;"N/A"),'Diags Raw Data'!$T$6:$T$3761)+SUMPRODUCT(--(ISNUMBER(SEARCH($A130,'Diags Raw Data'!$A$6:$A$3761))),--('Diags Raw Data'!$Q$6:$Q$3761&lt;&gt;"N/A"),'Diags Raw Data'!$U$6:$U$3761)</f>
        <v>0</v>
      </c>
      <c r="O130" s="472">
        <f t="shared" si="19"/>
        <v>0</v>
      </c>
      <c r="P130" s="473">
        <f>SUMIF('Diags Raw Data'!$A$6:$A$3761,"*"&amp;$A130&amp;"*",'Diags Raw Data'!$Z$6:$Z$3761)</f>
        <v>0</v>
      </c>
      <c r="Q130" s="474">
        <f>SUM(SUMIF('Diags Raw Data'!$A$6:$A$3761,"*"&amp;$A130&amp;"*",'Diags Raw Data'!$AA$6:$AA$3761),SUMIF('Diags Raw Data'!$A$6:$A$3761,"*"&amp;$A130&amp;"*",'Diags Raw Data'!$AB$6:$AB$3761))</f>
        <v>0</v>
      </c>
      <c r="R130" s="475">
        <f t="shared" si="20"/>
        <v>0</v>
      </c>
      <c r="S130" s="475">
        <f t="shared" si="21"/>
        <v>0</v>
      </c>
      <c r="T130" s="476">
        <f t="shared" si="22"/>
        <v>0</v>
      </c>
      <c r="U130" s="425" t="str">
        <f>VLOOKUP(A130,'Diags Raw Data'!$A$6:$AH$3761,33,FALSE)</f>
        <v>WK4</v>
      </c>
      <c r="V130" s="181"/>
    </row>
    <row r="131" spans="1:22" ht="315.75" thickBot="1" x14ac:dyDescent="0.3">
      <c r="A131" s="530">
        <v>12.27</v>
      </c>
      <c r="B131" s="427" t="str">
        <f>VLOOKUP(A131,'Feature Raw Data'!$A$3:$B$3922,2,FALSE)</f>
        <v>Work Graph Scheduler</v>
      </c>
      <c r="C131" s="428" t="str">
        <f>VLOOKUP(A131,'Feature Raw Data'!$A$3:$C$3922,3,FALSE)</f>
        <v>P1</v>
      </c>
      <c r="D131" s="429" t="str" cm="1">
        <f t="array" ref="D131">_xlfn.TEXTJOIN("",TRUE,IF(ISNUMBER(SEARCH($A131,'Diags Raw Data'!$A$6:$A$3761)),CONCATENATE('Diags Raw Data'!$H$6:$H$3761,", "),""))</f>
        <v xml:space="preserve">wgs.6,wgs_dispatch_sanity_pm4_01,wgs.8,wgs_dispatch_two_pipes_pm4_01,wgs.1,wgs_ace_cwsr_pm4_01,wgs.100,wgs_dispatch_sanity_tacl_01,wgs.12,wgs_gl1_ret_xnack_pm4_01,gci30.3,::linpack_wgs,wgs_interrrupt_tacl,gci22.11,shader_memory_copy, gci820.0, gfx.inst_perf/flat_atomic_cond_sub_u32_global,gfx.inst_perf/flat_atomic_sub_clamp_u32_global,gfx.inst_perf/ds_cond_sub_rtn_u32,gfx.inst_perf/ds_sub_clamp_rtn_u32,gci1307.0-3, glxi60.7, </v>
      </c>
      <c r="E131" s="340" t="str">
        <f>VLOOKUP(A131,'Diags Raw Data'!$A$6:$D$3761,4,FALSE)</f>
        <v>CTL</v>
      </c>
      <c r="F131" s="340" t="str">
        <f>VLOOKUP(A131,'Feature Raw Data'!$A$3:$E$3922,5,FALSE)</f>
        <v>New</v>
      </c>
      <c r="G131" s="340" t="str">
        <f t="shared" si="17"/>
        <v>Yes</v>
      </c>
      <c r="H131" s="340" t="str">
        <f t="shared" si="18"/>
        <v>Yes</v>
      </c>
      <c r="I131" s="428">
        <f>SUMIF('Diags Raw Data'!$A$6:$A$3761,"*"&amp;$A131&amp;"*",'Diags Raw Data'!$K$6:$K$3761)</f>
        <v>0</v>
      </c>
      <c r="J131" s="430">
        <f>SUMIF('Diags Raw Data'!$A$6:$A$3761,"*"&amp;$A131&amp;"*",'Diags Raw Data'!$L$6:$L$3761)</f>
        <v>0</v>
      </c>
      <c r="K131" s="468" t="e" cm="1">
        <f t="array" ref="K131">IF(D131="",0, SUMPRODUCT(--(ISNUMBER(SEARCH($A131,'Diags Raw Data'!$A$6:$A$3761))),'Diags Raw Data'!$L$6:$L$3761,'Diags Raw Data'!$N$6:$N$3761)/J131)</f>
        <v>#DIV/0!</v>
      </c>
      <c r="L131" s="469" t="e" cm="1">
        <f t="array" ref="L131">IF(D131="",0, SUMPRODUCT(--(ISNUMBER(SEARCH($A131,'Diags Raw Data'!$A$6:$A$3761))),'Diags Raw Data'!$L$6:$L$3761,'Diags Raw Data'!$P$6:$P$3761)/J131)</f>
        <v>#DIV/0!</v>
      </c>
      <c r="M131" s="470" cm="1">
        <f t="array" ref="M131">SUMPRODUCT(--(ISNUMBER(SEARCH($A131,'Diags Raw Data'!$A$6:$A$3761))),--('Diags Raw Data'!$Q$6:$Q$3761&lt;&gt;"N/A"),'Diags Raw Data'!$R$6:$R$3761)</f>
        <v>29</v>
      </c>
      <c r="N131" s="471" cm="1">
        <f t="array" ref="N131">SUMPRODUCT(--(ISNUMBER(SEARCH($A131,'Diags Raw Data'!$A$6:$A$3761))),--('Diags Raw Data'!$Q$6:$Q$3761&lt;&gt;"N/A"),'Diags Raw Data'!$T$6:$T$3761)+SUMPRODUCT(--(ISNUMBER(SEARCH($A131,'Diags Raw Data'!$A$6:$A$3761))),--('Diags Raw Data'!$Q$6:$Q$3761&lt;&gt;"N/A"),'Diags Raw Data'!$U$6:$U$3761)</f>
        <v>15</v>
      </c>
      <c r="O131" s="472">
        <f t="shared" si="19"/>
        <v>0.51724137931034486</v>
      </c>
      <c r="P131" s="473">
        <f>SUMIF('Diags Raw Data'!$A$6:$A$3761,"*"&amp;$A131&amp;"*",'Diags Raw Data'!$Z$6:$Z$3761)</f>
        <v>0</v>
      </c>
      <c r="Q131" s="474">
        <f>SUM(SUMIF('Diags Raw Data'!$A$6:$A$3761,"*"&amp;$A131&amp;"*",'Diags Raw Data'!$AA$6:$AA$3761),SUMIF('Diags Raw Data'!$A$6:$A$3761,"*"&amp;$A131&amp;"*",'Diags Raw Data'!$AB$6:$AB$3761))</f>
        <v>0</v>
      </c>
      <c r="R131" s="475">
        <f t="shared" si="20"/>
        <v>0</v>
      </c>
      <c r="S131" s="475">
        <f t="shared" si="21"/>
        <v>0</v>
      </c>
      <c r="T131" s="476">
        <f t="shared" si="22"/>
        <v>0</v>
      </c>
      <c r="U131" s="425" t="str">
        <f>VLOOKUP(A131,'Diags Raw Data'!$A$6:$AH$3761,33,FALSE)</f>
        <v>WK5</v>
      </c>
      <c r="V131" s="181"/>
    </row>
    <row r="132" spans="1:22" ht="30.75" thickBot="1" x14ac:dyDescent="0.3">
      <c r="A132" s="530">
        <v>12.276</v>
      </c>
      <c r="B132" s="427" t="str">
        <f>VLOOKUP(A132,'Feature Raw Data'!$A$3:$B$3922,2,FALSE)</f>
        <v xml:space="preserve">Remove the data duplication for MLOPS </v>
      </c>
      <c r="C132" s="428" t="str">
        <f>VLOOKUP(A132,'Feature Raw Data'!$A$3:$C$3922,3,FALSE)</f>
        <v>P1</v>
      </c>
      <c r="D132" s="429" t="str" cm="1">
        <f t="array" ref="D132">_xlfn.TEXTJOIN("",TRUE,IF(ISNUMBER(SEARCH($A132,'Diags Raw Data'!$A$6:$A$3761)),CONCATENATE('Diags Raw Data'!$H$6:$H$3761,", "),""))</f>
        <v xml:space="preserve">gci820.0, </v>
      </c>
      <c r="E132" s="340" t="str">
        <f>VLOOKUP(A132,'Diags Raw Data'!$A$6:$D$3761,4,FALSE)</f>
        <v>SH</v>
      </c>
      <c r="F132" s="340" t="str">
        <f>VLOOKUP(A132,'Feature Raw Data'!$A$3:$E$3922,5,FALSE)</f>
        <v>New</v>
      </c>
      <c r="G132" s="340" t="str">
        <f t="shared" si="17"/>
        <v>Yes</v>
      </c>
      <c r="H132" s="340" t="str">
        <f t="shared" si="18"/>
        <v>Yes</v>
      </c>
      <c r="I132" s="428">
        <f>SUMIF('Diags Raw Data'!$A$6:$A$3761,"*"&amp;$A132&amp;"*",'Diags Raw Data'!$K$6:$K$3761)</f>
        <v>0</v>
      </c>
      <c r="J132" s="430">
        <f>SUMIF('Diags Raw Data'!$A$6:$A$3761,"*"&amp;$A132&amp;"*",'Diags Raw Data'!$L$6:$L$3761)</f>
        <v>0</v>
      </c>
      <c r="K132" s="468" t="e" cm="1">
        <f t="array" ref="K132">IF(D132="",0, SUMPRODUCT(--(ISNUMBER(SEARCH($A132,'Diags Raw Data'!$A$6:$A$3761))),'Diags Raw Data'!$L$6:$L$3761,'Diags Raw Data'!$N$6:$N$3761)/J132)</f>
        <v>#DIV/0!</v>
      </c>
      <c r="L132" s="469" t="e" cm="1">
        <f t="array" ref="L132">IF(D132="",0, SUMPRODUCT(--(ISNUMBER(SEARCH($A132,'Diags Raw Data'!$A$6:$A$3761))),'Diags Raw Data'!$L$6:$L$3761,'Diags Raw Data'!$P$6:$P$3761)/J132)</f>
        <v>#DIV/0!</v>
      </c>
      <c r="M132" s="470" cm="1">
        <f t="array" ref="M132">SUMPRODUCT(--(ISNUMBER(SEARCH($A132,'Diags Raw Data'!$A$6:$A$3761))),--('Diags Raw Data'!$Q$6:$Q$3761&lt;&gt;"N/A"),'Diags Raw Data'!$R$6:$R$3761)</f>
        <v>14</v>
      </c>
      <c r="N132" s="471" cm="1">
        <f t="array" ref="N132">SUMPRODUCT(--(ISNUMBER(SEARCH($A132,'Diags Raw Data'!$A$6:$A$3761))),--('Diags Raw Data'!$Q$6:$Q$3761&lt;&gt;"N/A"),'Diags Raw Data'!$T$6:$T$3761)+SUMPRODUCT(--(ISNUMBER(SEARCH($A132,'Diags Raw Data'!$A$6:$A$3761))),--('Diags Raw Data'!$Q$6:$Q$3761&lt;&gt;"N/A"),'Diags Raw Data'!$U$6:$U$3761)</f>
        <v>0</v>
      </c>
      <c r="O132" s="472">
        <f t="shared" si="19"/>
        <v>0</v>
      </c>
      <c r="P132" s="473">
        <f>SUMIF('Diags Raw Data'!$A$6:$A$3761,"*"&amp;$A132&amp;"*",'Diags Raw Data'!$Z$6:$Z$3761)</f>
        <v>0</v>
      </c>
      <c r="Q132" s="474">
        <f>SUM(SUMIF('Diags Raw Data'!$A$6:$A$3761,"*"&amp;$A132&amp;"*",'Diags Raw Data'!$AA$6:$AA$3761),SUMIF('Diags Raw Data'!$A$6:$A$3761,"*"&amp;$A132&amp;"*",'Diags Raw Data'!$AB$6:$AB$3761))</f>
        <v>0</v>
      </c>
      <c r="R132" s="475">
        <f t="shared" si="20"/>
        <v>0</v>
      </c>
      <c r="S132" s="475">
        <f t="shared" si="21"/>
        <v>0</v>
      </c>
      <c r="T132" s="476">
        <f t="shared" si="22"/>
        <v>0</v>
      </c>
      <c r="U132" s="425" t="str">
        <f>VLOOKUP(A132,'Diags Raw Data'!$A$6:$AH$3761,33,FALSE)</f>
        <v>WK5</v>
      </c>
      <c r="V132" s="181"/>
    </row>
    <row r="133" spans="1:22" ht="120.75" thickBot="1" x14ac:dyDescent="0.3">
      <c r="A133" s="530">
        <v>12.276999999999999</v>
      </c>
      <c r="B133" s="427" t="str">
        <f>VLOOKUP(A133,'Feature Raw Data'!$A$3:$B$3922,2,FALSE)</f>
        <v>Add Conditional-subtract memory atomic for locks</v>
      </c>
      <c r="C133" s="428" t="str">
        <f>VLOOKUP(A133,'Feature Raw Data'!$A$3:$C$3922,3,FALSE)</f>
        <v>P2</v>
      </c>
      <c r="D133" s="429" t="str" cm="1">
        <f t="array" ref="D133">_xlfn.TEXTJOIN("",TRUE,IF(ISNUMBER(SEARCH($A133,'Diags Raw Data'!$A$6:$A$3761)),CONCATENATE('Diags Raw Data'!$H$6:$H$3761,", "),""))</f>
        <v xml:space="preserve">gfx.inst_perf/flat_atomic_cond_sub_u32_global,gfx.inst_perf/flat_atomic_sub_clamp_u32_global,gfx.inst_perf/ds_cond_sub_rtn_u32,gfx.inst_perf/ds_sub_clamp_rtn_u32,gci1307.0-3, </v>
      </c>
      <c r="E133" s="340" t="str">
        <f>VLOOKUP(A133,'Diags Raw Data'!$A$6:$D$3761,4,FALSE)</f>
        <v>SH</v>
      </c>
      <c r="F133" s="340" t="str">
        <f>VLOOKUP(A133,'Feature Raw Data'!$A$3:$E$3922,5,FALSE)</f>
        <v>New</v>
      </c>
      <c r="G133" s="340" t="str">
        <f t="shared" si="17"/>
        <v>Yes</v>
      </c>
      <c r="H133" s="340" t="str">
        <f t="shared" si="18"/>
        <v>Yes</v>
      </c>
      <c r="I133" s="428">
        <f>SUMIF('Diags Raw Data'!$A$6:$A$3761,"*"&amp;$A133&amp;"*",'Diags Raw Data'!$K$6:$K$3761)</f>
        <v>0</v>
      </c>
      <c r="J133" s="430">
        <f>SUMIF('Diags Raw Data'!$A$6:$A$3761,"*"&amp;$A133&amp;"*",'Diags Raw Data'!$L$6:$L$3761)</f>
        <v>0</v>
      </c>
      <c r="K133" s="468" t="e" cm="1">
        <f t="array" ref="K133">IF(D133="",0, SUMPRODUCT(--(ISNUMBER(SEARCH($A133,'Diags Raw Data'!$A$6:$A$3761))),'Diags Raw Data'!$L$6:$L$3761,'Diags Raw Data'!$N$6:$N$3761)/J133)</f>
        <v>#DIV/0!</v>
      </c>
      <c r="L133" s="469" t="e" cm="1">
        <f t="array" ref="L133">IF(D133="",0, SUMPRODUCT(--(ISNUMBER(SEARCH($A133,'Diags Raw Data'!$A$6:$A$3761))),'Diags Raw Data'!$L$6:$L$3761,'Diags Raw Data'!$P$6:$P$3761)/J133)</f>
        <v>#DIV/0!</v>
      </c>
      <c r="M133" s="470" cm="1">
        <f t="array" ref="M133">SUMPRODUCT(--(ISNUMBER(SEARCH($A133,'Diags Raw Data'!$A$6:$A$3761))),--('Diags Raw Data'!$Q$6:$Q$3761&lt;&gt;"N/A"),'Diags Raw Data'!$R$6:$R$3761)</f>
        <v>8</v>
      </c>
      <c r="N133" s="471" cm="1">
        <f t="array" ref="N133">SUMPRODUCT(--(ISNUMBER(SEARCH($A133,'Diags Raw Data'!$A$6:$A$3761))),--('Diags Raw Data'!$Q$6:$Q$3761&lt;&gt;"N/A"),'Diags Raw Data'!$T$6:$T$3761)+SUMPRODUCT(--(ISNUMBER(SEARCH($A133,'Diags Raw Data'!$A$6:$A$3761))),--('Diags Raw Data'!$Q$6:$Q$3761&lt;&gt;"N/A"),'Diags Raw Data'!$U$6:$U$3761)</f>
        <v>8</v>
      </c>
      <c r="O133" s="472">
        <f t="shared" si="19"/>
        <v>1</v>
      </c>
      <c r="P133" s="473">
        <f>SUMIF('Diags Raw Data'!$A$6:$A$3761,"*"&amp;$A133&amp;"*",'Diags Raw Data'!$Z$6:$Z$3761)</f>
        <v>0</v>
      </c>
      <c r="Q133" s="474">
        <f>SUM(SUMIF('Diags Raw Data'!$A$6:$A$3761,"*"&amp;$A133&amp;"*",'Diags Raw Data'!$AA$6:$AA$3761),SUMIF('Diags Raw Data'!$A$6:$A$3761,"*"&amp;$A133&amp;"*",'Diags Raw Data'!$AB$6:$AB$3761))</f>
        <v>0</v>
      </c>
      <c r="R133" s="475">
        <f t="shared" si="20"/>
        <v>0</v>
      </c>
      <c r="S133" s="475">
        <f t="shared" si="21"/>
        <v>0</v>
      </c>
      <c r="T133" s="476">
        <f t="shared" si="22"/>
        <v>0</v>
      </c>
      <c r="U133" s="425" t="str">
        <f>VLOOKUP(A133,'Diags Raw Data'!$A$6:$AH$3761,33,FALSE)</f>
        <v>WK8</v>
      </c>
      <c r="V133" s="181"/>
    </row>
    <row r="134" spans="1:22" ht="30.75" thickBot="1" x14ac:dyDescent="0.3">
      <c r="A134" s="530">
        <v>12.278</v>
      </c>
      <c r="B134" s="427" t="str">
        <f>VLOOKUP(A134,'Feature Raw Data'!$A$3:$B$3922,2,FALSE)</f>
        <v>DCC sector size to increase to 128B</v>
      </c>
      <c r="C134" s="428" t="str">
        <f>VLOOKUP(A134,'Feature Raw Data'!$A$3:$C$3922,3,FALSE)</f>
        <v>P1</v>
      </c>
      <c r="D134" s="429" t="str" cm="1">
        <f t="array" ref="D134">_xlfn.TEXTJOIN("",TRUE,IF(ISNUMBER(SEARCH($A134,'Diags Raw Data'!$A$6:$A$3761)),CONCATENATE('Diags Raw Data'!$H$6:$H$3761,", "),""))</f>
        <v xml:space="preserve">glxi60.7, </v>
      </c>
      <c r="E134" s="340" t="str">
        <f>VLOOKUP(A134,'Diags Raw Data'!$A$6:$D$3761,4,FALSE)</f>
        <v>CMM</v>
      </c>
      <c r="F134" s="340" t="str">
        <f>VLOOKUP(A134,'Feature Raw Data'!$A$3:$E$3922,5,FALSE)</f>
        <v>New</v>
      </c>
      <c r="G134" s="340" t="str">
        <f t="shared" si="17"/>
        <v>Yes</v>
      </c>
      <c r="H134" s="340" t="str">
        <f t="shared" si="18"/>
        <v>Yes</v>
      </c>
      <c r="I134" s="428">
        <f>SUMIF('Diags Raw Data'!$A$6:$A$3761,"*"&amp;$A134&amp;"*",'Diags Raw Data'!$K$6:$K$3761)</f>
        <v>0</v>
      </c>
      <c r="J134" s="430">
        <f>SUMIF('Diags Raw Data'!$A$6:$A$3761,"*"&amp;$A134&amp;"*",'Diags Raw Data'!$L$6:$L$3761)</f>
        <v>0</v>
      </c>
      <c r="K134" s="468" t="e" cm="1">
        <f t="array" ref="K134">IF(D134="",0, SUMPRODUCT(--(ISNUMBER(SEARCH($A134,'Diags Raw Data'!$A$6:$A$3761))),'Diags Raw Data'!$L$6:$L$3761,'Diags Raw Data'!$N$6:$N$3761)/J134)</f>
        <v>#DIV/0!</v>
      </c>
      <c r="L134" s="469" t="e" cm="1">
        <f t="array" ref="L134">IF(D134="",0, SUMPRODUCT(--(ISNUMBER(SEARCH($A134,'Diags Raw Data'!$A$6:$A$3761))),'Diags Raw Data'!$L$6:$L$3761,'Diags Raw Data'!$P$6:$P$3761)/J134)</f>
        <v>#DIV/0!</v>
      </c>
      <c r="M134" s="470" cm="1">
        <f t="array" ref="M134">SUMPRODUCT(--(ISNUMBER(SEARCH($A134,'Diags Raw Data'!$A$6:$A$3761))),--('Diags Raw Data'!$Q$6:$Q$3761&lt;&gt;"N/A"),'Diags Raw Data'!$R$6:$R$3761)</f>
        <v>1</v>
      </c>
      <c r="N134" s="471" cm="1">
        <f t="array" ref="N134">SUMPRODUCT(--(ISNUMBER(SEARCH($A134,'Diags Raw Data'!$A$6:$A$3761))),--('Diags Raw Data'!$Q$6:$Q$3761&lt;&gt;"N/A"),'Diags Raw Data'!$T$6:$T$3761)+SUMPRODUCT(--(ISNUMBER(SEARCH($A134,'Diags Raw Data'!$A$6:$A$3761))),--('Diags Raw Data'!$Q$6:$Q$3761&lt;&gt;"N/A"),'Diags Raw Data'!$U$6:$U$3761)</f>
        <v>1</v>
      </c>
      <c r="O134" s="472">
        <f t="shared" si="19"/>
        <v>1</v>
      </c>
      <c r="P134" s="473">
        <f>SUMIF('Diags Raw Data'!$A$6:$A$3761,"*"&amp;$A134&amp;"*",'Diags Raw Data'!$Z$6:$Z$3761)</f>
        <v>0</v>
      </c>
      <c r="Q134" s="474">
        <f>SUM(SUMIF('Diags Raw Data'!$A$6:$A$3761,"*"&amp;$A134&amp;"*",'Diags Raw Data'!$AA$6:$AA$3761),SUMIF('Diags Raw Data'!$A$6:$A$3761,"*"&amp;$A134&amp;"*",'Diags Raw Data'!$AB$6:$AB$3761))</f>
        <v>0</v>
      </c>
      <c r="R134" s="475">
        <f t="shared" si="20"/>
        <v>0</v>
      </c>
      <c r="S134" s="475">
        <f t="shared" si="21"/>
        <v>0</v>
      </c>
      <c r="T134" s="476">
        <f t="shared" si="22"/>
        <v>0</v>
      </c>
      <c r="U134" s="425" t="str">
        <f>VLOOKUP(A134,'Diags Raw Data'!$A$6:$AH$3761,33,FALSE)</f>
        <v>WK5</v>
      </c>
      <c r="V134" s="181"/>
    </row>
    <row r="135" spans="1:22" ht="45.75" thickBot="1" x14ac:dyDescent="0.3">
      <c r="A135" s="530">
        <v>12.28</v>
      </c>
      <c r="B135" s="427" t="str">
        <f>VLOOKUP(A135,'Feature Raw Data'!$A$3:$B$3922,2,FALSE)</f>
        <v>DCC auto-CT detection</v>
      </c>
      <c r="C135" s="428" t="str">
        <f>VLOOKUP(A135,'Feature Raw Data'!$A$3:$C$3922,3,FALSE)</f>
        <v>P1</v>
      </c>
      <c r="D135" s="429" t="str" cm="1">
        <f t="array" ref="D135">_xlfn.TEXTJOIN("",TRUE,IF(ISNUMBER(SEARCH($A135,'Diags Raw Data'!$A$6:$A$3761)),CONCATENATE('Diags Raw Data'!$H$6:$H$3761,", "),""))</f>
        <v xml:space="preserve">glxi60.5, glxi60.6, navi48.gfx.ge.register_access, </v>
      </c>
      <c r="E135" s="340" t="str">
        <f>VLOOKUP(A135,'Diags Raw Data'!$A$6:$D$3761,4,FALSE)</f>
        <v>CMM</v>
      </c>
      <c r="F135" s="340" t="str">
        <f>VLOOKUP(A135,'Feature Raw Data'!$A$3:$E$3922,5,FALSE)</f>
        <v>New</v>
      </c>
      <c r="G135" s="340" t="str">
        <f t="shared" si="17"/>
        <v>Yes</v>
      </c>
      <c r="H135" s="340" t="str">
        <f t="shared" si="18"/>
        <v>Yes</v>
      </c>
      <c r="I135" s="428">
        <f>SUMIF('Diags Raw Data'!$A$6:$A$3761,"*"&amp;$A135&amp;"*",'Diags Raw Data'!$K$6:$K$3761)</f>
        <v>0</v>
      </c>
      <c r="J135" s="430">
        <f>SUMIF('Diags Raw Data'!$A$6:$A$3761,"*"&amp;$A135&amp;"*",'Diags Raw Data'!$L$6:$L$3761)</f>
        <v>0</v>
      </c>
      <c r="K135" s="468" t="e" cm="1">
        <f t="array" ref="K135">IF(D135="",0, SUMPRODUCT(--(ISNUMBER(SEARCH($A135,'Diags Raw Data'!$A$6:$A$3761))),'Diags Raw Data'!$L$6:$L$3761,'Diags Raw Data'!$N$6:$N$3761)/J135)</f>
        <v>#DIV/0!</v>
      </c>
      <c r="L135" s="469" t="e" cm="1">
        <f t="array" ref="L135">IF(D135="",0, SUMPRODUCT(--(ISNUMBER(SEARCH($A135,'Diags Raw Data'!$A$6:$A$3761))),'Diags Raw Data'!$L$6:$L$3761,'Diags Raw Data'!$P$6:$P$3761)/J135)</f>
        <v>#DIV/0!</v>
      </c>
      <c r="M135" s="470" cm="1">
        <f t="array" ref="M135">SUMPRODUCT(--(ISNUMBER(SEARCH($A135,'Diags Raw Data'!$A$6:$A$3761))),--('Diags Raw Data'!$Q$6:$Q$3761&lt;&gt;"N/A"),'Diags Raw Data'!$R$6:$R$3761)</f>
        <v>4</v>
      </c>
      <c r="N135" s="471" cm="1">
        <f t="array" ref="N135">SUMPRODUCT(--(ISNUMBER(SEARCH($A135,'Diags Raw Data'!$A$6:$A$3761))),--('Diags Raw Data'!$Q$6:$Q$3761&lt;&gt;"N/A"),'Diags Raw Data'!$T$6:$T$3761)+SUMPRODUCT(--(ISNUMBER(SEARCH($A135,'Diags Raw Data'!$A$6:$A$3761))),--('Diags Raw Data'!$Q$6:$Q$3761&lt;&gt;"N/A"),'Diags Raw Data'!$U$6:$U$3761)</f>
        <v>4</v>
      </c>
      <c r="O135" s="472">
        <f t="shared" si="19"/>
        <v>1</v>
      </c>
      <c r="P135" s="473">
        <f>SUMIF('Diags Raw Data'!$A$6:$A$3761,"*"&amp;$A135&amp;"*",'Diags Raw Data'!$Z$6:$Z$3761)</f>
        <v>0</v>
      </c>
      <c r="Q135" s="474">
        <f>SUM(SUMIF('Diags Raw Data'!$A$6:$A$3761,"*"&amp;$A135&amp;"*",'Diags Raw Data'!$AA$6:$AA$3761),SUMIF('Diags Raw Data'!$A$6:$A$3761,"*"&amp;$A135&amp;"*",'Diags Raw Data'!$AB$6:$AB$3761))</f>
        <v>0</v>
      </c>
      <c r="R135" s="475">
        <f t="shared" si="20"/>
        <v>0</v>
      </c>
      <c r="S135" s="475">
        <f t="shared" si="21"/>
        <v>0</v>
      </c>
      <c r="T135" s="476">
        <f t="shared" si="22"/>
        <v>0</v>
      </c>
      <c r="U135" s="425" t="str">
        <f>VLOOKUP(A135,'Diags Raw Data'!$A$6:$AH$3761,33,FALSE)</f>
        <v>WK5</v>
      </c>
      <c r="V135" s="181"/>
    </row>
    <row r="136" spans="1:22" s="186" customFormat="1" ht="30.75" thickBot="1" x14ac:dyDescent="0.3">
      <c r="A136" s="530">
        <v>12.281000000000001</v>
      </c>
      <c r="B136" s="427" t="str">
        <f>VLOOKUP(A136,'Feature Raw Data'!$A$3:$B$3922,2,FALSE)</f>
        <v>Sector-separated DCC compressed data layout</v>
      </c>
      <c r="C136" s="428" t="str">
        <f>VLOOKUP(A136,'Feature Raw Data'!$A$3:$C$3922,3,FALSE)</f>
        <v>P1</v>
      </c>
      <c r="D136" s="429" t="str" cm="1">
        <f t="array" ref="D136">_xlfn.TEXTJOIN("",TRUE,IF(ISNUMBER(SEARCH($A136,'Diags Raw Data'!$A$6:$A$3761)),CONCATENATE('Diags Raw Data'!$H$6:$H$3761,", "),""))</f>
        <v xml:space="preserve">glxi60.6, </v>
      </c>
      <c r="E136" s="340" t="str">
        <f>VLOOKUP(A136,'Diags Raw Data'!$A$6:$D$3761,4,FALSE)</f>
        <v>CMM</v>
      </c>
      <c r="F136" s="340" t="str">
        <f>VLOOKUP(A136,'Feature Raw Data'!$A$3:$E$3922,5,FALSE)</f>
        <v>New</v>
      </c>
      <c r="G136" s="340" t="str">
        <f t="shared" si="17"/>
        <v>Yes</v>
      </c>
      <c r="H136" s="340" t="str">
        <f t="shared" si="18"/>
        <v>Yes</v>
      </c>
      <c r="I136" s="428">
        <f>SUMIF('Diags Raw Data'!$A$6:$A$3761,"*"&amp;$A136&amp;"*",'Diags Raw Data'!$K$6:$K$3761)</f>
        <v>0</v>
      </c>
      <c r="J136" s="430">
        <f>SUMIF('Diags Raw Data'!$A$6:$A$3761,"*"&amp;$A136&amp;"*",'Diags Raw Data'!$L$6:$L$3761)</f>
        <v>0</v>
      </c>
      <c r="K136" s="468" t="e" cm="1">
        <f t="array" ref="K136">IF(D136="",0, SUMPRODUCT(--(ISNUMBER(SEARCH($A136,'Diags Raw Data'!$A$6:$A$3761))),'Diags Raw Data'!$L$6:$L$3761,'Diags Raw Data'!$N$6:$N$3761)/J136)</f>
        <v>#DIV/0!</v>
      </c>
      <c r="L136" s="469" t="e" cm="1">
        <f t="array" ref="L136">IF(D136="",0, SUMPRODUCT(--(ISNUMBER(SEARCH($A136,'Diags Raw Data'!$A$6:$A$3761))),'Diags Raw Data'!$L$6:$L$3761,'Diags Raw Data'!$P$6:$P$3761)/J136)</f>
        <v>#DIV/0!</v>
      </c>
      <c r="M136" s="470" cm="1">
        <f t="array" ref="M136">SUMPRODUCT(--(ISNUMBER(SEARCH($A136,'Diags Raw Data'!$A$6:$A$3761))),--('Diags Raw Data'!$Q$6:$Q$3761&lt;&gt;"N/A"),'Diags Raw Data'!$R$6:$R$3761)</f>
        <v>1</v>
      </c>
      <c r="N136" s="471" cm="1">
        <f t="array" ref="N136">SUMPRODUCT(--(ISNUMBER(SEARCH($A136,'Diags Raw Data'!$A$6:$A$3761))),--('Diags Raw Data'!$Q$6:$Q$3761&lt;&gt;"N/A"),'Diags Raw Data'!$T$6:$T$3761)+SUMPRODUCT(--(ISNUMBER(SEARCH($A136,'Diags Raw Data'!$A$6:$A$3761))),--('Diags Raw Data'!$Q$6:$Q$3761&lt;&gt;"N/A"),'Diags Raw Data'!$U$6:$U$3761)</f>
        <v>1</v>
      </c>
      <c r="O136" s="472">
        <f t="shared" si="19"/>
        <v>1</v>
      </c>
      <c r="P136" s="473">
        <f>SUMIF('Diags Raw Data'!$A$6:$A$3761,"*"&amp;$A136&amp;"*",'Diags Raw Data'!$Z$6:$Z$3761)</f>
        <v>0</v>
      </c>
      <c r="Q136" s="474">
        <f>SUM(SUMIF('Diags Raw Data'!$A$6:$A$3761,"*"&amp;$A136&amp;"*",'Diags Raw Data'!$AA$6:$AA$3761),SUMIF('Diags Raw Data'!$A$6:$A$3761,"*"&amp;$A136&amp;"*",'Diags Raw Data'!$AB$6:$AB$3761))</f>
        <v>0</v>
      </c>
      <c r="R136" s="475">
        <f t="shared" si="20"/>
        <v>0</v>
      </c>
      <c r="S136" s="475">
        <f t="shared" si="21"/>
        <v>0</v>
      </c>
      <c r="T136" s="476">
        <f t="shared" si="22"/>
        <v>0</v>
      </c>
      <c r="U136" s="425" t="str">
        <f>VLOOKUP(A136,'Diags Raw Data'!$A$6:$AH$3761,33,FALSE)</f>
        <v>WK5</v>
      </c>
      <c r="V136" s="185"/>
    </row>
    <row r="137" spans="1:22" ht="15.75" thickBot="1" x14ac:dyDescent="0.3">
      <c r="A137" s="530">
        <v>12.282</v>
      </c>
      <c r="B137" s="427" t="str">
        <f>VLOOKUP(A137,'Feature Raw Data'!$A$3:$B$3922,2,FALSE)</f>
        <v>rename GE BIA containers</v>
      </c>
      <c r="C137" s="428" t="str">
        <f>VLOOKUP(A137,'Feature Raw Data'!$A$3:$C$3922,3,FALSE)</f>
        <v>P1</v>
      </c>
      <c r="D137" s="429" t="str" cm="1">
        <f t="array" ref="D137">_xlfn.TEXTJOIN("",TRUE,IF(ISNUMBER(SEARCH($A137,'Diags Raw Data'!$A$6:$A$3761)),CONCATENATE('Diags Raw Data'!$H$6:$H$3761,", "),""))</f>
        <v xml:space="preserve">navi48.gfx.ge.register_access, </v>
      </c>
      <c r="E137" s="340" t="str">
        <f>VLOOKUP(A137,'Diags Raw Data'!$A$6:$D$3761,4,FALSE)</f>
        <v>GEO</v>
      </c>
      <c r="F137" s="340" t="str">
        <f>VLOOKUP(A137,'Feature Raw Data'!$A$3:$E$3922,5,FALSE)</f>
        <v>New</v>
      </c>
      <c r="G137" s="340" t="str">
        <f t="shared" si="17"/>
        <v>Yes</v>
      </c>
      <c r="H137" s="340" t="str">
        <f t="shared" si="18"/>
        <v>Yes</v>
      </c>
      <c r="I137" s="428">
        <f>SUMIF('Diags Raw Data'!$A$6:$A$3761,"*"&amp;$A137&amp;"*",'Diags Raw Data'!$K$6:$K$3761)</f>
        <v>0</v>
      </c>
      <c r="J137" s="430">
        <f>SUMIF('Diags Raw Data'!$A$6:$A$3761,"*"&amp;$A137&amp;"*",'Diags Raw Data'!$L$6:$L$3761)</f>
        <v>0</v>
      </c>
      <c r="K137" s="468" t="e" cm="1">
        <f t="array" ref="K137">IF(D137="",0, SUMPRODUCT(--(ISNUMBER(SEARCH($A137,'Diags Raw Data'!$A$6:$A$3761))),'Diags Raw Data'!$L$6:$L$3761,'Diags Raw Data'!$N$6:$N$3761)/J137)</f>
        <v>#DIV/0!</v>
      </c>
      <c r="L137" s="469" t="e" cm="1">
        <f t="array" ref="L137">IF(D137="",0, SUMPRODUCT(--(ISNUMBER(SEARCH($A137,'Diags Raw Data'!$A$6:$A$3761))),'Diags Raw Data'!$L$6:$L$3761,'Diags Raw Data'!$P$6:$P$3761)/J137)</f>
        <v>#DIV/0!</v>
      </c>
      <c r="M137" s="470" cm="1">
        <f t="array" ref="M137">SUMPRODUCT(--(ISNUMBER(SEARCH($A137,'Diags Raw Data'!$A$6:$A$3761))),--('Diags Raw Data'!$Q$6:$Q$3761&lt;&gt;"N/A"),'Diags Raw Data'!$R$6:$R$3761)</f>
        <v>1</v>
      </c>
      <c r="N137" s="471" cm="1">
        <f t="array" ref="N137">SUMPRODUCT(--(ISNUMBER(SEARCH($A137,'Diags Raw Data'!$A$6:$A$3761))),--('Diags Raw Data'!$Q$6:$Q$3761&lt;&gt;"N/A"),'Diags Raw Data'!$T$6:$T$3761)+SUMPRODUCT(--(ISNUMBER(SEARCH($A137,'Diags Raw Data'!$A$6:$A$3761))),--('Diags Raw Data'!$Q$6:$Q$3761&lt;&gt;"N/A"),'Diags Raw Data'!$U$6:$U$3761)</f>
        <v>1</v>
      </c>
      <c r="O137" s="472">
        <f t="shared" si="19"/>
        <v>1</v>
      </c>
      <c r="P137" s="473">
        <f>SUMIF('Diags Raw Data'!$A$6:$A$3761,"*"&amp;$A137&amp;"*",'Diags Raw Data'!$Z$6:$Z$3761)</f>
        <v>0</v>
      </c>
      <c r="Q137" s="474">
        <f>SUM(SUMIF('Diags Raw Data'!$A$6:$A$3761,"*"&amp;$A137&amp;"*",'Diags Raw Data'!$AA$6:$AA$3761),SUMIF('Diags Raw Data'!$A$6:$A$3761,"*"&amp;$A137&amp;"*",'Diags Raw Data'!$AB$6:$AB$3761))</f>
        <v>0</v>
      </c>
      <c r="R137" s="475">
        <f t="shared" si="20"/>
        <v>0</v>
      </c>
      <c r="S137" s="475">
        <f t="shared" si="21"/>
        <v>0</v>
      </c>
      <c r="T137" s="476">
        <f t="shared" si="22"/>
        <v>0</v>
      </c>
      <c r="U137" s="425" t="str">
        <f>VLOOKUP(A137,'Diags Raw Data'!$A$6:$AH$3761,33,FALSE)</f>
        <v>WK3</v>
      </c>
      <c r="V137" s="181"/>
    </row>
    <row r="138" spans="1:22" ht="45.75" thickBot="1" x14ac:dyDescent="0.3">
      <c r="A138" s="530">
        <v>12.284000000000001</v>
      </c>
      <c r="B138" s="427" t="str">
        <f>VLOOKUP(A138,'Feature Raw Data'!$A$3:$B$3922,2,FALSE)</f>
        <v>Data return for clamped PRT is "0" only (no longer needs to be programable)</v>
      </c>
      <c r="C138" s="428" t="str">
        <f>VLOOKUP(A138,'Feature Raw Data'!$A$3:$C$3922,3,FALSE)</f>
        <v>P2</v>
      </c>
      <c r="D138" s="429" t="str" cm="1">
        <f t="array" ref="D138">_xlfn.TEXTJOIN("",TRUE,IF(ISNUMBER(SEARCH($A138,'Diags Raw Data'!$A$6:$A$3761)),CONCATENATE('Diags Raw Data'!$H$6:$H$3761,", "),""))</f>
        <v/>
      </c>
      <c r="E138" s="340" t="e">
        <f>VLOOKUP(A138,'Diags Raw Data'!$A$6:$D$3761,4,FALSE)</f>
        <v>#N/A</v>
      </c>
      <c r="F138" s="340" t="str">
        <f>VLOOKUP(A138,'Feature Raw Data'!$A$3:$E$3922,5,FALSE)</f>
        <v>New</v>
      </c>
      <c r="G138" s="340" t="str">
        <f t="shared" si="17"/>
        <v>Yes</v>
      </c>
      <c r="H138" s="340" t="str">
        <f t="shared" si="18"/>
        <v>Yes</v>
      </c>
      <c r="I138" s="428">
        <f>SUMIF('Diags Raw Data'!$A$6:$A$3761,"*"&amp;$A138&amp;"*",'Diags Raw Data'!$K$6:$K$3761)</f>
        <v>0</v>
      </c>
      <c r="J138" s="430">
        <f>SUMIF('Diags Raw Data'!$A$6:$A$3761,"*"&amp;$A138&amp;"*",'Diags Raw Data'!$L$6:$L$3761)</f>
        <v>0</v>
      </c>
      <c r="K138" s="468" cm="1">
        <f t="array" ref="K138">IF(D138="",0, SUMPRODUCT(--(ISNUMBER(SEARCH($A138,'Diags Raw Data'!$A$6:$A$3761))),'Diags Raw Data'!$L$6:$L$3761,'Diags Raw Data'!$N$6:$N$3761)/J138)</f>
        <v>0</v>
      </c>
      <c r="L138" s="469" cm="1">
        <f t="array" ref="L138">IF(D138="",0, SUMPRODUCT(--(ISNUMBER(SEARCH($A138,'Diags Raw Data'!$A$6:$A$3761))),'Diags Raw Data'!$L$6:$L$3761,'Diags Raw Data'!$P$6:$P$3761)/J138)</f>
        <v>0</v>
      </c>
      <c r="M138" s="470" cm="1">
        <f t="array" ref="M138">SUMPRODUCT(--(ISNUMBER(SEARCH($A138,'Diags Raw Data'!$A$6:$A$3761))),--('Diags Raw Data'!$Q$6:$Q$3761&lt;&gt;"N/A"),'Diags Raw Data'!$R$6:$R$3761)</f>
        <v>0</v>
      </c>
      <c r="N138" s="471" cm="1">
        <f t="array" ref="N138">SUMPRODUCT(--(ISNUMBER(SEARCH($A138,'Diags Raw Data'!$A$6:$A$3761))),--('Diags Raw Data'!$Q$6:$Q$3761&lt;&gt;"N/A"),'Diags Raw Data'!$T$6:$T$3761)+SUMPRODUCT(--(ISNUMBER(SEARCH($A138,'Diags Raw Data'!$A$6:$A$3761))),--('Diags Raw Data'!$Q$6:$Q$3761&lt;&gt;"N/A"),'Diags Raw Data'!$U$6:$U$3761)</f>
        <v>0</v>
      </c>
      <c r="O138" s="472">
        <f t="shared" si="19"/>
        <v>0</v>
      </c>
      <c r="P138" s="473">
        <f>SUMIF('Diags Raw Data'!$A$6:$A$3761,"*"&amp;$A138&amp;"*",'Diags Raw Data'!$Z$6:$Z$3761)</f>
        <v>0</v>
      </c>
      <c r="Q138" s="474">
        <f>SUM(SUMIF('Diags Raw Data'!$A$6:$A$3761,"*"&amp;$A138&amp;"*",'Diags Raw Data'!$AA$6:$AA$3761),SUMIF('Diags Raw Data'!$A$6:$A$3761,"*"&amp;$A138&amp;"*",'Diags Raw Data'!$AB$6:$AB$3761))</f>
        <v>0</v>
      </c>
      <c r="R138" s="475">
        <f t="shared" si="20"/>
        <v>0</v>
      </c>
      <c r="S138" s="475">
        <f t="shared" si="21"/>
        <v>0</v>
      </c>
      <c r="T138" s="476">
        <f t="shared" si="22"/>
        <v>0</v>
      </c>
      <c r="U138" s="425" t="e">
        <f>VLOOKUP(A138,'Diags Raw Data'!$A$6:$AH$3761,33,FALSE)</f>
        <v>#N/A</v>
      </c>
      <c r="V138" s="535" t="s">
        <v>413</v>
      </c>
    </row>
    <row r="139" spans="1:22" ht="30.75" thickBot="1" x14ac:dyDescent="0.3">
      <c r="A139" s="530">
        <v>12.285</v>
      </c>
      <c r="B139" s="427" t="str">
        <f>VLOOKUP(A139,'Feature Raw Data'!$A$3:$B$3922,2,FALSE)</f>
        <v>Remove BIG_PAGE control for UTC probing</v>
      </c>
      <c r="C139" s="428" t="str">
        <f>VLOOKUP(A139,'Feature Raw Data'!$A$3:$C$3922,3,FALSE)</f>
        <v>P2</v>
      </c>
      <c r="D139" s="429" t="str" cm="1">
        <f t="array" ref="D139">_xlfn.TEXTJOIN("",TRUE,IF(ISNUMBER(SEARCH($A139,'Diags Raw Data'!$A$6:$A$3761)),CONCATENATE('Diags Raw Data'!$H$6:$H$3761,", "),""))</f>
        <v/>
      </c>
      <c r="E139" s="340" t="e">
        <f>VLOOKUP(A139,'Diags Raw Data'!$A$6:$D$3761,4,FALSE)</f>
        <v>#N/A</v>
      </c>
      <c r="F139" s="340" t="str">
        <f>VLOOKUP(A139,'Feature Raw Data'!$A$3:$E$3922,5,FALSE)</f>
        <v>New</v>
      </c>
      <c r="G139" s="340" t="str">
        <f t="shared" si="17"/>
        <v>Yes</v>
      </c>
      <c r="H139" s="340" t="str">
        <f t="shared" si="18"/>
        <v>Yes</v>
      </c>
      <c r="I139" s="428">
        <f>SUMIF('Diags Raw Data'!$A$6:$A$3761,"*"&amp;$A139&amp;"*",'Diags Raw Data'!$K$6:$K$3761)</f>
        <v>0</v>
      </c>
      <c r="J139" s="430">
        <f>SUMIF('Diags Raw Data'!$A$6:$A$3761,"*"&amp;$A139&amp;"*",'Diags Raw Data'!$L$6:$L$3761)</f>
        <v>0</v>
      </c>
      <c r="K139" s="468" cm="1">
        <f t="array" ref="K139">IF(D139="",0, SUMPRODUCT(--(ISNUMBER(SEARCH($A139,'Diags Raw Data'!$A$6:$A$3761))),'Diags Raw Data'!$L$6:$L$3761,'Diags Raw Data'!$N$6:$N$3761)/J139)</f>
        <v>0</v>
      </c>
      <c r="L139" s="469" cm="1">
        <f t="array" ref="L139">IF(D139="",0, SUMPRODUCT(--(ISNUMBER(SEARCH($A139,'Diags Raw Data'!$A$6:$A$3761))),'Diags Raw Data'!$L$6:$L$3761,'Diags Raw Data'!$P$6:$P$3761)/J139)</f>
        <v>0</v>
      </c>
      <c r="M139" s="470" cm="1">
        <f t="array" ref="M139">SUMPRODUCT(--(ISNUMBER(SEARCH($A139,'Diags Raw Data'!$A$6:$A$3761))),--('Diags Raw Data'!$Q$6:$Q$3761&lt;&gt;"N/A"),'Diags Raw Data'!$R$6:$R$3761)</f>
        <v>0</v>
      </c>
      <c r="N139" s="471" cm="1">
        <f t="array" ref="N139">SUMPRODUCT(--(ISNUMBER(SEARCH($A139,'Diags Raw Data'!$A$6:$A$3761))),--('Diags Raw Data'!$Q$6:$Q$3761&lt;&gt;"N/A"),'Diags Raw Data'!$T$6:$T$3761)+SUMPRODUCT(--(ISNUMBER(SEARCH($A139,'Diags Raw Data'!$A$6:$A$3761))),--('Diags Raw Data'!$Q$6:$Q$3761&lt;&gt;"N/A"),'Diags Raw Data'!$U$6:$U$3761)</f>
        <v>0</v>
      </c>
      <c r="O139" s="472">
        <f t="shared" si="19"/>
        <v>0</v>
      </c>
      <c r="P139" s="473">
        <f>SUMIF('Diags Raw Data'!$A$6:$A$3761,"*"&amp;$A139&amp;"*",'Diags Raw Data'!$Z$6:$Z$3761)</f>
        <v>0</v>
      </c>
      <c r="Q139" s="474">
        <f>SUM(SUMIF('Diags Raw Data'!$A$6:$A$3761,"*"&amp;$A139&amp;"*",'Diags Raw Data'!$AA$6:$AA$3761),SUMIF('Diags Raw Data'!$A$6:$A$3761,"*"&amp;$A139&amp;"*",'Diags Raw Data'!$AB$6:$AB$3761))</f>
        <v>0</v>
      </c>
      <c r="R139" s="475">
        <f t="shared" si="20"/>
        <v>0</v>
      </c>
      <c r="S139" s="475">
        <f t="shared" si="21"/>
        <v>0</v>
      </c>
      <c r="T139" s="476">
        <f t="shared" si="22"/>
        <v>0</v>
      </c>
      <c r="U139" s="425" t="e">
        <f>VLOOKUP(A139,'Diags Raw Data'!$A$6:$AH$3761,33,FALSE)</f>
        <v>#N/A</v>
      </c>
      <c r="V139" s="535" t="s">
        <v>361</v>
      </c>
    </row>
    <row r="140" spans="1:22" ht="45.75" thickBot="1" x14ac:dyDescent="0.3">
      <c r="A140" s="530">
        <v>12.286</v>
      </c>
      <c r="B140" s="427" t="str">
        <f>VLOOKUP(A140,'Feature Raw Data'!$A$3:$B$3922,2,FALSE)</f>
        <v>Remove passthru_en/esgs_ring_itemsize/old gs fastlaunch</v>
      </c>
      <c r="C140" s="428" t="str">
        <f>VLOOKUP(A140,'Feature Raw Data'!$A$3:$C$3922,3,FALSE)</f>
        <v>P1</v>
      </c>
      <c r="D140" s="429" t="str" cm="1">
        <f t="array" ref="D140">_xlfn.TEXTJOIN("",TRUE,IF(ISNUMBER(SEARCH($A140,'Diags Raw Data'!$A$6:$A$3761)),CONCATENATE('Diags Raw Data'!$H$6:$H$3761,", "),""))</f>
        <v/>
      </c>
      <c r="E140" s="340" t="e">
        <f>VLOOKUP(A140,'Diags Raw Data'!$A$6:$D$3761,4,FALSE)</f>
        <v>#N/A</v>
      </c>
      <c r="F140" s="340" t="str">
        <f>VLOOKUP(A140,'Feature Raw Data'!$A$3:$E$3922,5,FALSE)</f>
        <v>New</v>
      </c>
      <c r="G140" s="340" t="str">
        <f t="shared" si="17"/>
        <v>Yes</v>
      </c>
      <c r="H140" s="340" t="str">
        <f t="shared" si="18"/>
        <v>Yes</v>
      </c>
      <c r="I140" s="428">
        <f>SUMIF('Diags Raw Data'!$A$6:$A$3761,"*"&amp;$A140&amp;"*",'Diags Raw Data'!$K$6:$K$3761)</f>
        <v>0</v>
      </c>
      <c r="J140" s="430">
        <f>SUMIF('Diags Raw Data'!$A$6:$A$3761,"*"&amp;$A140&amp;"*",'Diags Raw Data'!$L$6:$L$3761)</f>
        <v>0</v>
      </c>
      <c r="K140" s="468" cm="1">
        <f t="array" ref="K140">IF(D140="",0, SUMPRODUCT(--(ISNUMBER(SEARCH($A140,'Diags Raw Data'!$A$6:$A$3761))),'Diags Raw Data'!$L$6:$L$3761,'Diags Raw Data'!$N$6:$N$3761)/J140)</f>
        <v>0</v>
      </c>
      <c r="L140" s="469" cm="1">
        <f t="array" ref="L140">IF(D140="",0, SUMPRODUCT(--(ISNUMBER(SEARCH($A140,'Diags Raw Data'!$A$6:$A$3761))),'Diags Raw Data'!$L$6:$L$3761,'Diags Raw Data'!$P$6:$P$3761)/J140)</f>
        <v>0</v>
      </c>
      <c r="M140" s="470" cm="1">
        <f t="array" ref="M140">SUMPRODUCT(--(ISNUMBER(SEARCH($A140,'Diags Raw Data'!$A$6:$A$3761))),--('Diags Raw Data'!$Q$6:$Q$3761&lt;&gt;"N/A"),'Diags Raw Data'!$R$6:$R$3761)</f>
        <v>0</v>
      </c>
      <c r="N140" s="471" cm="1">
        <f t="array" ref="N140">SUMPRODUCT(--(ISNUMBER(SEARCH($A140,'Diags Raw Data'!$A$6:$A$3761))),--('Diags Raw Data'!$Q$6:$Q$3761&lt;&gt;"N/A"),'Diags Raw Data'!$T$6:$T$3761)+SUMPRODUCT(--(ISNUMBER(SEARCH($A140,'Diags Raw Data'!$A$6:$A$3761))),--('Diags Raw Data'!$Q$6:$Q$3761&lt;&gt;"N/A"),'Diags Raw Data'!$U$6:$U$3761)</f>
        <v>0</v>
      </c>
      <c r="O140" s="472">
        <f t="shared" si="19"/>
        <v>0</v>
      </c>
      <c r="P140" s="473">
        <f>SUMIF('Diags Raw Data'!$A$6:$A$3761,"*"&amp;$A140&amp;"*",'Diags Raw Data'!$Z$6:$Z$3761)</f>
        <v>0</v>
      </c>
      <c r="Q140" s="474">
        <f>SUM(SUMIF('Diags Raw Data'!$A$6:$A$3761,"*"&amp;$A140&amp;"*",'Diags Raw Data'!$AA$6:$AA$3761),SUMIF('Diags Raw Data'!$A$6:$A$3761,"*"&amp;$A140&amp;"*",'Diags Raw Data'!$AB$6:$AB$3761))</f>
        <v>0</v>
      </c>
      <c r="R140" s="475">
        <f t="shared" si="20"/>
        <v>0</v>
      </c>
      <c r="S140" s="475">
        <f t="shared" si="21"/>
        <v>0</v>
      </c>
      <c r="T140" s="476">
        <f t="shared" si="22"/>
        <v>0</v>
      </c>
      <c r="U140" s="425" t="e">
        <f>VLOOKUP(A140,'Diags Raw Data'!$A$6:$AH$3761,33,FALSE)</f>
        <v>#N/A</v>
      </c>
      <c r="V140" s="535" t="s">
        <v>361</v>
      </c>
    </row>
    <row r="141" spans="1:22" ht="15.75" thickBot="1" x14ac:dyDescent="0.3">
      <c r="A141" s="530">
        <v>12.287000000000001</v>
      </c>
      <c r="B141" s="427" t="str">
        <f>VLOOKUP(A141,'Feature Raw Data'!$A$3:$B$3922,2,FALSE)</f>
        <v>VRS removal in DCC</v>
      </c>
      <c r="C141" s="428" t="str">
        <f>VLOOKUP(A141,'Feature Raw Data'!$A$3:$C$3922,3,FALSE)</f>
        <v>P1</v>
      </c>
      <c r="D141" s="429" t="str" cm="1">
        <f t="array" ref="D141">_xlfn.TEXTJOIN("",TRUE,IF(ISNUMBER(SEARCH($A141,'Diags Raw Data'!$A$6:$A$3761)),CONCATENATE('Diags Raw Data'!$H$6:$H$3761,", "),""))</f>
        <v/>
      </c>
      <c r="E141" s="340" t="e">
        <f>VLOOKUP(A141,'Diags Raw Data'!$A$6:$D$3761,4,FALSE)</f>
        <v>#N/A</v>
      </c>
      <c r="F141" s="340" t="str">
        <f>VLOOKUP(A141,'Feature Raw Data'!$A$3:$E$3922,5,FALSE)</f>
        <v>New</v>
      </c>
      <c r="G141" s="340" t="str">
        <f t="shared" si="17"/>
        <v>Yes</v>
      </c>
      <c r="H141" s="340" t="str">
        <f t="shared" si="18"/>
        <v>Yes</v>
      </c>
      <c r="I141" s="428">
        <f>SUMIF('Diags Raw Data'!$A$6:$A$3761,"*"&amp;$A141&amp;"*",'Diags Raw Data'!$K$6:$K$3761)</f>
        <v>0</v>
      </c>
      <c r="J141" s="430">
        <f>SUMIF('Diags Raw Data'!$A$6:$A$3761,"*"&amp;$A141&amp;"*",'Diags Raw Data'!$L$6:$L$3761)</f>
        <v>0</v>
      </c>
      <c r="K141" s="468" cm="1">
        <f t="array" ref="K141">IF(D141="",0, SUMPRODUCT(--(ISNUMBER(SEARCH($A141,'Diags Raw Data'!$A$6:$A$3761))),'Diags Raw Data'!$L$6:$L$3761,'Diags Raw Data'!$N$6:$N$3761)/J141)</f>
        <v>0</v>
      </c>
      <c r="L141" s="469" cm="1">
        <f t="array" ref="L141">IF(D141="",0, SUMPRODUCT(--(ISNUMBER(SEARCH($A141,'Diags Raw Data'!$A$6:$A$3761))),'Diags Raw Data'!$L$6:$L$3761,'Diags Raw Data'!$P$6:$P$3761)/J141)</f>
        <v>0</v>
      </c>
      <c r="M141" s="470" cm="1">
        <f t="array" ref="M141">SUMPRODUCT(--(ISNUMBER(SEARCH($A141,'Diags Raw Data'!$A$6:$A$3761))),--('Diags Raw Data'!$Q$6:$Q$3761&lt;&gt;"N/A"),'Diags Raw Data'!$R$6:$R$3761)</f>
        <v>0</v>
      </c>
      <c r="N141" s="471" cm="1">
        <f t="array" ref="N141">SUMPRODUCT(--(ISNUMBER(SEARCH($A141,'Diags Raw Data'!$A$6:$A$3761))),--('Diags Raw Data'!$Q$6:$Q$3761&lt;&gt;"N/A"),'Diags Raw Data'!$T$6:$T$3761)+SUMPRODUCT(--(ISNUMBER(SEARCH($A141,'Diags Raw Data'!$A$6:$A$3761))),--('Diags Raw Data'!$Q$6:$Q$3761&lt;&gt;"N/A"),'Diags Raw Data'!$U$6:$U$3761)</f>
        <v>0</v>
      </c>
      <c r="O141" s="472">
        <f t="shared" si="19"/>
        <v>0</v>
      </c>
      <c r="P141" s="473">
        <f>SUMIF('Diags Raw Data'!$A$6:$A$3761,"*"&amp;$A141&amp;"*",'Diags Raw Data'!$Z$6:$Z$3761)</f>
        <v>0</v>
      </c>
      <c r="Q141" s="474">
        <f>SUM(SUMIF('Diags Raw Data'!$A$6:$A$3761,"*"&amp;$A141&amp;"*",'Diags Raw Data'!$AA$6:$AA$3761),SUMIF('Diags Raw Data'!$A$6:$A$3761,"*"&amp;$A141&amp;"*",'Diags Raw Data'!$AB$6:$AB$3761))</f>
        <v>0</v>
      </c>
      <c r="R141" s="475">
        <f t="shared" si="20"/>
        <v>0</v>
      </c>
      <c r="S141" s="475">
        <f t="shared" si="21"/>
        <v>0</v>
      </c>
      <c r="T141" s="476">
        <f t="shared" si="22"/>
        <v>0</v>
      </c>
      <c r="U141" s="425" t="e">
        <f>VLOOKUP(A141,'Diags Raw Data'!$A$6:$AH$3761,33,FALSE)</f>
        <v>#N/A</v>
      </c>
      <c r="V141" s="535" t="s">
        <v>361</v>
      </c>
    </row>
    <row r="142" spans="1:22" ht="45.75" thickBot="1" x14ac:dyDescent="0.3">
      <c r="A142" s="530">
        <v>12.291</v>
      </c>
      <c r="B142" s="427" t="str">
        <f>VLOOKUP(A142,'Feature Raw Data'!$A$3:$B$3922,2,FALSE)</f>
        <v>Remove F32 from CPG and CPC; No BC support in PM4 parsers</v>
      </c>
      <c r="C142" s="428" t="str">
        <f>VLOOKUP(A142,'Feature Raw Data'!$A$3:$C$3922,3,FALSE)</f>
        <v>P2</v>
      </c>
      <c r="D142" s="429" t="str" cm="1">
        <f t="array" ref="D142">_xlfn.TEXTJOIN("",TRUE,IF(ISNUMBER(SEARCH($A142,'Diags Raw Data'!$A$6:$A$3761)),CONCATENATE('Diags Raw Data'!$H$6:$H$3761,", "),""))</f>
        <v/>
      </c>
      <c r="E142" s="340" t="e">
        <f>VLOOKUP(A142,'Diags Raw Data'!$A$6:$D$3761,4,FALSE)</f>
        <v>#N/A</v>
      </c>
      <c r="F142" s="340" t="str">
        <f>VLOOKUP(A142,'Feature Raw Data'!$A$3:$E$3922,5,FALSE)</f>
        <v>New</v>
      </c>
      <c r="G142" s="340" t="str">
        <f t="shared" si="17"/>
        <v>Yes</v>
      </c>
      <c r="H142" s="340" t="str">
        <f t="shared" si="18"/>
        <v>Yes</v>
      </c>
      <c r="I142" s="428">
        <f>SUMIF('Diags Raw Data'!$A$6:$A$3761,"*"&amp;$A142&amp;"*",'Diags Raw Data'!$K$6:$K$3761)</f>
        <v>0</v>
      </c>
      <c r="J142" s="430">
        <f>SUMIF('Diags Raw Data'!$A$6:$A$3761,"*"&amp;$A142&amp;"*",'Diags Raw Data'!$L$6:$L$3761)</f>
        <v>0</v>
      </c>
      <c r="K142" s="468" cm="1">
        <f t="array" ref="K142">IF(D142="",0, SUMPRODUCT(--(ISNUMBER(SEARCH($A142,'Diags Raw Data'!$A$6:$A$3761))),'Diags Raw Data'!$L$6:$L$3761,'Diags Raw Data'!$N$6:$N$3761)/J142)</f>
        <v>0</v>
      </c>
      <c r="L142" s="469" cm="1">
        <f t="array" ref="L142">IF(D142="",0, SUMPRODUCT(--(ISNUMBER(SEARCH($A142,'Diags Raw Data'!$A$6:$A$3761))),'Diags Raw Data'!$L$6:$L$3761,'Diags Raw Data'!$P$6:$P$3761)/J142)</f>
        <v>0</v>
      </c>
      <c r="M142" s="470" cm="1">
        <f t="array" ref="M142">SUMPRODUCT(--(ISNUMBER(SEARCH($A142,'Diags Raw Data'!$A$6:$A$3761))),--('Diags Raw Data'!$Q$6:$Q$3761&lt;&gt;"N/A"),'Diags Raw Data'!$R$6:$R$3761)</f>
        <v>0</v>
      </c>
      <c r="N142" s="471" cm="1">
        <f t="array" ref="N142">SUMPRODUCT(--(ISNUMBER(SEARCH($A142,'Diags Raw Data'!$A$6:$A$3761))),--('Diags Raw Data'!$Q$6:$Q$3761&lt;&gt;"N/A"),'Diags Raw Data'!$T$6:$T$3761)+SUMPRODUCT(--(ISNUMBER(SEARCH($A142,'Diags Raw Data'!$A$6:$A$3761))),--('Diags Raw Data'!$Q$6:$Q$3761&lt;&gt;"N/A"),'Diags Raw Data'!$U$6:$U$3761)</f>
        <v>0</v>
      </c>
      <c r="O142" s="472">
        <f t="shared" si="19"/>
        <v>0</v>
      </c>
      <c r="P142" s="473">
        <f>SUMIF('Diags Raw Data'!$A$6:$A$3761,"*"&amp;$A142&amp;"*",'Diags Raw Data'!$Z$6:$Z$3761)</f>
        <v>0</v>
      </c>
      <c r="Q142" s="474">
        <f>SUM(SUMIF('Diags Raw Data'!$A$6:$A$3761,"*"&amp;$A142&amp;"*",'Diags Raw Data'!$AA$6:$AA$3761),SUMIF('Diags Raw Data'!$A$6:$A$3761,"*"&amp;$A142&amp;"*",'Diags Raw Data'!$AB$6:$AB$3761))</f>
        <v>0</v>
      </c>
      <c r="R142" s="475">
        <f t="shared" si="20"/>
        <v>0</v>
      </c>
      <c r="S142" s="475">
        <f t="shared" si="21"/>
        <v>0</v>
      </c>
      <c r="T142" s="476">
        <f t="shared" si="22"/>
        <v>0</v>
      </c>
      <c r="U142" s="425" t="e">
        <f>VLOOKUP(A142,'Diags Raw Data'!$A$6:$AH$3761,33,FALSE)</f>
        <v>#N/A</v>
      </c>
      <c r="V142" s="535" t="s">
        <v>361</v>
      </c>
    </row>
    <row r="143" spans="1:22" ht="30.75" thickBot="1" x14ac:dyDescent="0.3">
      <c r="A143" s="530">
        <v>12.292</v>
      </c>
      <c r="B143" s="427" t="str">
        <f>VLOOKUP(A143,'Feature Raw Data'!$A$3:$B$3922,2,FALSE)</f>
        <v>move offchip lds manager to GE</v>
      </c>
      <c r="C143" s="428" t="str">
        <f>VLOOKUP(A143,'Feature Raw Data'!$A$3:$C$3922,3,FALSE)</f>
        <v>P1</v>
      </c>
      <c r="D143" s="429" t="str" cm="1">
        <f t="array" ref="D143">_xlfn.TEXTJOIN("",TRUE,IF(ISNUMBER(SEARCH($A143,'Diags Raw Data'!$A$6:$A$3761)),CONCATENATE('Diags Raw Data'!$H$6:$H$3761,", "),""))</f>
        <v xml:space="preserve">ge3.0,std4.34, </v>
      </c>
      <c r="E143" s="340" t="str">
        <f>VLOOKUP(A143,'Diags Raw Data'!$A$6:$D$3761,4,FALSE)</f>
        <v>GEO</v>
      </c>
      <c r="F143" s="340" t="str">
        <f>VLOOKUP(A143,'Feature Raw Data'!$A$3:$E$3922,5,FALSE)</f>
        <v>New</v>
      </c>
      <c r="G143" s="340" t="str">
        <f t="shared" si="17"/>
        <v>Yes</v>
      </c>
      <c r="H143" s="340" t="str">
        <f t="shared" si="18"/>
        <v>Yes</v>
      </c>
      <c r="I143" s="428">
        <f>SUMIF('Diags Raw Data'!$A$6:$A$3761,"*"&amp;$A143&amp;"*",'Diags Raw Data'!$K$6:$K$3761)</f>
        <v>0</v>
      </c>
      <c r="J143" s="430">
        <f>SUMIF('Diags Raw Data'!$A$6:$A$3761,"*"&amp;$A143&amp;"*",'Diags Raw Data'!$L$6:$L$3761)</f>
        <v>0</v>
      </c>
      <c r="K143" s="468" t="e" cm="1">
        <f t="array" ref="K143">IF(D143="",0, SUMPRODUCT(--(ISNUMBER(SEARCH($A143,'Diags Raw Data'!$A$6:$A$3761))),'Diags Raw Data'!$L$6:$L$3761,'Diags Raw Data'!$N$6:$N$3761)/J143)</f>
        <v>#DIV/0!</v>
      </c>
      <c r="L143" s="469" t="e" cm="1">
        <f t="array" ref="L143">IF(D143="",0, SUMPRODUCT(--(ISNUMBER(SEARCH($A143,'Diags Raw Data'!$A$6:$A$3761))),'Diags Raw Data'!$L$6:$L$3761,'Diags Raw Data'!$P$6:$P$3761)/J143)</f>
        <v>#DIV/0!</v>
      </c>
      <c r="M143" s="470" cm="1">
        <f t="array" ref="M143">SUMPRODUCT(--(ISNUMBER(SEARCH($A143,'Diags Raw Data'!$A$6:$A$3761))),--('Diags Raw Data'!$Q$6:$Q$3761&lt;&gt;"N/A"),'Diags Raw Data'!$R$6:$R$3761)</f>
        <v>2</v>
      </c>
      <c r="N143" s="471" cm="1">
        <f t="array" ref="N143">SUMPRODUCT(--(ISNUMBER(SEARCH($A143,'Diags Raw Data'!$A$6:$A$3761))),--('Diags Raw Data'!$Q$6:$Q$3761&lt;&gt;"N/A"),'Diags Raw Data'!$T$6:$T$3761)+SUMPRODUCT(--(ISNUMBER(SEARCH($A143,'Diags Raw Data'!$A$6:$A$3761))),--('Diags Raw Data'!$Q$6:$Q$3761&lt;&gt;"N/A"),'Diags Raw Data'!$U$6:$U$3761)</f>
        <v>1</v>
      </c>
      <c r="O143" s="472">
        <f t="shared" si="19"/>
        <v>0.5</v>
      </c>
      <c r="P143" s="473">
        <f>SUMIF('Diags Raw Data'!$A$6:$A$3761,"*"&amp;$A143&amp;"*",'Diags Raw Data'!$Z$6:$Z$3761)</f>
        <v>0</v>
      </c>
      <c r="Q143" s="474">
        <f>SUM(SUMIF('Diags Raw Data'!$A$6:$A$3761,"*"&amp;$A143&amp;"*",'Diags Raw Data'!$AA$6:$AA$3761),SUMIF('Diags Raw Data'!$A$6:$A$3761,"*"&amp;$A143&amp;"*",'Diags Raw Data'!$AB$6:$AB$3761))</f>
        <v>0</v>
      </c>
      <c r="R143" s="475">
        <f t="shared" si="20"/>
        <v>0</v>
      </c>
      <c r="S143" s="475">
        <f t="shared" si="21"/>
        <v>0</v>
      </c>
      <c r="T143" s="476">
        <f t="shared" si="22"/>
        <v>0</v>
      </c>
      <c r="U143" s="425" t="str">
        <f>VLOOKUP(A143,'Diags Raw Data'!$A$6:$AH$3761,33,FALSE)</f>
        <v>WK5</v>
      </c>
      <c r="V143" s="181"/>
    </row>
    <row r="144" spans="1:22" ht="30.75" thickBot="1" x14ac:dyDescent="0.3">
      <c r="A144" s="530">
        <v>12.294</v>
      </c>
      <c r="B144" s="427" t="str">
        <f>VLOOKUP(A144,'Feature Raw Data'!$A$3:$B$3922,2,FALSE)</f>
        <v>Improve SPI work limiting controls (spi_work_limit_ctrl)</v>
      </c>
      <c r="C144" s="428" t="str">
        <f>VLOOKUP(A144,'Feature Raw Data'!$A$3:$C$3922,3,FALSE)</f>
        <v>P1</v>
      </c>
      <c r="D144" s="429" t="str" cm="1">
        <f t="array" ref="D144">_xlfn.TEXTJOIN("",TRUE,IF(ISNUMBER(SEARCH($A144,'Diags Raw Data'!$A$6:$A$3761)),CONCATENATE('Diags Raw Data'!$H$6:$H$3761,", "),""))</f>
        <v xml:space="preserve">spi2940,spi2941, </v>
      </c>
      <c r="E144" s="340" t="str">
        <f>VLOOKUP(A144,'Diags Raw Data'!$A$6:$D$3761,4,FALSE)</f>
        <v>SIO</v>
      </c>
      <c r="F144" s="340" t="str">
        <f>VLOOKUP(A144,'Feature Raw Data'!$A$3:$E$3922,5,FALSE)</f>
        <v>New</v>
      </c>
      <c r="G144" s="340" t="str">
        <f t="shared" si="17"/>
        <v>Yes</v>
      </c>
      <c r="H144" s="340" t="str">
        <f t="shared" si="18"/>
        <v>Yes</v>
      </c>
      <c r="I144" s="428">
        <f>SUMIF('Diags Raw Data'!$A$6:$A$3761,"*"&amp;$A144&amp;"*",'Diags Raw Data'!$K$6:$K$3761)</f>
        <v>0</v>
      </c>
      <c r="J144" s="430">
        <f>SUMIF('Diags Raw Data'!$A$6:$A$3761,"*"&amp;$A144&amp;"*",'Diags Raw Data'!$L$6:$L$3761)</f>
        <v>0</v>
      </c>
      <c r="K144" s="468" t="e" cm="1">
        <f t="array" ref="K144">IF(D144="",0, SUMPRODUCT(--(ISNUMBER(SEARCH($A144,'Diags Raw Data'!$A$6:$A$3761))),'Diags Raw Data'!$L$6:$L$3761,'Diags Raw Data'!$N$6:$N$3761)/J144)</f>
        <v>#DIV/0!</v>
      </c>
      <c r="L144" s="469" t="e" cm="1">
        <f t="array" ref="L144">IF(D144="",0, SUMPRODUCT(--(ISNUMBER(SEARCH($A144,'Diags Raw Data'!$A$6:$A$3761))),'Diags Raw Data'!$L$6:$L$3761,'Diags Raw Data'!$P$6:$P$3761)/J144)</f>
        <v>#DIV/0!</v>
      </c>
      <c r="M144" s="470" cm="1">
        <f t="array" ref="M144">SUMPRODUCT(--(ISNUMBER(SEARCH($A144,'Diags Raw Data'!$A$6:$A$3761))),--('Diags Raw Data'!$Q$6:$Q$3761&lt;&gt;"N/A"),'Diags Raw Data'!$R$6:$R$3761)</f>
        <v>2</v>
      </c>
      <c r="N144" s="471" cm="1">
        <f t="array" ref="N144">SUMPRODUCT(--(ISNUMBER(SEARCH($A144,'Diags Raw Data'!$A$6:$A$3761))),--('Diags Raw Data'!$Q$6:$Q$3761&lt;&gt;"N/A"),'Diags Raw Data'!$T$6:$T$3761)+SUMPRODUCT(--(ISNUMBER(SEARCH($A144,'Diags Raw Data'!$A$6:$A$3761))),--('Diags Raw Data'!$Q$6:$Q$3761&lt;&gt;"N/A"),'Diags Raw Data'!$U$6:$U$3761)</f>
        <v>2</v>
      </c>
      <c r="O144" s="472">
        <f t="shared" si="19"/>
        <v>1</v>
      </c>
      <c r="P144" s="473">
        <f>SUMIF('Diags Raw Data'!$A$6:$A$3761,"*"&amp;$A144&amp;"*",'Diags Raw Data'!$Z$6:$Z$3761)</f>
        <v>0</v>
      </c>
      <c r="Q144" s="474">
        <f>SUM(SUMIF('Diags Raw Data'!$A$6:$A$3761,"*"&amp;$A144&amp;"*",'Diags Raw Data'!$AA$6:$AA$3761),SUMIF('Diags Raw Data'!$A$6:$A$3761,"*"&amp;$A144&amp;"*",'Diags Raw Data'!$AB$6:$AB$3761))</f>
        <v>0</v>
      </c>
      <c r="R144" s="475">
        <f t="shared" si="20"/>
        <v>0</v>
      </c>
      <c r="S144" s="475">
        <f t="shared" si="21"/>
        <v>0</v>
      </c>
      <c r="T144" s="476">
        <f t="shared" si="22"/>
        <v>0</v>
      </c>
      <c r="U144" s="425" t="str">
        <f>VLOOKUP(A144,'Diags Raw Data'!$A$6:$AH$3761,33,FALSE)</f>
        <v>WK4</v>
      </c>
      <c r="V144" s="181"/>
    </row>
    <row r="145" spans="1:22" ht="60.75" thickBot="1" x14ac:dyDescent="0.3">
      <c r="A145" s="530">
        <v>12.298999999999999</v>
      </c>
      <c r="B145" s="427" t="str">
        <f>VLOOKUP(A145,'Feature Raw Data'!$A$3:$B$3922,2,FALSE)</f>
        <v>[Navi4x] Move RTAVFS/DLDO/DFLL initialization to after CP is running workloads</v>
      </c>
      <c r="C145" s="428" t="str">
        <f>VLOOKUP(A145,'Feature Raw Data'!$A$3:$C$3922,3,FALSE)</f>
        <v>P2</v>
      </c>
      <c r="D145" s="429" t="str" cm="1">
        <f t="array" ref="D145">_xlfn.TEXTJOIN("",TRUE,IF(ISNUMBER(SEARCH($A145,'Diags Raw Data'!$A$6:$A$3761)),CONCATENATE('Diags Raw Data'!$H$6:$H$3761,", "),""))</f>
        <v/>
      </c>
      <c r="E145" s="340" t="e">
        <f>VLOOKUP(A145,'Diags Raw Data'!$A$6:$D$3761,4,FALSE)</f>
        <v>#N/A</v>
      </c>
      <c r="F145" s="340" t="str">
        <f>VLOOKUP(A145,'Feature Raw Data'!$A$3:$E$3922,5,FALSE)</f>
        <v>New</v>
      </c>
      <c r="G145" s="340" t="str">
        <f t="shared" si="17"/>
        <v>Yes</v>
      </c>
      <c r="H145" s="340" t="str">
        <f t="shared" si="18"/>
        <v>Yes</v>
      </c>
      <c r="I145" s="428">
        <f>SUMIF('Diags Raw Data'!$A$6:$A$3761,"*"&amp;$A145&amp;"*",'Diags Raw Data'!$K$6:$K$3761)</f>
        <v>0</v>
      </c>
      <c r="J145" s="430">
        <f>SUMIF('Diags Raw Data'!$A$6:$A$3761,"*"&amp;$A145&amp;"*",'Diags Raw Data'!$L$6:$L$3761)</f>
        <v>0</v>
      </c>
      <c r="K145" s="468" cm="1">
        <f t="array" ref="K145">IF(D145="",0, SUMPRODUCT(--(ISNUMBER(SEARCH($A145,'Diags Raw Data'!$A$6:$A$3761))),'Diags Raw Data'!$L$6:$L$3761,'Diags Raw Data'!$N$6:$N$3761)/J145)</f>
        <v>0</v>
      </c>
      <c r="L145" s="469" cm="1">
        <f t="array" ref="L145">IF(D145="",0, SUMPRODUCT(--(ISNUMBER(SEARCH($A145,'Diags Raw Data'!$A$6:$A$3761))),'Diags Raw Data'!$L$6:$L$3761,'Diags Raw Data'!$P$6:$P$3761)/J145)</f>
        <v>0</v>
      </c>
      <c r="M145" s="470" cm="1">
        <f t="array" ref="M145">SUMPRODUCT(--(ISNUMBER(SEARCH($A145,'Diags Raw Data'!$A$6:$A$3761))),--('Diags Raw Data'!$Q$6:$Q$3761&lt;&gt;"N/A"),'Diags Raw Data'!$R$6:$R$3761)</f>
        <v>0</v>
      </c>
      <c r="N145" s="471" cm="1">
        <f t="array" ref="N145">SUMPRODUCT(--(ISNUMBER(SEARCH($A145,'Diags Raw Data'!$A$6:$A$3761))),--('Diags Raw Data'!$Q$6:$Q$3761&lt;&gt;"N/A"),'Diags Raw Data'!$T$6:$T$3761)+SUMPRODUCT(--(ISNUMBER(SEARCH($A145,'Diags Raw Data'!$A$6:$A$3761))),--('Diags Raw Data'!$Q$6:$Q$3761&lt;&gt;"N/A"),'Diags Raw Data'!$U$6:$U$3761)</f>
        <v>0</v>
      </c>
      <c r="O145" s="472">
        <f t="shared" si="19"/>
        <v>0</v>
      </c>
      <c r="P145" s="473">
        <f>SUMIF('Diags Raw Data'!$A$6:$A$3761,"*"&amp;$A145&amp;"*",'Diags Raw Data'!$Z$6:$Z$3761)</f>
        <v>0</v>
      </c>
      <c r="Q145" s="474">
        <f>SUM(SUMIF('Diags Raw Data'!$A$6:$A$3761,"*"&amp;$A145&amp;"*",'Diags Raw Data'!$AA$6:$AA$3761),SUMIF('Diags Raw Data'!$A$6:$A$3761,"*"&amp;$A145&amp;"*",'Diags Raw Data'!$AB$6:$AB$3761))</f>
        <v>0</v>
      </c>
      <c r="R145" s="475">
        <f t="shared" si="20"/>
        <v>0</v>
      </c>
      <c r="S145" s="475">
        <f t="shared" si="21"/>
        <v>0</v>
      </c>
      <c r="T145" s="476">
        <f t="shared" si="22"/>
        <v>0</v>
      </c>
      <c r="U145" s="425" t="e">
        <f>VLOOKUP(A145,'Diags Raw Data'!$A$6:$AH$3761,33,FALSE)</f>
        <v>#N/A</v>
      </c>
      <c r="V145" s="181"/>
    </row>
    <row r="146" spans="1:22" ht="255.75" thickBot="1" x14ac:dyDescent="0.3">
      <c r="A146" s="530">
        <v>12.3</v>
      </c>
      <c r="B146" s="427" t="str">
        <f>VLOOKUP(A146,'Feature Raw Data'!$A$3:$B$3922,2,FALSE)</f>
        <v>[Navi4x] SDMA ucode caching</v>
      </c>
      <c r="C146" s="428" t="str">
        <f>VLOOKUP(A146,'Feature Raw Data'!$A$3:$C$3922,3,FALSE)</f>
        <v>P2</v>
      </c>
      <c r="D146" s="429" t="str" cm="1">
        <f t="array" ref="D146">_xlfn.TEXTJOIN("",TRUE,IF(ISNUMBER(SEARCH($A146,'Diags Raw Data'!$A$6:$A$3761)),CONCATENATE('Diags Raw Data'!$H$6:$H$3761,", "),""))</f>
        <v xml:space="preserve">placeholder_s.1, placeholder_h.1, gfx.ieee_min_max, glxi29.8, gfx.cmm_sax_utcl0_invalidation_monolithic/utcl0_enable, STD1.6,GCI30.3, placeholder_t.1, GCI28.3, std1.6,with,tgre,spm,&amp;,sqtt, glxi86.1-2, std1.6,with,tgre,spm,cp,test,with,spm, rlc1.0, std1.1,with,legacy,pv_proxy, rlc1.0,rlc1.1, gfx.inst_perf/global_load_tr.*, shci2039.4,shci2039.5, gfx.inst_perf/v_dual_mov_b32, std1.6,2.6,3.6,4.6, </v>
      </c>
      <c r="E146" s="340" t="e">
        <f>VLOOKUP(A146,'Diags Raw Data'!$A$6:$D$3761,4,FALSE)</f>
        <v>#N/A</v>
      </c>
      <c r="F146" s="340" t="str">
        <f>VLOOKUP(A146,'Feature Raw Data'!$A$3:$E$3922,5,FALSE)</f>
        <v>New</v>
      </c>
      <c r="G146" s="340" t="str">
        <f t="shared" si="17"/>
        <v>Yes</v>
      </c>
      <c r="H146" s="340" t="str">
        <f t="shared" si="18"/>
        <v>Yes</v>
      </c>
      <c r="I146" s="428">
        <f>SUMIF('Diags Raw Data'!$A$6:$A$3761,"*"&amp;$A146&amp;"*",'Diags Raw Data'!$K$6:$K$3761)</f>
        <v>0</v>
      </c>
      <c r="J146" s="430">
        <f>SUMIF('Diags Raw Data'!$A$6:$A$3761,"*"&amp;$A146&amp;"*",'Diags Raw Data'!$L$6:$L$3761)</f>
        <v>0</v>
      </c>
      <c r="K146" s="468" t="e" cm="1">
        <f t="array" ref="K146">IF(D146="",0, SUMPRODUCT(--(ISNUMBER(SEARCH($A146,'Diags Raw Data'!$A$6:$A$3761))),'Diags Raw Data'!$L$6:$L$3761,'Diags Raw Data'!$N$6:$N$3761)/J146)</f>
        <v>#DIV/0!</v>
      </c>
      <c r="L146" s="469" t="e" cm="1">
        <f t="array" ref="L146">IF(D146="",0, SUMPRODUCT(--(ISNUMBER(SEARCH($A146,'Diags Raw Data'!$A$6:$A$3761))),'Diags Raw Data'!$L$6:$L$3761,'Diags Raw Data'!$P$6:$P$3761)/J146)</f>
        <v>#DIV/0!</v>
      </c>
      <c r="M146" s="470" cm="1">
        <f t="array" ref="M146">SUMPRODUCT(--(ISNUMBER(SEARCH($A146,'Diags Raw Data'!$A$6:$A$3761))),--('Diags Raw Data'!$Q$6:$Q$3761&lt;&gt;"N/A"),'Diags Raw Data'!$R$6:$R$3761)</f>
        <v>26</v>
      </c>
      <c r="N146" s="471" cm="1">
        <f t="array" ref="N146">SUMPRODUCT(--(ISNUMBER(SEARCH($A146,'Diags Raw Data'!$A$6:$A$3761))),--('Diags Raw Data'!$Q$6:$Q$3761&lt;&gt;"N/A"),'Diags Raw Data'!$T$6:$T$3761)+SUMPRODUCT(--(ISNUMBER(SEARCH($A146,'Diags Raw Data'!$A$6:$A$3761))),--('Diags Raw Data'!$Q$6:$Q$3761&lt;&gt;"N/A"),'Diags Raw Data'!$U$6:$U$3761)</f>
        <v>17</v>
      </c>
      <c r="O146" s="472">
        <f t="shared" si="19"/>
        <v>0.65384615384615385</v>
      </c>
      <c r="P146" s="473">
        <f>SUMIF('Diags Raw Data'!$A$6:$A$3761,"*"&amp;$A146&amp;"*",'Diags Raw Data'!$Z$6:$Z$3761)</f>
        <v>0</v>
      </c>
      <c r="Q146" s="474">
        <f>SUM(SUMIF('Diags Raw Data'!$A$6:$A$3761,"*"&amp;$A146&amp;"*",'Diags Raw Data'!$AA$6:$AA$3761),SUMIF('Diags Raw Data'!$A$6:$A$3761,"*"&amp;$A146&amp;"*",'Diags Raw Data'!$AB$6:$AB$3761))</f>
        <v>0</v>
      </c>
      <c r="R146" s="475">
        <f t="shared" si="20"/>
        <v>0</v>
      </c>
      <c r="S146" s="475">
        <f t="shared" si="21"/>
        <v>0</v>
      </c>
      <c r="T146" s="476">
        <f t="shared" si="22"/>
        <v>0</v>
      </c>
      <c r="U146" s="425" t="e">
        <f>VLOOKUP(A146,'Diags Raw Data'!$A$6:$AH$3761,33,FALSE)</f>
        <v>#N/A</v>
      </c>
      <c r="V146" s="181"/>
    </row>
    <row r="147" spans="1:22" ht="45.75" thickBot="1" x14ac:dyDescent="0.3">
      <c r="A147" s="530">
        <v>12.301</v>
      </c>
      <c r="B147" s="427" t="str">
        <f>VLOOKUP(A147,'Feature Raw Data'!$A$3:$B$3922,2,FALSE)</f>
        <v>[Navi4x] CP ucode firmware execution speed-up via cache priming</v>
      </c>
      <c r="C147" s="428" t="str">
        <f>VLOOKUP(A147,'Feature Raw Data'!$A$3:$C$3922,3,FALSE)</f>
        <v>P2</v>
      </c>
      <c r="D147" s="429" t="str" cm="1">
        <f t="array" ref="D147">_xlfn.TEXTJOIN("",TRUE,IF(ISNUMBER(SEARCH($A147,'Diags Raw Data'!$A$6:$A$3761)),CONCATENATE('Diags Raw Data'!$H$6:$H$3761,", "),""))</f>
        <v xml:space="preserve">placeholder_s.1, </v>
      </c>
      <c r="E147" s="340" t="str">
        <f>VLOOKUP(A147,'Diags Raw Data'!$A$6:$D$3761,4,FALSE)</f>
        <v>CTL</v>
      </c>
      <c r="F147" s="340" t="str">
        <f>VLOOKUP(A147,'Feature Raw Data'!$A$3:$E$3922,5,FALSE)</f>
        <v>New</v>
      </c>
      <c r="G147" s="340" t="str">
        <f t="shared" si="17"/>
        <v>Yes</v>
      </c>
      <c r="H147" s="340" t="str">
        <f t="shared" si="18"/>
        <v>Yes</v>
      </c>
      <c r="I147" s="428">
        <f>SUMIF('Diags Raw Data'!$A$6:$A$3761,"*"&amp;$A147&amp;"*",'Diags Raw Data'!$K$6:$K$3761)</f>
        <v>0</v>
      </c>
      <c r="J147" s="430">
        <f>SUMIF('Diags Raw Data'!$A$6:$A$3761,"*"&amp;$A147&amp;"*",'Diags Raw Data'!$L$6:$L$3761)</f>
        <v>0</v>
      </c>
      <c r="K147" s="468" t="e" cm="1">
        <f t="array" ref="K147">IF(D147="",0, SUMPRODUCT(--(ISNUMBER(SEARCH($A147,'Diags Raw Data'!$A$6:$A$3761))),'Diags Raw Data'!$L$6:$L$3761,'Diags Raw Data'!$N$6:$N$3761)/J147)</f>
        <v>#DIV/0!</v>
      </c>
      <c r="L147" s="469" t="e" cm="1">
        <f t="array" ref="L147">IF(D147="",0, SUMPRODUCT(--(ISNUMBER(SEARCH($A147,'Diags Raw Data'!$A$6:$A$3761))),'Diags Raw Data'!$L$6:$L$3761,'Diags Raw Data'!$P$6:$P$3761)/J147)</f>
        <v>#DIV/0!</v>
      </c>
      <c r="M147" s="470" cm="1">
        <f t="array" ref="M147">SUMPRODUCT(--(ISNUMBER(SEARCH($A147,'Diags Raw Data'!$A$6:$A$3761))),--('Diags Raw Data'!$Q$6:$Q$3761&lt;&gt;"N/A"),'Diags Raw Data'!$R$6:$R$3761)</f>
        <v>1</v>
      </c>
      <c r="N147" s="471" cm="1">
        <f t="array" ref="N147">SUMPRODUCT(--(ISNUMBER(SEARCH($A147,'Diags Raw Data'!$A$6:$A$3761))),--('Diags Raw Data'!$Q$6:$Q$3761&lt;&gt;"N/A"),'Diags Raw Data'!$T$6:$T$3761)+SUMPRODUCT(--(ISNUMBER(SEARCH($A147,'Diags Raw Data'!$A$6:$A$3761))),--('Diags Raw Data'!$Q$6:$Q$3761&lt;&gt;"N/A"),'Diags Raw Data'!$U$6:$U$3761)</f>
        <v>0</v>
      </c>
      <c r="O147" s="472">
        <f t="shared" si="19"/>
        <v>0</v>
      </c>
      <c r="P147" s="473">
        <f>SUMIF('Diags Raw Data'!$A$6:$A$3761,"*"&amp;$A147&amp;"*",'Diags Raw Data'!$Z$6:$Z$3761)</f>
        <v>0</v>
      </c>
      <c r="Q147" s="474">
        <f>SUM(SUMIF('Diags Raw Data'!$A$6:$A$3761,"*"&amp;$A147&amp;"*",'Diags Raw Data'!$AA$6:$AA$3761),SUMIF('Diags Raw Data'!$A$6:$A$3761,"*"&amp;$A147&amp;"*",'Diags Raw Data'!$AB$6:$AB$3761))</f>
        <v>0</v>
      </c>
      <c r="R147" s="475">
        <f t="shared" si="20"/>
        <v>0</v>
      </c>
      <c r="S147" s="475">
        <f t="shared" si="21"/>
        <v>0</v>
      </c>
      <c r="T147" s="476">
        <f t="shared" si="22"/>
        <v>0</v>
      </c>
      <c r="U147" s="425" t="str">
        <f>VLOOKUP(A147,'Diags Raw Data'!$A$6:$AH$3761,33,FALSE)</f>
        <v>WK7</v>
      </c>
      <c r="V147" s="181"/>
    </row>
    <row r="148" spans="1:22" ht="60.75" thickBot="1" x14ac:dyDescent="0.3">
      <c r="A148" s="530">
        <v>12.302</v>
      </c>
      <c r="B148" s="427" t="str">
        <f>VLOOKUP(A148,'Feature Raw Data'!$A$3:$B$3922,2,FALSE)</f>
        <v>[Navi4x] Remove SDMA load/run commands or disallow DRAM access allowed for load/run commands</v>
      </c>
      <c r="C148" s="428" t="str">
        <f>VLOOKUP(A148,'Feature Raw Data'!$A$3:$C$3922,3,FALSE)</f>
        <v>P2</v>
      </c>
      <c r="D148" s="429" t="str" cm="1">
        <f t="array" ref="D148">_xlfn.TEXTJOIN("",TRUE,IF(ISNUMBER(SEARCH($A148,'Diags Raw Data'!$A$6:$A$3761)),CONCATENATE('Diags Raw Data'!$H$6:$H$3761,", "),""))</f>
        <v/>
      </c>
      <c r="E148" s="340" t="e">
        <f>VLOOKUP(A148,'Diags Raw Data'!$A$6:$D$3761,4,FALSE)</f>
        <v>#N/A</v>
      </c>
      <c r="F148" s="340" t="str">
        <f>VLOOKUP(A148,'Feature Raw Data'!$A$3:$E$3922,5,FALSE)</f>
        <v>New</v>
      </c>
      <c r="G148" s="340" t="str">
        <f t="shared" si="17"/>
        <v>Yes</v>
      </c>
      <c r="H148" s="340" t="str">
        <f t="shared" si="18"/>
        <v>Yes</v>
      </c>
      <c r="I148" s="428">
        <f>SUMIF('Diags Raw Data'!$A$6:$A$3761,"*"&amp;$A148&amp;"*",'Diags Raw Data'!$K$6:$K$3761)</f>
        <v>0</v>
      </c>
      <c r="J148" s="430">
        <f>SUMIF('Diags Raw Data'!$A$6:$A$3761,"*"&amp;$A148&amp;"*",'Diags Raw Data'!$L$6:$L$3761)</f>
        <v>0</v>
      </c>
      <c r="K148" s="468" cm="1">
        <f t="array" ref="K148">IF(D148="",0, SUMPRODUCT(--(ISNUMBER(SEARCH($A148,'Diags Raw Data'!$A$6:$A$3761))),'Diags Raw Data'!$L$6:$L$3761,'Diags Raw Data'!$N$6:$N$3761)/J148)</f>
        <v>0</v>
      </c>
      <c r="L148" s="469" cm="1">
        <f t="array" ref="L148">IF(D148="",0, SUMPRODUCT(--(ISNUMBER(SEARCH($A148,'Diags Raw Data'!$A$6:$A$3761))),'Diags Raw Data'!$L$6:$L$3761,'Diags Raw Data'!$P$6:$P$3761)/J148)</f>
        <v>0</v>
      </c>
      <c r="M148" s="470" cm="1">
        <f t="array" ref="M148">SUMPRODUCT(--(ISNUMBER(SEARCH($A148,'Diags Raw Data'!$A$6:$A$3761))),--('Diags Raw Data'!$Q$6:$Q$3761&lt;&gt;"N/A"),'Diags Raw Data'!$R$6:$R$3761)</f>
        <v>0</v>
      </c>
      <c r="N148" s="471" cm="1">
        <f t="array" ref="N148">SUMPRODUCT(--(ISNUMBER(SEARCH($A148,'Diags Raw Data'!$A$6:$A$3761))),--('Diags Raw Data'!$Q$6:$Q$3761&lt;&gt;"N/A"),'Diags Raw Data'!$T$6:$T$3761)+SUMPRODUCT(--(ISNUMBER(SEARCH($A148,'Diags Raw Data'!$A$6:$A$3761))),--('Diags Raw Data'!$Q$6:$Q$3761&lt;&gt;"N/A"),'Diags Raw Data'!$U$6:$U$3761)</f>
        <v>0</v>
      </c>
      <c r="O148" s="472">
        <f t="shared" si="19"/>
        <v>0</v>
      </c>
      <c r="P148" s="473">
        <f>SUMIF('Diags Raw Data'!$A$6:$A$3761,"*"&amp;$A148&amp;"*",'Diags Raw Data'!$Z$6:$Z$3761)</f>
        <v>0</v>
      </c>
      <c r="Q148" s="474">
        <f>SUM(SUMIF('Diags Raw Data'!$A$6:$A$3761,"*"&amp;$A148&amp;"*",'Diags Raw Data'!$AA$6:$AA$3761),SUMIF('Diags Raw Data'!$A$6:$A$3761,"*"&amp;$A148&amp;"*",'Diags Raw Data'!$AB$6:$AB$3761))</f>
        <v>0</v>
      </c>
      <c r="R148" s="475">
        <f t="shared" si="20"/>
        <v>0</v>
      </c>
      <c r="S148" s="475">
        <f t="shared" si="21"/>
        <v>0</v>
      </c>
      <c r="T148" s="476">
        <f t="shared" si="22"/>
        <v>0</v>
      </c>
      <c r="U148" s="425" t="e">
        <f>VLOOKUP(A148,'Diags Raw Data'!$A$6:$AH$3761,33,FALSE)</f>
        <v>#N/A</v>
      </c>
      <c r="V148" s="535" t="s">
        <v>361</v>
      </c>
    </row>
    <row r="149" spans="1:22" ht="15.75" thickBot="1" x14ac:dyDescent="0.3">
      <c r="A149" s="530">
        <v>12.308</v>
      </c>
      <c r="B149" s="427" t="str">
        <f>VLOOKUP(A149,'Feature Raw Data'!$A$3:$B$3922,2,FALSE)</f>
        <v>RS64 Debug Enablement</v>
      </c>
      <c r="C149" s="428" t="str">
        <f>VLOOKUP(A149,'Feature Raw Data'!$A$3:$C$3922,3,FALSE)</f>
        <v>P1</v>
      </c>
      <c r="D149" s="429" t="str" cm="1">
        <f t="array" ref="D149">_xlfn.TEXTJOIN("",TRUE,IF(ISNUMBER(SEARCH($A149,'Diags Raw Data'!$A$6:$A$3761)),CONCATENATE('Diags Raw Data'!$H$6:$H$3761,", "),""))</f>
        <v/>
      </c>
      <c r="E149" s="340" t="e">
        <f>VLOOKUP(A149,'Diags Raw Data'!$A$6:$D$3761,4,FALSE)</f>
        <v>#N/A</v>
      </c>
      <c r="F149" s="340" t="str">
        <f>VLOOKUP(A149,'Feature Raw Data'!$A$3:$E$3922,5,FALSE)</f>
        <v>New</v>
      </c>
      <c r="G149" s="340" t="str">
        <f t="shared" si="17"/>
        <v>Yes</v>
      </c>
      <c r="H149" s="340" t="str">
        <f t="shared" si="18"/>
        <v>Yes</v>
      </c>
      <c r="I149" s="428">
        <f>SUMIF('Diags Raw Data'!$A$6:$A$3761,"*"&amp;$A149&amp;"*",'Diags Raw Data'!$K$6:$K$3761)</f>
        <v>0</v>
      </c>
      <c r="J149" s="430">
        <f>SUMIF('Diags Raw Data'!$A$6:$A$3761,"*"&amp;$A149&amp;"*",'Diags Raw Data'!$L$6:$L$3761)</f>
        <v>0</v>
      </c>
      <c r="K149" s="468" cm="1">
        <f t="array" ref="K149">IF(D149="",0, SUMPRODUCT(--(ISNUMBER(SEARCH($A149,'Diags Raw Data'!$A$6:$A$3761))),'Diags Raw Data'!$L$6:$L$3761,'Diags Raw Data'!$N$6:$N$3761)/J149)</f>
        <v>0</v>
      </c>
      <c r="L149" s="469" cm="1">
        <f t="array" ref="L149">IF(D149="",0, SUMPRODUCT(--(ISNUMBER(SEARCH($A149,'Diags Raw Data'!$A$6:$A$3761))),'Diags Raw Data'!$L$6:$L$3761,'Diags Raw Data'!$P$6:$P$3761)/J149)</f>
        <v>0</v>
      </c>
      <c r="M149" s="470" cm="1">
        <f t="array" ref="M149">SUMPRODUCT(--(ISNUMBER(SEARCH($A149,'Diags Raw Data'!$A$6:$A$3761))),--('Diags Raw Data'!$Q$6:$Q$3761&lt;&gt;"N/A"),'Diags Raw Data'!$R$6:$R$3761)</f>
        <v>0</v>
      </c>
      <c r="N149" s="471" cm="1">
        <f t="array" ref="N149">SUMPRODUCT(--(ISNUMBER(SEARCH($A149,'Diags Raw Data'!$A$6:$A$3761))),--('Diags Raw Data'!$Q$6:$Q$3761&lt;&gt;"N/A"),'Diags Raw Data'!$T$6:$T$3761)+SUMPRODUCT(--(ISNUMBER(SEARCH($A149,'Diags Raw Data'!$A$6:$A$3761))),--('Diags Raw Data'!$Q$6:$Q$3761&lt;&gt;"N/A"),'Diags Raw Data'!$U$6:$U$3761)</f>
        <v>0</v>
      </c>
      <c r="O149" s="472">
        <f t="shared" si="19"/>
        <v>0</v>
      </c>
      <c r="P149" s="473">
        <f>SUMIF('Diags Raw Data'!$A$6:$A$3761,"*"&amp;$A149&amp;"*",'Diags Raw Data'!$Z$6:$Z$3761)</f>
        <v>0</v>
      </c>
      <c r="Q149" s="474">
        <f>SUM(SUMIF('Diags Raw Data'!$A$6:$A$3761,"*"&amp;$A149&amp;"*",'Diags Raw Data'!$AA$6:$AA$3761),SUMIF('Diags Raw Data'!$A$6:$A$3761,"*"&amp;$A149&amp;"*",'Diags Raw Data'!$AB$6:$AB$3761))</f>
        <v>0</v>
      </c>
      <c r="R149" s="475">
        <f t="shared" si="20"/>
        <v>0</v>
      </c>
      <c r="S149" s="475">
        <f t="shared" si="21"/>
        <v>0</v>
      </c>
      <c r="T149" s="476">
        <f t="shared" si="22"/>
        <v>0</v>
      </c>
      <c r="U149" s="425" t="e">
        <f>VLOOKUP(A149,'Diags Raw Data'!$A$6:$AH$3761,33,FALSE)</f>
        <v>#N/A</v>
      </c>
      <c r="V149" s="181"/>
    </row>
    <row r="150" spans="1:22" ht="45.75" thickBot="1" x14ac:dyDescent="0.3">
      <c r="A150" s="530">
        <v>12.31</v>
      </c>
      <c r="B150" s="427" t="str">
        <f>VLOOKUP(A150,'Feature Raw Data'!$A$3:$B$3922,2,FALSE)</f>
        <v>SED client to 256B reads</v>
      </c>
      <c r="C150" s="428" t="str">
        <f>VLOOKUP(A150,'Feature Raw Data'!$A$3:$C$3922,3,FALSE)</f>
        <v>P1</v>
      </c>
      <c r="D150" s="429" t="str" cm="1">
        <f t="array" ref="D150">_xlfn.TEXTJOIN("",TRUE,IF(ISNUMBER(SEARCH($A150,'Diags Raw Data'!$A$6:$A$3761)),CONCATENATE('Diags Raw Data'!$H$6:$H$3761,", "),""))</f>
        <v xml:space="preserve">placeholder_h.1, gfx.ieee_min_max, glxi29.8, </v>
      </c>
      <c r="E150" s="340" t="str">
        <f>VLOOKUP(A150,'Diags Raw Data'!$A$6:$D$3761,4,FALSE)</f>
        <v>CMM</v>
      </c>
      <c r="F150" s="340" t="str">
        <f>VLOOKUP(A150,'Feature Raw Data'!$A$3:$E$3922,5,FALSE)</f>
        <v>New</v>
      </c>
      <c r="G150" s="340" t="str">
        <f t="shared" si="17"/>
        <v>Yes</v>
      </c>
      <c r="H150" s="340" t="str">
        <f t="shared" si="18"/>
        <v>Yes</v>
      </c>
      <c r="I150" s="428">
        <f>SUMIF('Diags Raw Data'!$A$6:$A$3761,"*"&amp;$A150&amp;"*",'Diags Raw Data'!$K$6:$K$3761)</f>
        <v>0</v>
      </c>
      <c r="J150" s="430">
        <f>SUMIF('Diags Raw Data'!$A$6:$A$3761,"*"&amp;$A150&amp;"*",'Diags Raw Data'!$L$6:$L$3761)</f>
        <v>0</v>
      </c>
      <c r="K150" s="468" t="e" cm="1">
        <f t="array" ref="K150">IF(D150="",0, SUMPRODUCT(--(ISNUMBER(SEARCH($A150,'Diags Raw Data'!$A$6:$A$3761))),'Diags Raw Data'!$L$6:$L$3761,'Diags Raw Data'!$N$6:$N$3761)/J150)</f>
        <v>#DIV/0!</v>
      </c>
      <c r="L150" s="469" t="e" cm="1">
        <f t="array" ref="L150">IF(D150="",0, SUMPRODUCT(--(ISNUMBER(SEARCH($A150,'Diags Raw Data'!$A$6:$A$3761))),'Diags Raw Data'!$L$6:$L$3761,'Diags Raw Data'!$P$6:$P$3761)/J150)</f>
        <v>#DIV/0!</v>
      </c>
      <c r="M150" s="470" cm="1">
        <f t="array" ref="M150">SUMPRODUCT(--(ISNUMBER(SEARCH($A150,'Diags Raw Data'!$A$6:$A$3761))),--('Diags Raw Data'!$Q$6:$Q$3761&lt;&gt;"N/A"),'Diags Raw Data'!$R$6:$R$3761)</f>
        <v>3</v>
      </c>
      <c r="N150" s="471" cm="1">
        <f t="array" ref="N150">SUMPRODUCT(--(ISNUMBER(SEARCH($A150,'Diags Raw Data'!$A$6:$A$3761))),--('Diags Raw Data'!$Q$6:$Q$3761&lt;&gt;"N/A"),'Diags Raw Data'!$T$6:$T$3761)+SUMPRODUCT(--(ISNUMBER(SEARCH($A150,'Diags Raw Data'!$A$6:$A$3761))),--('Diags Raw Data'!$Q$6:$Q$3761&lt;&gt;"N/A"),'Diags Raw Data'!$U$6:$U$3761)</f>
        <v>2</v>
      </c>
      <c r="O150" s="472">
        <f t="shared" si="19"/>
        <v>0.66666666666666663</v>
      </c>
      <c r="P150" s="473">
        <f>SUMIF('Diags Raw Data'!$A$6:$A$3761,"*"&amp;$A150&amp;"*",'Diags Raw Data'!$Z$6:$Z$3761)</f>
        <v>0</v>
      </c>
      <c r="Q150" s="474">
        <f>SUM(SUMIF('Diags Raw Data'!$A$6:$A$3761,"*"&amp;$A150&amp;"*",'Diags Raw Data'!$AA$6:$AA$3761),SUMIF('Diags Raw Data'!$A$6:$A$3761,"*"&amp;$A150&amp;"*",'Diags Raw Data'!$AB$6:$AB$3761))</f>
        <v>0</v>
      </c>
      <c r="R150" s="475">
        <f t="shared" si="20"/>
        <v>0</v>
      </c>
      <c r="S150" s="475">
        <f t="shared" si="21"/>
        <v>0</v>
      </c>
      <c r="T150" s="476">
        <f t="shared" si="22"/>
        <v>0</v>
      </c>
      <c r="U150" s="425" t="str">
        <f>VLOOKUP(A150,'Diags Raw Data'!$A$6:$AH$3761,33,FALSE)</f>
        <v>WK2</v>
      </c>
      <c r="V150" s="181"/>
    </row>
    <row r="151" spans="1:22" ht="30.75" thickBot="1" x14ac:dyDescent="0.3">
      <c r="A151" s="530">
        <v>12.311</v>
      </c>
      <c r="B151" s="427" t="str">
        <f>VLOOKUP(A151,'Feature Raw Data'!$A$3:$B$3922,2,FALSE)</f>
        <v>Shader VALU min/max IEEE compliant</v>
      </c>
      <c r="C151" s="428" t="str">
        <f>VLOOKUP(A151,'Feature Raw Data'!$A$3:$C$3922,3,FALSE)</f>
        <v>P1</v>
      </c>
      <c r="D151" s="429" t="str" cm="1">
        <f t="array" ref="D151">_xlfn.TEXTJOIN("",TRUE,IF(ISNUMBER(SEARCH($A151,'Diags Raw Data'!$A$6:$A$3761)),CONCATENATE('Diags Raw Data'!$H$6:$H$3761,", "),""))</f>
        <v xml:space="preserve">gfx.ieee_min_max, </v>
      </c>
      <c r="E151" s="340" t="str">
        <f>VLOOKUP(A151,'Diags Raw Data'!$A$6:$D$3761,4,FALSE)</f>
        <v>SH</v>
      </c>
      <c r="F151" s="340" t="str">
        <f>VLOOKUP(A151,'Feature Raw Data'!$A$3:$E$3922,5,FALSE)</f>
        <v>New</v>
      </c>
      <c r="G151" s="340" t="str">
        <f t="shared" si="17"/>
        <v>Yes</v>
      </c>
      <c r="H151" s="340" t="str">
        <f t="shared" si="18"/>
        <v>Yes</v>
      </c>
      <c r="I151" s="428">
        <f>SUMIF('Diags Raw Data'!$A$6:$A$3761,"*"&amp;$A151&amp;"*",'Diags Raw Data'!$K$6:$K$3761)</f>
        <v>0</v>
      </c>
      <c r="J151" s="430">
        <f>SUMIF('Diags Raw Data'!$A$6:$A$3761,"*"&amp;$A151&amp;"*",'Diags Raw Data'!$L$6:$L$3761)</f>
        <v>0</v>
      </c>
      <c r="K151" s="468" t="e" cm="1">
        <f t="array" ref="K151">IF(D151="",0, SUMPRODUCT(--(ISNUMBER(SEARCH($A151,'Diags Raw Data'!$A$6:$A$3761))),'Diags Raw Data'!$L$6:$L$3761,'Diags Raw Data'!$N$6:$N$3761)/J151)</f>
        <v>#DIV/0!</v>
      </c>
      <c r="L151" s="469" t="e" cm="1">
        <f t="array" ref="L151">IF(D151="",0, SUMPRODUCT(--(ISNUMBER(SEARCH($A151,'Diags Raw Data'!$A$6:$A$3761))),'Diags Raw Data'!$L$6:$L$3761,'Diags Raw Data'!$P$6:$P$3761)/J151)</f>
        <v>#DIV/0!</v>
      </c>
      <c r="M151" s="470" cm="1">
        <f t="array" ref="M151">SUMPRODUCT(--(ISNUMBER(SEARCH($A151,'Diags Raw Data'!$A$6:$A$3761))),--('Diags Raw Data'!$Q$6:$Q$3761&lt;&gt;"N/A"),'Diags Raw Data'!$R$6:$R$3761)</f>
        <v>1</v>
      </c>
      <c r="N151" s="471" cm="1">
        <f t="array" ref="N151">SUMPRODUCT(--(ISNUMBER(SEARCH($A151,'Diags Raw Data'!$A$6:$A$3761))),--('Diags Raw Data'!$Q$6:$Q$3761&lt;&gt;"N/A"),'Diags Raw Data'!$T$6:$T$3761)+SUMPRODUCT(--(ISNUMBER(SEARCH($A151,'Diags Raw Data'!$A$6:$A$3761))),--('Diags Raw Data'!$Q$6:$Q$3761&lt;&gt;"N/A"),'Diags Raw Data'!$U$6:$U$3761)</f>
        <v>1</v>
      </c>
      <c r="O151" s="472">
        <f t="shared" si="19"/>
        <v>1</v>
      </c>
      <c r="P151" s="473">
        <f>SUMIF('Diags Raw Data'!$A$6:$A$3761,"*"&amp;$A151&amp;"*",'Diags Raw Data'!$Z$6:$Z$3761)</f>
        <v>0</v>
      </c>
      <c r="Q151" s="474">
        <f>SUM(SUMIF('Diags Raw Data'!$A$6:$A$3761,"*"&amp;$A151&amp;"*",'Diags Raw Data'!$AA$6:$AA$3761),SUMIF('Diags Raw Data'!$A$6:$A$3761,"*"&amp;$A151&amp;"*",'Diags Raw Data'!$AB$6:$AB$3761))</f>
        <v>0</v>
      </c>
      <c r="R151" s="475">
        <f t="shared" si="20"/>
        <v>0</v>
      </c>
      <c r="S151" s="475">
        <f t="shared" si="21"/>
        <v>0</v>
      </c>
      <c r="T151" s="476">
        <f t="shared" si="22"/>
        <v>0</v>
      </c>
      <c r="U151" s="425" t="str">
        <f>VLOOKUP(A151,'Diags Raw Data'!$A$6:$AH$3761,33,FALSE)</f>
        <v>WK1</v>
      </c>
      <c r="V151" s="181"/>
    </row>
    <row r="152" spans="1:22" ht="45.75" thickBot="1" x14ac:dyDescent="0.3">
      <c r="A152" s="530">
        <v>12.311999999999999</v>
      </c>
      <c r="B152" s="427" t="str">
        <f>VLOOKUP(A152,'Feature Raw Data'!$A$3:$B$3922,2,FALSE)</f>
        <v>Convert PAL implementation of streamout to sw solution enables GDS removal</v>
      </c>
      <c r="C152" s="428" t="str">
        <f>VLOOKUP(A152,'Feature Raw Data'!$A$3:$C$3922,3,FALSE)</f>
        <v>P1</v>
      </c>
      <c r="D152" s="429" t="str" cm="1">
        <f t="array" ref="D152">_xlfn.TEXTJOIN("",TRUE,IF(ISNUMBER(SEARCH($A152,'Diags Raw Data'!$A$6:$A$3761)),CONCATENATE('Diags Raw Data'!$H$6:$H$3761,", "),""))</f>
        <v/>
      </c>
      <c r="E152" s="340" t="e">
        <f>VLOOKUP(A152,'Diags Raw Data'!$A$6:$D$3761,4,FALSE)</f>
        <v>#N/A</v>
      </c>
      <c r="F152" s="340" t="str">
        <f>VLOOKUP(A152,'Feature Raw Data'!$A$3:$E$3922,5,FALSE)</f>
        <v>New</v>
      </c>
      <c r="G152" s="340" t="str">
        <f t="shared" si="17"/>
        <v>Yes</v>
      </c>
      <c r="H152" s="340" t="str">
        <f t="shared" si="18"/>
        <v>Yes</v>
      </c>
      <c r="I152" s="428">
        <f>SUMIF('Diags Raw Data'!$A$6:$A$3761,"*"&amp;$A152&amp;"*",'Diags Raw Data'!$K$6:$K$3761)</f>
        <v>0</v>
      </c>
      <c r="J152" s="430">
        <f>SUMIF('Diags Raw Data'!$A$6:$A$3761,"*"&amp;$A152&amp;"*",'Diags Raw Data'!$L$6:$L$3761)</f>
        <v>0</v>
      </c>
      <c r="K152" s="468" cm="1">
        <f t="array" ref="K152">IF(D152="",0, SUMPRODUCT(--(ISNUMBER(SEARCH($A152,'Diags Raw Data'!$A$6:$A$3761))),'Diags Raw Data'!$L$6:$L$3761,'Diags Raw Data'!$N$6:$N$3761)/J152)</f>
        <v>0</v>
      </c>
      <c r="L152" s="469" cm="1">
        <f t="array" ref="L152">IF(D152="",0, SUMPRODUCT(--(ISNUMBER(SEARCH($A152,'Diags Raw Data'!$A$6:$A$3761))),'Diags Raw Data'!$L$6:$L$3761,'Diags Raw Data'!$P$6:$P$3761)/J152)</f>
        <v>0</v>
      </c>
      <c r="M152" s="470" cm="1">
        <f t="array" ref="M152">SUMPRODUCT(--(ISNUMBER(SEARCH($A152,'Diags Raw Data'!$A$6:$A$3761))),--('Diags Raw Data'!$Q$6:$Q$3761&lt;&gt;"N/A"),'Diags Raw Data'!$R$6:$R$3761)</f>
        <v>0</v>
      </c>
      <c r="N152" s="471" cm="1">
        <f t="array" ref="N152">SUMPRODUCT(--(ISNUMBER(SEARCH($A152,'Diags Raw Data'!$A$6:$A$3761))),--('Diags Raw Data'!$Q$6:$Q$3761&lt;&gt;"N/A"),'Diags Raw Data'!$T$6:$T$3761)+SUMPRODUCT(--(ISNUMBER(SEARCH($A152,'Diags Raw Data'!$A$6:$A$3761))),--('Diags Raw Data'!$Q$6:$Q$3761&lt;&gt;"N/A"),'Diags Raw Data'!$U$6:$U$3761)</f>
        <v>0</v>
      </c>
      <c r="O152" s="472">
        <f t="shared" si="19"/>
        <v>0</v>
      </c>
      <c r="P152" s="473">
        <f>SUMIF('Diags Raw Data'!$A$6:$A$3761,"*"&amp;$A152&amp;"*",'Diags Raw Data'!$Z$6:$Z$3761)</f>
        <v>0</v>
      </c>
      <c r="Q152" s="474">
        <f>SUM(SUMIF('Diags Raw Data'!$A$6:$A$3761,"*"&amp;$A152&amp;"*",'Diags Raw Data'!$AA$6:$AA$3761),SUMIF('Diags Raw Data'!$A$6:$A$3761,"*"&amp;$A152&amp;"*",'Diags Raw Data'!$AB$6:$AB$3761))</f>
        <v>0</v>
      </c>
      <c r="R152" s="475">
        <f t="shared" si="20"/>
        <v>0</v>
      </c>
      <c r="S152" s="475">
        <f t="shared" si="21"/>
        <v>0</v>
      </c>
      <c r="T152" s="476">
        <f t="shared" si="22"/>
        <v>0</v>
      </c>
      <c r="U152" s="425" t="e">
        <f>VLOOKUP(A152,'Diags Raw Data'!$A$6:$AH$3761,33,FALSE)</f>
        <v>#N/A</v>
      </c>
      <c r="V152" s="535" t="s">
        <v>361</v>
      </c>
    </row>
    <row r="153" spans="1:22" ht="75.75" thickBot="1" x14ac:dyDescent="0.3">
      <c r="A153" s="530">
        <v>12.318</v>
      </c>
      <c r="B153" s="427" t="str">
        <f>VLOOKUP(A153,'Feature Raw Data'!$A$3:$B$3922,2,FALSE)</f>
        <v>SED&lt;&gt;AID and AID&lt;&gt;AID interfaces must support arbitrary clk deviation, so protocols like valid-only need to be converted.</v>
      </c>
      <c r="C153" s="428" t="str">
        <f>VLOOKUP(A153,'Feature Raw Data'!$A$3:$C$3922,3,FALSE)</f>
        <v>P1</v>
      </c>
      <c r="D153" s="429" t="str" cm="1">
        <f t="array" ref="D153">_xlfn.TEXTJOIN("",TRUE,IF(ISNUMBER(SEARCH($A153,'Diags Raw Data'!$A$6:$A$3761)),CONCATENATE('Diags Raw Data'!$H$6:$H$3761,", "),""))</f>
        <v/>
      </c>
      <c r="E153" s="340" t="e">
        <f>VLOOKUP(A153,'Diags Raw Data'!$A$6:$D$3761,4,FALSE)</f>
        <v>#N/A</v>
      </c>
      <c r="F153" s="340" t="str">
        <f>VLOOKUP(A153,'Feature Raw Data'!$A$3:$E$3922,5,FALSE)</f>
        <v>New</v>
      </c>
      <c r="G153" s="340" t="str">
        <f t="shared" si="17"/>
        <v>Yes</v>
      </c>
      <c r="H153" s="340" t="str">
        <f t="shared" si="18"/>
        <v>Yes</v>
      </c>
      <c r="I153" s="428">
        <f>SUMIF('Diags Raw Data'!$A$6:$A$3761,"*"&amp;$A153&amp;"*",'Diags Raw Data'!$K$6:$K$3761)</f>
        <v>0</v>
      </c>
      <c r="J153" s="430">
        <f>SUMIF('Diags Raw Data'!$A$6:$A$3761,"*"&amp;$A153&amp;"*",'Diags Raw Data'!$L$6:$L$3761)</f>
        <v>0</v>
      </c>
      <c r="K153" s="468" cm="1">
        <f t="array" ref="K153">IF(D153="",0, SUMPRODUCT(--(ISNUMBER(SEARCH($A153,'Diags Raw Data'!$A$6:$A$3761))),'Diags Raw Data'!$L$6:$L$3761,'Diags Raw Data'!$N$6:$N$3761)/J153)</f>
        <v>0</v>
      </c>
      <c r="L153" s="469" cm="1">
        <f t="array" ref="L153">IF(D153="",0, SUMPRODUCT(--(ISNUMBER(SEARCH($A153,'Diags Raw Data'!$A$6:$A$3761))),'Diags Raw Data'!$L$6:$L$3761,'Diags Raw Data'!$P$6:$P$3761)/J153)</f>
        <v>0</v>
      </c>
      <c r="M153" s="470" cm="1">
        <f t="array" ref="M153">SUMPRODUCT(--(ISNUMBER(SEARCH($A153,'Diags Raw Data'!$A$6:$A$3761))),--('Diags Raw Data'!$Q$6:$Q$3761&lt;&gt;"N/A"),'Diags Raw Data'!$R$6:$R$3761)</f>
        <v>0</v>
      </c>
      <c r="N153" s="471" cm="1">
        <f t="array" ref="N153">SUMPRODUCT(--(ISNUMBER(SEARCH($A153,'Diags Raw Data'!$A$6:$A$3761))),--('Diags Raw Data'!$Q$6:$Q$3761&lt;&gt;"N/A"),'Diags Raw Data'!$T$6:$T$3761)+SUMPRODUCT(--(ISNUMBER(SEARCH($A153,'Diags Raw Data'!$A$6:$A$3761))),--('Diags Raw Data'!$Q$6:$Q$3761&lt;&gt;"N/A"),'Diags Raw Data'!$U$6:$U$3761)</f>
        <v>0</v>
      </c>
      <c r="O153" s="472">
        <f t="shared" si="19"/>
        <v>0</v>
      </c>
      <c r="P153" s="473">
        <f>SUMIF('Diags Raw Data'!$A$6:$A$3761,"*"&amp;$A153&amp;"*",'Diags Raw Data'!$Z$6:$Z$3761)</f>
        <v>0</v>
      </c>
      <c r="Q153" s="474">
        <f>SUM(SUMIF('Diags Raw Data'!$A$6:$A$3761,"*"&amp;$A153&amp;"*",'Diags Raw Data'!$AA$6:$AA$3761),SUMIF('Diags Raw Data'!$A$6:$A$3761,"*"&amp;$A153&amp;"*",'Diags Raw Data'!$AB$6:$AB$3761))</f>
        <v>0</v>
      </c>
      <c r="R153" s="475">
        <f t="shared" si="20"/>
        <v>0</v>
      </c>
      <c r="S153" s="475">
        <f t="shared" si="21"/>
        <v>0</v>
      </c>
      <c r="T153" s="476">
        <f t="shared" si="22"/>
        <v>0</v>
      </c>
      <c r="U153" s="425" t="e">
        <f>VLOOKUP(A153,'Diags Raw Data'!$A$6:$AH$3761,33,FALSE)</f>
        <v>#N/A</v>
      </c>
      <c r="V153" s="181"/>
    </row>
    <row r="154" spans="1:22" ht="30.75" thickBot="1" x14ac:dyDescent="0.3">
      <c r="A154" s="530">
        <v>12.319000000000001</v>
      </c>
      <c r="B154" s="427" t="str">
        <f>VLOOKUP(A154,'Feature Raw Data'!$A$3:$B$3922,2,FALSE)</f>
        <v>GCRD-&gt;GCR response interface to credit/debit</v>
      </c>
      <c r="C154" s="428" t="str">
        <f>VLOOKUP(A154,'Feature Raw Data'!$A$3:$C$3922,3,FALSE)</f>
        <v>P1</v>
      </c>
      <c r="D154" s="429" t="str" cm="1">
        <f t="array" ref="D154">_xlfn.TEXTJOIN("",TRUE,IF(ISNUMBER(SEARCH($A154,'Diags Raw Data'!$A$6:$A$3761)),CONCATENATE('Diags Raw Data'!$H$6:$H$3761,", "),""))</f>
        <v xml:space="preserve">glxi29.8, </v>
      </c>
      <c r="E154" s="340" t="str">
        <f>VLOOKUP(A154,'Diags Raw Data'!$A$6:$D$3761,4,FALSE)</f>
        <v>CMM</v>
      </c>
      <c r="F154" s="340" t="str">
        <f>VLOOKUP(A154,'Feature Raw Data'!$A$3:$E$3922,5,FALSE)</f>
        <v>New</v>
      </c>
      <c r="G154" s="340" t="str">
        <f t="shared" si="17"/>
        <v>Yes</v>
      </c>
      <c r="H154" s="340" t="str">
        <f t="shared" si="18"/>
        <v>Yes</v>
      </c>
      <c r="I154" s="428">
        <f>SUMIF('Diags Raw Data'!$A$6:$A$3761,"*"&amp;$A154&amp;"*",'Diags Raw Data'!$K$6:$K$3761)</f>
        <v>0</v>
      </c>
      <c r="J154" s="430">
        <f>SUMIF('Diags Raw Data'!$A$6:$A$3761,"*"&amp;$A154&amp;"*",'Diags Raw Data'!$L$6:$L$3761)</f>
        <v>0</v>
      </c>
      <c r="K154" s="468" t="e" cm="1">
        <f t="array" ref="K154">IF(D154="",0, SUMPRODUCT(--(ISNUMBER(SEARCH($A154,'Diags Raw Data'!$A$6:$A$3761))),'Diags Raw Data'!$L$6:$L$3761,'Diags Raw Data'!$N$6:$N$3761)/J154)</f>
        <v>#DIV/0!</v>
      </c>
      <c r="L154" s="469" t="e" cm="1">
        <f t="array" ref="L154">IF(D154="",0, SUMPRODUCT(--(ISNUMBER(SEARCH($A154,'Diags Raw Data'!$A$6:$A$3761))),'Diags Raw Data'!$L$6:$L$3761,'Diags Raw Data'!$P$6:$P$3761)/J154)</f>
        <v>#DIV/0!</v>
      </c>
      <c r="M154" s="470" cm="1">
        <f t="array" ref="M154">SUMPRODUCT(--(ISNUMBER(SEARCH($A154,'Diags Raw Data'!$A$6:$A$3761))),--('Diags Raw Data'!$Q$6:$Q$3761&lt;&gt;"N/A"),'Diags Raw Data'!$R$6:$R$3761)</f>
        <v>1</v>
      </c>
      <c r="N154" s="471" cm="1">
        <f t="array" ref="N154">SUMPRODUCT(--(ISNUMBER(SEARCH($A154,'Diags Raw Data'!$A$6:$A$3761))),--('Diags Raw Data'!$Q$6:$Q$3761&lt;&gt;"N/A"),'Diags Raw Data'!$T$6:$T$3761)+SUMPRODUCT(--(ISNUMBER(SEARCH($A154,'Diags Raw Data'!$A$6:$A$3761))),--('Diags Raw Data'!$Q$6:$Q$3761&lt;&gt;"N/A"),'Diags Raw Data'!$U$6:$U$3761)</f>
        <v>0</v>
      </c>
      <c r="O154" s="472">
        <f t="shared" si="19"/>
        <v>0</v>
      </c>
      <c r="P154" s="473">
        <f>SUMIF('Diags Raw Data'!$A$6:$A$3761,"*"&amp;$A154&amp;"*",'Diags Raw Data'!$Z$6:$Z$3761)</f>
        <v>0</v>
      </c>
      <c r="Q154" s="474">
        <f>SUM(SUMIF('Diags Raw Data'!$A$6:$A$3761,"*"&amp;$A154&amp;"*",'Diags Raw Data'!$AA$6:$AA$3761),SUMIF('Diags Raw Data'!$A$6:$A$3761,"*"&amp;$A154&amp;"*",'Diags Raw Data'!$AB$6:$AB$3761))</f>
        <v>0</v>
      </c>
      <c r="R154" s="475">
        <f t="shared" si="20"/>
        <v>0</v>
      </c>
      <c r="S154" s="475">
        <f t="shared" si="21"/>
        <v>0</v>
      </c>
      <c r="T154" s="476">
        <f t="shared" si="22"/>
        <v>0</v>
      </c>
      <c r="U154" s="425" t="str">
        <f>VLOOKUP(A154,'Diags Raw Data'!$A$6:$AH$3761,33,FALSE)</f>
        <v>WK5</v>
      </c>
      <c r="V154" s="181"/>
    </row>
    <row r="155" spans="1:22" ht="45.75" thickBot="1" x14ac:dyDescent="0.3">
      <c r="A155" s="530">
        <v>12.32</v>
      </c>
      <c r="B155" s="427" t="str">
        <f>VLOOKUP(A155,'Feature Raw Data'!$A$3:$B$3922,2,FALSE)</f>
        <v>GCRD_SE SAX client</v>
      </c>
      <c r="C155" s="428" t="str">
        <f>VLOOKUP(A155,'Feature Raw Data'!$A$3:$C$3922,3,FALSE)</f>
        <v>P1</v>
      </c>
      <c r="D155" s="429" t="str" cm="1">
        <f t="array" ref="D155">_xlfn.TEXTJOIN("",TRUE,IF(ISNUMBER(SEARCH($A155,'Diags Raw Data'!$A$6:$A$3761)),CONCATENATE('Diags Raw Data'!$H$6:$H$3761,", "),""))</f>
        <v xml:space="preserve">gfx.cmm_sax_utcl0_invalidation_monolithic/utcl0_enable, </v>
      </c>
      <c r="E155" s="340" t="str">
        <f>VLOOKUP(A155,'Diags Raw Data'!$A$6:$D$3761,4,FALSE)</f>
        <v>CMM</v>
      </c>
      <c r="F155" s="340" t="str">
        <f>VLOOKUP(A155,'Feature Raw Data'!$A$3:$E$3922,5,FALSE)</f>
        <v>New</v>
      </c>
      <c r="G155" s="340" t="str">
        <f t="shared" si="17"/>
        <v>Yes</v>
      </c>
      <c r="H155" s="340" t="str">
        <f t="shared" si="18"/>
        <v>Yes</v>
      </c>
      <c r="I155" s="428">
        <f>SUMIF('Diags Raw Data'!$A$6:$A$3761,"*"&amp;$A155&amp;"*",'Diags Raw Data'!$K$6:$K$3761)</f>
        <v>0</v>
      </c>
      <c r="J155" s="430">
        <f>SUMIF('Diags Raw Data'!$A$6:$A$3761,"*"&amp;$A155&amp;"*",'Diags Raw Data'!$L$6:$L$3761)</f>
        <v>0</v>
      </c>
      <c r="K155" s="468" t="e" cm="1">
        <f t="array" ref="K155">IF(D155="",0, SUMPRODUCT(--(ISNUMBER(SEARCH($A155,'Diags Raw Data'!$A$6:$A$3761))),'Diags Raw Data'!$L$6:$L$3761,'Diags Raw Data'!$N$6:$N$3761)/J155)</f>
        <v>#DIV/0!</v>
      </c>
      <c r="L155" s="469" t="e" cm="1">
        <f t="array" ref="L155">IF(D155="",0, SUMPRODUCT(--(ISNUMBER(SEARCH($A155,'Diags Raw Data'!$A$6:$A$3761))),'Diags Raw Data'!$L$6:$L$3761,'Diags Raw Data'!$P$6:$P$3761)/J155)</f>
        <v>#DIV/0!</v>
      </c>
      <c r="M155" s="470" cm="1">
        <f t="array" ref="M155">SUMPRODUCT(--(ISNUMBER(SEARCH($A155,'Diags Raw Data'!$A$6:$A$3761))),--('Diags Raw Data'!$Q$6:$Q$3761&lt;&gt;"N/A"),'Diags Raw Data'!$R$6:$R$3761)</f>
        <v>1</v>
      </c>
      <c r="N155" s="471" cm="1">
        <f t="array" ref="N155">SUMPRODUCT(--(ISNUMBER(SEARCH($A155,'Diags Raw Data'!$A$6:$A$3761))),--('Diags Raw Data'!$Q$6:$Q$3761&lt;&gt;"N/A"),'Diags Raw Data'!$T$6:$T$3761)+SUMPRODUCT(--(ISNUMBER(SEARCH($A155,'Diags Raw Data'!$A$6:$A$3761))),--('Diags Raw Data'!$Q$6:$Q$3761&lt;&gt;"N/A"),'Diags Raw Data'!$U$6:$U$3761)</f>
        <v>0</v>
      </c>
      <c r="O155" s="472">
        <f t="shared" si="19"/>
        <v>0</v>
      </c>
      <c r="P155" s="473">
        <f>SUMIF('Diags Raw Data'!$A$6:$A$3761,"*"&amp;$A155&amp;"*",'Diags Raw Data'!$Z$6:$Z$3761)</f>
        <v>0</v>
      </c>
      <c r="Q155" s="474">
        <f>SUM(SUMIF('Diags Raw Data'!$A$6:$A$3761,"*"&amp;$A155&amp;"*",'Diags Raw Data'!$AA$6:$AA$3761),SUMIF('Diags Raw Data'!$A$6:$A$3761,"*"&amp;$A155&amp;"*",'Diags Raw Data'!$AB$6:$AB$3761))</f>
        <v>0</v>
      </c>
      <c r="R155" s="475">
        <f t="shared" si="20"/>
        <v>0</v>
      </c>
      <c r="S155" s="475">
        <f t="shared" si="21"/>
        <v>0</v>
      </c>
      <c r="T155" s="476">
        <f t="shared" si="22"/>
        <v>0</v>
      </c>
      <c r="U155" s="425" t="str">
        <f>VLOOKUP(A155,'Diags Raw Data'!$A$6:$AH$3761,33,FALSE)</f>
        <v>WK6</v>
      </c>
      <c r="V155" s="181"/>
    </row>
    <row r="156" spans="1:22" ht="30.75" thickBot="1" x14ac:dyDescent="0.3">
      <c r="A156" s="530">
        <v>12.321</v>
      </c>
      <c r="B156" s="427" t="str">
        <f>VLOOKUP(A156,'Feature Raw Data'!$A$3:$B$3922,2,FALSE)</f>
        <v>Limit wires SED&lt;-&gt;AID for PMM Ips</v>
      </c>
      <c r="C156" s="428" t="str">
        <f>VLOOKUP(A156,'Feature Raw Data'!$A$3:$C$3922,3,FALSE)</f>
        <v>P1</v>
      </c>
      <c r="D156" s="429" t="str" cm="1">
        <f t="array" ref="D156">_xlfn.TEXTJOIN("",TRUE,IF(ISNUMBER(SEARCH($A156,'Diags Raw Data'!$A$6:$A$3761)),CONCATENATE('Diags Raw Data'!$H$6:$H$3761,", "),""))</f>
        <v/>
      </c>
      <c r="E156" s="340" t="e">
        <f>VLOOKUP(A156,'Diags Raw Data'!$A$6:$D$3761,4,FALSE)</f>
        <v>#N/A</v>
      </c>
      <c r="F156" s="340" t="str">
        <f>VLOOKUP(A156,'Feature Raw Data'!$A$3:$E$3922,5,FALSE)</f>
        <v>New</v>
      </c>
      <c r="G156" s="340" t="str">
        <f t="shared" si="17"/>
        <v>Yes</v>
      </c>
      <c r="H156" s="340" t="str">
        <f t="shared" si="18"/>
        <v>Yes</v>
      </c>
      <c r="I156" s="428">
        <f>SUMIF('Diags Raw Data'!$A$6:$A$3761,"*"&amp;$A156&amp;"*",'Diags Raw Data'!$K$6:$K$3761)</f>
        <v>0</v>
      </c>
      <c r="J156" s="430">
        <f>SUMIF('Diags Raw Data'!$A$6:$A$3761,"*"&amp;$A156&amp;"*",'Diags Raw Data'!$L$6:$L$3761)</f>
        <v>0</v>
      </c>
      <c r="K156" s="468" cm="1">
        <f t="array" ref="K156">IF(D156="",0, SUMPRODUCT(--(ISNUMBER(SEARCH($A156,'Diags Raw Data'!$A$6:$A$3761))),'Diags Raw Data'!$L$6:$L$3761,'Diags Raw Data'!$N$6:$N$3761)/J156)</f>
        <v>0</v>
      </c>
      <c r="L156" s="469" cm="1">
        <f t="array" ref="L156">IF(D156="",0, SUMPRODUCT(--(ISNUMBER(SEARCH($A156,'Diags Raw Data'!$A$6:$A$3761))),'Diags Raw Data'!$L$6:$L$3761,'Diags Raw Data'!$P$6:$P$3761)/J156)</f>
        <v>0</v>
      </c>
      <c r="M156" s="470" cm="1">
        <f t="array" ref="M156">SUMPRODUCT(--(ISNUMBER(SEARCH($A156,'Diags Raw Data'!$A$6:$A$3761))),--('Diags Raw Data'!$Q$6:$Q$3761&lt;&gt;"N/A"),'Diags Raw Data'!$R$6:$R$3761)</f>
        <v>0</v>
      </c>
      <c r="N156" s="471" cm="1">
        <f t="array" ref="N156">SUMPRODUCT(--(ISNUMBER(SEARCH($A156,'Diags Raw Data'!$A$6:$A$3761))),--('Diags Raw Data'!$Q$6:$Q$3761&lt;&gt;"N/A"),'Diags Raw Data'!$T$6:$T$3761)+SUMPRODUCT(--(ISNUMBER(SEARCH($A156,'Diags Raw Data'!$A$6:$A$3761))),--('Diags Raw Data'!$Q$6:$Q$3761&lt;&gt;"N/A"),'Diags Raw Data'!$U$6:$U$3761)</f>
        <v>0</v>
      </c>
      <c r="O156" s="472">
        <f t="shared" si="19"/>
        <v>0</v>
      </c>
      <c r="P156" s="473">
        <f>SUMIF('Diags Raw Data'!$A$6:$A$3761,"*"&amp;$A156&amp;"*",'Diags Raw Data'!$Z$6:$Z$3761)</f>
        <v>0</v>
      </c>
      <c r="Q156" s="474">
        <f>SUM(SUMIF('Diags Raw Data'!$A$6:$A$3761,"*"&amp;$A156&amp;"*",'Diags Raw Data'!$AA$6:$AA$3761),SUMIF('Diags Raw Data'!$A$6:$A$3761,"*"&amp;$A156&amp;"*",'Diags Raw Data'!$AB$6:$AB$3761))</f>
        <v>0</v>
      </c>
      <c r="R156" s="475">
        <f t="shared" si="20"/>
        <v>0</v>
      </c>
      <c r="S156" s="475">
        <f t="shared" si="21"/>
        <v>0</v>
      </c>
      <c r="T156" s="476">
        <f t="shared" si="22"/>
        <v>0</v>
      </c>
      <c r="U156" s="425" t="e">
        <f>VLOOKUP(A156,'Diags Raw Data'!$A$6:$AH$3761,33,FALSE)</f>
        <v>#N/A</v>
      </c>
      <c r="V156" s="535" t="s">
        <v>413</v>
      </c>
    </row>
    <row r="157" spans="1:22" ht="30.75" thickBot="1" x14ac:dyDescent="0.3">
      <c r="A157" s="530">
        <v>12.321999999999999</v>
      </c>
      <c r="B157" s="427" t="str">
        <f>VLOOKUP(A157,'Feature Raw Data'!$A$3:$B$3922,2,FALSE)</f>
        <v>GFX12 UTLC2 - Add idle sidebands</v>
      </c>
      <c r="C157" s="428" t="str">
        <f>VLOOKUP(A157,'Feature Raw Data'!$A$3:$C$3922,3,FALSE)</f>
        <v>P2</v>
      </c>
      <c r="D157" s="429" t="str" cm="1">
        <f t="array" ref="D157">_xlfn.TEXTJOIN("",TRUE,IF(ISNUMBER(SEARCH($A157,'Diags Raw Data'!$A$6:$A$3761)),CONCATENATE('Diags Raw Data'!$H$6:$H$3761,", "),""))</f>
        <v/>
      </c>
      <c r="E157" s="340" t="e">
        <f>VLOOKUP(A157,'Diags Raw Data'!$A$6:$D$3761,4,FALSE)</f>
        <v>#N/A</v>
      </c>
      <c r="F157" s="340" t="str">
        <f>VLOOKUP(A157,'Feature Raw Data'!$A$3:$E$3922,5,FALSE)</f>
        <v>New</v>
      </c>
      <c r="G157" s="340" t="str">
        <f t="shared" si="17"/>
        <v>Yes</v>
      </c>
      <c r="H157" s="340" t="str">
        <f t="shared" si="18"/>
        <v>Yes</v>
      </c>
      <c r="I157" s="428">
        <f>SUMIF('Diags Raw Data'!$A$6:$A$3761,"*"&amp;$A157&amp;"*",'Diags Raw Data'!$K$6:$K$3761)</f>
        <v>0</v>
      </c>
      <c r="J157" s="430">
        <f>SUMIF('Diags Raw Data'!$A$6:$A$3761,"*"&amp;$A157&amp;"*",'Diags Raw Data'!$L$6:$L$3761)</f>
        <v>0</v>
      </c>
      <c r="K157" s="468" cm="1">
        <f t="array" ref="K157">IF(D157="",0, SUMPRODUCT(--(ISNUMBER(SEARCH($A157,'Diags Raw Data'!$A$6:$A$3761))),'Diags Raw Data'!$L$6:$L$3761,'Diags Raw Data'!$N$6:$N$3761)/J157)</f>
        <v>0</v>
      </c>
      <c r="L157" s="469" cm="1">
        <f t="array" ref="L157">IF(D157="",0, SUMPRODUCT(--(ISNUMBER(SEARCH($A157,'Diags Raw Data'!$A$6:$A$3761))),'Diags Raw Data'!$L$6:$L$3761,'Diags Raw Data'!$P$6:$P$3761)/J157)</f>
        <v>0</v>
      </c>
      <c r="M157" s="470" cm="1">
        <f t="array" ref="M157">SUMPRODUCT(--(ISNUMBER(SEARCH($A157,'Diags Raw Data'!$A$6:$A$3761))),--('Diags Raw Data'!$Q$6:$Q$3761&lt;&gt;"N/A"),'Diags Raw Data'!$R$6:$R$3761)</f>
        <v>0</v>
      </c>
      <c r="N157" s="471" cm="1">
        <f t="array" ref="N157">SUMPRODUCT(--(ISNUMBER(SEARCH($A157,'Diags Raw Data'!$A$6:$A$3761))),--('Diags Raw Data'!$Q$6:$Q$3761&lt;&gt;"N/A"),'Diags Raw Data'!$T$6:$T$3761)+SUMPRODUCT(--(ISNUMBER(SEARCH($A157,'Diags Raw Data'!$A$6:$A$3761))),--('Diags Raw Data'!$Q$6:$Q$3761&lt;&gt;"N/A"),'Diags Raw Data'!$U$6:$U$3761)</f>
        <v>0</v>
      </c>
      <c r="O157" s="472">
        <f t="shared" si="19"/>
        <v>0</v>
      </c>
      <c r="P157" s="473">
        <f>SUMIF('Diags Raw Data'!$A$6:$A$3761,"*"&amp;$A157&amp;"*",'Diags Raw Data'!$Z$6:$Z$3761)</f>
        <v>0</v>
      </c>
      <c r="Q157" s="474">
        <f>SUM(SUMIF('Diags Raw Data'!$A$6:$A$3761,"*"&amp;$A157&amp;"*",'Diags Raw Data'!$AA$6:$AA$3761),SUMIF('Diags Raw Data'!$A$6:$A$3761,"*"&amp;$A157&amp;"*",'Diags Raw Data'!$AB$6:$AB$3761))</f>
        <v>0</v>
      </c>
      <c r="R157" s="475">
        <f t="shared" si="20"/>
        <v>0</v>
      </c>
      <c r="S157" s="475">
        <f t="shared" si="21"/>
        <v>0</v>
      </c>
      <c r="T157" s="476">
        <f t="shared" si="22"/>
        <v>0</v>
      </c>
      <c r="U157" s="425" t="e">
        <f>VLOOKUP(A157,'Diags Raw Data'!$A$6:$AH$3761,33,FALSE)</f>
        <v>#N/A</v>
      </c>
      <c r="V157" s="181"/>
    </row>
    <row r="158" spans="1:22" ht="30.75" thickBot="1" x14ac:dyDescent="0.3">
      <c r="A158" s="530">
        <v>12.327999999999999</v>
      </c>
      <c r="B158" s="427" t="str">
        <f>VLOOKUP(A158,'Feature Raw Data'!$A$3:$B$3922,2,FALSE)</f>
        <v>GFX12 SDMA - Add sidebands to control Idle request</v>
      </c>
      <c r="C158" s="428" t="str">
        <f>VLOOKUP(A158,'Feature Raw Data'!$A$3:$C$3922,3,FALSE)</f>
        <v>P1</v>
      </c>
      <c r="D158" s="429" t="str" cm="1">
        <f t="array" ref="D158">_xlfn.TEXTJOIN("",TRUE,IF(ISNUMBER(SEARCH($A158,'Diags Raw Data'!$A$6:$A$3761)),CONCATENATE('Diags Raw Data'!$H$6:$H$3761,", "),""))</f>
        <v/>
      </c>
      <c r="E158" s="340" t="e">
        <f>VLOOKUP(A158,'Diags Raw Data'!$A$6:$D$3761,4,FALSE)</f>
        <v>#N/A</v>
      </c>
      <c r="F158" s="340" t="str">
        <f>VLOOKUP(A158,'Feature Raw Data'!$A$3:$E$3922,5,FALSE)</f>
        <v>New</v>
      </c>
      <c r="G158" s="340" t="str">
        <f t="shared" si="17"/>
        <v>Yes</v>
      </c>
      <c r="H158" s="340" t="str">
        <f t="shared" si="18"/>
        <v>Yes</v>
      </c>
      <c r="I158" s="428">
        <f>SUMIF('Diags Raw Data'!$A$6:$A$3761,"*"&amp;$A158&amp;"*",'Diags Raw Data'!$K$6:$K$3761)</f>
        <v>0</v>
      </c>
      <c r="J158" s="430">
        <f>SUMIF('Diags Raw Data'!$A$6:$A$3761,"*"&amp;$A158&amp;"*",'Diags Raw Data'!$L$6:$L$3761)</f>
        <v>0</v>
      </c>
      <c r="K158" s="468" cm="1">
        <f t="array" ref="K158">IF(D158="",0, SUMPRODUCT(--(ISNUMBER(SEARCH($A158,'Diags Raw Data'!$A$6:$A$3761))),'Diags Raw Data'!$L$6:$L$3761,'Diags Raw Data'!$N$6:$N$3761)/J158)</f>
        <v>0</v>
      </c>
      <c r="L158" s="469" cm="1">
        <f t="array" ref="L158">IF(D158="",0, SUMPRODUCT(--(ISNUMBER(SEARCH($A158,'Diags Raw Data'!$A$6:$A$3761))),'Diags Raw Data'!$L$6:$L$3761,'Diags Raw Data'!$P$6:$P$3761)/J158)</f>
        <v>0</v>
      </c>
      <c r="M158" s="470" cm="1">
        <f t="array" ref="M158">SUMPRODUCT(--(ISNUMBER(SEARCH($A158,'Diags Raw Data'!$A$6:$A$3761))),--('Diags Raw Data'!$Q$6:$Q$3761&lt;&gt;"N/A"),'Diags Raw Data'!$R$6:$R$3761)</f>
        <v>0</v>
      </c>
      <c r="N158" s="471" cm="1">
        <f t="array" ref="N158">SUMPRODUCT(--(ISNUMBER(SEARCH($A158,'Diags Raw Data'!$A$6:$A$3761))),--('Diags Raw Data'!$Q$6:$Q$3761&lt;&gt;"N/A"),'Diags Raw Data'!$T$6:$T$3761)+SUMPRODUCT(--(ISNUMBER(SEARCH($A158,'Diags Raw Data'!$A$6:$A$3761))),--('Diags Raw Data'!$Q$6:$Q$3761&lt;&gt;"N/A"),'Diags Raw Data'!$U$6:$U$3761)</f>
        <v>0</v>
      </c>
      <c r="O158" s="472">
        <f t="shared" si="19"/>
        <v>0</v>
      </c>
      <c r="P158" s="473">
        <f>SUMIF('Diags Raw Data'!$A$6:$A$3761,"*"&amp;$A158&amp;"*",'Diags Raw Data'!$Z$6:$Z$3761)</f>
        <v>0</v>
      </c>
      <c r="Q158" s="474">
        <f>SUM(SUMIF('Diags Raw Data'!$A$6:$A$3761,"*"&amp;$A158&amp;"*",'Diags Raw Data'!$AA$6:$AA$3761),SUMIF('Diags Raw Data'!$A$6:$A$3761,"*"&amp;$A158&amp;"*",'Diags Raw Data'!$AB$6:$AB$3761))</f>
        <v>0</v>
      </c>
      <c r="R158" s="475">
        <f t="shared" si="20"/>
        <v>0</v>
      </c>
      <c r="S158" s="475">
        <f t="shared" si="21"/>
        <v>0</v>
      </c>
      <c r="T158" s="476">
        <f t="shared" si="22"/>
        <v>0</v>
      </c>
      <c r="U158" s="425" t="e">
        <f>VLOOKUP(A158,'Diags Raw Data'!$A$6:$AH$3761,33,FALSE)</f>
        <v>#N/A</v>
      </c>
      <c r="V158" s="181"/>
    </row>
    <row r="159" spans="1:22" ht="30.75" thickBot="1" x14ac:dyDescent="0.3">
      <c r="A159" s="530">
        <v>12.329000000000001</v>
      </c>
      <c r="B159" s="427" t="str">
        <f>VLOOKUP(A159,'Feature Raw Data'!$A$3:$B$3922,2,FALSE)</f>
        <v>remove GCR dummy UTCL2 invalidation interface</v>
      </c>
      <c r="C159" s="428" t="str">
        <f>VLOOKUP(A159,'Feature Raw Data'!$A$3:$C$3922,3,FALSE)</f>
        <v>P2</v>
      </c>
      <c r="D159" s="429" t="str" cm="1">
        <f t="array" ref="D159">_xlfn.TEXTJOIN("",TRUE,IF(ISNUMBER(SEARCH($A159,'Diags Raw Data'!$A$6:$A$3761)),CONCATENATE('Diags Raw Data'!$H$6:$H$3761,", "),""))</f>
        <v/>
      </c>
      <c r="E159" s="340" t="e">
        <f>VLOOKUP(A159,'Diags Raw Data'!$A$6:$D$3761,4,FALSE)</f>
        <v>#N/A</v>
      </c>
      <c r="F159" s="340" t="str">
        <f>VLOOKUP(A159,'Feature Raw Data'!$A$3:$E$3922,5,FALSE)</f>
        <v>New</v>
      </c>
      <c r="G159" s="340" t="str">
        <f t="shared" si="17"/>
        <v>Yes</v>
      </c>
      <c r="H159" s="340" t="str">
        <f t="shared" si="18"/>
        <v>Yes</v>
      </c>
      <c r="I159" s="428">
        <f>SUMIF('Diags Raw Data'!$A$6:$A$3761,"*"&amp;$A159&amp;"*",'Diags Raw Data'!$K$6:$K$3761)</f>
        <v>0</v>
      </c>
      <c r="J159" s="430">
        <f>SUMIF('Diags Raw Data'!$A$6:$A$3761,"*"&amp;$A159&amp;"*",'Diags Raw Data'!$L$6:$L$3761)</f>
        <v>0</v>
      </c>
      <c r="K159" s="468" cm="1">
        <f t="array" ref="K159">IF(D159="",0, SUMPRODUCT(--(ISNUMBER(SEARCH($A159,'Diags Raw Data'!$A$6:$A$3761))),'Diags Raw Data'!$L$6:$L$3761,'Diags Raw Data'!$N$6:$N$3761)/J159)</f>
        <v>0</v>
      </c>
      <c r="L159" s="469" cm="1">
        <f t="array" ref="L159">IF(D159="",0, SUMPRODUCT(--(ISNUMBER(SEARCH($A159,'Diags Raw Data'!$A$6:$A$3761))),'Diags Raw Data'!$L$6:$L$3761,'Diags Raw Data'!$P$6:$P$3761)/J159)</f>
        <v>0</v>
      </c>
      <c r="M159" s="470" cm="1">
        <f t="array" ref="M159">SUMPRODUCT(--(ISNUMBER(SEARCH($A159,'Diags Raw Data'!$A$6:$A$3761))),--('Diags Raw Data'!$Q$6:$Q$3761&lt;&gt;"N/A"),'Diags Raw Data'!$R$6:$R$3761)</f>
        <v>0</v>
      </c>
      <c r="N159" s="471" cm="1">
        <f t="array" ref="N159">SUMPRODUCT(--(ISNUMBER(SEARCH($A159,'Diags Raw Data'!$A$6:$A$3761))),--('Diags Raw Data'!$Q$6:$Q$3761&lt;&gt;"N/A"),'Diags Raw Data'!$T$6:$T$3761)+SUMPRODUCT(--(ISNUMBER(SEARCH($A159,'Diags Raw Data'!$A$6:$A$3761))),--('Diags Raw Data'!$Q$6:$Q$3761&lt;&gt;"N/A"),'Diags Raw Data'!$U$6:$U$3761)</f>
        <v>0</v>
      </c>
      <c r="O159" s="472">
        <f t="shared" si="19"/>
        <v>0</v>
      </c>
      <c r="P159" s="473">
        <f>SUMIF('Diags Raw Data'!$A$6:$A$3761,"*"&amp;$A159&amp;"*",'Diags Raw Data'!$Z$6:$Z$3761)</f>
        <v>0</v>
      </c>
      <c r="Q159" s="474">
        <f>SUM(SUMIF('Diags Raw Data'!$A$6:$A$3761,"*"&amp;$A159&amp;"*",'Diags Raw Data'!$AA$6:$AA$3761),SUMIF('Diags Raw Data'!$A$6:$A$3761,"*"&amp;$A159&amp;"*",'Diags Raw Data'!$AB$6:$AB$3761))</f>
        <v>0</v>
      </c>
      <c r="R159" s="475">
        <f t="shared" si="20"/>
        <v>0</v>
      </c>
      <c r="S159" s="475">
        <f t="shared" si="21"/>
        <v>0</v>
      </c>
      <c r="T159" s="476">
        <f t="shared" si="22"/>
        <v>0</v>
      </c>
      <c r="U159" s="425" t="e">
        <f>VLOOKUP(A159,'Diags Raw Data'!$A$6:$AH$3761,33,FALSE)</f>
        <v>#N/A</v>
      </c>
      <c r="V159" s="535" t="s">
        <v>361</v>
      </c>
    </row>
    <row r="160" spans="1:22" ht="15.75" thickBot="1" x14ac:dyDescent="0.3">
      <c r="A160" s="530">
        <v>12.332000000000001</v>
      </c>
      <c r="B160" s="427" t="str">
        <f>VLOOKUP(A160,'Feature Raw Data'!$A$3:$B$3922,2,FALSE)</f>
        <v>GFX12 EA - Add idle sidebands</v>
      </c>
      <c r="C160" s="428" t="str">
        <f>VLOOKUP(A160,'Feature Raw Data'!$A$3:$C$3922,3,FALSE)</f>
        <v>P2</v>
      </c>
      <c r="D160" s="429" t="str" cm="1">
        <f t="array" ref="D160">_xlfn.TEXTJOIN("",TRUE,IF(ISNUMBER(SEARCH($A160,'Diags Raw Data'!$A$6:$A$3761)),CONCATENATE('Diags Raw Data'!$H$6:$H$3761,", "),""))</f>
        <v/>
      </c>
      <c r="E160" s="340" t="e">
        <f>VLOOKUP(A160,'Diags Raw Data'!$A$6:$D$3761,4,FALSE)</f>
        <v>#N/A</v>
      </c>
      <c r="F160" s="340" t="str">
        <f>VLOOKUP(A160,'Feature Raw Data'!$A$3:$E$3922,5,FALSE)</f>
        <v>New</v>
      </c>
      <c r="G160" s="340" t="str">
        <f t="shared" si="17"/>
        <v>Yes</v>
      </c>
      <c r="H160" s="340" t="str">
        <f t="shared" si="18"/>
        <v>Yes</v>
      </c>
      <c r="I160" s="428">
        <f>SUMIF('Diags Raw Data'!$A$6:$A$3761,"*"&amp;$A160&amp;"*",'Diags Raw Data'!$K$6:$K$3761)</f>
        <v>0</v>
      </c>
      <c r="J160" s="430">
        <f>SUMIF('Diags Raw Data'!$A$6:$A$3761,"*"&amp;$A160&amp;"*",'Diags Raw Data'!$L$6:$L$3761)</f>
        <v>0</v>
      </c>
      <c r="K160" s="468" cm="1">
        <f t="array" ref="K160">IF(D160="",0, SUMPRODUCT(--(ISNUMBER(SEARCH($A160,'Diags Raw Data'!$A$6:$A$3761))),'Diags Raw Data'!$L$6:$L$3761,'Diags Raw Data'!$N$6:$N$3761)/J160)</f>
        <v>0</v>
      </c>
      <c r="L160" s="469" cm="1">
        <f t="array" ref="L160">IF(D160="",0, SUMPRODUCT(--(ISNUMBER(SEARCH($A160,'Diags Raw Data'!$A$6:$A$3761))),'Diags Raw Data'!$L$6:$L$3761,'Diags Raw Data'!$P$6:$P$3761)/J160)</f>
        <v>0</v>
      </c>
      <c r="M160" s="470" cm="1">
        <f t="array" ref="M160">SUMPRODUCT(--(ISNUMBER(SEARCH($A160,'Diags Raw Data'!$A$6:$A$3761))),--('Diags Raw Data'!$Q$6:$Q$3761&lt;&gt;"N/A"),'Diags Raw Data'!$R$6:$R$3761)</f>
        <v>0</v>
      </c>
      <c r="N160" s="471" cm="1">
        <f t="array" ref="N160">SUMPRODUCT(--(ISNUMBER(SEARCH($A160,'Diags Raw Data'!$A$6:$A$3761))),--('Diags Raw Data'!$Q$6:$Q$3761&lt;&gt;"N/A"),'Diags Raw Data'!$T$6:$T$3761)+SUMPRODUCT(--(ISNUMBER(SEARCH($A160,'Diags Raw Data'!$A$6:$A$3761))),--('Diags Raw Data'!$Q$6:$Q$3761&lt;&gt;"N/A"),'Diags Raw Data'!$U$6:$U$3761)</f>
        <v>0</v>
      </c>
      <c r="O160" s="472">
        <f t="shared" si="19"/>
        <v>0</v>
      </c>
      <c r="P160" s="473">
        <f>SUMIF('Diags Raw Data'!$A$6:$A$3761,"*"&amp;$A160&amp;"*",'Diags Raw Data'!$Z$6:$Z$3761)</f>
        <v>0</v>
      </c>
      <c r="Q160" s="474">
        <f>SUM(SUMIF('Diags Raw Data'!$A$6:$A$3761,"*"&amp;$A160&amp;"*",'Diags Raw Data'!$AA$6:$AA$3761),SUMIF('Diags Raw Data'!$A$6:$A$3761,"*"&amp;$A160&amp;"*",'Diags Raw Data'!$AB$6:$AB$3761))</f>
        <v>0</v>
      </c>
      <c r="R160" s="475">
        <f t="shared" si="20"/>
        <v>0</v>
      </c>
      <c r="S160" s="475">
        <f t="shared" si="21"/>
        <v>0</v>
      </c>
      <c r="T160" s="476">
        <f t="shared" si="22"/>
        <v>0</v>
      </c>
      <c r="U160" s="425" t="e">
        <f>VLOOKUP(A160,'Diags Raw Data'!$A$6:$AH$3761,33,FALSE)</f>
        <v>#N/A</v>
      </c>
      <c r="V160" s="181"/>
    </row>
    <row r="161" spans="1:22" ht="30.75" thickBot="1" x14ac:dyDescent="0.3">
      <c r="A161" s="530">
        <v>12.333</v>
      </c>
      <c r="B161" s="427" t="str">
        <f>VLOOKUP(A161,'Feature Raw Data'!$A$3:$B$3922,2,FALSE)</f>
        <v>Swap PRIM_CONFIG register to SA_UNIT_DISABLE register</v>
      </c>
      <c r="C161" s="428" t="str">
        <f>VLOOKUP(A161,'Feature Raw Data'!$A$3:$C$3922,3,FALSE)</f>
        <v>P2</v>
      </c>
      <c r="D161" s="429" t="str" cm="1">
        <f t="array" ref="D161">_xlfn.TEXTJOIN("",TRUE,IF(ISNUMBER(SEARCH($A161,'Diags Raw Data'!$A$6:$A$3761)),CONCATENATE('Diags Raw Data'!$H$6:$H$3761,", "),""))</f>
        <v xml:space="preserve">STD1.6,GCI30.3, </v>
      </c>
      <c r="E161" s="340" t="str">
        <f>VLOOKUP(A161,'Diags Raw Data'!$A$6:$D$3761,4,FALSE)</f>
        <v>GC</v>
      </c>
      <c r="F161" s="340" t="str">
        <f>VLOOKUP(A161,'Feature Raw Data'!$A$3:$E$3922,5,FALSE)</f>
        <v>New</v>
      </c>
      <c r="G161" s="340" t="str">
        <f t="shared" si="17"/>
        <v>Yes</v>
      </c>
      <c r="H161" s="340" t="str">
        <f t="shared" si="18"/>
        <v>Yes</v>
      </c>
      <c r="I161" s="428">
        <f>SUMIF('Diags Raw Data'!$A$6:$A$3761,"*"&amp;$A161&amp;"*",'Diags Raw Data'!$K$6:$K$3761)</f>
        <v>0</v>
      </c>
      <c r="J161" s="430">
        <f>SUMIF('Diags Raw Data'!$A$6:$A$3761,"*"&amp;$A161&amp;"*",'Diags Raw Data'!$L$6:$L$3761)</f>
        <v>0</v>
      </c>
      <c r="K161" s="468" t="e" cm="1">
        <f t="array" ref="K161">IF(D161="",0, SUMPRODUCT(--(ISNUMBER(SEARCH($A161,'Diags Raw Data'!$A$6:$A$3761))),'Diags Raw Data'!$L$6:$L$3761,'Diags Raw Data'!$N$6:$N$3761)/J161)</f>
        <v>#DIV/0!</v>
      </c>
      <c r="L161" s="469" t="e" cm="1">
        <f t="array" ref="L161">IF(D161="",0, SUMPRODUCT(--(ISNUMBER(SEARCH($A161,'Diags Raw Data'!$A$6:$A$3761))),'Diags Raw Data'!$L$6:$L$3761,'Diags Raw Data'!$P$6:$P$3761)/J161)</f>
        <v>#DIV/0!</v>
      </c>
      <c r="M161" s="470" cm="1">
        <f t="array" ref="M161">SUMPRODUCT(--(ISNUMBER(SEARCH($A161,'Diags Raw Data'!$A$6:$A$3761))),--('Diags Raw Data'!$Q$6:$Q$3761&lt;&gt;"N/A"),'Diags Raw Data'!$R$6:$R$3761)</f>
        <v>4</v>
      </c>
      <c r="N161" s="471" cm="1">
        <f t="array" ref="N161">SUMPRODUCT(--(ISNUMBER(SEARCH($A161,'Diags Raw Data'!$A$6:$A$3761))),--('Diags Raw Data'!$Q$6:$Q$3761&lt;&gt;"N/A"),'Diags Raw Data'!$T$6:$T$3761)+SUMPRODUCT(--(ISNUMBER(SEARCH($A161,'Diags Raw Data'!$A$6:$A$3761))),--('Diags Raw Data'!$Q$6:$Q$3761&lt;&gt;"N/A"),'Diags Raw Data'!$U$6:$U$3761)</f>
        <v>4</v>
      </c>
      <c r="O161" s="472">
        <f t="shared" si="19"/>
        <v>1</v>
      </c>
      <c r="P161" s="473">
        <f>SUMIF('Diags Raw Data'!$A$6:$A$3761,"*"&amp;$A161&amp;"*",'Diags Raw Data'!$Z$6:$Z$3761)</f>
        <v>0</v>
      </c>
      <c r="Q161" s="474">
        <f>SUM(SUMIF('Diags Raw Data'!$A$6:$A$3761,"*"&amp;$A161&amp;"*",'Diags Raw Data'!$AA$6:$AA$3761),SUMIF('Diags Raw Data'!$A$6:$A$3761,"*"&amp;$A161&amp;"*",'Diags Raw Data'!$AB$6:$AB$3761))</f>
        <v>0</v>
      </c>
      <c r="R161" s="475">
        <f t="shared" si="20"/>
        <v>0</v>
      </c>
      <c r="S161" s="475">
        <f t="shared" si="21"/>
        <v>0</v>
      </c>
      <c r="T161" s="476">
        <f t="shared" si="22"/>
        <v>0</v>
      </c>
      <c r="U161" s="425" t="str">
        <f>VLOOKUP(A161,'Diags Raw Data'!$A$6:$AH$3761,33,FALSE)</f>
        <v>WK6</v>
      </c>
      <c r="V161" s="181"/>
    </row>
    <row r="162" spans="1:22" ht="15.75" thickBot="1" x14ac:dyDescent="0.3">
      <c r="A162" s="530">
        <v>12.334</v>
      </c>
      <c r="B162" s="427" t="str">
        <f>VLOOKUP(A162,'Feature Raw Data'!$A$3:$B$3922,2,FALSE)</f>
        <v>GTS support in GFX12</v>
      </c>
      <c r="C162" s="428" t="str">
        <f>VLOOKUP(A162,'Feature Raw Data'!$A$3:$C$3922,3,FALSE)</f>
        <v>P1</v>
      </c>
      <c r="D162" s="429" t="str" cm="1">
        <f t="array" ref="D162">_xlfn.TEXTJOIN("",TRUE,IF(ISNUMBER(SEARCH($A162,'Diags Raw Data'!$A$6:$A$3761)),CONCATENATE('Diags Raw Data'!$H$6:$H$3761,", "),""))</f>
        <v xml:space="preserve">placeholder_t.1, </v>
      </c>
      <c r="E162" s="340" t="str">
        <f>VLOOKUP(A162,'Diags Raw Data'!$A$6:$D$3761,4,FALSE)</f>
        <v>CTL</v>
      </c>
      <c r="F162" s="340" t="str">
        <f>VLOOKUP(A162,'Feature Raw Data'!$A$3:$E$3922,5,FALSE)</f>
        <v>New</v>
      </c>
      <c r="G162" s="340" t="str">
        <f t="shared" si="17"/>
        <v>Yes</v>
      </c>
      <c r="H162" s="340" t="str">
        <f t="shared" si="18"/>
        <v>Yes</v>
      </c>
      <c r="I162" s="428">
        <f>SUMIF('Diags Raw Data'!$A$6:$A$3761,"*"&amp;$A162&amp;"*",'Diags Raw Data'!$K$6:$K$3761)</f>
        <v>0</v>
      </c>
      <c r="J162" s="430">
        <f>SUMIF('Diags Raw Data'!$A$6:$A$3761,"*"&amp;$A162&amp;"*",'Diags Raw Data'!$L$6:$L$3761)</f>
        <v>0</v>
      </c>
      <c r="K162" s="468" t="e" cm="1">
        <f t="array" ref="K162">IF(D162="",0, SUMPRODUCT(--(ISNUMBER(SEARCH($A162,'Diags Raw Data'!$A$6:$A$3761))),'Diags Raw Data'!$L$6:$L$3761,'Diags Raw Data'!$N$6:$N$3761)/J162)</f>
        <v>#DIV/0!</v>
      </c>
      <c r="L162" s="469" t="e" cm="1">
        <f t="array" ref="L162">IF(D162="",0, SUMPRODUCT(--(ISNUMBER(SEARCH($A162,'Diags Raw Data'!$A$6:$A$3761))),'Diags Raw Data'!$L$6:$L$3761,'Diags Raw Data'!$P$6:$P$3761)/J162)</f>
        <v>#DIV/0!</v>
      </c>
      <c r="M162" s="470" cm="1">
        <f t="array" ref="M162">SUMPRODUCT(--(ISNUMBER(SEARCH($A162,'Diags Raw Data'!$A$6:$A$3761))),--('Diags Raw Data'!$Q$6:$Q$3761&lt;&gt;"N/A"),'Diags Raw Data'!$R$6:$R$3761)</f>
        <v>2</v>
      </c>
      <c r="N162" s="471" cm="1">
        <f t="array" ref="N162">SUMPRODUCT(--(ISNUMBER(SEARCH($A162,'Diags Raw Data'!$A$6:$A$3761))),--('Diags Raw Data'!$Q$6:$Q$3761&lt;&gt;"N/A"),'Diags Raw Data'!$T$6:$T$3761)+SUMPRODUCT(--(ISNUMBER(SEARCH($A162,'Diags Raw Data'!$A$6:$A$3761))),--('Diags Raw Data'!$Q$6:$Q$3761&lt;&gt;"N/A"),'Diags Raw Data'!$U$6:$U$3761)</f>
        <v>0</v>
      </c>
      <c r="O162" s="472">
        <f t="shared" si="19"/>
        <v>0</v>
      </c>
      <c r="P162" s="473">
        <f>SUMIF('Diags Raw Data'!$A$6:$A$3761,"*"&amp;$A162&amp;"*",'Diags Raw Data'!$Z$6:$Z$3761)</f>
        <v>0</v>
      </c>
      <c r="Q162" s="474">
        <f>SUM(SUMIF('Diags Raw Data'!$A$6:$A$3761,"*"&amp;$A162&amp;"*",'Diags Raw Data'!$AA$6:$AA$3761),SUMIF('Diags Raw Data'!$A$6:$A$3761,"*"&amp;$A162&amp;"*",'Diags Raw Data'!$AB$6:$AB$3761))</f>
        <v>0</v>
      </c>
      <c r="R162" s="475">
        <f t="shared" si="20"/>
        <v>0</v>
      </c>
      <c r="S162" s="475">
        <f t="shared" si="21"/>
        <v>0</v>
      </c>
      <c r="T162" s="476">
        <f t="shared" si="22"/>
        <v>0</v>
      </c>
      <c r="U162" s="425" t="str">
        <f>VLOOKUP(A162,'Diags Raw Data'!$A$6:$AH$3761,33,FALSE)</f>
        <v>WK4</v>
      </c>
      <c r="V162" s="181"/>
    </row>
    <row r="163" spans="1:22" ht="30.75" thickBot="1" x14ac:dyDescent="0.3">
      <c r="A163" s="530">
        <v>12.336</v>
      </c>
      <c r="B163" s="427" t="str">
        <f>VLOOKUP(A163,'Feature Raw Data'!$A$3:$B$3922,2,FALSE)</f>
        <v>Remove harvesting connectivity/RTL mux in SP</v>
      </c>
      <c r="C163" s="428" t="str">
        <f>VLOOKUP(A163,'Feature Raw Data'!$A$3:$C$3922,3,FALSE)</f>
        <v>P2</v>
      </c>
      <c r="D163" s="429" t="str" cm="1">
        <f t="array" ref="D163">_xlfn.TEXTJOIN("",TRUE,IF(ISNUMBER(SEARCH($A163,'Diags Raw Data'!$A$6:$A$3761)),CONCATENATE('Diags Raw Data'!$H$6:$H$3761,", "),""))</f>
        <v/>
      </c>
      <c r="E163" s="340" t="e">
        <f>VLOOKUP(A163,'Diags Raw Data'!$A$6:$D$3761,4,FALSE)</f>
        <v>#N/A</v>
      </c>
      <c r="F163" s="340" t="str">
        <f>VLOOKUP(A163,'Feature Raw Data'!$A$3:$E$3922,5,FALSE)</f>
        <v>New</v>
      </c>
      <c r="G163" s="340" t="str">
        <f t="shared" si="17"/>
        <v>Yes</v>
      </c>
      <c r="H163" s="340" t="str">
        <f t="shared" si="18"/>
        <v>Yes</v>
      </c>
      <c r="I163" s="428">
        <f>SUMIF('Diags Raw Data'!$A$6:$A$3761,"*"&amp;$A163&amp;"*",'Diags Raw Data'!$K$6:$K$3761)</f>
        <v>0</v>
      </c>
      <c r="J163" s="430">
        <f>SUMIF('Diags Raw Data'!$A$6:$A$3761,"*"&amp;$A163&amp;"*",'Diags Raw Data'!$L$6:$L$3761)</f>
        <v>0</v>
      </c>
      <c r="K163" s="468" cm="1">
        <f t="array" ref="K163">IF(D163="",0, SUMPRODUCT(--(ISNUMBER(SEARCH($A163,'Diags Raw Data'!$A$6:$A$3761))),'Diags Raw Data'!$L$6:$L$3761,'Diags Raw Data'!$N$6:$N$3761)/J163)</f>
        <v>0</v>
      </c>
      <c r="L163" s="469" cm="1">
        <f t="array" ref="L163">IF(D163="",0, SUMPRODUCT(--(ISNUMBER(SEARCH($A163,'Diags Raw Data'!$A$6:$A$3761))),'Diags Raw Data'!$L$6:$L$3761,'Diags Raw Data'!$P$6:$P$3761)/J163)</f>
        <v>0</v>
      </c>
      <c r="M163" s="470" cm="1">
        <f t="array" ref="M163">SUMPRODUCT(--(ISNUMBER(SEARCH($A163,'Diags Raw Data'!$A$6:$A$3761))),--('Diags Raw Data'!$Q$6:$Q$3761&lt;&gt;"N/A"),'Diags Raw Data'!$R$6:$R$3761)</f>
        <v>0</v>
      </c>
      <c r="N163" s="471" cm="1">
        <f t="array" ref="N163">SUMPRODUCT(--(ISNUMBER(SEARCH($A163,'Diags Raw Data'!$A$6:$A$3761))),--('Diags Raw Data'!$Q$6:$Q$3761&lt;&gt;"N/A"),'Diags Raw Data'!$T$6:$T$3761)+SUMPRODUCT(--(ISNUMBER(SEARCH($A163,'Diags Raw Data'!$A$6:$A$3761))),--('Diags Raw Data'!$Q$6:$Q$3761&lt;&gt;"N/A"),'Diags Raw Data'!$U$6:$U$3761)</f>
        <v>0</v>
      </c>
      <c r="O163" s="472">
        <f t="shared" si="19"/>
        <v>0</v>
      </c>
      <c r="P163" s="473">
        <f>SUMIF('Diags Raw Data'!$A$6:$A$3761,"*"&amp;$A163&amp;"*",'Diags Raw Data'!$Z$6:$Z$3761)</f>
        <v>0</v>
      </c>
      <c r="Q163" s="474">
        <f>SUM(SUMIF('Diags Raw Data'!$A$6:$A$3761,"*"&amp;$A163&amp;"*",'Diags Raw Data'!$AA$6:$AA$3761),SUMIF('Diags Raw Data'!$A$6:$A$3761,"*"&amp;$A163&amp;"*",'Diags Raw Data'!$AB$6:$AB$3761))</f>
        <v>0</v>
      </c>
      <c r="R163" s="475">
        <f t="shared" si="20"/>
        <v>0</v>
      </c>
      <c r="S163" s="475">
        <f t="shared" si="21"/>
        <v>0</v>
      </c>
      <c r="T163" s="476">
        <f t="shared" si="22"/>
        <v>0</v>
      </c>
      <c r="U163" s="425" t="e">
        <f>VLOOKUP(A163,'Diags Raw Data'!$A$6:$AH$3761,33,FALSE)</f>
        <v>#N/A</v>
      </c>
      <c r="V163" s="535" t="s">
        <v>413</v>
      </c>
    </row>
    <row r="164" spans="1:22" ht="30.75" thickBot="1" x14ac:dyDescent="0.3">
      <c r="A164" s="530">
        <v>12.339</v>
      </c>
      <c r="B164" s="427" t="str">
        <f>VLOOKUP(A164,'Feature Raw Data'!$A$3:$B$3922,2,FALSE)</f>
        <v>GFX12 IH Gasket update for chiplet design</v>
      </c>
      <c r="C164" s="428" t="str">
        <f>VLOOKUP(A164,'Feature Raw Data'!$A$3:$C$3922,3,FALSE)</f>
        <v>P1</v>
      </c>
      <c r="D164" s="429" t="str" cm="1">
        <f t="array" ref="D164">_xlfn.TEXTJOIN("",TRUE,IF(ISNUMBER(SEARCH($A164,'Diags Raw Data'!$A$6:$A$3761)),CONCATENATE('Diags Raw Data'!$H$6:$H$3761,", "),""))</f>
        <v xml:space="preserve">GCI28.3, </v>
      </c>
      <c r="E164" s="340" t="str">
        <f>VLOOKUP(A164,'Diags Raw Data'!$A$6:$D$3761,4,FALSE)</f>
        <v>CTL</v>
      </c>
      <c r="F164" s="340" t="str">
        <f>VLOOKUP(A164,'Feature Raw Data'!$A$3:$E$3922,5,FALSE)</f>
        <v>New</v>
      </c>
      <c r="G164" s="340" t="str">
        <f t="shared" si="17"/>
        <v>Yes</v>
      </c>
      <c r="H164" s="340" t="str">
        <f t="shared" si="18"/>
        <v>Yes</v>
      </c>
      <c r="I164" s="428">
        <f>SUMIF('Diags Raw Data'!$A$6:$A$3761,"*"&amp;$A164&amp;"*",'Diags Raw Data'!$K$6:$K$3761)</f>
        <v>0</v>
      </c>
      <c r="J164" s="430">
        <f>SUMIF('Diags Raw Data'!$A$6:$A$3761,"*"&amp;$A164&amp;"*",'Diags Raw Data'!$L$6:$L$3761)</f>
        <v>0</v>
      </c>
      <c r="K164" s="468" t="e" cm="1">
        <f t="array" ref="K164">IF(D164="",0, SUMPRODUCT(--(ISNUMBER(SEARCH($A164,'Diags Raw Data'!$A$6:$A$3761))),'Diags Raw Data'!$L$6:$L$3761,'Diags Raw Data'!$N$6:$N$3761)/J164)</f>
        <v>#DIV/0!</v>
      </c>
      <c r="L164" s="469" t="e" cm="1">
        <f t="array" ref="L164">IF(D164="",0, SUMPRODUCT(--(ISNUMBER(SEARCH($A164,'Diags Raw Data'!$A$6:$A$3761))),'Diags Raw Data'!$L$6:$L$3761,'Diags Raw Data'!$P$6:$P$3761)/J164)</f>
        <v>#DIV/0!</v>
      </c>
      <c r="M164" s="470" cm="1">
        <f t="array" ref="M164">SUMPRODUCT(--(ISNUMBER(SEARCH($A164,'Diags Raw Data'!$A$6:$A$3761))),--('Diags Raw Data'!$Q$6:$Q$3761&lt;&gt;"N/A"),'Diags Raw Data'!$R$6:$R$3761)</f>
        <v>1</v>
      </c>
      <c r="N164" s="471" cm="1">
        <f t="array" ref="N164">SUMPRODUCT(--(ISNUMBER(SEARCH($A164,'Diags Raw Data'!$A$6:$A$3761))),--('Diags Raw Data'!$Q$6:$Q$3761&lt;&gt;"N/A"),'Diags Raw Data'!$T$6:$T$3761)+SUMPRODUCT(--(ISNUMBER(SEARCH($A164,'Diags Raw Data'!$A$6:$A$3761))),--('Diags Raw Data'!$Q$6:$Q$3761&lt;&gt;"N/A"),'Diags Raw Data'!$U$6:$U$3761)</f>
        <v>1</v>
      </c>
      <c r="O164" s="472">
        <f t="shared" si="19"/>
        <v>1</v>
      </c>
      <c r="P164" s="473">
        <f>SUMIF('Diags Raw Data'!$A$6:$A$3761,"*"&amp;$A164&amp;"*",'Diags Raw Data'!$Z$6:$Z$3761)</f>
        <v>0</v>
      </c>
      <c r="Q164" s="474">
        <f>SUM(SUMIF('Diags Raw Data'!$A$6:$A$3761,"*"&amp;$A164&amp;"*",'Diags Raw Data'!$AA$6:$AA$3761),SUMIF('Diags Raw Data'!$A$6:$A$3761,"*"&amp;$A164&amp;"*",'Diags Raw Data'!$AB$6:$AB$3761))</f>
        <v>0</v>
      </c>
      <c r="R164" s="475">
        <f t="shared" si="20"/>
        <v>0</v>
      </c>
      <c r="S164" s="475">
        <f t="shared" si="21"/>
        <v>0</v>
      </c>
      <c r="T164" s="476">
        <f t="shared" si="22"/>
        <v>0</v>
      </c>
      <c r="U164" s="425" t="str">
        <f>VLOOKUP(A164,'Diags Raw Data'!$A$6:$AH$3761,33,FALSE)</f>
        <v>WK5</v>
      </c>
      <c r="V164" s="181"/>
    </row>
    <row r="165" spans="1:22" ht="45.75" thickBot="1" x14ac:dyDescent="0.3">
      <c r="A165" s="530">
        <v>12.342000000000001</v>
      </c>
      <c r="B165" s="427" t="str">
        <f>VLOOKUP(A165,'Feature Raw Data'!$A$3:$B$3922,2,FALSE)</f>
        <v>GFX12 IMU - Add FIFO for blocked RSMU writes and keep read outstanding</v>
      </c>
      <c r="C165" s="428" t="str">
        <f>VLOOKUP(A165,'Feature Raw Data'!$A$3:$C$3922,3,FALSE)</f>
        <v>P1</v>
      </c>
      <c r="D165" s="429" t="str" cm="1">
        <f t="array" ref="D165">_xlfn.TEXTJOIN("",TRUE,IF(ISNUMBER(SEARCH($A165,'Diags Raw Data'!$A$6:$A$3761)),CONCATENATE('Diags Raw Data'!$H$6:$H$3761,", "),""))</f>
        <v/>
      </c>
      <c r="E165" s="340" t="e">
        <f>VLOOKUP(A165,'Diags Raw Data'!$A$6:$D$3761,4,FALSE)</f>
        <v>#N/A</v>
      </c>
      <c r="F165" s="340" t="str">
        <f>VLOOKUP(A165,'Feature Raw Data'!$A$3:$E$3922,5,FALSE)</f>
        <v>New</v>
      </c>
      <c r="G165" s="340" t="str">
        <f t="shared" si="17"/>
        <v>Yes</v>
      </c>
      <c r="H165" s="340" t="str">
        <f t="shared" si="18"/>
        <v>Yes</v>
      </c>
      <c r="I165" s="428">
        <f>SUMIF('Diags Raw Data'!$A$6:$A$3761,"*"&amp;$A165&amp;"*",'Diags Raw Data'!$K$6:$K$3761)</f>
        <v>0</v>
      </c>
      <c r="J165" s="430">
        <f>SUMIF('Diags Raw Data'!$A$6:$A$3761,"*"&amp;$A165&amp;"*",'Diags Raw Data'!$L$6:$L$3761)</f>
        <v>0</v>
      </c>
      <c r="K165" s="468" cm="1">
        <f t="array" ref="K165">IF(D165="",0, SUMPRODUCT(--(ISNUMBER(SEARCH($A165,'Diags Raw Data'!$A$6:$A$3761))),'Diags Raw Data'!$L$6:$L$3761,'Diags Raw Data'!$N$6:$N$3761)/J165)</f>
        <v>0</v>
      </c>
      <c r="L165" s="469" cm="1">
        <f t="array" ref="L165">IF(D165="",0, SUMPRODUCT(--(ISNUMBER(SEARCH($A165,'Diags Raw Data'!$A$6:$A$3761))),'Diags Raw Data'!$L$6:$L$3761,'Diags Raw Data'!$P$6:$P$3761)/J165)</f>
        <v>0</v>
      </c>
      <c r="M165" s="470" cm="1">
        <f t="array" ref="M165">SUMPRODUCT(--(ISNUMBER(SEARCH($A165,'Diags Raw Data'!$A$6:$A$3761))),--('Diags Raw Data'!$Q$6:$Q$3761&lt;&gt;"N/A"),'Diags Raw Data'!$R$6:$R$3761)</f>
        <v>0</v>
      </c>
      <c r="N165" s="471" cm="1">
        <f t="array" ref="N165">SUMPRODUCT(--(ISNUMBER(SEARCH($A165,'Diags Raw Data'!$A$6:$A$3761))),--('Diags Raw Data'!$Q$6:$Q$3761&lt;&gt;"N/A"),'Diags Raw Data'!$T$6:$T$3761)+SUMPRODUCT(--(ISNUMBER(SEARCH($A165,'Diags Raw Data'!$A$6:$A$3761))),--('Diags Raw Data'!$Q$6:$Q$3761&lt;&gt;"N/A"),'Diags Raw Data'!$U$6:$U$3761)</f>
        <v>0</v>
      </c>
      <c r="O165" s="472">
        <f t="shared" si="19"/>
        <v>0</v>
      </c>
      <c r="P165" s="473">
        <f>SUMIF('Diags Raw Data'!$A$6:$A$3761,"*"&amp;$A165&amp;"*",'Diags Raw Data'!$Z$6:$Z$3761)</f>
        <v>0</v>
      </c>
      <c r="Q165" s="474">
        <f>SUM(SUMIF('Diags Raw Data'!$A$6:$A$3761,"*"&amp;$A165&amp;"*",'Diags Raw Data'!$AA$6:$AA$3761),SUMIF('Diags Raw Data'!$A$6:$A$3761,"*"&amp;$A165&amp;"*",'Diags Raw Data'!$AB$6:$AB$3761))</f>
        <v>0</v>
      </c>
      <c r="R165" s="475">
        <f t="shared" si="20"/>
        <v>0</v>
      </c>
      <c r="S165" s="475">
        <f t="shared" si="21"/>
        <v>0</v>
      </c>
      <c r="T165" s="476">
        <f t="shared" si="22"/>
        <v>0</v>
      </c>
      <c r="U165" s="425" t="e">
        <f>VLOOKUP(A165,'Diags Raw Data'!$A$6:$AH$3761,33,FALSE)</f>
        <v>#N/A</v>
      </c>
      <c r="V165" s="181"/>
    </row>
    <row r="166" spans="1:22" ht="30.75" thickBot="1" x14ac:dyDescent="0.3">
      <c r="A166" s="530">
        <v>12.343</v>
      </c>
      <c r="B166" s="427" t="str">
        <f>VLOOKUP(A166,'Feature Raw Data'!$A$3:$B$3922,2,FALSE)</f>
        <v>SPM sample sync across AID and GFX to DF</v>
      </c>
      <c r="C166" s="428" t="str">
        <f>VLOOKUP(A166,'Feature Raw Data'!$A$3:$C$3922,3,FALSE)</f>
        <v>P1</v>
      </c>
      <c r="D166" s="429" t="str" cm="1">
        <f t="array" ref="D166">_xlfn.TEXTJOIN("",TRUE,IF(ISNUMBER(SEARCH($A166,'Diags Raw Data'!$A$6:$A$3761)),CONCATENATE('Diags Raw Data'!$H$6:$H$3761,", "),""))</f>
        <v xml:space="preserve">std1.6,with,tgre,spm,&amp;,sqtt, </v>
      </c>
      <c r="E166" s="340" t="str">
        <f>VLOOKUP(A166,'Diags Raw Data'!$A$6:$D$3761,4,FALSE)</f>
        <v>CTL</v>
      </c>
      <c r="F166" s="340" t="str">
        <f>VLOOKUP(A166,'Feature Raw Data'!$A$3:$E$3922,5,FALSE)</f>
        <v>New</v>
      </c>
      <c r="G166" s="340" t="str">
        <f t="shared" si="17"/>
        <v>Yes</v>
      </c>
      <c r="H166" s="340" t="str">
        <f t="shared" si="18"/>
        <v>Yes</v>
      </c>
      <c r="I166" s="428">
        <f>SUMIF('Diags Raw Data'!$A$6:$A$3761,"*"&amp;$A166&amp;"*",'Diags Raw Data'!$K$6:$K$3761)</f>
        <v>0</v>
      </c>
      <c r="J166" s="430">
        <f>SUMIF('Diags Raw Data'!$A$6:$A$3761,"*"&amp;$A166&amp;"*",'Diags Raw Data'!$L$6:$L$3761)</f>
        <v>0</v>
      </c>
      <c r="K166" s="468" t="e" cm="1">
        <f t="array" ref="K166">IF(D166="",0, SUMPRODUCT(--(ISNUMBER(SEARCH($A166,'Diags Raw Data'!$A$6:$A$3761))),'Diags Raw Data'!$L$6:$L$3761,'Diags Raw Data'!$N$6:$N$3761)/J166)</f>
        <v>#DIV/0!</v>
      </c>
      <c r="L166" s="469" t="e" cm="1">
        <f t="array" ref="L166">IF(D166="",0, SUMPRODUCT(--(ISNUMBER(SEARCH($A166,'Diags Raw Data'!$A$6:$A$3761))),'Diags Raw Data'!$L$6:$L$3761,'Diags Raw Data'!$P$6:$P$3761)/J166)</f>
        <v>#DIV/0!</v>
      </c>
      <c r="M166" s="470" cm="1">
        <f t="array" ref="M166">SUMPRODUCT(--(ISNUMBER(SEARCH($A166,'Diags Raw Data'!$A$6:$A$3761))),--('Diags Raw Data'!$Q$6:$Q$3761&lt;&gt;"N/A"),'Diags Raw Data'!$R$6:$R$3761)</f>
        <v>1</v>
      </c>
      <c r="N166" s="471" cm="1">
        <f t="array" ref="N166">SUMPRODUCT(--(ISNUMBER(SEARCH($A166,'Diags Raw Data'!$A$6:$A$3761))),--('Diags Raw Data'!$Q$6:$Q$3761&lt;&gt;"N/A"),'Diags Raw Data'!$T$6:$T$3761)+SUMPRODUCT(--(ISNUMBER(SEARCH($A166,'Diags Raw Data'!$A$6:$A$3761))),--('Diags Raw Data'!$Q$6:$Q$3761&lt;&gt;"N/A"),'Diags Raw Data'!$U$6:$U$3761)</f>
        <v>0</v>
      </c>
      <c r="O166" s="472">
        <f t="shared" si="19"/>
        <v>0</v>
      </c>
      <c r="P166" s="473">
        <f>SUMIF('Diags Raw Data'!$A$6:$A$3761,"*"&amp;$A166&amp;"*",'Diags Raw Data'!$Z$6:$Z$3761)</f>
        <v>0</v>
      </c>
      <c r="Q166" s="474">
        <f>SUM(SUMIF('Diags Raw Data'!$A$6:$A$3761,"*"&amp;$A166&amp;"*",'Diags Raw Data'!$AA$6:$AA$3761),SUMIF('Diags Raw Data'!$A$6:$A$3761,"*"&amp;$A166&amp;"*",'Diags Raw Data'!$AB$6:$AB$3761))</f>
        <v>0</v>
      </c>
      <c r="R166" s="475">
        <f t="shared" si="20"/>
        <v>0</v>
      </c>
      <c r="S166" s="475">
        <f t="shared" si="21"/>
        <v>0</v>
      </c>
      <c r="T166" s="476">
        <f t="shared" si="22"/>
        <v>0</v>
      </c>
      <c r="U166" s="425" t="str">
        <f>VLOOKUP(A166,'Diags Raw Data'!$A$6:$AH$3761,33,FALSE)</f>
        <v>WK5</v>
      </c>
      <c r="V166" s="181"/>
    </row>
    <row r="167" spans="1:22" ht="15.75" thickBot="1" x14ac:dyDescent="0.3">
      <c r="A167" s="530">
        <v>12.343999999999999</v>
      </c>
      <c r="B167" s="427" t="str">
        <f>VLOOKUP(A167,'Feature Raw Data'!$A$3:$B$3922,2,FALSE)</f>
        <v>Faulting illegal ops to PCIE</v>
      </c>
      <c r="C167" s="428" t="str">
        <f>VLOOKUP(A167,'Feature Raw Data'!$A$3:$C$3922,3,FALSE)</f>
        <v>P1</v>
      </c>
      <c r="D167" s="429" t="str" cm="1">
        <f t="array" ref="D167">_xlfn.TEXTJOIN("",TRUE,IF(ISNUMBER(SEARCH($A167,'Diags Raw Data'!$A$6:$A$3761)),CONCATENATE('Diags Raw Data'!$H$6:$H$3761,", "),""))</f>
        <v xml:space="preserve">glxi86.1-2, </v>
      </c>
      <c r="E167" s="340" t="str">
        <f>VLOOKUP(A167,'Diags Raw Data'!$A$6:$D$3761,4,FALSE)</f>
        <v>CMM</v>
      </c>
      <c r="F167" s="340" t="str">
        <f>VLOOKUP(A167,'Feature Raw Data'!$A$3:$E$3922,5,FALSE)</f>
        <v>New</v>
      </c>
      <c r="G167" s="340" t="str">
        <f t="shared" si="17"/>
        <v>Yes</v>
      </c>
      <c r="H167" s="340" t="str">
        <f t="shared" si="18"/>
        <v>Yes</v>
      </c>
      <c r="I167" s="428">
        <f>SUMIF('Diags Raw Data'!$A$6:$A$3761,"*"&amp;$A167&amp;"*",'Diags Raw Data'!$K$6:$K$3761)</f>
        <v>0</v>
      </c>
      <c r="J167" s="430">
        <f>SUMIF('Diags Raw Data'!$A$6:$A$3761,"*"&amp;$A167&amp;"*",'Diags Raw Data'!$L$6:$L$3761)</f>
        <v>0</v>
      </c>
      <c r="K167" s="468" t="e" cm="1">
        <f t="array" ref="K167">IF(D167="",0, SUMPRODUCT(--(ISNUMBER(SEARCH($A167,'Diags Raw Data'!$A$6:$A$3761))),'Diags Raw Data'!$L$6:$L$3761,'Diags Raw Data'!$N$6:$N$3761)/J167)</f>
        <v>#DIV/0!</v>
      </c>
      <c r="L167" s="469" t="e" cm="1">
        <f t="array" ref="L167">IF(D167="",0, SUMPRODUCT(--(ISNUMBER(SEARCH($A167,'Diags Raw Data'!$A$6:$A$3761))),'Diags Raw Data'!$L$6:$L$3761,'Diags Raw Data'!$P$6:$P$3761)/J167)</f>
        <v>#DIV/0!</v>
      </c>
      <c r="M167" s="470" cm="1">
        <f t="array" ref="M167">SUMPRODUCT(--(ISNUMBER(SEARCH($A167,'Diags Raw Data'!$A$6:$A$3761))),--('Diags Raw Data'!$Q$6:$Q$3761&lt;&gt;"N/A"),'Diags Raw Data'!$R$6:$R$3761)</f>
        <v>1</v>
      </c>
      <c r="N167" s="471" cm="1">
        <f t="array" ref="N167">SUMPRODUCT(--(ISNUMBER(SEARCH($A167,'Diags Raw Data'!$A$6:$A$3761))),--('Diags Raw Data'!$Q$6:$Q$3761&lt;&gt;"N/A"),'Diags Raw Data'!$T$6:$T$3761)+SUMPRODUCT(--(ISNUMBER(SEARCH($A167,'Diags Raw Data'!$A$6:$A$3761))),--('Diags Raw Data'!$Q$6:$Q$3761&lt;&gt;"N/A"),'Diags Raw Data'!$U$6:$U$3761)</f>
        <v>0</v>
      </c>
      <c r="O167" s="472">
        <f t="shared" si="19"/>
        <v>0</v>
      </c>
      <c r="P167" s="473">
        <f>SUMIF('Diags Raw Data'!$A$6:$A$3761,"*"&amp;$A167&amp;"*",'Diags Raw Data'!$Z$6:$Z$3761)</f>
        <v>0</v>
      </c>
      <c r="Q167" s="474">
        <f>SUM(SUMIF('Diags Raw Data'!$A$6:$A$3761,"*"&amp;$A167&amp;"*",'Diags Raw Data'!$AA$6:$AA$3761),SUMIF('Diags Raw Data'!$A$6:$A$3761,"*"&amp;$A167&amp;"*",'Diags Raw Data'!$AB$6:$AB$3761))</f>
        <v>0</v>
      </c>
      <c r="R167" s="475">
        <f t="shared" si="20"/>
        <v>0</v>
      </c>
      <c r="S167" s="475">
        <f t="shared" si="21"/>
        <v>0</v>
      </c>
      <c r="T167" s="476">
        <f t="shared" si="22"/>
        <v>0</v>
      </c>
      <c r="U167" s="425" t="str">
        <f>VLOOKUP(A167,'Diags Raw Data'!$A$6:$AH$3761,33,FALSE)</f>
        <v>WK6</v>
      </c>
      <c r="V167" s="181"/>
    </row>
    <row r="168" spans="1:22" ht="45.75" thickBot="1" x14ac:dyDescent="0.3">
      <c r="A168" s="530">
        <v>12.349</v>
      </c>
      <c r="B168" s="427" t="str">
        <f>VLOOKUP(A168,'Feature Raw Data'!$A$3:$B$3922,2,FALSE)</f>
        <v>Perfmon: GFX - Convert all counter modules to SPM-only mode</v>
      </c>
      <c r="C168" s="428" t="str">
        <f>VLOOKUP(A168,'Feature Raw Data'!$A$3:$C$3922,3,FALSE)</f>
        <v>P2</v>
      </c>
      <c r="D168" s="429" t="str" cm="1">
        <f t="array" ref="D168">_xlfn.TEXTJOIN("",TRUE,IF(ISNUMBER(SEARCH($A168,'Diags Raw Data'!$A$6:$A$3761)),CONCATENATE('Diags Raw Data'!$H$6:$H$3761,", "),""))</f>
        <v xml:space="preserve">std1.6,with,tgre,spm,cp,test,with,spm, </v>
      </c>
      <c r="E168" s="340" t="str">
        <f>VLOOKUP(A168,'Diags Raw Data'!$A$6:$D$3761,4,FALSE)</f>
        <v>GC</v>
      </c>
      <c r="F168" s="340" t="str">
        <f>VLOOKUP(A168,'Feature Raw Data'!$A$3:$E$3922,5,FALSE)</f>
        <v>New</v>
      </c>
      <c r="G168" s="340" t="str">
        <f t="shared" si="17"/>
        <v>Yes</v>
      </c>
      <c r="H168" s="340" t="str">
        <f t="shared" si="18"/>
        <v>Yes</v>
      </c>
      <c r="I168" s="428">
        <f>SUMIF('Diags Raw Data'!$A$6:$A$3761,"*"&amp;$A168&amp;"*",'Diags Raw Data'!$K$6:$K$3761)</f>
        <v>0</v>
      </c>
      <c r="J168" s="430">
        <f>SUMIF('Diags Raw Data'!$A$6:$A$3761,"*"&amp;$A168&amp;"*",'Diags Raw Data'!$L$6:$L$3761)</f>
        <v>0</v>
      </c>
      <c r="K168" s="468" t="e" cm="1">
        <f t="array" ref="K168">IF(D168="",0, SUMPRODUCT(--(ISNUMBER(SEARCH($A168,'Diags Raw Data'!$A$6:$A$3761))),'Diags Raw Data'!$L$6:$L$3761,'Diags Raw Data'!$N$6:$N$3761)/J168)</f>
        <v>#DIV/0!</v>
      </c>
      <c r="L168" s="469" t="e" cm="1">
        <f t="array" ref="L168">IF(D168="",0, SUMPRODUCT(--(ISNUMBER(SEARCH($A168,'Diags Raw Data'!$A$6:$A$3761))),'Diags Raw Data'!$L$6:$L$3761,'Diags Raw Data'!$P$6:$P$3761)/J168)</f>
        <v>#DIV/0!</v>
      </c>
      <c r="M168" s="470" cm="1">
        <f t="array" ref="M168">SUMPRODUCT(--(ISNUMBER(SEARCH($A168,'Diags Raw Data'!$A$6:$A$3761))),--('Diags Raw Data'!$Q$6:$Q$3761&lt;&gt;"N/A"),'Diags Raw Data'!$R$6:$R$3761)</f>
        <v>1</v>
      </c>
      <c r="N168" s="471" cm="1">
        <f t="array" ref="N168">SUMPRODUCT(--(ISNUMBER(SEARCH($A168,'Diags Raw Data'!$A$6:$A$3761))),--('Diags Raw Data'!$Q$6:$Q$3761&lt;&gt;"N/A"),'Diags Raw Data'!$T$6:$T$3761)+SUMPRODUCT(--(ISNUMBER(SEARCH($A168,'Diags Raw Data'!$A$6:$A$3761))),--('Diags Raw Data'!$Q$6:$Q$3761&lt;&gt;"N/A"),'Diags Raw Data'!$U$6:$U$3761)</f>
        <v>0</v>
      </c>
      <c r="O168" s="472">
        <f t="shared" si="19"/>
        <v>0</v>
      </c>
      <c r="P168" s="473">
        <f>SUMIF('Diags Raw Data'!$A$6:$A$3761,"*"&amp;$A168&amp;"*",'Diags Raw Data'!$Z$6:$Z$3761)</f>
        <v>0</v>
      </c>
      <c r="Q168" s="474">
        <f>SUM(SUMIF('Diags Raw Data'!$A$6:$A$3761,"*"&amp;$A168&amp;"*",'Diags Raw Data'!$AA$6:$AA$3761),SUMIF('Diags Raw Data'!$A$6:$A$3761,"*"&amp;$A168&amp;"*",'Diags Raw Data'!$AB$6:$AB$3761))</f>
        <v>0</v>
      </c>
      <c r="R168" s="475">
        <f t="shared" si="20"/>
        <v>0</v>
      </c>
      <c r="S168" s="475">
        <f t="shared" si="21"/>
        <v>0</v>
      </c>
      <c r="T168" s="476">
        <f t="shared" si="22"/>
        <v>0</v>
      </c>
      <c r="U168" s="425" t="str">
        <f>VLOOKUP(A168,'Diags Raw Data'!$A$6:$AH$3761,33,FALSE)</f>
        <v>WK8</v>
      </c>
      <c r="V168" s="181"/>
    </row>
    <row r="169" spans="1:22" ht="45.75" thickBot="1" x14ac:dyDescent="0.3">
      <c r="A169" s="530">
        <v>12.356</v>
      </c>
      <c r="B169" s="427" t="str">
        <f>VLOOKUP(A169,'Feature Raw Data'!$A$3:$B$3922,2,FALSE)</f>
        <v>Perfmon: GFX - GFX SPM sampling window to be driven by REFCLK</v>
      </c>
      <c r="C169" s="428" t="str">
        <f>VLOOKUP(A169,'Feature Raw Data'!$A$3:$C$3922,3,FALSE)</f>
        <v>P1</v>
      </c>
      <c r="D169" s="429" t="str" cm="1">
        <f t="array" ref="D169">_xlfn.TEXTJOIN("",TRUE,IF(ISNUMBER(SEARCH($A169,'Diags Raw Data'!$A$6:$A$3761)),CONCATENATE('Diags Raw Data'!$H$6:$H$3761,", "),""))</f>
        <v xml:space="preserve">rlc1.0, </v>
      </c>
      <c r="E169" s="340" t="str">
        <f>VLOOKUP(A169,'Diags Raw Data'!$A$6:$D$3761,4,FALSE)</f>
        <v>GC</v>
      </c>
      <c r="F169" s="340" t="str">
        <f>VLOOKUP(A169,'Feature Raw Data'!$A$3:$E$3922,5,FALSE)</f>
        <v>New</v>
      </c>
      <c r="G169" s="340" t="str">
        <f t="shared" si="17"/>
        <v>Yes</v>
      </c>
      <c r="H169" s="340" t="str">
        <f t="shared" si="18"/>
        <v>Yes</v>
      </c>
      <c r="I169" s="428">
        <f>SUMIF('Diags Raw Data'!$A$6:$A$3761,"*"&amp;$A169&amp;"*",'Diags Raw Data'!$K$6:$K$3761)</f>
        <v>0</v>
      </c>
      <c r="J169" s="430">
        <f>SUMIF('Diags Raw Data'!$A$6:$A$3761,"*"&amp;$A169&amp;"*",'Diags Raw Data'!$L$6:$L$3761)</f>
        <v>0</v>
      </c>
      <c r="K169" s="468" t="e" cm="1">
        <f t="array" ref="K169">IF(D169="",0, SUMPRODUCT(--(ISNUMBER(SEARCH($A169,'Diags Raw Data'!$A$6:$A$3761))),'Diags Raw Data'!$L$6:$L$3761,'Diags Raw Data'!$N$6:$N$3761)/J169)</f>
        <v>#DIV/0!</v>
      </c>
      <c r="L169" s="469" t="e" cm="1">
        <f t="array" ref="L169">IF(D169="",0, SUMPRODUCT(--(ISNUMBER(SEARCH($A169,'Diags Raw Data'!$A$6:$A$3761))),'Diags Raw Data'!$L$6:$L$3761,'Diags Raw Data'!$P$6:$P$3761)/J169)</f>
        <v>#DIV/0!</v>
      </c>
      <c r="M169" s="470" cm="1">
        <f t="array" ref="M169">SUMPRODUCT(--(ISNUMBER(SEARCH($A169,'Diags Raw Data'!$A$6:$A$3761))),--('Diags Raw Data'!$Q$6:$Q$3761&lt;&gt;"N/A"),'Diags Raw Data'!$R$6:$R$3761)</f>
        <v>1</v>
      </c>
      <c r="N169" s="471" cm="1">
        <f t="array" ref="N169">SUMPRODUCT(--(ISNUMBER(SEARCH($A169,'Diags Raw Data'!$A$6:$A$3761))),--('Diags Raw Data'!$Q$6:$Q$3761&lt;&gt;"N/A"),'Diags Raw Data'!$T$6:$T$3761)+SUMPRODUCT(--(ISNUMBER(SEARCH($A169,'Diags Raw Data'!$A$6:$A$3761))),--('Diags Raw Data'!$Q$6:$Q$3761&lt;&gt;"N/A"),'Diags Raw Data'!$U$6:$U$3761)</f>
        <v>1</v>
      </c>
      <c r="O169" s="472">
        <f t="shared" si="19"/>
        <v>1</v>
      </c>
      <c r="P169" s="473">
        <f>SUMIF('Diags Raw Data'!$A$6:$A$3761,"*"&amp;$A169&amp;"*",'Diags Raw Data'!$Z$6:$Z$3761)</f>
        <v>0</v>
      </c>
      <c r="Q169" s="474">
        <f>SUM(SUMIF('Diags Raw Data'!$A$6:$A$3761,"*"&amp;$A169&amp;"*",'Diags Raw Data'!$AA$6:$AA$3761),SUMIF('Diags Raw Data'!$A$6:$A$3761,"*"&amp;$A169&amp;"*",'Diags Raw Data'!$AB$6:$AB$3761))</f>
        <v>0</v>
      </c>
      <c r="R169" s="475">
        <f t="shared" si="20"/>
        <v>0</v>
      </c>
      <c r="S169" s="475">
        <f t="shared" si="21"/>
        <v>0</v>
      </c>
      <c r="T169" s="476">
        <f t="shared" si="22"/>
        <v>0</v>
      </c>
      <c r="U169" s="425" t="str">
        <f>VLOOKUP(A169,'Diags Raw Data'!$A$6:$AH$3761,33,FALSE)</f>
        <v>WK5</v>
      </c>
      <c r="V169" s="181"/>
    </row>
    <row r="170" spans="1:22" ht="45.75" thickBot="1" x14ac:dyDescent="0.3">
      <c r="A170" s="530">
        <v>12.356999999999999</v>
      </c>
      <c r="B170" s="427" t="str">
        <f>VLOOKUP(A170,'Feature Raw Data'!$A$3:$B$3922,2,FALSE)</f>
        <v>Perfmon: GFX - SQ counters to support shader type filters per individual counter</v>
      </c>
      <c r="C170" s="428" t="str">
        <f>VLOOKUP(A170,'Feature Raw Data'!$A$3:$C$3922,3,FALSE)</f>
        <v>P1</v>
      </c>
      <c r="D170" s="429" t="str" cm="1">
        <f t="array" ref="D170">_xlfn.TEXTJOIN("",TRUE,IF(ISNUMBER(SEARCH($A170,'Diags Raw Data'!$A$6:$A$3761)),CONCATENATE('Diags Raw Data'!$H$6:$H$3761,", "),""))</f>
        <v xml:space="preserve">std1.1,with,legacy,pv_proxy, </v>
      </c>
      <c r="E170" s="340" t="str">
        <f>VLOOKUP(A170,'Diags Raw Data'!$A$6:$D$3761,4,FALSE)</f>
        <v>GC</v>
      </c>
      <c r="F170" s="340" t="str">
        <f>VLOOKUP(A170,'Feature Raw Data'!$A$3:$E$3922,5,FALSE)</f>
        <v>New</v>
      </c>
      <c r="G170" s="340" t="str">
        <f t="shared" si="17"/>
        <v>Yes</v>
      </c>
      <c r="H170" s="340" t="str">
        <f t="shared" si="18"/>
        <v>Yes</v>
      </c>
      <c r="I170" s="428">
        <f>SUMIF('Diags Raw Data'!$A$6:$A$3761,"*"&amp;$A170&amp;"*",'Diags Raw Data'!$K$6:$K$3761)</f>
        <v>0</v>
      </c>
      <c r="J170" s="430">
        <f>SUMIF('Diags Raw Data'!$A$6:$A$3761,"*"&amp;$A170&amp;"*",'Diags Raw Data'!$L$6:$L$3761)</f>
        <v>0</v>
      </c>
      <c r="K170" s="468" t="e" cm="1">
        <f t="array" ref="K170">IF(D170="",0, SUMPRODUCT(--(ISNUMBER(SEARCH($A170,'Diags Raw Data'!$A$6:$A$3761))),'Diags Raw Data'!$L$6:$L$3761,'Diags Raw Data'!$N$6:$N$3761)/J170)</f>
        <v>#DIV/0!</v>
      </c>
      <c r="L170" s="469" t="e" cm="1">
        <f t="array" ref="L170">IF(D170="",0, SUMPRODUCT(--(ISNUMBER(SEARCH($A170,'Diags Raw Data'!$A$6:$A$3761))),'Diags Raw Data'!$L$6:$L$3761,'Diags Raw Data'!$P$6:$P$3761)/J170)</f>
        <v>#DIV/0!</v>
      </c>
      <c r="M170" s="470" cm="1">
        <f t="array" ref="M170">SUMPRODUCT(--(ISNUMBER(SEARCH($A170,'Diags Raw Data'!$A$6:$A$3761))),--('Diags Raw Data'!$Q$6:$Q$3761&lt;&gt;"N/A"),'Diags Raw Data'!$R$6:$R$3761)</f>
        <v>1</v>
      </c>
      <c r="N170" s="471" cm="1">
        <f t="array" ref="N170">SUMPRODUCT(--(ISNUMBER(SEARCH($A170,'Diags Raw Data'!$A$6:$A$3761))),--('Diags Raw Data'!$Q$6:$Q$3761&lt;&gt;"N/A"),'Diags Raw Data'!$T$6:$T$3761)+SUMPRODUCT(--(ISNUMBER(SEARCH($A170,'Diags Raw Data'!$A$6:$A$3761))),--('Diags Raw Data'!$Q$6:$Q$3761&lt;&gt;"N/A"),'Diags Raw Data'!$U$6:$U$3761)</f>
        <v>1</v>
      </c>
      <c r="O170" s="472">
        <f t="shared" si="19"/>
        <v>1</v>
      </c>
      <c r="P170" s="473">
        <f>SUMIF('Diags Raw Data'!$A$6:$A$3761,"*"&amp;$A170&amp;"*",'Diags Raw Data'!$Z$6:$Z$3761)</f>
        <v>0</v>
      </c>
      <c r="Q170" s="474">
        <f>SUM(SUMIF('Diags Raw Data'!$A$6:$A$3761,"*"&amp;$A170&amp;"*",'Diags Raw Data'!$AA$6:$AA$3761),SUMIF('Diags Raw Data'!$A$6:$A$3761,"*"&amp;$A170&amp;"*",'Diags Raw Data'!$AB$6:$AB$3761))</f>
        <v>0</v>
      </c>
      <c r="R170" s="475">
        <f t="shared" si="20"/>
        <v>0</v>
      </c>
      <c r="S170" s="475">
        <f t="shared" si="21"/>
        <v>0</v>
      </c>
      <c r="T170" s="476">
        <f t="shared" si="22"/>
        <v>0</v>
      </c>
      <c r="U170" s="425" t="str">
        <f>VLOOKUP(A170,'Diags Raw Data'!$A$6:$AH$3761,33,FALSE)</f>
        <v>WK5</v>
      </c>
      <c r="V170" s="181"/>
    </row>
    <row r="171" spans="1:22" ht="45.75" thickBot="1" x14ac:dyDescent="0.3">
      <c r="A171" s="530">
        <v>12.358000000000001</v>
      </c>
      <c r="B171" s="427" t="str">
        <f>VLOOKUP(A171,'Feature Raw Data'!$A$3:$B$3922,2,FALSE)</f>
        <v>Perfmon: GFX - Custom data injection from CP into SPM with delta counters</v>
      </c>
      <c r="C171" s="428" t="str">
        <f>VLOOKUP(A171,'Feature Raw Data'!$A$3:$C$3922,3,FALSE)</f>
        <v>P2</v>
      </c>
      <c r="D171" s="429" t="str" cm="1">
        <f t="array" ref="D171">_xlfn.TEXTJOIN("",TRUE,IF(ISNUMBER(SEARCH($A171,'Diags Raw Data'!$A$6:$A$3761)),CONCATENATE('Diags Raw Data'!$H$6:$H$3761,", "),""))</f>
        <v xml:space="preserve">rlc1.0,rlc1.1, </v>
      </c>
      <c r="E171" s="340" t="str">
        <f>VLOOKUP(A171,'Diags Raw Data'!$A$6:$D$3761,4,FALSE)</f>
        <v>GC</v>
      </c>
      <c r="F171" s="340" t="str">
        <f>VLOOKUP(A171,'Feature Raw Data'!$A$3:$E$3922,5,FALSE)</f>
        <v>New</v>
      </c>
      <c r="G171" s="340" t="str">
        <f t="shared" si="17"/>
        <v>Yes</v>
      </c>
      <c r="H171" s="340" t="str">
        <f t="shared" si="18"/>
        <v>Yes</v>
      </c>
      <c r="I171" s="428">
        <f>SUMIF('Diags Raw Data'!$A$6:$A$3761,"*"&amp;$A171&amp;"*",'Diags Raw Data'!$K$6:$K$3761)</f>
        <v>0</v>
      </c>
      <c r="J171" s="430">
        <f>SUMIF('Diags Raw Data'!$A$6:$A$3761,"*"&amp;$A171&amp;"*",'Diags Raw Data'!$L$6:$L$3761)</f>
        <v>0</v>
      </c>
      <c r="K171" s="468" t="e" cm="1">
        <f t="array" ref="K171">IF(D171="",0, SUMPRODUCT(--(ISNUMBER(SEARCH($A171,'Diags Raw Data'!$A$6:$A$3761))),'Diags Raw Data'!$L$6:$L$3761,'Diags Raw Data'!$N$6:$N$3761)/J171)</f>
        <v>#DIV/0!</v>
      </c>
      <c r="L171" s="469" t="e" cm="1">
        <f t="array" ref="L171">IF(D171="",0, SUMPRODUCT(--(ISNUMBER(SEARCH($A171,'Diags Raw Data'!$A$6:$A$3761))),'Diags Raw Data'!$L$6:$L$3761,'Diags Raw Data'!$P$6:$P$3761)/J171)</f>
        <v>#DIV/0!</v>
      </c>
      <c r="M171" s="470" cm="1">
        <f t="array" ref="M171">SUMPRODUCT(--(ISNUMBER(SEARCH($A171,'Diags Raw Data'!$A$6:$A$3761))),--('Diags Raw Data'!$Q$6:$Q$3761&lt;&gt;"N/A"),'Diags Raw Data'!$R$6:$R$3761)</f>
        <v>1</v>
      </c>
      <c r="N171" s="471" cm="1">
        <f t="array" ref="N171">SUMPRODUCT(--(ISNUMBER(SEARCH($A171,'Diags Raw Data'!$A$6:$A$3761))),--('Diags Raw Data'!$Q$6:$Q$3761&lt;&gt;"N/A"),'Diags Raw Data'!$T$6:$T$3761)+SUMPRODUCT(--(ISNUMBER(SEARCH($A171,'Diags Raw Data'!$A$6:$A$3761))),--('Diags Raw Data'!$Q$6:$Q$3761&lt;&gt;"N/A"),'Diags Raw Data'!$U$6:$U$3761)</f>
        <v>1</v>
      </c>
      <c r="O171" s="472">
        <f t="shared" si="19"/>
        <v>1</v>
      </c>
      <c r="P171" s="473">
        <f>SUMIF('Diags Raw Data'!$A$6:$A$3761,"*"&amp;$A171&amp;"*",'Diags Raw Data'!$Z$6:$Z$3761)</f>
        <v>0</v>
      </c>
      <c r="Q171" s="474">
        <f>SUM(SUMIF('Diags Raw Data'!$A$6:$A$3761,"*"&amp;$A171&amp;"*",'Diags Raw Data'!$AA$6:$AA$3761),SUMIF('Diags Raw Data'!$A$6:$A$3761,"*"&amp;$A171&amp;"*",'Diags Raw Data'!$AB$6:$AB$3761))</f>
        <v>0</v>
      </c>
      <c r="R171" s="475">
        <f t="shared" si="20"/>
        <v>0</v>
      </c>
      <c r="S171" s="475">
        <f t="shared" si="21"/>
        <v>0</v>
      </c>
      <c r="T171" s="476">
        <f t="shared" si="22"/>
        <v>0</v>
      </c>
      <c r="U171" s="425" t="str">
        <f>VLOOKUP(A171,'Diags Raw Data'!$A$6:$AH$3761,33,FALSE)</f>
        <v>WK8</v>
      </c>
      <c r="V171" s="181"/>
    </row>
    <row r="172" spans="1:22" ht="30.75" thickBot="1" x14ac:dyDescent="0.3">
      <c r="A172" s="530">
        <v>12.36</v>
      </c>
      <c r="B172" s="427" t="str">
        <f>VLOOKUP(A172,'Feature Raw Data'!$A$3:$B$3922,2,FALSE)</f>
        <v>WMMA wave level matrix load Instruction</v>
      </c>
      <c r="C172" s="428" t="str">
        <f>VLOOKUP(A172,'Feature Raw Data'!$A$3:$C$3922,3,FALSE)</f>
        <v>P2</v>
      </c>
      <c r="D172" s="429" t="str" cm="1">
        <f t="array" ref="D172">_xlfn.TEXTJOIN("",TRUE,IF(ISNUMBER(SEARCH($A172,'Diags Raw Data'!$A$6:$A$3761)),CONCATENATE('Diags Raw Data'!$H$6:$H$3761,", "),""))</f>
        <v xml:space="preserve">gfx.inst_perf/global_load_tr.*, shci2039.4,shci2039.5, </v>
      </c>
      <c r="E172" s="340" t="str">
        <f>VLOOKUP(A172,'Diags Raw Data'!$A$6:$D$3761,4,FALSE)</f>
        <v>SH</v>
      </c>
      <c r="F172" s="340" t="str">
        <f>VLOOKUP(A172,'Feature Raw Data'!$A$3:$E$3922,5,FALSE)</f>
        <v>New</v>
      </c>
      <c r="G172" s="340" t="str">
        <f t="shared" si="17"/>
        <v>Yes</v>
      </c>
      <c r="H172" s="340" t="str">
        <f t="shared" si="18"/>
        <v>Yes</v>
      </c>
      <c r="I172" s="428">
        <f>SUMIF('Diags Raw Data'!$A$6:$A$3761,"*"&amp;$A172&amp;"*",'Diags Raw Data'!$K$6:$K$3761)</f>
        <v>0</v>
      </c>
      <c r="J172" s="430">
        <f>SUMIF('Diags Raw Data'!$A$6:$A$3761,"*"&amp;$A172&amp;"*",'Diags Raw Data'!$L$6:$L$3761)</f>
        <v>0</v>
      </c>
      <c r="K172" s="468" t="e" cm="1">
        <f t="array" ref="K172">IF(D172="",0, SUMPRODUCT(--(ISNUMBER(SEARCH($A172,'Diags Raw Data'!$A$6:$A$3761))),'Diags Raw Data'!$L$6:$L$3761,'Diags Raw Data'!$N$6:$N$3761)/J172)</f>
        <v>#DIV/0!</v>
      </c>
      <c r="L172" s="469" t="e" cm="1">
        <f t="array" ref="L172">IF(D172="",0, SUMPRODUCT(--(ISNUMBER(SEARCH($A172,'Diags Raw Data'!$A$6:$A$3761))),'Diags Raw Data'!$L$6:$L$3761,'Diags Raw Data'!$P$6:$P$3761)/J172)</f>
        <v>#DIV/0!</v>
      </c>
      <c r="M172" s="470" cm="1">
        <f t="array" ref="M172">SUMPRODUCT(--(ISNUMBER(SEARCH($A172,'Diags Raw Data'!$A$6:$A$3761))),--('Diags Raw Data'!$Q$6:$Q$3761&lt;&gt;"N/A"),'Diags Raw Data'!$R$6:$R$3761)</f>
        <v>3</v>
      </c>
      <c r="N172" s="471" cm="1">
        <f t="array" ref="N172">SUMPRODUCT(--(ISNUMBER(SEARCH($A172,'Diags Raw Data'!$A$6:$A$3761))),--('Diags Raw Data'!$Q$6:$Q$3761&lt;&gt;"N/A"),'Diags Raw Data'!$T$6:$T$3761)+SUMPRODUCT(--(ISNUMBER(SEARCH($A172,'Diags Raw Data'!$A$6:$A$3761))),--('Diags Raw Data'!$Q$6:$Q$3761&lt;&gt;"N/A"),'Diags Raw Data'!$U$6:$U$3761)</f>
        <v>3</v>
      </c>
      <c r="O172" s="472">
        <f t="shared" si="19"/>
        <v>1</v>
      </c>
      <c r="P172" s="473">
        <f>SUMIF('Diags Raw Data'!$A$6:$A$3761,"*"&amp;$A172&amp;"*",'Diags Raw Data'!$Z$6:$Z$3761)</f>
        <v>0</v>
      </c>
      <c r="Q172" s="474">
        <f>SUM(SUMIF('Diags Raw Data'!$A$6:$A$3761,"*"&amp;$A172&amp;"*",'Diags Raw Data'!$AA$6:$AA$3761),SUMIF('Diags Raw Data'!$A$6:$A$3761,"*"&amp;$A172&amp;"*",'Diags Raw Data'!$AB$6:$AB$3761))</f>
        <v>0</v>
      </c>
      <c r="R172" s="475">
        <f t="shared" si="20"/>
        <v>0</v>
      </c>
      <c r="S172" s="475">
        <f t="shared" si="21"/>
        <v>0</v>
      </c>
      <c r="T172" s="476">
        <f t="shared" si="22"/>
        <v>0</v>
      </c>
      <c r="U172" s="425" t="str">
        <f>VLOOKUP(A172,'Diags Raw Data'!$A$6:$AH$3761,33,FALSE)</f>
        <v>WK6</v>
      </c>
      <c r="V172" s="181"/>
    </row>
    <row r="173" spans="1:22" ht="30.75" thickBot="1" x14ac:dyDescent="0.3">
      <c r="A173" s="530">
        <v>12.361000000000001</v>
      </c>
      <c r="B173" s="427" t="str">
        <f>VLOOKUP(A173,'Feature Raw Data'!$A$3:$B$3922,2,FALSE)</f>
        <v>Perfmon: GFX - VMID Specific Profiling/Debugging</v>
      </c>
      <c r="C173" s="428" t="str">
        <f>VLOOKUP(A173,'Feature Raw Data'!$A$3:$C$3922,3,FALSE)</f>
        <v>P2</v>
      </c>
      <c r="D173" s="429" t="str" cm="1">
        <f t="array" ref="D173">_xlfn.TEXTJOIN("",TRUE,IF(ISNUMBER(SEARCH($A173,'Diags Raw Data'!$A$6:$A$3761)),CONCATENATE('Diags Raw Data'!$H$6:$H$3761,", "),""))</f>
        <v xml:space="preserve">shci2039.4,shci2039.5, </v>
      </c>
      <c r="E173" s="340" t="str">
        <f>VLOOKUP(A173,'Diags Raw Data'!$A$6:$D$3761,4,FALSE)</f>
        <v>SH</v>
      </c>
      <c r="F173" s="340" t="str">
        <f>VLOOKUP(A173,'Feature Raw Data'!$A$3:$E$3922,5,FALSE)</f>
        <v>New</v>
      </c>
      <c r="G173" s="340" t="str">
        <f t="shared" si="17"/>
        <v>Yes</v>
      </c>
      <c r="H173" s="340" t="str">
        <f t="shared" si="18"/>
        <v>Yes</v>
      </c>
      <c r="I173" s="428">
        <f>SUMIF('Diags Raw Data'!$A$6:$A$3761,"*"&amp;$A173&amp;"*",'Diags Raw Data'!$K$6:$K$3761)</f>
        <v>0</v>
      </c>
      <c r="J173" s="430">
        <f>SUMIF('Diags Raw Data'!$A$6:$A$3761,"*"&amp;$A173&amp;"*",'Diags Raw Data'!$L$6:$L$3761)</f>
        <v>0</v>
      </c>
      <c r="K173" s="468" t="e" cm="1">
        <f t="array" ref="K173">IF(D173="",0, SUMPRODUCT(--(ISNUMBER(SEARCH($A173,'Diags Raw Data'!$A$6:$A$3761))),'Diags Raw Data'!$L$6:$L$3761,'Diags Raw Data'!$N$6:$N$3761)/J173)</f>
        <v>#DIV/0!</v>
      </c>
      <c r="L173" s="469" t="e" cm="1">
        <f t="array" ref="L173">IF(D173="",0, SUMPRODUCT(--(ISNUMBER(SEARCH($A173,'Diags Raw Data'!$A$6:$A$3761))),'Diags Raw Data'!$L$6:$L$3761,'Diags Raw Data'!$P$6:$P$3761)/J173)</f>
        <v>#DIV/0!</v>
      </c>
      <c r="M173" s="470" cm="1">
        <f t="array" ref="M173">SUMPRODUCT(--(ISNUMBER(SEARCH($A173,'Diags Raw Data'!$A$6:$A$3761))),--('Diags Raw Data'!$Q$6:$Q$3761&lt;&gt;"N/A"),'Diags Raw Data'!$R$6:$R$3761)</f>
        <v>1</v>
      </c>
      <c r="N173" s="471" cm="1">
        <f t="array" ref="N173">SUMPRODUCT(--(ISNUMBER(SEARCH($A173,'Diags Raw Data'!$A$6:$A$3761))),--('Diags Raw Data'!$Q$6:$Q$3761&lt;&gt;"N/A"),'Diags Raw Data'!$T$6:$T$3761)+SUMPRODUCT(--(ISNUMBER(SEARCH($A173,'Diags Raw Data'!$A$6:$A$3761))),--('Diags Raw Data'!$Q$6:$Q$3761&lt;&gt;"N/A"),'Diags Raw Data'!$U$6:$U$3761)</f>
        <v>1</v>
      </c>
      <c r="O173" s="472">
        <f t="shared" si="19"/>
        <v>1</v>
      </c>
      <c r="P173" s="473">
        <f>SUMIF('Diags Raw Data'!$A$6:$A$3761,"*"&amp;$A173&amp;"*",'Diags Raw Data'!$Z$6:$Z$3761)</f>
        <v>0</v>
      </c>
      <c r="Q173" s="474">
        <f>SUM(SUMIF('Diags Raw Data'!$A$6:$A$3761,"*"&amp;$A173&amp;"*",'Diags Raw Data'!$AA$6:$AA$3761),SUMIF('Diags Raw Data'!$A$6:$A$3761,"*"&amp;$A173&amp;"*",'Diags Raw Data'!$AB$6:$AB$3761))</f>
        <v>0</v>
      </c>
      <c r="R173" s="475">
        <f t="shared" si="20"/>
        <v>0</v>
      </c>
      <c r="S173" s="475">
        <f t="shared" si="21"/>
        <v>0</v>
      </c>
      <c r="T173" s="476">
        <f t="shared" si="22"/>
        <v>0</v>
      </c>
      <c r="U173" s="425" t="str">
        <f>VLOOKUP(A173,'Diags Raw Data'!$A$6:$AH$3761,33,FALSE)</f>
        <v>WK8</v>
      </c>
      <c r="V173" s="181"/>
    </row>
    <row r="174" spans="1:22" ht="45.75" thickBot="1" x14ac:dyDescent="0.3">
      <c r="A174" s="530">
        <v>12.366</v>
      </c>
      <c r="B174" s="427" t="str">
        <f>VLOOKUP(A174,'Feature Raw Data'!$A$3:$B$3922,2,FALSE)</f>
        <v>NV4x: Perfmon: Review and refinement of available perf counter events for GC and DF</v>
      </c>
      <c r="C174" s="428" t="str">
        <f>VLOOKUP(A174,'Feature Raw Data'!$A$3:$C$3922,3,FALSE)</f>
        <v>P2</v>
      </c>
      <c r="D174" s="429" t="str" cm="1">
        <f t="array" ref="D174">_xlfn.TEXTJOIN("",TRUE,IF(ISNUMBER(SEARCH($A174,'Diags Raw Data'!$A$6:$A$3761)),CONCATENATE('Diags Raw Data'!$H$6:$H$3761,", "),""))</f>
        <v/>
      </c>
      <c r="E174" s="340" t="e">
        <f>VLOOKUP(A174,'Diags Raw Data'!$A$6:$D$3761,4,FALSE)</f>
        <v>#N/A</v>
      </c>
      <c r="F174" s="340" t="str">
        <f>VLOOKUP(A174,'Feature Raw Data'!$A$3:$E$3922,5,FALSE)</f>
        <v>New</v>
      </c>
      <c r="G174" s="340" t="str">
        <f t="shared" si="17"/>
        <v>Yes</v>
      </c>
      <c r="H174" s="340" t="str">
        <f t="shared" si="18"/>
        <v>Yes</v>
      </c>
      <c r="I174" s="428">
        <f>SUMIF('Diags Raw Data'!$A$6:$A$3761,"*"&amp;$A174&amp;"*",'Diags Raw Data'!$K$6:$K$3761)</f>
        <v>0</v>
      </c>
      <c r="J174" s="430">
        <f>SUMIF('Diags Raw Data'!$A$6:$A$3761,"*"&amp;$A174&amp;"*",'Diags Raw Data'!$L$6:$L$3761)</f>
        <v>0</v>
      </c>
      <c r="K174" s="468" cm="1">
        <f t="array" ref="K174">IF(D174="",0, SUMPRODUCT(--(ISNUMBER(SEARCH($A174,'Diags Raw Data'!$A$6:$A$3761))),'Diags Raw Data'!$L$6:$L$3761,'Diags Raw Data'!$N$6:$N$3761)/J174)</f>
        <v>0</v>
      </c>
      <c r="L174" s="469" cm="1">
        <f t="array" ref="L174">IF(D174="",0, SUMPRODUCT(--(ISNUMBER(SEARCH($A174,'Diags Raw Data'!$A$6:$A$3761))),'Diags Raw Data'!$L$6:$L$3761,'Diags Raw Data'!$P$6:$P$3761)/J174)</f>
        <v>0</v>
      </c>
      <c r="M174" s="470" cm="1">
        <f t="array" ref="M174">SUMPRODUCT(--(ISNUMBER(SEARCH($A174,'Diags Raw Data'!$A$6:$A$3761))),--('Diags Raw Data'!$Q$6:$Q$3761&lt;&gt;"N/A"),'Diags Raw Data'!$R$6:$R$3761)</f>
        <v>0</v>
      </c>
      <c r="N174" s="471" cm="1">
        <f t="array" ref="N174">SUMPRODUCT(--(ISNUMBER(SEARCH($A174,'Diags Raw Data'!$A$6:$A$3761))),--('Diags Raw Data'!$Q$6:$Q$3761&lt;&gt;"N/A"),'Diags Raw Data'!$T$6:$T$3761)+SUMPRODUCT(--(ISNUMBER(SEARCH($A174,'Diags Raw Data'!$A$6:$A$3761))),--('Diags Raw Data'!$Q$6:$Q$3761&lt;&gt;"N/A"),'Diags Raw Data'!$U$6:$U$3761)</f>
        <v>0</v>
      </c>
      <c r="O174" s="472">
        <f t="shared" si="19"/>
        <v>0</v>
      </c>
      <c r="P174" s="473">
        <f>SUMIF('Diags Raw Data'!$A$6:$A$3761,"*"&amp;$A174&amp;"*",'Diags Raw Data'!$Z$6:$Z$3761)</f>
        <v>0</v>
      </c>
      <c r="Q174" s="474">
        <f>SUM(SUMIF('Diags Raw Data'!$A$6:$A$3761,"*"&amp;$A174&amp;"*",'Diags Raw Data'!$AA$6:$AA$3761),SUMIF('Diags Raw Data'!$A$6:$A$3761,"*"&amp;$A174&amp;"*",'Diags Raw Data'!$AB$6:$AB$3761))</f>
        <v>0</v>
      </c>
      <c r="R174" s="475">
        <f t="shared" si="20"/>
        <v>0</v>
      </c>
      <c r="S174" s="475">
        <f t="shared" si="21"/>
        <v>0</v>
      </c>
      <c r="T174" s="476">
        <f t="shared" si="22"/>
        <v>0</v>
      </c>
      <c r="U174" s="425" t="e">
        <f>VLOOKUP(A174,'Diags Raw Data'!$A$6:$AH$3761,33,FALSE)</f>
        <v>#N/A</v>
      </c>
      <c r="V174" s="181"/>
    </row>
    <row r="175" spans="1:22" ht="30.75" thickBot="1" x14ac:dyDescent="0.3">
      <c r="A175" s="530">
        <v>12.37</v>
      </c>
      <c r="B175" s="427" t="str">
        <f>VLOOKUP(A175,'Feature Raw Data'!$A$3:$B$3922,2,FALSE)</f>
        <v xml:space="preserve">Fix VOPD dual V_MOV </v>
      </c>
      <c r="C175" s="428" t="str">
        <f>VLOOKUP(A175,'Feature Raw Data'!$A$3:$C$3922,3,FALSE)</f>
        <v>P2</v>
      </c>
      <c r="D175" s="429" t="str" cm="1">
        <f t="array" ref="D175">_xlfn.TEXTJOIN("",TRUE,IF(ISNUMBER(SEARCH($A175,'Diags Raw Data'!$A$6:$A$3761)),CONCATENATE('Diags Raw Data'!$H$6:$H$3761,", "),""))</f>
        <v xml:space="preserve">gfx.inst_perf/v_dual_mov_b32, std1.6,2.6,3.6,4.6, </v>
      </c>
      <c r="E175" s="340" t="str">
        <f>VLOOKUP(A175,'Diags Raw Data'!$A$6:$D$3761,4,FALSE)</f>
        <v>SH</v>
      </c>
      <c r="F175" s="340" t="str">
        <f>VLOOKUP(A175,'Feature Raw Data'!$A$3:$E$3922,5,FALSE)</f>
        <v>New</v>
      </c>
      <c r="G175" s="340" t="str">
        <f t="shared" si="17"/>
        <v>Yes</v>
      </c>
      <c r="H175" s="340" t="str">
        <f t="shared" si="18"/>
        <v>Yes</v>
      </c>
      <c r="I175" s="428">
        <f>SUMIF('Diags Raw Data'!$A$6:$A$3761,"*"&amp;$A175&amp;"*",'Diags Raw Data'!$K$6:$K$3761)</f>
        <v>0</v>
      </c>
      <c r="J175" s="430">
        <f>SUMIF('Diags Raw Data'!$A$6:$A$3761,"*"&amp;$A175&amp;"*",'Diags Raw Data'!$L$6:$L$3761)</f>
        <v>0</v>
      </c>
      <c r="K175" s="468" t="e" cm="1">
        <f t="array" ref="K175">IF(D175="",0, SUMPRODUCT(--(ISNUMBER(SEARCH($A175,'Diags Raw Data'!$A$6:$A$3761))),'Diags Raw Data'!$L$6:$L$3761,'Diags Raw Data'!$N$6:$N$3761)/J175)</f>
        <v>#DIV/0!</v>
      </c>
      <c r="L175" s="469" t="e" cm="1">
        <f t="array" ref="L175">IF(D175="",0, SUMPRODUCT(--(ISNUMBER(SEARCH($A175,'Diags Raw Data'!$A$6:$A$3761))),'Diags Raw Data'!$L$6:$L$3761,'Diags Raw Data'!$P$6:$P$3761)/J175)</f>
        <v>#DIV/0!</v>
      </c>
      <c r="M175" s="470" cm="1">
        <f t="array" ref="M175">SUMPRODUCT(--(ISNUMBER(SEARCH($A175,'Diags Raw Data'!$A$6:$A$3761))),--('Diags Raw Data'!$Q$6:$Q$3761&lt;&gt;"N/A"),'Diags Raw Data'!$R$6:$R$3761)</f>
        <v>5</v>
      </c>
      <c r="N175" s="471" cm="1">
        <f t="array" ref="N175">SUMPRODUCT(--(ISNUMBER(SEARCH($A175,'Diags Raw Data'!$A$6:$A$3761))),--('Diags Raw Data'!$Q$6:$Q$3761&lt;&gt;"N/A"),'Diags Raw Data'!$T$6:$T$3761)+SUMPRODUCT(--(ISNUMBER(SEARCH($A175,'Diags Raw Data'!$A$6:$A$3761))),--('Diags Raw Data'!$Q$6:$Q$3761&lt;&gt;"N/A"),'Diags Raw Data'!$U$6:$U$3761)</f>
        <v>4</v>
      </c>
      <c r="O175" s="472">
        <f t="shared" si="19"/>
        <v>0.8</v>
      </c>
      <c r="P175" s="473">
        <f>SUMIF('Diags Raw Data'!$A$6:$A$3761,"*"&amp;$A175&amp;"*",'Diags Raw Data'!$Z$6:$Z$3761)</f>
        <v>0</v>
      </c>
      <c r="Q175" s="474">
        <f>SUM(SUMIF('Diags Raw Data'!$A$6:$A$3761,"*"&amp;$A175&amp;"*",'Diags Raw Data'!$AA$6:$AA$3761),SUMIF('Diags Raw Data'!$A$6:$A$3761,"*"&amp;$A175&amp;"*",'Diags Raw Data'!$AB$6:$AB$3761))</f>
        <v>0</v>
      </c>
      <c r="R175" s="475">
        <f t="shared" si="20"/>
        <v>0</v>
      </c>
      <c r="S175" s="475">
        <f t="shared" si="21"/>
        <v>0</v>
      </c>
      <c r="T175" s="476">
        <f t="shared" si="22"/>
        <v>0</v>
      </c>
      <c r="U175" s="425" t="str">
        <f>VLOOKUP(A175,'Diags Raw Data'!$A$6:$AH$3761,33,FALSE)</f>
        <v>WK6</v>
      </c>
      <c r="V175" s="181"/>
    </row>
    <row r="176" spans="1:22" ht="45.75" thickBot="1" x14ac:dyDescent="0.3">
      <c r="A176" s="530">
        <v>12.372999999999999</v>
      </c>
      <c r="B176" s="427" t="str">
        <f>VLOOKUP(A176,'Feature Raw Data'!$A$3:$B$3922,2,FALSE)</f>
        <v>Modification of GS throttle (due to 12.118 ph_memory_queues)</v>
      </c>
      <c r="C176" s="428" t="str">
        <f>VLOOKUP(A176,'Feature Raw Data'!$A$3:$C$3922,3,FALSE)</f>
        <v>P1</v>
      </c>
      <c r="D176" s="429" t="str" cm="1">
        <f t="array" ref="D176">_xlfn.TEXTJOIN("",TRUE,IF(ISNUMBER(SEARCH($A176,'Diags Raw Data'!$A$6:$A$3761)),CONCATENATE('Diags Raw Data'!$H$6:$H$3761,", "),""))</f>
        <v xml:space="preserve">std1.6,2.6,3.6,4.6, </v>
      </c>
      <c r="E176" s="340" t="str">
        <f>VLOOKUP(A176,'Diags Raw Data'!$A$6:$D$3761,4,FALSE)</f>
        <v>GEO</v>
      </c>
      <c r="F176" s="340" t="str">
        <f>VLOOKUP(A176,'Feature Raw Data'!$A$3:$E$3922,5,FALSE)</f>
        <v>New</v>
      </c>
      <c r="G176" s="340" t="str">
        <f t="shared" si="17"/>
        <v>Yes</v>
      </c>
      <c r="H176" s="340" t="str">
        <f t="shared" si="18"/>
        <v>Yes</v>
      </c>
      <c r="I176" s="428">
        <f>SUMIF('Diags Raw Data'!$A$6:$A$3761,"*"&amp;$A176&amp;"*",'Diags Raw Data'!$K$6:$K$3761)</f>
        <v>0</v>
      </c>
      <c r="J176" s="430">
        <f>SUMIF('Diags Raw Data'!$A$6:$A$3761,"*"&amp;$A176&amp;"*",'Diags Raw Data'!$L$6:$L$3761)</f>
        <v>0</v>
      </c>
      <c r="K176" s="468" t="e" cm="1">
        <f t="array" ref="K176">IF(D176="",0, SUMPRODUCT(--(ISNUMBER(SEARCH($A176,'Diags Raw Data'!$A$6:$A$3761))),'Diags Raw Data'!$L$6:$L$3761,'Diags Raw Data'!$N$6:$N$3761)/J176)</f>
        <v>#DIV/0!</v>
      </c>
      <c r="L176" s="469" t="e" cm="1">
        <f t="array" ref="L176">IF(D176="",0, SUMPRODUCT(--(ISNUMBER(SEARCH($A176,'Diags Raw Data'!$A$6:$A$3761))),'Diags Raw Data'!$L$6:$L$3761,'Diags Raw Data'!$P$6:$P$3761)/J176)</f>
        <v>#DIV/0!</v>
      </c>
      <c r="M176" s="470" cm="1">
        <f t="array" ref="M176">SUMPRODUCT(--(ISNUMBER(SEARCH($A176,'Diags Raw Data'!$A$6:$A$3761))),--('Diags Raw Data'!$Q$6:$Q$3761&lt;&gt;"N/A"),'Diags Raw Data'!$R$6:$R$3761)</f>
        <v>4</v>
      </c>
      <c r="N176" s="471" cm="1">
        <f t="array" ref="N176">SUMPRODUCT(--(ISNUMBER(SEARCH($A176,'Diags Raw Data'!$A$6:$A$3761))),--('Diags Raw Data'!$Q$6:$Q$3761&lt;&gt;"N/A"),'Diags Raw Data'!$T$6:$T$3761)+SUMPRODUCT(--(ISNUMBER(SEARCH($A176,'Diags Raw Data'!$A$6:$A$3761))),--('Diags Raw Data'!$Q$6:$Q$3761&lt;&gt;"N/A"),'Diags Raw Data'!$U$6:$U$3761)</f>
        <v>3</v>
      </c>
      <c r="O176" s="472">
        <f t="shared" si="19"/>
        <v>0.75</v>
      </c>
      <c r="P176" s="473">
        <f>SUMIF('Diags Raw Data'!$A$6:$A$3761,"*"&amp;$A176&amp;"*",'Diags Raw Data'!$Z$6:$Z$3761)</f>
        <v>0</v>
      </c>
      <c r="Q176" s="474">
        <f>SUM(SUMIF('Diags Raw Data'!$A$6:$A$3761,"*"&amp;$A176&amp;"*",'Diags Raw Data'!$AA$6:$AA$3761),SUMIF('Diags Raw Data'!$A$6:$A$3761,"*"&amp;$A176&amp;"*",'Diags Raw Data'!$AB$6:$AB$3761))</f>
        <v>0</v>
      </c>
      <c r="R176" s="475">
        <f t="shared" si="20"/>
        <v>0</v>
      </c>
      <c r="S176" s="475">
        <f t="shared" si="21"/>
        <v>0</v>
      </c>
      <c r="T176" s="476">
        <f t="shared" si="22"/>
        <v>0</v>
      </c>
      <c r="U176" s="425" t="str">
        <f>VLOOKUP(A176,'Diags Raw Data'!$A$6:$AH$3761,33,FALSE)</f>
        <v>WK4</v>
      </c>
      <c r="V176" s="181"/>
    </row>
    <row r="177" spans="1:22" ht="30.75" thickBot="1" x14ac:dyDescent="0.3">
      <c r="A177" s="530">
        <v>12.374000000000001</v>
      </c>
      <c r="B177" s="427" t="str">
        <f>VLOOKUP(A177,'Feature Raw Data'!$A$3:$B$3922,2,FALSE)</f>
        <v>MEM_PWR_CTRL Bus increase to support FGCG</v>
      </c>
      <c r="C177" s="428" t="str">
        <f>VLOOKUP(A177,'Feature Raw Data'!$A$3:$C$3922,3,FALSE)</f>
        <v>P1</v>
      </c>
      <c r="D177" s="429" t="str" cm="1">
        <f t="array" ref="D177">_xlfn.TEXTJOIN("",TRUE,IF(ISNUMBER(SEARCH($A177,'Diags Raw Data'!$A$6:$A$3761)),CONCATENATE('Diags Raw Data'!$H$6:$H$3761,", "),""))</f>
        <v/>
      </c>
      <c r="E177" s="340" t="e">
        <f>VLOOKUP(A177,'Diags Raw Data'!$A$6:$D$3761,4,FALSE)</f>
        <v>#N/A</v>
      </c>
      <c r="F177" s="340" t="str">
        <f>VLOOKUP(A177,'Feature Raw Data'!$A$3:$E$3922,5,FALSE)</f>
        <v>New</v>
      </c>
      <c r="G177" s="340" t="str">
        <f t="shared" si="17"/>
        <v>Yes</v>
      </c>
      <c r="H177" s="340" t="str">
        <f t="shared" si="18"/>
        <v>Yes</v>
      </c>
      <c r="I177" s="428">
        <f>SUMIF('Diags Raw Data'!$A$6:$A$3761,"*"&amp;$A177&amp;"*",'Diags Raw Data'!$K$6:$K$3761)</f>
        <v>0</v>
      </c>
      <c r="J177" s="430">
        <f>SUMIF('Diags Raw Data'!$A$6:$A$3761,"*"&amp;$A177&amp;"*",'Diags Raw Data'!$L$6:$L$3761)</f>
        <v>0</v>
      </c>
      <c r="K177" s="468" cm="1">
        <f t="array" ref="K177">IF(D177="",0, SUMPRODUCT(--(ISNUMBER(SEARCH($A177,'Diags Raw Data'!$A$6:$A$3761))),'Diags Raw Data'!$L$6:$L$3761,'Diags Raw Data'!$N$6:$N$3761)/J177)</f>
        <v>0</v>
      </c>
      <c r="L177" s="469" cm="1">
        <f t="array" ref="L177">IF(D177="",0, SUMPRODUCT(--(ISNUMBER(SEARCH($A177,'Diags Raw Data'!$A$6:$A$3761))),'Diags Raw Data'!$L$6:$L$3761,'Diags Raw Data'!$P$6:$P$3761)/J177)</f>
        <v>0</v>
      </c>
      <c r="M177" s="470" cm="1">
        <f t="array" ref="M177">SUMPRODUCT(--(ISNUMBER(SEARCH($A177,'Diags Raw Data'!$A$6:$A$3761))),--('Diags Raw Data'!$Q$6:$Q$3761&lt;&gt;"N/A"),'Diags Raw Data'!$R$6:$R$3761)</f>
        <v>0</v>
      </c>
      <c r="N177" s="471" cm="1">
        <f t="array" ref="N177">SUMPRODUCT(--(ISNUMBER(SEARCH($A177,'Diags Raw Data'!$A$6:$A$3761))),--('Diags Raw Data'!$Q$6:$Q$3761&lt;&gt;"N/A"),'Diags Raw Data'!$T$6:$T$3761)+SUMPRODUCT(--(ISNUMBER(SEARCH($A177,'Diags Raw Data'!$A$6:$A$3761))),--('Diags Raw Data'!$Q$6:$Q$3761&lt;&gt;"N/A"),'Diags Raw Data'!$U$6:$U$3761)</f>
        <v>0</v>
      </c>
      <c r="O177" s="472">
        <f t="shared" si="19"/>
        <v>0</v>
      </c>
      <c r="P177" s="473">
        <f>SUMIF('Diags Raw Data'!$A$6:$A$3761,"*"&amp;$A177&amp;"*",'Diags Raw Data'!$Z$6:$Z$3761)</f>
        <v>0</v>
      </c>
      <c r="Q177" s="474">
        <f>SUM(SUMIF('Diags Raw Data'!$A$6:$A$3761,"*"&amp;$A177&amp;"*",'Diags Raw Data'!$AA$6:$AA$3761),SUMIF('Diags Raw Data'!$A$6:$A$3761,"*"&amp;$A177&amp;"*",'Diags Raw Data'!$AB$6:$AB$3761))</f>
        <v>0</v>
      </c>
      <c r="R177" s="475">
        <f t="shared" si="20"/>
        <v>0</v>
      </c>
      <c r="S177" s="475">
        <f t="shared" si="21"/>
        <v>0</v>
      </c>
      <c r="T177" s="476">
        <f t="shared" si="22"/>
        <v>0</v>
      </c>
      <c r="U177" s="425" t="e">
        <f>VLOOKUP(A177,'Diags Raw Data'!$A$6:$AH$3761,33,FALSE)</f>
        <v>#N/A</v>
      </c>
      <c r="V177" s="181"/>
    </row>
    <row r="178" spans="1:22" ht="30.75" thickBot="1" x14ac:dyDescent="0.3">
      <c r="A178" s="530">
        <v>12.382</v>
      </c>
      <c r="B178" s="427" t="str">
        <f>VLOOKUP(A178,'Feature Raw Data'!$A$3:$B$3922,2,FALSE)</f>
        <v>[Strix] pbb_tile_order_rev -- from BRP:11.5.017</v>
      </c>
      <c r="C178" s="428" t="str">
        <f>VLOOKUP(A178,'Feature Raw Data'!$A$3:$C$3922,3,FALSE)</f>
        <v>P2</v>
      </c>
      <c r="D178" s="429" t="str" cm="1">
        <f t="array" ref="D178">_xlfn.TEXTJOIN("",TRUE,IF(ISNUMBER(SEARCH($A178,'Diags Raw Data'!$A$6:$A$3761)),CONCATENATE('Diags Raw Data'!$H$6:$H$3761,", "),""))</f>
        <v/>
      </c>
      <c r="E178" s="340" t="e">
        <f>VLOOKUP(A178,'Diags Raw Data'!$A$6:$D$3761,4,FALSE)</f>
        <v>#N/A</v>
      </c>
      <c r="F178" s="340" t="str">
        <f>VLOOKUP(A178,'Feature Raw Data'!$A$3:$E$3922,5,FALSE)</f>
        <v>Legacy</v>
      </c>
      <c r="G178" s="340" t="str">
        <f t="shared" si="17"/>
        <v>Yes</v>
      </c>
      <c r="H178" s="340" t="str">
        <f t="shared" si="18"/>
        <v>Yes</v>
      </c>
      <c r="I178" s="428">
        <f>SUMIF('Diags Raw Data'!$A$6:$A$3761,"*"&amp;$A178&amp;"*",'Diags Raw Data'!$K$6:$K$3761)</f>
        <v>0</v>
      </c>
      <c r="J178" s="430">
        <f>SUMIF('Diags Raw Data'!$A$6:$A$3761,"*"&amp;$A178&amp;"*",'Diags Raw Data'!$L$6:$L$3761)</f>
        <v>0</v>
      </c>
      <c r="K178" s="468" cm="1">
        <f t="array" ref="K178">IF(D178="",0, SUMPRODUCT(--(ISNUMBER(SEARCH($A178,'Diags Raw Data'!$A$6:$A$3761))),'Diags Raw Data'!$L$6:$L$3761,'Diags Raw Data'!$N$6:$N$3761)/J178)</f>
        <v>0</v>
      </c>
      <c r="L178" s="469" cm="1">
        <f t="array" ref="L178">IF(D178="",0, SUMPRODUCT(--(ISNUMBER(SEARCH($A178,'Diags Raw Data'!$A$6:$A$3761))),'Diags Raw Data'!$L$6:$L$3761,'Diags Raw Data'!$P$6:$P$3761)/J178)</f>
        <v>0</v>
      </c>
      <c r="M178" s="470" cm="1">
        <f t="array" ref="M178">SUMPRODUCT(--(ISNUMBER(SEARCH($A178,'Diags Raw Data'!$A$6:$A$3761))),--('Diags Raw Data'!$Q$6:$Q$3761&lt;&gt;"N/A"),'Diags Raw Data'!$R$6:$R$3761)</f>
        <v>0</v>
      </c>
      <c r="N178" s="471" cm="1">
        <f t="array" ref="N178">SUMPRODUCT(--(ISNUMBER(SEARCH($A178,'Diags Raw Data'!$A$6:$A$3761))),--('Diags Raw Data'!$Q$6:$Q$3761&lt;&gt;"N/A"),'Diags Raw Data'!$T$6:$T$3761)+SUMPRODUCT(--(ISNUMBER(SEARCH($A178,'Diags Raw Data'!$A$6:$A$3761))),--('Diags Raw Data'!$Q$6:$Q$3761&lt;&gt;"N/A"),'Diags Raw Data'!$U$6:$U$3761)</f>
        <v>0</v>
      </c>
      <c r="O178" s="472">
        <f t="shared" si="19"/>
        <v>0</v>
      </c>
      <c r="P178" s="473">
        <f>SUMIF('Diags Raw Data'!$A$6:$A$3761,"*"&amp;$A178&amp;"*",'Diags Raw Data'!$Z$6:$Z$3761)</f>
        <v>0</v>
      </c>
      <c r="Q178" s="474">
        <f>SUM(SUMIF('Diags Raw Data'!$A$6:$A$3761,"*"&amp;$A178&amp;"*",'Diags Raw Data'!$AA$6:$AA$3761),SUMIF('Diags Raw Data'!$A$6:$A$3761,"*"&amp;$A178&amp;"*",'Diags Raw Data'!$AB$6:$AB$3761))</f>
        <v>0</v>
      </c>
      <c r="R178" s="475">
        <f t="shared" si="20"/>
        <v>0</v>
      </c>
      <c r="S178" s="475">
        <f t="shared" si="21"/>
        <v>0</v>
      </c>
      <c r="T178" s="476">
        <f t="shared" si="22"/>
        <v>0</v>
      </c>
      <c r="U178" s="425" t="e">
        <f>VLOOKUP(A178,'Diags Raw Data'!$A$6:$AH$3761,33,FALSE)</f>
        <v>#N/A</v>
      </c>
      <c r="V178" s="535" t="s">
        <v>376</v>
      </c>
    </row>
    <row r="179" spans="1:22" ht="15.75" thickBot="1" x14ac:dyDescent="0.3">
      <c r="A179" s="530">
        <v>12.387</v>
      </c>
      <c r="B179" s="427" t="str">
        <f>VLOOKUP(A179,'Feature Raw Data'!$A$3:$B$3922,2,FALSE)</f>
        <v>Block Initiatives</v>
      </c>
      <c r="C179" s="428" t="str">
        <f>VLOOKUP(A179,'Feature Raw Data'!$A$3:$C$3922,3,FALSE)</f>
        <v>P1</v>
      </c>
      <c r="D179" s="429" t="str" cm="1">
        <f t="array" ref="D179">_xlfn.TEXTJOIN("",TRUE,IF(ISNUMBER(SEARCH($A179,'Diags Raw Data'!$A$6:$A$3761)),CONCATENATE('Diags Raw Data'!$H$6:$H$3761,", "),""))</f>
        <v/>
      </c>
      <c r="E179" s="340" t="e">
        <f>VLOOKUP(A179,'Diags Raw Data'!$A$6:$D$3761,4,FALSE)</f>
        <v>#N/A</v>
      </c>
      <c r="F179" s="340" t="str">
        <f>VLOOKUP(A179,'Feature Raw Data'!$A$3:$E$3922,5,FALSE)</f>
        <v>New</v>
      </c>
      <c r="G179" s="340" t="str">
        <f t="shared" si="17"/>
        <v>Yes</v>
      </c>
      <c r="H179" s="340" t="str">
        <f t="shared" si="18"/>
        <v>Yes</v>
      </c>
      <c r="I179" s="428">
        <f>SUMIF('Diags Raw Data'!$A$6:$A$3761,"*"&amp;$A179&amp;"*",'Diags Raw Data'!$K$6:$K$3761)</f>
        <v>0</v>
      </c>
      <c r="J179" s="430">
        <f>SUMIF('Diags Raw Data'!$A$6:$A$3761,"*"&amp;$A179&amp;"*",'Diags Raw Data'!$L$6:$L$3761)</f>
        <v>0</v>
      </c>
      <c r="K179" s="468" cm="1">
        <f t="array" ref="K179">IF(D179="",0, SUMPRODUCT(--(ISNUMBER(SEARCH($A179,'Diags Raw Data'!$A$6:$A$3761))),'Diags Raw Data'!$L$6:$L$3761,'Diags Raw Data'!$N$6:$N$3761)/J179)</f>
        <v>0</v>
      </c>
      <c r="L179" s="469" cm="1">
        <f t="array" ref="L179">IF(D179="",0, SUMPRODUCT(--(ISNUMBER(SEARCH($A179,'Diags Raw Data'!$A$6:$A$3761))),'Diags Raw Data'!$L$6:$L$3761,'Diags Raw Data'!$P$6:$P$3761)/J179)</f>
        <v>0</v>
      </c>
      <c r="M179" s="470" cm="1">
        <f t="array" ref="M179">SUMPRODUCT(--(ISNUMBER(SEARCH($A179,'Diags Raw Data'!$A$6:$A$3761))),--('Diags Raw Data'!$Q$6:$Q$3761&lt;&gt;"N/A"),'Diags Raw Data'!$R$6:$R$3761)</f>
        <v>0</v>
      </c>
      <c r="N179" s="471" cm="1">
        <f t="array" ref="N179">SUMPRODUCT(--(ISNUMBER(SEARCH($A179,'Diags Raw Data'!$A$6:$A$3761))),--('Diags Raw Data'!$Q$6:$Q$3761&lt;&gt;"N/A"),'Diags Raw Data'!$T$6:$T$3761)+SUMPRODUCT(--(ISNUMBER(SEARCH($A179,'Diags Raw Data'!$A$6:$A$3761))),--('Diags Raw Data'!$Q$6:$Q$3761&lt;&gt;"N/A"),'Diags Raw Data'!$U$6:$U$3761)</f>
        <v>0</v>
      </c>
      <c r="O179" s="472">
        <f t="shared" si="19"/>
        <v>0</v>
      </c>
      <c r="P179" s="473">
        <f>SUMIF('Diags Raw Data'!$A$6:$A$3761,"*"&amp;$A179&amp;"*",'Diags Raw Data'!$Z$6:$Z$3761)</f>
        <v>0</v>
      </c>
      <c r="Q179" s="474">
        <f>SUM(SUMIF('Diags Raw Data'!$A$6:$A$3761,"*"&amp;$A179&amp;"*",'Diags Raw Data'!$AA$6:$AA$3761),SUMIF('Diags Raw Data'!$A$6:$A$3761,"*"&amp;$A179&amp;"*",'Diags Raw Data'!$AB$6:$AB$3761))</f>
        <v>0</v>
      </c>
      <c r="R179" s="475">
        <f t="shared" si="20"/>
        <v>0</v>
      </c>
      <c r="S179" s="475">
        <f t="shared" si="21"/>
        <v>0</v>
      </c>
      <c r="T179" s="476">
        <f t="shared" si="22"/>
        <v>0</v>
      </c>
      <c r="U179" s="425" t="e">
        <f>VLOOKUP(A179,'Diags Raw Data'!$A$6:$AH$3761,33,FALSE)</f>
        <v>#N/A</v>
      </c>
      <c r="V179" s="535" t="s">
        <v>431</v>
      </c>
    </row>
    <row r="180" spans="1:22" ht="30.75" thickBot="1" x14ac:dyDescent="0.3">
      <c r="A180" s="530">
        <v>12.388999999999999</v>
      </c>
      <c r="B180" s="427" t="str">
        <f>VLOOKUP(A180,'Feature Raw Data'!$A$3:$B$3922,2,FALSE)</f>
        <v>GFX EDC Controller using XVmin/Mafdd</v>
      </c>
      <c r="C180" s="428" t="str">
        <f>VLOOKUP(A180,'Feature Raw Data'!$A$3:$C$3922,3,FALSE)</f>
        <v>P1</v>
      </c>
      <c r="D180" s="429" t="str" cm="1">
        <f t="array" ref="D180">_xlfn.TEXTJOIN("",TRUE,IF(ISNUMBER(SEARCH($A180,'Diags Raw Data'!$A$6:$A$3761)),CONCATENATE('Diags Raw Data'!$H$6:$H$3761,", "),""))</f>
        <v/>
      </c>
      <c r="E180" s="340" t="e">
        <f>VLOOKUP(A180,'Diags Raw Data'!$A$6:$D$3761,4,FALSE)</f>
        <v>#N/A</v>
      </c>
      <c r="F180" s="340" t="str">
        <f>VLOOKUP(A180,'Feature Raw Data'!$A$3:$E$3922,5,FALSE)</f>
        <v>New</v>
      </c>
      <c r="G180" s="340" t="str">
        <f t="shared" si="17"/>
        <v>Yes</v>
      </c>
      <c r="H180" s="340" t="str">
        <f t="shared" si="18"/>
        <v>Yes</v>
      </c>
      <c r="I180" s="428">
        <f>SUMIF('Diags Raw Data'!$A$6:$A$3761,"*"&amp;$A180&amp;"*",'Diags Raw Data'!$K$6:$K$3761)</f>
        <v>0</v>
      </c>
      <c r="J180" s="430">
        <f>SUMIF('Diags Raw Data'!$A$6:$A$3761,"*"&amp;$A180&amp;"*",'Diags Raw Data'!$L$6:$L$3761)</f>
        <v>0</v>
      </c>
      <c r="K180" s="468" cm="1">
        <f t="array" ref="K180">IF(D180="",0, SUMPRODUCT(--(ISNUMBER(SEARCH($A180,'Diags Raw Data'!$A$6:$A$3761))),'Diags Raw Data'!$L$6:$L$3761,'Diags Raw Data'!$N$6:$N$3761)/J180)</f>
        <v>0</v>
      </c>
      <c r="L180" s="469" cm="1">
        <f t="array" ref="L180">IF(D180="",0, SUMPRODUCT(--(ISNUMBER(SEARCH($A180,'Diags Raw Data'!$A$6:$A$3761))),'Diags Raw Data'!$L$6:$L$3761,'Diags Raw Data'!$P$6:$P$3761)/J180)</f>
        <v>0</v>
      </c>
      <c r="M180" s="470" cm="1">
        <f t="array" ref="M180">SUMPRODUCT(--(ISNUMBER(SEARCH($A180,'Diags Raw Data'!$A$6:$A$3761))),--('Diags Raw Data'!$Q$6:$Q$3761&lt;&gt;"N/A"),'Diags Raw Data'!$R$6:$R$3761)</f>
        <v>0</v>
      </c>
      <c r="N180" s="471" cm="1">
        <f t="array" ref="N180">SUMPRODUCT(--(ISNUMBER(SEARCH($A180,'Diags Raw Data'!$A$6:$A$3761))),--('Diags Raw Data'!$Q$6:$Q$3761&lt;&gt;"N/A"),'Diags Raw Data'!$T$6:$T$3761)+SUMPRODUCT(--(ISNUMBER(SEARCH($A180,'Diags Raw Data'!$A$6:$A$3761))),--('Diags Raw Data'!$Q$6:$Q$3761&lt;&gt;"N/A"),'Diags Raw Data'!$U$6:$U$3761)</f>
        <v>0</v>
      </c>
      <c r="O180" s="472">
        <f t="shared" si="19"/>
        <v>0</v>
      </c>
      <c r="P180" s="473">
        <f>SUMIF('Diags Raw Data'!$A$6:$A$3761,"*"&amp;$A180&amp;"*",'Diags Raw Data'!$Z$6:$Z$3761)</f>
        <v>0</v>
      </c>
      <c r="Q180" s="474">
        <f>SUM(SUMIF('Diags Raw Data'!$A$6:$A$3761,"*"&amp;$A180&amp;"*",'Diags Raw Data'!$AA$6:$AA$3761),SUMIF('Diags Raw Data'!$A$6:$A$3761,"*"&amp;$A180&amp;"*",'Diags Raw Data'!$AB$6:$AB$3761))</f>
        <v>0</v>
      </c>
      <c r="R180" s="475">
        <f t="shared" si="20"/>
        <v>0</v>
      </c>
      <c r="S180" s="475">
        <f t="shared" si="21"/>
        <v>0</v>
      </c>
      <c r="T180" s="476">
        <f t="shared" si="22"/>
        <v>0</v>
      </c>
      <c r="U180" s="425" t="e">
        <f>VLOOKUP(A180,'Diags Raw Data'!$A$6:$AH$3761,33,FALSE)</f>
        <v>#N/A</v>
      </c>
      <c r="V180" s="535" t="s">
        <v>413</v>
      </c>
    </row>
    <row r="181" spans="1:22" ht="30.75" thickBot="1" x14ac:dyDescent="0.3">
      <c r="A181" s="530">
        <v>12.391999999999999</v>
      </c>
      <c r="B181" s="427" t="str">
        <f>VLOOKUP(A181,'Feature Raw Data'!$A$3:$B$3922,2,FALSE)</f>
        <v>NV4x: GFX Cac Events selection enhancement</v>
      </c>
      <c r="C181" s="428" t="str">
        <f>VLOOKUP(A181,'Feature Raw Data'!$A$3:$C$3922,3,FALSE)</f>
        <v>P2</v>
      </c>
      <c r="D181" s="429" t="str" cm="1">
        <f t="array" ref="D181">_xlfn.TEXTJOIN("",TRUE,IF(ISNUMBER(SEARCH($A181,'Diags Raw Data'!$A$6:$A$3761)),CONCATENATE('Diags Raw Data'!$H$6:$H$3761,", "),""))</f>
        <v/>
      </c>
      <c r="E181" s="340" t="e">
        <f>VLOOKUP(A181,'Diags Raw Data'!$A$6:$D$3761,4,FALSE)</f>
        <v>#N/A</v>
      </c>
      <c r="F181" s="340" t="str">
        <f>VLOOKUP(A181,'Feature Raw Data'!$A$3:$E$3922,5,FALSE)</f>
        <v>New</v>
      </c>
      <c r="G181" s="340" t="str">
        <f t="shared" si="17"/>
        <v>Yes</v>
      </c>
      <c r="H181" s="340" t="str">
        <f t="shared" si="18"/>
        <v>Yes</v>
      </c>
      <c r="I181" s="428">
        <f>SUMIF('Diags Raw Data'!$A$6:$A$3761,"*"&amp;$A181&amp;"*",'Diags Raw Data'!$K$6:$K$3761)</f>
        <v>0</v>
      </c>
      <c r="J181" s="430">
        <f>SUMIF('Diags Raw Data'!$A$6:$A$3761,"*"&amp;$A181&amp;"*",'Diags Raw Data'!$L$6:$L$3761)</f>
        <v>0</v>
      </c>
      <c r="K181" s="468" cm="1">
        <f t="array" ref="K181">IF(D181="",0, SUMPRODUCT(--(ISNUMBER(SEARCH($A181,'Diags Raw Data'!$A$6:$A$3761))),'Diags Raw Data'!$L$6:$L$3761,'Diags Raw Data'!$N$6:$N$3761)/J181)</f>
        <v>0</v>
      </c>
      <c r="L181" s="469" cm="1">
        <f t="array" ref="L181">IF(D181="",0, SUMPRODUCT(--(ISNUMBER(SEARCH($A181,'Diags Raw Data'!$A$6:$A$3761))),'Diags Raw Data'!$L$6:$L$3761,'Diags Raw Data'!$P$6:$P$3761)/J181)</f>
        <v>0</v>
      </c>
      <c r="M181" s="470" cm="1">
        <f t="array" ref="M181">SUMPRODUCT(--(ISNUMBER(SEARCH($A181,'Diags Raw Data'!$A$6:$A$3761))),--('Diags Raw Data'!$Q$6:$Q$3761&lt;&gt;"N/A"),'Diags Raw Data'!$R$6:$R$3761)</f>
        <v>0</v>
      </c>
      <c r="N181" s="471" cm="1">
        <f t="array" ref="N181">SUMPRODUCT(--(ISNUMBER(SEARCH($A181,'Diags Raw Data'!$A$6:$A$3761))),--('Diags Raw Data'!$Q$6:$Q$3761&lt;&gt;"N/A"),'Diags Raw Data'!$T$6:$T$3761)+SUMPRODUCT(--(ISNUMBER(SEARCH($A181,'Diags Raw Data'!$A$6:$A$3761))),--('Diags Raw Data'!$Q$6:$Q$3761&lt;&gt;"N/A"),'Diags Raw Data'!$U$6:$U$3761)</f>
        <v>0</v>
      </c>
      <c r="O181" s="472">
        <f t="shared" si="19"/>
        <v>0</v>
      </c>
      <c r="P181" s="473">
        <f>SUMIF('Diags Raw Data'!$A$6:$A$3761,"*"&amp;$A181&amp;"*",'Diags Raw Data'!$Z$6:$Z$3761)</f>
        <v>0</v>
      </c>
      <c r="Q181" s="474">
        <f>SUM(SUMIF('Diags Raw Data'!$A$6:$A$3761,"*"&amp;$A181&amp;"*",'Diags Raw Data'!$AA$6:$AA$3761),SUMIF('Diags Raw Data'!$A$6:$A$3761,"*"&amp;$A181&amp;"*",'Diags Raw Data'!$AB$6:$AB$3761))</f>
        <v>0</v>
      </c>
      <c r="R181" s="475">
        <f t="shared" si="20"/>
        <v>0</v>
      </c>
      <c r="S181" s="475">
        <f t="shared" si="21"/>
        <v>0</v>
      </c>
      <c r="T181" s="476">
        <f t="shared" si="22"/>
        <v>0</v>
      </c>
      <c r="U181" s="425" t="e">
        <f>VLOOKUP(A181,'Diags Raw Data'!$A$6:$AH$3761,33,FALSE)</f>
        <v>#N/A</v>
      </c>
      <c r="V181" s="535" t="s">
        <v>413</v>
      </c>
    </row>
    <row r="182" spans="1:22" ht="15.75" thickBot="1" x14ac:dyDescent="0.3">
      <c r="A182" s="530">
        <v>12.393000000000001</v>
      </c>
      <c r="B182" s="427" t="str">
        <f>VLOOKUP(A182,'Feature Raw Data'!$A$3:$B$3922,2,FALSE)</f>
        <v>GFX PCC latency optimization</v>
      </c>
      <c r="C182" s="428" t="str">
        <f>VLOOKUP(A182,'Feature Raw Data'!$A$3:$C$3922,3,FALSE)</f>
        <v>P1</v>
      </c>
      <c r="D182" s="429" t="str" cm="1">
        <f t="array" ref="D182">_xlfn.TEXTJOIN("",TRUE,IF(ISNUMBER(SEARCH($A182,'Diags Raw Data'!$A$6:$A$3761)),CONCATENATE('Diags Raw Data'!$H$6:$H$3761,", "),""))</f>
        <v/>
      </c>
      <c r="E182" s="340" t="e">
        <f>VLOOKUP(A182,'Diags Raw Data'!$A$6:$D$3761,4,FALSE)</f>
        <v>#N/A</v>
      </c>
      <c r="F182" s="340" t="str">
        <f>VLOOKUP(A182,'Feature Raw Data'!$A$3:$E$3922,5,FALSE)</f>
        <v>New</v>
      </c>
      <c r="G182" s="340" t="str">
        <f t="shared" si="17"/>
        <v>Yes</v>
      </c>
      <c r="H182" s="340" t="str">
        <f t="shared" si="18"/>
        <v>Yes</v>
      </c>
      <c r="I182" s="428">
        <f>SUMIF('Diags Raw Data'!$A$6:$A$3761,"*"&amp;$A182&amp;"*",'Diags Raw Data'!$K$6:$K$3761)</f>
        <v>0</v>
      </c>
      <c r="J182" s="430">
        <f>SUMIF('Diags Raw Data'!$A$6:$A$3761,"*"&amp;$A182&amp;"*",'Diags Raw Data'!$L$6:$L$3761)</f>
        <v>0</v>
      </c>
      <c r="K182" s="468" cm="1">
        <f t="array" ref="K182">IF(D182="",0, SUMPRODUCT(--(ISNUMBER(SEARCH($A182,'Diags Raw Data'!$A$6:$A$3761))),'Diags Raw Data'!$L$6:$L$3761,'Diags Raw Data'!$N$6:$N$3761)/J182)</f>
        <v>0</v>
      </c>
      <c r="L182" s="469" cm="1">
        <f t="array" ref="L182">IF(D182="",0, SUMPRODUCT(--(ISNUMBER(SEARCH($A182,'Diags Raw Data'!$A$6:$A$3761))),'Diags Raw Data'!$L$6:$L$3761,'Diags Raw Data'!$P$6:$P$3761)/J182)</f>
        <v>0</v>
      </c>
      <c r="M182" s="470" cm="1">
        <f t="array" ref="M182">SUMPRODUCT(--(ISNUMBER(SEARCH($A182,'Diags Raw Data'!$A$6:$A$3761))),--('Diags Raw Data'!$Q$6:$Q$3761&lt;&gt;"N/A"),'Diags Raw Data'!$R$6:$R$3761)</f>
        <v>0</v>
      </c>
      <c r="N182" s="471" cm="1">
        <f t="array" ref="N182">SUMPRODUCT(--(ISNUMBER(SEARCH($A182,'Diags Raw Data'!$A$6:$A$3761))),--('Diags Raw Data'!$Q$6:$Q$3761&lt;&gt;"N/A"),'Diags Raw Data'!$T$6:$T$3761)+SUMPRODUCT(--(ISNUMBER(SEARCH($A182,'Diags Raw Data'!$A$6:$A$3761))),--('Diags Raw Data'!$Q$6:$Q$3761&lt;&gt;"N/A"),'Diags Raw Data'!$U$6:$U$3761)</f>
        <v>0</v>
      </c>
      <c r="O182" s="472">
        <f t="shared" si="19"/>
        <v>0</v>
      </c>
      <c r="P182" s="473">
        <f>SUMIF('Diags Raw Data'!$A$6:$A$3761,"*"&amp;$A182&amp;"*",'Diags Raw Data'!$Z$6:$Z$3761)</f>
        <v>0</v>
      </c>
      <c r="Q182" s="474">
        <f>SUM(SUMIF('Diags Raw Data'!$A$6:$A$3761,"*"&amp;$A182&amp;"*",'Diags Raw Data'!$AA$6:$AA$3761),SUMIF('Diags Raw Data'!$A$6:$A$3761,"*"&amp;$A182&amp;"*",'Diags Raw Data'!$AB$6:$AB$3761))</f>
        <v>0</v>
      </c>
      <c r="R182" s="475">
        <f t="shared" si="20"/>
        <v>0</v>
      </c>
      <c r="S182" s="475">
        <f t="shared" si="21"/>
        <v>0</v>
      </c>
      <c r="T182" s="476">
        <f t="shared" si="22"/>
        <v>0</v>
      </c>
      <c r="U182" s="425" t="e">
        <f>VLOOKUP(A182,'Diags Raw Data'!$A$6:$AH$3761,33,FALSE)</f>
        <v>#N/A</v>
      </c>
      <c r="V182" s="535" t="s">
        <v>413</v>
      </c>
    </row>
    <row r="183" spans="1:22" ht="30.75" thickBot="1" x14ac:dyDescent="0.3">
      <c r="A183" s="530">
        <v>12.396000000000001</v>
      </c>
      <c r="B183" s="427" t="str">
        <f>VLOOKUP(A183,'Feature Raw Data'!$A$3:$B$3922,2,FALSE)</f>
        <v>Airtight FIFO Design Robustness</v>
      </c>
      <c r="C183" s="428" t="str">
        <f>VLOOKUP(A183,'Feature Raw Data'!$A$3:$C$3922,3,FALSE)</f>
        <v>P1</v>
      </c>
      <c r="D183" s="429" t="str" cm="1">
        <f t="array" ref="D183">_xlfn.TEXTJOIN("",TRUE,IF(ISNUMBER(SEARCH($A183,'Diags Raw Data'!$A$6:$A$3761)),CONCATENATE('Diags Raw Data'!$H$6:$H$3761,", "),""))</f>
        <v/>
      </c>
      <c r="E183" s="340" t="e">
        <f>VLOOKUP(A183,'Diags Raw Data'!$A$6:$D$3761,4,FALSE)</f>
        <v>#N/A</v>
      </c>
      <c r="F183" s="340" t="str">
        <f>VLOOKUP(A183,'Feature Raw Data'!$A$3:$E$3922,5,FALSE)</f>
        <v>New</v>
      </c>
      <c r="G183" s="340" t="str">
        <f t="shared" si="17"/>
        <v>Yes</v>
      </c>
      <c r="H183" s="340" t="str">
        <f t="shared" si="18"/>
        <v>Yes</v>
      </c>
      <c r="I183" s="428">
        <f>SUMIF('Diags Raw Data'!$A$6:$A$3761,"*"&amp;$A183&amp;"*",'Diags Raw Data'!$K$6:$K$3761)</f>
        <v>0</v>
      </c>
      <c r="J183" s="430">
        <f>SUMIF('Diags Raw Data'!$A$6:$A$3761,"*"&amp;$A183&amp;"*",'Diags Raw Data'!$L$6:$L$3761)</f>
        <v>0</v>
      </c>
      <c r="K183" s="468" cm="1">
        <f t="array" ref="K183">IF(D183="",0, SUMPRODUCT(--(ISNUMBER(SEARCH($A183,'Diags Raw Data'!$A$6:$A$3761))),'Diags Raw Data'!$L$6:$L$3761,'Diags Raw Data'!$N$6:$N$3761)/J183)</f>
        <v>0</v>
      </c>
      <c r="L183" s="469" cm="1">
        <f t="array" ref="L183">IF(D183="",0, SUMPRODUCT(--(ISNUMBER(SEARCH($A183,'Diags Raw Data'!$A$6:$A$3761))),'Diags Raw Data'!$L$6:$L$3761,'Diags Raw Data'!$P$6:$P$3761)/J183)</f>
        <v>0</v>
      </c>
      <c r="M183" s="470" cm="1">
        <f t="array" ref="M183">SUMPRODUCT(--(ISNUMBER(SEARCH($A183,'Diags Raw Data'!$A$6:$A$3761))),--('Diags Raw Data'!$Q$6:$Q$3761&lt;&gt;"N/A"),'Diags Raw Data'!$R$6:$R$3761)</f>
        <v>0</v>
      </c>
      <c r="N183" s="471" cm="1">
        <f t="array" ref="N183">SUMPRODUCT(--(ISNUMBER(SEARCH($A183,'Diags Raw Data'!$A$6:$A$3761))),--('Diags Raw Data'!$Q$6:$Q$3761&lt;&gt;"N/A"),'Diags Raw Data'!$T$6:$T$3761)+SUMPRODUCT(--(ISNUMBER(SEARCH($A183,'Diags Raw Data'!$A$6:$A$3761))),--('Diags Raw Data'!$Q$6:$Q$3761&lt;&gt;"N/A"),'Diags Raw Data'!$U$6:$U$3761)</f>
        <v>0</v>
      </c>
      <c r="O183" s="472">
        <f t="shared" si="19"/>
        <v>0</v>
      </c>
      <c r="P183" s="473">
        <f>SUMIF('Diags Raw Data'!$A$6:$A$3761,"*"&amp;$A183&amp;"*",'Diags Raw Data'!$Z$6:$Z$3761)</f>
        <v>0</v>
      </c>
      <c r="Q183" s="474">
        <f>SUM(SUMIF('Diags Raw Data'!$A$6:$A$3761,"*"&amp;$A183&amp;"*",'Diags Raw Data'!$AA$6:$AA$3761),SUMIF('Diags Raw Data'!$A$6:$A$3761,"*"&amp;$A183&amp;"*",'Diags Raw Data'!$AB$6:$AB$3761))</f>
        <v>0</v>
      </c>
      <c r="R183" s="475">
        <f t="shared" si="20"/>
        <v>0</v>
      </c>
      <c r="S183" s="475">
        <f t="shared" si="21"/>
        <v>0</v>
      </c>
      <c r="T183" s="476">
        <f t="shared" si="22"/>
        <v>0</v>
      </c>
      <c r="U183" s="425" t="e">
        <f>VLOOKUP(A183,'Diags Raw Data'!$A$6:$AH$3761,33,FALSE)</f>
        <v>#N/A</v>
      </c>
      <c r="V183" s="181"/>
    </row>
    <row r="184" spans="1:22" ht="30.75" thickBot="1" x14ac:dyDescent="0.3">
      <c r="A184" s="530">
        <v>12.397</v>
      </c>
      <c r="B184" s="427" t="str">
        <f>VLOOKUP(A184,'Feature Raw Data'!$A$3:$B$3922,2,FALSE)</f>
        <v>Benchmark Stimulus Replay at Block</v>
      </c>
      <c r="C184" s="428" t="str">
        <f>VLOOKUP(A184,'Feature Raw Data'!$A$3:$C$3922,3,FALSE)</f>
        <v>P2</v>
      </c>
      <c r="D184" s="429" t="str" cm="1">
        <f t="array" ref="D184">_xlfn.TEXTJOIN("",TRUE,IF(ISNUMBER(SEARCH($A184,'Diags Raw Data'!$A$6:$A$3761)),CONCATENATE('Diags Raw Data'!$H$6:$H$3761,", "),""))</f>
        <v/>
      </c>
      <c r="E184" s="340" t="e">
        <f>VLOOKUP(A184,'Diags Raw Data'!$A$6:$D$3761,4,FALSE)</f>
        <v>#N/A</v>
      </c>
      <c r="F184" s="340" t="str">
        <f>VLOOKUP(A184,'Feature Raw Data'!$A$3:$E$3922,5,FALSE)</f>
        <v>New</v>
      </c>
      <c r="G184" s="340" t="str">
        <f t="shared" si="17"/>
        <v>Yes</v>
      </c>
      <c r="H184" s="340" t="str">
        <f t="shared" si="18"/>
        <v>Yes</v>
      </c>
      <c r="I184" s="428">
        <f>SUMIF('Diags Raw Data'!$A$6:$A$3761,"*"&amp;$A184&amp;"*",'Diags Raw Data'!$K$6:$K$3761)</f>
        <v>0</v>
      </c>
      <c r="J184" s="430">
        <f>SUMIF('Diags Raw Data'!$A$6:$A$3761,"*"&amp;$A184&amp;"*",'Diags Raw Data'!$L$6:$L$3761)</f>
        <v>0</v>
      </c>
      <c r="K184" s="468" cm="1">
        <f t="array" ref="K184">IF(D184="",0, SUMPRODUCT(--(ISNUMBER(SEARCH($A184,'Diags Raw Data'!$A$6:$A$3761))),'Diags Raw Data'!$L$6:$L$3761,'Diags Raw Data'!$N$6:$N$3761)/J184)</f>
        <v>0</v>
      </c>
      <c r="L184" s="469" cm="1">
        <f t="array" ref="L184">IF(D184="",0, SUMPRODUCT(--(ISNUMBER(SEARCH($A184,'Diags Raw Data'!$A$6:$A$3761))),'Diags Raw Data'!$L$6:$L$3761,'Diags Raw Data'!$P$6:$P$3761)/J184)</f>
        <v>0</v>
      </c>
      <c r="M184" s="470" cm="1">
        <f t="array" ref="M184">SUMPRODUCT(--(ISNUMBER(SEARCH($A184,'Diags Raw Data'!$A$6:$A$3761))),--('Diags Raw Data'!$Q$6:$Q$3761&lt;&gt;"N/A"),'Diags Raw Data'!$R$6:$R$3761)</f>
        <v>0</v>
      </c>
      <c r="N184" s="471" cm="1">
        <f t="array" ref="N184">SUMPRODUCT(--(ISNUMBER(SEARCH($A184,'Diags Raw Data'!$A$6:$A$3761))),--('Diags Raw Data'!$Q$6:$Q$3761&lt;&gt;"N/A"),'Diags Raw Data'!$T$6:$T$3761)+SUMPRODUCT(--(ISNUMBER(SEARCH($A184,'Diags Raw Data'!$A$6:$A$3761))),--('Diags Raw Data'!$Q$6:$Q$3761&lt;&gt;"N/A"),'Diags Raw Data'!$U$6:$U$3761)</f>
        <v>0</v>
      </c>
      <c r="O184" s="472">
        <f t="shared" si="19"/>
        <v>0</v>
      </c>
      <c r="P184" s="473">
        <f>SUMIF('Diags Raw Data'!$A$6:$A$3761,"*"&amp;$A184&amp;"*",'Diags Raw Data'!$Z$6:$Z$3761)</f>
        <v>0</v>
      </c>
      <c r="Q184" s="474">
        <f>SUM(SUMIF('Diags Raw Data'!$A$6:$A$3761,"*"&amp;$A184&amp;"*",'Diags Raw Data'!$AA$6:$AA$3761),SUMIF('Diags Raw Data'!$A$6:$A$3761,"*"&amp;$A184&amp;"*",'Diags Raw Data'!$AB$6:$AB$3761))</f>
        <v>0</v>
      </c>
      <c r="R184" s="475">
        <f t="shared" si="20"/>
        <v>0</v>
      </c>
      <c r="S184" s="475">
        <f t="shared" si="21"/>
        <v>0</v>
      </c>
      <c r="T184" s="476">
        <f t="shared" si="22"/>
        <v>0</v>
      </c>
      <c r="U184" s="425" t="e">
        <f>VLOOKUP(A184,'Diags Raw Data'!$A$6:$AH$3761,33,FALSE)</f>
        <v>#N/A</v>
      </c>
      <c r="V184" s="181"/>
    </row>
    <row r="185" spans="1:22" ht="15.75" thickBot="1" x14ac:dyDescent="0.3">
      <c r="A185" s="530">
        <v>12.398</v>
      </c>
      <c r="B185" s="427" t="str">
        <f>VLOOKUP(A185,'Feature Raw Data'!$A$3:$B$3922,2,FALSE)</f>
        <v xml:space="preserve">Adoption of RDL2RTL </v>
      </c>
      <c r="C185" s="428" t="str">
        <f>VLOOKUP(A185,'Feature Raw Data'!$A$3:$C$3922,3,FALSE)</f>
        <v>P2</v>
      </c>
      <c r="D185" s="429" t="str" cm="1">
        <f t="array" ref="D185">_xlfn.TEXTJOIN("",TRUE,IF(ISNUMBER(SEARCH($A185,'Diags Raw Data'!$A$6:$A$3761)),CONCATENATE('Diags Raw Data'!$H$6:$H$3761,", "),""))</f>
        <v/>
      </c>
      <c r="E185" s="340" t="e">
        <f>VLOOKUP(A185,'Diags Raw Data'!$A$6:$D$3761,4,FALSE)</f>
        <v>#N/A</v>
      </c>
      <c r="F185" s="340" t="str">
        <f>VLOOKUP(A185,'Feature Raw Data'!$A$3:$E$3922,5,FALSE)</f>
        <v>New</v>
      </c>
      <c r="G185" s="340" t="str">
        <f t="shared" si="17"/>
        <v>Yes</v>
      </c>
      <c r="H185" s="340" t="str">
        <f t="shared" si="18"/>
        <v>Yes</v>
      </c>
      <c r="I185" s="428">
        <f>SUMIF('Diags Raw Data'!$A$6:$A$3761,"*"&amp;$A185&amp;"*",'Diags Raw Data'!$K$6:$K$3761)</f>
        <v>0</v>
      </c>
      <c r="J185" s="430">
        <f>SUMIF('Diags Raw Data'!$A$6:$A$3761,"*"&amp;$A185&amp;"*",'Diags Raw Data'!$L$6:$L$3761)</f>
        <v>0</v>
      </c>
      <c r="K185" s="468" cm="1">
        <f t="array" ref="K185">IF(D185="",0, SUMPRODUCT(--(ISNUMBER(SEARCH($A185,'Diags Raw Data'!$A$6:$A$3761))),'Diags Raw Data'!$L$6:$L$3761,'Diags Raw Data'!$N$6:$N$3761)/J185)</f>
        <v>0</v>
      </c>
      <c r="L185" s="469" cm="1">
        <f t="array" ref="L185">IF(D185="",0, SUMPRODUCT(--(ISNUMBER(SEARCH($A185,'Diags Raw Data'!$A$6:$A$3761))),'Diags Raw Data'!$L$6:$L$3761,'Diags Raw Data'!$P$6:$P$3761)/J185)</f>
        <v>0</v>
      </c>
      <c r="M185" s="470" cm="1">
        <f t="array" ref="M185">SUMPRODUCT(--(ISNUMBER(SEARCH($A185,'Diags Raw Data'!$A$6:$A$3761))),--('Diags Raw Data'!$Q$6:$Q$3761&lt;&gt;"N/A"),'Diags Raw Data'!$R$6:$R$3761)</f>
        <v>0</v>
      </c>
      <c r="N185" s="471" cm="1">
        <f t="array" ref="N185">SUMPRODUCT(--(ISNUMBER(SEARCH($A185,'Diags Raw Data'!$A$6:$A$3761))),--('Diags Raw Data'!$Q$6:$Q$3761&lt;&gt;"N/A"),'Diags Raw Data'!$T$6:$T$3761)+SUMPRODUCT(--(ISNUMBER(SEARCH($A185,'Diags Raw Data'!$A$6:$A$3761))),--('Diags Raw Data'!$Q$6:$Q$3761&lt;&gt;"N/A"),'Diags Raw Data'!$U$6:$U$3761)</f>
        <v>0</v>
      </c>
      <c r="O185" s="472">
        <f t="shared" si="19"/>
        <v>0</v>
      </c>
      <c r="P185" s="473">
        <f>SUMIF('Diags Raw Data'!$A$6:$A$3761,"*"&amp;$A185&amp;"*",'Diags Raw Data'!$Z$6:$Z$3761)</f>
        <v>0</v>
      </c>
      <c r="Q185" s="474">
        <f>SUM(SUMIF('Diags Raw Data'!$A$6:$A$3761,"*"&amp;$A185&amp;"*",'Diags Raw Data'!$AA$6:$AA$3761),SUMIF('Diags Raw Data'!$A$6:$A$3761,"*"&amp;$A185&amp;"*",'Diags Raw Data'!$AB$6:$AB$3761))</f>
        <v>0</v>
      </c>
      <c r="R185" s="475">
        <f t="shared" si="20"/>
        <v>0</v>
      </c>
      <c r="S185" s="475">
        <f t="shared" si="21"/>
        <v>0</v>
      </c>
      <c r="T185" s="476">
        <f t="shared" si="22"/>
        <v>0</v>
      </c>
      <c r="U185" s="425" t="e">
        <f>VLOOKUP(A185,'Diags Raw Data'!$A$6:$AH$3761,33,FALSE)</f>
        <v>#N/A</v>
      </c>
      <c r="V185" s="181"/>
    </row>
    <row r="186" spans="1:22" ht="30.75" thickBot="1" x14ac:dyDescent="0.3">
      <c r="A186" s="530">
        <v>12.398999999999999</v>
      </c>
      <c r="B186" s="427" t="str">
        <f>VLOOKUP(A186,'Feature Raw Data'!$A$3:$B$3922,2,FALSE)</f>
        <v>Remove Coverage into Render Targets</v>
      </c>
      <c r="C186" s="428" t="str">
        <f>VLOOKUP(A186,'Feature Raw Data'!$A$3:$C$3922,3,FALSE)</f>
        <v>P1</v>
      </c>
      <c r="D186" s="429" t="str" cm="1">
        <f t="array" ref="D186">_xlfn.TEXTJOIN("",TRUE,IF(ISNUMBER(SEARCH($A186,'Diags Raw Data'!$A$6:$A$3761)),CONCATENATE('Diags Raw Data'!$H$6:$H$3761,", "),""))</f>
        <v/>
      </c>
      <c r="E186" s="340" t="e">
        <f>VLOOKUP(A186,'Diags Raw Data'!$A$6:$D$3761,4,FALSE)</f>
        <v>#N/A</v>
      </c>
      <c r="F186" s="340" t="str">
        <f>VLOOKUP(A186,'Feature Raw Data'!$A$3:$E$3922,5,FALSE)</f>
        <v>New</v>
      </c>
      <c r="G186" s="340" t="str">
        <f t="shared" si="17"/>
        <v>Yes</v>
      </c>
      <c r="H186" s="340" t="str">
        <f t="shared" si="18"/>
        <v>Yes</v>
      </c>
      <c r="I186" s="428">
        <f>SUMIF('Diags Raw Data'!$A$6:$A$3761,"*"&amp;$A186&amp;"*",'Diags Raw Data'!$K$6:$K$3761)</f>
        <v>0</v>
      </c>
      <c r="J186" s="430">
        <f>SUMIF('Diags Raw Data'!$A$6:$A$3761,"*"&amp;$A186&amp;"*",'Diags Raw Data'!$L$6:$L$3761)</f>
        <v>0</v>
      </c>
      <c r="K186" s="468" cm="1">
        <f t="array" ref="K186">IF(D186="",0, SUMPRODUCT(--(ISNUMBER(SEARCH($A186,'Diags Raw Data'!$A$6:$A$3761))),'Diags Raw Data'!$L$6:$L$3761,'Diags Raw Data'!$N$6:$N$3761)/J186)</f>
        <v>0</v>
      </c>
      <c r="L186" s="469" cm="1">
        <f t="array" ref="L186">IF(D186="",0, SUMPRODUCT(--(ISNUMBER(SEARCH($A186,'Diags Raw Data'!$A$6:$A$3761))),'Diags Raw Data'!$L$6:$L$3761,'Diags Raw Data'!$P$6:$P$3761)/J186)</f>
        <v>0</v>
      </c>
      <c r="M186" s="470" cm="1">
        <f t="array" ref="M186">SUMPRODUCT(--(ISNUMBER(SEARCH($A186,'Diags Raw Data'!$A$6:$A$3761))),--('Diags Raw Data'!$Q$6:$Q$3761&lt;&gt;"N/A"),'Diags Raw Data'!$R$6:$R$3761)</f>
        <v>0</v>
      </c>
      <c r="N186" s="471" cm="1">
        <f t="array" ref="N186">SUMPRODUCT(--(ISNUMBER(SEARCH($A186,'Diags Raw Data'!$A$6:$A$3761))),--('Diags Raw Data'!$Q$6:$Q$3761&lt;&gt;"N/A"),'Diags Raw Data'!$T$6:$T$3761)+SUMPRODUCT(--(ISNUMBER(SEARCH($A186,'Diags Raw Data'!$A$6:$A$3761))),--('Diags Raw Data'!$Q$6:$Q$3761&lt;&gt;"N/A"),'Diags Raw Data'!$U$6:$U$3761)</f>
        <v>0</v>
      </c>
      <c r="O186" s="472">
        <f t="shared" si="19"/>
        <v>0</v>
      </c>
      <c r="P186" s="473">
        <f>SUMIF('Diags Raw Data'!$A$6:$A$3761,"*"&amp;$A186&amp;"*",'Diags Raw Data'!$Z$6:$Z$3761)</f>
        <v>0</v>
      </c>
      <c r="Q186" s="474">
        <f>SUM(SUMIF('Diags Raw Data'!$A$6:$A$3761,"*"&amp;$A186&amp;"*",'Diags Raw Data'!$AA$6:$AA$3761),SUMIF('Diags Raw Data'!$A$6:$A$3761,"*"&amp;$A186&amp;"*",'Diags Raw Data'!$AB$6:$AB$3761))</f>
        <v>0</v>
      </c>
      <c r="R186" s="475">
        <f t="shared" si="20"/>
        <v>0</v>
      </c>
      <c r="S186" s="475">
        <f t="shared" si="21"/>
        <v>0</v>
      </c>
      <c r="T186" s="476">
        <f t="shared" si="22"/>
        <v>0</v>
      </c>
      <c r="U186" s="425" t="e">
        <f>VLOOKUP(A186,'Diags Raw Data'!$A$6:$AH$3761,33,FALSE)</f>
        <v>#N/A</v>
      </c>
      <c r="V186" s="181"/>
    </row>
    <row r="187" spans="1:22" ht="390.75" thickBot="1" x14ac:dyDescent="0.3">
      <c r="A187" s="530">
        <v>12.4</v>
      </c>
      <c r="B187" s="427" t="str">
        <f>VLOOKUP(A187,'Feature Raw Data'!$A$3:$B$3922,2,FALSE)</f>
        <v>SRAM Bit/byte write enable</v>
      </c>
      <c r="C187" s="428" t="str">
        <f>VLOOKUP(A187,'Feature Raw Data'!$A$3:$C$3922,3,FALSE)</f>
        <v>P1</v>
      </c>
      <c r="D187" s="429" t="str" cm="1">
        <f t="array" ref="D187">_xlfn.TEXTJOIN("",TRUE,IF(ISNUMBER(SEARCH($A187,'Diags Raw Data'!$A$6:$A$3761)),CONCATENATE('Diags Raw Data'!$H$6:$H$3761,", "),""))</f>
        <v xml:space="preserve">cs16.0,wgs_gpa3_disable_dispatch_pm4_01, gci1311, placeholder_i.1, rt1.400-401, utci16.1, placeholder_j.1, shci2039.0-3, rt33.0, rt33.1-2, gci1307.4-7, placeholder_k.1-2, spi453, glxi61.1-2, gfx.linpack_gfx_compute, placeholder_l.1-8, placeholder_a.1-108, gci1310, cpi415, gci1309.0-3, gmhub.athub_raw_monolithic_test/CPWD, gfx.sr_stat, gfx.inst_perf/v_wmma_f32_16x16x.*,gfx.inst_perf/v_wmma_i32_16x16x32_iu4,gci39.1-6, placeholder_b.1, txi83, STD1.6, placeholder_c.1, </v>
      </c>
      <c r="E187" s="340" t="e">
        <f>VLOOKUP(A187,'Diags Raw Data'!$A$6:$D$3761,4,FALSE)</f>
        <v>#N/A</v>
      </c>
      <c r="F187" s="340" t="str">
        <f>VLOOKUP(A187,'Feature Raw Data'!$A$3:$E$3922,5,FALSE)</f>
        <v>New</v>
      </c>
      <c r="G187" s="340" t="str">
        <f t="shared" si="17"/>
        <v>Yes</v>
      </c>
      <c r="H187" s="340" t="str">
        <f t="shared" si="18"/>
        <v>Yes</v>
      </c>
      <c r="I187" s="428">
        <f>SUMIF('Diags Raw Data'!$A$6:$A$3761,"*"&amp;$A187&amp;"*",'Diags Raw Data'!$K$6:$K$3761)</f>
        <v>0</v>
      </c>
      <c r="J187" s="430">
        <f>SUMIF('Diags Raw Data'!$A$6:$A$3761,"*"&amp;$A187&amp;"*",'Diags Raw Data'!$L$6:$L$3761)</f>
        <v>0</v>
      </c>
      <c r="K187" s="468" t="e" cm="1">
        <f t="array" ref="K187">IF(D187="",0, SUMPRODUCT(--(ISNUMBER(SEARCH($A187,'Diags Raw Data'!$A$6:$A$3761))),'Diags Raw Data'!$L$6:$L$3761,'Diags Raw Data'!$N$6:$N$3761)/J187)</f>
        <v>#DIV/0!</v>
      </c>
      <c r="L187" s="469" t="e" cm="1">
        <f t="array" ref="L187">IF(D187="",0, SUMPRODUCT(--(ISNUMBER(SEARCH($A187,'Diags Raw Data'!$A$6:$A$3761))),'Diags Raw Data'!$L$6:$L$3761,'Diags Raw Data'!$P$6:$P$3761)/J187)</f>
        <v>#DIV/0!</v>
      </c>
      <c r="M187" s="470" cm="1">
        <f t="array" ref="M187">SUMPRODUCT(--(ISNUMBER(SEARCH($A187,'Diags Raw Data'!$A$6:$A$3761))),--('Diags Raw Data'!$Q$6:$Q$3761&lt;&gt;"N/A"),'Diags Raw Data'!$R$6:$R$3761)</f>
        <v>76</v>
      </c>
      <c r="N187" s="471" cm="1">
        <f t="array" ref="N187">SUMPRODUCT(--(ISNUMBER(SEARCH($A187,'Diags Raw Data'!$A$6:$A$3761))),--('Diags Raw Data'!$Q$6:$Q$3761&lt;&gt;"N/A"),'Diags Raw Data'!$T$6:$T$3761)+SUMPRODUCT(--(ISNUMBER(SEARCH($A187,'Diags Raw Data'!$A$6:$A$3761))),--('Diags Raw Data'!$Q$6:$Q$3761&lt;&gt;"N/A"),'Diags Raw Data'!$U$6:$U$3761)</f>
        <v>65</v>
      </c>
      <c r="O187" s="472">
        <f t="shared" si="19"/>
        <v>0.85526315789473684</v>
      </c>
      <c r="P187" s="473">
        <f>SUMIF('Diags Raw Data'!$A$6:$A$3761,"*"&amp;$A187&amp;"*",'Diags Raw Data'!$Z$6:$Z$3761)</f>
        <v>0</v>
      </c>
      <c r="Q187" s="474">
        <f>SUM(SUMIF('Diags Raw Data'!$A$6:$A$3761,"*"&amp;$A187&amp;"*",'Diags Raw Data'!$AA$6:$AA$3761),SUMIF('Diags Raw Data'!$A$6:$A$3761,"*"&amp;$A187&amp;"*",'Diags Raw Data'!$AB$6:$AB$3761))</f>
        <v>0</v>
      </c>
      <c r="R187" s="475">
        <f t="shared" si="20"/>
        <v>0</v>
      </c>
      <c r="S187" s="475">
        <f t="shared" si="21"/>
        <v>0</v>
      </c>
      <c r="T187" s="476">
        <f t="shared" si="22"/>
        <v>0</v>
      </c>
      <c r="U187" s="425" t="e">
        <f>VLOOKUP(A187,'Diags Raw Data'!$A$6:$AH$3761,33,FALSE)</f>
        <v>#N/A</v>
      </c>
      <c r="V187" s="181"/>
    </row>
    <row r="188" spans="1:22" ht="30.75" thickBot="1" x14ac:dyDescent="0.3">
      <c r="A188" s="530">
        <v>12.401</v>
      </c>
      <c r="B188" s="427" t="str">
        <f>VLOOKUP(A188,'Feature Raw Data'!$A$3:$B$3922,2,FALSE)</f>
        <v>Improving MBFF ratio (Octa/Hexa Flops)</v>
      </c>
      <c r="C188" s="428" t="str">
        <f>VLOOKUP(A188,'Feature Raw Data'!$A$3:$C$3922,3,FALSE)</f>
        <v>P2</v>
      </c>
      <c r="D188" s="429" t="str" cm="1">
        <f t="array" ref="D188">_xlfn.TEXTJOIN("",TRUE,IF(ISNUMBER(SEARCH($A188,'Diags Raw Data'!$A$6:$A$3761)),CONCATENATE('Diags Raw Data'!$H$6:$H$3761,", "),""))</f>
        <v/>
      </c>
      <c r="E188" s="340" t="e">
        <f>VLOOKUP(A188,'Diags Raw Data'!$A$6:$D$3761,4,FALSE)</f>
        <v>#N/A</v>
      </c>
      <c r="F188" s="340" t="str">
        <f>VLOOKUP(A188,'Feature Raw Data'!$A$3:$E$3922,5,FALSE)</f>
        <v>New</v>
      </c>
      <c r="G188" s="340" t="str">
        <f t="shared" si="17"/>
        <v>Yes</v>
      </c>
      <c r="H188" s="340" t="str">
        <f t="shared" si="18"/>
        <v>Yes</v>
      </c>
      <c r="I188" s="428">
        <f>SUMIF('Diags Raw Data'!$A$6:$A$3761,"*"&amp;$A188&amp;"*",'Diags Raw Data'!$K$6:$K$3761)</f>
        <v>0</v>
      </c>
      <c r="J188" s="430">
        <f>SUMIF('Diags Raw Data'!$A$6:$A$3761,"*"&amp;$A188&amp;"*",'Diags Raw Data'!$L$6:$L$3761)</f>
        <v>0</v>
      </c>
      <c r="K188" s="468" cm="1">
        <f t="array" ref="K188">IF(D188="",0, SUMPRODUCT(--(ISNUMBER(SEARCH($A188,'Diags Raw Data'!$A$6:$A$3761))),'Diags Raw Data'!$L$6:$L$3761,'Diags Raw Data'!$N$6:$N$3761)/J188)</f>
        <v>0</v>
      </c>
      <c r="L188" s="469" cm="1">
        <f t="array" ref="L188">IF(D188="",0, SUMPRODUCT(--(ISNUMBER(SEARCH($A188,'Diags Raw Data'!$A$6:$A$3761))),'Diags Raw Data'!$L$6:$L$3761,'Diags Raw Data'!$P$6:$P$3761)/J188)</f>
        <v>0</v>
      </c>
      <c r="M188" s="470" cm="1">
        <f t="array" ref="M188">SUMPRODUCT(--(ISNUMBER(SEARCH($A188,'Diags Raw Data'!$A$6:$A$3761))),--('Diags Raw Data'!$Q$6:$Q$3761&lt;&gt;"N/A"),'Diags Raw Data'!$R$6:$R$3761)</f>
        <v>0</v>
      </c>
      <c r="N188" s="471" cm="1">
        <f t="array" ref="N188">SUMPRODUCT(--(ISNUMBER(SEARCH($A188,'Diags Raw Data'!$A$6:$A$3761))),--('Diags Raw Data'!$Q$6:$Q$3761&lt;&gt;"N/A"),'Diags Raw Data'!$T$6:$T$3761)+SUMPRODUCT(--(ISNUMBER(SEARCH($A188,'Diags Raw Data'!$A$6:$A$3761))),--('Diags Raw Data'!$Q$6:$Q$3761&lt;&gt;"N/A"),'Diags Raw Data'!$U$6:$U$3761)</f>
        <v>0</v>
      </c>
      <c r="O188" s="472">
        <f>IF((M188=0),0,N188/M188)</f>
        <v>0</v>
      </c>
      <c r="P188" s="473">
        <f>SUMIF('Diags Raw Data'!$A$6:$A$3761,"*"&amp;$A188&amp;"*",'Diags Raw Data'!$Z$6:$Z$3761)</f>
        <v>0</v>
      </c>
      <c r="Q188" s="474">
        <f>SUM(SUMIF('Diags Raw Data'!$A$6:$A$3761,"*"&amp;$A188&amp;"*",'Diags Raw Data'!$AA$6:$AA$3761),SUMIF('Diags Raw Data'!$A$6:$A$3761,"*"&amp;$A188&amp;"*",'Diags Raw Data'!$AB$6:$AB$3761))</f>
        <v>0</v>
      </c>
      <c r="R188" s="475">
        <f>IF((J188=0),0,P188/J188)</f>
        <v>0</v>
      </c>
      <c r="S188" s="475">
        <f>IF((P188=0),0,Q188/P188)</f>
        <v>0</v>
      </c>
      <c r="T188" s="476">
        <f>R188*S188</f>
        <v>0</v>
      </c>
      <c r="U188" s="425" t="e">
        <f>VLOOKUP(A188,'Diags Raw Data'!$A$6:$AH$3761,33,FALSE)</f>
        <v>#N/A</v>
      </c>
      <c r="V188" s="181"/>
    </row>
    <row r="189" spans="1:22" ht="30.75" thickBot="1" x14ac:dyDescent="0.3">
      <c r="A189" s="530">
        <v>12.401999999999999</v>
      </c>
      <c r="B189" s="427" t="str">
        <f>VLOOKUP(A189,'Feature Raw Data'!$A$3:$B$3922,2,FALSE)</f>
        <v>Repeater Clock Gating (Clock Gating Efficiency focus)</v>
      </c>
      <c r="C189" s="428" t="str">
        <f>VLOOKUP(A189,'Feature Raw Data'!$A$3:$C$3922,3,FALSE)</f>
        <v>P1</v>
      </c>
      <c r="D189" s="429" t="str" cm="1">
        <f t="array" ref="D189">_xlfn.TEXTJOIN("",TRUE,IF(ISNUMBER(SEARCH($A189,'Diags Raw Data'!$A$6:$A$3761)),CONCATENATE('Diags Raw Data'!$H$6:$H$3761,", "),""))</f>
        <v/>
      </c>
      <c r="E189" s="340" t="e">
        <f>VLOOKUP(A189,'Diags Raw Data'!$A$6:$D$3761,4,FALSE)</f>
        <v>#N/A</v>
      </c>
      <c r="F189" s="340" t="str">
        <f>VLOOKUP(A189,'Feature Raw Data'!$A$3:$E$3922,5,FALSE)</f>
        <v>New</v>
      </c>
      <c r="G189" s="340" t="str">
        <f t="shared" si="17"/>
        <v>Yes</v>
      </c>
      <c r="H189" s="340" t="str">
        <f t="shared" si="18"/>
        <v>Yes</v>
      </c>
      <c r="I189" s="428">
        <f>SUMIF('Diags Raw Data'!$A$6:$A$3761,"*"&amp;$A189&amp;"*",'Diags Raw Data'!$K$6:$K$3761)</f>
        <v>0</v>
      </c>
      <c r="J189" s="430">
        <f>SUMIF('Diags Raw Data'!$A$6:$A$3761,"*"&amp;$A189&amp;"*",'Diags Raw Data'!$L$6:$L$3761)</f>
        <v>0</v>
      </c>
      <c r="K189" s="468" cm="1">
        <f t="array" ref="K189">IF(D189="",0, SUMPRODUCT(--(ISNUMBER(SEARCH($A189,'Diags Raw Data'!$A$6:$A$3761))),'Diags Raw Data'!$L$6:$L$3761,'Diags Raw Data'!$N$6:$N$3761)/J189)</f>
        <v>0</v>
      </c>
      <c r="L189" s="469" cm="1">
        <f t="array" ref="L189">IF(D189="",0, SUMPRODUCT(--(ISNUMBER(SEARCH($A189,'Diags Raw Data'!$A$6:$A$3761))),'Diags Raw Data'!$L$6:$L$3761,'Diags Raw Data'!$P$6:$P$3761)/J189)</f>
        <v>0</v>
      </c>
      <c r="M189" s="470" cm="1">
        <f t="array" ref="M189">SUMPRODUCT(--(ISNUMBER(SEARCH($A189,'Diags Raw Data'!$A$6:$A$3761))),--('Diags Raw Data'!$Q$6:$Q$3761&lt;&gt;"N/A"),'Diags Raw Data'!$R$6:$R$3761)</f>
        <v>0</v>
      </c>
      <c r="N189" s="471" cm="1">
        <f t="array" ref="N189">SUMPRODUCT(--(ISNUMBER(SEARCH($A189,'Diags Raw Data'!$A$6:$A$3761))),--('Diags Raw Data'!$Q$6:$Q$3761&lt;&gt;"N/A"),'Diags Raw Data'!$T$6:$T$3761)+SUMPRODUCT(--(ISNUMBER(SEARCH($A189,'Diags Raw Data'!$A$6:$A$3761))),--('Diags Raw Data'!$Q$6:$Q$3761&lt;&gt;"N/A"),'Diags Raw Data'!$U$6:$U$3761)</f>
        <v>0</v>
      </c>
      <c r="O189" s="472">
        <f>IF((M189=0),0,N189/M189)</f>
        <v>0</v>
      </c>
      <c r="P189" s="473">
        <f>SUMIF('Diags Raw Data'!$A$6:$A$3761,"*"&amp;$A189&amp;"*",'Diags Raw Data'!$Z$6:$Z$3761)</f>
        <v>0</v>
      </c>
      <c r="Q189" s="474">
        <f>SUM(SUMIF('Diags Raw Data'!$A$6:$A$3761,"*"&amp;$A189&amp;"*",'Diags Raw Data'!$AA$6:$AA$3761),SUMIF('Diags Raw Data'!$A$6:$A$3761,"*"&amp;$A189&amp;"*",'Diags Raw Data'!$AB$6:$AB$3761))</f>
        <v>0</v>
      </c>
      <c r="R189" s="475">
        <f>IF((J189=0),0,P189/J189)</f>
        <v>0</v>
      </c>
      <c r="S189" s="475">
        <f>IF((P189=0),0,Q189/P189)</f>
        <v>0</v>
      </c>
      <c r="T189" s="476">
        <f>R189*S189</f>
        <v>0</v>
      </c>
      <c r="U189" s="425" t="e">
        <f>VLOOKUP(A189,'Diags Raw Data'!$A$6:$AH$3761,33,FALSE)</f>
        <v>#N/A</v>
      </c>
      <c r="V189" s="181"/>
    </row>
    <row r="190" spans="1:22" ht="150.75" thickBot="1" x14ac:dyDescent="0.3">
      <c r="A190" s="530">
        <v>12.403</v>
      </c>
      <c r="B190" s="427"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28" t="str">
        <f>VLOOKUP(A190,'Feature Raw Data'!$A$3:$C$3922,3,FALSE)</f>
        <v>P1</v>
      </c>
      <c r="D190" s="429" t="str" cm="1">
        <f t="array" ref="D190">_xlfn.TEXTJOIN("",TRUE,IF(ISNUMBER(SEARCH($A190,'Diags Raw Data'!$A$6:$A$3761)),CONCATENATE('Diags Raw Data'!$H$6:$H$3761,", "),""))</f>
        <v/>
      </c>
      <c r="E190" s="340" t="e">
        <f>VLOOKUP(A190,'Diags Raw Data'!$A$6:$D$3761,4,FALSE)</f>
        <v>#N/A</v>
      </c>
      <c r="F190" s="340" t="str">
        <f>VLOOKUP(A190,'Feature Raw Data'!$A$3:$E$3922,5,FALSE)</f>
        <v>New</v>
      </c>
      <c r="G190" s="340" t="str">
        <f t="shared" ref="G190:G237" si="23">IF(D190="N/A, ","No","Yes")</f>
        <v>Yes</v>
      </c>
      <c r="H190" s="340" t="str">
        <f t="shared" si="18"/>
        <v>Yes</v>
      </c>
      <c r="I190" s="428">
        <f>SUMIF('Diags Raw Data'!$A$6:$A$3761,"*"&amp;$A190&amp;"*",'Diags Raw Data'!$K$6:$K$3761)</f>
        <v>0</v>
      </c>
      <c r="J190" s="430">
        <f>SUMIF('Diags Raw Data'!$A$6:$A$3761,"*"&amp;$A190&amp;"*",'Diags Raw Data'!$L$6:$L$3761)</f>
        <v>0</v>
      </c>
      <c r="K190" s="468" cm="1">
        <f t="array" ref="K190">IF(D190="",0, SUMPRODUCT(--(ISNUMBER(SEARCH($A190,'Diags Raw Data'!$A$6:$A$3761))),'Diags Raw Data'!$L$6:$L$3761,'Diags Raw Data'!$N$6:$N$3761)/J190)</f>
        <v>0</v>
      </c>
      <c r="L190" s="469" cm="1">
        <f t="array" ref="L190">IF(D190="",0, SUMPRODUCT(--(ISNUMBER(SEARCH($A190,'Diags Raw Data'!$A$6:$A$3761))),'Diags Raw Data'!$L$6:$L$3761,'Diags Raw Data'!$P$6:$P$3761)/J190)</f>
        <v>0</v>
      </c>
      <c r="M190" s="470" cm="1">
        <f t="array" ref="M190">SUMPRODUCT(--(ISNUMBER(SEARCH($A190,'Diags Raw Data'!$A$6:$A$3761))),--('Diags Raw Data'!$Q$6:$Q$3761&lt;&gt;"N/A"),'Diags Raw Data'!$R$6:$R$3761)</f>
        <v>0</v>
      </c>
      <c r="N190" s="471" cm="1">
        <f t="array" ref="N190">SUMPRODUCT(--(ISNUMBER(SEARCH($A190,'Diags Raw Data'!$A$6:$A$3761))),--('Diags Raw Data'!$Q$6:$Q$3761&lt;&gt;"N/A"),'Diags Raw Data'!$T$6:$T$3761)+SUMPRODUCT(--(ISNUMBER(SEARCH($A190,'Diags Raw Data'!$A$6:$A$3761))),--('Diags Raw Data'!$Q$6:$Q$3761&lt;&gt;"N/A"),'Diags Raw Data'!$U$6:$U$3761)</f>
        <v>0</v>
      </c>
      <c r="O190" s="472">
        <f t="shared" ref="O190:O191" si="24">IF((M190=0),0,N190/M190)</f>
        <v>0</v>
      </c>
      <c r="P190" s="473">
        <f>SUMIF('Diags Raw Data'!$A$6:$A$3761,"*"&amp;$A190&amp;"*",'Diags Raw Data'!$Z$6:$Z$3761)</f>
        <v>0</v>
      </c>
      <c r="Q190" s="474">
        <f>SUM(SUMIF('Diags Raw Data'!$A$6:$A$3761,"*"&amp;$A190&amp;"*",'Diags Raw Data'!$AA$6:$AA$3761),SUMIF('Diags Raw Data'!$A$6:$A$3761,"*"&amp;$A190&amp;"*",'Diags Raw Data'!$AB$6:$AB$3761))</f>
        <v>0</v>
      </c>
      <c r="R190" s="475">
        <f t="shared" ref="R190:R191" si="25">IF((J190=0),0,P190/J190)</f>
        <v>0</v>
      </c>
      <c r="S190" s="475">
        <f t="shared" ref="S190" si="26">IF((P190=0),0,Q190/P190)</f>
        <v>0</v>
      </c>
      <c r="T190" s="476">
        <f t="shared" ref="T190" si="27">R190*S190</f>
        <v>0</v>
      </c>
      <c r="U190" s="425" t="e">
        <f>VLOOKUP(A190,'Diags Raw Data'!$A$6:$AH$3761,33,FALSE)</f>
        <v>#N/A</v>
      </c>
      <c r="V190" s="181"/>
    </row>
    <row r="191" spans="1:22" ht="105.75" thickBot="1" x14ac:dyDescent="0.3">
      <c r="A191" s="530">
        <v>12.406000000000001</v>
      </c>
      <c r="B191" s="427" t="str">
        <f>VLOOKUP(A191,'Feature Raw Data'!$A$3:$B$3922,2,FALSE)</f>
        <v>With GPO enabled, perfmon clock and flops connected to it are currently not gated. Proposal is to improve clock gating of “event” flops and counters used in performance monitor logic</v>
      </c>
      <c r="C191" s="428" t="str">
        <f>VLOOKUP(A191,'Feature Raw Data'!$A$3:$C$3922,3,FALSE)</f>
        <v>P1</v>
      </c>
      <c r="D191" s="429" t="str" cm="1">
        <f t="array" ref="D191">_xlfn.TEXTJOIN("",TRUE,IF(ISNUMBER(SEARCH($A191,'Diags Raw Data'!$A$6:$A$3761)),CONCATENATE('Diags Raw Data'!$H$6:$H$3761,", "),""))</f>
        <v/>
      </c>
      <c r="E191" s="340" t="e">
        <f>VLOOKUP(A191,'Diags Raw Data'!$A$6:$D$3761,4,FALSE)</f>
        <v>#N/A</v>
      </c>
      <c r="F191" s="340" t="str">
        <f>VLOOKUP(A191,'Feature Raw Data'!$A$3:$E$3922,5,FALSE)</f>
        <v>New</v>
      </c>
      <c r="G191" s="340" t="str">
        <f t="shared" si="23"/>
        <v>Yes</v>
      </c>
      <c r="H191" s="340" t="str">
        <f t="shared" si="18"/>
        <v>Yes</v>
      </c>
      <c r="I191" s="428">
        <f>SUMIF('Diags Raw Data'!$A$6:$A$3761,"*"&amp;$A191&amp;"*",'Diags Raw Data'!$K$6:$K$3761)</f>
        <v>0</v>
      </c>
      <c r="J191" s="430">
        <f>SUMIF('Diags Raw Data'!$A$6:$A$3761,"*"&amp;$A191&amp;"*",'Diags Raw Data'!$L$6:$L$3761)</f>
        <v>0</v>
      </c>
      <c r="K191" s="468" cm="1">
        <f t="array" ref="K191">IF(D191="",0, SUMPRODUCT(--(ISNUMBER(SEARCH($A191,'Diags Raw Data'!$A$6:$A$3761))),'Diags Raw Data'!$L$6:$L$3761,'Diags Raw Data'!$N$6:$N$3761)/J191)</f>
        <v>0</v>
      </c>
      <c r="L191" s="469" cm="1">
        <f t="array" ref="L191">IF(D191="",0, SUMPRODUCT(--(ISNUMBER(SEARCH($A191,'Diags Raw Data'!$A$6:$A$3761))),'Diags Raw Data'!$L$6:$L$3761,'Diags Raw Data'!$P$6:$P$3761)/J191)</f>
        <v>0</v>
      </c>
      <c r="M191" s="470" cm="1">
        <f t="array" ref="M191">SUMPRODUCT(--(ISNUMBER(SEARCH($A191,'Diags Raw Data'!$A$6:$A$3761))),--('Diags Raw Data'!$Q$6:$Q$3761&lt;&gt;"N/A"),'Diags Raw Data'!$R$6:$R$3761)</f>
        <v>0</v>
      </c>
      <c r="N191" s="471" cm="1">
        <f t="array" ref="N191">SUMPRODUCT(--(ISNUMBER(SEARCH($A191,'Diags Raw Data'!$A$6:$A$3761))),--('Diags Raw Data'!$Q$6:$Q$3761&lt;&gt;"N/A"),'Diags Raw Data'!$T$6:$T$3761)+SUMPRODUCT(--(ISNUMBER(SEARCH($A191,'Diags Raw Data'!$A$6:$A$3761))),--('Diags Raw Data'!$Q$6:$Q$3761&lt;&gt;"N/A"),'Diags Raw Data'!$U$6:$U$3761)</f>
        <v>0</v>
      </c>
      <c r="O191" s="472">
        <f t="shared" si="24"/>
        <v>0</v>
      </c>
      <c r="P191" s="473">
        <f>SUMIF('Diags Raw Data'!$A$6:$A$3761,"*"&amp;$A191&amp;"*",'Diags Raw Data'!$Z$6:$Z$3761)</f>
        <v>0</v>
      </c>
      <c r="Q191" s="474">
        <f>SUM(SUMIF('Diags Raw Data'!$A$6:$A$3761,"*"&amp;$A191&amp;"*",'Diags Raw Data'!$AA$6:$AA$3761),SUMIF('Diags Raw Data'!$A$6:$A$3761,"*"&amp;$A191&amp;"*",'Diags Raw Data'!$AB$6:$AB$3761))</f>
        <v>0</v>
      </c>
      <c r="R191" s="475">
        <f t="shared" si="25"/>
        <v>0</v>
      </c>
      <c r="S191" s="475">
        <f>IF((P191=0),0,Q191/P191)</f>
        <v>0</v>
      </c>
      <c r="T191" s="476">
        <f>R191*S191</f>
        <v>0</v>
      </c>
      <c r="U191" s="425" t="e">
        <f>VLOOKUP(A191,'Diags Raw Data'!$A$6:$AH$3761,33,FALSE)</f>
        <v>#N/A</v>
      </c>
      <c r="V191" s="181"/>
    </row>
    <row r="192" spans="1:22" ht="60.75" thickBot="1" x14ac:dyDescent="0.3">
      <c r="A192" s="530">
        <v>12.41</v>
      </c>
      <c r="B192" s="427" t="str">
        <f>VLOOKUP(A192,'Feature Raw Data'!$A$3:$B$3922,2,FALSE)</f>
        <v>User Data Scatter Engine (RS64)</v>
      </c>
      <c r="C192" s="428" t="str">
        <f>VLOOKUP(A192,'Feature Raw Data'!$A$3:$C$3922,3,FALSE)</f>
        <v>P1</v>
      </c>
      <c r="D192" s="429" t="str" cm="1">
        <f t="array" ref="D192">_xlfn.TEXTJOIN("",TRUE,IF(ISNUMBER(SEARCH($A192,'Diags Raw Data'!$A$6:$A$3761)),CONCATENATE('Diags Raw Data'!$H$6:$H$3761,", "),""))</f>
        <v xml:space="preserve">cs16.0,wgs_gpa3_disable_dispatch_pm4_01, </v>
      </c>
      <c r="E192" s="340" t="e">
        <f>VLOOKUP(A192,'Diags Raw Data'!$A$6:$D$3761,4,FALSE)</f>
        <v>#N/A</v>
      </c>
      <c r="F192" s="340" t="str">
        <f>VLOOKUP(A192,'Feature Raw Data'!$A$3:$E$3922,5,FALSE)</f>
        <v>New</v>
      </c>
      <c r="G192" s="340" t="str">
        <f t="shared" si="23"/>
        <v>Yes</v>
      </c>
      <c r="H192" s="340" t="str">
        <f t="shared" ref="H192:H237" si="28">IF(D192="N/A, ","No","Yes")</f>
        <v>Yes</v>
      </c>
      <c r="I192" s="428">
        <f>SUMIF('Diags Raw Data'!$A$6:$A$3761,"*"&amp;$A192&amp;"*",'Diags Raw Data'!$K$6:$K$3761)</f>
        <v>0</v>
      </c>
      <c r="J192" s="430">
        <f>SUMIF('Diags Raw Data'!$A$6:$A$3761,"*"&amp;$A192&amp;"*",'Diags Raw Data'!$L$6:$L$3761)</f>
        <v>0</v>
      </c>
      <c r="K192" s="468" t="e" cm="1">
        <f t="array" ref="K192">IF(D192="",0, SUMPRODUCT(--(ISNUMBER(SEARCH($A192,'Diags Raw Data'!$A$6:$A$3761))),'Diags Raw Data'!$L$6:$L$3761,'Diags Raw Data'!$N$6:$N$3761)/J192)</f>
        <v>#DIV/0!</v>
      </c>
      <c r="L192" s="469" t="e" cm="1">
        <f t="array" ref="L192">IF(D192="",0, SUMPRODUCT(--(ISNUMBER(SEARCH($A192,'Diags Raw Data'!$A$6:$A$3761))),'Diags Raw Data'!$L$6:$L$3761,'Diags Raw Data'!$P$6:$P$3761)/J192)</f>
        <v>#DIV/0!</v>
      </c>
      <c r="M192" s="470" cm="1">
        <f t="array" ref="M192">SUMPRODUCT(--(ISNUMBER(SEARCH($A192,'Diags Raw Data'!$A$6:$A$3761))),--('Diags Raw Data'!$Q$6:$Q$3761&lt;&gt;"N/A"),'Diags Raw Data'!$R$6:$R$3761)</f>
        <v>2</v>
      </c>
      <c r="N192" s="471" cm="1">
        <f t="array" ref="N192">SUMPRODUCT(--(ISNUMBER(SEARCH($A192,'Diags Raw Data'!$A$6:$A$3761))),--('Diags Raw Data'!$Q$6:$Q$3761&lt;&gt;"N/A"),'Diags Raw Data'!$T$6:$T$3761)+SUMPRODUCT(--(ISNUMBER(SEARCH($A192,'Diags Raw Data'!$A$6:$A$3761))),--('Diags Raw Data'!$Q$6:$Q$3761&lt;&gt;"N/A"),'Diags Raw Data'!$U$6:$U$3761)</f>
        <v>2</v>
      </c>
      <c r="O192" s="472">
        <f>IF((M192=0),0,N192/M192)</f>
        <v>1</v>
      </c>
      <c r="P192" s="473">
        <f>SUMIF('Diags Raw Data'!$A$6:$A$3761,"*"&amp;$A192&amp;"*",'Diags Raw Data'!$Z$6:$Z$3761)</f>
        <v>0</v>
      </c>
      <c r="Q192" s="474">
        <f>SUM(SUMIF('Diags Raw Data'!$A$6:$A$3761,"*"&amp;$A192&amp;"*",'Diags Raw Data'!$AA$6:$AA$3761),SUMIF('Diags Raw Data'!$A$6:$A$3761,"*"&amp;$A192&amp;"*",'Diags Raw Data'!$AB$6:$AB$3761))</f>
        <v>0</v>
      </c>
      <c r="R192" s="475">
        <f>IF((J192=0),0,P192/J192)</f>
        <v>0</v>
      </c>
      <c r="S192" s="475">
        <f t="shared" ref="S192:S194" si="29">IF((P192=0),0,Q192/P192)</f>
        <v>0</v>
      </c>
      <c r="T192" s="476">
        <f t="shared" ref="T192:T194" si="30">R192*S192</f>
        <v>0</v>
      </c>
      <c r="U192" s="425" t="e">
        <f>VLOOKUP(A192,'Diags Raw Data'!$A$6:$AH$3761,33,FALSE)</f>
        <v>#N/A</v>
      </c>
      <c r="V192" s="181"/>
    </row>
    <row r="193" spans="1:22" ht="15.75" thickBot="1" x14ac:dyDescent="0.3">
      <c r="A193" s="530">
        <v>12.411</v>
      </c>
      <c r="B193" s="427" t="str">
        <f>VLOOKUP(A193,'Feature Raw Data'!$A$3:$B$3922,2,FALSE)</f>
        <v>Replace SDMA F32 with RS64</v>
      </c>
      <c r="C193" s="428" t="str">
        <f>VLOOKUP(A193,'Feature Raw Data'!$A$3:$C$3922,3,FALSE)</f>
        <v>P2</v>
      </c>
      <c r="D193" s="429" t="str" cm="1">
        <f t="array" ref="D193">_xlfn.TEXTJOIN("",TRUE,IF(ISNUMBER(SEARCH($A193,'Diags Raw Data'!$A$6:$A$3761)),CONCATENATE('Diags Raw Data'!$H$6:$H$3761,", "),""))</f>
        <v/>
      </c>
      <c r="E193" s="340" t="e">
        <f>VLOOKUP(A193,'Diags Raw Data'!$A$6:$D$3761,4,FALSE)</f>
        <v>#N/A</v>
      </c>
      <c r="F193" s="340" t="str">
        <f>VLOOKUP(A193,'Feature Raw Data'!$A$3:$E$3922,5,FALSE)</f>
        <v>New</v>
      </c>
      <c r="G193" s="340" t="str">
        <f t="shared" si="23"/>
        <v>Yes</v>
      </c>
      <c r="H193" s="340" t="str">
        <f t="shared" si="28"/>
        <v>Yes</v>
      </c>
      <c r="I193" s="428">
        <f>SUMIF('Diags Raw Data'!$A$6:$A$3761,"*"&amp;$A193&amp;"*",'Diags Raw Data'!$K$6:$K$3761)</f>
        <v>0</v>
      </c>
      <c r="J193" s="430">
        <f>SUMIF('Diags Raw Data'!$A$6:$A$3761,"*"&amp;$A193&amp;"*",'Diags Raw Data'!$L$6:$L$3761)</f>
        <v>0</v>
      </c>
      <c r="K193" s="468" cm="1">
        <f t="array" ref="K193">IF(D193="",0, SUMPRODUCT(--(ISNUMBER(SEARCH($A193,'Diags Raw Data'!$A$6:$A$3761))),'Diags Raw Data'!$L$6:$L$3761,'Diags Raw Data'!$N$6:$N$3761)/J193)</f>
        <v>0</v>
      </c>
      <c r="L193" s="469" cm="1">
        <f t="array" ref="L193">IF(D193="",0, SUMPRODUCT(--(ISNUMBER(SEARCH($A193,'Diags Raw Data'!$A$6:$A$3761))),'Diags Raw Data'!$L$6:$L$3761,'Diags Raw Data'!$P$6:$P$3761)/J193)</f>
        <v>0</v>
      </c>
      <c r="M193" s="470" cm="1">
        <f t="array" ref="M193">SUMPRODUCT(--(ISNUMBER(SEARCH($A193,'Diags Raw Data'!$A$6:$A$3761))),--('Diags Raw Data'!$Q$6:$Q$3761&lt;&gt;"N/A"),'Diags Raw Data'!$R$6:$R$3761)</f>
        <v>0</v>
      </c>
      <c r="N193" s="471" cm="1">
        <f t="array" ref="N193">SUMPRODUCT(--(ISNUMBER(SEARCH($A193,'Diags Raw Data'!$A$6:$A$3761))),--('Diags Raw Data'!$Q$6:$Q$3761&lt;&gt;"N/A"),'Diags Raw Data'!$T$6:$T$3761)+SUMPRODUCT(--(ISNUMBER(SEARCH($A193,'Diags Raw Data'!$A$6:$A$3761))),--('Diags Raw Data'!$Q$6:$Q$3761&lt;&gt;"N/A"),'Diags Raw Data'!$U$6:$U$3761)</f>
        <v>0</v>
      </c>
      <c r="O193" s="472">
        <f>IF((M193=0),0,N193/M193)</f>
        <v>0</v>
      </c>
      <c r="P193" s="473">
        <f>SUMIF('Diags Raw Data'!$A$6:$A$3761,"*"&amp;$A193&amp;"*",'Diags Raw Data'!$Z$6:$Z$3761)</f>
        <v>0</v>
      </c>
      <c r="Q193" s="474">
        <f>SUM(SUMIF('Diags Raw Data'!$A$6:$A$3761,"*"&amp;$A193&amp;"*",'Diags Raw Data'!$AA$6:$AA$3761),SUMIF('Diags Raw Data'!$A$6:$A$3761,"*"&amp;$A193&amp;"*",'Diags Raw Data'!$AB$6:$AB$3761))</f>
        <v>0</v>
      </c>
      <c r="R193" s="475">
        <f t="shared" ref="R193:R194" si="31">IF((J193=0),0,P193/J193)</f>
        <v>0</v>
      </c>
      <c r="S193" s="475">
        <f t="shared" si="29"/>
        <v>0</v>
      </c>
      <c r="T193" s="476">
        <f t="shared" si="30"/>
        <v>0</v>
      </c>
      <c r="U193" s="425" t="e">
        <f>VLOOKUP(A193,'Diags Raw Data'!$A$6:$AH$3761,33,FALSE)</f>
        <v>#N/A</v>
      </c>
      <c r="V193" s="181"/>
    </row>
    <row r="194" spans="1:22" ht="45.75" thickBot="1" x14ac:dyDescent="0.3">
      <c r="A194" s="530">
        <v>12.412000000000001</v>
      </c>
      <c r="B194" s="427" t="str">
        <f>VLOOKUP(A194,'Feature Raw Data'!$A$3:$B$3922,2,FALSE)</f>
        <v>Enable GPA in UTCL0 of SAx GL1C</v>
      </c>
      <c r="C194" s="428" t="str">
        <f>VLOOKUP(A194,'Feature Raw Data'!$A$3:$C$3922,3,FALSE)</f>
        <v>P1</v>
      </c>
      <c r="D194" s="429" t="str" cm="1">
        <f t="array" ref="D194">_xlfn.TEXTJOIN("",TRUE,IF(ISNUMBER(SEARCH($A194,'Diags Raw Data'!$A$6:$A$3761)),CONCATENATE('Diags Raw Data'!$H$6:$H$3761,", "),""))</f>
        <v xml:space="preserve">cs16.0,wgs_gpa3_disable_dispatch_pm4_01, </v>
      </c>
      <c r="E194" s="340" t="str">
        <f>VLOOKUP(A194,'Diags Raw Data'!$A$6:$D$3761,4,FALSE)</f>
        <v>CMM</v>
      </c>
      <c r="F194" s="340" t="str">
        <f>VLOOKUP(A194,'Feature Raw Data'!$A$3:$E$3922,5,FALSE)</f>
        <v>New</v>
      </c>
      <c r="G194" s="340" t="str">
        <f t="shared" si="23"/>
        <v>Yes</v>
      </c>
      <c r="H194" s="340" t="str">
        <f t="shared" si="28"/>
        <v>Yes</v>
      </c>
      <c r="I194" s="428">
        <f>SUMIF('Diags Raw Data'!$A$6:$A$3761,"*"&amp;$A194&amp;"*",'Diags Raw Data'!$K$6:$K$3761)</f>
        <v>0</v>
      </c>
      <c r="J194" s="430">
        <f>SUMIF('Diags Raw Data'!$A$6:$A$3761,"*"&amp;$A194&amp;"*",'Diags Raw Data'!$L$6:$L$3761)</f>
        <v>0</v>
      </c>
      <c r="K194" s="468" t="e" cm="1">
        <f t="array" ref="K194">IF(D194="",0, SUMPRODUCT(--(ISNUMBER(SEARCH($A194,'Diags Raw Data'!$A$6:$A$3761))),'Diags Raw Data'!$L$6:$L$3761,'Diags Raw Data'!$N$6:$N$3761)/J194)</f>
        <v>#DIV/0!</v>
      </c>
      <c r="L194" s="469" t="e" cm="1">
        <f t="array" ref="L194">IF(D194="",0, SUMPRODUCT(--(ISNUMBER(SEARCH($A194,'Diags Raw Data'!$A$6:$A$3761))),'Diags Raw Data'!$L$6:$L$3761,'Diags Raw Data'!$P$6:$P$3761)/J194)</f>
        <v>#DIV/0!</v>
      </c>
      <c r="M194" s="470" cm="1">
        <f t="array" ref="M194">SUMPRODUCT(--(ISNUMBER(SEARCH($A194,'Diags Raw Data'!$A$6:$A$3761))),--('Diags Raw Data'!$Q$6:$Q$3761&lt;&gt;"N/A"),'Diags Raw Data'!$R$6:$R$3761)</f>
        <v>2</v>
      </c>
      <c r="N194" s="471" cm="1">
        <f t="array" ref="N194">SUMPRODUCT(--(ISNUMBER(SEARCH($A194,'Diags Raw Data'!$A$6:$A$3761))),--('Diags Raw Data'!$Q$6:$Q$3761&lt;&gt;"N/A"),'Diags Raw Data'!$T$6:$T$3761)+SUMPRODUCT(--(ISNUMBER(SEARCH($A194,'Diags Raw Data'!$A$6:$A$3761))),--('Diags Raw Data'!$Q$6:$Q$3761&lt;&gt;"N/A"),'Diags Raw Data'!$U$6:$U$3761)</f>
        <v>2</v>
      </c>
      <c r="O194" s="472">
        <f>IF((M194=0),0,N194/M194)</f>
        <v>1</v>
      </c>
      <c r="P194" s="473">
        <f>SUMIF('Diags Raw Data'!$A$6:$A$3761,"*"&amp;$A194&amp;"*",'Diags Raw Data'!$Z$6:$Z$3761)</f>
        <v>0</v>
      </c>
      <c r="Q194" s="474">
        <f>SUM(SUMIF('Diags Raw Data'!$A$6:$A$3761,"*"&amp;$A194&amp;"*",'Diags Raw Data'!$AA$6:$AA$3761),SUMIF('Diags Raw Data'!$A$6:$A$3761,"*"&amp;$A194&amp;"*",'Diags Raw Data'!$AB$6:$AB$3761))</f>
        <v>0</v>
      </c>
      <c r="R194" s="475">
        <f t="shared" si="31"/>
        <v>0</v>
      </c>
      <c r="S194" s="475">
        <f t="shared" si="29"/>
        <v>0</v>
      </c>
      <c r="T194" s="476">
        <f t="shared" si="30"/>
        <v>0</v>
      </c>
      <c r="U194" s="425" t="str">
        <f>VLOOKUP(A194,'Diags Raw Data'!$A$6:$AH$3761,33,FALSE)</f>
        <v>WK5</v>
      </c>
      <c r="V194" s="181"/>
    </row>
    <row r="195" spans="1:22" ht="30.75" thickBot="1" x14ac:dyDescent="0.3">
      <c r="A195" s="530">
        <v>12.413</v>
      </c>
      <c r="B195" s="427" t="str">
        <f>VLOOKUP(A195,'Feature Raw Data'!$A$3:$B$3922,2,FALSE)</f>
        <v>Switch GFX to Memgen-based SRAM FGCG</v>
      </c>
      <c r="C195" s="428" t="str">
        <f>VLOOKUP(A195,'Feature Raw Data'!$A$3:$C$3922,3,FALSE)</f>
        <v>P1</v>
      </c>
      <c r="D195" s="429" t="str" cm="1">
        <f t="array" ref="D195">_xlfn.TEXTJOIN("",TRUE,IF(ISNUMBER(SEARCH($A195,'Diags Raw Data'!$A$6:$A$3761)),CONCATENATE('Diags Raw Data'!$H$6:$H$3761,", "),""))</f>
        <v/>
      </c>
      <c r="E195" s="340" t="e">
        <f>VLOOKUP(A195,'Diags Raw Data'!$A$6:$D$3761,4,FALSE)</f>
        <v>#N/A</v>
      </c>
      <c r="F195" s="340" t="str">
        <f>VLOOKUP(A195,'Feature Raw Data'!$A$3:$E$3922,5,FALSE)</f>
        <v>New</v>
      </c>
      <c r="G195" s="340" t="str">
        <f t="shared" si="23"/>
        <v>Yes</v>
      </c>
      <c r="H195" s="340" t="str">
        <f t="shared" si="28"/>
        <v>Yes</v>
      </c>
      <c r="I195" s="428">
        <f>SUMIF('Diags Raw Data'!$A$6:$A$3761,"*"&amp;$A195&amp;"*",'Diags Raw Data'!$K$6:$K$3761)</f>
        <v>0</v>
      </c>
      <c r="J195" s="430">
        <f>SUMIF('Diags Raw Data'!$A$6:$A$3761,"*"&amp;$A195&amp;"*",'Diags Raw Data'!$L$6:$L$3761)</f>
        <v>0</v>
      </c>
      <c r="K195" s="468" cm="1">
        <f t="array" ref="K195">IF(D195="",0, SUMPRODUCT(--(ISNUMBER(SEARCH($A195,'Diags Raw Data'!$A$6:$A$3761))),'Diags Raw Data'!$L$6:$L$3761,'Diags Raw Data'!$N$6:$N$3761)/J195)</f>
        <v>0</v>
      </c>
      <c r="L195" s="469" cm="1">
        <f t="array" ref="L195">IF(D195="",0, SUMPRODUCT(--(ISNUMBER(SEARCH($A195,'Diags Raw Data'!$A$6:$A$3761))),'Diags Raw Data'!$L$6:$L$3761,'Diags Raw Data'!$P$6:$P$3761)/J195)</f>
        <v>0</v>
      </c>
      <c r="M195" s="470" cm="1">
        <f t="array" ref="M195">SUMPRODUCT(--(ISNUMBER(SEARCH($A195,'Diags Raw Data'!$A$6:$A$3761))),--('Diags Raw Data'!$Q$6:$Q$3761&lt;&gt;"N/A"),'Diags Raw Data'!$R$6:$R$3761)</f>
        <v>0</v>
      </c>
      <c r="N195" s="471" cm="1">
        <f t="array" ref="N195">SUMPRODUCT(--(ISNUMBER(SEARCH($A195,'Diags Raw Data'!$A$6:$A$3761))),--('Diags Raw Data'!$Q$6:$Q$3761&lt;&gt;"N/A"),'Diags Raw Data'!$T$6:$T$3761)+SUMPRODUCT(--(ISNUMBER(SEARCH($A195,'Diags Raw Data'!$A$6:$A$3761))),--('Diags Raw Data'!$Q$6:$Q$3761&lt;&gt;"N/A"),'Diags Raw Data'!$U$6:$U$3761)</f>
        <v>0</v>
      </c>
      <c r="O195" s="472">
        <f>IF((M195=0),0,N195/M195)</f>
        <v>0</v>
      </c>
      <c r="P195" s="473">
        <f>SUMIF('Diags Raw Data'!$A$6:$A$3761,"*"&amp;$A195&amp;"*",'Diags Raw Data'!$Z$6:$Z$3761)</f>
        <v>0</v>
      </c>
      <c r="Q195" s="474">
        <f>SUM(SUMIF('Diags Raw Data'!$A$6:$A$3761,"*"&amp;$A195&amp;"*",'Diags Raw Data'!$AA$6:$AA$3761),SUMIF('Diags Raw Data'!$A$6:$A$3761,"*"&amp;$A195&amp;"*",'Diags Raw Data'!$AB$6:$AB$3761))</f>
        <v>0</v>
      </c>
      <c r="R195" s="475">
        <f>IF((J195=0),0,P195/J195)</f>
        <v>0</v>
      </c>
      <c r="S195" s="475">
        <f>IF((P195=0),0,Q195/P195)</f>
        <v>0</v>
      </c>
      <c r="T195" s="476">
        <f>R195*S195</f>
        <v>0</v>
      </c>
      <c r="U195" s="425" t="e">
        <f>VLOOKUP(A195,'Diags Raw Data'!$A$6:$AH$3761,33,FALSE)</f>
        <v>#N/A</v>
      </c>
      <c r="V195" s="181"/>
    </row>
    <row r="196" spans="1:22" ht="30.75" thickBot="1" x14ac:dyDescent="0.3">
      <c r="A196" s="530">
        <v>12.414</v>
      </c>
      <c r="B196" s="427" t="str">
        <f>VLOOKUP(A196,'Feature Raw Data'!$A$3:$B$3922,2,FALSE)</f>
        <v>Add an L1 TLB into the SDMA front-end</v>
      </c>
      <c r="C196" s="428" t="str">
        <f>VLOOKUP(A196,'Feature Raw Data'!$A$3:$C$3922,3,FALSE)</f>
        <v>P1</v>
      </c>
      <c r="D196" s="429" t="str" cm="1">
        <f t="array" ref="D196">_xlfn.TEXTJOIN("",TRUE,IF(ISNUMBER(SEARCH($A196,'Diags Raw Data'!$A$6:$A$3761)),CONCATENATE('Diags Raw Data'!$H$6:$H$3761,", "),""))</f>
        <v/>
      </c>
      <c r="E196" s="340" t="e">
        <f>VLOOKUP(A196,'Diags Raw Data'!$A$6:$D$3761,4,FALSE)</f>
        <v>#N/A</v>
      </c>
      <c r="F196" s="340" t="str">
        <f>VLOOKUP(A196,'Feature Raw Data'!$A$3:$E$3922,5,FALSE)</f>
        <v>New</v>
      </c>
      <c r="G196" s="340" t="str">
        <f t="shared" si="23"/>
        <v>Yes</v>
      </c>
      <c r="H196" s="340" t="str">
        <f t="shared" si="28"/>
        <v>Yes</v>
      </c>
      <c r="I196" s="428">
        <f>SUMIF('Diags Raw Data'!$A$6:$A$3761,"*"&amp;$A196&amp;"*",'Diags Raw Data'!$K$6:$K$3761)</f>
        <v>0</v>
      </c>
      <c r="J196" s="430">
        <f>SUMIF('Diags Raw Data'!$A$6:$A$3761,"*"&amp;$A196&amp;"*",'Diags Raw Data'!$L$6:$L$3761)</f>
        <v>0</v>
      </c>
      <c r="K196" s="468" cm="1">
        <f t="array" ref="K196">IF(D196="",0, SUMPRODUCT(--(ISNUMBER(SEARCH($A196,'Diags Raw Data'!$A$6:$A$3761))),'Diags Raw Data'!$L$6:$L$3761,'Diags Raw Data'!$N$6:$N$3761)/J196)</f>
        <v>0</v>
      </c>
      <c r="L196" s="469" cm="1">
        <f t="array" ref="L196">IF(D196="",0, SUMPRODUCT(--(ISNUMBER(SEARCH($A196,'Diags Raw Data'!$A$6:$A$3761))),'Diags Raw Data'!$L$6:$L$3761,'Diags Raw Data'!$P$6:$P$3761)/J196)</f>
        <v>0</v>
      </c>
      <c r="M196" s="470" cm="1">
        <f t="array" ref="M196">SUMPRODUCT(--(ISNUMBER(SEARCH($A196,'Diags Raw Data'!$A$6:$A$3761))),--('Diags Raw Data'!$Q$6:$Q$3761&lt;&gt;"N/A"),'Diags Raw Data'!$R$6:$R$3761)</f>
        <v>0</v>
      </c>
      <c r="N196" s="471" cm="1">
        <f t="array" ref="N196">SUMPRODUCT(--(ISNUMBER(SEARCH($A196,'Diags Raw Data'!$A$6:$A$3761))),--('Diags Raw Data'!$Q$6:$Q$3761&lt;&gt;"N/A"),'Diags Raw Data'!$T$6:$T$3761)+SUMPRODUCT(--(ISNUMBER(SEARCH($A196,'Diags Raw Data'!$A$6:$A$3761))),--('Diags Raw Data'!$Q$6:$Q$3761&lt;&gt;"N/A"),'Diags Raw Data'!$U$6:$U$3761)</f>
        <v>0</v>
      </c>
      <c r="O196" s="472">
        <f t="shared" ref="O196:O198" si="32">IF((M196=0),0,N196/M196)</f>
        <v>0</v>
      </c>
      <c r="P196" s="473">
        <f>SUMIF('Diags Raw Data'!$A$6:$A$3761,"*"&amp;$A196&amp;"*",'Diags Raw Data'!$Z$6:$Z$3761)</f>
        <v>0</v>
      </c>
      <c r="Q196" s="474">
        <f>SUM(SUMIF('Diags Raw Data'!$A$6:$A$3761,"*"&amp;$A196&amp;"*",'Diags Raw Data'!$AA$6:$AA$3761),SUMIF('Diags Raw Data'!$A$6:$A$3761,"*"&amp;$A196&amp;"*",'Diags Raw Data'!$AB$6:$AB$3761))</f>
        <v>0</v>
      </c>
      <c r="R196" s="475">
        <f t="shared" ref="R196:R198" si="33">IF((J196=0),0,P196/J196)</f>
        <v>0</v>
      </c>
      <c r="S196" s="475">
        <f t="shared" ref="S196:S201" si="34">IF((P196=0),0,Q196/P196)</f>
        <v>0</v>
      </c>
      <c r="T196" s="476">
        <f t="shared" ref="T196:T200" si="35">R196*S196</f>
        <v>0</v>
      </c>
      <c r="U196" s="425" t="e">
        <f>VLOOKUP(A196,'Diags Raw Data'!$A$6:$AH$3761,33,FALSE)</f>
        <v>#N/A</v>
      </c>
      <c r="V196" s="181"/>
    </row>
    <row r="197" spans="1:22" ht="30.75" thickBot="1" x14ac:dyDescent="0.3">
      <c r="A197" s="530">
        <v>12.417</v>
      </c>
      <c r="B197" s="427" t="str">
        <f>VLOOKUP(A197,'Feature Raw Data'!$A$3:$B$3922,2,FALSE)</f>
        <v>GFX12 IMU - Add light sleep and deep sleep to SRAMs</v>
      </c>
      <c r="C197" s="428" t="str">
        <f>VLOOKUP(A197,'Feature Raw Data'!$A$3:$C$3922,3,FALSE)</f>
        <v>P1</v>
      </c>
      <c r="D197" s="429" t="str" cm="1">
        <f t="array" ref="D197">_xlfn.TEXTJOIN("",TRUE,IF(ISNUMBER(SEARCH($A197,'Diags Raw Data'!$A$6:$A$3761)),CONCATENATE('Diags Raw Data'!$H$6:$H$3761,", "),""))</f>
        <v/>
      </c>
      <c r="E197" s="340" t="e">
        <f>VLOOKUP(A197,'Diags Raw Data'!$A$6:$D$3761,4,FALSE)</f>
        <v>#N/A</v>
      </c>
      <c r="F197" s="340" t="str">
        <f>VLOOKUP(A197,'Feature Raw Data'!$A$3:$E$3922,5,FALSE)</f>
        <v>New</v>
      </c>
      <c r="G197" s="340" t="str">
        <f t="shared" si="23"/>
        <v>Yes</v>
      </c>
      <c r="H197" s="340" t="str">
        <f t="shared" si="28"/>
        <v>Yes</v>
      </c>
      <c r="I197" s="428">
        <f>SUMIF('Diags Raw Data'!$A$6:$A$3761,"*"&amp;$A197&amp;"*",'Diags Raw Data'!$K$6:$K$3761)</f>
        <v>0</v>
      </c>
      <c r="J197" s="430">
        <f>SUMIF('Diags Raw Data'!$A$6:$A$3761,"*"&amp;$A197&amp;"*",'Diags Raw Data'!$L$6:$L$3761)</f>
        <v>0</v>
      </c>
      <c r="K197" s="468" cm="1">
        <f t="array" ref="K197">IF(D197="",0, SUMPRODUCT(--(ISNUMBER(SEARCH($A197,'Diags Raw Data'!$A$6:$A$3761))),'Diags Raw Data'!$L$6:$L$3761,'Diags Raw Data'!$N$6:$N$3761)/J197)</f>
        <v>0</v>
      </c>
      <c r="L197" s="469" cm="1">
        <f t="array" ref="L197">IF(D197="",0, SUMPRODUCT(--(ISNUMBER(SEARCH($A197,'Diags Raw Data'!$A$6:$A$3761))),'Diags Raw Data'!$L$6:$L$3761,'Diags Raw Data'!$P$6:$P$3761)/J197)</f>
        <v>0</v>
      </c>
      <c r="M197" s="470" cm="1">
        <f t="array" ref="M197">SUMPRODUCT(--(ISNUMBER(SEARCH($A197,'Diags Raw Data'!$A$6:$A$3761))),--('Diags Raw Data'!$Q$6:$Q$3761&lt;&gt;"N/A"),'Diags Raw Data'!$R$6:$R$3761)</f>
        <v>0</v>
      </c>
      <c r="N197" s="471" cm="1">
        <f t="array" ref="N197">SUMPRODUCT(--(ISNUMBER(SEARCH($A197,'Diags Raw Data'!$A$6:$A$3761))),--('Diags Raw Data'!$Q$6:$Q$3761&lt;&gt;"N/A"),'Diags Raw Data'!$T$6:$T$3761)+SUMPRODUCT(--(ISNUMBER(SEARCH($A197,'Diags Raw Data'!$A$6:$A$3761))),--('Diags Raw Data'!$Q$6:$Q$3761&lt;&gt;"N/A"),'Diags Raw Data'!$U$6:$U$3761)</f>
        <v>0</v>
      </c>
      <c r="O197" s="472">
        <f t="shared" si="32"/>
        <v>0</v>
      </c>
      <c r="P197" s="473">
        <f>SUMIF('Diags Raw Data'!$A$6:$A$3761,"*"&amp;$A197&amp;"*",'Diags Raw Data'!$Z$6:$Z$3761)</f>
        <v>0</v>
      </c>
      <c r="Q197" s="474">
        <f>SUM(SUMIF('Diags Raw Data'!$A$6:$A$3761,"*"&amp;$A197&amp;"*",'Diags Raw Data'!$AA$6:$AA$3761),SUMIF('Diags Raw Data'!$A$6:$A$3761,"*"&amp;$A197&amp;"*",'Diags Raw Data'!$AB$6:$AB$3761))</f>
        <v>0</v>
      </c>
      <c r="R197" s="475">
        <f t="shared" si="33"/>
        <v>0</v>
      </c>
      <c r="S197" s="475">
        <f t="shared" si="34"/>
        <v>0</v>
      </c>
      <c r="T197" s="476">
        <f t="shared" si="35"/>
        <v>0</v>
      </c>
      <c r="U197" s="425" t="e">
        <f>VLOOKUP(A197,'Diags Raw Data'!$A$6:$AH$3761,33,FALSE)</f>
        <v>#N/A</v>
      </c>
      <c r="V197" s="181"/>
    </row>
    <row r="198" spans="1:22" ht="45.75" thickBot="1" x14ac:dyDescent="0.3">
      <c r="A198" s="530">
        <v>12.417999999999999</v>
      </c>
      <c r="B198" s="427" t="str">
        <f>VLOOKUP(A198,'Feature Raw Data'!$A$3:$B$3922,2,FALSE)</f>
        <v>GFX12 IMU - Add deep sleep support and sideband for IMUCLK</v>
      </c>
      <c r="C198" s="428" t="str">
        <f>VLOOKUP(A198,'Feature Raw Data'!$A$3:$C$3922,3,FALSE)</f>
        <v>P1</v>
      </c>
      <c r="D198" s="429" t="str" cm="1">
        <f t="array" ref="D198">_xlfn.TEXTJOIN("",TRUE,IF(ISNUMBER(SEARCH($A198,'Diags Raw Data'!$A$6:$A$3761)),CONCATENATE('Diags Raw Data'!$H$6:$H$3761,", "),""))</f>
        <v/>
      </c>
      <c r="E198" s="340" t="e">
        <f>VLOOKUP(A198,'Diags Raw Data'!$A$6:$D$3761,4,FALSE)</f>
        <v>#N/A</v>
      </c>
      <c r="F198" s="340" t="str">
        <f>VLOOKUP(A198,'Feature Raw Data'!$A$3:$E$3922,5,FALSE)</f>
        <v>New</v>
      </c>
      <c r="G198" s="340" t="str">
        <f t="shared" si="23"/>
        <v>Yes</v>
      </c>
      <c r="H198" s="340" t="str">
        <f t="shared" si="28"/>
        <v>Yes</v>
      </c>
      <c r="I198" s="428">
        <f>SUMIF('Diags Raw Data'!$A$6:$A$3761,"*"&amp;$A198&amp;"*",'Diags Raw Data'!$K$6:$K$3761)</f>
        <v>0</v>
      </c>
      <c r="J198" s="430">
        <f>SUMIF('Diags Raw Data'!$A$6:$A$3761,"*"&amp;$A198&amp;"*",'Diags Raw Data'!$L$6:$L$3761)</f>
        <v>0</v>
      </c>
      <c r="K198" s="468" cm="1">
        <f t="array" ref="K198">IF(D198="",0, SUMPRODUCT(--(ISNUMBER(SEARCH($A198,'Diags Raw Data'!$A$6:$A$3761))),'Diags Raw Data'!$L$6:$L$3761,'Diags Raw Data'!$N$6:$N$3761)/J198)</f>
        <v>0</v>
      </c>
      <c r="L198" s="469" cm="1">
        <f t="array" ref="L198">IF(D198="",0, SUMPRODUCT(--(ISNUMBER(SEARCH($A198,'Diags Raw Data'!$A$6:$A$3761))),'Diags Raw Data'!$L$6:$L$3761,'Diags Raw Data'!$P$6:$P$3761)/J198)</f>
        <v>0</v>
      </c>
      <c r="M198" s="470" cm="1">
        <f t="array" ref="M198">SUMPRODUCT(--(ISNUMBER(SEARCH($A198,'Diags Raw Data'!$A$6:$A$3761))),--('Diags Raw Data'!$Q$6:$Q$3761&lt;&gt;"N/A"),'Diags Raw Data'!$R$6:$R$3761)</f>
        <v>0</v>
      </c>
      <c r="N198" s="471" cm="1">
        <f t="array" ref="N198">SUMPRODUCT(--(ISNUMBER(SEARCH($A198,'Diags Raw Data'!$A$6:$A$3761))),--('Diags Raw Data'!$Q$6:$Q$3761&lt;&gt;"N/A"),'Diags Raw Data'!$T$6:$T$3761)+SUMPRODUCT(--(ISNUMBER(SEARCH($A198,'Diags Raw Data'!$A$6:$A$3761))),--('Diags Raw Data'!$Q$6:$Q$3761&lt;&gt;"N/A"),'Diags Raw Data'!$U$6:$U$3761)</f>
        <v>0</v>
      </c>
      <c r="O198" s="472">
        <f t="shared" si="32"/>
        <v>0</v>
      </c>
      <c r="P198" s="473">
        <f>SUMIF('Diags Raw Data'!$A$6:$A$3761,"*"&amp;$A198&amp;"*",'Diags Raw Data'!$Z$6:$Z$3761)</f>
        <v>0</v>
      </c>
      <c r="Q198" s="474">
        <f>SUM(SUMIF('Diags Raw Data'!$A$6:$A$3761,"*"&amp;$A198&amp;"*",'Diags Raw Data'!$AA$6:$AA$3761),SUMIF('Diags Raw Data'!$A$6:$A$3761,"*"&amp;$A198&amp;"*",'Diags Raw Data'!$AB$6:$AB$3761))</f>
        <v>0</v>
      </c>
      <c r="R198" s="475">
        <f t="shared" si="33"/>
        <v>0</v>
      </c>
      <c r="S198" s="475">
        <f t="shared" si="34"/>
        <v>0</v>
      </c>
      <c r="T198" s="476">
        <f t="shared" si="35"/>
        <v>0</v>
      </c>
      <c r="U198" s="425" t="e">
        <f>VLOOKUP(A198,'Diags Raw Data'!$A$6:$AH$3761,33,FALSE)</f>
        <v>#N/A</v>
      </c>
      <c r="V198" s="181"/>
    </row>
    <row r="199" spans="1:22" ht="30.75" thickBot="1" x14ac:dyDescent="0.3">
      <c r="A199" s="530">
        <v>12.42</v>
      </c>
      <c r="B199" s="427" t="str">
        <f>VLOOKUP(A199,'Feature Raw Data'!$A$3:$B$3922,2,FALSE)</f>
        <v xml:space="preserve">Increase max scratch allocation </v>
      </c>
      <c r="C199" s="428" t="str">
        <f>VLOOKUP(A199,'Feature Raw Data'!$A$3:$C$3922,3,FALSE)</f>
        <v>P2</v>
      </c>
      <c r="D199" s="429" t="str" cm="1">
        <f t="array" ref="D199">_xlfn.TEXTJOIN("",TRUE,IF(ISNUMBER(SEARCH($A199,'Diags Raw Data'!$A$6:$A$3761)),CONCATENATE('Diags Raw Data'!$H$6:$H$3761,", "),""))</f>
        <v xml:space="preserve">gci1311, placeholder_i.1, </v>
      </c>
      <c r="E199" s="340" t="str">
        <f>VLOOKUP(A199,'Diags Raw Data'!$A$6:$D$3761,4,FALSE)</f>
        <v>SIO</v>
      </c>
      <c r="F199" s="340" t="str">
        <f>VLOOKUP(A199,'Feature Raw Data'!$A$3:$E$3922,5,FALSE)</f>
        <v>New</v>
      </c>
      <c r="G199" s="340" t="str">
        <f t="shared" si="23"/>
        <v>Yes</v>
      </c>
      <c r="H199" s="340" t="str">
        <f t="shared" si="28"/>
        <v>Yes</v>
      </c>
      <c r="I199" s="428">
        <f>SUMIF('Diags Raw Data'!$A$6:$A$3761,"*"&amp;$A199&amp;"*",'Diags Raw Data'!$K$6:$K$3761)</f>
        <v>0</v>
      </c>
      <c r="J199" s="430">
        <f>SUMIF('Diags Raw Data'!$A$6:$A$3761,"*"&amp;$A199&amp;"*",'Diags Raw Data'!$L$6:$L$3761)</f>
        <v>0</v>
      </c>
      <c r="K199" s="468" t="e" cm="1">
        <f t="array" ref="K199">IF(D199="",0, SUMPRODUCT(--(ISNUMBER(SEARCH($A199,'Diags Raw Data'!$A$6:$A$3761))),'Diags Raw Data'!$L$6:$L$3761,'Diags Raw Data'!$N$6:$N$3761)/J199)</f>
        <v>#DIV/0!</v>
      </c>
      <c r="L199" s="469" t="e" cm="1">
        <f t="array" ref="L199">IF(D199="",0, SUMPRODUCT(--(ISNUMBER(SEARCH($A199,'Diags Raw Data'!$A$6:$A$3761))),'Diags Raw Data'!$L$6:$L$3761,'Diags Raw Data'!$P$6:$P$3761)/J199)</f>
        <v>#DIV/0!</v>
      </c>
      <c r="M199" s="470" cm="1">
        <f t="array" ref="M199">SUMPRODUCT(--(ISNUMBER(SEARCH($A199,'Diags Raw Data'!$A$6:$A$3761))),--('Diags Raw Data'!$Q$6:$Q$3761&lt;&gt;"N/A"),'Diags Raw Data'!$R$6:$R$3761)</f>
        <v>2</v>
      </c>
      <c r="N199" s="471" cm="1">
        <f t="array" ref="N199">SUMPRODUCT(--(ISNUMBER(SEARCH($A199,'Diags Raw Data'!$A$6:$A$3761))),--('Diags Raw Data'!$Q$6:$Q$3761&lt;&gt;"N/A"),'Diags Raw Data'!$T$6:$T$3761)+SUMPRODUCT(--(ISNUMBER(SEARCH($A199,'Diags Raw Data'!$A$6:$A$3761))),--('Diags Raw Data'!$Q$6:$Q$3761&lt;&gt;"N/A"),'Diags Raw Data'!$U$6:$U$3761)</f>
        <v>1</v>
      </c>
      <c r="O199" s="472">
        <f>IF((M199=0),0,N199/M199)</f>
        <v>0.5</v>
      </c>
      <c r="P199" s="473">
        <f>SUMIF('Diags Raw Data'!$A$6:$A$3761,"*"&amp;$A199&amp;"*",'Diags Raw Data'!$Z$6:$Z$3761)</f>
        <v>0</v>
      </c>
      <c r="Q199" s="474">
        <f>SUM(SUMIF('Diags Raw Data'!$A$6:$A$3761,"*"&amp;$A199&amp;"*",'Diags Raw Data'!$AA$6:$AA$3761),SUMIF('Diags Raw Data'!$A$6:$A$3761,"*"&amp;$A199&amp;"*",'Diags Raw Data'!$AB$6:$AB$3761))</f>
        <v>0</v>
      </c>
      <c r="R199" s="475">
        <f>IF((J199=0),0,P199/J199)</f>
        <v>0</v>
      </c>
      <c r="S199" s="475">
        <f t="shared" si="34"/>
        <v>0</v>
      </c>
      <c r="T199" s="476">
        <f t="shared" si="35"/>
        <v>0</v>
      </c>
      <c r="U199" s="425" t="str">
        <f>VLOOKUP(A199,'Diags Raw Data'!$A$6:$AH$3761,33,FALSE)</f>
        <v>WK7</v>
      </c>
      <c r="V199" s="181"/>
    </row>
    <row r="200" spans="1:22" ht="15.75" thickBot="1" x14ac:dyDescent="0.3">
      <c r="A200" s="530">
        <v>12.420999999999999</v>
      </c>
      <c r="B200" s="427" t="str">
        <f>VLOOKUP(A200,'Feature Raw Data'!$A$3:$B$3922,2,FALSE)</f>
        <v>TOC updates for RLC FW</v>
      </c>
      <c r="C200" s="428" t="str">
        <f>VLOOKUP(A200,'Feature Raw Data'!$A$3:$C$3922,3,FALSE)</f>
        <v>P1</v>
      </c>
      <c r="D200" s="429" t="str" cm="1">
        <f t="array" ref="D200">_xlfn.TEXTJOIN("",TRUE,IF(ISNUMBER(SEARCH($A200,'Diags Raw Data'!$A$6:$A$3761)),CONCATENATE('Diags Raw Data'!$H$6:$H$3761,", "),""))</f>
        <v/>
      </c>
      <c r="E200" s="340" t="e">
        <f>VLOOKUP(A200,'Diags Raw Data'!$A$6:$D$3761,4,FALSE)</f>
        <v>#N/A</v>
      </c>
      <c r="F200" s="340" t="str">
        <f>VLOOKUP(A200,'Feature Raw Data'!$A$3:$E$3922,5,FALSE)</f>
        <v>New</v>
      </c>
      <c r="G200" s="340" t="str">
        <f t="shared" si="23"/>
        <v>Yes</v>
      </c>
      <c r="H200" s="340" t="str">
        <f t="shared" si="28"/>
        <v>Yes</v>
      </c>
      <c r="I200" s="428">
        <f>SUMIF('Diags Raw Data'!$A$6:$A$3761,"*"&amp;$A200&amp;"*",'Diags Raw Data'!$K$6:$K$3761)</f>
        <v>0</v>
      </c>
      <c r="J200" s="430">
        <f>SUMIF('Diags Raw Data'!$A$6:$A$3761,"*"&amp;$A200&amp;"*",'Diags Raw Data'!$L$6:$L$3761)</f>
        <v>0</v>
      </c>
      <c r="K200" s="468" cm="1">
        <f t="array" ref="K200">IF(D200="",0, SUMPRODUCT(--(ISNUMBER(SEARCH($A200,'Diags Raw Data'!$A$6:$A$3761))),'Diags Raw Data'!$L$6:$L$3761,'Diags Raw Data'!$N$6:$N$3761)/J200)</f>
        <v>0</v>
      </c>
      <c r="L200" s="469" cm="1">
        <f t="array" ref="L200">IF(D200="",0, SUMPRODUCT(--(ISNUMBER(SEARCH($A200,'Diags Raw Data'!$A$6:$A$3761))),'Diags Raw Data'!$L$6:$L$3761,'Diags Raw Data'!$P$6:$P$3761)/J200)</f>
        <v>0</v>
      </c>
      <c r="M200" s="470" cm="1">
        <f t="array" ref="M200">SUMPRODUCT(--(ISNUMBER(SEARCH($A200,'Diags Raw Data'!$A$6:$A$3761))),--('Diags Raw Data'!$Q$6:$Q$3761&lt;&gt;"N/A"),'Diags Raw Data'!$R$6:$R$3761)</f>
        <v>0</v>
      </c>
      <c r="N200" s="471" cm="1">
        <f t="array" ref="N200">SUMPRODUCT(--(ISNUMBER(SEARCH($A200,'Diags Raw Data'!$A$6:$A$3761))),--('Diags Raw Data'!$Q$6:$Q$3761&lt;&gt;"N/A"),'Diags Raw Data'!$T$6:$T$3761)+SUMPRODUCT(--(ISNUMBER(SEARCH($A200,'Diags Raw Data'!$A$6:$A$3761))),--('Diags Raw Data'!$Q$6:$Q$3761&lt;&gt;"N/A"),'Diags Raw Data'!$U$6:$U$3761)</f>
        <v>0</v>
      </c>
      <c r="O200" s="472">
        <f t="shared" ref="O200:O201" si="36">IF((M200=0),0,N200/M200)</f>
        <v>0</v>
      </c>
      <c r="P200" s="473">
        <f>SUMIF('Diags Raw Data'!$A$6:$A$3761,"*"&amp;$A200&amp;"*",'Diags Raw Data'!$Z$6:$Z$3761)</f>
        <v>0</v>
      </c>
      <c r="Q200" s="474">
        <f>SUM(SUMIF('Diags Raw Data'!$A$6:$A$3761,"*"&amp;$A200&amp;"*",'Diags Raw Data'!$AA$6:$AA$3761),SUMIF('Diags Raw Data'!$A$6:$A$3761,"*"&amp;$A200&amp;"*",'Diags Raw Data'!$AB$6:$AB$3761))</f>
        <v>0</v>
      </c>
      <c r="R200" s="475">
        <f>IF((J200=0),0,P200/J200)</f>
        <v>0</v>
      </c>
      <c r="S200" s="475">
        <f t="shared" si="34"/>
        <v>0</v>
      </c>
      <c r="T200" s="476">
        <f t="shared" si="35"/>
        <v>0</v>
      </c>
      <c r="U200" s="425" t="e">
        <f>VLOOKUP(A200,'Diags Raw Data'!$A$6:$AH$3761,33,FALSE)</f>
        <v>#N/A</v>
      </c>
      <c r="V200" s="181"/>
    </row>
    <row r="201" spans="1:22" ht="30.75" thickBot="1" x14ac:dyDescent="0.3">
      <c r="A201" s="530">
        <v>12.422000000000001</v>
      </c>
      <c r="B201" s="427" t="str">
        <f>VLOOKUP(A201,'Feature Raw Data'!$A$3:$B$3922,2,FALSE)</f>
        <v>Navi4c (chiplet) GFXIP STA Targets</v>
      </c>
      <c r="C201" s="428" t="str">
        <f>VLOOKUP(A201,'Feature Raw Data'!$A$3:$C$3922,3,FALSE)</f>
        <v>P1</v>
      </c>
      <c r="D201" s="429" t="str" cm="1">
        <f t="array" ref="D201">_xlfn.TEXTJOIN("",TRUE,IF(ISNUMBER(SEARCH($A201,'Diags Raw Data'!$A$6:$A$3761)),CONCATENATE('Diags Raw Data'!$H$6:$H$3761,", "),""))</f>
        <v/>
      </c>
      <c r="E201" s="340" t="e">
        <f>VLOOKUP(A201,'Diags Raw Data'!$A$6:$D$3761,4,FALSE)</f>
        <v>#N/A</v>
      </c>
      <c r="F201" s="340" t="str">
        <f>VLOOKUP(A201,'Feature Raw Data'!$A$3:$E$3922,5,FALSE)</f>
        <v>New</v>
      </c>
      <c r="G201" s="340" t="str">
        <f t="shared" si="23"/>
        <v>Yes</v>
      </c>
      <c r="H201" s="340" t="str">
        <f t="shared" si="28"/>
        <v>Yes</v>
      </c>
      <c r="I201" s="428">
        <f>SUMIF('Diags Raw Data'!$A$6:$A$3761,"*"&amp;$A201&amp;"*",'Diags Raw Data'!$K$6:$K$3761)</f>
        <v>0</v>
      </c>
      <c r="J201" s="430">
        <f>SUMIF('Diags Raw Data'!$A$6:$A$3761,"*"&amp;$A201&amp;"*",'Diags Raw Data'!$L$6:$L$3761)</f>
        <v>0</v>
      </c>
      <c r="K201" s="468" cm="1">
        <f t="array" ref="K201">IF(D201="",0, SUMPRODUCT(--(ISNUMBER(SEARCH($A201,'Diags Raw Data'!$A$6:$A$3761))),'Diags Raw Data'!$L$6:$L$3761,'Diags Raw Data'!$N$6:$N$3761)/J201)</f>
        <v>0</v>
      </c>
      <c r="L201" s="469" cm="1">
        <f t="array" ref="L201">IF(D201="",0, SUMPRODUCT(--(ISNUMBER(SEARCH($A201,'Diags Raw Data'!$A$6:$A$3761))),'Diags Raw Data'!$L$6:$L$3761,'Diags Raw Data'!$P$6:$P$3761)/J201)</f>
        <v>0</v>
      </c>
      <c r="M201" s="470" cm="1">
        <f t="array" ref="M201">SUMPRODUCT(--(ISNUMBER(SEARCH($A201,'Diags Raw Data'!$A$6:$A$3761))),--('Diags Raw Data'!$Q$6:$Q$3761&lt;&gt;"N/A"),'Diags Raw Data'!$R$6:$R$3761)</f>
        <v>0</v>
      </c>
      <c r="N201" s="471" cm="1">
        <f t="array" ref="N201">SUMPRODUCT(--(ISNUMBER(SEARCH($A201,'Diags Raw Data'!$A$6:$A$3761))),--('Diags Raw Data'!$Q$6:$Q$3761&lt;&gt;"N/A"),'Diags Raw Data'!$T$6:$T$3761)+SUMPRODUCT(--(ISNUMBER(SEARCH($A201,'Diags Raw Data'!$A$6:$A$3761))),--('Diags Raw Data'!$Q$6:$Q$3761&lt;&gt;"N/A"),'Diags Raw Data'!$U$6:$U$3761)</f>
        <v>0</v>
      </c>
      <c r="O201" s="472">
        <f t="shared" si="36"/>
        <v>0</v>
      </c>
      <c r="P201" s="473">
        <f>SUMIF('Diags Raw Data'!$A$6:$A$3761,"*"&amp;$A201&amp;"*",'Diags Raw Data'!$Z$6:$Z$3761)</f>
        <v>0</v>
      </c>
      <c r="Q201" s="474">
        <f>SUM(SUMIF('Diags Raw Data'!$A$6:$A$3761,"*"&amp;$A201&amp;"*",'Diags Raw Data'!$AA$6:$AA$3761),SUMIF('Diags Raw Data'!$A$6:$A$3761,"*"&amp;$A201&amp;"*",'Diags Raw Data'!$AB$6:$AB$3761))</f>
        <v>0</v>
      </c>
      <c r="R201" s="475">
        <f>IF((J201=0),0,P201/J201)</f>
        <v>0</v>
      </c>
      <c r="S201" s="475">
        <f t="shared" si="34"/>
        <v>0</v>
      </c>
      <c r="T201" s="476">
        <f>R201*S201</f>
        <v>0</v>
      </c>
      <c r="U201" s="425" t="e">
        <f>VLOOKUP(A201,'Diags Raw Data'!$A$6:$AH$3761,33,FALSE)</f>
        <v>#N/A</v>
      </c>
      <c r="V201" s="181"/>
    </row>
    <row r="202" spans="1:22" ht="30.75" thickBot="1" x14ac:dyDescent="0.3">
      <c r="A202" s="530">
        <v>12.425000000000001</v>
      </c>
      <c r="B202" s="427" t="str">
        <f>VLOOKUP(A202,'Feature Raw Data'!$A$3:$B$3922,2,FALSE)</f>
        <v>GE WD_QOS.DRAW_STALL behavior</v>
      </c>
      <c r="C202" s="428" t="str">
        <f>VLOOKUP(A202,'Feature Raw Data'!$A$3:$C$3922,3,FALSE)</f>
        <v>P2</v>
      </c>
      <c r="D202" s="429" t="str" cm="1">
        <f t="array" ref="D202">_xlfn.TEXTJOIN("",TRUE,IF(ISNUMBER(SEARCH($A202,'Diags Raw Data'!$A$6:$A$3761)),CONCATENATE('Diags Raw Data'!$H$6:$H$3761,", "),""))</f>
        <v/>
      </c>
      <c r="E202" s="340" t="e">
        <f>VLOOKUP(A202,'Diags Raw Data'!$A$6:$D$3761,4,FALSE)</f>
        <v>#N/A</v>
      </c>
      <c r="F202" s="340" t="str">
        <f>VLOOKUP(A202,'Feature Raw Data'!$A$3:$E$3922,5,FALSE)</f>
        <v>New</v>
      </c>
      <c r="G202" s="340" t="str">
        <f t="shared" si="23"/>
        <v>Yes</v>
      </c>
      <c r="H202" s="340" t="str">
        <f t="shared" si="28"/>
        <v>Yes</v>
      </c>
      <c r="I202" s="428">
        <f>SUMIF('Diags Raw Data'!$A$6:$A$3761,"*"&amp;$A202&amp;"*",'Diags Raw Data'!$K$6:$K$3761)</f>
        <v>0</v>
      </c>
      <c r="J202" s="430">
        <f>SUMIF('Diags Raw Data'!$A$6:$A$3761,"*"&amp;$A202&amp;"*",'Diags Raw Data'!$L$6:$L$3761)</f>
        <v>0</v>
      </c>
      <c r="K202" s="468" cm="1">
        <f t="array" ref="K202">IF(D202="",0, SUMPRODUCT(--(ISNUMBER(SEARCH($A202,'Diags Raw Data'!$A$6:$A$3761))),'Diags Raw Data'!$L$6:$L$3761,'Diags Raw Data'!$N$6:$N$3761)/J202)</f>
        <v>0</v>
      </c>
      <c r="L202" s="469" cm="1">
        <f t="array" ref="L202">IF(D202="",0, SUMPRODUCT(--(ISNUMBER(SEARCH($A202,'Diags Raw Data'!$A$6:$A$3761))),'Diags Raw Data'!$L$6:$L$3761,'Diags Raw Data'!$P$6:$P$3761)/J202)</f>
        <v>0</v>
      </c>
      <c r="M202" s="470" cm="1">
        <f t="array" ref="M202">SUMPRODUCT(--(ISNUMBER(SEARCH($A202,'Diags Raw Data'!$A$6:$A$3761))),--('Diags Raw Data'!$Q$6:$Q$3761&lt;&gt;"N/A"),'Diags Raw Data'!$R$6:$R$3761)</f>
        <v>0</v>
      </c>
      <c r="N202" s="471" cm="1">
        <f t="array" ref="N202">SUMPRODUCT(--(ISNUMBER(SEARCH($A202,'Diags Raw Data'!$A$6:$A$3761))),--('Diags Raw Data'!$Q$6:$Q$3761&lt;&gt;"N/A"),'Diags Raw Data'!$T$6:$T$3761)+SUMPRODUCT(--(ISNUMBER(SEARCH($A202,'Diags Raw Data'!$A$6:$A$3761))),--('Diags Raw Data'!$Q$6:$Q$3761&lt;&gt;"N/A"),'Diags Raw Data'!$U$6:$U$3761)</f>
        <v>0</v>
      </c>
      <c r="O202" s="472">
        <f>IF((M202=0),0,N202/M202)</f>
        <v>0</v>
      </c>
      <c r="P202" s="473">
        <f>SUMIF('Diags Raw Data'!$A$6:$A$3761,"*"&amp;$A202&amp;"*",'Diags Raw Data'!$Z$6:$Z$3761)</f>
        <v>0</v>
      </c>
      <c r="Q202" s="474">
        <f>SUM(SUMIF('Diags Raw Data'!$A$6:$A$3761,"*"&amp;$A202&amp;"*",'Diags Raw Data'!$AA$6:$AA$3761),SUMIF('Diags Raw Data'!$A$6:$A$3761,"*"&amp;$A202&amp;"*",'Diags Raw Data'!$AB$6:$AB$3761))</f>
        <v>0</v>
      </c>
      <c r="R202" s="475">
        <f>IF((J202=0),0,P202/J202)</f>
        <v>0</v>
      </c>
      <c r="S202" s="475">
        <f>IF((P202=0),0,Q202/P202)</f>
        <v>0</v>
      </c>
      <c r="T202" s="476">
        <f>R202*S202</f>
        <v>0</v>
      </c>
      <c r="U202" s="425" t="e">
        <f>VLOOKUP(A202,'Diags Raw Data'!$A$6:$AH$3761,33,FALSE)</f>
        <v>#N/A</v>
      </c>
      <c r="V202" s="181"/>
    </row>
    <row r="203" spans="1:22" ht="15.75" thickBot="1" x14ac:dyDescent="0.3">
      <c r="A203" s="530">
        <v>12.429</v>
      </c>
      <c r="B203" s="427" t="str">
        <f>VLOOKUP(A203,'Feature Raw Data'!$A$3:$B$3922,2,FALSE)</f>
        <v>HP64 child reuse</v>
      </c>
      <c r="C203" s="428" t="str">
        <f>VLOOKUP(A203,'Feature Raw Data'!$A$3:$C$3922,3,FALSE)</f>
        <v>P1</v>
      </c>
      <c r="D203" s="429" t="str" cm="1">
        <f t="array" ref="D203">_xlfn.TEXTJOIN("",TRUE,IF(ISNUMBER(SEARCH($A203,'Diags Raw Data'!$A$6:$A$3761)),CONCATENATE('Diags Raw Data'!$H$6:$H$3761,", "),""))</f>
        <v xml:space="preserve">placeholder_i.1, </v>
      </c>
      <c r="E203" s="340" t="str">
        <f>VLOOKUP(A203,'Diags Raw Data'!$A$6:$D$3761,4,FALSE)</f>
        <v>TEX</v>
      </c>
      <c r="F203" s="340" t="str">
        <f>VLOOKUP(A203,'Feature Raw Data'!$A$3:$E$3922,5,FALSE)</f>
        <v>New</v>
      </c>
      <c r="G203" s="340" t="str">
        <f t="shared" si="23"/>
        <v>Yes</v>
      </c>
      <c r="H203" s="340" t="str">
        <f t="shared" si="28"/>
        <v>Yes</v>
      </c>
      <c r="I203" s="428">
        <f>SUMIF('Diags Raw Data'!$A$6:$A$3761,"*"&amp;$A203&amp;"*",'Diags Raw Data'!$K$6:$K$3761)</f>
        <v>0</v>
      </c>
      <c r="J203" s="430">
        <f>SUMIF('Diags Raw Data'!$A$6:$A$3761,"*"&amp;$A203&amp;"*",'Diags Raw Data'!$L$6:$L$3761)</f>
        <v>0</v>
      </c>
      <c r="K203" s="468" t="e" cm="1">
        <f t="array" ref="K203">IF(D203="",0, SUMPRODUCT(--(ISNUMBER(SEARCH($A203,'Diags Raw Data'!$A$6:$A$3761))),'Diags Raw Data'!$L$6:$L$3761,'Diags Raw Data'!$N$6:$N$3761)/J203)</f>
        <v>#DIV/0!</v>
      </c>
      <c r="L203" s="469" t="e" cm="1">
        <f t="array" ref="L203">IF(D203="",0, SUMPRODUCT(--(ISNUMBER(SEARCH($A203,'Diags Raw Data'!$A$6:$A$3761))),'Diags Raw Data'!$L$6:$L$3761,'Diags Raw Data'!$P$6:$P$3761)/J203)</f>
        <v>#DIV/0!</v>
      </c>
      <c r="M203" s="470" cm="1">
        <f t="array" ref="M203">SUMPRODUCT(--(ISNUMBER(SEARCH($A203,'Diags Raw Data'!$A$6:$A$3761))),--('Diags Raw Data'!$Q$6:$Q$3761&lt;&gt;"N/A"),'Diags Raw Data'!$R$6:$R$3761)</f>
        <v>1</v>
      </c>
      <c r="N203" s="471" cm="1">
        <f t="array" ref="N203">SUMPRODUCT(--(ISNUMBER(SEARCH($A203,'Diags Raw Data'!$A$6:$A$3761))),--('Diags Raw Data'!$Q$6:$Q$3761&lt;&gt;"N/A"),'Diags Raw Data'!$T$6:$T$3761)+SUMPRODUCT(--(ISNUMBER(SEARCH($A203,'Diags Raw Data'!$A$6:$A$3761))),--('Diags Raw Data'!$Q$6:$Q$3761&lt;&gt;"N/A"),'Diags Raw Data'!$U$6:$U$3761)</f>
        <v>1</v>
      </c>
      <c r="O203" s="472">
        <f t="shared" ref="O203:O237" si="37">IF((M203=0),0,N203/M203)</f>
        <v>1</v>
      </c>
      <c r="P203" s="473">
        <f>SUMIF('Diags Raw Data'!$A$6:$A$3761,"*"&amp;$A203&amp;"*",'Diags Raw Data'!$Z$6:$Z$3761)</f>
        <v>0</v>
      </c>
      <c r="Q203" s="474">
        <f>SUM(SUMIF('Diags Raw Data'!$A$6:$A$3761,"*"&amp;$A203&amp;"*",'Diags Raw Data'!$AA$6:$AA$3761),SUMIF('Diags Raw Data'!$A$6:$A$3761,"*"&amp;$A203&amp;"*",'Diags Raw Data'!$AB$6:$AB$3761))</f>
        <v>0</v>
      </c>
      <c r="R203" s="475">
        <f t="shared" ref="R203:R237" si="38">IF((J203=0),0,P203/J203)</f>
        <v>0</v>
      </c>
      <c r="S203" s="475">
        <f t="shared" ref="S203:S237" si="39">IF((P203=0),0,Q203/P203)</f>
        <v>0</v>
      </c>
      <c r="T203" s="476">
        <f t="shared" ref="T203:T237" si="40">R203*S203</f>
        <v>0</v>
      </c>
      <c r="U203" s="425" t="str">
        <f>VLOOKUP(A203,'Diags Raw Data'!$A$6:$AH$3761,33,FALSE)</f>
        <v>WK5</v>
      </c>
      <c r="V203" s="181"/>
    </row>
    <row r="204" spans="1:22" ht="30.75" thickBot="1" x14ac:dyDescent="0.3">
      <c r="A204" s="530">
        <v>12.43</v>
      </c>
      <c r="B204" s="427" t="str">
        <f>VLOOKUP(A204,'Feature Raw Data'!$A$3:$B$3922,2,FALSE)</f>
        <v>Ray Tracing Tri Pair optimization</v>
      </c>
      <c r="C204" s="428" t="str">
        <f>VLOOKUP(A204,'Feature Raw Data'!$A$3:$C$3922,3,FALSE)</f>
        <v>P1</v>
      </c>
      <c r="D204" s="429" t="str" cm="1">
        <f t="array" ref="D204">_xlfn.TEXTJOIN("",TRUE,IF(ISNUMBER(SEARCH($A204,'Diags Raw Data'!$A$6:$A$3761)),CONCATENATE('Diags Raw Data'!$H$6:$H$3761,", "),""))</f>
        <v xml:space="preserve">rt1.400-401, utci16.1, </v>
      </c>
      <c r="E204" s="340" t="str">
        <f>VLOOKUP(A204,'Diags Raw Data'!$A$6:$D$3761,4,FALSE)</f>
        <v>TEX</v>
      </c>
      <c r="F204" s="340" t="str">
        <f>VLOOKUP(A204,'Feature Raw Data'!$A$3:$E$3922,5,FALSE)</f>
        <v>New</v>
      </c>
      <c r="G204" s="340" t="str">
        <f t="shared" si="23"/>
        <v>Yes</v>
      </c>
      <c r="H204" s="340" t="str">
        <f t="shared" si="28"/>
        <v>Yes</v>
      </c>
      <c r="I204" s="428">
        <f>SUMIF('Diags Raw Data'!$A$6:$A$3761,"*"&amp;$A204&amp;"*",'Diags Raw Data'!$K$6:$K$3761)</f>
        <v>0</v>
      </c>
      <c r="J204" s="430">
        <f>SUMIF('Diags Raw Data'!$A$6:$A$3761,"*"&amp;$A204&amp;"*",'Diags Raw Data'!$L$6:$L$3761)</f>
        <v>0</v>
      </c>
      <c r="K204" s="468" t="e" cm="1">
        <f t="array" ref="K204">IF(D204="",0, SUMPRODUCT(--(ISNUMBER(SEARCH($A204,'Diags Raw Data'!$A$6:$A$3761))),'Diags Raw Data'!$L$6:$L$3761,'Diags Raw Data'!$N$6:$N$3761)/J204)</f>
        <v>#DIV/0!</v>
      </c>
      <c r="L204" s="469" t="e" cm="1">
        <f t="array" ref="L204">IF(D204="",0, SUMPRODUCT(--(ISNUMBER(SEARCH($A204,'Diags Raw Data'!$A$6:$A$3761))),'Diags Raw Data'!$L$6:$L$3761,'Diags Raw Data'!$P$6:$P$3761)/J204)</f>
        <v>#DIV/0!</v>
      </c>
      <c r="M204" s="470" cm="1">
        <f t="array" ref="M204">SUMPRODUCT(--(ISNUMBER(SEARCH($A204,'Diags Raw Data'!$A$6:$A$3761))),--('Diags Raw Data'!$Q$6:$Q$3761&lt;&gt;"N/A"),'Diags Raw Data'!$R$6:$R$3761)</f>
        <v>3</v>
      </c>
      <c r="N204" s="471" cm="1">
        <f t="array" ref="N204">SUMPRODUCT(--(ISNUMBER(SEARCH($A204,'Diags Raw Data'!$A$6:$A$3761))),--('Diags Raw Data'!$Q$6:$Q$3761&lt;&gt;"N/A"),'Diags Raw Data'!$T$6:$T$3761)+SUMPRODUCT(--(ISNUMBER(SEARCH($A204,'Diags Raw Data'!$A$6:$A$3761))),--('Diags Raw Data'!$Q$6:$Q$3761&lt;&gt;"N/A"),'Diags Raw Data'!$U$6:$U$3761)</f>
        <v>2</v>
      </c>
      <c r="O204" s="472">
        <f t="shared" si="37"/>
        <v>0.66666666666666663</v>
      </c>
      <c r="P204" s="473">
        <f>SUMIF('Diags Raw Data'!$A$6:$A$3761,"*"&amp;$A204&amp;"*",'Diags Raw Data'!$Z$6:$Z$3761)</f>
        <v>0</v>
      </c>
      <c r="Q204" s="474">
        <f>SUM(SUMIF('Diags Raw Data'!$A$6:$A$3761,"*"&amp;$A204&amp;"*",'Diags Raw Data'!$AA$6:$AA$3761),SUMIF('Diags Raw Data'!$A$6:$A$3761,"*"&amp;$A204&amp;"*",'Diags Raw Data'!$AB$6:$AB$3761))</f>
        <v>0</v>
      </c>
      <c r="R204" s="475">
        <f t="shared" si="38"/>
        <v>0</v>
      </c>
      <c r="S204" s="475">
        <f t="shared" si="39"/>
        <v>0</v>
      </c>
      <c r="T204" s="476">
        <f t="shared" si="40"/>
        <v>0</v>
      </c>
      <c r="U204" s="425" t="str">
        <f>VLOOKUP(A204,'Diags Raw Data'!$A$6:$AH$3761,33,FALSE)</f>
        <v>WK4</v>
      </c>
      <c r="V204" s="181"/>
    </row>
    <row r="205" spans="1:22" ht="15.75" thickBot="1" x14ac:dyDescent="0.3">
      <c r="A205" s="530">
        <v>12.438000000000001</v>
      </c>
      <c r="B205" s="427" t="str">
        <f>VLOOKUP(A205,'Feature Raw Data'!$A$3:$B$3922,2,FALSE)</f>
        <v>Remove Soft Lock feature</v>
      </c>
      <c r="C205" s="428" t="str">
        <f>VLOOKUP(A205,'Feature Raw Data'!$A$3:$C$3922,3,FALSE)</f>
        <v>P2</v>
      </c>
      <c r="D205" s="429" t="str" cm="1">
        <f t="array" ref="D205">_xlfn.TEXTJOIN("",TRUE,IF(ISNUMBER(SEARCH($A205,'Diags Raw Data'!$A$6:$A$3761)),CONCATENATE('Diags Raw Data'!$H$6:$H$3761,", "),""))</f>
        <v/>
      </c>
      <c r="E205" s="340" t="e">
        <f>VLOOKUP(A205,'Diags Raw Data'!$A$6:$D$3761,4,FALSE)</f>
        <v>#N/A</v>
      </c>
      <c r="F205" s="340" t="str">
        <f>VLOOKUP(A205,'Feature Raw Data'!$A$3:$E$3922,5,FALSE)</f>
        <v>New</v>
      </c>
      <c r="G205" s="340" t="str">
        <f t="shared" si="23"/>
        <v>Yes</v>
      </c>
      <c r="H205" s="340" t="str">
        <f t="shared" si="28"/>
        <v>Yes</v>
      </c>
      <c r="I205" s="428">
        <f>SUMIF('Diags Raw Data'!$A$6:$A$3761,"*"&amp;$A205&amp;"*",'Diags Raw Data'!$K$6:$K$3761)</f>
        <v>0</v>
      </c>
      <c r="J205" s="430">
        <f>SUMIF('Diags Raw Data'!$A$6:$A$3761,"*"&amp;$A205&amp;"*",'Diags Raw Data'!$L$6:$L$3761)</f>
        <v>0</v>
      </c>
      <c r="K205" s="468" cm="1">
        <f t="array" ref="K205">IF(D205="",0, SUMPRODUCT(--(ISNUMBER(SEARCH($A205,'Diags Raw Data'!$A$6:$A$3761))),'Diags Raw Data'!$L$6:$L$3761,'Diags Raw Data'!$N$6:$N$3761)/J205)</f>
        <v>0</v>
      </c>
      <c r="L205" s="469" cm="1">
        <f t="array" ref="L205">IF(D205="",0, SUMPRODUCT(--(ISNUMBER(SEARCH($A205,'Diags Raw Data'!$A$6:$A$3761))),'Diags Raw Data'!$L$6:$L$3761,'Diags Raw Data'!$P$6:$P$3761)/J205)</f>
        <v>0</v>
      </c>
      <c r="M205" s="470" cm="1">
        <f t="array" ref="M205">SUMPRODUCT(--(ISNUMBER(SEARCH($A205,'Diags Raw Data'!$A$6:$A$3761))),--('Diags Raw Data'!$Q$6:$Q$3761&lt;&gt;"N/A"),'Diags Raw Data'!$R$6:$R$3761)</f>
        <v>0</v>
      </c>
      <c r="N205" s="471" cm="1">
        <f t="array" ref="N205">SUMPRODUCT(--(ISNUMBER(SEARCH($A205,'Diags Raw Data'!$A$6:$A$3761))),--('Diags Raw Data'!$Q$6:$Q$3761&lt;&gt;"N/A"),'Diags Raw Data'!$T$6:$T$3761)+SUMPRODUCT(--(ISNUMBER(SEARCH($A205,'Diags Raw Data'!$A$6:$A$3761))),--('Diags Raw Data'!$Q$6:$Q$3761&lt;&gt;"N/A"),'Diags Raw Data'!$U$6:$U$3761)</f>
        <v>0</v>
      </c>
      <c r="O205" s="472">
        <f t="shared" si="37"/>
        <v>0</v>
      </c>
      <c r="P205" s="473">
        <f>SUMIF('Diags Raw Data'!$A$6:$A$3761,"*"&amp;$A205&amp;"*",'Diags Raw Data'!$Z$6:$Z$3761)</f>
        <v>0</v>
      </c>
      <c r="Q205" s="474">
        <f>SUM(SUMIF('Diags Raw Data'!$A$6:$A$3761,"*"&amp;$A205&amp;"*",'Diags Raw Data'!$AA$6:$AA$3761),SUMIF('Diags Raw Data'!$A$6:$A$3761,"*"&amp;$A205&amp;"*",'Diags Raw Data'!$AB$6:$AB$3761))</f>
        <v>0</v>
      </c>
      <c r="R205" s="475">
        <f t="shared" si="38"/>
        <v>0</v>
      </c>
      <c r="S205" s="475">
        <f t="shared" si="39"/>
        <v>0</v>
      </c>
      <c r="T205" s="476">
        <f t="shared" si="40"/>
        <v>0</v>
      </c>
      <c r="U205" s="425" t="e">
        <f>VLOOKUP(A205,'Diags Raw Data'!$A$6:$AH$3761,33,FALSE)</f>
        <v>#N/A</v>
      </c>
      <c r="V205" s="181"/>
    </row>
    <row r="206" spans="1:22" ht="30.75" thickBot="1" x14ac:dyDescent="0.3">
      <c r="A206" s="530">
        <v>12.439</v>
      </c>
      <c r="B206" s="427" t="str">
        <f>VLOOKUP(A206,'Feature Raw Data'!$A$3:$B$3922,2,FALSE)</f>
        <v>Improve register based invalidation</v>
      </c>
      <c r="C206" s="428" t="str">
        <f>VLOOKUP(A206,'Feature Raw Data'!$A$3:$C$3922,3,FALSE)</f>
        <v>P2</v>
      </c>
      <c r="D206" s="429" t="str" cm="1">
        <f t="array" ref="D206">_xlfn.TEXTJOIN("",TRUE,IF(ISNUMBER(SEARCH($A206,'Diags Raw Data'!$A$6:$A$3761)),CONCATENATE('Diags Raw Data'!$H$6:$H$3761,", "),""))</f>
        <v xml:space="preserve">utci16.1, </v>
      </c>
      <c r="E206" s="340" t="str">
        <f>VLOOKUP(A206,'Diags Raw Data'!$A$6:$D$3761,4,FALSE)</f>
        <v>CTL</v>
      </c>
      <c r="F206" s="340" t="str">
        <f>VLOOKUP(A206,'Feature Raw Data'!$A$3:$E$3922,5,FALSE)</f>
        <v>New</v>
      </c>
      <c r="G206" s="340" t="str">
        <f t="shared" si="23"/>
        <v>Yes</v>
      </c>
      <c r="H206" s="340" t="str">
        <f t="shared" si="28"/>
        <v>Yes</v>
      </c>
      <c r="I206" s="428">
        <f>SUMIF('Diags Raw Data'!$A$6:$A$3761,"*"&amp;$A206&amp;"*",'Diags Raw Data'!$K$6:$K$3761)</f>
        <v>0</v>
      </c>
      <c r="J206" s="430">
        <f>SUMIF('Diags Raw Data'!$A$6:$A$3761,"*"&amp;$A206&amp;"*",'Diags Raw Data'!$L$6:$L$3761)</f>
        <v>0</v>
      </c>
      <c r="K206" s="468" t="e" cm="1">
        <f t="array" ref="K206">IF(D206="",0, SUMPRODUCT(--(ISNUMBER(SEARCH($A206,'Diags Raw Data'!$A$6:$A$3761))),'Diags Raw Data'!$L$6:$L$3761,'Diags Raw Data'!$N$6:$N$3761)/J206)</f>
        <v>#DIV/0!</v>
      </c>
      <c r="L206" s="469" t="e" cm="1">
        <f t="array" ref="L206">IF(D206="",0, SUMPRODUCT(--(ISNUMBER(SEARCH($A206,'Diags Raw Data'!$A$6:$A$3761))),'Diags Raw Data'!$L$6:$L$3761,'Diags Raw Data'!$P$6:$P$3761)/J206)</f>
        <v>#DIV/0!</v>
      </c>
      <c r="M206" s="470" cm="1">
        <f t="array" ref="M206">SUMPRODUCT(--(ISNUMBER(SEARCH($A206,'Diags Raw Data'!$A$6:$A$3761))),--('Diags Raw Data'!$Q$6:$Q$3761&lt;&gt;"N/A"),'Diags Raw Data'!$R$6:$R$3761)</f>
        <v>1</v>
      </c>
      <c r="N206" s="471" cm="1">
        <f t="array" ref="N206">SUMPRODUCT(--(ISNUMBER(SEARCH($A206,'Diags Raw Data'!$A$6:$A$3761))),--('Diags Raw Data'!$Q$6:$Q$3761&lt;&gt;"N/A"),'Diags Raw Data'!$T$6:$T$3761)+SUMPRODUCT(--(ISNUMBER(SEARCH($A206,'Diags Raw Data'!$A$6:$A$3761))),--('Diags Raw Data'!$Q$6:$Q$3761&lt;&gt;"N/A"),'Diags Raw Data'!$U$6:$U$3761)</f>
        <v>0</v>
      </c>
      <c r="O206" s="472">
        <f t="shared" si="37"/>
        <v>0</v>
      </c>
      <c r="P206" s="473">
        <f>SUMIF('Diags Raw Data'!$A$6:$A$3761,"*"&amp;$A206&amp;"*",'Diags Raw Data'!$Z$6:$Z$3761)</f>
        <v>0</v>
      </c>
      <c r="Q206" s="474">
        <f>SUM(SUMIF('Diags Raw Data'!$A$6:$A$3761,"*"&amp;$A206&amp;"*",'Diags Raw Data'!$AA$6:$AA$3761),SUMIF('Diags Raw Data'!$A$6:$A$3761,"*"&amp;$A206&amp;"*",'Diags Raw Data'!$AB$6:$AB$3761))</f>
        <v>0</v>
      </c>
      <c r="R206" s="475">
        <f t="shared" si="38"/>
        <v>0</v>
      </c>
      <c r="S206" s="475">
        <f t="shared" si="39"/>
        <v>0</v>
      </c>
      <c r="T206" s="476">
        <f t="shared" si="40"/>
        <v>0</v>
      </c>
      <c r="U206" s="425" t="str">
        <f>VLOOKUP(A206,'Diags Raw Data'!$A$6:$AH$3761,33,FALSE)</f>
        <v>WK8</v>
      </c>
      <c r="V206" s="181"/>
    </row>
    <row r="207" spans="1:22" ht="45.75" thickBot="1" x14ac:dyDescent="0.3">
      <c r="A207" s="530">
        <v>12.44</v>
      </c>
      <c r="B207" s="427" t="str">
        <f>VLOOKUP(A207,'Feature Raw Data'!$A$3:$B$3922,2,FALSE)</f>
        <v>Make SE CAC Counters accessible over Debug Bus</v>
      </c>
      <c r="C207" s="428" t="str">
        <f>VLOOKUP(A207,'Feature Raw Data'!$A$3:$C$3922,3,FALSE)</f>
        <v>P2</v>
      </c>
      <c r="D207" s="429" t="str" cm="1">
        <f t="array" ref="D207">_xlfn.TEXTJOIN("",TRUE,IF(ISNUMBER(SEARCH($A207,'Diags Raw Data'!$A$6:$A$3761)),CONCATENATE('Diags Raw Data'!$H$6:$H$3761,", "),""))</f>
        <v xml:space="preserve">placeholder_j.1, shci2039.0-3, rt33.0, rt33.1-2, </v>
      </c>
      <c r="E207" s="340" t="e">
        <f>VLOOKUP(A207,'Diags Raw Data'!$A$6:$D$3761,4,FALSE)</f>
        <v>#N/A</v>
      </c>
      <c r="F207" s="340" t="str">
        <f>VLOOKUP(A207,'Feature Raw Data'!$A$3:$E$3922,5,FALSE)</f>
        <v>New</v>
      </c>
      <c r="G207" s="340" t="str">
        <f>IF(D207="N/A, , , , , , , , , ","No","Yes")</f>
        <v>Yes</v>
      </c>
      <c r="H207" s="340" t="str">
        <f>IF(D207="N/A, , , , , , , , , ","No","Yes")</f>
        <v>Yes</v>
      </c>
      <c r="I207" s="428">
        <f>SUMIF('Diags Raw Data'!$A$6:$A$3761,"*"&amp;$A207&amp;"*",'Diags Raw Data'!$K$6:$K$3761)</f>
        <v>0</v>
      </c>
      <c r="J207" s="430">
        <f>SUMIF('Diags Raw Data'!$A$6:$A$3761,"*"&amp;$A207&amp;"*",'Diags Raw Data'!$L$6:$L$3761)</f>
        <v>0</v>
      </c>
      <c r="K207" s="468" t="e" cm="1">
        <f t="array" ref="K207">IF(D207="",0, SUMPRODUCT(--(ISNUMBER(SEARCH($A207,'Diags Raw Data'!$A$6:$A$3761))),'Diags Raw Data'!$L$6:$L$3761,'Diags Raw Data'!$N$6:$N$3761)/J207)</f>
        <v>#DIV/0!</v>
      </c>
      <c r="L207" s="469" t="e" cm="1">
        <f t="array" ref="L207">IF(D207="",0, SUMPRODUCT(--(ISNUMBER(SEARCH($A207,'Diags Raw Data'!$A$6:$A$3761))),'Diags Raw Data'!$L$6:$L$3761,'Diags Raw Data'!$P$6:$P$3761)/J207)</f>
        <v>#DIV/0!</v>
      </c>
      <c r="M207" s="470" cm="1">
        <f t="array" ref="M207">SUMPRODUCT(--(ISNUMBER(SEARCH($A207,'Diags Raw Data'!$A$6:$A$3761))),--('Diags Raw Data'!$Q$6:$Q$3761&lt;&gt;"N/A"),'Diags Raw Data'!$R$6:$R$3761)</f>
        <v>11</v>
      </c>
      <c r="N207" s="471" cm="1">
        <f t="array" ref="N207">SUMPRODUCT(--(ISNUMBER(SEARCH($A207,'Diags Raw Data'!$A$6:$A$3761))),--('Diags Raw Data'!$Q$6:$Q$3761&lt;&gt;"N/A"),'Diags Raw Data'!$T$6:$T$3761)+SUMPRODUCT(--(ISNUMBER(SEARCH($A207,'Diags Raw Data'!$A$6:$A$3761))),--('Diags Raw Data'!$Q$6:$Q$3761&lt;&gt;"N/A"),'Diags Raw Data'!$U$6:$U$3761)</f>
        <v>11</v>
      </c>
      <c r="O207" s="472">
        <f t="shared" si="37"/>
        <v>1</v>
      </c>
      <c r="P207" s="473">
        <f>SUMIF('Diags Raw Data'!$A$6:$A$3761,"*"&amp;$A207&amp;"*",'Diags Raw Data'!$Z$6:$Z$3761)</f>
        <v>0</v>
      </c>
      <c r="Q207" s="474">
        <f>SUM(SUMIF('Diags Raw Data'!$A$6:$A$3761,"*"&amp;$A207&amp;"*",'Diags Raw Data'!$AA$6:$AA$3761),SUMIF('Diags Raw Data'!$A$6:$A$3761,"*"&amp;$A207&amp;"*",'Diags Raw Data'!$AB$6:$AB$3761))</f>
        <v>0</v>
      </c>
      <c r="R207" s="475">
        <f t="shared" si="38"/>
        <v>0</v>
      </c>
      <c r="S207" s="475">
        <f t="shared" si="39"/>
        <v>0</v>
      </c>
      <c r="T207" s="476">
        <f t="shared" si="40"/>
        <v>0</v>
      </c>
      <c r="U207" s="425" t="e">
        <f>VLOOKUP(A207,'Diags Raw Data'!$A$6:$AH$3761,33,FALSE)</f>
        <v>#N/A</v>
      </c>
      <c r="V207" s="535" t="s">
        <v>398</v>
      </c>
    </row>
    <row r="208" spans="1:22" ht="30.75" thickBot="1" x14ac:dyDescent="0.3">
      <c r="A208" s="530">
        <v>12.441000000000001</v>
      </c>
      <c r="B208" s="427" t="str">
        <f>VLOOKUP(A208,'Feature Raw Data'!$A$3:$B$3922,2,FALSE)</f>
        <v>reduce VGPRs for LS and ES stages</v>
      </c>
      <c r="C208" s="428" t="str">
        <f>VLOOKUP(A208,'Feature Raw Data'!$A$3:$C$3922,3,FALSE)</f>
        <v>P2</v>
      </c>
      <c r="D208" s="429" t="str" cm="1">
        <f t="array" ref="D208">_xlfn.TEXTJOIN("",TRUE,IF(ISNUMBER(SEARCH($A208,'Diags Raw Data'!$A$6:$A$3761)),CONCATENATE('Diags Raw Data'!$H$6:$H$3761,", "),""))</f>
        <v/>
      </c>
      <c r="E208" s="340" t="e">
        <f>VLOOKUP(A208,'Diags Raw Data'!$A$6:$D$3761,4,FALSE)</f>
        <v>#N/A</v>
      </c>
      <c r="F208" s="340" t="str">
        <f>VLOOKUP(A208,'Feature Raw Data'!$A$3:$E$3922,5,FALSE)</f>
        <v>New</v>
      </c>
      <c r="G208" s="340" t="str">
        <f t="shared" si="23"/>
        <v>Yes</v>
      </c>
      <c r="H208" s="340" t="str">
        <f t="shared" si="28"/>
        <v>Yes</v>
      </c>
      <c r="I208" s="428">
        <f>SUMIF('Diags Raw Data'!$A$6:$A$3761,"*"&amp;$A208&amp;"*",'Diags Raw Data'!$K$6:$K$3761)</f>
        <v>0</v>
      </c>
      <c r="J208" s="430">
        <f>SUMIF('Diags Raw Data'!$A$6:$A$3761,"*"&amp;$A208&amp;"*",'Diags Raw Data'!$L$6:$L$3761)</f>
        <v>0</v>
      </c>
      <c r="K208" s="468" cm="1">
        <f t="array" ref="K208">IF(D208="",0, SUMPRODUCT(--(ISNUMBER(SEARCH($A208,'Diags Raw Data'!$A$6:$A$3761))),'Diags Raw Data'!$L$6:$L$3761,'Diags Raw Data'!$N$6:$N$3761)/J208)</f>
        <v>0</v>
      </c>
      <c r="L208" s="469" cm="1">
        <f t="array" ref="L208">IF(D208="",0, SUMPRODUCT(--(ISNUMBER(SEARCH($A208,'Diags Raw Data'!$A$6:$A$3761))),'Diags Raw Data'!$L$6:$L$3761,'Diags Raw Data'!$P$6:$P$3761)/J208)</f>
        <v>0</v>
      </c>
      <c r="M208" s="470" cm="1">
        <f t="array" ref="M208">SUMPRODUCT(--(ISNUMBER(SEARCH($A208,'Diags Raw Data'!$A$6:$A$3761))),--('Diags Raw Data'!$Q$6:$Q$3761&lt;&gt;"N/A"),'Diags Raw Data'!$R$6:$R$3761)</f>
        <v>0</v>
      </c>
      <c r="N208" s="471" cm="1">
        <f t="array" ref="N208">SUMPRODUCT(--(ISNUMBER(SEARCH($A208,'Diags Raw Data'!$A$6:$A$3761))),--('Diags Raw Data'!$Q$6:$Q$3761&lt;&gt;"N/A"),'Diags Raw Data'!$T$6:$T$3761)+SUMPRODUCT(--(ISNUMBER(SEARCH($A208,'Diags Raw Data'!$A$6:$A$3761))),--('Diags Raw Data'!$Q$6:$Q$3761&lt;&gt;"N/A"),'Diags Raw Data'!$U$6:$U$3761)</f>
        <v>0</v>
      </c>
      <c r="O208" s="472">
        <f t="shared" si="37"/>
        <v>0</v>
      </c>
      <c r="P208" s="473">
        <f>SUMIF('Diags Raw Data'!$A$6:$A$3761,"*"&amp;$A208&amp;"*",'Diags Raw Data'!$Z$6:$Z$3761)</f>
        <v>0</v>
      </c>
      <c r="Q208" s="474">
        <f>SUM(SUMIF('Diags Raw Data'!$A$6:$A$3761,"*"&amp;$A208&amp;"*",'Diags Raw Data'!$AA$6:$AA$3761),SUMIF('Diags Raw Data'!$A$6:$A$3761,"*"&amp;$A208&amp;"*",'Diags Raw Data'!$AB$6:$AB$3761))</f>
        <v>0</v>
      </c>
      <c r="R208" s="475">
        <f t="shared" si="38"/>
        <v>0</v>
      </c>
      <c r="S208" s="475">
        <f t="shared" si="39"/>
        <v>0</v>
      </c>
      <c r="T208" s="476">
        <f t="shared" si="40"/>
        <v>0</v>
      </c>
      <c r="U208" s="425" t="e">
        <f>VLOOKUP(A208,'Diags Raw Data'!$A$6:$AH$3761,33,FALSE)</f>
        <v>#N/A</v>
      </c>
      <c r="V208" s="181"/>
    </row>
    <row r="209" spans="1:22" ht="30.75" thickBot="1" x14ac:dyDescent="0.3">
      <c r="A209" s="530">
        <v>12.442</v>
      </c>
      <c r="B209" s="427" t="str">
        <f>VLOOKUP(A209,'Feature Raw Data'!$A$3:$B$3922,2,FALSE)</f>
        <v>EA and GL2CC move from GRBM to GRBMH</v>
      </c>
      <c r="C209" s="428" t="str">
        <f>VLOOKUP(A209,'Feature Raw Data'!$A$3:$C$3922,3,FALSE)</f>
        <v>P2</v>
      </c>
      <c r="D209" s="429" t="str" cm="1">
        <f t="array" ref="D209">_xlfn.TEXTJOIN("",TRUE,IF(ISNUMBER(SEARCH($A209,'Diags Raw Data'!$A$6:$A$3761)),CONCATENATE('Diags Raw Data'!$H$6:$H$3761,", "),""))</f>
        <v/>
      </c>
      <c r="E209" s="340" t="e">
        <f>VLOOKUP(A209,'Diags Raw Data'!$A$6:$D$3761,4,FALSE)</f>
        <v>#N/A</v>
      </c>
      <c r="F209" s="340" t="str">
        <f>VLOOKUP(A209,'Feature Raw Data'!$A$3:$E$3922,5,FALSE)</f>
        <v>New</v>
      </c>
      <c r="G209" s="340" t="str">
        <f t="shared" si="23"/>
        <v>Yes</v>
      </c>
      <c r="H209" s="340" t="str">
        <f t="shared" si="28"/>
        <v>Yes</v>
      </c>
      <c r="I209" s="428">
        <f>SUMIF('Diags Raw Data'!$A$6:$A$3761,"*"&amp;$A209&amp;"*",'Diags Raw Data'!$K$6:$K$3761)</f>
        <v>0</v>
      </c>
      <c r="J209" s="430">
        <f>SUMIF('Diags Raw Data'!$A$6:$A$3761,"*"&amp;$A209&amp;"*",'Diags Raw Data'!$L$6:$L$3761)</f>
        <v>0</v>
      </c>
      <c r="K209" s="468" cm="1">
        <f t="array" ref="K209">IF(D209="",0, SUMPRODUCT(--(ISNUMBER(SEARCH($A209,'Diags Raw Data'!$A$6:$A$3761))),'Diags Raw Data'!$L$6:$L$3761,'Diags Raw Data'!$N$6:$N$3761)/J209)</f>
        <v>0</v>
      </c>
      <c r="L209" s="469" cm="1">
        <f t="array" ref="L209">IF(D209="",0, SUMPRODUCT(--(ISNUMBER(SEARCH($A209,'Diags Raw Data'!$A$6:$A$3761))),'Diags Raw Data'!$L$6:$L$3761,'Diags Raw Data'!$P$6:$P$3761)/J209)</f>
        <v>0</v>
      </c>
      <c r="M209" s="470" cm="1">
        <f t="array" ref="M209">SUMPRODUCT(--(ISNUMBER(SEARCH($A209,'Diags Raw Data'!$A$6:$A$3761))),--('Diags Raw Data'!$Q$6:$Q$3761&lt;&gt;"N/A"),'Diags Raw Data'!$R$6:$R$3761)</f>
        <v>0</v>
      </c>
      <c r="N209" s="471" cm="1">
        <f t="array" ref="N209">SUMPRODUCT(--(ISNUMBER(SEARCH($A209,'Diags Raw Data'!$A$6:$A$3761))),--('Diags Raw Data'!$Q$6:$Q$3761&lt;&gt;"N/A"),'Diags Raw Data'!$T$6:$T$3761)+SUMPRODUCT(--(ISNUMBER(SEARCH($A209,'Diags Raw Data'!$A$6:$A$3761))),--('Diags Raw Data'!$Q$6:$Q$3761&lt;&gt;"N/A"),'Diags Raw Data'!$U$6:$U$3761)</f>
        <v>0</v>
      </c>
      <c r="O209" s="472">
        <f t="shared" si="37"/>
        <v>0</v>
      </c>
      <c r="P209" s="473">
        <f>SUMIF('Diags Raw Data'!$A$6:$A$3761,"*"&amp;$A209&amp;"*",'Diags Raw Data'!$Z$6:$Z$3761)</f>
        <v>0</v>
      </c>
      <c r="Q209" s="474">
        <f>SUM(SUMIF('Diags Raw Data'!$A$6:$A$3761,"*"&amp;$A209&amp;"*",'Diags Raw Data'!$AA$6:$AA$3761),SUMIF('Diags Raw Data'!$A$6:$A$3761,"*"&amp;$A209&amp;"*",'Diags Raw Data'!$AB$6:$AB$3761))</f>
        <v>0</v>
      </c>
      <c r="R209" s="475">
        <f t="shared" si="38"/>
        <v>0</v>
      </c>
      <c r="S209" s="475">
        <f t="shared" si="39"/>
        <v>0</v>
      </c>
      <c r="T209" s="476">
        <f t="shared" si="40"/>
        <v>0</v>
      </c>
      <c r="U209" s="425" t="e">
        <f>VLOOKUP(A209,'Diags Raw Data'!$A$6:$AH$3761,33,FALSE)</f>
        <v>#N/A</v>
      </c>
      <c r="V209" s="181"/>
    </row>
    <row r="210" spans="1:22" ht="30.75" thickBot="1" x14ac:dyDescent="0.3">
      <c r="A210" s="530">
        <v>12.444000000000001</v>
      </c>
      <c r="B210" s="427" t="str">
        <f>VLOOKUP(A210,'Feature Raw Data'!$A$3:$B$3922,2,FALSE)</f>
        <v>Expand V# const_stride from 14 to 17 bit width</v>
      </c>
      <c r="C210" s="428" t="str">
        <f>VLOOKUP(A210,'Feature Raw Data'!$A$3:$C$3922,3,FALSE)</f>
        <v>P2</v>
      </c>
      <c r="D210" s="429" t="str" cm="1">
        <f t="array" ref="D210">_xlfn.TEXTJOIN("",TRUE,IF(ISNUMBER(SEARCH($A210,'Diags Raw Data'!$A$6:$A$3761)),CONCATENATE('Diags Raw Data'!$H$6:$H$3761,", "),""))</f>
        <v xml:space="preserve">placeholder_j.1, </v>
      </c>
      <c r="E210" s="340" t="str">
        <f>VLOOKUP(A210,'Diags Raw Data'!$A$6:$D$3761,4,FALSE)</f>
        <v>TEX</v>
      </c>
      <c r="F210" s="340" t="str">
        <f>VLOOKUP(A210,'Feature Raw Data'!$A$3:$E$3922,5,FALSE)</f>
        <v>New</v>
      </c>
      <c r="G210" s="340" t="str">
        <f t="shared" si="23"/>
        <v>Yes</v>
      </c>
      <c r="H210" s="340" t="str">
        <f t="shared" si="28"/>
        <v>Yes</v>
      </c>
      <c r="I210" s="428">
        <f>SUMIF('Diags Raw Data'!$A$6:$A$3761,"*"&amp;$A210&amp;"*",'Diags Raw Data'!$K$6:$K$3761)</f>
        <v>0</v>
      </c>
      <c r="J210" s="430">
        <f>SUMIF('Diags Raw Data'!$A$6:$A$3761,"*"&amp;$A210&amp;"*",'Diags Raw Data'!$L$6:$L$3761)</f>
        <v>0</v>
      </c>
      <c r="K210" s="468" t="e" cm="1">
        <f t="array" ref="K210">IF(D210="",0, SUMPRODUCT(--(ISNUMBER(SEARCH($A210,'Diags Raw Data'!$A$6:$A$3761))),'Diags Raw Data'!$L$6:$L$3761,'Diags Raw Data'!$N$6:$N$3761)/J210)</f>
        <v>#DIV/0!</v>
      </c>
      <c r="L210" s="469" t="e" cm="1">
        <f t="array" ref="L210">IF(D210="",0, SUMPRODUCT(--(ISNUMBER(SEARCH($A210,'Diags Raw Data'!$A$6:$A$3761))),'Diags Raw Data'!$L$6:$L$3761,'Diags Raw Data'!$P$6:$P$3761)/J210)</f>
        <v>#DIV/0!</v>
      </c>
      <c r="M210" s="470" cm="1">
        <f t="array" ref="M210">SUMPRODUCT(--(ISNUMBER(SEARCH($A210,'Diags Raw Data'!$A$6:$A$3761))),--('Diags Raw Data'!$Q$6:$Q$3761&lt;&gt;"N/A"),'Diags Raw Data'!$R$6:$R$3761)</f>
        <v>4</v>
      </c>
      <c r="N210" s="471" cm="1">
        <f t="array" ref="N210">SUMPRODUCT(--(ISNUMBER(SEARCH($A210,'Diags Raw Data'!$A$6:$A$3761))),--('Diags Raw Data'!$Q$6:$Q$3761&lt;&gt;"N/A"),'Diags Raw Data'!$T$6:$T$3761)+SUMPRODUCT(--(ISNUMBER(SEARCH($A210,'Diags Raw Data'!$A$6:$A$3761))),--('Diags Raw Data'!$Q$6:$Q$3761&lt;&gt;"N/A"),'Diags Raw Data'!$U$6:$U$3761)</f>
        <v>4</v>
      </c>
      <c r="O210" s="472">
        <f t="shared" si="37"/>
        <v>1</v>
      </c>
      <c r="P210" s="473">
        <f>SUMIF('Diags Raw Data'!$A$6:$A$3761,"*"&amp;$A210&amp;"*",'Diags Raw Data'!$Z$6:$Z$3761)</f>
        <v>0</v>
      </c>
      <c r="Q210" s="474">
        <f>SUM(SUMIF('Diags Raw Data'!$A$6:$A$3761,"*"&amp;$A210&amp;"*",'Diags Raw Data'!$AA$6:$AA$3761),SUMIF('Diags Raw Data'!$A$6:$A$3761,"*"&amp;$A210&amp;"*",'Diags Raw Data'!$AB$6:$AB$3761))</f>
        <v>0</v>
      </c>
      <c r="R210" s="475">
        <f t="shared" si="38"/>
        <v>0</v>
      </c>
      <c r="S210" s="475">
        <f t="shared" si="39"/>
        <v>0</v>
      </c>
      <c r="T210" s="476">
        <f t="shared" si="40"/>
        <v>0</v>
      </c>
      <c r="U210" s="425" t="str">
        <f>VLOOKUP(A210,'Diags Raw Data'!$A$6:$AH$3761,33,FALSE)</f>
        <v>WK8</v>
      </c>
      <c r="V210" s="181"/>
    </row>
    <row r="211" spans="1:22" ht="30.75" thickBot="1" x14ac:dyDescent="0.3">
      <c r="A211" s="530">
        <v>12.445</v>
      </c>
      <c r="B211" s="427" t="str">
        <f>VLOOKUP(A211,'Feature Raw Data'!$A$3:$B$3922,2,FALSE)</f>
        <v>Improve Thread Trace ExecPopCount bandwidth</v>
      </c>
      <c r="C211" s="428" t="str">
        <f>VLOOKUP(A211,'Feature Raw Data'!$A$3:$C$3922,3,FALSE)</f>
        <v>P2</v>
      </c>
      <c r="D211" s="429" t="str" cm="1">
        <f t="array" ref="D211">_xlfn.TEXTJOIN("",TRUE,IF(ISNUMBER(SEARCH($A211,'Diags Raw Data'!$A$6:$A$3761)),CONCATENATE('Diags Raw Data'!$H$6:$H$3761,", "),""))</f>
        <v xml:space="preserve">shci2039.0-3, </v>
      </c>
      <c r="E211" s="340" t="str">
        <f>VLOOKUP(A211,'Diags Raw Data'!$A$6:$D$3761,4,FALSE)</f>
        <v>SH</v>
      </c>
      <c r="F211" s="340" t="str">
        <f>VLOOKUP(A211,'Feature Raw Data'!$A$3:$E$3922,5,FALSE)</f>
        <v>New</v>
      </c>
      <c r="G211" s="340" t="str">
        <f t="shared" si="23"/>
        <v>Yes</v>
      </c>
      <c r="H211" s="340" t="str">
        <f t="shared" si="28"/>
        <v>Yes</v>
      </c>
      <c r="I211" s="428">
        <f>SUMIF('Diags Raw Data'!$A$6:$A$3761,"*"&amp;$A211&amp;"*",'Diags Raw Data'!$K$6:$K$3761)</f>
        <v>0</v>
      </c>
      <c r="J211" s="430">
        <f>SUMIF('Diags Raw Data'!$A$6:$A$3761,"*"&amp;$A211&amp;"*",'Diags Raw Data'!$L$6:$L$3761)</f>
        <v>0</v>
      </c>
      <c r="K211" s="468" t="e" cm="1">
        <f t="array" ref="K211">IF(D211="",0, SUMPRODUCT(--(ISNUMBER(SEARCH($A211,'Diags Raw Data'!$A$6:$A$3761))),'Diags Raw Data'!$L$6:$L$3761,'Diags Raw Data'!$N$6:$N$3761)/J211)</f>
        <v>#DIV/0!</v>
      </c>
      <c r="L211" s="469" t="e" cm="1">
        <f t="array" ref="L211">IF(D211="",0, SUMPRODUCT(--(ISNUMBER(SEARCH($A211,'Diags Raw Data'!$A$6:$A$3761))),'Diags Raw Data'!$L$6:$L$3761,'Diags Raw Data'!$P$6:$P$3761)/J211)</f>
        <v>#DIV/0!</v>
      </c>
      <c r="M211" s="470" cm="1">
        <f t="array" ref="M211">SUMPRODUCT(--(ISNUMBER(SEARCH($A211,'Diags Raw Data'!$A$6:$A$3761))),--('Diags Raw Data'!$Q$6:$Q$3761&lt;&gt;"N/A"),'Diags Raw Data'!$R$6:$R$3761)</f>
        <v>4</v>
      </c>
      <c r="N211" s="471" cm="1">
        <f t="array" ref="N211">SUMPRODUCT(--(ISNUMBER(SEARCH($A211,'Diags Raw Data'!$A$6:$A$3761))),--('Diags Raw Data'!$Q$6:$Q$3761&lt;&gt;"N/A"),'Diags Raw Data'!$T$6:$T$3761)+SUMPRODUCT(--(ISNUMBER(SEARCH($A211,'Diags Raw Data'!$A$6:$A$3761))),--('Diags Raw Data'!$Q$6:$Q$3761&lt;&gt;"N/A"),'Diags Raw Data'!$U$6:$U$3761)</f>
        <v>4</v>
      </c>
      <c r="O211" s="472">
        <f t="shared" si="37"/>
        <v>1</v>
      </c>
      <c r="P211" s="473">
        <f>SUMIF('Diags Raw Data'!$A$6:$A$3761,"*"&amp;$A211&amp;"*",'Diags Raw Data'!$Z$6:$Z$3761)</f>
        <v>0</v>
      </c>
      <c r="Q211" s="474">
        <f>SUM(SUMIF('Diags Raw Data'!$A$6:$A$3761,"*"&amp;$A211&amp;"*",'Diags Raw Data'!$AA$6:$AA$3761),SUMIF('Diags Raw Data'!$A$6:$A$3761,"*"&amp;$A211&amp;"*",'Diags Raw Data'!$AB$6:$AB$3761))</f>
        <v>0</v>
      </c>
      <c r="R211" s="475">
        <f t="shared" si="38"/>
        <v>0</v>
      </c>
      <c r="S211" s="475">
        <f t="shared" si="39"/>
        <v>0</v>
      </c>
      <c r="T211" s="476">
        <f t="shared" si="40"/>
        <v>0</v>
      </c>
      <c r="U211" s="425" t="str">
        <f>VLOOKUP(A211,'Diags Raw Data'!$A$6:$AH$3761,33,FALSE)</f>
        <v>WK8</v>
      </c>
      <c r="V211" s="181"/>
    </row>
    <row r="212" spans="1:22" ht="30.75" thickBot="1" x14ac:dyDescent="0.3">
      <c r="A212" s="530">
        <v>12.446</v>
      </c>
      <c r="B212" s="427" t="str">
        <f>VLOOKUP(A212,'Feature Raw Data'!$A$3:$B$3922,2,FALSE)</f>
        <v>Load_reserved/store_conditional support in SE$</v>
      </c>
      <c r="C212" s="428" t="str">
        <f>VLOOKUP(A212,'Feature Raw Data'!$A$3:$C$3922,3,FALSE)</f>
        <v>P2</v>
      </c>
      <c r="D212" s="429" t="str" cm="1">
        <f t="array" ref="D212">_xlfn.TEXTJOIN("",TRUE,IF(ISNUMBER(SEARCH($A212,'Diags Raw Data'!$A$6:$A$3761)),CONCATENATE('Diags Raw Data'!$H$6:$H$3761,", "),""))</f>
        <v/>
      </c>
      <c r="E212" s="340" t="e">
        <f>VLOOKUP(A212,'Diags Raw Data'!$A$6:$D$3761,4,FALSE)</f>
        <v>#N/A</v>
      </c>
      <c r="F212" s="340" t="str">
        <f>VLOOKUP(A212,'Feature Raw Data'!$A$3:$E$3922,5,FALSE)</f>
        <v>New</v>
      </c>
      <c r="G212" s="340" t="str">
        <f t="shared" si="23"/>
        <v>Yes</v>
      </c>
      <c r="H212" s="340" t="str">
        <f t="shared" si="28"/>
        <v>Yes</v>
      </c>
      <c r="I212" s="428">
        <f>SUMIF('Diags Raw Data'!$A$6:$A$3761,"*"&amp;$A212&amp;"*",'Diags Raw Data'!$K$6:$K$3761)</f>
        <v>0</v>
      </c>
      <c r="J212" s="430">
        <f>SUMIF('Diags Raw Data'!$A$6:$A$3761,"*"&amp;$A212&amp;"*",'Diags Raw Data'!$L$6:$L$3761)</f>
        <v>0</v>
      </c>
      <c r="K212" s="468" cm="1">
        <f t="array" ref="K212">IF(D212="",0, SUMPRODUCT(--(ISNUMBER(SEARCH($A212,'Diags Raw Data'!$A$6:$A$3761))),'Diags Raw Data'!$L$6:$L$3761,'Diags Raw Data'!$N$6:$N$3761)/J212)</f>
        <v>0</v>
      </c>
      <c r="L212" s="469" cm="1">
        <f t="array" ref="L212">IF(D212="",0, SUMPRODUCT(--(ISNUMBER(SEARCH($A212,'Diags Raw Data'!$A$6:$A$3761))),'Diags Raw Data'!$L$6:$L$3761,'Diags Raw Data'!$P$6:$P$3761)/J212)</f>
        <v>0</v>
      </c>
      <c r="M212" s="470" cm="1">
        <f t="array" ref="M212">SUMPRODUCT(--(ISNUMBER(SEARCH($A212,'Diags Raw Data'!$A$6:$A$3761))),--('Diags Raw Data'!$Q$6:$Q$3761&lt;&gt;"N/A"),'Diags Raw Data'!$R$6:$R$3761)</f>
        <v>0</v>
      </c>
      <c r="N212" s="471" cm="1">
        <f t="array" ref="N212">SUMPRODUCT(--(ISNUMBER(SEARCH($A212,'Diags Raw Data'!$A$6:$A$3761))),--('Diags Raw Data'!$Q$6:$Q$3761&lt;&gt;"N/A"),'Diags Raw Data'!$T$6:$T$3761)+SUMPRODUCT(--(ISNUMBER(SEARCH($A212,'Diags Raw Data'!$A$6:$A$3761))),--('Diags Raw Data'!$Q$6:$Q$3761&lt;&gt;"N/A"),'Diags Raw Data'!$U$6:$U$3761)</f>
        <v>0</v>
      </c>
      <c r="O212" s="472">
        <f t="shared" si="37"/>
        <v>0</v>
      </c>
      <c r="P212" s="473">
        <f>SUMIF('Diags Raw Data'!$A$6:$A$3761,"*"&amp;$A212&amp;"*",'Diags Raw Data'!$Z$6:$Z$3761)</f>
        <v>0</v>
      </c>
      <c r="Q212" s="474">
        <f>SUM(SUMIF('Diags Raw Data'!$A$6:$A$3761,"*"&amp;$A212&amp;"*",'Diags Raw Data'!$AA$6:$AA$3761),SUMIF('Diags Raw Data'!$A$6:$A$3761,"*"&amp;$A212&amp;"*",'Diags Raw Data'!$AB$6:$AB$3761))</f>
        <v>0</v>
      </c>
      <c r="R212" s="475">
        <f t="shared" si="38"/>
        <v>0</v>
      </c>
      <c r="S212" s="475">
        <f t="shared" si="39"/>
        <v>0</v>
      </c>
      <c r="T212" s="476">
        <f t="shared" si="40"/>
        <v>0</v>
      </c>
      <c r="U212" s="425" t="e">
        <f>VLOOKUP(A212,'Diags Raw Data'!$A$6:$AH$3761,33,FALSE)</f>
        <v>#N/A</v>
      </c>
      <c r="V212" s="181"/>
    </row>
    <row r="213" spans="1:22" ht="30.75" thickBot="1" x14ac:dyDescent="0.3">
      <c r="A213" s="530">
        <v>12.446999999999999</v>
      </c>
      <c r="B213" s="427" t="str">
        <f>VLOOKUP(A213,'Feature Raw Data'!$A$3:$B$3922,2,FALSE)</f>
        <v>Load_reserved/store_conditional support in DF</v>
      </c>
      <c r="C213" s="428" t="str">
        <f>VLOOKUP(A213,'Feature Raw Data'!$A$3:$C$3922,3,FALSE)</f>
        <v>P2</v>
      </c>
      <c r="D213" s="429" t="str" cm="1">
        <f t="array" ref="D213">_xlfn.TEXTJOIN("",TRUE,IF(ISNUMBER(SEARCH($A213,'Diags Raw Data'!$A$6:$A$3761)),CONCATENATE('Diags Raw Data'!$H$6:$H$3761,", "),""))</f>
        <v/>
      </c>
      <c r="E213" s="340" t="e">
        <f>VLOOKUP(A213,'Diags Raw Data'!$A$6:$D$3761,4,FALSE)</f>
        <v>#N/A</v>
      </c>
      <c r="F213" s="340" t="str">
        <f>VLOOKUP(A213,'Feature Raw Data'!$A$3:$E$3922,5,FALSE)</f>
        <v>New</v>
      </c>
      <c r="G213" s="340" t="str">
        <f t="shared" si="23"/>
        <v>Yes</v>
      </c>
      <c r="H213" s="340" t="str">
        <f t="shared" si="28"/>
        <v>Yes</v>
      </c>
      <c r="I213" s="428">
        <f>SUMIF('Diags Raw Data'!$A$6:$A$3761,"*"&amp;$A213&amp;"*",'Diags Raw Data'!$K$6:$K$3761)</f>
        <v>0</v>
      </c>
      <c r="J213" s="430">
        <f>SUMIF('Diags Raw Data'!$A$6:$A$3761,"*"&amp;$A213&amp;"*",'Diags Raw Data'!$L$6:$L$3761)</f>
        <v>0</v>
      </c>
      <c r="K213" s="468" cm="1">
        <f t="array" ref="K213">IF(D213="",0, SUMPRODUCT(--(ISNUMBER(SEARCH($A213,'Diags Raw Data'!$A$6:$A$3761))),'Diags Raw Data'!$L$6:$L$3761,'Diags Raw Data'!$N$6:$N$3761)/J213)</f>
        <v>0</v>
      </c>
      <c r="L213" s="469" cm="1">
        <f t="array" ref="L213">IF(D213="",0, SUMPRODUCT(--(ISNUMBER(SEARCH($A213,'Diags Raw Data'!$A$6:$A$3761))),'Diags Raw Data'!$L$6:$L$3761,'Diags Raw Data'!$P$6:$P$3761)/J213)</f>
        <v>0</v>
      </c>
      <c r="M213" s="470" cm="1">
        <f t="array" ref="M213">SUMPRODUCT(--(ISNUMBER(SEARCH($A213,'Diags Raw Data'!$A$6:$A$3761))),--('Diags Raw Data'!$Q$6:$Q$3761&lt;&gt;"N/A"),'Diags Raw Data'!$R$6:$R$3761)</f>
        <v>0</v>
      </c>
      <c r="N213" s="471" cm="1">
        <f t="array" ref="N213">SUMPRODUCT(--(ISNUMBER(SEARCH($A213,'Diags Raw Data'!$A$6:$A$3761))),--('Diags Raw Data'!$Q$6:$Q$3761&lt;&gt;"N/A"),'Diags Raw Data'!$T$6:$T$3761)+SUMPRODUCT(--(ISNUMBER(SEARCH($A213,'Diags Raw Data'!$A$6:$A$3761))),--('Diags Raw Data'!$Q$6:$Q$3761&lt;&gt;"N/A"),'Diags Raw Data'!$U$6:$U$3761)</f>
        <v>0</v>
      </c>
      <c r="O213" s="472">
        <f t="shared" si="37"/>
        <v>0</v>
      </c>
      <c r="P213" s="473">
        <f>SUMIF('Diags Raw Data'!$A$6:$A$3761,"*"&amp;$A213&amp;"*",'Diags Raw Data'!$Z$6:$Z$3761)</f>
        <v>0</v>
      </c>
      <c r="Q213" s="474">
        <f>SUM(SUMIF('Diags Raw Data'!$A$6:$A$3761,"*"&amp;$A213&amp;"*",'Diags Raw Data'!$AA$6:$AA$3761),SUMIF('Diags Raw Data'!$A$6:$A$3761,"*"&amp;$A213&amp;"*",'Diags Raw Data'!$AB$6:$AB$3761))</f>
        <v>0</v>
      </c>
      <c r="R213" s="475">
        <f t="shared" si="38"/>
        <v>0</v>
      </c>
      <c r="S213" s="475">
        <f t="shared" si="39"/>
        <v>0</v>
      </c>
      <c r="T213" s="476">
        <f t="shared" si="40"/>
        <v>0</v>
      </c>
      <c r="U213" s="425" t="e">
        <f>VLOOKUP(A213,'Diags Raw Data'!$A$6:$AH$3761,33,FALSE)</f>
        <v>#N/A</v>
      </c>
      <c r="V213" s="181"/>
    </row>
    <row r="214" spans="1:22" ht="45.75" thickBot="1" x14ac:dyDescent="0.3">
      <c r="A214" s="530">
        <v>12.448</v>
      </c>
      <c r="B214" s="427" t="str">
        <f>VLOOKUP(A214,'Feature Raw Data'!$A$3:$B$3922,2,FALSE)</f>
        <v>Change flags encoded in barycentrics to simplify detection of procedural nodes</v>
      </c>
      <c r="C214" s="428" t="str">
        <f>VLOOKUP(A214,'Feature Raw Data'!$A$3:$C$3922,3,FALSE)</f>
        <v>P2</v>
      </c>
      <c r="D214" s="429" t="str" cm="1">
        <f t="array" ref="D214">_xlfn.TEXTJOIN("",TRUE,IF(ISNUMBER(SEARCH($A214,'Diags Raw Data'!$A$6:$A$3761)),CONCATENATE('Diags Raw Data'!$H$6:$H$3761,", "),""))</f>
        <v xml:space="preserve">rt33.0, </v>
      </c>
      <c r="E214" s="340" t="str">
        <f>VLOOKUP(A214,'Diags Raw Data'!$A$6:$D$3761,4,FALSE)</f>
        <v>TEX</v>
      </c>
      <c r="F214" s="340" t="str">
        <f>VLOOKUP(A214,'Feature Raw Data'!$A$3:$E$3922,5,FALSE)</f>
        <v>New</v>
      </c>
      <c r="G214" s="340" t="str">
        <f t="shared" si="23"/>
        <v>Yes</v>
      </c>
      <c r="H214" s="340" t="str">
        <f t="shared" si="28"/>
        <v>Yes</v>
      </c>
      <c r="I214" s="428">
        <f>SUMIF('Diags Raw Data'!$A$6:$A$3761,"*"&amp;$A214&amp;"*",'Diags Raw Data'!$K$6:$K$3761)</f>
        <v>0</v>
      </c>
      <c r="J214" s="430">
        <f>SUMIF('Diags Raw Data'!$A$6:$A$3761,"*"&amp;$A214&amp;"*",'Diags Raw Data'!$L$6:$L$3761)</f>
        <v>0</v>
      </c>
      <c r="K214" s="468" t="e" cm="1">
        <f t="array" ref="K214">IF(D214="",0, SUMPRODUCT(--(ISNUMBER(SEARCH($A214,'Diags Raw Data'!$A$6:$A$3761))),'Diags Raw Data'!$L$6:$L$3761,'Diags Raw Data'!$N$6:$N$3761)/J214)</f>
        <v>#DIV/0!</v>
      </c>
      <c r="L214" s="469" t="e" cm="1">
        <f t="array" ref="L214">IF(D214="",0, SUMPRODUCT(--(ISNUMBER(SEARCH($A214,'Diags Raw Data'!$A$6:$A$3761))),'Diags Raw Data'!$L$6:$L$3761,'Diags Raw Data'!$P$6:$P$3761)/J214)</f>
        <v>#DIV/0!</v>
      </c>
      <c r="M214" s="470" cm="1">
        <f t="array" ref="M214">SUMPRODUCT(--(ISNUMBER(SEARCH($A214,'Diags Raw Data'!$A$6:$A$3761))),--('Diags Raw Data'!$Q$6:$Q$3761&lt;&gt;"N/A"),'Diags Raw Data'!$R$6:$R$3761)</f>
        <v>1</v>
      </c>
      <c r="N214" s="471" cm="1">
        <f t="array" ref="N214">SUMPRODUCT(--(ISNUMBER(SEARCH($A214,'Diags Raw Data'!$A$6:$A$3761))),--('Diags Raw Data'!$Q$6:$Q$3761&lt;&gt;"N/A"),'Diags Raw Data'!$T$6:$T$3761)+SUMPRODUCT(--(ISNUMBER(SEARCH($A214,'Diags Raw Data'!$A$6:$A$3761))),--('Diags Raw Data'!$Q$6:$Q$3761&lt;&gt;"N/A"),'Diags Raw Data'!$U$6:$U$3761)</f>
        <v>1</v>
      </c>
      <c r="O214" s="472">
        <f t="shared" si="37"/>
        <v>1</v>
      </c>
      <c r="P214" s="473">
        <f>SUMIF('Diags Raw Data'!$A$6:$A$3761,"*"&amp;$A214&amp;"*",'Diags Raw Data'!$Z$6:$Z$3761)</f>
        <v>0</v>
      </c>
      <c r="Q214" s="474">
        <f>SUM(SUMIF('Diags Raw Data'!$A$6:$A$3761,"*"&amp;$A214&amp;"*",'Diags Raw Data'!$AA$6:$AA$3761),SUMIF('Diags Raw Data'!$A$6:$A$3761,"*"&amp;$A214&amp;"*",'Diags Raw Data'!$AB$6:$AB$3761))</f>
        <v>0</v>
      </c>
      <c r="R214" s="475">
        <f t="shared" si="38"/>
        <v>0</v>
      </c>
      <c r="S214" s="475">
        <f t="shared" si="39"/>
        <v>0</v>
      </c>
      <c r="T214" s="476">
        <f t="shared" si="40"/>
        <v>0</v>
      </c>
      <c r="U214" s="425" t="str">
        <f>VLOOKUP(A214,'Diags Raw Data'!$A$6:$AH$3761,33,FALSE)</f>
        <v>WK8</v>
      </c>
      <c r="V214" s="181"/>
    </row>
    <row r="215" spans="1:22" ht="30.75" thickBot="1" x14ac:dyDescent="0.3">
      <c r="A215" s="530">
        <v>12.449</v>
      </c>
      <c r="B215" s="427" t="str">
        <f>VLOOKUP(A215,'Feature Raw Data'!$A$3:$B$3922,2,FALSE)</f>
        <v>Remove culling with skip_triangles in TA</v>
      </c>
      <c r="C215" s="428" t="str">
        <f>VLOOKUP(A215,'Feature Raw Data'!$A$3:$C$3922,3,FALSE)</f>
        <v>P1</v>
      </c>
      <c r="D215" s="429" t="str" cm="1">
        <f t="array" ref="D215">_xlfn.TEXTJOIN("",TRUE,IF(ISNUMBER(SEARCH($A215,'Diags Raw Data'!$A$6:$A$3761)),CONCATENATE('Diags Raw Data'!$H$6:$H$3761,", "),""))</f>
        <v xml:space="preserve">rt33.1-2, </v>
      </c>
      <c r="E215" s="340" t="str">
        <f>VLOOKUP(A215,'Diags Raw Data'!$A$6:$D$3761,4,FALSE)</f>
        <v>TEX</v>
      </c>
      <c r="F215" s="340" t="str">
        <f>VLOOKUP(A215,'Feature Raw Data'!$A$3:$E$3922,5,FALSE)</f>
        <v>New</v>
      </c>
      <c r="G215" s="340" t="str">
        <f t="shared" si="23"/>
        <v>Yes</v>
      </c>
      <c r="H215" s="340" t="str">
        <f t="shared" si="28"/>
        <v>Yes</v>
      </c>
      <c r="I215" s="428">
        <f>SUMIF('Diags Raw Data'!$A$6:$A$3761,"*"&amp;$A215&amp;"*",'Diags Raw Data'!$K$6:$K$3761)</f>
        <v>0</v>
      </c>
      <c r="J215" s="430">
        <f>SUMIF('Diags Raw Data'!$A$6:$A$3761,"*"&amp;$A215&amp;"*",'Diags Raw Data'!$L$6:$L$3761)</f>
        <v>0</v>
      </c>
      <c r="K215" s="468" t="e" cm="1">
        <f t="array" ref="K215">IF(D215="",0, SUMPRODUCT(--(ISNUMBER(SEARCH($A215,'Diags Raw Data'!$A$6:$A$3761))),'Diags Raw Data'!$L$6:$L$3761,'Diags Raw Data'!$N$6:$N$3761)/J215)</f>
        <v>#DIV/0!</v>
      </c>
      <c r="L215" s="469" t="e" cm="1">
        <f t="array" ref="L215">IF(D215="",0, SUMPRODUCT(--(ISNUMBER(SEARCH($A215,'Diags Raw Data'!$A$6:$A$3761))),'Diags Raw Data'!$L$6:$L$3761,'Diags Raw Data'!$P$6:$P$3761)/J215)</f>
        <v>#DIV/0!</v>
      </c>
      <c r="M215" s="470" cm="1">
        <f t="array" ref="M215">SUMPRODUCT(--(ISNUMBER(SEARCH($A215,'Diags Raw Data'!$A$6:$A$3761))),--('Diags Raw Data'!$Q$6:$Q$3761&lt;&gt;"N/A"),'Diags Raw Data'!$R$6:$R$3761)</f>
        <v>2</v>
      </c>
      <c r="N215" s="471" cm="1">
        <f t="array" ref="N215">SUMPRODUCT(--(ISNUMBER(SEARCH($A215,'Diags Raw Data'!$A$6:$A$3761))),--('Diags Raw Data'!$Q$6:$Q$3761&lt;&gt;"N/A"),'Diags Raw Data'!$T$6:$T$3761)+SUMPRODUCT(--(ISNUMBER(SEARCH($A215,'Diags Raw Data'!$A$6:$A$3761))),--('Diags Raw Data'!$Q$6:$Q$3761&lt;&gt;"N/A"),'Diags Raw Data'!$U$6:$U$3761)</f>
        <v>2</v>
      </c>
      <c r="O215" s="472">
        <f t="shared" si="37"/>
        <v>1</v>
      </c>
      <c r="P215" s="473">
        <f>SUMIF('Diags Raw Data'!$A$6:$A$3761,"*"&amp;$A215&amp;"*",'Diags Raw Data'!$Z$6:$Z$3761)</f>
        <v>0</v>
      </c>
      <c r="Q215" s="474">
        <f>SUM(SUMIF('Diags Raw Data'!$A$6:$A$3761,"*"&amp;$A215&amp;"*",'Diags Raw Data'!$AA$6:$AA$3761),SUMIF('Diags Raw Data'!$A$6:$A$3761,"*"&amp;$A215&amp;"*",'Diags Raw Data'!$AB$6:$AB$3761))</f>
        <v>0</v>
      </c>
      <c r="R215" s="475">
        <f t="shared" si="38"/>
        <v>0</v>
      </c>
      <c r="S215" s="475">
        <f t="shared" si="39"/>
        <v>0</v>
      </c>
      <c r="T215" s="476">
        <f t="shared" si="40"/>
        <v>0</v>
      </c>
      <c r="U215" s="425" t="str">
        <f>VLOOKUP(A215,'Diags Raw Data'!$A$6:$AH$3761,33,FALSE)</f>
        <v>WK6</v>
      </c>
      <c r="V215" s="181"/>
    </row>
    <row r="216" spans="1:22" ht="60.75" thickBot="1" x14ac:dyDescent="0.3">
      <c r="A216" s="530">
        <v>12.45</v>
      </c>
      <c r="B216" s="427" t="str">
        <f>VLOOKUP(A216,'Feature Raw Data'!$A$3:$B$3922,2,FALSE)</f>
        <v>Add AtomicAdd packed math for F16</v>
      </c>
      <c r="C216" s="428" t="str">
        <f>VLOOKUP(A216,'Feature Raw Data'!$A$3:$C$3922,3,FALSE)</f>
        <v>P2</v>
      </c>
      <c r="D216" s="429" t="str" cm="1">
        <f t="array" ref="D216">_xlfn.TEXTJOIN("",TRUE,IF(ISNUMBER(SEARCH($A216,'Diags Raw Data'!$A$6:$A$3761)),CONCATENATE('Diags Raw Data'!$H$6:$H$3761,", "),""))</f>
        <v xml:space="preserve">gci1307.4-7, placeholder_k.1-2, spi453, glxi61.1-2, gfx.linpack_gfx_compute, </v>
      </c>
      <c r="E216" s="340" t="str">
        <f>VLOOKUP(A216,'Diags Raw Data'!$A$6:$D$3761,4,FALSE)</f>
        <v>SH</v>
      </c>
      <c r="F216" s="340" t="str">
        <f>VLOOKUP(A216,'Feature Raw Data'!$A$3:$E$3922,5,FALSE)</f>
        <v>New</v>
      </c>
      <c r="G216" s="340" t="str">
        <f t="shared" si="23"/>
        <v>Yes</v>
      </c>
      <c r="H216" s="340" t="str">
        <f t="shared" si="28"/>
        <v>Yes</v>
      </c>
      <c r="I216" s="428">
        <f>SUMIF('Diags Raw Data'!$A$6:$A$3761,"*"&amp;$A216&amp;"*",'Diags Raw Data'!$K$6:$K$3761)</f>
        <v>0</v>
      </c>
      <c r="J216" s="430">
        <f>SUMIF('Diags Raw Data'!$A$6:$A$3761,"*"&amp;$A216&amp;"*",'Diags Raw Data'!$L$6:$L$3761)</f>
        <v>0</v>
      </c>
      <c r="K216" s="468" t="e" cm="1">
        <f t="array" ref="K216">IF(D216="",0, SUMPRODUCT(--(ISNUMBER(SEARCH($A216,'Diags Raw Data'!$A$6:$A$3761))),'Diags Raw Data'!$L$6:$L$3761,'Diags Raw Data'!$N$6:$N$3761)/J216)</f>
        <v>#DIV/0!</v>
      </c>
      <c r="L216" s="469" t="e" cm="1">
        <f t="array" ref="L216">IF(D216="",0, SUMPRODUCT(--(ISNUMBER(SEARCH($A216,'Diags Raw Data'!$A$6:$A$3761))),'Diags Raw Data'!$L$6:$L$3761,'Diags Raw Data'!$P$6:$P$3761)/J216)</f>
        <v>#DIV/0!</v>
      </c>
      <c r="M216" s="470" cm="1">
        <f t="array" ref="M216">SUMPRODUCT(--(ISNUMBER(SEARCH($A216,'Diags Raw Data'!$A$6:$A$3761))),--('Diags Raw Data'!$Q$6:$Q$3761&lt;&gt;"N/A"),'Diags Raw Data'!$R$6:$R$3761)</f>
        <v>10</v>
      </c>
      <c r="N216" s="471" cm="1">
        <f t="array" ref="N216">SUMPRODUCT(--(ISNUMBER(SEARCH($A216,'Diags Raw Data'!$A$6:$A$3761))),--('Diags Raw Data'!$Q$6:$Q$3761&lt;&gt;"N/A"),'Diags Raw Data'!$T$6:$T$3761)+SUMPRODUCT(--(ISNUMBER(SEARCH($A216,'Diags Raw Data'!$A$6:$A$3761))),--('Diags Raw Data'!$Q$6:$Q$3761&lt;&gt;"N/A"),'Diags Raw Data'!$U$6:$U$3761)</f>
        <v>9</v>
      </c>
      <c r="O216" s="472">
        <f t="shared" si="37"/>
        <v>0.9</v>
      </c>
      <c r="P216" s="473">
        <f>SUMIF('Diags Raw Data'!$A$6:$A$3761,"*"&amp;$A216&amp;"*",'Diags Raw Data'!$Z$6:$Z$3761)</f>
        <v>0</v>
      </c>
      <c r="Q216" s="474">
        <f>SUM(SUMIF('Diags Raw Data'!$A$6:$A$3761,"*"&amp;$A216&amp;"*",'Diags Raw Data'!$AA$6:$AA$3761),SUMIF('Diags Raw Data'!$A$6:$A$3761,"*"&amp;$A216&amp;"*",'Diags Raw Data'!$AB$6:$AB$3761))</f>
        <v>0</v>
      </c>
      <c r="R216" s="475">
        <f t="shared" si="38"/>
        <v>0</v>
      </c>
      <c r="S216" s="475">
        <f t="shared" si="39"/>
        <v>0</v>
      </c>
      <c r="T216" s="476">
        <f t="shared" si="40"/>
        <v>0</v>
      </c>
      <c r="U216" s="425" t="str">
        <f>VLOOKUP(A216,'Diags Raw Data'!$A$6:$AH$3761,33,FALSE)</f>
        <v>WK7</v>
      </c>
      <c r="V216" s="181"/>
    </row>
    <row r="217" spans="1:22" ht="30.75" thickBot="1" x14ac:dyDescent="0.3">
      <c r="A217" s="530">
        <v>12.451000000000001</v>
      </c>
      <c r="B217" s="427" t="str">
        <f>VLOOKUP(A217,'Feature Raw Data'!$A$3:$B$3922,2,FALSE)</f>
        <v>Extend compression control support in Texture</v>
      </c>
      <c r="C217" s="428" t="str">
        <f>VLOOKUP(A217,'Feature Raw Data'!$A$3:$C$3922,3,FALSE)</f>
        <v>P1</v>
      </c>
      <c r="D217" s="429" t="str" cm="1">
        <f t="array" ref="D217">_xlfn.TEXTJOIN("",TRUE,IF(ISNUMBER(SEARCH($A217,'Diags Raw Data'!$A$6:$A$3761)),CONCATENATE('Diags Raw Data'!$H$6:$H$3761,", "),""))</f>
        <v xml:space="preserve">placeholder_k.1-2, </v>
      </c>
      <c r="E217" s="340" t="str">
        <f>VLOOKUP(A217,'Diags Raw Data'!$A$6:$D$3761,4,FALSE)</f>
        <v>TEX</v>
      </c>
      <c r="F217" s="340" t="str">
        <f>VLOOKUP(A217,'Feature Raw Data'!$A$3:$E$3922,5,FALSE)</f>
        <v>New</v>
      </c>
      <c r="G217" s="340" t="str">
        <f t="shared" si="23"/>
        <v>Yes</v>
      </c>
      <c r="H217" s="340" t="str">
        <f t="shared" si="28"/>
        <v>Yes</v>
      </c>
      <c r="I217" s="428">
        <f>SUMIF('Diags Raw Data'!$A$6:$A$3761,"*"&amp;$A217&amp;"*",'Diags Raw Data'!$K$6:$K$3761)</f>
        <v>0</v>
      </c>
      <c r="J217" s="430">
        <f>SUMIF('Diags Raw Data'!$A$6:$A$3761,"*"&amp;$A217&amp;"*",'Diags Raw Data'!$L$6:$L$3761)</f>
        <v>0</v>
      </c>
      <c r="K217" s="468" t="e" cm="1">
        <f t="array" ref="K217">IF(D217="",0, SUMPRODUCT(--(ISNUMBER(SEARCH($A217,'Diags Raw Data'!$A$6:$A$3761))),'Diags Raw Data'!$L$6:$L$3761,'Diags Raw Data'!$N$6:$N$3761)/J217)</f>
        <v>#DIV/0!</v>
      </c>
      <c r="L217" s="469" t="e" cm="1">
        <f t="array" ref="L217">IF(D217="",0, SUMPRODUCT(--(ISNUMBER(SEARCH($A217,'Diags Raw Data'!$A$6:$A$3761))),'Diags Raw Data'!$L$6:$L$3761,'Diags Raw Data'!$P$6:$P$3761)/J217)</f>
        <v>#DIV/0!</v>
      </c>
      <c r="M217" s="470" cm="1">
        <f t="array" ref="M217">SUMPRODUCT(--(ISNUMBER(SEARCH($A217,'Diags Raw Data'!$A$6:$A$3761))),--('Diags Raw Data'!$Q$6:$Q$3761&lt;&gt;"N/A"),'Diags Raw Data'!$R$6:$R$3761)</f>
        <v>2</v>
      </c>
      <c r="N217" s="471" cm="1">
        <f t="array" ref="N217">SUMPRODUCT(--(ISNUMBER(SEARCH($A217,'Diags Raw Data'!$A$6:$A$3761))),--('Diags Raw Data'!$Q$6:$Q$3761&lt;&gt;"N/A"),'Diags Raw Data'!$T$6:$T$3761)+SUMPRODUCT(--(ISNUMBER(SEARCH($A217,'Diags Raw Data'!$A$6:$A$3761))),--('Diags Raw Data'!$Q$6:$Q$3761&lt;&gt;"N/A"),'Diags Raw Data'!$U$6:$U$3761)</f>
        <v>2</v>
      </c>
      <c r="O217" s="472">
        <f t="shared" si="37"/>
        <v>1</v>
      </c>
      <c r="P217" s="473">
        <f>SUMIF('Diags Raw Data'!$A$6:$A$3761,"*"&amp;$A217&amp;"*",'Diags Raw Data'!$Z$6:$Z$3761)</f>
        <v>0</v>
      </c>
      <c r="Q217" s="474">
        <f>SUM(SUMIF('Diags Raw Data'!$A$6:$A$3761,"*"&amp;$A217&amp;"*",'Diags Raw Data'!$AA$6:$AA$3761),SUMIF('Diags Raw Data'!$A$6:$A$3761,"*"&amp;$A217&amp;"*",'Diags Raw Data'!$AB$6:$AB$3761))</f>
        <v>0</v>
      </c>
      <c r="R217" s="475">
        <f t="shared" si="38"/>
        <v>0</v>
      </c>
      <c r="S217" s="475">
        <f t="shared" si="39"/>
        <v>0</v>
      </c>
      <c r="T217" s="476">
        <f t="shared" si="40"/>
        <v>0</v>
      </c>
      <c r="U217" s="425" t="str">
        <f>VLOOKUP(A217,'Diags Raw Data'!$A$6:$AH$3761,33,FALSE)</f>
        <v>WK6</v>
      </c>
      <c r="V217" s="181"/>
    </row>
    <row r="218" spans="1:22" ht="15.75" thickBot="1" x14ac:dyDescent="0.3">
      <c r="A218" s="530">
        <v>12.452</v>
      </c>
      <c r="B218" s="427" t="str">
        <f>VLOOKUP(A218,'Feature Raw Data'!$A$3:$B$3922,2,FALSE)</f>
        <v>Breaking SE reuse in Navi48</v>
      </c>
      <c r="C218" s="428" t="str">
        <f>VLOOKUP(A218,'Feature Raw Data'!$A$3:$C$3922,3,FALSE)</f>
        <v>P2</v>
      </c>
      <c r="D218" s="429" t="str" cm="1">
        <f t="array" ref="D218">_xlfn.TEXTJOIN("",TRUE,IF(ISNUMBER(SEARCH($A218,'Diags Raw Data'!$A$6:$A$3761)),CONCATENATE('Diags Raw Data'!$H$6:$H$3761,", "),""))</f>
        <v/>
      </c>
      <c r="E218" s="340" t="e">
        <f>VLOOKUP(A218,'Diags Raw Data'!$A$6:$D$3761,4,FALSE)</f>
        <v>#N/A</v>
      </c>
      <c r="F218" s="340" t="str">
        <f>VLOOKUP(A218,'Feature Raw Data'!$A$3:$E$3922,5,FALSE)</f>
        <v>New</v>
      </c>
      <c r="G218" s="340" t="str">
        <f t="shared" si="23"/>
        <v>Yes</v>
      </c>
      <c r="H218" s="340" t="str">
        <f t="shared" si="28"/>
        <v>Yes</v>
      </c>
      <c r="I218" s="428">
        <f>SUMIF('Diags Raw Data'!$A$6:$A$3761,"*"&amp;$A218&amp;"*",'Diags Raw Data'!$K$6:$K$3761)</f>
        <v>0</v>
      </c>
      <c r="J218" s="430">
        <f>SUMIF('Diags Raw Data'!$A$6:$A$3761,"*"&amp;$A218&amp;"*",'Diags Raw Data'!$L$6:$L$3761)</f>
        <v>0</v>
      </c>
      <c r="K218" s="468" cm="1">
        <f t="array" ref="K218">IF(D218="",0, SUMPRODUCT(--(ISNUMBER(SEARCH($A218,'Diags Raw Data'!$A$6:$A$3761))),'Diags Raw Data'!$L$6:$L$3761,'Diags Raw Data'!$N$6:$N$3761)/J218)</f>
        <v>0</v>
      </c>
      <c r="L218" s="469" cm="1">
        <f t="array" ref="L218">IF(D218="",0, SUMPRODUCT(--(ISNUMBER(SEARCH($A218,'Diags Raw Data'!$A$6:$A$3761))),'Diags Raw Data'!$L$6:$L$3761,'Diags Raw Data'!$P$6:$P$3761)/J218)</f>
        <v>0</v>
      </c>
      <c r="M218" s="470" cm="1">
        <f t="array" ref="M218">SUMPRODUCT(--(ISNUMBER(SEARCH($A218,'Diags Raw Data'!$A$6:$A$3761))),--('Diags Raw Data'!$Q$6:$Q$3761&lt;&gt;"N/A"),'Diags Raw Data'!$R$6:$R$3761)</f>
        <v>0</v>
      </c>
      <c r="N218" s="471" cm="1">
        <f t="array" ref="N218">SUMPRODUCT(--(ISNUMBER(SEARCH($A218,'Diags Raw Data'!$A$6:$A$3761))),--('Diags Raw Data'!$Q$6:$Q$3761&lt;&gt;"N/A"),'Diags Raw Data'!$T$6:$T$3761)+SUMPRODUCT(--(ISNUMBER(SEARCH($A218,'Diags Raw Data'!$A$6:$A$3761))),--('Diags Raw Data'!$Q$6:$Q$3761&lt;&gt;"N/A"),'Diags Raw Data'!$U$6:$U$3761)</f>
        <v>0</v>
      </c>
      <c r="O218" s="472">
        <f t="shared" si="37"/>
        <v>0</v>
      </c>
      <c r="P218" s="473">
        <f>SUMIF('Diags Raw Data'!$A$6:$A$3761,"*"&amp;$A218&amp;"*",'Diags Raw Data'!$Z$6:$Z$3761)</f>
        <v>0</v>
      </c>
      <c r="Q218" s="474">
        <f>SUM(SUMIF('Diags Raw Data'!$A$6:$A$3761,"*"&amp;$A218&amp;"*",'Diags Raw Data'!$AA$6:$AA$3761),SUMIF('Diags Raw Data'!$A$6:$A$3761,"*"&amp;$A218&amp;"*",'Diags Raw Data'!$AB$6:$AB$3761))</f>
        <v>0</v>
      </c>
      <c r="R218" s="475">
        <f t="shared" si="38"/>
        <v>0</v>
      </c>
      <c r="S218" s="475">
        <f t="shared" si="39"/>
        <v>0</v>
      </c>
      <c r="T218" s="476">
        <f t="shared" si="40"/>
        <v>0</v>
      </c>
      <c r="U218" s="425" t="e">
        <f>VLOOKUP(A218,'Diags Raw Data'!$A$6:$AH$3761,33,FALSE)</f>
        <v>#N/A</v>
      </c>
      <c r="V218" s="181"/>
    </row>
    <row r="219" spans="1:22" ht="45.75" thickBot="1" x14ac:dyDescent="0.3">
      <c r="A219" s="530">
        <v>12.452999999999999</v>
      </c>
      <c r="B219" s="427" t="str">
        <f>VLOOKUP(A219,'Feature Raw Data'!$A$3:$B$3922,2,FALSE)</f>
        <v>Add HS and GS Stages to event collection for PS_DONE and PS_PARTIAL_FLUSH</v>
      </c>
      <c r="C219" s="428" t="str">
        <f>VLOOKUP(A219,'Feature Raw Data'!$A$3:$C$3922,3,FALSE)</f>
        <v>P2</v>
      </c>
      <c r="D219" s="429" t="str" cm="1">
        <f t="array" ref="D219">_xlfn.TEXTJOIN("",TRUE,IF(ISNUMBER(SEARCH($A219,'Diags Raw Data'!$A$6:$A$3761)),CONCATENATE('Diags Raw Data'!$H$6:$H$3761,", "),""))</f>
        <v xml:space="preserve">spi453, </v>
      </c>
      <c r="E219" s="340" t="str">
        <f>VLOOKUP(A219,'Diags Raw Data'!$A$6:$D$3761,4,FALSE)</f>
        <v>SIO</v>
      </c>
      <c r="F219" s="340" t="str">
        <f>VLOOKUP(A219,'Feature Raw Data'!$A$3:$E$3922,5,FALSE)</f>
        <v>New</v>
      </c>
      <c r="G219" s="340" t="str">
        <f t="shared" si="23"/>
        <v>Yes</v>
      </c>
      <c r="H219" s="340" t="str">
        <f t="shared" si="28"/>
        <v>Yes</v>
      </c>
      <c r="I219" s="428">
        <f>SUMIF('Diags Raw Data'!$A$6:$A$3761,"*"&amp;$A219&amp;"*",'Diags Raw Data'!$K$6:$K$3761)</f>
        <v>0</v>
      </c>
      <c r="J219" s="430">
        <f>SUMIF('Diags Raw Data'!$A$6:$A$3761,"*"&amp;$A219&amp;"*",'Diags Raw Data'!$L$6:$L$3761)</f>
        <v>0</v>
      </c>
      <c r="K219" s="468" t="e" cm="1">
        <f t="array" ref="K219">IF(D219="",0, SUMPRODUCT(--(ISNUMBER(SEARCH($A219,'Diags Raw Data'!$A$6:$A$3761))),'Diags Raw Data'!$L$6:$L$3761,'Diags Raw Data'!$N$6:$N$3761)/J219)</f>
        <v>#DIV/0!</v>
      </c>
      <c r="L219" s="469" t="e" cm="1">
        <f t="array" ref="L219">IF(D219="",0, SUMPRODUCT(--(ISNUMBER(SEARCH($A219,'Diags Raw Data'!$A$6:$A$3761))),'Diags Raw Data'!$L$6:$L$3761,'Diags Raw Data'!$P$6:$P$3761)/J219)</f>
        <v>#DIV/0!</v>
      </c>
      <c r="M219" s="470" cm="1">
        <f t="array" ref="M219">SUMPRODUCT(--(ISNUMBER(SEARCH($A219,'Diags Raw Data'!$A$6:$A$3761))),--('Diags Raw Data'!$Q$6:$Q$3761&lt;&gt;"N/A"),'Diags Raw Data'!$R$6:$R$3761)</f>
        <v>1</v>
      </c>
      <c r="N219" s="471" cm="1">
        <f t="array" ref="N219">SUMPRODUCT(--(ISNUMBER(SEARCH($A219,'Diags Raw Data'!$A$6:$A$3761))),--('Diags Raw Data'!$Q$6:$Q$3761&lt;&gt;"N/A"),'Diags Raw Data'!$T$6:$T$3761)+SUMPRODUCT(--(ISNUMBER(SEARCH($A219,'Diags Raw Data'!$A$6:$A$3761))),--('Diags Raw Data'!$Q$6:$Q$3761&lt;&gt;"N/A"),'Diags Raw Data'!$U$6:$U$3761)</f>
        <v>1</v>
      </c>
      <c r="O219" s="472">
        <f t="shared" si="37"/>
        <v>1</v>
      </c>
      <c r="P219" s="473">
        <f>SUMIF('Diags Raw Data'!$A$6:$A$3761,"*"&amp;$A219&amp;"*",'Diags Raw Data'!$Z$6:$Z$3761)</f>
        <v>0</v>
      </c>
      <c r="Q219" s="474">
        <f>SUM(SUMIF('Diags Raw Data'!$A$6:$A$3761,"*"&amp;$A219&amp;"*",'Diags Raw Data'!$AA$6:$AA$3761),SUMIF('Diags Raw Data'!$A$6:$A$3761,"*"&amp;$A219&amp;"*",'Diags Raw Data'!$AB$6:$AB$3761))</f>
        <v>0</v>
      </c>
      <c r="R219" s="475">
        <f t="shared" si="38"/>
        <v>0</v>
      </c>
      <c r="S219" s="475">
        <f t="shared" si="39"/>
        <v>0</v>
      </c>
      <c r="T219" s="476">
        <f t="shared" si="40"/>
        <v>0</v>
      </c>
      <c r="U219" s="425" t="str">
        <f>VLOOKUP(A219,'Diags Raw Data'!$A$6:$AH$3761,33,FALSE)</f>
        <v>WK6</v>
      </c>
      <c r="V219" s="181"/>
    </row>
    <row r="220" spans="1:22" ht="75.75" thickBot="1" x14ac:dyDescent="0.3">
      <c r="A220" s="530">
        <v>12.454000000000001</v>
      </c>
      <c r="B220" s="427" t="str">
        <f>VLOOKUP(A220,'Feature Raw Data'!$A$3:$B$3922,2,FALSE)</f>
        <v>Proper Handling of the Force Decompression and Comp Key Read Command on compression-bypassed resources</v>
      </c>
      <c r="C220" s="428" t="str">
        <f>VLOOKUP(A220,'Feature Raw Data'!$A$3:$C$3922,3,FALSE)</f>
        <v>P2</v>
      </c>
      <c r="D220" s="429" t="str" cm="1">
        <f t="array" ref="D220">_xlfn.TEXTJOIN("",TRUE,IF(ISNUMBER(SEARCH($A220,'Diags Raw Data'!$A$6:$A$3761)),CONCATENATE('Diags Raw Data'!$H$6:$H$3761,", "),""))</f>
        <v xml:space="preserve">glxi61.1-2, </v>
      </c>
      <c r="E220" s="340" t="str">
        <f>VLOOKUP(A220,'Diags Raw Data'!$A$6:$D$3761,4,FALSE)</f>
        <v>CMM</v>
      </c>
      <c r="F220" s="340" t="str">
        <f>VLOOKUP(A220,'Feature Raw Data'!$A$3:$E$3922,5,FALSE)</f>
        <v>New</v>
      </c>
      <c r="G220" s="340" t="str">
        <f t="shared" si="23"/>
        <v>Yes</v>
      </c>
      <c r="H220" s="340" t="str">
        <f t="shared" si="28"/>
        <v>Yes</v>
      </c>
      <c r="I220" s="428">
        <f>SUMIF('Diags Raw Data'!$A$6:$A$3761,"*"&amp;$A220&amp;"*",'Diags Raw Data'!$K$6:$K$3761)</f>
        <v>0</v>
      </c>
      <c r="J220" s="430">
        <f>SUMIF('Diags Raw Data'!$A$6:$A$3761,"*"&amp;$A220&amp;"*",'Diags Raw Data'!$L$6:$L$3761)</f>
        <v>0</v>
      </c>
      <c r="K220" s="468" t="e" cm="1">
        <f t="array" ref="K220">IF(D220="",0, SUMPRODUCT(--(ISNUMBER(SEARCH($A220,'Diags Raw Data'!$A$6:$A$3761))),'Diags Raw Data'!$L$6:$L$3761,'Diags Raw Data'!$N$6:$N$3761)/J220)</f>
        <v>#DIV/0!</v>
      </c>
      <c r="L220" s="469" t="e" cm="1">
        <f t="array" ref="L220">IF(D220="",0, SUMPRODUCT(--(ISNUMBER(SEARCH($A220,'Diags Raw Data'!$A$6:$A$3761))),'Diags Raw Data'!$L$6:$L$3761,'Diags Raw Data'!$P$6:$P$3761)/J220)</f>
        <v>#DIV/0!</v>
      </c>
      <c r="M220" s="470" cm="1">
        <f t="array" ref="M220">SUMPRODUCT(--(ISNUMBER(SEARCH($A220,'Diags Raw Data'!$A$6:$A$3761))),--('Diags Raw Data'!$Q$6:$Q$3761&lt;&gt;"N/A"),'Diags Raw Data'!$R$6:$R$3761)</f>
        <v>2</v>
      </c>
      <c r="N220" s="471" cm="1">
        <f t="array" ref="N220">SUMPRODUCT(--(ISNUMBER(SEARCH($A220,'Diags Raw Data'!$A$6:$A$3761))),--('Diags Raw Data'!$Q$6:$Q$3761&lt;&gt;"N/A"),'Diags Raw Data'!$T$6:$T$3761)+SUMPRODUCT(--(ISNUMBER(SEARCH($A220,'Diags Raw Data'!$A$6:$A$3761))),--('Diags Raw Data'!$Q$6:$Q$3761&lt;&gt;"N/A"),'Diags Raw Data'!$U$6:$U$3761)</f>
        <v>2</v>
      </c>
      <c r="O220" s="472">
        <f t="shared" si="37"/>
        <v>1</v>
      </c>
      <c r="P220" s="473">
        <f>SUMIF('Diags Raw Data'!$A$6:$A$3761,"*"&amp;$A220&amp;"*",'Diags Raw Data'!$Z$6:$Z$3761)</f>
        <v>0</v>
      </c>
      <c r="Q220" s="474">
        <f>SUM(SUMIF('Diags Raw Data'!$A$6:$A$3761,"*"&amp;$A220&amp;"*",'Diags Raw Data'!$AA$6:$AA$3761),SUMIF('Diags Raw Data'!$A$6:$A$3761,"*"&amp;$A220&amp;"*",'Diags Raw Data'!$AB$6:$AB$3761))</f>
        <v>0</v>
      </c>
      <c r="R220" s="475">
        <f t="shared" si="38"/>
        <v>0</v>
      </c>
      <c r="S220" s="475">
        <f t="shared" si="39"/>
        <v>0</v>
      </c>
      <c r="T220" s="476">
        <f t="shared" si="40"/>
        <v>0</v>
      </c>
      <c r="U220" s="425" t="str">
        <f>VLOOKUP(A220,'Diags Raw Data'!$A$6:$AH$3761,33,FALSE)</f>
        <v>WK8</v>
      </c>
      <c r="V220" s="181"/>
    </row>
    <row r="221" spans="1:22" ht="30.75" thickBot="1" x14ac:dyDescent="0.3">
      <c r="A221" s="530">
        <v>12.455</v>
      </c>
      <c r="B221" s="427" t="str">
        <f>VLOOKUP(A221,'Feature Raw Data'!$A$3:$B$3922,2,FALSE)</f>
        <v>Decrease CS max grid size support to X,Y,Z = 32b,16b,16b</v>
      </c>
      <c r="C221" s="428" t="str">
        <f>VLOOKUP(A221,'Feature Raw Data'!$A$3:$C$3922,3,FALSE)</f>
        <v>P2</v>
      </c>
      <c r="D221" s="429" t="str" cm="1">
        <f t="array" ref="D221">_xlfn.TEXTJOIN("",TRUE,IF(ISNUMBER(SEARCH($A221,'Diags Raw Data'!$A$6:$A$3761)),CONCATENATE('Diags Raw Data'!$H$6:$H$3761,", "),""))</f>
        <v xml:space="preserve">gfx.linpack_gfx_compute, </v>
      </c>
      <c r="E221" s="340" t="str">
        <f>VLOOKUP(A221,'Diags Raw Data'!$A$6:$D$3761,4,FALSE)</f>
        <v>SIO</v>
      </c>
      <c r="F221" s="340" t="str">
        <f>VLOOKUP(A221,'Feature Raw Data'!$A$3:$E$3922,5,FALSE)</f>
        <v>New</v>
      </c>
      <c r="G221" s="340" t="str">
        <f t="shared" si="23"/>
        <v>Yes</v>
      </c>
      <c r="H221" s="340" t="str">
        <f t="shared" si="28"/>
        <v>Yes</v>
      </c>
      <c r="I221" s="428">
        <f>SUMIF('Diags Raw Data'!$A$6:$A$3761,"*"&amp;$A221&amp;"*",'Diags Raw Data'!$K$6:$K$3761)</f>
        <v>0</v>
      </c>
      <c r="J221" s="430">
        <f>SUMIF('Diags Raw Data'!$A$6:$A$3761,"*"&amp;$A221&amp;"*",'Diags Raw Data'!$L$6:$L$3761)</f>
        <v>0</v>
      </c>
      <c r="K221" s="468" t="e" cm="1">
        <f t="array" ref="K221">IF(D221="",0, SUMPRODUCT(--(ISNUMBER(SEARCH($A221,'Diags Raw Data'!$A$6:$A$3761))),'Diags Raw Data'!$L$6:$L$3761,'Diags Raw Data'!$N$6:$N$3761)/J221)</f>
        <v>#DIV/0!</v>
      </c>
      <c r="L221" s="469" t="e" cm="1">
        <f t="array" ref="L221">IF(D221="",0, SUMPRODUCT(--(ISNUMBER(SEARCH($A221,'Diags Raw Data'!$A$6:$A$3761))),'Diags Raw Data'!$L$6:$L$3761,'Diags Raw Data'!$P$6:$P$3761)/J221)</f>
        <v>#DIV/0!</v>
      </c>
      <c r="M221" s="470" cm="1">
        <f t="array" ref="M221">SUMPRODUCT(--(ISNUMBER(SEARCH($A221,'Diags Raw Data'!$A$6:$A$3761))),--('Diags Raw Data'!$Q$6:$Q$3761&lt;&gt;"N/A"),'Diags Raw Data'!$R$6:$R$3761)</f>
        <v>1</v>
      </c>
      <c r="N221" s="471" cm="1">
        <f t="array" ref="N221">SUMPRODUCT(--(ISNUMBER(SEARCH($A221,'Diags Raw Data'!$A$6:$A$3761))),--('Diags Raw Data'!$Q$6:$Q$3761&lt;&gt;"N/A"),'Diags Raw Data'!$T$6:$T$3761)+SUMPRODUCT(--(ISNUMBER(SEARCH($A221,'Diags Raw Data'!$A$6:$A$3761))),--('Diags Raw Data'!$Q$6:$Q$3761&lt;&gt;"N/A"),'Diags Raw Data'!$U$6:$U$3761)</f>
        <v>0</v>
      </c>
      <c r="O221" s="472">
        <f t="shared" si="37"/>
        <v>0</v>
      </c>
      <c r="P221" s="473">
        <f>SUMIF('Diags Raw Data'!$A$6:$A$3761,"*"&amp;$A221&amp;"*",'Diags Raw Data'!$Z$6:$Z$3761)</f>
        <v>0</v>
      </c>
      <c r="Q221" s="474">
        <f>SUM(SUMIF('Diags Raw Data'!$A$6:$A$3761,"*"&amp;$A221&amp;"*",'Diags Raw Data'!$AA$6:$AA$3761),SUMIF('Diags Raw Data'!$A$6:$A$3761,"*"&amp;$A221&amp;"*",'Diags Raw Data'!$AB$6:$AB$3761))</f>
        <v>0</v>
      </c>
      <c r="R221" s="475">
        <f t="shared" si="38"/>
        <v>0</v>
      </c>
      <c r="S221" s="475">
        <f t="shared" si="39"/>
        <v>0</v>
      </c>
      <c r="T221" s="476">
        <f t="shared" si="40"/>
        <v>0</v>
      </c>
      <c r="U221" s="425" t="str">
        <f>VLOOKUP(A221,'Diags Raw Data'!$A$6:$AH$3761,33,FALSE)</f>
        <v>WK6</v>
      </c>
      <c r="V221" s="181"/>
    </row>
    <row r="222" spans="1:22" ht="15.75" thickBot="1" x14ac:dyDescent="0.3">
      <c r="A222" s="530">
        <v>12.457000000000001</v>
      </c>
      <c r="B222" s="427" t="str">
        <f>VLOOKUP(A222,'Feature Raw Data'!$A$3:$B$3922,2,FALSE)</f>
        <v>Decrompress BLTs via SDMA</v>
      </c>
      <c r="C222" s="428" t="str">
        <f>VLOOKUP(A222,'Feature Raw Data'!$A$3:$C$3922,3,FALSE)</f>
        <v>P2</v>
      </c>
      <c r="D222" s="429" t="str" cm="1">
        <f t="array" ref="D222">_xlfn.TEXTJOIN("",TRUE,IF(ISNUMBER(SEARCH($A222,'Diags Raw Data'!$A$6:$A$3761)),CONCATENATE('Diags Raw Data'!$H$6:$H$3761,", "),""))</f>
        <v/>
      </c>
      <c r="E222" s="340" t="e">
        <f>VLOOKUP(A222,'Diags Raw Data'!$A$6:$D$3761,4,FALSE)</f>
        <v>#N/A</v>
      </c>
      <c r="F222" s="340" t="str">
        <f>VLOOKUP(A222,'Feature Raw Data'!$A$3:$E$3922,5,FALSE)</f>
        <v>New</v>
      </c>
      <c r="G222" s="340" t="str">
        <f t="shared" si="23"/>
        <v>Yes</v>
      </c>
      <c r="H222" s="340" t="str">
        <f t="shared" si="28"/>
        <v>Yes</v>
      </c>
      <c r="I222" s="428">
        <f>SUMIF('Diags Raw Data'!$A$6:$A$3761,"*"&amp;$A222&amp;"*",'Diags Raw Data'!$K$6:$K$3761)</f>
        <v>0</v>
      </c>
      <c r="J222" s="430">
        <f>SUMIF('Diags Raw Data'!$A$6:$A$3761,"*"&amp;$A222&amp;"*",'Diags Raw Data'!$L$6:$L$3761)</f>
        <v>0</v>
      </c>
      <c r="K222" s="468" cm="1">
        <f t="array" ref="K222">IF(D222="",0, SUMPRODUCT(--(ISNUMBER(SEARCH($A222,'Diags Raw Data'!$A$6:$A$3761))),'Diags Raw Data'!$L$6:$L$3761,'Diags Raw Data'!$N$6:$N$3761)/J222)</f>
        <v>0</v>
      </c>
      <c r="L222" s="469" cm="1">
        <f t="array" ref="L222">IF(D222="",0, SUMPRODUCT(--(ISNUMBER(SEARCH($A222,'Diags Raw Data'!$A$6:$A$3761))),'Diags Raw Data'!$L$6:$L$3761,'Diags Raw Data'!$P$6:$P$3761)/J222)</f>
        <v>0</v>
      </c>
      <c r="M222" s="470" cm="1">
        <f t="array" ref="M222">SUMPRODUCT(--(ISNUMBER(SEARCH($A222,'Diags Raw Data'!$A$6:$A$3761))),--('Diags Raw Data'!$Q$6:$Q$3761&lt;&gt;"N/A"),'Diags Raw Data'!$R$6:$R$3761)</f>
        <v>0</v>
      </c>
      <c r="N222" s="471" cm="1">
        <f t="array" ref="N222">SUMPRODUCT(--(ISNUMBER(SEARCH($A222,'Diags Raw Data'!$A$6:$A$3761))),--('Diags Raw Data'!$Q$6:$Q$3761&lt;&gt;"N/A"),'Diags Raw Data'!$T$6:$T$3761)+SUMPRODUCT(--(ISNUMBER(SEARCH($A222,'Diags Raw Data'!$A$6:$A$3761))),--('Diags Raw Data'!$Q$6:$Q$3761&lt;&gt;"N/A"),'Diags Raw Data'!$U$6:$U$3761)</f>
        <v>0</v>
      </c>
      <c r="O222" s="472">
        <f t="shared" si="37"/>
        <v>0</v>
      </c>
      <c r="P222" s="473">
        <f>SUMIF('Diags Raw Data'!$A$6:$A$3761,"*"&amp;$A222&amp;"*",'Diags Raw Data'!$Z$6:$Z$3761)</f>
        <v>0</v>
      </c>
      <c r="Q222" s="474">
        <f>SUM(SUMIF('Diags Raw Data'!$A$6:$A$3761,"*"&amp;$A222&amp;"*",'Diags Raw Data'!$AA$6:$AA$3761),SUMIF('Diags Raw Data'!$A$6:$A$3761,"*"&amp;$A222&amp;"*",'Diags Raw Data'!$AB$6:$AB$3761))</f>
        <v>0</v>
      </c>
      <c r="R222" s="475">
        <f t="shared" si="38"/>
        <v>0</v>
      </c>
      <c r="S222" s="475">
        <f t="shared" si="39"/>
        <v>0</v>
      </c>
      <c r="T222" s="476">
        <f t="shared" si="40"/>
        <v>0</v>
      </c>
      <c r="U222" s="425" t="e">
        <f>VLOOKUP(A222,'Diags Raw Data'!$A$6:$AH$3761,33,FALSE)</f>
        <v>#N/A</v>
      </c>
      <c r="V222" s="181"/>
    </row>
    <row r="223" spans="1:22" ht="30.75" thickBot="1" x14ac:dyDescent="0.3">
      <c r="A223" s="530">
        <v>12.458</v>
      </c>
      <c r="B223" s="427" t="str">
        <f>VLOOKUP(A223,'Feature Raw Data'!$A$3:$B$3922,2,FALSE)</f>
        <v>Descope VRS Compression feature</v>
      </c>
      <c r="C223" s="428" t="str">
        <f>VLOOKUP(A223,'Feature Raw Data'!$A$3:$C$3922,3,FALSE)</f>
        <v>P2</v>
      </c>
      <c r="D223" s="429" t="str" cm="1">
        <f t="array" ref="D223">_xlfn.TEXTJOIN("",TRUE,IF(ISNUMBER(SEARCH($A223,'Diags Raw Data'!$A$6:$A$3761)),CONCATENATE('Diags Raw Data'!$H$6:$H$3761,", "),""))</f>
        <v/>
      </c>
      <c r="E223" s="340" t="e">
        <f>VLOOKUP(A223,'Diags Raw Data'!$A$6:$D$3761,4,FALSE)</f>
        <v>#N/A</v>
      </c>
      <c r="F223" s="340" t="str">
        <f>VLOOKUP(A223,'Feature Raw Data'!$A$3:$E$3922,5,FALSE)</f>
        <v>New</v>
      </c>
      <c r="G223" s="340" t="str">
        <f t="shared" si="23"/>
        <v>Yes</v>
      </c>
      <c r="H223" s="340" t="str">
        <f t="shared" si="28"/>
        <v>Yes</v>
      </c>
      <c r="I223" s="428">
        <f>SUMIF('Diags Raw Data'!$A$6:$A$3761,"*"&amp;$A223&amp;"*",'Diags Raw Data'!$K$6:$K$3761)</f>
        <v>0</v>
      </c>
      <c r="J223" s="430">
        <f>SUMIF('Diags Raw Data'!$A$6:$A$3761,"*"&amp;$A223&amp;"*",'Diags Raw Data'!$L$6:$L$3761)</f>
        <v>0</v>
      </c>
      <c r="K223" s="468" cm="1">
        <f t="array" ref="K223">IF(D223="",0, SUMPRODUCT(--(ISNUMBER(SEARCH($A223,'Diags Raw Data'!$A$6:$A$3761))),'Diags Raw Data'!$L$6:$L$3761,'Diags Raw Data'!$N$6:$N$3761)/J223)</f>
        <v>0</v>
      </c>
      <c r="L223" s="469" cm="1">
        <f t="array" ref="L223">IF(D223="",0, SUMPRODUCT(--(ISNUMBER(SEARCH($A223,'Diags Raw Data'!$A$6:$A$3761))),'Diags Raw Data'!$L$6:$L$3761,'Diags Raw Data'!$P$6:$P$3761)/J223)</f>
        <v>0</v>
      </c>
      <c r="M223" s="470" cm="1">
        <f t="array" ref="M223">SUMPRODUCT(--(ISNUMBER(SEARCH($A223,'Diags Raw Data'!$A$6:$A$3761))),--('Diags Raw Data'!$Q$6:$Q$3761&lt;&gt;"N/A"),'Diags Raw Data'!$R$6:$R$3761)</f>
        <v>0</v>
      </c>
      <c r="N223" s="471" cm="1">
        <f t="array" ref="N223">SUMPRODUCT(--(ISNUMBER(SEARCH($A223,'Diags Raw Data'!$A$6:$A$3761))),--('Diags Raw Data'!$Q$6:$Q$3761&lt;&gt;"N/A"),'Diags Raw Data'!$T$6:$T$3761)+SUMPRODUCT(--(ISNUMBER(SEARCH($A223,'Diags Raw Data'!$A$6:$A$3761))),--('Diags Raw Data'!$Q$6:$Q$3761&lt;&gt;"N/A"),'Diags Raw Data'!$U$6:$U$3761)</f>
        <v>0</v>
      </c>
      <c r="O223" s="472">
        <f t="shared" si="37"/>
        <v>0</v>
      </c>
      <c r="P223" s="473">
        <f>SUMIF('Diags Raw Data'!$A$6:$A$3761,"*"&amp;$A223&amp;"*",'Diags Raw Data'!$Z$6:$Z$3761)</f>
        <v>0</v>
      </c>
      <c r="Q223" s="474">
        <f>SUM(SUMIF('Diags Raw Data'!$A$6:$A$3761,"*"&amp;$A223&amp;"*",'Diags Raw Data'!$AA$6:$AA$3761),SUMIF('Diags Raw Data'!$A$6:$A$3761,"*"&amp;$A223&amp;"*",'Diags Raw Data'!$AB$6:$AB$3761))</f>
        <v>0</v>
      </c>
      <c r="R223" s="475">
        <f t="shared" si="38"/>
        <v>0</v>
      </c>
      <c r="S223" s="475">
        <f t="shared" si="39"/>
        <v>0</v>
      </c>
      <c r="T223" s="476">
        <f t="shared" si="40"/>
        <v>0</v>
      </c>
      <c r="U223" s="425" t="e">
        <f>VLOOKUP(A223,'Diags Raw Data'!$A$6:$AH$3761,33,FALSE)</f>
        <v>#N/A</v>
      </c>
      <c r="V223" s="535" t="s">
        <v>361</v>
      </c>
    </row>
    <row r="224" spans="1:22" ht="45.75" thickBot="1" x14ac:dyDescent="0.3">
      <c r="A224" s="530">
        <v>12.459</v>
      </c>
      <c r="B224" s="427" t="str">
        <f>VLOOKUP(A224,'Feature Raw Data'!$A$3:$B$3922,2,FALSE)</f>
        <v>Remove support for Shared VGPRs and Subvector Execution</v>
      </c>
      <c r="C224" s="428" t="str">
        <f>VLOOKUP(A224,'Feature Raw Data'!$A$3:$C$3922,3,FALSE)</f>
        <v>P2</v>
      </c>
      <c r="D224" s="429" t="str" cm="1">
        <f t="array" ref="D224">_xlfn.TEXTJOIN("",TRUE,IF(ISNUMBER(SEARCH($A224,'Diags Raw Data'!$A$6:$A$3761)),CONCATENATE('Diags Raw Data'!$H$6:$H$3761,", "),""))</f>
        <v/>
      </c>
      <c r="E224" s="340" t="e">
        <f>VLOOKUP(A224,'Diags Raw Data'!$A$6:$D$3761,4,FALSE)</f>
        <v>#N/A</v>
      </c>
      <c r="F224" s="340" t="str">
        <f>VLOOKUP(A224,'Feature Raw Data'!$A$3:$E$3922,5,FALSE)</f>
        <v>New</v>
      </c>
      <c r="G224" s="340" t="str">
        <f t="shared" si="23"/>
        <v>Yes</v>
      </c>
      <c r="H224" s="340" t="str">
        <f t="shared" si="28"/>
        <v>Yes</v>
      </c>
      <c r="I224" s="428">
        <f>SUMIF('Diags Raw Data'!$A$6:$A$3761,"*"&amp;$A224&amp;"*",'Diags Raw Data'!$K$6:$K$3761)</f>
        <v>0</v>
      </c>
      <c r="J224" s="430">
        <f>SUMIF('Diags Raw Data'!$A$6:$A$3761,"*"&amp;$A224&amp;"*",'Diags Raw Data'!$L$6:$L$3761)</f>
        <v>0</v>
      </c>
      <c r="K224" s="468" cm="1">
        <f t="array" ref="K224">IF(D224="",0, SUMPRODUCT(--(ISNUMBER(SEARCH($A224,'Diags Raw Data'!$A$6:$A$3761))),'Diags Raw Data'!$L$6:$L$3761,'Diags Raw Data'!$N$6:$N$3761)/J224)</f>
        <v>0</v>
      </c>
      <c r="L224" s="469" cm="1">
        <f t="array" ref="L224">IF(D224="",0, SUMPRODUCT(--(ISNUMBER(SEARCH($A224,'Diags Raw Data'!$A$6:$A$3761))),'Diags Raw Data'!$L$6:$L$3761,'Diags Raw Data'!$P$6:$P$3761)/J224)</f>
        <v>0</v>
      </c>
      <c r="M224" s="470" cm="1">
        <f t="array" ref="M224">SUMPRODUCT(--(ISNUMBER(SEARCH($A224,'Diags Raw Data'!$A$6:$A$3761))),--('Diags Raw Data'!$Q$6:$Q$3761&lt;&gt;"N/A"),'Diags Raw Data'!$R$6:$R$3761)</f>
        <v>0</v>
      </c>
      <c r="N224" s="471" cm="1">
        <f t="array" ref="N224">SUMPRODUCT(--(ISNUMBER(SEARCH($A224,'Diags Raw Data'!$A$6:$A$3761))),--('Diags Raw Data'!$Q$6:$Q$3761&lt;&gt;"N/A"),'Diags Raw Data'!$T$6:$T$3761)+SUMPRODUCT(--(ISNUMBER(SEARCH($A224,'Diags Raw Data'!$A$6:$A$3761))),--('Diags Raw Data'!$Q$6:$Q$3761&lt;&gt;"N/A"),'Diags Raw Data'!$U$6:$U$3761)</f>
        <v>0</v>
      </c>
      <c r="O224" s="472">
        <f t="shared" si="37"/>
        <v>0</v>
      </c>
      <c r="P224" s="473">
        <f>SUMIF('Diags Raw Data'!$A$6:$A$3761,"*"&amp;$A224&amp;"*",'Diags Raw Data'!$Z$6:$Z$3761)</f>
        <v>0</v>
      </c>
      <c r="Q224" s="474">
        <f>SUM(SUMIF('Diags Raw Data'!$A$6:$A$3761,"*"&amp;$A224&amp;"*",'Diags Raw Data'!$AA$6:$AA$3761),SUMIF('Diags Raw Data'!$A$6:$A$3761,"*"&amp;$A224&amp;"*",'Diags Raw Data'!$AB$6:$AB$3761))</f>
        <v>0</v>
      </c>
      <c r="R224" s="475">
        <f t="shared" si="38"/>
        <v>0</v>
      </c>
      <c r="S224" s="475">
        <f t="shared" si="39"/>
        <v>0</v>
      </c>
      <c r="T224" s="476">
        <f t="shared" si="40"/>
        <v>0</v>
      </c>
      <c r="U224" s="425" t="e">
        <f>VLOOKUP(A224,'Diags Raw Data'!$A$6:$AH$3761,33,FALSE)</f>
        <v>#N/A</v>
      </c>
      <c r="V224" s="535" t="s">
        <v>413</v>
      </c>
    </row>
    <row r="225" spans="1:22" ht="45.75" thickBot="1" x14ac:dyDescent="0.3">
      <c r="A225" s="530">
        <v>12.46</v>
      </c>
      <c r="B225" s="427" t="str">
        <f>VLOOKUP(A225,'Feature Raw Data'!$A$3:$B$3922,2,FALSE)</f>
        <v xml:space="preserve">BVH Footprint Improvement
</v>
      </c>
      <c r="C225" s="428" t="str">
        <f>VLOOKUP(A225,'Feature Raw Data'!$A$3:$C$3922,3,FALSE)</f>
        <v>P2</v>
      </c>
      <c r="D225" s="429" t="str" cm="1">
        <f t="array" ref="D225">_xlfn.TEXTJOIN("",TRUE,IF(ISNUMBER(SEARCH($A225,'Diags Raw Data'!$A$6:$A$3761)),CONCATENATE('Diags Raw Data'!$H$6:$H$3761,", "),""))</f>
        <v xml:space="preserve">placeholder_l.1-8, placeholder_a.1-108, gci1310, cpi415, gci1309.0-3, </v>
      </c>
      <c r="E225" s="340" t="str">
        <f>VLOOKUP(A225,'Diags Raw Data'!$A$6:$D$3761,4,FALSE)</f>
        <v>TEX</v>
      </c>
      <c r="F225" s="340" t="str">
        <f>VLOOKUP(A225,'Feature Raw Data'!$A$3:$E$3922,5,FALSE)</f>
        <v>New</v>
      </c>
      <c r="G225" s="340" t="str">
        <f t="shared" si="23"/>
        <v>Yes</v>
      </c>
      <c r="H225" s="340" t="str">
        <f t="shared" si="28"/>
        <v>Yes</v>
      </c>
      <c r="I225" s="428">
        <f>SUMIF('Diags Raw Data'!$A$6:$A$3761,"*"&amp;$A225&amp;"*",'Diags Raw Data'!$K$6:$K$3761)</f>
        <v>0</v>
      </c>
      <c r="J225" s="430">
        <f>SUMIF('Diags Raw Data'!$A$6:$A$3761,"*"&amp;$A225&amp;"*",'Diags Raw Data'!$L$6:$L$3761)</f>
        <v>0</v>
      </c>
      <c r="K225" s="468" t="e" cm="1">
        <f t="array" ref="K225">IF(D225="",0, SUMPRODUCT(--(ISNUMBER(SEARCH($A225,'Diags Raw Data'!$A$6:$A$3761))),'Diags Raw Data'!$L$6:$L$3761,'Diags Raw Data'!$N$6:$N$3761)/J225)</f>
        <v>#DIV/0!</v>
      </c>
      <c r="L225" s="469" t="e" cm="1">
        <f t="array" ref="L225">IF(D225="",0, SUMPRODUCT(--(ISNUMBER(SEARCH($A225,'Diags Raw Data'!$A$6:$A$3761))),'Diags Raw Data'!$L$6:$L$3761,'Diags Raw Data'!$P$6:$P$3761)/J225)</f>
        <v>#DIV/0!</v>
      </c>
      <c r="M225" s="470" cm="1">
        <f t="array" ref="M225">SUMPRODUCT(--(ISNUMBER(SEARCH($A225,'Diags Raw Data'!$A$6:$A$3761))),--('Diags Raw Data'!$Q$6:$Q$3761&lt;&gt;"N/A"),'Diags Raw Data'!$R$6:$R$3761)</f>
        <v>31</v>
      </c>
      <c r="N225" s="471" cm="1">
        <f t="array" ref="N225">SUMPRODUCT(--(ISNUMBER(SEARCH($A225,'Diags Raw Data'!$A$6:$A$3761))),--('Diags Raw Data'!$Q$6:$Q$3761&lt;&gt;"N/A"),'Diags Raw Data'!$T$6:$T$3761)+SUMPRODUCT(--(ISNUMBER(SEARCH($A225,'Diags Raw Data'!$A$6:$A$3761))),--('Diags Raw Data'!$Q$6:$Q$3761&lt;&gt;"N/A"),'Diags Raw Data'!$U$6:$U$3761)</f>
        <v>29</v>
      </c>
      <c r="O225" s="472">
        <f t="shared" si="37"/>
        <v>0.93548387096774188</v>
      </c>
      <c r="P225" s="473">
        <f>SUMIF('Diags Raw Data'!$A$6:$A$3761,"*"&amp;$A225&amp;"*",'Diags Raw Data'!$Z$6:$Z$3761)</f>
        <v>0</v>
      </c>
      <c r="Q225" s="474">
        <f>SUM(SUMIF('Diags Raw Data'!$A$6:$A$3761,"*"&amp;$A225&amp;"*",'Diags Raw Data'!$AA$6:$AA$3761),SUMIF('Diags Raw Data'!$A$6:$A$3761,"*"&amp;$A225&amp;"*",'Diags Raw Data'!$AB$6:$AB$3761))</f>
        <v>0</v>
      </c>
      <c r="R225" s="475">
        <f t="shared" si="38"/>
        <v>0</v>
      </c>
      <c r="S225" s="475">
        <f t="shared" si="39"/>
        <v>0</v>
      </c>
      <c r="T225" s="476">
        <f t="shared" si="40"/>
        <v>0</v>
      </c>
      <c r="U225" s="425" t="str">
        <f>VLOOKUP(A225,'Diags Raw Data'!$A$6:$AH$3761,33,FALSE)</f>
        <v>WK7</v>
      </c>
      <c r="V225" s="181"/>
    </row>
    <row r="226" spans="1:22" ht="45.75" thickBot="1" x14ac:dyDescent="0.3">
      <c r="A226" s="530">
        <v>12.461</v>
      </c>
      <c r="B226" s="427" t="str">
        <f>VLOOKUP(A226,'Feature Raw Data'!$A$3:$B$3922,2,FALSE)</f>
        <v xml:space="preserve">RT support for OBB and Instance Node Intersection
</v>
      </c>
      <c r="C226" s="428" t="str">
        <f>VLOOKUP(A226,'Feature Raw Data'!$A$3:$C$3922,3,FALSE)</f>
        <v>P2</v>
      </c>
      <c r="D226" s="429" t="str" cm="1">
        <f t="array" ref="D226">_xlfn.TEXTJOIN("",TRUE,IF(ISNUMBER(SEARCH($A226,'Diags Raw Data'!$A$6:$A$3761)),CONCATENATE('Diags Raw Data'!$H$6:$H$3761,", "),""))</f>
        <v xml:space="preserve">placeholder_a.1-108, </v>
      </c>
      <c r="E226" s="340" t="str">
        <f>VLOOKUP(A226,'Diags Raw Data'!$A$6:$D$3761,4,FALSE)</f>
        <v>TEX</v>
      </c>
      <c r="F226" s="340" t="str">
        <f>VLOOKUP(A226,'Feature Raw Data'!$A$3:$E$3922,5,FALSE)</f>
        <v>New</v>
      </c>
      <c r="G226" s="340" t="str">
        <f t="shared" si="23"/>
        <v>Yes</v>
      </c>
      <c r="H226" s="340" t="str">
        <f t="shared" si="28"/>
        <v>Yes</v>
      </c>
      <c r="I226" s="428">
        <f>SUMIF('Diags Raw Data'!$A$6:$A$3761,"*"&amp;$A226&amp;"*",'Diags Raw Data'!$K$6:$K$3761)</f>
        <v>0</v>
      </c>
      <c r="J226" s="430">
        <f>SUMIF('Diags Raw Data'!$A$6:$A$3761,"*"&amp;$A226&amp;"*",'Diags Raw Data'!$L$6:$L$3761)</f>
        <v>0</v>
      </c>
      <c r="K226" s="468" t="e" cm="1">
        <f t="array" ref="K226">IF(D226="",0, SUMPRODUCT(--(ISNUMBER(SEARCH($A226,'Diags Raw Data'!$A$6:$A$3761))),'Diags Raw Data'!$L$6:$L$3761,'Diags Raw Data'!$N$6:$N$3761)/J226)</f>
        <v>#DIV/0!</v>
      </c>
      <c r="L226" s="469" t="e" cm="1">
        <f t="array" ref="L226">IF(D226="",0, SUMPRODUCT(--(ISNUMBER(SEARCH($A226,'Diags Raw Data'!$A$6:$A$3761))),'Diags Raw Data'!$L$6:$L$3761,'Diags Raw Data'!$P$6:$P$3761)/J226)</f>
        <v>#DIV/0!</v>
      </c>
      <c r="M226" s="470" cm="1">
        <f t="array" ref="M226">SUMPRODUCT(--(ISNUMBER(SEARCH($A226,'Diags Raw Data'!$A$6:$A$3761))),--('Diags Raw Data'!$Q$6:$Q$3761&lt;&gt;"N/A"),'Diags Raw Data'!$R$6:$R$3761)</f>
        <v>20</v>
      </c>
      <c r="N226" s="471" cm="1">
        <f t="array" ref="N226">SUMPRODUCT(--(ISNUMBER(SEARCH($A226,'Diags Raw Data'!$A$6:$A$3761))),--('Diags Raw Data'!$Q$6:$Q$3761&lt;&gt;"N/A"),'Diags Raw Data'!$T$6:$T$3761)+SUMPRODUCT(--(ISNUMBER(SEARCH($A226,'Diags Raw Data'!$A$6:$A$3761))),--('Diags Raw Data'!$Q$6:$Q$3761&lt;&gt;"N/A"),'Diags Raw Data'!$U$6:$U$3761)</f>
        <v>20</v>
      </c>
      <c r="O226" s="472">
        <f t="shared" si="37"/>
        <v>1</v>
      </c>
      <c r="P226" s="473">
        <f>SUMIF('Diags Raw Data'!$A$6:$A$3761,"*"&amp;$A226&amp;"*",'Diags Raw Data'!$Z$6:$Z$3761)</f>
        <v>0</v>
      </c>
      <c r="Q226" s="474">
        <f>SUM(SUMIF('Diags Raw Data'!$A$6:$A$3761,"*"&amp;$A226&amp;"*",'Diags Raw Data'!$AA$6:$AA$3761),SUMIF('Diags Raw Data'!$A$6:$A$3761,"*"&amp;$A226&amp;"*",'Diags Raw Data'!$AB$6:$AB$3761))</f>
        <v>0</v>
      </c>
      <c r="R226" s="475">
        <f t="shared" si="38"/>
        <v>0</v>
      </c>
      <c r="S226" s="475">
        <f t="shared" si="39"/>
        <v>0</v>
      </c>
      <c r="T226" s="476">
        <f t="shared" si="40"/>
        <v>0</v>
      </c>
      <c r="U226" s="425" t="str">
        <f>VLOOKUP(A226,'Diags Raw Data'!$A$6:$AH$3761,33,FALSE)</f>
        <v>WK8</v>
      </c>
      <c r="V226" s="181"/>
    </row>
    <row r="227" spans="1:22" ht="60.75" thickBot="1" x14ac:dyDescent="0.3">
      <c r="A227" s="530">
        <v>12.462</v>
      </c>
      <c r="B227" s="427" t="str">
        <f>VLOOKUP(A227,'Feature Raw Data'!$A$3:$B$3922,2,FALSE)</f>
        <v xml:space="preserve">Descope Verification of 16xaa for VRS Coarse Rates (1x2, 2x2, 2x1)
</v>
      </c>
      <c r="C227" s="428" t="str">
        <f>VLOOKUP(A227,'Feature Raw Data'!$A$3:$C$3922,3,FALSE)</f>
        <v>P3</v>
      </c>
      <c r="D227" s="429" t="str" cm="1">
        <f t="array" ref="D227">_xlfn.TEXTJOIN("",TRUE,IF(ISNUMBER(SEARCH($A227,'Diags Raw Data'!$A$6:$A$3761)),CONCATENATE('Diags Raw Data'!$H$6:$H$3761,", "),""))</f>
        <v/>
      </c>
      <c r="E227" s="340" t="e">
        <f>VLOOKUP(A227,'Diags Raw Data'!$A$6:$D$3761,4,FALSE)</f>
        <v>#N/A</v>
      </c>
      <c r="F227" s="340" t="str">
        <f>VLOOKUP(A227,'Feature Raw Data'!$A$3:$E$3922,5,FALSE)</f>
        <v>New</v>
      </c>
      <c r="G227" s="340" t="str">
        <f t="shared" si="23"/>
        <v>Yes</v>
      </c>
      <c r="H227" s="340" t="str">
        <f t="shared" si="28"/>
        <v>Yes</v>
      </c>
      <c r="I227" s="428">
        <f>SUMIF('Diags Raw Data'!$A$6:$A$3761,"*"&amp;$A227&amp;"*",'Diags Raw Data'!$K$6:$K$3761)</f>
        <v>0</v>
      </c>
      <c r="J227" s="430">
        <f>SUMIF('Diags Raw Data'!$A$6:$A$3761,"*"&amp;$A227&amp;"*",'Diags Raw Data'!$L$6:$L$3761)</f>
        <v>0</v>
      </c>
      <c r="K227" s="468" cm="1">
        <f t="array" ref="K227">IF(D227="",0, SUMPRODUCT(--(ISNUMBER(SEARCH($A227,'Diags Raw Data'!$A$6:$A$3761))),'Diags Raw Data'!$L$6:$L$3761,'Diags Raw Data'!$N$6:$N$3761)/J227)</f>
        <v>0</v>
      </c>
      <c r="L227" s="469" cm="1">
        <f t="array" ref="L227">IF(D227="",0, SUMPRODUCT(--(ISNUMBER(SEARCH($A227,'Diags Raw Data'!$A$6:$A$3761))),'Diags Raw Data'!$L$6:$L$3761,'Diags Raw Data'!$P$6:$P$3761)/J227)</f>
        <v>0</v>
      </c>
      <c r="M227" s="470" cm="1">
        <f t="array" ref="M227">SUMPRODUCT(--(ISNUMBER(SEARCH($A227,'Diags Raw Data'!$A$6:$A$3761))),--('Diags Raw Data'!$Q$6:$Q$3761&lt;&gt;"N/A"),'Diags Raw Data'!$R$6:$R$3761)</f>
        <v>0</v>
      </c>
      <c r="N227" s="471" cm="1">
        <f t="array" ref="N227">SUMPRODUCT(--(ISNUMBER(SEARCH($A227,'Diags Raw Data'!$A$6:$A$3761))),--('Diags Raw Data'!$Q$6:$Q$3761&lt;&gt;"N/A"),'Diags Raw Data'!$T$6:$T$3761)+SUMPRODUCT(--(ISNUMBER(SEARCH($A227,'Diags Raw Data'!$A$6:$A$3761))),--('Diags Raw Data'!$Q$6:$Q$3761&lt;&gt;"N/A"),'Diags Raw Data'!$U$6:$U$3761)</f>
        <v>0</v>
      </c>
      <c r="O227" s="472">
        <f t="shared" si="37"/>
        <v>0</v>
      </c>
      <c r="P227" s="473">
        <f>SUMIF('Diags Raw Data'!$A$6:$A$3761,"*"&amp;$A227&amp;"*",'Diags Raw Data'!$Z$6:$Z$3761)</f>
        <v>0</v>
      </c>
      <c r="Q227" s="474">
        <f>SUM(SUMIF('Diags Raw Data'!$A$6:$A$3761,"*"&amp;$A227&amp;"*",'Diags Raw Data'!$AA$6:$AA$3761),SUMIF('Diags Raw Data'!$A$6:$A$3761,"*"&amp;$A227&amp;"*",'Diags Raw Data'!$AB$6:$AB$3761))</f>
        <v>0</v>
      </c>
      <c r="R227" s="475">
        <f t="shared" si="38"/>
        <v>0</v>
      </c>
      <c r="S227" s="475">
        <f t="shared" si="39"/>
        <v>0</v>
      </c>
      <c r="T227" s="476">
        <f t="shared" si="40"/>
        <v>0</v>
      </c>
      <c r="U227" s="425" t="e">
        <f>VLOOKUP(A227,'Diags Raw Data'!$A$6:$AH$3761,33,FALSE)</f>
        <v>#N/A</v>
      </c>
      <c r="V227" s="535" t="s">
        <v>361</v>
      </c>
    </row>
    <row r="228" spans="1:22" ht="30.75" thickBot="1" x14ac:dyDescent="0.3">
      <c r="A228" s="530">
        <v>12.462999999999999</v>
      </c>
      <c r="B228" s="427" t="str">
        <f>VLOOKUP(A228,'Feature Raw Data'!$A$3:$B$3922,2,FALSE)</f>
        <v>GFXCLK Deep Sleep trigger based on XVMIN</v>
      </c>
      <c r="C228" s="428" t="str">
        <f>VLOOKUP(A228,'Feature Raw Data'!$A$3:$C$3922,3,FALSE)</f>
        <v>P2</v>
      </c>
      <c r="D228" s="429" t="str" cm="1">
        <f t="array" ref="D228">_xlfn.TEXTJOIN("",TRUE,IF(ISNUMBER(SEARCH($A228,'Diags Raw Data'!$A$6:$A$3761)),CONCATENATE('Diags Raw Data'!$H$6:$H$3761,", "),""))</f>
        <v/>
      </c>
      <c r="E228" s="340" t="e">
        <f>VLOOKUP(A228,'Diags Raw Data'!$A$6:$D$3761,4,FALSE)</f>
        <v>#N/A</v>
      </c>
      <c r="F228" s="340" t="str">
        <f>VLOOKUP(A228,'Feature Raw Data'!$A$3:$E$3922,5,FALSE)</f>
        <v>New</v>
      </c>
      <c r="G228" s="340" t="str">
        <f t="shared" si="23"/>
        <v>Yes</v>
      </c>
      <c r="H228" s="340" t="str">
        <f t="shared" si="28"/>
        <v>Yes</v>
      </c>
      <c r="I228" s="428">
        <f>SUMIF('Diags Raw Data'!$A$6:$A$3761,"*"&amp;$A228&amp;"*",'Diags Raw Data'!$K$6:$K$3761)</f>
        <v>0</v>
      </c>
      <c r="J228" s="430">
        <f>SUMIF('Diags Raw Data'!$A$6:$A$3761,"*"&amp;$A228&amp;"*",'Diags Raw Data'!$L$6:$L$3761)</f>
        <v>0</v>
      </c>
      <c r="K228" s="468" cm="1">
        <f t="array" ref="K228">IF(D228="",0, SUMPRODUCT(--(ISNUMBER(SEARCH($A228,'Diags Raw Data'!$A$6:$A$3761))),'Diags Raw Data'!$L$6:$L$3761,'Diags Raw Data'!$N$6:$N$3761)/J228)</f>
        <v>0</v>
      </c>
      <c r="L228" s="469" cm="1">
        <f t="array" ref="L228">IF(D228="",0, SUMPRODUCT(--(ISNUMBER(SEARCH($A228,'Diags Raw Data'!$A$6:$A$3761))),'Diags Raw Data'!$L$6:$L$3761,'Diags Raw Data'!$P$6:$P$3761)/J228)</f>
        <v>0</v>
      </c>
      <c r="M228" s="470" cm="1">
        <f t="array" ref="M228">SUMPRODUCT(--(ISNUMBER(SEARCH($A228,'Diags Raw Data'!$A$6:$A$3761))),--('Diags Raw Data'!$Q$6:$Q$3761&lt;&gt;"N/A"),'Diags Raw Data'!$R$6:$R$3761)</f>
        <v>0</v>
      </c>
      <c r="N228" s="471" cm="1">
        <f t="array" ref="N228">SUMPRODUCT(--(ISNUMBER(SEARCH($A228,'Diags Raw Data'!$A$6:$A$3761))),--('Diags Raw Data'!$Q$6:$Q$3761&lt;&gt;"N/A"),'Diags Raw Data'!$T$6:$T$3761)+SUMPRODUCT(--(ISNUMBER(SEARCH($A228,'Diags Raw Data'!$A$6:$A$3761))),--('Diags Raw Data'!$Q$6:$Q$3761&lt;&gt;"N/A"),'Diags Raw Data'!$U$6:$U$3761)</f>
        <v>0</v>
      </c>
      <c r="O228" s="472">
        <f t="shared" si="37"/>
        <v>0</v>
      </c>
      <c r="P228" s="473">
        <f>SUMIF('Diags Raw Data'!$A$6:$A$3761,"*"&amp;$A228&amp;"*",'Diags Raw Data'!$Z$6:$Z$3761)</f>
        <v>0</v>
      </c>
      <c r="Q228" s="474">
        <f>SUM(SUMIF('Diags Raw Data'!$A$6:$A$3761,"*"&amp;$A228&amp;"*",'Diags Raw Data'!$AA$6:$AA$3761),SUMIF('Diags Raw Data'!$A$6:$A$3761,"*"&amp;$A228&amp;"*",'Diags Raw Data'!$AB$6:$AB$3761))</f>
        <v>0</v>
      </c>
      <c r="R228" s="475">
        <f t="shared" si="38"/>
        <v>0</v>
      </c>
      <c r="S228" s="475">
        <f t="shared" si="39"/>
        <v>0</v>
      </c>
      <c r="T228" s="476">
        <f t="shared" si="40"/>
        <v>0</v>
      </c>
      <c r="U228" s="425" t="e">
        <f>VLOOKUP(A228,'Diags Raw Data'!$A$6:$AH$3761,33,FALSE)</f>
        <v>#N/A</v>
      </c>
      <c r="V228" s="181"/>
    </row>
    <row r="229" spans="1:22" ht="30.75" thickBot="1" x14ac:dyDescent="0.3">
      <c r="A229" s="530">
        <v>12.464</v>
      </c>
      <c r="B229" s="427" t="str">
        <f>VLOOKUP(A229,'Feature Raw Data'!$A$3:$B$3922,2,FALSE)</f>
        <v>SP Throttling and the first DIDT droop</v>
      </c>
      <c r="C229" s="428" t="str">
        <f>VLOOKUP(A229,'Feature Raw Data'!$A$3:$C$3922,3,FALSE)</f>
        <v>P2</v>
      </c>
      <c r="D229" s="429" t="str" cm="1">
        <f t="array" ref="D229">_xlfn.TEXTJOIN("",TRUE,IF(ISNUMBER(SEARCH($A229,'Diags Raw Data'!$A$6:$A$3761)),CONCATENATE('Diags Raw Data'!$H$6:$H$3761,", "),""))</f>
        <v/>
      </c>
      <c r="E229" s="340" t="e">
        <f>VLOOKUP(A229,'Diags Raw Data'!$A$6:$D$3761,4,FALSE)</f>
        <v>#N/A</v>
      </c>
      <c r="F229" s="340" t="str">
        <f>VLOOKUP(A229,'Feature Raw Data'!$A$3:$E$3922,5,FALSE)</f>
        <v>New</v>
      </c>
      <c r="G229" s="340" t="str">
        <f t="shared" si="23"/>
        <v>Yes</v>
      </c>
      <c r="H229" s="340" t="str">
        <f t="shared" si="28"/>
        <v>Yes</v>
      </c>
      <c r="I229" s="428">
        <f>SUMIF('Diags Raw Data'!$A$6:$A$3761,"*"&amp;$A229&amp;"*",'Diags Raw Data'!$K$6:$K$3761)</f>
        <v>0</v>
      </c>
      <c r="J229" s="430">
        <f>SUMIF('Diags Raw Data'!$A$6:$A$3761,"*"&amp;$A229&amp;"*",'Diags Raw Data'!$L$6:$L$3761)</f>
        <v>0</v>
      </c>
      <c r="K229" s="468" cm="1">
        <f t="array" ref="K229">IF(D229="",0, SUMPRODUCT(--(ISNUMBER(SEARCH($A229,'Diags Raw Data'!$A$6:$A$3761))),'Diags Raw Data'!$L$6:$L$3761,'Diags Raw Data'!$N$6:$N$3761)/J229)</f>
        <v>0</v>
      </c>
      <c r="L229" s="469" cm="1">
        <f t="array" ref="L229">IF(D229="",0, SUMPRODUCT(--(ISNUMBER(SEARCH($A229,'Diags Raw Data'!$A$6:$A$3761))),'Diags Raw Data'!$L$6:$L$3761,'Diags Raw Data'!$P$6:$P$3761)/J229)</f>
        <v>0</v>
      </c>
      <c r="M229" s="470" cm="1">
        <f t="array" ref="M229">SUMPRODUCT(--(ISNUMBER(SEARCH($A229,'Diags Raw Data'!$A$6:$A$3761))),--('Diags Raw Data'!$Q$6:$Q$3761&lt;&gt;"N/A"),'Diags Raw Data'!$R$6:$R$3761)</f>
        <v>0</v>
      </c>
      <c r="N229" s="471" cm="1">
        <f t="array" ref="N229">SUMPRODUCT(--(ISNUMBER(SEARCH($A229,'Diags Raw Data'!$A$6:$A$3761))),--('Diags Raw Data'!$Q$6:$Q$3761&lt;&gt;"N/A"),'Diags Raw Data'!$T$6:$T$3761)+SUMPRODUCT(--(ISNUMBER(SEARCH($A229,'Diags Raw Data'!$A$6:$A$3761))),--('Diags Raw Data'!$Q$6:$Q$3761&lt;&gt;"N/A"),'Diags Raw Data'!$U$6:$U$3761)</f>
        <v>0</v>
      </c>
      <c r="O229" s="472">
        <f t="shared" si="37"/>
        <v>0</v>
      </c>
      <c r="P229" s="473">
        <f>SUMIF('Diags Raw Data'!$A$6:$A$3761,"*"&amp;$A229&amp;"*",'Diags Raw Data'!$Z$6:$Z$3761)</f>
        <v>0</v>
      </c>
      <c r="Q229" s="474">
        <f>SUM(SUMIF('Diags Raw Data'!$A$6:$A$3761,"*"&amp;$A229&amp;"*",'Diags Raw Data'!$AA$6:$AA$3761),SUMIF('Diags Raw Data'!$A$6:$A$3761,"*"&amp;$A229&amp;"*",'Diags Raw Data'!$AB$6:$AB$3761))</f>
        <v>0</v>
      </c>
      <c r="R229" s="475">
        <f t="shared" si="38"/>
        <v>0</v>
      </c>
      <c r="S229" s="475">
        <f t="shared" si="39"/>
        <v>0</v>
      </c>
      <c r="T229" s="476">
        <f t="shared" si="40"/>
        <v>0</v>
      </c>
      <c r="U229" s="425" t="e">
        <f>VLOOKUP(A229,'Diags Raw Data'!$A$6:$AH$3761,33,FALSE)</f>
        <v>#N/A</v>
      </c>
      <c r="V229" s="181"/>
    </row>
    <row r="230" spans="1:22" ht="30.75" thickBot="1" x14ac:dyDescent="0.3">
      <c r="A230" s="530">
        <v>12.465</v>
      </c>
      <c r="B230" s="427" t="str">
        <f>VLOOKUP(A230,'Feature Raw Data'!$A$3:$B$3922,2,FALSE)</f>
        <v>SP src operand invalidated by td/lds return</v>
      </c>
      <c r="C230" s="428" t="str">
        <f>VLOOKUP(A230,'Feature Raw Data'!$A$3:$C$3922,3,FALSE)</f>
        <v>P2</v>
      </c>
      <c r="D230" s="429" t="str" cm="1">
        <f t="array" ref="D230">_xlfn.TEXTJOIN("",TRUE,IF(ISNUMBER(SEARCH($A230,'Diags Raw Data'!$A$6:$A$3761)),CONCATENATE('Diags Raw Data'!$H$6:$H$3761,", "),""))</f>
        <v xml:space="preserve">gci1310, </v>
      </c>
      <c r="E230" s="340" t="str">
        <f>VLOOKUP(A230,'Diags Raw Data'!$A$6:$D$3761,4,FALSE)</f>
        <v>SH</v>
      </c>
      <c r="F230" s="340" t="str">
        <f>VLOOKUP(A230,'Feature Raw Data'!$A$3:$E$3922,5,FALSE)</f>
        <v>New</v>
      </c>
      <c r="G230" s="340" t="str">
        <f t="shared" si="23"/>
        <v>Yes</v>
      </c>
      <c r="H230" s="340" t="str">
        <f t="shared" si="28"/>
        <v>Yes</v>
      </c>
      <c r="I230" s="428">
        <f>SUMIF('Diags Raw Data'!$A$6:$A$3761,"*"&amp;$A230&amp;"*",'Diags Raw Data'!$K$6:$K$3761)</f>
        <v>0</v>
      </c>
      <c r="J230" s="430">
        <f>SUMIF('Diags Raw Data'!$A$6:$A$3761,"*"&amp;$A230&amp;"*",'Diags Raw Data'!$L$6:$L$3761)</f>
        <v>0</v>
      </c>
      <c r="K230" s="468" t="e" cm="1">
        <f t="array" ref="K230">IF(D230="",0, SUMPRODUCT(--(ISNUMBER(SEARCH($A230,'Diags Raw Data'!$A$6:$A$3761))),'Diags Raw Data'!$L$6:$L$3761,'Diags Raw Data'!$N$6:$N$3761)/J230)</f>
        <v>#DIV/0!</v>
      </c>
      <c r="L230" s="469" t="e" cm="1">
        <f t="array" ref="L230">IF(D230="",0, SUMPRODUCT(--(ISNUMBER(SEARCH($A230,'Diags Raw Data'!$A$6:$A$3761))),'Diags Raw Data'!$L$6:$L$3761,'Diags Raw Data'!$P$6:$P$3761)/J230)</f>
        <v>#DIV/0!</v>
      </c>
      <c r="M230" s="470" cm="1">
        <f t="array" ref="M230">SUMPRODUCT(--(ISNUMBER(SEARCH($A230,'Diags Raw Data'!$A$6:$A$3761))),--('Diags Raw Data'!$Q$6:$Q$3761&lt;&gt;"N/A"),'Diags Raw Data'!$R$6:$R$3761)</f>
        <v>1</v>
      </c>
      <c r="N230" s="471" cm="1">
        <f t="array" ref="N230">SUMPRODUCT(--(ISNUMBER(SEARCH($A230,'Diags Raw Data'!$A$6:$A$3761))),--('Diags Raw Data'!$Q$6:$Q$3761&lt;&gt;"N/A"),'Diags Raw Data'!$T$6:$T$3761)+SUMPRODUCT(--(ISNUMBER(SEARCH($A230,'Diags Raw Data'!$A$6:$A$3761))),--('Diags Raw Data'!$Q$6:$Q$3761&lt;&gt;"N/A"),'Diags Raw Data'!$U$6:$U$3761)</f>
        <v>1</v>
      </c>
      <c r="O230" s="472">
        <f t="shared" si="37"/>
        <v>1</v>
      </c>
      <c r="P230" s="473">
        <f>SUMIF('Diags Raw Data'!$A$6:$A$3761,"*"&amp;$A230&amp;"*",'Diags Raw Data'!$Z$6:$Z$3761)</f>
        <v>0</v>
      </c>
      <c r="Q230" s="474">
        <f>SUM(SUMIF('Diags Raw Data'!$A$6:$A$3761,"*"&amp;$A230&amp;"*",'Diags Raw Data'!$AA$6:$AA$3761),SUMIF('Diags Raw Data'!$A$6:$A$3761,"*"&amp;$A230&amp;"*",'Diags Raw Data'!$AB$6:$AB$3761))</f>
        <v>0</v>
      </c>
      <c r="R230" s="475">
        <f t="shared" si="38"/>
        <v>0</v>
      </c>
      <c r="S230" s="475">
        <f t="shared" si="39"/>
        <v>0</v>
      </c>
      <c r="T230" s="476">
        <f t="shared" si="40"/>
        <v>0</v>
      </c>
      <c r="U230" s="425" t="str">
        <f>VLOOKUP(A230,'Diags Raw Data'!$A$6:$AH$3761,33,FALSE)</f>
        <v>WK6</v>
      </c>
      <c r="V230" s="181"/>
    </row>
    <row r="231" spans="1:22" ht="15.75" thickBot="1" x14ac:dyDescent="0.3">
      <c r="A231" s="530">
        <v>12.465999999999999</v>
      </c>
      <c r="B231" s="427" t="str">
        <f>VLOOKUP(A231,'Feature Raw Data'!$A$3:$B$3922,2,FALSE)</f>
        <v>Distributed DIDT controller</v>
      </c>
      <c r="C231" s="428" t="str">
        <f>VLOOKUP(A231,'Feature Raw Data'!$A$3:$C$3922,3,FALSE)</f>
        <v>P2</v>
      </c>
      <c r="D231" s="429" t="str" cm="1">
        <f t="array" ref="D231">_xlfn.TEXTJOIN("",TRUE,IF(ISNUMBER(SEARCH($A231,'Diags Raw Data'!$A$6:$A$3761)),CONCATENATE('Diags Raw Data'!$H$6:$H$3761,", "),""))</f>
        <v/>
      </c>
      <c r="E231" s="340" t="e">
        <f>VLOOKUP(A231,'Diags Raw Data'!$A$6:$D$3761,4,FALSE)</f>
        <v>#N/A</v>
      </c>
      <c r="F231" s="340" t="str">
        <f>VLOOKUP(A231,'Feature Raw Data'!$A$3:$E$3922,5,FALSE)</f>
        <v>New</v>
      </c>
      <c r="G231" s="340" t="str">
        <f t="shared" si="23"/>
        <v>Yes</v>
      </c>
      <c r="H231" s="340" t="str">
        <f t="shared" si="28"/>
        <v>Yes</v>
      </c>
      <c r="I231" s="428">
        <f>SUMIF('Diags Raw Data'!$A$6:$A$3761,"*"&amp;$A231&amp;"*",'Diags Raw Data'!$K$6:$K$3761)</f>
        <v>0</v>
      </c>
      <c r="J231" s="430">
        <f>SUMIF('Diags Raw Data'!$A$6:$A$3761,"*"&amp;$A231&amp;"*",'Diags Raw Data'!$L$6:$L$3761)</f>
        <v>0</v>
      </c>
      <c r="K231" s="468" cm="1">
        <f t="array" ref="K231">IF(D231="",0, SUMPRODUCT(--(ISNUMBER(SEARCH($A231,'Diags Raw Data'!$A$6:$A$3761))),'Diags Raw Data'!$L$6:$L$3761,'Diags Raw Data'!$N$6:$N$3761)/J231)</f>
        <v>0</v>
      </c>
      <c r="L231" s="469" cm="1">
        <f t="array" ref="L231">IF(D231="",0, SUMPRODUCT(--(ISNUMBER(SEARCH($A231,'Diags Raw Data'!$A$6:$A$3761))),'Diags Raw Data'!$L$6:$L$3761,'Diags Raw Data'!$P$6:$P$3761)/J231)</f>
        <v>0</v>
      </c>
      <c r="M231" s="470" cm="1">
        <f t="array" ref="M231">SUMPRODUCT(--(ISNUMBER(SEARCH($A231,'Diags Raw Data'!$A$6:$A$3761))),--('Diags Raw Data'!$Q$6:$Q$3761&lt;&gt;"N/A"),'Diags Raw Data'!$R$6:$R$3761)</f>
        <v>0</v>
      </c>
      <c r="N231" s="471" cm="1">
        <f t="array" ref="N231">SUMPRODUCT(--(ISNUMBER(SEARCH($A231,'Diags Raw Data'!$A$6:$A$3761))),--('Diags Raw Data'!$Q$6:$Q$3761&lt;&gt;"N/A"),'Diags Raw Data'!$T$6:$T$3761)+SUMPRODUCT(--(ISNUMBER(SEARCH($A231,'Diags Raw Data'!$A$6:$A$3761))),--('Diags Raw Data'!$Q$6:$Q$3761&lt;&gt;"N/A"),'Diags Raw Data'!$U$6:$U$3761)</f>
        <v>0</v>
      </c>
      <c r="O231" s="472">
        <f t="shared" si="37"/>
        <v>0</v>
      </c>
      <c r="P231" s="473">
        <f>SUMIF('Diags Raw Data'!$A$6:$A$3761,"*"&amp;$A231&amp;"*",'Diags Raw Data'!$Z$6:$Z$3761)</f>
        <v>0</v>
      </c>
      <c r="Q231" s="474">
        <f>SUM(SUMIF('Diags Raw Data'!$A$6:$A$3761,"*"&amp;$A231&amp;"*",'Diags Raw Data'!$AA$6:$AA$3761),SUMIF('Diags Raw Data'!$A$6:$A$3761,"*"&amp;$A231&amp;"*",'Diags Raw Data'!$AB$6:$AB$3761))</f>
        <v>0</v>
      </c>
      <c r="R231" s="475">
        <f t="shared" si="38"/>
        <v>0</v>
      </c>
      <c r="S231" s="475">
        <f t="shared" si="39"/>
        <v>0</v>
      </c>
      <c r="T231" s="476">
        <f t="shared" si="40"/>
        <v>0</v>
      </c>
      <c r="U231" s="425" t="e">
        <f>VLOOKUP(A231,'Diags Raw Data'!$A$6:$AH$3761,33,FALSE)</f>
        <v>#N/A</v>
      </c>
      <c r="V231" s="181"/>
    </row>
    <row r="232" spans="1:22" ht="15.75" thickBot="1" x14ac:dyDescent="0.3">
      <c r="A232" s="530">
        <v>12.467000000000001</v>
      </c>
      <c r="B232" s="427" t="str">
        <f>VLOOKUP(A232,'Feature Raw Data'!$A$3:$B$3922,2,FALSE)</f>
        <v>GRBM/H SYNC registers</v>
      </c>
      <c r="C232" s="428" t="str">
        <f>VLOOKUP(A232,'Feature Raw Data'!$A$3:$C$3922,3,FALSE)</f>
        <v>P1</v>
      </c>
      <c r="D232" s="429" t="str" cm="1">
        <f t="array" ref="D232">_xlfn.TEXTJOIN("",TRUE,IF(ISNUMBER(SEARCH($A232,'Diags Raw Data'!$A$6:$A$3761)),CONCATENATE('Diags Raw Data'!$H$6:$H$3761,", "),""))</f>
        <v xml:space="preserve">cpi415, </v>
      </c>
      <c r="E232" s="340" t="str">
        <f>VLOOKUP(A232,'Diags Raw Data'!$A$6:$D$3761,4,FALSE)</f>
        <v>CTL</v>
      </c>
      <c r="F232" s="340" t="str">
        <f>VLOOKUP(A232,'Feature Raw Data'!$A$3:$E$3922,5,FALSE)</f>
        <v>New</v>
      </c>
      <c r="G232" s="340" t="str">
        <f t="shared" si="23"/>
        <v>Yes</v>
      </c>
      <c r="H232" s="340" t="str">
        <f t="shared" si="28"/>
        <v>Yes</v>
      </c>
      <c r="I232" s="428">
        <f>SUMIF('Diags Raw Data'!$A$6:$A$3761,"*"&amp;$A232&amp;"*",'Diags Raw Data'!$K$6:$K$3761)</f>
        <v>0</v>
      </c>
      <c r="J232" s="430">
        <f>SUMIF('Diags Raw Data'!$A$6:$A$3761,"*"&amp;$A232&amp;"*",'Diags Raw Data'!$L$6:$L$3761)</f>
        <v>0</v>
      </c>
      <c r="K232" s="468" t="e" cm="1">
        <f t="array" ref="K232">IF(D232="",0, SUMPRODUCT(--(ISNUMBER(SEARCH($A232,'Diags Raw Data'!$A$6:$A$3761))),'Diags Raw Data'!$L$6:$L$3761,'Diags Raw Data'!$N$6:$N$3761)/J232)</f>
        <v>#DIV/0!</v>
      </c>
      <c r="L232" s="469" t="e" cm="1">
        <f t="array" ref="L232">IF(D232="",0, SUMPRODUCT(--(ISNUMBER(SEARCH($A232,'Diags Raw Data'!$A$6:$A$3761))),'Diags Raw Data'!$L$6:$L$3761,'Diags Raw Data'!$P$6:$P$3761)/J232)</f>
        <v>#DIV/0!</v>
      </c>
      <c r="M232" s="470" cm="1">
        <f t="array" ref="M232">SUMPRODUCT(--(ISNUMBER(SEARCH($A232,'Diags Raw Data'!$A$6:$A$3761))),--('Diags Raw Data'!$Q$6:$Q$3761&lt;&gt;"N/A"),'Diags Raw Data'!$R$6:$R$3761)</f>
        <v>2</v>
      </c>
      <c r="N232" s="471" cm="1">
        <f t="array" ref="N232">SUMPRODUCT(--(ISNUMBER(SEARCH($A232,'Diags Raw Data'!$A$6:$A$3761))),--('Diags Raw Data'!$Q$6:$Q$3761&lt;&gt;"N/A"),'Diags Raw Data'!$T$6:$T$3761)+SUMPRODUCT(--(ISNUMBER(SEARCH($A232,'Diags Raw Data'!$A$6:$A$3761))),--('Diags Raw Data'!$Q$6:$Q$3761&lt;&gt;"N/A"),'Diags Raw Data'!$U$6:$U$3761)</f>
        <v>0</v>
      </c>
      <c r="O232" s="472">
        <f t="shared" si="37"/>
        <v>0</v>
      </c>
      <c r="P232" s="473">
        <f>SUMIF('Diags Raw Data'!$A$6:$A$3761,"*"&amp;$A232&amp;"*",'Diags Raw Data'!$Z$6:$Z$3761)</f>
        <v>0</v>
      </c>
      <c r="Q232" s="474">
        <f>SUM(SUMIF('Diags Raw Data'!$A$6:$A$3761,"*"&amp;$A232&amp;"*",'Diags Raw Data'!$AA$6:$AA$3761),SUMIF('Diags Raw Data'!$A$6:$A$3761,"*"&amp;$A232&amp;"*",'Diags Raw Data'!$AB$6:$AB$3761))</f>
        <v>0</v>
      </c>
      <c r="R232" s="475">
        <f t="shared" si="38"/>
        <v>0</v>
      </c>
      <c r="S232" s="475">
        <f t="shared" si="39"/>
        <v>0</v>
      </c>
      <c r="T232" s="476">
        <f t="shared" si="40"/>
        <v>0</v>
      </c>
      <c r="U232" s="425" t="str">
        <f>VLOOKUP(A232,'Diags Raw Data'!$A$6:$AH$3761,33,FALSE)</f>
        <v>WK3</v>
      </c>
      <c r="V232" s="181"/>
    </row>
    <row r="233" spans="1:22" ht="45.75" thickBot="1" x14ac:dyDescent="0.3">
      <c r="A233" s="530">
        <v>12.468</v>
      </c>
      <c r="B233" s="427" t="str">
        <f>VLOOKUP(A233,'Feature Raw Data'!$A$3:$B$3922,2,FALSE)</f>
        <v>RS64: Adding performance features for both Navi4x and MI400</v>
      </c>
      <c r="C233" s="428" t="str">
        <f>VLOOKUP(A233,'Feature Raw Data'!$A$3:$C$3922,3,FALSE)</f>
        <v>P2</v>
      </c>
      <c r="D233" s="429" t="str" cm="1">
        <f t="array" ref="D233">_xlfn.TEXTJOIN("",TRUE,IF(ISNUMBER(SEARCH($A233,'Diags Raw Data'!$A$6:$A$3761)),CONCATENATE('Diags Raw Data'!$H$6:$H$3761,", "),""))</f>
        <v/>
      </c>
      <c r="E233" s="340" t="e">
        <f>VLOOKUP(A233,'Diags Raw Data'!$A$6:$D$3761,4,FALSE)</f>
        <v>#N/A</v>
      </c>
      <c r="F233" s="340" t="str">
        <f>VLOOKUP(A233,'Feature Raw Data'!$A$3:$E$3922,5,FALSE)</f>
        <v>New</v>
      </c>
      <c r="G233" s="340" t="str">
        <f t="shared" si="23"/>
        <v>Yes</v>
      </c>
      <c r="H233" s="340" t="str">
        <f t="shared" si="28"/>
        <v>Yes</v>
      </c>
      <c r="I233" s="428">
        <f>SUMIF('Diags Raw Data'!$A$6:$A$3761,"*"&amp;$A233&amp;"*",'Diags Raw Data'!$K$6:$K$3761)</f>
        <v>0</v>
      </c>
      <c r="J233" s="430">
        <f>SUMIF('Diags Raw Data'!$A$6:$A$3761,"*"&amp;$A233&amp;"*",'Diags Raw Data'!$L$6:$L$3761)</f>
        <v>0</v>
      </c>
      <c r="K233" s="468" cm="1">
        <f t="array" ref="K233">IF(D233="",0, SUMPRODUCT(--(ISNUMBER(SEARCH($A233,'Diags Raw Data'!$A$6:$A$3761))),'Diags Raw Data'!$L$6:$L$3761,'Diags Raw Data'!$N$6:$N$3761)/J233)</f>
        <v>0</v>
      </c>
      <c r="L233" s="469" cm="1">
        <f t="array" ref="L233">IF(D233="",0, SUMPRODUCT(--(ISNUMBER(SEARCH($A233,'Diags Raw Data'!$A$6:$A$3761))),'Diags Raw Data'!$L$6:$L$3761,'Diags Raw Data'!$P$6:$P$3761)/J233)</f>
        <v>0</v>
      </c>
      <c r="M233" s="470" cm="1">
        <f t="array" ref="M233">SUMPRODUCT(--(ISNUMBER(SEARCH($A233,'Diags Raw Data'!$A$6:$A$3761))),--('Diags Raw Data'!$Q$6:$Q$3761&lt;&gt;"N/A"),'Diags Raw Data'!$R$6:$R$3761)</f>
        <v>0</v>
      </c>
      <c r="N233" s="471" cm="1">
        <f t="array" ref="N233">SUMPRODUCT(--(ISNUMBER(SEARCH($A233,'Diags Raw Data'!$A$6:$A$3761))),--('Diags Raw Data'!$Q$6:$Q$3761&lt;&gt;"N/A"),'Diags Raw Data'!$T$6:$T$3761)+SUMPRODUCT(--(ISNUMBER(SEARCH($A233,'Diags Raw Data'!$A$6:$A$3761))),--('Diags Raw Data'!$Q$6:$Q$3761&lt;&gt;"N/A"),'Diags Raw Data'!$U$6:$U$3761)</f>
        <v>0</v>
      </c>
      <c r="O233" s="472">
        <f t="shared" si="37"/>
        <v>0</v>
      </c>
      <c r="P233" s="473">
        <f>SUMIF('Diags Raw Data'!$A$6:$A$3761,"*"&amp;$A233&amp;"*",'Diags Raw Data'!$Z$6:$Z$3761)</f>
        <v>0</v>
      </c>
      <c r="Q233" s="474">
        <f>SUM(SUMIF('Diags Raw Data'!$A$6:$A$3761,"*"&amp;$A233&amp;"*",'Diags Raw Data'!$AA$6:$AA$3761),SUMIF('Diags Raw Data'!$A$6:$A$3761,"*"&amp;$A233&amp;"*",'Diags Raw Data'!$AB$6:$AB$3761))</f>
        <v>0</v>
      </c>
      <c r="R233" s="475">
        <f t="shared" si="38"/>
        <v>0</v>
      </c>
      <c r="S233" s="475">
        <f t="shared" si="39"/>
        <v>0</v>
      </c>
      <c r="T233" s="476">
        <f t="shared" si="40"/>
        <v>0</v>
      </c>
      <c r="U233" s="425" t="e">
        <f>VLOOKUP(A233,'Diags Raw Data'!$A$6:$AH$3761,33,FALSE)</f>
        <v>#N/A</v>
      </c>
      <c r="V233" s="181"/>
    </row>
    <row r="234" spans="1:22" ht="30.75" thickBot="1" x14ac:dyDescent="0.3">
      <c r="A234" s="530">
        <v>12.468999999999999</v>
      </c>
      <c r="B234" s="427" t="str">
        <f>VLOOKUP(A234,'Feature Raw Data'!$A$3:$B$3922,2,FALSE)</f>
        <v>F8 1.4.3 IEEE mode behavior change (match with NV)</v>
      </c>
      <c r="C234" s="428" t="str">
        <f>VLOOKUP(A234,'Feature Raw Data'!$A$3:$C$3922,3,FALSE)</f>
        <v>P2</v>
      </c>
      <c r="D234" s="429" t="str" cm="1">
        <f t="array" ref="D234">_xlfn.TEXTJOIN("",TRUE,IF(ISNUMBER(SEARCH($A234,'Diags Raw Data'!$A$6:$A$3761)),CONCATENATE('Diags Raw Data'!$H$6:$H$3761,", "),""))</f>
        <v xml:space="preserve">gci1309.0-3, </v>
      </c>
      <c r="E234" s="340" t="str">
        <f>VLOOKUP(A234,'Diags Raw Data'!$A$6:$D$3761,4,FALSE)</f>
        <v>SH</v>
      </c>
      <c r="F234" s="340" t="str">
        <f>VLOOKUP(A234,'Feature Raw Data'!$A$3:$E$3922,5,FALSE)</f>
        <v>New</v>
      </c>
      <c r="G234" s="340" t="str">
        <f t="shared" si="23"/>
        <v>Yes</v>
      </c>
      <c r="H234" s="340" t="str">
        <f t="shared" si="28"/>
        <v>Yes</v>
      </c>
      <c r="I234" s="428">
        <f>SUMIF('Diags Raw Data'!$A$6:$A$3761,"*"&amp;$A234&amp;"*",'Diags Raw Data'!$K$6:$K$3761)</f>
        <v>0</v>
      </c>
      <c r="J234" s="430">
        <f>SUMIF('Diags Raw Data'!$A$6:$A$3761,"*"&amp;$A234&amp;"*",'Diags Raw Data'!$L$6:$L$3761)</f>
        <v>0</v>
      </c>
      <c r="K234" s="468" t="e" cm="1">
        <f t="array" ref="K234">IF(D234="",0, SUMPRODUCT(--(ISNUMBER(SEARCH($A234,'Diags Raw Data'!$A$6:$A$3761))),'Diags Raw Data'!$L$6:$L$3761,'Diags Raw Data'!$N$6:$N$3761)/J234)</f>
        <v>#DIV/0!</v>
      </c>
      <c r="L234" s="469" t="e" cm="1">
        <f t="array" ref="L234">IF(D234="",0, SUMPRODUCT(--(ISNUMBER(SEARCH($A234,'Diags Raw Data'!$A$6:$A$3761))),'Diags Raw Data'!$L$6:$L$3761,'Diags Raw Data'!$P$6:$P$3761)/J234)</f>
        <v>#DIV/0!</v>
      </c>
      <c r="M234" s="470" cm="1">
        <f t="array" ref="M234">SUMPRODUCT(--(ISNUMBER(SEARCH($A234,'Diags Raw Data'!$A$6:$A$3761))),--('Diags Raw Data'!$Q$6:$Q$3761&lt;&gt;"N/A"),'Diags Raw Data'!$R$6:$R$3761)</f>
        <v>4</v>
      </c>
      <c r="N234" s="471" cm="1">
        <f t="array" ref="N234">SUMPRODUCT(--(ISNUMBER(SEARCH($A234,'Diags Raw Data'!$A$6:$A$3761))),--('Diags Raw Data'!$Q$6:$Q$3761&lt;&gt;"N/A"),'Diags Raw Data'!$T$6:$T$3761)+SUMPRODUCT(--(ISNUMBER(SEARCH($A234,'Diags Raw Data'!$A$6:$A$3761))),--('Diags Raw Data'!$Q$6:$Q$3761&lt;&gt;"N/A"),'Diags Raw Data'!$U$6:$U$3761)</f>
        <v>4</v>
      </c>
      <c r="O234" s="472">
        <f t="shared" si="37"/>
        <v>1</v>
      </c>
      <c r="P234" s="473">
        <f>SUMIF('Diags Raw Data'!$A$6:$A$3761,"*"&amp;$A234&amp;"*",'Diags Raw Data'!$Z$6:$Z$3761)</f>
        <v>0</v>
      </c>
      <c r="Q234" s="474">
        <f>SUM(SUMIF('Diags Raw Data'!$A$6:$A$3761,"*"&amp;$A234&amp;"*",'Diags Raw Data'!$AA$6:$AA$3761),SUMIF('Diags Raw Data'!$A$6:$A$3761,"*"&amp;$A234&amp;"*",'Diags Raw Data'!$AB$6:$AB$3761))</f>
        <v>0</v>
      </c>
      <c r="R234" s="475">
        <f t="shared" si="38"/>
        <v>0</v>
      </c>
      <c r="S234" s="475">
        <f t="shared" si="39"/>
        <v>0</v>
      </c>
      <c r="T234" s="476">
        <f t="shared" si="40"/>
        <v>0</v>
      </c>
      <c r="U234" s="425" t="str">
        <f>VLOOKUP(A234,'Diags Raw Data'!$A$6:$AH$3761,33,FALSE)</f>
        <v>WK7</v>
      </c>
      <c r="V234" s="181"/>
    </row>
    <row r="235" spans="1:22" ht="120.75" thickBot="1" x14ac:dyDescent="0.3">
      <c r="A235" s="530">
        <v>12.47</v>
      </c>
      <c r="B235" s="427" t="str">
        <f>VLOOKUP(A235,'Feature Raw Data'!$A$3:$B$3922,2,FALSE)</f>
        <v>RS64: No support for OOO IO read and write memory transactions</v>
      </c>
      <c r="C235" s="428" t="str">
        <f>VLOOKUP(A235,'Feature Raw Data'!$A$3:$C$3922,3,FALSE)</f>
        <v>P1</v>
      </c>
      <c r="D235" s="429" t="str" cm="1">
        <f t="array" ref="D235">_xlfn.TEXTJOIN("",TRUE,IF(ISNUMBER(SEARCH($A235,'Diags Raw Data'!$A$6:$A$3761)),CONCATENATE('Diags Raw Data'!$H$6:$H$3761,", "),""))</f>
        <v xml:space="preserve">gmhub.athub_raw_monolithic_test/CPWD, gfx.sr_stat, gfx.inst_perf/v_wmma_f32_16x16x.*,gfx.inst_perf/v_wmma_i32_16x16x32_iu4,gci39.1-6, placeholder_b.1, </v>
      </c>
      <c r="E235" s="340" t="str">
        <f>VLOOKUP(A235,'Diags Raw Data'!$A$6:$D$3761,4,FALSE)</f>
        <v>CMM</v>
      </c>
      <c r="F235" s="340" t="str">
        <f>VLOOKUP(A235,'Feature Raw Data'!$A$3:$E$3922,5,FALSE)</f>
        <v>New</v>
      </c>
      <c r="G235" s="340" t="str">
        <f t="shared" si="23"/>
        <v>Yes</v>
      </c>
      <c r="H235" s="340" t="str">
        <f t="shared" si="28"/>
        <v>Yes</v>
      </c>
      <c r="I235" s="428">
        <f>SUMIF('Diags Raw Data'!$A$6:$A$3761,"*"&amp;$A235&amp;"*",'Diags Raw Data'!$K$6:$K$3761)</f>
        <v>0</v>
      </c>
      <c r="J235" s="430">
        <f>SUMIF('Diags Raw Data'!$A$6:$A$3761,"*"&amp;$A235&amp;"*",'Diags Raw Data'!$L$6:$L$3761)</f>
        <v>0</v>
      </c>
      <c r="K235" s="468" t="e" cm="1">
        <f t="array" ref="K235">IF(D235="",0, SUMPRODUCT(--(ISNUMBER(SEARCH($A235,'Diags Raw Data'!$A$6:$A$3761))),'Diags Raw Data'!$L$6:$L$3761,'Diags Raw Data'!$N$6:$N$3761)/J235)</f>
        <v>#DIV/0!</v>
      </c>
      <c r="L235" s="469" t="e" cm="1">
        <f t="array" ref="L235">IF(D235="",0, SUMPRODUCT(--(ISNUMBER(SEARCH($A235,'Diags Raw Data'!$A$6:$A$3761))),'Diags Raw Data'!$L$6:$L$3761,'Diags Raw Data'!$P$6:$P$3761)/J235)</f>
        <v>#DIV/0!</v>
      </c>
      <c r="M235" s="470" cm="1">
        <f t="array" ref="M235">SUMPRODUCT(--(ISNUMBER(SEARCH($A235,'Diags Raw Data'!$A$6:$A$3761))),--('Diags Raw Data'!$Q$6:$Q$3761&lt;&gt;"N/A"),'Diags Raw Data'!$R$6:$R$3761)</f>
        <v>14</v>
      </c>
      <c r="N235" s="471" cm="1">
        <f t="array" ref="N235">SUMPRODUCT(--(ISNUMBER(SEARCH($A235,'Diags Raw Data'!$A$6:$A$3761))),--('Diags Raw Data'!$Q$6:$Q$3761&lt;&gt;"N/A"),'Diags Raw Data'!$T$6:$T$3761)+SUMPRODUCT(--(ISNUMBER(SEARCH($A235,'Diags Raw Data'!$A$6:$A$3761))),--('Diags Raw Data'!$Q$6:$Q$3761&lt;&gt;"N/A"),'Diags Raw Data'!$U$6:$U$3761)</f>
        <v>11</v>
      </c>
      <c r="O235" s="472">
        <f t="shared" si="37"/>
        <v>0.7857142857142857</v>
      </c>
      <c r="P235" s="473">
        <f>SUMIF('Diags Raw Data'!$A$6:$A$3761,"*"&amp;$A235&amp;"*",'Diags Raw Data'!$Z$6:$Z$3761)</f>
        <v>0</v>
      </c>
      <c r="Q235" s="474">
        <f>SUM(SUMIF('Diags Raw Data'!$A$6:$A$3761,"*"&amp;$A235&amp;"*",'Diags Raw Data'!$AA$6:$AA$3761),SUMIF('Diags Raw Data'!$A$6:$A$3761,"*"&amp;$A235&amp;"*",'Diags Raw Data'!$AB$6:$AB$3761))</f>
        <v>0</v>
      </c>
      <c r="R235" s="475">
        <f t="shared" si="38"/>
        <v>0</v>
      </c>
      <c r="S235" s="475">
        <f t="shared" si="39"/>
        <v>0</v>
      </c>
      <c r="T235" s="476">
        <f t="shared" si="40"/>
        <v>0</v>
      </c>
      <c r="U235" s="425" t="str">
        <f>VLOOKUP(A235,'Diags Raw Data'!$A$6:$AH$3761,33,FALSE)</f>
        <v>WK5</v>
      </c>
      <c r="V235" s="181"/>
    </row>
    <row r="236" spans="1:22" ht="45.75" thickBot="1" x14ac:dyDescent="0.3">
      <c r="A236" s="530">
        <v>12.471</v>
      </c>
      <c r="B236" s="427" t="str">
        <f>VLOOKUP(A236,'Feature Raw Data'!$A$3:$B$3922,2,FALSE)</f>
        <v>Save and Restore of perfcounter and ttrace enable for GFXOFF/SRIOV</v>
      </c>
      <c r="C236" s="428" t="str">
        <f>VLOOKUP(A236,'Feature Raw Data'!$A$3:$C$3922,3,FALSE)</f>
        <v>P2</v>
      </c>
      <c r="D236" s="429" t="str" cm="1">
        <f t="array" ref="D236">_xlfn.TEXTJOIN("",TRUE,IF(ISNUMBER(SEARCH($A236,'Diags Raw Data'!$A$6:$A$3761)),CONCATENATE('Diags Raw Data'!$H$6:$H$3761,", "),""))</f>
        <v xml:space="preserve">gfx.sr_stat, </v>
      </c>
      <c r="E236" s="340" t="str">
        <f>VLOOKUP(A236,'Diags Raw Data'!$A$6:$D$3761,4,FALSE)</f>
        <v>SIO</v>
      </c>
      <c r="F236" s="340" t="str">
        <f>VLOOKUP(A236,'Feature Raw Data'!$A$3:$E$3922,5,FALSE)</f>
        <v>New</v>
      </c>
      <c r="G236" s="340" t="str">
        <f t="shared" si="23"/>
        <v>Yes</v>
      </c>
      <c r="H236" s="340" t="str">
        <f t="shared" si="28"/>
        <v>Yes</v>
      </c>
      <c r="I236" s="428">
        <f>SUMIF('Diags Raw Data'!$A$6:$A$3761,"*"&amp;$A236&amp;"*",'Diags Raw Data'!$K$6:$K$3761)</f>
        <v>0</v>
      </c>
      <c r="J236" s="430">
        <f>SUMIF('Diags Raw Data'!$A$6:$A$3761,"*"&amp;$A236&amp;"*",'Diags Raw Data'!$L$6:$L$3761)</f>
        <v>0</v>
      </c>
      <c r="K236" s="468" t="e" cm="1">
        <f t="array" ref="K236">IF(D236="",0, SUMPRODUCT(--(ISNUMBER(SEARCH($A236,'Diags Raw Data'!$A$6:$A$3761))),'Diags Raw Data'!$L$6:$L$3761,'Diags Raw Data'!$N$6:$N$3761)/J236)</f>
        <v>#DIV/0!</v>
      </c>
      <c r="L236" s="469" t="e" cm="1">
        <f t="array" ref="L236">IF(D236="",0, SUMPRODUCT(--(ISNUMBER(SEARCH($A236,'Diags Raw Data'!$A$6:$A$3761))),'Diags Raw Data'!$L$6:$L$3761,'Diags Raw Data'!$P$6:$P$3761)/J236)</f>
        <v>#DIV/0!</v>
      </c>
      <c r="M236" s="470" cm="1">
        <f t="array" ref="M236">SUMPRODUCT(--(ISNUMBER(SEARCH($A236,'Diags Raw Data'!$A$6:$A$3761))),--('Diags Raw Data'!$Q$6:$Q$3761&lt;&gt;"N/A"),'Diags Raw Data'!$R$6:$R$3761)</f>
        <v>1</v>
      </c>
      <c r="N236" s="471" cm="1">
        <f t="array" ref="N236">SUMPRODUCT(--(ISNUMBER(SEARCH($A236,'Diags Raw Data'!$A$6:$A$3761))),--('Diags Raw Data'!$Q$6:$Q$3761&lt;&gt;"N/A"),'Diags Raw Data'!$T$6:$T$3761)+SUMPRODUCT(--(ISNUMBER(SEARCH($A236,'Diags Raw Data'!$A$6:$A$3761))),--('Diags Raw Data'!$Q$6:$Q$3761&lt;&gt;"N/A"),'Diags Raw Data'!$U$6:$U$3761)</f>
        <v>0</v>
      </c>
      <c r="O236" s="472">
        <f t="shared" si="37"/>
        <v>0</v>
      </c>
      <c r="P236" s="473">
        <f>SUMIF('Diags Raw Data'!$A$6:$A$3761,"*"&amp;$A236&amp;"*",'Diags Raw Data'!$Z$6:$Z$3761)</f>
        <v>0</v>
      </c>
      <c r="Q236" s="474">
        <f>SUM(SUMIF('Diags Raw Data'!$A$6:$A$3761,"*"&amp;$A236&amp;"*",'Diags Raw Data'!$AA$6:$AA$3761),SUMIF('Diags Raw Data'!$A$6:$A$3761,"*"&amp;$A236&amp;"*",'Diags Raw Data'!$AB$6:$AB$3761))</f>
        <v>0</v>
      </c>
      <c r="R236" s="475">
        <f t="shared" si="38"/>
        <v>0</v>
      </c>
      <c r="S236" s="475">
        <f t="shared" si="39"/>
        <v>0</v>
      </c>
      <c r="T236" s="476">
        <f t="shared" si="40"/>
        <v>0</v>
      </c>
      <c r="U236" s="425" t="str">
        <f>VLOOKUP(A236,'Diags Raw Data'!$A$6:$AH$3761,33,FALSE)</f>
        <v>WK8</v>
      </c>
      <c r="V236" s="181"/>
    </row>
    <row r="237" spans="1:22" ht="30.75" thickBot="1" x14ac:dyDescent="0.3">
      <c r="A237" s="530">
        <v>12.473000000000001</v>
      </c>
      <c r="B237" s="427" t="str">
        <f>VLOOKUP(A237,'Feature Raw Data'!$A$3:$B$3922,2,FALSE)</f>
        <v>GL2 shared across all SEs for Navi44/48</v>
      </c>
      <c r="C237" s="428" t="str">
        <f>VLOOKUP(A237,'Feature Raw Data'!$A$3:$C$3922,3,FALSE)</f>
        <v>P1</v>
      </c>
      <c r="D237" s="429" t="str" cm="1">
        <f t="array" ref="D237">_xlfn.TEXTJOIN("",TRUE,IF(ISNUMBER(SEARCH($A237,'Diags Raw Data'!$A$6:$A$3761)),CONCATENATE('Diags Raw Data'!$H$6:$H$3761,", "),""))</f>
        <v/>
      </c>
      <c r="E237" s="340" t="e">
        <f>VLOOKUP(A237,'Diags Raw Data'!$A$6:$D$3761,4,FALSE)</f>
        <v>#N/A</v>
      </c>
      <c r="F237" s="340" t="str">
        <f>VLOOKUP(A237,'Feature Raw Data'!$A$3:$E$3922,5,FALSE)</f>
        <v>New</v>
      </c>
      <c r="G237" s="340" t="str">
        <f t="shared" si="23"/>
        <v>Yes</v>
      </c>
      <c r="H237" s="340" t="str">
        <f t="shared" si="28"/>
        <v>Yes</v>
      </c>
      <c r="I237" s="428">
        <f>SUMIF('Diags Raw Data'!$A$6:$A$3761,"*"&amp;$A237&amp;"*",'Diags Raw Data'!$K$6:$K$3761)</f>
        <v>0</v>
      </c>
      <c r="J237" s="430">
        <f>SUMIF('Diags Raw Data'!$A$6:$A$3761,"*"&amp;$A237&amp;"*",'Diags Raw Data'!$L$6:$L$3761)</f>
        <v>0</v>
      </c>
      <c r="K237" s="468" cm="1">
        <f t="array" ref="K237">IF(D237="",0, SUMPRODUCT(--(ISNUMBER(SEARCH($A237,'Diags Raw Data'!$A$6:$A$3761))),'Diags Raw Data'!$L$6:$L$3761,'Diags Raw Data'!$N$6:$N$3761)/J237)</f>
        <v>0</v>
      </c>
      <c r="L237" s="469" cm="1">
        <f t="array" ref="L237">IF(D237="",0, SUMPRODUCT(--(ISNUMBER(SEARCH($A237,'Diags Raw Data'!$A$6:$A$3761))),'Diags Raw Data'!$L$6:$L$3761,'Diags Raw Data'!$P$6:$P$3761)/J237)</f>
        <v>0</v>
      </c>
      <c r="M237" s="470" cm="1">
        <f t="array" ref="M237">SUMPRODUCT(--(ISNUMBER(SEARCH($A237,'Diags Raw Data'!$A$6:$A$3761))),--('Diags Raw Data'!$Q$6:$Q$3761&lt;&gt;"N/A"),'Diags Raw Data'!$R$6:$R$3761)</f>
        <v>0</v>
      </c>
      <c r="N237" s="471" cm="1">
        <f t="array" ref="N237">SUMPRODUCT(--(ISNUMBER(SEARCH($A237,'Diags Raw Data'!$A$6:$A$3761))),--('Diags Raw Data'!$Q$6:$Q$3761&lt;&gt;"N/A"),'Diags Raw Data'!$T$6:$T$3761)+SUMPRODUCT(--(ISNUMBER(SEARCH($A237,'Diags Raw Data'!$A$6:$A$3761))),--('Diags Raw Data'!$Q$6:$Q$3761&lt;&gt;"N/A"),'Diags Raw Data'!$U$6:$U$3761)</f>
        <v>0</v>
      </c>
      <c r="O237" s="472">
        <f t="shared" si="37"/>
        <v>0</v>
      </c>
      <c r="P237" s="473">
        <f>SUMIF('Diags Raw Data'!$A$6:$A$3761,"*"&amp;$A237&amp;"*",'Diags Raw Data'!$Z$6:$Z$3761)</f>
        <v>0</v>
      </c>
      <c r="Q237" s="474">
        <f>SUM(SUMIF('Diags Raw Data'!$A$6:$A$3761,"*"&amp;$A237&amp;"*",'Diags Raw Data'!$AA$6:$AA$3761),SUMIF('Diags Raw Data'!$A$6:$A$3761,"*"&amp;$A237&amp;"*",'Diags Raw Data'!$AB$6:$AB$3761))</f>
        <v>0</v>
      </c>
      <c r="R237" s="475">
        <f t="shared" si="38"/>
        <v>0</v>
      </c>
      <c r="S237" s="475">
        <f t="shared" si="39"/>
        <v>0</v>
      </c>
      <c r="T237" s="476">
        <f t="shared" si="40"/>
        <v>0</v>
      </c>
      <c r="U237" s="425" t="e">
        <f>VLOOKUP(A237,'Diags Raw Data'!$A$6:$AH$3761,33,FALSE)</f>
        <v>#N/A</v>
      </c>
      <c r="V237" s="181"/>
    </row>
    <row r="238" spans="1:22" ht="75.75" thickBot="1" x14ac:dyDescent="0.3">
      <c r="A238" s="530">
        <v>12.474</v>
      </c>
      <c r="B238" s="427" t="str">
        <f>VLOOKUP(A238,'Feature Raw Data'!$A$3:$B$3922,2,FALSE)</f>
        <v>2x MLOPs performance</v>
      </c>
      <c r="C238" s="428" t="str">
        <f>VLOOKUP(A238,'Feature Raw Data'!$A$3:$C$3922,3,FALSE)</f>
        <v>P2</v>
      </c>
      <c r="D238" s="429" t="str" cm="1">
        <f t="array" ref="D238">_xlfn.TEXTJOIN("",TRUE,IF(ISNUMBER(SEARCH($A238,'Diags Raw Data'!$A$6:$A$3761)),CONCATENATE('Diags Raw Data'!$H$6:$H$3761,", "),""))</f>
        <v xml:space="preserve">gfx.inst_perf/v_wmma_f32_16x16x.*,gfx.inst_perf/v_wmma_i32_16x16x32_iu4,gci39.1-6, </v>
      </c>
      <c r="E238" s="340" t="str">
        <f>VLOOKUP(A238,'Diags Raw Data'!$A$6:$D$3761,4,FALSE)</f>
        <v>SH</v>
      </c>
      <c r="F238" s="340" t="str">
        <f>VLOOKUP(A238,'Feature Raw Data'!$A$3:$E$3922,5,FALSE)</f>
        <v>New</v>
      </c>
      <c r="G238" s="340" t="str">
        <f t="shared" ref="G238:G258" si="41">IF(D238="N/A, ","No","Yes")</f>
        <v>Yes</v>
      </c>
      <c r="H238" s="340" t="str">
        <f t="shared" ref="H238:H258" si="42">IF(D238="N/A, ","No","Yes")</f>
        <v>Yes</v>
      </c>
      <c r="I238" s="428">
        <f>SUMIF('Diags Raw Data'!$A$6:$A$3761,"*"&amp;$A238&amp;"*",'Diags Raw Data'!$K$6:$K$3761)</f>
        <v>0</v>
      </c>
      <c r="J238" s="430">
        <f>SUMIF('Diags Raw Data'!$A$6:$A$3761,"*"&amp;$A238&amp;"*",'Diags Raw Data'!$L$6:$L$3761)</f>
        <v>0</v>
      </c>
      <c r="K238" s="468" t="e" cm="1">
        <f t="array" ref="K238">IF(D238="",0, SUMPRODUCT(--(ISNUMBER(SEARCH($A238,'Diags Raw Data'!$A$6:$A$3761))),'Diags Raw Data'!$L$6:$L$3761,'Diags Raw Data'!$N$6:$N$3761)/J238)</f>
        <v>#DIV/0!</v>
      </c>
      <c r="L238" s="469" t="e" cm="1">
        <f t="array" ref="L238">IF(D238="",0, SUMPRODUCT(--(ISNUMBER(SEARCH($A238,'Diags Raw Data'!$A$6:$A$3761))),'Diags Raw Data'!$L$6:$L$3761,'Diags Raw Data'!$P$6:$P$3761)/J238)</f>
        <v>#DIV/0!</v>
      </c>
      <c r="M238" s="470" cm="1">
        <f t="array" ref="M238">SUMPRODUCT(--(ISNUMBER(SEARCH($A238,'Diags Raw Data'!$A$6:$A$3761))),--('Diags Raw Data'!$Q$6:$Q$3761&lt;&gt;"N/A"),'Diags Raw Data'!$R$6:$R$3761)</f>
        <v>11</v>
      </c>
      <c r="N238" s="471" cm="1">
        <f t="array" ref="N238">SUMPRODUCT(--(ISNUMBER(SEARCH($A238,'Diags Raw Data'!$A$6:$A$3761))),--('Diags Raw Data'!$Q$6:$Q$3761&lt;&gt;"N/A"),'Diags Raw Data'!$T$6:$T$3761)+SUMPRODUCT(--(ISNUMBER(SEARCH($A238,'Diags Raw Data'!$A$6:$A$3761))),--('Diags Raw Data'!$Q$6:$Q$3761&lt;&gt;"N/A"),'Diags Raw Data'!$U$6:$U$3761)</f>
        <v>11</v>
      </c>
      <c r="O238" s="472">
        <f t="shared" ref="O238:O258" si="43">IF((M238=0),0,N238/M238)</f>
        <v>1</v>
      </c>
      <c r="P238" s="473">
        <f>SUMIF('Diags Raw Data'!$A$6:$A$3761,"*"&amp;$A238&amp;"*",'Diags Raw Data'!$Z$6:$Z$3761)</f>
        <v>0</v>
      </c>
      <c r="Q238" s="474">
        <f>SUM(SUMIF('Diags Raw Data'!$A$6:$A$3761,"*"&amp;$A238&amp;"*",'Diags Raw Data'!$AA$6:$AA$3761),SUMIF('Diags Raw Data'!$A$6:$A$3761,"*"&amp;$A238&amp;"*",'Diags Raw Data'!$AB$6:$AB$3761))</f>
        <v>0</v>
      </c>
      <c r="R238" s="475">
        <f t="shared" ref="R238:R258" si="44">IF((J238=0),0,P238/J238)</f>
        <v>0</v>
      </c>
      <c r="S238" s="475">
        <f t="shared" ref="S238:S258" si="45">IF((P238=0),0,Q238/P238)</f>
        <v>0</v>
      </c>
      <c r="T238" s="476">
        <f t="shared" ref="T238:T258" si="46">R238*S238</f>
        <v>0</v>
      </c>
      <c r="U238" s="425" t="str">
        <f>VLOOKUP(A238,'Diags Raw Data'!$A$6:$AH$3761,33,FALSE)</f>
        <v>WK6</v>
      </c>
      <c r="V238" s="181"/>
    </row>
    <row r="239" spans="1:22" ht="30.75" thickBot="1" x14ac:dyDescent="0.3">
      <c r="A239" s="530">
        <v>12.475</v>
      </c>
      <c r="B239" s="427" t="str">
        <f>VLOOKUP(A239,'Feature Raw Data'!$A$3:$B$3922,2,FALSE)</f>
        <v>IO traffic can potentially block DRAM traffic</v>
      </c>
      <c r="C239" s="428" t="str">
        <f>VLOOKUP(A239,'Feature Raw Data'!$A$3:$C$3922,3,FALSE)</f>
        <v>P1</v>
      </c>
      <c r="D239" s="429" t="str" cm="1">
        <f t="array" ref="D239">_xlfn.TEXTJOIN("",TRUE,IF(ISNUMBER(SEARCH($A239,'Diags Raw Data'!$A$6:$A$3761)),CONCATENATE('Diags Raw Data'!$H$6:$H$3761,", "),""))</f>
        <v/>
      </c>
      <c r="E239" s="340" t="e">
        <f>VLOOKUP(A239,'Diags Raw Data'!$A$6:$D$3761,4,FALSE)</f>
        <v>#N/A</v>
      </c>
      <c r="F239" s="340" t="str">
        <f>VLOOKUP(A239,'Feature Raw Data'!$A$3:$E$3922,5,FALSE)</f>
        <v>New</v>
      </c>
      <c r="G239" s="340" t="str">
        <f t="shared" si="41"/>
        <v>Yes</v>
      </c>
      <c r="H239" s="340" t="str">
        <f t="shared" si="42"/>
        <v>Yes</v>
      </c>
      <c r="I239" s="428">
        <f>SUMIF('Diags Raw Data'!$A$6:$A$3761,"*"&amp;$A239&amp;"*",'Diags Raw Data'!$K$6:$K$3761)</f>
        <v>0</v>
      </c>
      <c r="J239" s="430">
        <f>SUMIF('Diags Raw Data'!$A$6:$A$3761,"*"&amp;$A239&amp;"*",'Diags Raw Data'!$L$6:$L$3761)</f>
        <v>0</v>
      </c>
      <c r="K239" s="468" cm="1">
        <f t="array" ref="K239">IF(D239="",0, SUMPRODUCT(--(ISNUMBER(SEARCH($A239,'Diags Raw Data'!$A$6:$A$3761))),'Diags Raw Data'!$L$6:$L$3761,'Diags Raw Data'!$N$6:$N$3761)/J239)</f>
        <v>0</v>
      </c>
      <c r="L239" s="469" cm="1">
        <f t="array" ref="L239">IF(D239="",0, SUMPRODUCT(--(ISNUMBER(SEARCH($A239,'Diags Raw Data'!$A$6:$A$3761))),'Diags Raw Data'!$L$6:$L$3761,'Diags Raw Data'!$P$6:$P$3761)/J239)</f>
        <v>0</v>
      </c>
      <c r="M239" s="470" cm="1">
        <f t="array" ref="M239">SUMPRODUCT(--(ISNUMBER(SEARCH($A239,'Diags Raw Data'!$A$6:$A$3761))),--('Diags Raw Data'!$Q$6:$Q$3761&lt;&gt;"N/A"),'Diags Raw Data'!$R$6:$R$3761)</f>
        <v>0</v>
      </c>
      <c r="N239" s="471" cm="1">
        <f t="array" ref="N239">SUMPRODUCT(--(ISNUMBER(SEARCH($A239,'Diags Raw Data'!$A$6:$A$3761))),--('Diags Raw Data'!$Q$6:$Q$3761&lt;&gt;"N/A"),'Diags Raw Data'!$T$6:$T$3761)+SUMPRODUCT(--(ISNUMBER(SEARCH($A239,'Diags Raw Data'!$A$6:$A$3761))),--('Diags Raw Data'!$Q$6:$Q$3761&lt;&gt;"N/A"),'Diags Raw Data'!$U$6:$U$3761)</f>
        <v>0</v>
      </c>
      <c r="O239" s="472">
        <f t="shared" si="43"/>
        <v>0</v>
      </c>
      <c r="P239" s="473">
        <f>SUMIF('Diags Raw Data'!$A$6:$A$3761,"*"&amp;$A239&amp;"*",'Diags Raw Data'!$Z$6:$Z$3761)</f>
        <v>0</v>
      </c>
      <c r="Q239" s="474">
        <f>SUM(SUMIF('Diags Raw Data'!$A$6:$A$3761,"*"&amp;$A239&amp;"*",'Diags Raw Data'!$AA$6:$AA$3761),SUMIF('Diags Raw Data'!$A$6:$A$3761,"*"&amp;$A239&amp;"*",'Diags Raw Data'!$AB$6:$AB$3761))</f>
        <v>0</v>
      </c>
      <c r="R239" s="475">
        <f t="shared" si="44"/>
        <v>0</v>
      </c>
      <c r="S239" s="475">
        <f t="shared" si="45"/>
        <v>0</v>
      </c>
      <c r="T239" s="476">
        <f t="shared" si="46"/>
        <v>0</v>
      </c>
      <c r="U239" s="425" t="e">
        <f>VLOOKUP(A239,'Diags Raw Data'!$A$6:$AH$3761,33,FALSE)</f>
        <v>#N/A</v>
      </c>
      <c r="V239" s="181"/>
    </row>
    <row r="240" spans="1:22" ht="30.75" thickBot="1" x14ac:dyDescent="0.3">
      <c r="A240" s="530">
        <v>12.476000000000001</v>
      </c>
      <c r="B240" s="427" t="str">
        <f>VLOOKUP(A240,'Feature Raw Data'!$A$3:$B$3922,2,FALSE)</f>
        <v>Descope 8xaa for VRS coarse rates (1x2, 2x2, 2x1)</v>
      </c>
      <c r="C240" s="428" t="str">
        <f>VLOOKUP(A240,'Feature Raw Data'!$A$3:$C$3922,3,FALSE)</f>
        <v>P3</v>
      </c>
      <c r="D240" s="429" t="str" cm="1">
        <f t="array" ref="D240">_xlfn.TEXTJOIN("",TRUE,IF(ISNUMBER(SEARCH($A240,'Diags Raw Data'!$A$6:$A$3761)),CONCATENATE('Diags Raw Data'!$H$6:$H$3761,", "),""))</f>
        <v/>
      </c>
      <c r="E240" s="340" t="e">
        <f>VLOOKUP(A240,'Diags Raw Data'!$A$6:$D$3761,4,FALSE)</f>
        <v>#N/A</v>
      </c>
      <c r="F240" s="340" t="str">
        <f>VLOOKUP(A240,'Feature Raw Data'!$A$3:$E$3922,5,FALSE)</f>
        <v>New</v>
      </c>
      <c r="G240" s="340" t="str">
        <f t="shared" si="41"/>
        <v>Yes</v>
      </c>
      <c r="H240" s="340" t="str">
        <f t="shared" si="42"/>
        <v>Yes</v>
      </c>
      <c r="I240" s="428">
        <f>SUMIF('Diags Raw Data'!$A$6:$A$3761,"*"&amp;$A240&amp;"*",'Diags Raw Data'!$K$6:$K$3761)</f>
        <v>0</v>
      </c>
      <c r="J240" s="430">
        <f>SUMIF('Diags Raw Data'!$A$6:$A$3761,"*"&amp;$A240&amp;"*",'Diags Raw Data'!$L$6:$L$3761)</f>
        <v>0</v>
      </c>
      <c r="K240" s="468" cm="1">
        <f t="array" ref="K240">IF(D240="",0, SUMPRODUCT(--(ISNUMBER(SEARCH($A240,'Diags Raw Data'!$A$6:$A$3761))),'Diags Raw Data'!$L$6:$L$3761,'Diags Raw Data'!$N$6:$N$3761)/J240)</f>
        <v>0</v>
      </c>
      <c r="L240" s="469" cm="1">
        <f t="array" ref="L240">IF(D240="",0, SUMPRODUCT(--(ISNUMBER(SEARCH($A240,'Diags Raw Data'!$A$6:$A$3761))),'Diags Raw Data'!$L$6:$L$3761,'Diags Raw Data'!$P$6:$P$3761)/J240)</f>
        <v>0</v>
      </c>
      <c r="M240" s="470" cm="1">
        <f t="array" ref="M240">SUMPRODUCT(--(ISNUMBER(SEARCH($A240,'Diags Raw Data'!$A$6:$A$3761))),--('Diags Raw Data'!$Q$6:$Q$3761&lt;&gt;"N/A"),'Diags Raw Data'!$R$6:$R$3761)</f>
        <v>0</v>
      </c>
      <c r="N240" s="471" cm="1">
        <f t="array" ref="N240">SUMPRODUCT(--(ISNUMBER(SEARCH($A240,'Diags Raw Data'!$A$6:$A$3761))),--('Diags Raw Data'!$Q$6:$Q$3761&lt;&gt;"N/A"),'Diags Raw Data'!$T$6:$T$3761)+SUMPRODUCT(--(ISNUMBER(SEARCH($A240,'Diags Raw Data'!$A$6:$A$3761))),--('Diags Raw Data'!$Q$6:$Q$3761&lt;&gt;"N/A"),'Diags Raw Data'!$U$6:$U$3761)</f>
        <v>0</v>
      </c>
      <c r="O240" s="472">
        <f t="shared" si="43"/>
        <v>0</v>
      </c>
      <c r="P240" s="473">
        <f>SUMIF('Diags Raw Data'!$A$6:$A$3761,"*"&amp;$A240&amp;"*",'Diags Raw Data'!$Z$6:$Z$3761)</f>
        <v>0</v>
      </c>
      <c r="Q240" s="474">
        <f>SUM(SUMIF('Diags Raw Data'!$A$6:$A$3761,"*"&amp;$A240&amp;"*",'Diags Raw Data'!$AA$6:$AA$3761),SUMIF('Diags Raw Data'!$A$6:$A$3761,"*"&amp;$A240&amp;"*",'Diags Raw Data'!$AB$6:$AB$3761))</f>
        <v>0</v>
      </c>
      <c r="R240" s="475">
        <f t="shared" si="44"/>
        <v>0</v>
      </c>
      <c r="S240" s="475">
        <f t="shared" si="45"/>
        <v>0</v>
      </c>
      <c r="T240" s="476">
        <f t="shared" si="46"/>
        <v>0</v>
      </c>
      <c r="U240" s="425" t="e">
        <f>VLOOKUP(A240,'Diags Raw Data'!$A$6:$AH$3761,33,FALSE)</f>
        <v>#N/A</v>
      </c>
      <c r="V240" s="181"/>
    </row>
    <row r="241" spans="1:22" ht="45.75" thickBot="1" x14ac:dyDescent="0.3">
      <c r="A241" s="530">
        <v>12.477</v>
      </c>
      <c r="B241" s="427" t="str">
        <f>VLOOKUP(A241,'Feature Raw Data'!$A$3:$B$3922,2,FALSE)</f>
        <v>Hook up AVFS debug bus to debug bus chains in 4 gc_2gl2c_1_tiles</v>
      </c>
      <c r="C241" s="428" t="str">
        <f>VLOOKUP(A241,'Feature Raw Data'!$A$3:$C$3922,3,FALSE)</f>
        <v>P3</v>
      </c>
      <c r="D241" s="429" t="str" cm="1">
        <f t="array" ref="D241">_xlfn.TEXTJOIN("",TRUE,IF(ISNUMBER(SEARCH($A241,'Diags Raw Data'!$A$6:$A$3761)),CONCATENATE('Diags Raw Data'!$H$6:$H$3761,", "),""))</f>
        <v/>
      </c>
      <c r="E241" s="340" t="e">
        <f>VLOOKUP(A241,'Diags Raw Data'!$A$6:$D$3761,4,FALSE)</f>
        <v>#N/A</v>
      </c>
      <c r="F241" s="340" t="str">
        <f>VLOOKUP(A241,'Feature Raw Data'!$A$3:$E$3922,5,FALSE)</f>
        <v>New</v>
      </c>
      <c r="G241" s="340" t="str">
        <f t="shared" si="41"/>
        <v>Yes</v>
      </c>
      <c r="H241" s="340" t="str">
        <f t="shared" si="42"/>
        <v>Yes</v>
      </c>
      <c r="I241" s="428">
        <f>SUMIF('Diags Raw Data'!$A$6:$A$3761,"*"&amp;$A241&amp;"*",'Diags Raw Data'!$K$6:$K$3761)</f>
        <v>0</v>
      </c>
      <c r="J241" s="430">
        <f>SUMIF('Diags Raw Data'!$A$6:$A$3761,"*"&amp;$A241&amp;"*",'Diags Raw Data'!$L$6:$L$3761)</f>
        <v>0</v>
      </c>
      <c r="K241" s="468" cm="1">
        <f t="array" ref="K241">IF(D241="",0, SUMPRODUCT(--(ISNUMBER(SEARCH($A241,'Diags Raw Data'!$A$6:$A$3761))),'Diags Raw Data'!$L$6:$L$3761,'Diags Raw Data'!$N$6:$N$3761)/J241)</f>
        <v>0</v>
      </c>
      <c r="L241" s="469" cm="1">
        <f t="array" ref="L241">IF(D241="",0, SUMPRODUCT(--(ISNUMBER(SEARCH($A241,'Diags Raw Data'!$A$6:$A$3761))),'Diags Raw Data'!$L$6:$L$3761,'Diags Raw Data'!$P$6:$P$3761)/J241)</f>
        <v>0</v>
      </c>
      <c r="M241" s="470" cm="1">
        <f t="array" ref="M241">SUMPRODUCT(--(ISNUMBER(SEARCH($A241,'Diags Raw Data'!$A$6:$A$3761))),--('Diags Raw Data'!$Q$6:$Q$3761&lt;&gt;"N/A"),'Diags Raw Data'!$R$6:$R$3761)</f>
        <v>0</v>
      </c>
      <c r="N241" s="471" cm="1">
        <f t="array" ref="N241">SUMPRODUCT(--(ISNUMBER(SEARCH($A241,'Diags Raw Data'!$A$6:$A$3761))),--('Diags Raw Data'!$Q$6:$Q$3761&lt;&gt;"N/A"),'Diags Raw Data'!$T$6:$T$3761)+SUMPRODUCT(--(ISNUMBER(SEARCH($A241,'Diags Raw Data'!$A$6:$A$3761))),--('Diags Raw Data'!$Q$6:$Q$3761&lt;&gt;"N/A"),'Diags Raw Data'!$U$6:$U$3761)</f>
        <v>0</v>
      </c>
      <c r="O241" s="472">
        <f t="shared" si="43"/>
        <v>0</v>
      </c>
      <c r="P241" s="473">
        <f>SUMIF('Diags Raw Data'!$A$6:$A$3761,"*"&amp;$A241&amp;"*",'Diags Raw Data'!$Z$6:$Z$3761)</f>
        <v>0</v>
      </c>
      <c r="Q241" s="474">
        <f>SUM(SUMIF('Diags Raw Data'!$A$6:$A$3761,"*"&amp;$A241&amp;"*",'Diags Raw Data'!$AA$6:$AA$3761),SUMIF('Diags Raw Data'!$A$6:$A$3761,"*"&amp;$A241&amp;"*",'Diags Raw Data'!$AB$6:$AB$3761))</f>
        <v>0</v>
      </c>
      <c r="R241" s="475">
        <f t="shared" si="44"/>
        <v>0</v>
      </c>
      <c r="S241" s="475">
        <f t="shared" si="45"/>
        <v>0</v>
      </c>
      <c r="T241" s="476">
        <f t="shared" si="46"/>
        <v>0</v>
      </c>
      <c r="U241" s="425" t="e">
        <f>VLOOKUP(A241,'Diags Raw Data'!$A$6:$AH$3761,33,FALSE)</f>
        <v>#N/A</v>
      </c>
      <c r="V241" s="181"/>
    </row>
    <row r="242" spans="1:22" ht="75.75" thickBot="1" x14ac:dyDescent="0.3">
      <c r="A242" s="530">
        <v>12.478999999999999</v>
      </c>
      <c r="B242" s="427" t="str">
        <f>VLOOKUP(A242,'Feature Raw Data'!$A$3:$B$3922,2,FALSE)</f>
        <v>Add Ordered-Add memory atomic for faster SW Streamout (global_atomic_ordered_add_b64)</v>
      </c>
      <c r="C242" s="428" t="str">
        <f>VLOOKUP(A242,'Feature Raw Data'!$A$3:$C$3922,3,FALSE)</f>
        <v>P2</v>
      </c>
      <c r="D242" s="429" t="str" cm="1">
        <f t="array" ref="D242">_xlfn.TEXTJOIN("",TRUE,IF(ISNUMBER(SEARCH($A242,'Diags Raw Data'!$A$6:$A$3761)),CONCATENATE('Diags Raw Data'!$H$6:$H$3761,", "),""))</f>
        <v xml:space="preserve">placeholder_b.1, </v>
      </c>
      <c r="E242" s="340" t="str">
        <f>VLOOKUP(A242,'Diags Raw Data'!$A$6:$D$3761,4,FALSE)</f>
        <v>CMM</v>
      </c>
      <c r="F242" s="340" t="str">
        <f>VLOOKUP(A242,'Feature Raw Data'!$A$3:$E$3922,5,FALSE)</f>
        <v>New</v>
      </c>
      <c r="G242" s="340" t="str">
        <f t="shared" si="41"/>
        <v>Yes</v>
      </c>
      <c r="H242" s="340" t="str">
        <f t="shared" si="42"/>
        <v>Yes</v>
      </c>
      <c r="I242" s="428">
        <f>SUMIF('Diags Raw Data'!$A$6:$A$3761,"*"&amp;$A242&amp;"*",'Diags Raw Data'!$K$6:$K$3761)</f>
        <v>0</v>
      </c>
      <c r="J242" s="430">
        <f>SUMIF('Diags Raw Data'!$A$6:$A$3761,"*"&amp;$A242&amp;"*",'Diags Raw Data'!$L$6:$L$3761)</f>
        <v>0</v>
      </c>
      <c r="K242" s="468" t="e" cm="1">
        <f t="array" ref="K242">IF(D242="",0, SUMPRODUCT(--(ISNUMBER(SEARCH($A242,'Diags Raw Data'!$A$6:$A$3761))),'Diags Raw Data'!$L$6:$L$3761,'Diags Raw Data'!$N$6:$N$3761)/J242)</f>
        <v>#DIV/0!</v>
      </c>
      <c r="L242" s="469" t="e" cm="1">
        <f t="array" ref="L242">IF(D242="",0, SUMPRODUCT(--(ISNUMBER(SEARCH($A242,'Diags Raw Data'!$A$6:$A$3761))),'Diags Raw Data'!$L$6:$L$3761,'Diags Raw Data'!$P$6:$P$3761)/J242)</f>
        <v>#DIV/0!</v>
      </c>
      <c r="M242" s="470" cm="1">
        <f t="array" ref="M242">SUMPRODUCT(--(ISNUMBER(SEARCH($A242,'Diags Raw Data'!$A$6:$A$3761))),--('Diags Raw Data'!$Q$6:$Q$3761&lt;&gt;"N/A"),'Diags Raw Data'!$R$6:$R$3761)</f>
        <v>1</v>
      </c>
      <c r="N242" s="471" cm="1">
        <f t="array" ref="N242">SUMPRODUCT(--(ISNUMBER(SEARCH($A242,'Diags Raw Data'!$A$6:$A$3761))),--('Diags Raw Data'!$Q$6:$Q$3761&lt;&gt;"N/A"),'Diags Raw Data'!$T$6:$T$3761)+SUMPRODUCT(--(ISNUMBER(SEARCH($A242,'Diags Raw Data'!$A$6:$A$3761))),--('Diags Raw Data'!$Q$6:$Q$3761&lt;&gt;"N/A"),'Diags Raw Data'!$U$6:$U$3761)</f>
        <v>0</v>
      </c>
      <c r="O242" s="472">
        <f t="shared" si="43"/>
        <v>0</v>
      </c>
      <c r="P242" s="473">
        <f>SUMIF('Diags Raw Data'!$A$6:$A$3761,"*"&amp;$A242&amp;"*",'Diags Raw Data'!$Z$6:$Z$3761)</f>
        <v>0</v>
      </c>
      <c r="Q242" s="474">
        <f>SUM(SUMIF('Diags Raw Data'!$A$6:$A$3761,"*"&amp;$A242&amp;"*",'Diags Raw Data'!$AA$6:$AA$3761),SUMIF('Diags Raw Data'!$A$6:$A$3761,"*"&amp;$A242&amp;"*",'Diags Raw Data'!$AB$6:$AB$3761))</f>
        <v>0</v>
      </c>
      <c r="R242" s="475">
        <f t="shared" si="44"/>
        <v>0</v>
      </c>
      <c r="S242" s="475">
        <f t="shared" si="45"/>
        <v>0</v>
      </c>
      <c r="T242" s="476">
        <f t="shared" si="46"/>
        <v>0</v>
      </c>
      <c r="U242" s="425" t="str">
        <f>VLOOKUP(A242,'Diags Raw Data'!$A$6:$AH$3761,33,FALSE)</f>
        <v>WK8</v>
      </c>
      <c r="V242" s="181"/>
    </row>
    <row r="243" spans="1:22" ht="45.75" thickBot="1" x14ac:dyDescent="0.3">
      <c r="A243" s="530">
        <v>12.48</v>
      </c>
      <c r="B243" s="427" t="str">
        <f>VLOOKUP(A243,'Feature Raw Data'!$A$3:$B$3922,2,FALSE)</f>
        <v>Move GFX PSMs to faster clock for faster DIDT controller response</v>
      </c>
      <c r="C243" s="428" t="str">
        <f>VLOOKUP(A243,'Feature Raw Data'!$A$3:$C$3922,3,FALSE)</f>
        <v>P3</v>
      </c>
      <c r="D243" s="429" t="str" cm="1">
        <f t="array" ref="D243">_xlfn.TEXTJOIN("",TRUE,IF(ISNUMBER(SEARCH($A243,'Diags Raw Data'!$A$6:$A$3761)),CONCATENATE('Diags Raw Data'!$H$6:$H$3761,", "),""))</f>
        <v xml:space="preserve">txi83, STD1.6, </v>
      </c>
      <c r="E243" s="340" t="e">
        <f>VLOOKUP(A243,'Diags Raw Data'!$A$6:$D$3761,4,FALSE)</f>
        <v>#N/A</v>
      </c>
      <c r="F243" s="340" t="str">
        <f>VLOOKUP(A243,'Feature Raw Data'!$A$3:$E$3922,5,FALSE)</f>
        <v>New</v>
      </c>
      <c r="G243" s="340" t="str">
        <f t="shared" si="41"/>
        <v>Yes</v>
      </c>
      <c r="H243" s="340" t="str">
        <f t="shared" si="42"/>
        <v>Yes</v>
      </c>
      <c r="I243" s="428">
        <f>SUMIF('Diags Raw Data'!$A$6:$A$3761,"*"&amp;$A243&amp;"*",'Diags Raw Data'!$K$6:$K$3761)</f>
        <v>0</v>
      </c>
      <c r="J243" s="430">
        <f>SUMIF('Diags Raw Data'!$A$6:$A$3761,"*"&amp;$A243&amp;"*",'Diags Raw Data'!$L$6:$L$3761)</f>
        <v>0</v>
      </c>
      <c r="K243" s="468" t="e" cm="1">
        <f t="array" ref="K243">IF(D243="",0, SUMPRODUCT(--(ISNUMBER(SEARCH($A243,'Diags Raw Data'!$A$6:$A$3761))),'Diags Raw Data'!$L$6:$L$3761,'Diags Raw Data'!$N$6:$N$3761)/J243)</f>
        <v>#DIV/0!</v>
      </c>
      <c r="L243" s="469" t="e" cm="1">
        <f t="array" ref="L243">IF(D243="",0, SUMPRODUCT(--(ISNUMBER(SEARCH($A243,'Diags Raw Data'!$A$6:$A$3761))),'Diags Raw Data'!$L$6:$L$3761,'Diags Raw Data'!$P$6:$P$3761)/J243)</f>
        <v>#DIV/0!</v>
      </c>
      <c r="M243" s="470" cm="1">
        <f t="array" ref="M243">SUMPRODUCT(--(ISNUMBER(SEARCH($A243,'Diags Raw Data'!$A$6:$A$3761))),--('Diags Raw Data'!$Q$6:$Q$3761&lt;&gt;"N/A"),'Diags Raw Data'!$R$6:$R$3761)</f>
        <v>2</v>
      </c>
      <c r="N243" s="471" cm="1">
        <f t="array" ref="N243">SUMPRODUCT(--(ISNUMBER(SEARCH($A243,'Diags Raw Data'!$A$6:$A$3761))),--('Diags Raw Data'!$Q$6:$Q$3761&lt;&gt;"N/A"),'Diags Raw Data'!$T$6:$T$3761)+SUMPRODUCT(--(ISNUMBER(SEARCH($A243,'Diags Raw Data'!$A$6:$A$3761))),--('Diags Raw Data'!$Q$6:$Q$3761&lt;&gt;"N/A"),'Diags Raw Data'!$U$6:$U$3761)</f>
        <v>0</v>
      </c>
      <c r="O243" s="472">
        <f t="shared" si="43"/>
        <v>0</v>
      </c>
      <c r="P243" s="473">
        <f>SUMIF('Diags Raw Data'!$A$6:$A$3761,"*"&amp;$A243&amp;"*",'Diags Raw Data'!$Z$6:$Z$3761)</f>
        <v>0</v>
      </c>
      <c r="Q243" s="474">
        <f>SUM(SUMIF('Diags Raw Data'!$A$6:$A$3761,"*"&amp;$A243&amp;"*",'Diags Raw Data'!$AA$6:$AA$3761),SUMIF('Diags Raw Data'!$A$6:$A$3761,"*"&amp;$A243&amp;"*",'Diags Raw Data'!$AB$6:$AB$3761))</f>
        <v>0</v>
      </c>
      <c r="R243" s="475">
        <f t="shared" si="44"/>
        <v>0</v>
      </c>
      <c r="S243" s="475">
        <f t="shared" si="45"/>
        <v>0</v>
      </c>
      <c r="T243" s="476">
        <f t="shared" si="46"/>
        <v>0</v>
      </c>
      <c r="U243" s="425" t="e">
        <f>VLOOKUP(A243,'Diags Raw Data'!$A$6:$AH$3761,33,FALSE)</f>
        <v>#N/A</v>
      </c>
      <c r="V243" s="181"/>
    </row>
    <row r="244" spans="1:22" ht="45.75" thickBot="1" x14ac:dyDescent="0.3">
      <c r="A244" s="530">
        <v>12.483000000000001</v>
      </c>
      <c r="B244" s="427" t="str">
        <f>VLOOKUP(A244,'Feature Raw Data'!$A$3:$B$3922,2,FALSE)</f>
        <v>Processor controllable performance counters for CP Bottleneck profiling</v>
      </c>
      <c r="C244" s="428" t="str">
        <f>VLOOKUP(A244,'Feature Raw Data'!$A$3:$C$3922,3,FALSE)</f>
        <v>P3</v>
      </c>
      <c r="D244" s="429" t="str" cm="1">
        <f t="array" ref="D244">_xlfn.TEXTJOIN("",TRUE,IF(ISNUMBER(SEARCH($A244,'Diags Raw Data'!$A$6:$A$3761)),CONCATENATE('Diags Raw Data'!$H$6:$H$3761,", "),""))</f>
        <v/>
      </c>
      <c r="E244" s="340" t="e">
        <f>VLOOKUP(A244,'Diags Raw Data'!$A$6:$D$3761,4,FALSE)</f>
        <v>#N/A</v>
      </c>
      <c r="F244" s="340" t="str">
        <f>VLOOKUP(A244,'Feature Raw Data'!$A$3:$E$3922,5,FALSE)</f>
        <v>New</v>
      </c>
      <c r="G244" s="340" t="str">
        <f t="shared" si="41"/>
        <v>Yes</v>
      </c>
      <c r="H244" s="340" t="str">
        <f t="shared" si="42"/>
        <v>Yes</v>
      </c>
      <c r="I244" s="428">
        <f>SUMIF('Diags Raw Data'!$A$6:$A$3761,"*"&amp;$A244&amp;"*",'Diags Raw Data'!$K$6:$K$3761)</f>
        <v>0</v>
      </c>
      <c r="J244" s="430">
        <f>SUMIF('Diags Raw Data'!$A$6:$A$3761,"*"&amp;$A244&amp;"*",'Diags Raw Data'!$L$6:$L$3761)</f>
        <v>0</v>
      </c>
      <c r="K244" s="468" cm="1">
        <f t="array" ref="K244">IF(D244="",0, SUMPRODUCT(--(ISNUMBER(SEARCH($A244,'Diags Raw Data'!$A$6:$A$3761))),'Diags Raw Data'!$L$6:$L$3761,'Diags Raw Data'!$N$6:$N$3761)/J244)</f>
        <v>0</v>
      </c>
      <c r="L244" s="469" cm="1">
        <f t="array" ref="L244">IF(D244="",0, SUMPRODUCT(--(ISNUMBER(SEARCH($A244,'Diags Raw Data'!$A$6:$A$3761))),'Diags Raw Data'!$L$6:$L$3761,'Diags Raw Data'!$P$6:$P$3761)/J244)</f>
        <v>0</v>
      </c>
      <c r="M244" s="470" cm="1">
        <f t="array" ref="M244">SUMPRODUCT(--(ISNUMBER(SEARCH($A244,'Diags Raw Data'!$A$6:$A$3761))),--('Diags Raw Data'!$Q$6:$Q$3761&lt;&gt;"N/A"),'Diags Raw Data'!$R$6:$R$3761)</f>
        <v>0</v>
      </c>
      <c r="N244" s="471" cm="1">
        <f t="array" ref="N244">SUMPRODUCT(--(ISNUMBER(SEARCH($A244,'Diags Raw Data'!$A$6:$A$3761))),--('Diags Raw Data'!$Q$6:$Q$3761&lt;&gt;"N/A"),'Diags Raw Data'!$T$6:$T$3761)+SUMPRODUCT(--(ISNUMBER(SEARCH($A244,'Diags Raw Data'!$A$6:$A$3761))),--('Diags Raw Data'!$Q$6:$Q$3761&lt;&gt;"N/A"),'Diags Raw Data'!$U$6:$U$3761)</f>
        <v>0</v>
      </c>
      <c r="O244" s="472">
        <f t="shared" si="43"/>
        <v>0</v>
      </c>
      <c r="P244" s="473">
        <f>SUMIF('Diags Raw Data'!$A$6:$A$3761,"*"&amp;$A244&amp;"*",'Diags Raw Data'!$Z$6:$Z$3761)</f>
        <v>0</v>
      </c>
      <c r="Q244" s="474">
        <f>SUM(SUMIF('Diags Raw Data'!$A$6:$A$3761,"*"&amp;$A244&amp;"*",'Diags Raw Data'!$AA$6:$AA$3761),SUMIF('Diags Raw Data'!$A$6:$A$3761,"*"&amp;$A244&amp;"*",'Diags Raw Data'!$AB$6:$AB$3761))</f>
        <v>0</v>
      </c>
      <c r="R244" s="475">
        <f t="shared" si="44"/>
        <v>0</v>
      </c>
      <c r="S244" s="475">
        <f t="shared" si="45"/>
        <v>0</v>
      </c>
      <c r="T244" s="476">
        <f t="shared" si="46"/>
        <v>0</v>
      </c>
      <c r="U244" s="425" t="e">
        <f>VLOOKUP(A244,'Diags Raw Data'!$A$6:$AH$3761,33,FALSE)</f>
        <v>#N/A</v>
      </c>
      <c r="V244" s="181"/>
    </row>
    <row r="245" spans="1:22" ht="60.75" thickBot="1" x14ac:dyDescent="0.3">
      <c r="A245" s="530">
        <v>12.484</v>
      </c>
      <c r="B245" s="427" t="str">
        <f>VLOOKUP(A245,'Feature Raw Data'!$A$3:$B$3922,2,FALSE)</f>
        <v>decoding of op ATOMIC_UMAX_8_NO_RTN from EA to SDP is not expected</v>
      </c>
      <c r="C245" s="428" t="str">
        <f>VLOOKUP(A245,'Feature Raw Data'!$A$3:$C$3922,3,FALSE)</f>
        <v>P1</v>
      </c>
      <c r="D245" s="429" t="str" cm="1">
        <f t="array" ref="D245">_xlfn.TEXTJOIN("",TRUE,IF(ISNUMBER(SEARCH($A245,'Diags Raw Data'!$A$6:$A$3761)),CONCATENATE('Diags Raw Data'!$H$6:$H$3761,", "),""))</f>
        <v xml:space="preserve">txi83, </v>
      </c>
      <c r="E245" s="340" t="str">
        <f>VLOOKUP(A245,'Diags Raw Data'!$A$6:$D$3761,4,FALSE)</f>
        <v>CMM</v>
      </c>
      <c r="F245" s="340" t="str">
        <f>VLOOKUP(A245,'Feature Raw Data'!$A$3:$E$3922,5,FALSE)</f>
        <v>New</v>
      </c>
      <c r="G245" s="340" t="str">
        <f t="shared" si="41"/>
        <v>Yes</v>
      </c>
      <c r="H245" s="340" t="str">
        <f t="shared" si="42"/>
        <v>Yes</v>
      </c>
      <c r="I245" s="428">
        <f>SUMIF('Diags Raw Data'!$A$6:$A$3761,"*"&amp;$A245&amp;"*",'Diags Raw Data'!$K$6:$K$3761)</f>
        <v>0</v>
      </c>
      <c r="J245" s="430">
        <f>SUMIF('Diags Raw Data'!$A$6:$A$3761,"*"&amp;$A245&amp;"*",'Diags Raw Data'!$L$6:$L$3761)</f>
        <v>0</v>
      </c>
      <c r="K245" s="468" t="e" cm="1">
        <f t="array" ref="K245">IF(D245="",0, SUMPRODUCT(--(ISNUMBER(SEARCH($A245,'Diags Raw Data'!$A$6:$A$3761))),'Diags Raw Data'!$L$6:$L$3761,'Diags Raw Data'!$N$6:$N$3761)/J245)</f>
        <v>#DIV/0!</v>
      </c>
      <c r="L245" s="469" t="e" cm="1">
        <f t="array" ref="L245">IF(D245="",0, SUMPRODUCT(--(ISNUMBER(SEARCH($A245,'Diags Raw Data'!$A$6:$A$3761))),'Diags Raw Data'!$L$6:$L$3761,'Diags Raw Data'!$P$6:$P$3761)/J245)</f>
        <v>#DIV/0!</v>
      </c>
      <c r="M245" s="470" cm="1">
        <f t="array" ref="M245">SUMPRODUCT(--(ISNUMBER(SEARCH($A245,'Diags Raw Data'!$A$6:$A$3761))),--('Diags Raw Data'!$Q$6:$Q$3761&lt;&gt;"N/A"),'Diags Raw Data'!$R$6:$R$3761)</f>
        <v>1</v>
      </c>
      <c r="N245" s="471" cm="1">
        <f t="array" ref="N245">SUMPRODUCT(--(ISNUMBER(SEARCH($A245,'Diags Raw Data'!$A$6:$A$3761))),--('Diags Raw Data'!$Q$6:$Q$3761&lt;&gt;"N/A"),'Diags Raw Data'!$T$6:$T$3761)+SUMPRODUCT(--(ISNUMBER(SEARCH($A245,'Diags Raw Data'!$A$6:$A$3761))),--('Diags Raw Data'!$Q$6:$Q$3761&lt;&gt;"N/A"),'Diags Raw Data'!$U$6:$U$3761)</f>
        <v>0</v>
      </c>
      <c r="O245" s="472">
        <f t="shared" si="43"/>
        <v>0</v>
      </c>
      <c r="P245" s="473">
        <f>SUMIF('Diags Raw Data'!$A$6:$A$3761,"*"&amp;$A245&amp;"*",'Diags Raw Data'!$Z$6:$Z$3761)</f>
        <v>0</v>
      </c>
      <c r="Q245" s="474">
        <f>SUM(SUMIF('Diags Raw Data'!$A$6:$A$3761,"*"&amp;$A245&amp;"*",'Diags Raw Data'!$AA$6:$AA$3761),SUMIF('Diags Raw Data'!$A$6:$A$3761,"*"&amp;$A245&amp;"*",'Diags Raw Data'!$AB$6:$AB$3761))</f>
        <v>0</v>
      </c>
      <c r="R245" s="475">
        <f t="shared" si="44"/>
        <v>0</v>
      </c>
      <c r="S245" s="475">
        <f t="shared" si="45"/>
        <v>0</v>
      </c>
      <c r="T245" s="476">
        <f t="shared" si="46"/>
        <v>0</v>
      </c>
      <c r="U245" s="425" t="str">
        <f>VLOOKUP(A245,'Diags Raw Data'!$A$6:$AH$3761,33,FALSE)</f>
        <v>WK7</v>
      </c>
      <c r="V245" s="181"/>
    </row>
    <row r="246" spans="1:22" ht="30.75" thickBot="1" x14ac:dyDescent="0.3">
      <c r="A246" s="530">
        <v>12.484999999999999</v>
      </c>
      <c r="B246" s="427" t="str">
        <f>VLOOKUP(A246,'Feature Raw Data'!$A$3:$B$3922,2,FALSE)</f>
        <v>Navi4 GFXIMU Interrupt Capability</v>
      </c>
      <c r="C246" s="428" t="str">
        <f>VLOOKUP(A246,'Feature Raw Data'!$A$3:$C$3922,3,FALSE)</f>
        <v>P3</v>
      </c>
      <c r="D246" s="429" t="str" cm="1">
        <f t="array" ref="D246">_xlfn.TEXTJOIN("",TRUE,IF(ISNUMBER(SEARCH($A246,'Diags Raw Data'!$A$6:$A$3761)),CONCATENATE('Diags Raw Data'!$H$6:$H$3761,", "),""))</f>
        <v/>
      </c>
      <c r="E246" s="340" t="e">
        <f>VLOOKUP(A246,'Diags Raw Data'!$A$6:$D$3761,4,FALSE)</f>
        <v>#N/A</v>
      </c>
      <c r="F246" s="340" t="str">
        <f>VLOOKUP(A246,'Feature Raw Data'!$A$3:$E$3922,5,FALSE)</f>
        <v>New</v>
      </c>
      <c r="G246" s="340" t="str">
        <f t="shared" si="41"/>
        <v>Yes</v>
      </c>
      <c r="H246" s="340" t="str">
        <f t="shared" si="42"/>
        <v>Yes</v>
      </c>
      <c r="I246" s="428">
        <f>SUMIF('Diags Raw Data'!$A$6:$A$3761,"*"&amp;$A246&amp;"*",'Diags Raw Data'!$K$6:$K$3761)</f>
        <v>0</v>
      </c>
      <c r="J246" s="430">
        <f>SUMIF('Diags Raw Data'!$A$6:$A$3761,"*"&amp;$A246&amp;"*",'Diags Raw Data'!$L$6:$L$3761)</f>
        <v>0</v>
      </c>
      <c r="K246" s="468" cm="1">
        <f t="array" ref="K246">IF(D246="",0, SUMPRODUCT(--(ISNUMBER(SEARCH($A246,'Diags Raw Data'!$A$6:$A$3761))),'Diags Raw Data'!$L$6:$L$3761,'Diags Raw Data'!$N$6:$N$3761)/J246)</f>
        <v>0</v>
      </c>
      <c r="L246" s="469" cm="1">
        <f t="array" ref="L246">IF(D246="",0, SUMPRODUCT(--(ISNUMBER(SEARCH($A246,'Diags Raw Data'!$A$6:$A$3761))),'Diags Raw Data'!$L$6:$L$3761,'Diags Raw Data'!$P$6:$P$3761)/J246)</f>
        <v>0</v>
      </c>
      <c r="M246" s="470" cm="1">
        <f t="array" ref="M246">SUMPRODUCT(--(ISNUMBER(SEARCH($A246,'Diags Raw Data'!$A$6:$A$3761))),--('Diags Raw Data'!$Q$6:$Q$3761&lt;&gt;"N/A"),'Diags Raw Data'!$R$6:$R$3761)</f>
        <v>0</v>
      </c>
      <c r="N246" s="471" cm="1">
        <f t="array" ref="N246">SUMPRODUCT(--(ISNUMBER(SEARCH($A246,'Diags Raw Data'!$A$6:$A$3761))),--('Diags Raw Data'!$Q$6:$Q$3761&lt;&gt;"N/A"),'Diags Raw Data'!$T$6:$T$3761)+SUMPRODUCT(--(ISNUMBER(SEARCH($A246,'Diags Raw Data'!$A$6:$A$3761))),--('Diags Raw Data'!$Q$6:$Q$3761&lt;&gt;"N/A"),'Diags Raw Data'!$U$6:$U$3761)</f>
        <v>0</v>
      </c>
      <c r="O246" s="472">
        <f t="shared" si="43"/>
        <v>0</v>
      </c>
      <c r="P246" s="473">
        <f>SUMIF('Diags Raw Data'!$A$6:$A$3761,"*"&amp;$A246&amp;"*",'Diags Raw Data'!$Z$6:$Z$3761)</f>
        <v>0</v>
      </c>
      <c r="Q246" s="474">
        <f>SUM(SUMIF('Diags Raw Data'!$A$6:$A$3761,"*"&amp;$A246&amp;"*",'Diags Raw Data'!$AA$6:$AA$3761),SUMIF('Diags Raw Data'!$A$6:$A$3761,"*"&amp;$A246&amp;"*",'Diags Raw Data'!$AB$6:$AB$3761))</f>
        <v>0</v>
      </c>
      <c r="R246" s="475">
        <f t="shared" si="44"/>
        <v>0</v>
      </c>
      <c r="S246" s="475">
        <f t="shared" si="45"/>
        <v>0</v>
      </c>
      <c r="T246" s="476">
        <f t="shared" si="46"/>
        <v>0</v>
      </c>
      <c r="U246" s="425" t="e">
        <f>VLOOKUP(A246,'Diags Raw Data'!$A$6:$AH$3761,33,FALSE)</f>
        <v>#N/A</v>
      </c>
      <c r="V246" s="181"/>
    </row>
    <row r="247" spans="1:22" ht="30.75" thickBot="1" x14ac:dyDescent="0.3">
      <c r="A247" s="530">
        <v>12.486000000000001</v>
      </c>
      <c r="B247" s="427" t="str">
        <f>VLOOKUP(A247,'Feature Raw Data'!$A$3:$B$3922,2,FALSE)</f>
        <v>Allow GFX doorbells through IMU doorbell fence</v>
      </c>
      <c r="C247" s="428" t="str">
        <f>VLOOKUP(A247,'Feature Raw Data'!$A$3:$C$3922,3,FALSE)</f>
        <v>P1</v>
      </c>
      <c r="D247" s="429" t="str" cm="1">
        <f t="array" ref="D247">_xlfn.TEXTJOIN("",TRUE,IF(ISNUMBER(SEARCH($A247,'Diags Raw Data'!$A$6:$A$3761)),CONCATENATE('Diags Raw Data'!$H$6:$H$3761,", "),""))</f>
        <v/>
      </c>
      <c r="E247" s="340" t="e">
        <f>VLOOKUP(A247,'Diags Raw Data'!$A$6:$D$3761,4,FALSE)</f>
        <v>#N/A</v>
      </c>
      <c r="F247" s="340" t="str">
        <f>VLOOKUP(A247,'Feature Raw Data'!$A$3:$E$3922,5,FALSE)</f>
        <v>New</v>
      </c>
      <c r="G247" s="340" t="str">
        <f t="shared" si="41"/>
        <v>Yes</v>
      </c>
      <c r="H247" s="340" t="str">
        <f t="shared" si="42"/>
        <v>Yes</v>
      </c>
      <c r="I247" s="428">
        <f>SUMIF('Diags Raw Data'!$A$6:$A$3761,"*"&amp;$A247&amp;"*",'Diags Raw Data'!$K$6:$K$3761)</f>
        <v>0</v>
      </c>
      <c r="J247" s="430">
        <f>SUMIF('Diags Raw Data'!$A$6:$A$3761,"*"&amp;$A247&amp;"*",'Diags Raw Data'!$L$6:$L$3761)</f>
        <v>0</v>
      </c>
      <c r="K247" s="468" cm="1">
        <f t="array" ref="K247">IF(D247="",0, SUMPRODUCT(--(ISNUMBER(SEARCH($A247,'Diags Raw Data'!$A$6:$A$3761))),'Diags Raw Data'!$L$6:$L$3761,'Diags Raw Data'!$N$6:$N$3761)/J247)</f>
        <v>0</v>
      </c>
      <c r="L247" s="469" cm="1">
        <f t="array" ref="L247">IF(D247="",0, SUMPRODUCT(--(ISNUMBER(SEARCH($A247,'Diags Raw Data'!$A$6:$A$3761))),'Diags Raw Data'!$L$6:$L$3761,'Diags Raw Data'!$P$6:$P$3761)/J247)</f>
        <v>0</v>
      </c>
      <c r="M247" s="470" cm="1">
        <f t="array" ref="M247">SUMPRODUCT(--(ISNUMBER(SEARCH($A247,'Diags Raw Data'!$A$6:$A$3761))),--('Diags Raw Data'!$Q$6:$Q$3761&lt;&gt;"N/A"),'Diags Raw Data'!$R$6:$R$3761)</f>
        <v>0</v>
      </c>
      <c r="N247" s="471" cm="1">
        <f t="array" ref="N247">SUMPRODUCT(--(ISNUMBER(SEARCH($A247,'Diags Raw Data'!$A$6:$A$3761))),--('Diags Raw Data'!$Q$6:$Q$3761&lt;&gt;"N/A"),'Diags Raw Data'!$T$6:$T$3761)+SUMPRODUCT(--(ISNUMBER(SEARCH($A247,'Diags Raw Data'!$A$6:$A$3761))),--('Diags Raw Data'!$Q$6:$Q$3761&lt;&gt;"N/A"),'Diags Raw Data'!$U$6:$U$3761)</f>
        <v>0</v>
      </c>
      <c r="O247" s="472">
        <f t="shared" si="43"/>
        <v>0</v>
      </c>
      <c r="P247" s="473">
        <f>SUMIF('Diags Raw Data'!$A$6:$A$3761,"*"&amp;$A247&amp;"*",'Diags Raw Data'!$Z$6:$Z$3761)</f>
        <v>0</v>
      </c>
      <c r="Q247" s="474">
        <f>SUM(SUMIF('Diags Raw Data'!$A$6:$A$3761,"*"&amp;$A247&amp;"*",'Diags Raw Data'!$AA$6:$AA$3761),SUMIF('Diags Raw Data'!$A$6:$A$3761,"*"&amp;$A247&amp;"*",'Diags Raw Data'!$AB$6:$AB$3761))</f>
        <v>0</v>
      </c>
      <c r="R247" s="475">
        <f t="shared" si="44"/>
        <v>0</v>
      </c>
      <c r="S247" s="475">
        <f t="shared" si="45"/>
        <v>0</v>
      </c>
      <c r="T247" s="476">
        <f t="shared" si="46"/>
        <v>0</v>
      </c>
      <c r="U247" s="425" t="e">
        <f>VLOOKUP(A247,'Diags Raw Data'!$A$6:$AH$3761,33,FALSE)</f>
        <v>#N/A</v>
      </c>
      <c r="V247" s="181"/>
    </row>
    <row r="248" spans="1:22" ht="30.75" thickBot="1" x14ac:dyDescent="0.3">
      <c r="A248" s="530">
        <v>12.487</v>
      </c>
      <c r="B248" s="427" t="str">
        <f>VLOOKUP(A248,'Feature Raw Data'!$A$3:$B$3922,2,FALSE)</f>
        <v>Increase DB Z cache size for performance</v>
      </c>
      <c r="C248" s="428" t="str">
        <f>VLOOKUP(A248,'Feature Raw Data'!$A$3:$C$3922,3,FALSE)</f>
        <v>P3</v>
      </c>
      <c r="D248" s="429" t="str" cm="1">
        <f t="array" ref="D248">_xlfn.TEXTJOIN("",TRUE,IF(ISNUMBER(SEARCH($A248,'Diags Raw Data'!$A$6:$A$3761)),CONCATENATE('Diags Raw Data'!$H$6:$H$3761,", "),""))</f>
        <v/>
      </c>
      <c r="E248" s="340" t="e">
        <f>VLOOKUP(A248,'Diags Raw Data'!$A$6:$D$3761,4,FALSE)</f>
        <v>#N/A</v>
      </c>
      <c r="F248" s="340" t="str">
        <f>VLOOKUP(A248,'Feature Raw Data'!$A$3:$E$3922,5,FALSE)</f>
        <v>New</v>
      </c>
      <c r="G248" s="340" t="str">
        <f t="shared" si="41"/>
        <v>Yes</v>
      </c>
      <c r="H248" s="340" t="str">
        <f t="shared" si="42"/>
        <v>Yes</v>
      </c>
      <c r="I248" s="428">
        <f>SUMIF('Diags Raw Data'!$A$6:$A$3761,"*"&amp;$A248&amp;"*",'Diags Raw Data'!$K$6:$K$3761)</f>
        <v>0</v>
      </c>
      <c r="J248" s="430">
        <f>SUMIF('Diags Raw Data'!$A$6:$A$3761,"*"&amp;$A248&amp;"*",'Diags Raw Data'!$L$6:$L$3761)</f>
        <v>0</v>
      </c>
      <c r="K248" s="468" cm="1">
        <f t="array" ref="K248">IF(D248="",0, SUMPRODUCT(--(ISNUMBER(SEARCH($A248,'Diags Raw Data'!$A$6:$A$3761))),'Diags Raw Data'!$L$6:$L$3761,'Diags Raw Data'!$N$6:$N$3761)/J248)</f>
        <v>0</v>
      </c>
      <c r="L248" s="469" cm="1">
        <f t="array" ref="L248">IF(D248="",0, SUMPRODUCT(--(ISNUMBER(SEARCH($A248,'Diags Raw Data'!$A$6:$A$3761))),'Diags Raw Data'!$L$6:$L$3761,'Diags Raw Data'!$P$6:$P$3761)/J248)</f>
        <v>0</v>
      </c>
      <c r="M248" s="470" cm="1">
        <f t="array" ref="M248">SUMPRODUCT(--(ISNUMBER(SEARCH($A248,'Diags Raw Data'!$A$6:$A$3761))),--('Diags Raw Data'!$Q$6:$Q$3761&lt;&gt;"N/A"),'Diags Raw Data'!$R$6:$R$3761)</f>
        <v>0</v>
      </c>
      <c r="N248" s="471" cm="1">
        <f t="array" ref="N248">SUMPRODUCT(--(ISNUMBER(SEARCH($A248,'Diags Raw Data'!$A$6:$A$3761))),--('Diags Raw Data'!$Q$6:$Q$3761&lt;&gt;"N/A"),'Diags Raw Data'!$T$6:$T$3761)+SUMPRODUCT(--(ISNUMBER(SEARCH($A248,'Diags Raw Data'!$A$6:$A$3761))),--('Diags Raw Data'!$Q$6:$Q$3761&lt;&gt;"N/A"),'Diags Raw Data'!$U$6:$U$3761)</f>
        <v>0</v>
      </c>
      <c r="O248" s="472">
        <f t="shared" si="43"/>
        <v>0</v>
      </c>
      <c r="P248" s="473">
        <f>SUMIF('Diags Raw Data'!$A$6:$A$3761,"*"&amp;$A248&amp;"*",'Diags Raw Data'!$Z$6:$Z$3761)</f>
        <v>0</v>
      </c>
      <c r="Q248" s="474">
        <f>SUM(SUMIF('Diags Raw Data'!$A$6:$A$3761,"*"&amp;$A248&amp;"*",'Diags Raw Data'!$AA$6:$AA$3761),SUMIF('Diags Raw Data'!$A$6:$A$3761,"*"&amp;$A248&amp;"*",'Diags Raw Data'!$AB$6:$AB$3761))</f>
        <v>0</v>
      </c>
      <c r="R248" s="475">
        <f t="shared" si="44"/>
        <v>0</v>
      </c>
      <c r="S248" s="475">
        <f t="shared" si="45"/>
        <v>0</v>
      </c>
      <c r="T248" s="476">
        <f t="shared" si="46"/>
        <v>0</v>
      </c>
      <c r="U248" s="425" t="e">
        <f>VLOOKUP(A248,'Diags Raw Data'!$A$6:$AH$3761,33,FALSE)</f>
        <v>#N/A</v>
      </c>
      <c r="V248" s="181"/>
    </row>
    <row r="249" spans="1:22" ht="60.75" thickBot="1" x14ac:dyDescent="0.3">
      <c r="A249" s="530">
        <v>12.488</v>
      </c>
      <c r="B249" s="427" t="str">
        <f>VLOOKUP(A249,'Feature Raw Data'!$A$3:$B$3922,2,FALSE)</f>
        <v>Reduce PBB maximum batch size from 1024 to 512 and constrain the minimum bin size in the PBB to 128 pixels</v>
      </c>
      <c r="C249" s="428" t="str">
        <f>VLOOKUP(A249,'Feature Raw Data'!$A$3:$C$3922,3,FALSE)</f>
        <v>P3</v>
      </c>
      <c r="D249" s="429" t="str" cm="1">
        <f t="array" ref="D249">_xlfn.TEXTJOIN("",TRUE,IF(ISNUMBER(SEARCH($A249,'Diags Raw Data'!$A$6:$A$3761)),CONCATENATE('Diags Raw Data'!$H$6:$H$3761,", "),""))</f>
        <v xml:space="preserve">STD1.6, </v>
      </c>
      <c r="E249" s="340" t="str">
        <f>VLOOKUP(A249,'Diags Raw Data'!$A$6:$D$3761,4,FALSE)</f>
        <v>PP</v>
      </c>
      <c r="F249" s="340" t="str">
        <f>VLOOKUP(A249,'Feature Raw Data'!$A$3:$E$3922,5,FALSE)</f>
        <v>New</v>
      </c>
      <c r="G249" s="340" t="str">
        <f t="shared" si="41"/>
        <v>Yes</v>
      </c>
      <c r="H249" s="340" t="str">
        <f t="shared" si="42"/>
        <v>Yes</v>
      </c>
      <c r="I249" s="428">
        <f>SUMIF('Diags Raw Data'!$A$6:$A$3761,"*"&amp;$A249&amp;"*",'Diags Raw Data'!$K$6:$K$3761)</f>
        <v>0</v>
      </c>
      <c r="J249" s="430">
        <f>SUMIF('Diags Raw Data'!$A$6:$A$3761,"*"&amp;$A249&amp;"*",'Diags Raw Data'!$L$6:$L$3761)</f>
        <v>0</v>
      </c>
      <c r="K249" s="468" t="e" cm="1">
        <f t="array" ref="K249">IF(D249="",0, SUMPRODUCT(--(ISNUMBER(SEARCH($A249,'Diags Raw Data'!$A$6:$A$3761))),'Diags Raw Data'!$L$6:$L$3761,'Diags Raw Data'!$N$6:$N$3761)/J249)</f>
        <v>#DIV/0!</v>
      </c>
      <c r="L249" s="469" t="e" cm="1">
        <f t="array" ref="L249">IF(D249="",0, SUMPRODUCT(--(ISNUMBER(SEARCH($A249,'Diags Raw Data'!$A$6:$A$3761))),'Diags Raw Data'!$L$6:$L$3761,'Diags Raw Data'!$P$6:$P$3761)/J249)</f>
        <v>#DIV/0!</v>
      </c>
      <c r="M249" s="470" cm="1">
        <f t="array" ref="M249">SUMPRODUCT(--(ISNUMBER(SEARCH($A249,'Diags Raw Data'!$A$6:$A$3761))),--('Diags Raw Data'!$Q$6:$Q$3761&lt;&gt;"N/A"),'Diags Raw Data'!$R$6:$R$3761)</f>
        <v>1</v>
      </c>
      <c r="N249" s="471" cm="1">
        <f t="array" ref="N249">SUMPRODUCT(--(ISNUMBER(SEARCH($A249,'Diags Raw Data'!$A$6:$A$3761))),--('Diags Raw Data'!$Q$6:$Q$3761&lt;&gt;"N/A"),'Diags Raw Data'!$T$6:$T$3761)+SUMPRODUCT(--(ISNUMBER(SEARCH($A249,'Diags Raw Data'!$A$6:$A$3761))),--('Diags Raw Data'!$Q$6:$Q$3761&lt;&gt;"N/A"),'Diags Raw Data'!$U$6:$U$3761)</f>
        <v>0</v>
      </c>
      <c r="O249" s="472">
        <f t="shared" si="43"/>
        <v>0</v>
      </c>
      <c r="P249" s="473">
        <f>SUMIF('Diags Raw Data'!$A$6:$A$3761,"*"&amp;$A249&amp;"*",'Diags Raw Data'!$Z$6:$Z$3761)</f>
        <v>0</v>
      </c>
      <c r="Q249" s="474">
        <f>SUM(SUMIF('Diags Raw Data'!$A$6:$A$3761,"*"&amp;$A249&amp;"*",'Diags Raw Data'!$AA$6:$AA$3761),SUMIF('Diags Raw Data'!$A$6:$A$3761,"*"&amp;$A249&amp;"*",'Diags Raw Data'!$AB$6:$AB$3761))</f>
        <v>0</v>
      </c>
      <c r="R249" s="475">
        <f t="shared" si="44"/>
        <v>0</v>
      </c>
      <c r="S249" s="475">
        <f t="shared" si="45"/>
        <v>0</v>
      </c>
      <c r="T249" s="476">
        <f t="shared" si="46"/>
        <v>0</v>
      </c>
      <c r="U249" s="425" t="str">
        <f>VLOOKUP(A249,'Diags Raw Data'!$A$6:$AH$3761,33,FALSE)</f>
        <v>WK8</v>
      </c>
      <c r="V249" s="181"/>
    </row>
    <row r="250" spans="1:22" ht="30.75" thickBot="1" x14ac:dyDescent="0.3">
      <c r="A250" s="530">
        <v>12.489000000000001</v>
      </c>
      <c r="B250" s="427" t="str">
        <f>VLOOKUP(A250,'Feature Raw Data'!$A$3:$B$3922,2,FALSE)</f>
        <v>Deprioritize NOT_EOP=1 mode</v>
      </c>
      <c r="C250" s="428" t="str">
        <f>VLOOKUP(A250,'Feature Raw Data'!$A$3:$C$3922,3,FALSE)</f>
        <v>P3</v>
      </c>
      <c r="D250" s="429" t="str" cm="1">
        <f t="array" ref="D250">_xlfn.TEXTJOIN("",TRUE,IF(ISNUMBER(SEARCH($A250,'Diags Raw Data'!$A$6:$A$3761)),CONCATENATE('Diags Raw Data'!$H$6:$H$3761,", "),""))</f>
        <v/>
      </c>
      <c r="E250" s="340" t="e">
        <f>VLOOKUP(A250,'Diags Raw Data'!$A$6:$D$3761,4,FALSE)</f>
        <v>#N/A</v>
      </c>
      <c r="F250" s="340" t="str">
        <f>VLOOKUP(A250,'Feature Raw Data'!$A$3:$E$3922,5,FALSE)</f>
        <v>New</v>
      </c>
      <c r="G250" s="340" t="str">
        <f t="shared" si="41"/>
        <v>Yes</v>
      </c>
      <c r="H250" s="340" t="str">
        <f t="shared" si="42"/>
        <v>Yes</v>
      </c>
      <c r="I250" s="428">
        <f>SUMIF('Diags Raw Data'!$A$6:$A$3761,"*"&amp;$A250&amp;"*",'Diags Raw Data'!$K$6:$K$3761)</f>
        <v>0</v>
      </c>
      <c r="J250" s="430">
        <f>SUMIF('Diags Raw Data'!$A$6:$A$3761,"*"&amp;$A250&amp;"*",'Diags Raw Data'!$L$6:$L$3761)</f>
        <v>0</v>
      </c>
      <c r="K250" s="468" cm="1">
        <f t="array" ref="K250">IF(D250="",0, SUMPRODUCT(--(ISNUMBER(SEARCH($A250,'Diags Raw Data'!$A$6:$A$3761))),'Diags Raw Data'!$L$6:$L$3761,'Diags Raw Data'!$N$6:$N$3761)/J250)</f>
        <v>0</v>
      </c>
      <c r="L250" s="469" cm="1">
        <f t="array" ref="L250">IF(D250="",0, SUMPRODUCT(--(ISNUMBER(SEARCH($A250,'Diags Raw Data'!$A$6:$A$3761))),'Diags Raw Data'!$L$6:$L$3761,'Diags Raw Data'!$P$6:$P$3761)/J250)</f>
        <v>0</v>
      </c>
      <c r="M250" s="470" cm="1">
        <f t="array" ref="M250">SUMPRODUCT(--(ISNUMBER(SEARCH($A250,'Diags Raw Data'!$A$6:$A$3761))),--('Diags Raw Data'!$Q$6:$Q$3761&lt;&gt;"N/A"),'Diags Raw Data'!$R$6:$R$3761)</f>
        <v>0</v>
      </c>
      <c r="N250" s="471" cm="1">
        <f t="array" ref="N250">SUMPRODUCT(--(ISNUMBER(SEARCH($A250,'Diags Raw Data'!$A$6:$A$3761))),--('Diags Raw Data'!$Q$6:$Q$3761&lt;&gt;"N/A"),'Diags Raw Data'!$T$6:$T$3761)+SUMPRODUCT(--(ISNUMBER(SEARCH($A250,'Diags Raw Data'!$A$6:$A$3761))),--('Diags Raw Data'!$Q$6:$Q$3761&lt;&gt;"N/A"),'Diags Raw Data'!$U$6:$U$3761)</f>
        <v>0</v>
      </c>
      <c r="O250" s="472">
        <f t="shared" si="43"/>
        <v>0</v>
      </c>
      <c r="P250" s="473">
        <f>SUMIF('Diags Raw Data'!$A$6:$A$3761,"*"&amp;$A250&amp;"*",'Diags Raw Data'!$Z$6:$Z$3761)</f>
        <v>0</v>
      </c>
      <c r="Q250" s="474">
        <f>SUM(SUMIF('Diags Raw Data'!$A$6:$A$3761,"*"&amp;$A250&amp;"*",'Diags Raw Data'!$AA$6:$AA$3761),SUMIF('Diags Raw Data'!$A$6:$A$3761,"*"&amp;$A250&amp;"*",'Diags Raw Data'!$AB$6:$AB$3761))</f>
        <v>0</v>
      </c>
      <c r="R250" s="475">
        <f t="shared" si="44"/>
        <v>0</v>
      </c>
      <c r="S250" s="475">
        <f t="shared" si="45"/>
        <v>0</v>
      </c>
      <c r="T250" s="476">
        <f t="shared" si="46"/>
        <v>0</v>
      </c>
      <c r="U250" s="425" t="e">
        <f>VLOOKUP(A250,'Diags Raw Data'!$A$6:$AH$3761,33,FALSE)</f>
        <v>#N/A</v>
      </c>
      <c r="V250" s="181"/>
    </row>
    <row r="251" spans="1:22" ht="30.75" thickBot="1" x14ac:dyDescent="0.3">
      <c r="A251" s="530">
        <v>12.49</v>
      </c>
      <c r="B251" s="427" t="str">
        <f>VLOOKUP(A251,'Feature Raw Data'!$A$3:$B$3922,2,FALSE)</f>
        <v xml:space="preserve">GFXCLK has risk to achieve 3.46GHz due to AR change </v>
      </c>
      <c r="C251" s="428" t="str">
        <f>VLOOKUP(A251,'Feature Raw Data'!$A$3:$C$3922,3,FALSE)</f>
        <v>P2</v>
      </c>
      <c r="D251" s="429" t="str" cm="1">
        <f t="array" ref="D251">_xlfn.TEXTJOIN("",TRUE,IF(ISNUMBER(SEARCH($A251,'Diags Raw Data'!$A$6:$A$3761)),CONCATENATE('Diags Raw Data'!$H$6:$H$3761,", "),""))</f>
        <v xml:space="preserve">placeholder_c.1, </v>
      </c>
      <c r="E251" s="340" t="e">
        <f>VLOOKUP(A251,'Diags Raw Data'!$A$6:$D$3761,4,FALSE)</f>
        <v>#N/A</v>
      </c>
      <c r="F251" s="340" t="str">
        <f>VLOOKUP(A251,'Feature Raw Data'!$A$3:$E$3922,5,FALSE)</f>
        <v>New</v>
      </c>
      <c r="G251" s="340" t="str">
        <f t="shared" si="41"/>
        <v>Yes</v>
      </c>
      <c r="H251" s="340" t="str">
        <f t="shared" si="42"/>
        <v>Yes</v>
      </c>
      <c r="I251" s="428">
        <f>SUMIF('Diags Raw Data'!$A$6:$A$3761,"*"&amp;$A251&amp;"*",'Diags Raw Data'!$K$6:$K$3761)</f>
        <v>0</v>
      </c>
      <c r="J251" s="430">
        <f>SUMIF('Diags Raw Data'!$A$6:$A$3761,"*"&amp;$A251&amp;"*",'Diags Raw Data'!$L$6:$L$3761)</f>
        <v>0</v>
      </c>
      <c r="K251" s="468" t="e" cm="1">
        <f t="array" ref="K251">IF(D251="",0, SUMPRODUCT(--(ISNUMBER(SEARCH($A251,'Diags Raw Data'!$A$6:$A$3761))),'Diags Raw Data'!$L$6:$L$3761,'Diags Raw Data'!$N$6:$N$3761)/J251)</f>
        <v>#DIV/0!</v>
      </c>
      <c r="L251" s="469" t="e" cm="1">
        <f t="array" ref="L251">IF(D251="",0, SUMPRODUCT(--(ISNUMBER(SEARCH($A251,'Diags Raw Data'!$A$6:$A$3761))),'Diags Raw Data'!$L$6:$L$3761,'Diags Raw Data'!$P$6:$P$3761)/J251)</f>
        <v>#DIV/0!</v>
      </c>
      <c r="M251" s="470" cm="1">
        <f t="array" ref="M251">SUMPRODUCT(--(ISNUMBER(SEARCH($A251,'Diags Raw Data'!$A$6:$A$3761))),--('Diags Raw Data'!$Q$6:$Q$3761&lt;&gt;"N/A"),'Diags Raw Data'!$R$6:$R$3761)</f>
        <v>1</v>
      </c>
      <c r="N251" s="471" cm="1">
        <f t="array" ref="N251">SUMPRODUCT(--(ISNUMBER(SEARCH($A251,'Diags Raw Data'!$A$6:$A$3761))),--('Diags Raw Data'!$Q$6:$Q$3761&lt;&gt;"N/A"),'Diags Raw Data'!$T$6:$T$3761)+SUMPRODUCT(--(ISNUMBER(SEARCH($A251,'Diags Raw Data'!$A$6:$A$3761))),--('Diags Raw Data'!$Q$6:$Q$3761&lt;&gt;"N/A"),'Diags Raw Data'!$U$6:$U$3761)</f>
        <v>0</v>
      </c>
      <c r="O251" s="472">
        <f t="shared" si="43"/>
        <v>0</v>
      </c>
      <c r="P251" s="473">
        <f>SUMIF('Diags Raw Data'!$A$6:$A$3761,"*"&amp;$A251&amp;"*",'Diags Raw Data'!$Z$6:$Z$3761)</f>
        <v>0</v>
      </c>
      <c r="Q251" s="474">
        <f>SUM(SUMIF('Diags Raw Data'!$A$6:$A$3761,"*"&amp;$A251&amp;"*",'Diags Raw Data'!$AA$6:$AA$3761),SUMIF('Diags Raw Data'!$A$6:$A$3761,"*"&amp;$A251&amp;"*",'Diags Raw Data'!$AB$6:$AB$3761))</f>
        <v>0</v>
      </c>
      <c r="R251" s="475">
        <f t="shared" si="44"/>
        <v>0</v>
      </c>
      <c r="S251" s="475">
        <f t="shared" si="45"/>
        <v>0</v>
      </c>
      <c r="T251" s="476">
        <f t="shared" si="46"/>
        <v>0</v>
      </c>
      <c r="U251" s="425" t="e">
        <f>VLOOKUP(A251,'Diags Raw Data'!$A$6:$AH$3761,33,FALSE)</f>
        <v>#N/A</v>
      </c>
      <c r="V251" s="181"/>
    </row>
    <row r="252" spans="1:22" ht="75.75" thickBot="1" x14ac:dyDescent="0.3">
      <c r="A252" s="530">
        <v>12.493</v>
      </c>
      <c r="B252" s="427" t="str">
        <f>VLOOKUP(A252,'Feature Raw Data'!$A$3:$B$3922,2,FALSE)</f>
        <v>Add new jump table for SET_SH_REG and SET_SH_REG_PAIRS when packet count=1 and state is clean</v>
      </c>
      <c r="C252" s="428" t="str">
        <f>VLOOKUP(A252,'Feature Raw Data'!$A$3:$C$3922,3,FALSE)</f>
        <v>P3</v>
      </c>
      <c r="D252" s="429" t="str" cm="1">
        <f t="array" ref="D252">_xlfn.TEXTJOIN("",TRUE,IF(ISNUMBER(SEARCH($A252,'Diags Raw Data'!$A$6:$A$3761)),CONCATENATE('Diags Raw Data'!$H$6:$H$3761,", "),""))</f>
        <v/>
      </c>
      <c r="E252" s="340" t="e">
        <f>VLOOKUP(A252,'Diags Raw Data'!$A$6:$D$3761,4,FALSE)</f>
        <v>#N/A</v>
      </c>
      <c r="F252" s="340" t="str">
        <f>VLOOKUP(A252,'Feature Raw Data'!$A$3:$E$3922,5,FALSE)</f>
        <v>New</v>
      </c>
      <c r="G252" s="340" t="str">
        <f t="shared" si="41"/>
        <v>Yes</v>
      </c>
      <c r="H252" s="340" t="str">
        <f t="shared" si="42"/>
        <v>Yes</v>
      </c>
      <c r="I252" s="428">
        <f>SUMIF('Diags Raw Data'!$A$6:$A$3761,"*"&amp;$A252&amp;"*",'Diags Raw Data'!$K$6:$K$3761)</f>
        <v>0</v>
      </c>
      <c r="J252" s="430">
        <f>SUMIF('Diags Raw Data'!$A$6:$A$3761,"*"&amp;$A252&amp;"*",'Diags Raw Data'!$L$6:$L$3761)</f>
        <v>0</v>
      </c>
      <c r="K252" s="468" cm="1">
        <f t="array" ref="K252">IF(D252="",0, SUMPRODUCT(--(ISNUMBER(SEARCH($A252,'Diags Raw Data'!$A$6:$A$3761))),'Diags Raw Data'!$L$6:$L$3761,'Diags Raw Data'!$N$6:$N$3761)/J252)</f>
        <v>0</v>
      </c>
      <c r="L252" s="469" cm="1">
        <f t="array" ref="L252">IF(D252="",0, SUMPRODUCT(--(ISNUMBER(SEARCH($A252,'Diags Raw Data'!$A$6:$A$3761))),'Diags Raw Data'!$L$6:$L$3761,'Diags Raw Data'!$P$6:$P$3761)/J252)</f>
        <v>0</v>
      </c>
      <c r="M252" s="470" cm="1">
        <f t="array" ref="M252">SUMPRODUCT(--(ISNUMBER(SEARCH($A252,'Diags Raw Data'!$A$6:$A$3761))),--('Diags Raw Data'!$Q$6:$Q$3761&lt;&gt;"N/A"),'Diags Raw Data'!$R$6:$R$3761)</f>
        <v>0</v>
      </c>
      <c r="N252" s="471" cm="1">
        <f t="array" ref="N252">SUMPRODUCT(--(ISNUMBER(SEARCH($A252,'Diags Raw Data'!$A$6:$A$3761))),--('Diags Raw Data'!$Q$6:$Q$3761&lt;&gt;"N/A"),'Diags Raw Data'!$T$6:$T$3761)+SUMPRODUCT(--(ISNUMBER(SEARCH($A252,'Diags Raw Data'!$A$6:$A$3761))),--('Diags Raw Data'!$Q$6:$Q$3761&lt;&gt;"N/A"),'Diags Raw Data'!$U$6:$U$3761)</f>
        <v>0</v>
      </c>
      <c r="O252" s="472">
        <f t="shared" si="43"/>
        <v>0</v>
      </c>
      <c r="P252" s="473">
        <f>SUMIF('Diags Raw Data'!$A$6:$A$3761,"*"&amp;$A252&amp;"*",'Diags Raw Data'!$Z$6:$Z$3761)</f>
        <v>0</v>
      </c>
      <c r="Q252" s="474">
        <f>SUM(SUMIF('Diags Raw Data'!$A$6:$A$3761,"*"&amp;$A252&amp;"*",'Diags Raw Data'!$AA$6:$AA$3761),SUMIF('Diags Raw Data'!$A$6:$A$3761,"*"&amp;$A252&amp;"*",'Diags Raw Data'!$AB$6:$AB$3761))</f>
        <v>0</v>
      </c>
      <c r="R252" s="475">
        <f t="shared" si="44"/>
        <v>0</v>
      </c>
      <c r="S252" s="475">
        <f t="shared" si="45"/>
        <v>0</v>
      </c>
      <c r="T252" s="476">
        <f t="shared" si="46"/>
        <v>0</v>
      </c>
      <c r="U252" s="425" t="e">
        <f>VLOOKUP(A252,'Diags Raw Data'!$A$6:$AH$3761,33,FALSE)</f>
        <v>#N/A</v>
      </c>
      <c r="V252" s="181"/>
    </row>
    <row r="253" spans="1:22" ht="45.75" thickBot="1" x14ac:dyDescent="0.3">
      <c r="A253" s="530">
        <v>12.494</v>
      </c>
      <c r="B253" s="427" t="str">
        <f>VLOOKUP(A253,'Feature Raw Data'!$A$3:$B$3922,2,FALSE)</f>
        <v>[Navi4m] GRBM Queue to optimize CP processor performance</v>
      </c>
      <c r="C253" s="428" t="str">
        <f>VLOOKUP(A253,'Feature Raw Data'!$A$3:$C$3922,3,FALSE)</f>
        <v>P3</v>
      </c>
      <c r="D253" s="429" t="str" cm="1">
        <f t="array" ref="D253">_xlfn.TEXTJOIN("",TRUE,IF(ISNUMBER(SEARCH($A253,'Diags Raw Data'!$A$6:$A$3761)),CONCATENATE('Diags Raw Data'!$H$6:$H$3761,", "),""))</f>
        <v/>
      </c>
      <c r="E253" s="340" t="e">
        <f>VLOOKUP(A253,'Diags Raw Data'!$A$6:$D$3761,4,FALSE)</f>
        <v>#N/A</v>
      </c>
      <c r="F253" s="340" t="str">
        <f>VLOOKUP(A253,'Feature Raw Data'!$A$3:$E$3922,5,FALSE)</f>
        <v>New</v>
      </c>
      <c r="G253" s="340" t="str">
        <f t="shared" si="41"/>
        <v>Yes</v>
      </c>
      <c r="H253" s="340" t="str">
        <f t="shared" si="42"/>
        <v>Yes</v>
      </c>
      <c r="I253" s="428">
        <f>SUMIF('Diags Raw Data'!$A$6:$A$3761,"*"&amp;$A253&amp;"*",'Diags Raw Data'!$K$6:$K$3761)</f>
        <v>0</v>
      </c>
      <c r="J253" s="430">
        <f>SUMIF('Diags Raw Data'!$A$6:$A$3761,"*"&amp;$A253&amp;"*",'Diags Raw Data'!$L$6:$L$3761)</f>
        <v>0</v>
      </c>
      <c r="K253" s="468" cm="1">
        <f t="array" ref="K253">IF(D253="",0, SUMPRODUCT(--(ISNUMBER(SEARCH($A253,'Diags Raw Data'!$A$6:$A$3761))),'Diags Raw Data'!$L$6:$L$3761,'Diags Raw Data'!$N$6:$N$3761)/J253)</f>
        <v>0</v>
      </c>
      <c r="L253" s="469" cm="1">
        <f t="array" ref="L253">IF(D253="",0, SUMPRODUCT(--(ISNUMBER(SEARCH($A253,'Diags Raw Data'!$A$6:$A$3761))),'Diags Raw Data'!$L$6:$L$3761,'Diags Raw Data'!$P$6:$P$3761)/J253)</f>
        <v>0</v>
      </c>
      <c r="M253" s="470" cm="1">
        <f t="array" ref="M253">SUMPRODUCT(--(ISNUMBER(SEARCH($A253,'Diags Raw Data'!$A$6:$A$3761))),--('Diags Raw Data'!$Q$6:$Q$3761&lt;&gt;"N/A"),'Diags Raw Data'!$R$6:$R$3761)</f>
        <v>0</v>
      </c>
      <c r="N253" s="471" cm="1">
        <f t="array" ref="N253">SUMPRODUCT(--(ISNUMBER(SEARCH($A253,'Diags Raw Data'!$A$6:$A$3761))),--('Diags Raw Data'!$Q$6:$Q$3761&lt;&gt;"N/A"),'Diags Raw Data'!$T$6:$T$3761)+SUMPRODUCT(--(ISNUMBER(SEARCH($A253,'Diags Raw Data'!$A$6:$A$3761))),--('Diags Raw Data'!$Q$6:$Q$3761&lt;&gt;"N/A"),'Diags Raw Data'!$U$6:$U$3761)</f>
        <v>0</v>
      </c>
      <c r="O253" s="472">
        <f t="shared" si="43"/>
        <v>0</v>
      </c>
      <c r="P253" s="473">
        <f>SUMIF('Diags Raw Data'!$A$6:$A$3761,"*"&amp;$A253&amp;"*",'Diags Raw Data'!$Z$6:$Z$3761)</f>
        <v>0</v>
      </c>
      <c r="Q253" s="474">
        <f>SUM(SUMIF('Diags Raw Data'!$A$6:$A$3761,"*"&amp;$A253&amp;"*",'Diags Raw Data'!$AA$6:$AA$3761),SUMIF('Diags Raw Data'!$A$6:$A$3761,"*"&amp;$A253&amp;"*",'Diags Raw Data'!$AB$6:$AB$3761))</f>
        <v>0</v>
      </c>
      <c r="R253" s="475">
        <f t="shared" si="44"/>
        <v>0</v>
      </c>
      <c r="S253" s="475">
        <f t="shared" si="45"/>
        <v>0</v>
      </c>
      <c r="T253" s="476">
        <f t="shared" si="46"/>
        <v>0</v>
      </c>
      <c r="U253" s="425" t="e">
        <f>VLOOKUP(A253,'Diags Raw Data'!$A$6:$AH$3761,33,FALSE)</f>
        <v>#N/A</v>
      </c>
      <c r="V253" s="181"/>
    </row>
    <row r="254" spans="1:22" ht="30.75" thickBot="1" x14ac:dyDescent="0.3">
      <c r="A254" s="530">
        <v>12.494999999999999</v>
      </c>
      <c r="B254" s="427" t="str">
        <f>VLOOKUP(A254,'Feature Raw Data'!$A$3:$B$3922,2,FALSE)</f>
        <v>[RS64] Add Load-IO Custom instruction w/16 CSRs</v>
      </c>
      <c r="C254" s="428" t="str">
        <f>VLOOKUP(A254,'Feature Raw Data'!$A$3:$C$3922,3,FALSE)</f>
        <v>P2</v>
      </c>
      <c r="D254" s="429" t="str" cm="1">
        <f t="array" ref="D254">_xlfn.TEXTJOIN("",TRUE,IF(ISNUMBER(SEARCH($A254,'Diags Raw Data'!$A$6:$A$3761)),CONCATENATE('Diags Raw Data'!$H$6:$H$3761,", "),""))</f>
        <v/>
      </c>
      <c r="E254" s="340" t="e">
        <f>VLOOKUP(A254,'Diags Raw Data'!$A$6:$D$3761,4,FALSE)</f>
        <v>#N/A</v>
      </c>
      <c r="F254" s="340" t="str">
        <f>VLOOKUP(A254,'Feature Raw Data'!$A$3:$E$3922,5,FALSE)</f>
        <v>New</v>
      </c>
      <c r="G254" s="340" t="str">
        <f t="shared" si="41"/>
        <v>Yes</v>
      </c>
      <c r="H254" s="340" t="str">
        <f t="shared" si="42"/>
        <v>Yes</v>
      </c>
      <c r="I254" s="428">
        <f>SUMIF('Diags Raw Data'!$A$6:$A$3761,"*"&amp;$A254&amp;"*",'Diags Raw Data'!$K$6:$K$3761)</f>
        <v>0</v>
      </c>
      <c r="J254" s="430">
        <f>SUMIF('Diags Raw Data'!$A$6:$A$3761,"*"&amp;$A254&amp;"*",'Diags Raw Data'!$L$6:$L$3761)</f>
        <v>0</v>
      </c>
      <c r="K254" s="468" cm="1">
        <f t="array" ref="K254">IF(D254="",0, SUMPRODUCT(--(ISNUMBER(SEARCH($A254,'Diags Raw Data'!$A$6:$A$3761))),'Diags Raw Data'!$L$6:$L$3761,'Diags Raw Data'!$N$6:$N$3761)/J254)</f>
        <v>0</v>
      </c>
      <c r="L254" s="469" cm="1">
        <f t="array" ref="L254">IF(D254="",0, SUMPRODUCT(--(ISNUMBER(SEARCH($A254,'Diags Raw Data'!$A$6:$A$3761))),'Diags Raw Data'!$L$6:$L$3761,'Diags Raw Data'!$P$6:$P$3761)/J254)</f>
        <v>0</v>
      </c>
      <c r="M254" s="470" cm="1">
        <f t="array" ref="M254">SUMPRODUCT(--(ISNUMBER(SEARCH($A254,'Diags Raw Data'!$A$6:$A$3761))),--('Diags Raw Data'!$Q$6:$Q$3761&lt;&gt;"N/A"),'Diags Raw Data'!$R$6:$R$3761)</f>
        <v>0</v>
      </c>
      <c r="N254" s="471" cm="1">
        <f t="array" ref="N254">SUMPRODUCT(--(ISNUMBER(SEARCH($A254,'Diags Raw Data'!$A$6:$A$3761))),--('Diags Raw Data'!$Q$6:$Q$3761&lt;&gt;"N/A"),'Diags Raw Data'!$T$6:$T$3761)+SUMPRODUCT(--(ISNUMBER(SEARCH($A254,'Diags Raw Data'!$A$6:$A$3761))),--('Diags Raw Data'!$Q$6:$Q$3761&lt;&gt;"N/A"),'Diags Raw Data'!$U$6:$U$3761)</f>
        <v>0</v>
      </c>
      <c r="O254" s="472">
        <f t="shared" si="43"/>
        <v>0</v>
      </c>
      <c r="P254" s="473">
        <f>SUMIF('Diags Raw Data'!$A$6:$A$3761,"*"&amp;$A254&amp;"*",'Diags Raw Data'!$Z$6:$Z$3761)</f>
        <v>0</v>
      </c>
      <c r="Q254" s="474">
        <f>SUM(SUMIF('Diags Raw Data'!$A$6:$A$3761,"*"&amp;$A254&amp;"*",'Diags Raw Data'!$AA$6:$AA$3761),SUMIF('Diags Raw Data'!$A$6:$A$3761,"*"&amp;$A254&amp;"*",'Diags Raw Data'!$AB$6:$AB$3761))</f>
        <v>0</v>
      </c>
      <c r="R254" s="475">
        <f t="shared" si="44"/>
        <v>0</v>
      </c>
      <c r="S254" s="475">
        <f t="shared" si="45"/>
        <v>0</v>
      </c>
      <c r="T254" s="476">
        <f t="shared" si="46"/>
        <v>0</v>
      </c>
      <c r="U254" s="425" t="e">
        <f>VLOOKUP(A254,'Diags Raw Data'!$A$6:$AH$3761,33,FALSE)</f>
        <v>#N/A</v>
      </c>
      <c r="V254" s="181"/>
    </row>
    <row r="255" spans="1:22" ht="60.75" thickBot="1" x14ac:dyDescent="0.3">
      <c r="A255" s="530">
        <v>12.497</v>
      </c>
      <c r="B255" s="427" t="str">
        <f>VLOOKUP(A255,'Feature Raw Data'!$A$3:$B$3922,2,FALSE)</f>
        <v>load_reserved store_conditional unitID aliasing requires a change in GFX client unitID values</v>
      </c>
      <c r="C255" s="428" t="str">
        <f>VLOOKUP(A255,'Feature Raw Data'!$A$3:$C$3922,3,FALSE)</f>
        <v>P1</v>
      </c>
      <c r="D255" s="429" t="str" cm="1">
        <f t="array" ref="D255">_xlfn.TEXTJOIN("",TRUE,IF(ISNUMBER(SEARCH($A255,'Diags Raw Data'!$A$6:$A$3761)),CONCATENATE('Diags Raw Data'!$H$6:$H$3761,", "),""))</f>
        <v/>
      </c>
      <c r="E255" s="340" t="e">
        <f>VLOOKUP(A255,'Diags Raw Data'!$A$6:$D$3761,4,FALSE)</f>
        <v>#N/A</v>
      </c>
      <c r="F255" s="340" t="str">
        <f>VLOOKUP(A255,'Feature Raw Data'!$A$3:$E$3922,5,FALSE)</f>
        <v>New</v>
      </c>
      <c r="G255" s="340" t="str">
        <f t="shared" si="41"/>
        <v>Yes</v>
      </c>
      <c r="H255" s="340" t="str">
        <f t="shared" si="42"/>
        <v>Yes</v>
      </c>
      <c r="I255" s="428">
        <f>SUMIF('Diags Raw Data'!$A$6:$A$3761,"*"&amp;$A255&amp;"*",'Diags Raw Data'!$K$6:$K$3761)</f>
        <v>0</v>
      </c>
      <c r="J255" s="430">
        <f>SUMIF('Diags Raw Data'!$A$6:$A$3761,"*"&amp;$A255&amp;"*",'Diags Raw Data'!$L$6:$L$3761)</f>
        <v>0</v>
      </c>
      <c r="K255" s="468" cm="1">
        <f t="array" ref="K255">IF(D255="",0, SUMPRODUCT(--(ISNUMBER(SEARCH($A255,'Diags Raw Data'!$A$6:$A$3761))),'Diags Raw Data'!$L$6:$L$3761,'Diags Raw Data'!$N$6:$N$3761)/J255)</f>
        <v>0</v>
      </c>
      <c r="L255" s="469" cm="1">
        <f t="array" ref="L255">IF(D255="",0, SUMPRODUCT(--(ISNUMBER(SEARCH($A255,'Diags Raw Data'!$A$6:$A$3761))),'Diags Raw Data'!$L$6:$L$3761,'Diags Raw Data'!$P$6:$P$3761)/J255)</f>
        <v>0</v>
      </c>
      <c r="M255" s="470" cm="1">
        <f t="array" ref="M255">SUMPRODUCT(--(ISNUMBER(SEARCH($A255,'Diags Raw Data'!$A$6:$A$3761))),--('Diags Raw Data'!$Q$6:$Q$3761&lt;&gt;"N/A"),'Diags Raw Data'!$R$6:$R$3761)</f>
        <v>0</v>
      </c>
      <c r="N255" s="471" cm="1">
        <f t="array" ref="N255">SUMPRODUCT(--(ISNUMBER(SEARCH($A255,'Diags Raw Data'!$A$6:$A$3761))),--('Diags Raw Data'!$Q$6:$Q$3761&lt;&gt;"N/A"),'Diags Raw Data'!$T$6:$T$3761)+SUMPRODUCT(--(ISNUMBER(SEARCH($A255,'Diags Raw Data'!$A$6:$A$3761))),--('Diags Raw Data'!$Q$6:$Q$3761&lt;&gt;"N/A"),'Diags Raw Data'!$U$6:$U$3761)</f>
        <v>0</v>
      </c>
      <c r="O255" s="472">
        <f t="shared" si="43"/>
        <v>0</v>
      </c>
      <c r="P255" s="473">
        <f>SUMIF('Diags Raw Data'!$A$6:$A$3761,"*"&amp;$A255&amp;"*",'Diags Raw Data'!$Z$6:$Z$3761)</f>
        <v>0</v>
      </c>
      <c r="Q255" s="474">
        <f>SUM(SUMIF('Diags Raw Data'!$A$6:$A$3761,"*"&amp;$A255&amp;"*",'Diags Raw Data'!$AA$6:$AA$3761),SUMIF('Diags Raw Data'!$A$6:$A$3761,"*"&amp;$A255&amp;"*",'Diags Raw Data'!$AB$6:$AB$3761))</f>
        <v>0</v>
      </c>
      <c r="R255" s="475">
        <f t="shared" si="44"/>
        <v>0</v>
      </c>
      <c r="S255" s="475">
        <f t="shared" si="45"/>
        <v>0</v>
      </c>
      <c r="T255" s="476">
        <f t="shared" si="46"/>
        <v>0</v>
      </c>
      <c r="U255" s="425" t="e">
        <f>VLOOKUP(A255,'Diags Raw Data'!$A$6:$AH$3761,33,FALSE)</f>
        <v>#N/A</v>
      </c>
      <c r="V255" s="181"/>
    </row>
    <row r="256" spans="1:22" ht="30.75" thickBot="1" x14ac:dyDescent="0.3">
      <c r="A256" s="530">
        <v>12.497999999999999</v>
      </c>
      <c r="B256" s="427" t="str">
        <f>VLOOKUP(A256,'Feature Raw Data'!$A$3:$B$3922,2,FALSE)</f>
        <v>Increase in DB FIFOs for Write-Only Performance</v>
      </c>
      <c r="C256" s="428" t="str">
        <f>VLOOKUP(A256,'Feature Raw Data'!$A$3:$C$3922,3,FALSE)</f>
        <v>P1</v>
      </c>
      <c r="D256" s="429" t="str" cm="1">
        <f t="array" ref="D256">_xlfn.TEXTJOIN("",TRUE,IF(ISNUMBER(SEARCH($A256,'Diags Raw Data'!$A$6:$A$3761)),CONCATENATE('Diags Raw Data'!$H$6:$H$3761,", "),""))</f>
        <v/>
      </c>
      <c r="E256" s="340" t="e">
        <f>VLOOKUP(A256,'Diags Raw Data'!$A$6:$D$3761,4,FALSE)</f>
        <v>#N/A</v>
      </c>
      <c r="F256" s="340" t="str">
        <f>VLOOKUP(A256,'Feature Raw Data'!$A$3:$E$3922,5,FALSE)</f>
        <v>New</v>
      </c>
      <c r="G256" s="340" t="str">
        <f t="shared" si="41"/>
        <v>Yes</v>
      </c>
      <c r="H256" s="340" t="str">
        <f t="shared" si="42"/>
        <v>Yes</v>
      </c>
      <c r="I256" s="428">
        <f>SUMIF('Diags Raw Data'!$A$6:$A$3761,"*"&amp;$A256&amp;"*",'Diags Raw Data'!$K$6:$K$3761)</f>
        <v>0</v>
      </c>
      <c r="J256" s="430">
        <f>SUMIF('Diags Raw Data'!$A$6:$A$3761,"*"&amp;$A256&amp;"*",'Diags Raw Data'!$L$6:$L$3761)</f>
        <v>0</v>
      </c>
      <c r="K256" s="468" cm="1">
        <f t="array" ref="K256">IF(D256="",0, SUMPRODUCT(--(ISNUMBER(SEARCH($A256,'Diags Raw Data'!$A$6:$A$3761))),'Diags Raw Data'!$L$6:$L$3761,'Diags Raw Data'!$N$6:$N$3761)/J256)</f>
        <v>0</v>
      </c>
      <c r="L256" s="469" cm="1">
        <f t="array" ref="L256">IF(D256="",0, SUMPRODUCT(--(ISNUMBER(SEARCH($A256,'Diags Raw Data'!$A$6:$A$3761))),'Diags Raw Data'!$L$6:$L$3761,'Diags Raw Data'!$P$6:$P$3761)/J256)</f>
        <v>0</v>
      </c>
      <c r="M256" s="470" cm="1">
        <f t="array" ref="M256">SUMPRODUCT(--(ISNUMBER(SEARCH($A256,'Diags Raw Data'!$A$6:$A$3761))),--('Diags Raw Data'!$Q$6:$Q$3761&lt;&gt;"N/A"),'Diags Raw Data'!$R$6:$R$3761)</f>
        <v>0</v>
      </c>
      <c r="N256" s="471" cm="1">
        <f t="array" ref="N256">SUMPRODUCT(--(ISNUMBER(SEARCH($A256,'Diags Raw Data'!$A$6:$A$3761))),--('Diags Raw Data'!$Q$6:$Q$3761&lt;&gt;"N/A"),'Diags Raw Data'!$T$6:$T$3761)+SUMPRODUCT(--(ISNUMBER(SEARCH($A256,'Diags Raw Data'!$A$6:$A$3761))),--('Diags Raw Data'!$Q$6:$Q$3761&lt;&gt;"N/A"),'Diags Raw Data'!$U$6:$U$3761)</f>
        <v>0</v>
      </c>
      <c r="O256" s="472">
        <f t="shared" si="43"/>
        <v>0</v>
      </c>
      <c r="P256" s="473">
        <f>SUMIF('Diags Raw Data'!$A$6:$A$3761,"*"&amp;$A256&amp;"*",'Diags Raw Data'!$Z$6:$Z$3761)</f>
        <v>0</v>
      </c>
      <c r="Q256" s="474">
        <f>SUM(SUMIF('Diags Raw Data'!$A$6:$A$3761,"*"&amp;$A256&amp;"*",'Diags Raw Data'!$AA$6:$AA$3761),SUMIF('Diags Raw Data'!$A$6:$A$3761,"*"&amp;$A256&amp;"*",'Diags Raw Data'!$AB$6:$AB$3761))</f>
        <v>0</v>
      </c>
      <c r="R256" s="475">
        <f t="shared" si="44"/>
        <v>0</v>
      </c>
      <c r="S256" s="475">
        <f t="shared" si="45"/>
        <v>0</v>
      </c>
      <c r="T256" s="476">
        <f t="shared" si="46"/>
        <v>0</v>
      </c>
      <c r="U256" s="425" t="e">
        <f>VLOOKUP(A256,'Diags Raw Data'!$A$6:$AH$3761,33,FALSE)</f>
        <v>#N/A</v>
      </c>
      <c r="V256" s="181"/>
    </row>
    <row r="257" spans="1:22" ht="45.75" thickBot="1" x14ac:dyDescent="0.3">
      <c r="A257" s="530">
        <v>12.499000000000001</v>
      </c>
      <c r="B257" s="427" t="str">
        <f>VLOOKUP(A257,'Feature Raw Data'!$A$3:$B$3922,2,FALSE)</f>
        <v>CB/DB compress to clear/single before sending to GLx</v>
      </c>
      <c r="C257" s="428" t="str">
        <f>VLOOKUP(A257,'Feature Raw Data'!$A$3:$C$3922,3,FALSE)</f>
        <v>P2</v>
      </c>
      <c r="D257" s="429" t="str" cm="1">
        <f t="array" ref="D257">_xlfn.TEXTJOIN("",TRUE,IF(ISNUMBER(SEARCH($A257,'Diags Raw Data'!$A$6:$A$3761)),CONCATENATE('Diags Raw Data'!$H$6:$H$3761,", "),""))</f>
        <v xml:space="preserve">placeholder_c.1, </v>
      </c>
      <c r="E257" s="340" t="str">
        <f>VLOOKUP(A257,'Diags Raw Data'!$A$6:$D$3761,4,FALSE)</f>
        <v>CMM</v>
      </c>
      <c r="F257" s="340" t="str">
        <f>VLOOKUP(A257,'Feature Raw Data'!$A$3:$E$3922,5,FALSE)</f>
        <v>New</v>
      </c>
      <c r="G257" s="340" t="str">
        <f t="shared" si="41"/>
        <v>Yes</v>
      </c>
      <c r="H257" s="340" t="str">
        <f t="shared" si="42"/>
        <v>Yes</v>
      </c>
      <c r="I257" s="428">
        <f>SUMIF('Diags Raw Data'!$A$6:$A$3761,"*"&amp;$A257&amp;"*",'Diags Raw Data'!$K$6:$K$3761)</f>
        <v>0</v>
      </c>
      <c r="J257" s="430">
        <f>SUMIF('Diags Raw Data'!$A$6:$A$3761,"*"&amp;$A257&amp;"*",'Diags Raw Data'!$L$6:$L$3761)</f>
        <v>0</v>
      </c>
      <c r="K257" s="468" t="e" cm="1">
        <f t="array" ref="K257">IF(D257="",0, SUMPRODUCT(--(ISNUMBER(SEARCH($A257,'Diags Raw Data'!$A$6:$A$3761))),'Diags Raw Data'!$L$6:$L$3761,'Diags Raw Data'!$N$6:$N$3761)/J257)</f>
        <v>#DIV/0!</v>
      </c>
      <c r="L257" s="469" t="e" cm="1">
        <f t="array" ref="L257">IF(D257="",0, SUMPRODUCT(--(ISNUMBER(SEARCH($A257,'Diags Raw Data'!$A$6:$A$3761))),'Diags Raw Data'!$L$6:$L$3761,'Diags Raw Data'!$P$6:$P$3761)/J257)</f>
        <v>#DIV/0!</v>
      </c>
      <c r="M257" s="470" cm="1">
        <f t="array" ref="M257">SUMPRODUCT(--(ISNUMBER(SEARCH($A257,'Diags Raw Data'!$A$6:$A$3761))),--('Diags Raw Data'!$Q$6:$Q$3761&lt;&gt;"N/A"),'Diags Raw Data'!$R$6:$R$3761)</f>
        <v>1</v>
      </c>
      <c r="N257" s="471" cm="1">
        <f t="array" ref="N257">SUMPRODUCT(--(ISNUMBER(SEARCH($A257,'Diags Raw Data'!$A$6:$A$3761))),--('Diags Raw Data'!$Q$6:$Q$3761&lt;&gt;"N/A"),'Diags Raw Data'!$T$6:$T$3761)+SUMPRODUCT(--(ISNUMBER(SEARCH($A257,'Diags Raw Data'!$A$6:$A$3761))),--('Diags Raw Data'!$Q$6:$Q$3761&lt;&gt;"N/A"),'Diags Raw Data'!$U$6:$U$3761)</f>
        <v>0</v>
      </c>
      <c r="O257" s="472">
        <f t="shared" si="43"/>
        <v>0</v>
      </c>
      <c r="P257" s="473">
        <f>SUMIF('Diags Raw Data'!$A$6:$A$3761,"*"&amp;$A257&amp;"*",'Diags Raw Data'!$Z$6:$Z$3761)</f>
        <v>0</v>
      </c>
      <c r="Q257" s="474">
        <f>SUM(SUMIF('Diags Raw Data'!$A$6:$A$3761,"*"&amp;$A257&amp;"*",'Diags Raw Data'!$AA$6:$AA$3761),SUMIF('Diags Raw Data'!$A$6:$A$3761,"*"&amp;$A257&amp;"*",'Diags Raw Data'!$AB$6:$AB$3761))</f>
        <v>0</v>
      </c>
      <c r="R257" s="475">
        <f t="shared" si="44"/>
        <v>0</v>
      </c>
      <c r="S257" s="475">
        <f t="shared" si="45"/>
        <v>0</v>
      </c>
      <c r="T257" s="476">
        <f t="shared" si="46"/>
        <v>0</v>
      </c>
      <c r="U257" s="425" t="str">
        <f>VLOOKUP(A257,'Diags Raw Data'!$A$6:$AH$3761,33,FALSE)</f>
        <v>WK8</v>
      </c>
      <c r="V257" s="181"/>
    </row>
    <row r="258" spans="1:22" x14ac:dyDescent="0.25">
      <c r="A258" s="530">
        <v>12.5</v>
      </c>
      <c r="B258" s="427" t="str">
        <f>VLOOKUP(A258,'Feature Raw Data'!$A$3:$B$3922,2,FALSE)</f>
        <v>2ch_cant_saturate_pcie_rdBW</v>
      </c>
      <c r="C258" s="428" t="str">
        <f>VLOOKUP(A258,'Feature Raw Data'!$A$3:$C$3922,3,FALSE)</f>
        <v>P2</v>
      </c>
      <c r="D258" s="429" t="str" cm="1">
        <f t="array" ref="D258">_xlfn.TEXTJOIN("",TRUE,IF(ISNUMBER(SEARCH($A258,'Diags Raw Data'!$A$6:$A$3761)),CONCATENATE('Diags Raw Data'!$H$6:$H$3761,", "),""))</f>
        <v/>
      </c>
      <c r="E258" s="340" t="e">
        <f>VLOOKUP(A258,'Diags Raw Data'!$A$6:$D$3761,4,FALSE)</f>
        <v>#N/A</v>
      </c>
      <c r="F258" s="340" t="str">
        <f>VLOOKUP(A258,'Feature Raw Data'!$A$3:$E$3922,5,FALSE)</f>
        <v>New</v>
      </c>
      <c r="G258" s="340" t="str">
        <f t="shared" si="41"/>
        <v>Yes</v>
      </c>
      <c r="H258" s="340" t="str">
        <f t="shared" si="42"/>
        <v>Yes</v>
      </c>
      <c r="I258" s="428">
        <f>SUMIF('Diags Raw Data'!$A$6:$A$3761,"*"&amp;$A258&amp;"*",'Diags Raw Data'!$K$6:$K$3761)</f>
        <v>0</v>
      </c>
      <c r="J258" s="430">
        <f>SUMIF('Diags Raw Data'!$A$6:$A$3761,"*"&amp;$A258&amp;"*",'Diags Raw Data'!$L$6:$L$3761)</f>
        <v>0</v>
      </c>
      <c r="K258" s="468" cm="1">
        <f t="array" ref="K258">IF(D258="",0, SUMPRODUCT(--(ISNUMBER(SEARCH($A258,'Diags Raw Data'!$A$6:$A$3761))),'Diags Raw Data'!$L$6:$L$3761,'Diags Raw Data'!$N$6:$N$3761)/J258)</f>
        <v>0</v>
      </c>
      <c r="L258" s="469" cm="1">
        <f t="array" ref="L258">IF(D258="",0, SUMPRODUCT(--(ISNUMBER(SEARCH($A258,'Diags Raw Data'!$A$6:$A$3761))),'Diags Raw Data'!$L$6:$L$3761,'Diags Raw Data'!$P$6:$P$3761)/J258)</f>
        <v>0</v>
      </c>
      <c r="M258" s="470" cm="1">
        <f t="array" ref="M258">SUMPRODUCT(--(ISNUMBER(SEARCH($A258,'Diags Raw Data'!$A$6:$A$3761))),--('Diags Raw Data'!$Q$6:$Q$3761&lt;&gt;"N/A"),'Diags Raw Data'!$R$6:$R$3761)</f>
        <v>0</v>
      </c>
      <c r="N258" s="471" cm="1">
        <f t="array" ref="N258">SUMPRODUCT(--(ISNUMBER(SEARCH($A258,'Diags Raw Data'!$A$6:$A$3761))),--('Diags Raw Data'!$Q$6:$Q$3761&lt;&gt;"N/A"),'Diags Raw Data'!$T$6:$T$3761)+SUMPRODUCT(--(ISNUMBER(SEARCH($A258,'Diags Raw Data'!$A$6:$A$3761))),--('Diags Raw Data'!$Q$6:$Q$3761&lt;&gt;"N/A"),'Diags Raw Data'!$U$6:$U$3761)</f>
        <v>0</v>
      </c>
      <c r="O258" s="472">
        <f t="shared" si="43"/>
        <v>0</v>
      </c>
      <c r="P258" s="473">
        <f>SUMIF('Diags Raw Data'!$A$6:$A$3761,"*"&amp;$A258&amp;"*",'Diags Raw Data'!$Z$6:$Z$3761)</f>
        <v>0</v>
      </c>
      <c r="Q258" s="474">
        <f>SUM(SUMIF('Diags Raw Data'!$A$6:$A$3761,"*"&amp;$A258&amp;"*",'Diags Raw Data'!$AA$6:$AA$3761),SUMIF('Diags Raw Data'!$A$6:$A$3761,"*"&amp;$A258&amp;"*",'Diags Raw Data'!$AB$6:$AB$3761))</f>
        <v>0</v>
      </c>
      <c r="R258" s="475">
        <f t="shared" si="44"/>
        <v>0</v>
      </c>
      <c r="S258" s="475">
        <f t="shared" si="45"/>
        <v>0</v>
      </c>
      <c r="T258" s="476">
        <f t="shared" si="46"/>
        <v>0</v>
      </c>
      <c r="U258" s="425" t="e">
        <f>VLOOKUP(A258,'Diags Raw Data'!$A$6:$AH$3761,33,FALSE)</f>
        <v>#N/A</v>
      </c>
      <c r="V258" s="181"/>
    </row>
    <row r="259" spans="1:22" x14ac:dyDescent="0.25">
      <c r="A259" s="530"/>
      <c r="B259" s="427"/>
      <c r="C259" s="428"/>
      <c r="D259" s="429"/>
      <c r="E259" s="340"/>
      <c r="F259" s="340"/>
      <c r="G259" s="340"/>
      <c r="H259" s="340"/>
      <c r="I259" s="428"/>
      <c r="J259" s="430"/>
      <c r="K259" s="468"/>
      <c r="L259" s="469"/>
      <c r="M259" s="470"/>
      <c r="N259" s="471"/>
      <c r="O259" s="472"/>
      <c r="P259" s="473"/>
      <c r="Q259" s="474"/>
      <c r="R259" s="475"/>
      <c r="S259" s="475"/>
      <c r="T259" s="476"/>
      <c r="U259" s="431"/>
      <c r="V259" s="181"/>
    </row>
    <row r="260" spans="1:22" x14ac:dyDescent="0.25">
      <c r="A260" s="530"/>
      <c r="B260" s="427"/>
      <c r="C260" s="428"/>
      <c r="D260" s="429"/>
      <c r="E260" s="340"/>
      <c r="F260" s="340"/>
      <c r="G260" s="340"/>
      <c r="H260" s="340"/>
      <c r="I260" s="428"/>
      <c r="J260" s="430"/>
      <c r="K260" s="468"/>
      <c r="L260" s="469"/>
      <c r="M260" s="470"/>
      <c r="N260" s="471"/>
      <c r="O260" s="472"/>
      <c r="P260" s="473"/>
      <c r="Q260" s="474"/>
      <c r="R260" s="475"/>
      <c r="S260" s="475"/>
      <c r="T260" s="476"/>
      <c r="U260" s="431"/>
      <c r="V260" s="181"/>
    </row>
    <row r="261" spans="1:22" x14ac:dyDescent="0.25">
      <c r="A261" s="530"/>
      <c r="B261" s="427"/>
      <c r="C261" s="428"/>
      <c r="D261" s="429"/>
      <c r="E261" s="340"/>
      <c r="F261" s="340"/>
      <c r="G261" s="340"/>
      <c r="H261" s="340"/>
      <c r="I261" s="428"/>
      <c r="J261" s="430"/>
      <c r="K261" s="468"/>
      <c r="L261" s="469"/>
      <c r="M261" s="470"/>
      <c r="N261" s="471"/>
      <c r="O261" s="472"/>
      <c r="P261" s="473"/>
      <c r="Q261" s="474"/>
      <c r="R261" s="475"/>
      <c r="S261" s="475"/>
      <c r="T261" s="476"/>
      <c r="U261" s="431"/>
      <c r="V261" s="181"/>
    </row>
    <row r="262" spans="1:22" x14ac:dyDescent="0.25">
      <c r="A262" s="530"/>
      <c r="B262" s="427"/>
      <c r="C262" s="428"/>
      <c r="D262" s="429"/>
      <c r="E262" s="340"/>
      <c r="F262" s="340"/>
      <c r="G262" s="340"/>
      <c r="H262" s="340"/>
      <c r="I262" s="428"/>
      <c r="J262" s="430"/>
      <c r="K262" s="468"/>
      <c r="L262" s="469"/>
      <c r="M262" s="470"/>
      <c r="N262" s="471"/>
      <c r="O262" s="472"/>
      <c r="P262" s="473"/>
      <c r="Q262" s="474"/>
      <c r="R262" s="475"/>
      <c r="S262" s="475"/>
      <c r="T262" s="476"/>
      <c r="U262" s="431"/>
      <c r="V262" s="181"/>
    </row>
    <row r="263" spans="1:22" x14ac:dyDescent="0.25">
      <c r="A263" s="530"/>
      <c r="B263" s="427"/>
      <c r="C263" s="428"/>
      <c r="D263" s="429"/>
      <c r="E263" s="340"/>
      <c r="F263" s="340"/>
      <c r="G263" s="340"/>
      <c r="H263" s="340"/>
      <c r="I263" s="428"/>
      <c r="J263" s="430"/>
      <c r="K263" s="468"/>
      <c r="L263" s="469"/>
      <c r="M263" s="470"/>
      <c r="N263" s="471"/>
      <c r="O263" s="472"/>
      <c r="P263" s="473"/>
      <c r="Q263" s="474"/>
      <c r="R263" s="475"/>
      <c r="S263" s="475"/>
      <c r="T263" s="476"/>
      <c r="U263" s="431"/>
      <c r="V263" s="181"/>
    </row>
    <row r="264" spans="1:22" x14ac:dyDescent="0.25">
      <c r="A264" s="530"/>
      <c r="B264" s="427"/>
      <c r="C264" s="428"/>
      <c r="D264" s="429"/>
      <c r="E264" s="340"/>
      <c r="F264" s="340"/>
      <c r="G264" s="340"/>
      <c r="H264" s="340"/>
      <c r="I264" s="428"/>
      <c r="J264" s="430"/>
      <c r="K264" s="468"/>
      <c r="L264" s="469"/>
      <c r="M264" s="470"/>
      <c r="N264" s="471"/>
      <c r="O264" s="472"/>
      <c r="P264" s="473"/>
      <c r="Q264" s="474"/>
      <c r="R264" s="475"/>
      <c r="S264" s="475"/>
      <c r="T264" s="476"/>
      <c r="U264" s="431"/>
      <c r="V264" s="181"/>
    </row>
    <row r="265" spans="1:22" x14ac:dyDescent="0.25">
      <c r="A265" s="530"/>
      <c r="B265" s="427"/>
      <c r="C265" s="428"/>
      <c r="D265" s="429"/>
      <c r="E265" s="340"/>
      <c r="F265" s="340"/>
      <c r="G265" s="340"/>
      <c r="H265" s="340"/>
      <c r="I265" s="428"/>
      <c r="J265" s="430"/>
      <c r="K265" s="468"/>
      <c r="L265" s="469"/>
      <c r="M265" s="470"/>
      <c r="N265" s="471"/>
      <c r="O265" s="472"/>
      <c r="P265" s="473"/>
      <c r="Q265" s="474"/>
      <c r="R265" s="475"/>
      <c r="S265" s="475"/>
      <c r="T265" s="476"/>
      <c r="U265" s="431"/>
      <c r="V265" s="181"/>
    </row>
    <row r="266" spans="1:22" x14ac:dyDescent="0.25">
      <c r="A266" s="530"/>
      <c r="B266" s="427"/>
      <c r="C266" s="428"/>
      <c r="D266" s="429"/>
      <c r="E266" s="340"/>
      <c r="F266" s="340"/>
      <c r="G266" s="340"/>
      <c r="H266" s="340"/>
      <c r="I266" s="428"/>
      <c r="J266" s="430"/>
      <c r="K266" s="468"/>
      <c r="L266" s="469"/>
      <c r="M266" s="470"/>
      <c r="N266" s="471"/>
      <c r="O266" s="472"/>
      <c r="P266" s="473"/>
      <c r="Q266" s="474"/>
      <c r="R266" s="475"/>
      <c r="S266" s="475"/>
      <c r="T266" s="476"/>
      <c r="U266" s="431"/>
      <c r="V266" s="181"/>
    </row>
    <row r="267" spans="1:22" x14ac:dyDescent="0.25">
      <c r="A267" s="530"/>
      <c r="B267" s="427"/>
      <c r="C267" s="428"/>
      <c r="D267" s="429"/>
      <c r="E267" s="340"/>
      <c r="F267" s="340"/>
      <c r="G267" s="340"/>
      <c r="H267" s="340"/>
      <c r="I267" s="428"/>
      <c r="J267" s="430"/>
      <c r="K267" s="468"/>
      <c r="L267" s="469"/>
      <c r="M267" s="470"/>
      <c r="N267" s="471"/>
      <c r="O267" s="472"/>
      <c r="P267" s="473"/>
      <c r="Q267" s="474"/>
      <c r="R267" s="475"/>
      <c r="S267" s="475"/>
      <c r="T267" s="476"/>
      <c r="U267" s="431"/>
      <c r="V267" s="181"/>
    </row>
    <row r="268" spans="1:22" x14ac:dyDescent="0.25">
      <c r="A268" s="530"/>
      <c r="B268" s="427"/>
      <c r="C268" s="428"/>
      <c r="D268" s="429"/>
      <c r="E268" s="340"/>
      <c r="F268" s="340"/>
      <c r="G268" s="340"/>
      <c r="H268" s="340"/>
      <c r="I268" s="428"/>
      <c r="J268" s="430"/>
      <c r="K268" s="468"/>
      <c r="L268" s="469"/>
      <c r="M268" s="470"/>
      <c r="N268" s="471"/>
      <c r="O268" s="472"/>
      <c r="P268" s="473"/>
      <c r="Q268" s="474"/>
      <c r="R268" s="475"/>
      <c r="S268" s="475"/>
      <c r="T268" s="476"/>
      <c r="U268" s="431"/>
      <c r="V268" s="181"/>
    </row>
    <row r="269" spans="1:22" x14ac:dyDescent="0.25">
      <c r="A269" s="530"/>
      <c r="B269" s="427"/>
      <c r="C269" s="428"/>
      <c r="D269" s="429"/>
      <c r="E269" s="340"/>
      <c r="F269" s="340"/>
      <c r="G269" s="340"/>
      <c r="H269" s="340"/>
      <c r="I269" s="428"/>
      <c r="J269" s="430"/>
      <c r="K269" s="468"/>
      <c r="L269" s="469"/>
      <c r="M269" s="470"/>
      <c r="N269" s="471"/>
      <c r="O269" s="472"/>
      <c r="P269" s="473"/>
      <c r="Q269" s="474"/>
      <c r="R269" s="475"/>
      <c r="S269" s="475"/>
      <c r="T269" s="476"/>
      <c r="U269" s="431"/>
      <c r="V269" s="181"/>
    </row>
    <row r="270" spans="1:22" x14ac:dyDescent="0.25">
      <c r="A270" s="426"/>
      <c r="B270" s="427"/>
      <c r="C270" s="428"/>
      <c r="D270" s="429"/>
      <c r="E270" s="340"/>
      <c r="F270" s="340"/>
      <c r="G270" s="340"/>
      <c r="H270" s="340"/>
      <c r="I270" s="428"/>
      <c r="J270" s="430"/>
      <c r="K270" s="468"/>
      <c r="L270" s="469"/>
      <c r="M270" s="470"/>
      <c r="N270" s="471"/>
      <c r="O270" s="472"/>
      <c r="P270" s="473"/>
      <c r="Q270" s="474"/>
      <c r="R270" s="475"/>
      <c r="S270" s="475"/>
      <c r="T270" s="476"/>
      <c r="U270" s="431"/>
      <c r="V270" s="181"/>
    </row>
    <row r="271" spans="1:22" x14ac:dyDescent="0.25">
      <c r="A271" s="426"/>
      <c r="B271" s="427"/>
      <c r="C271" s="428"/>
      <c r="D271" s="429"/>
      <c r="E271" s="340"/>
      <c r="F271" s="340"/>
      <c r="G271" s="340"/>
      <c r="H271" s="340"/>
      <c r="I271" s="428"/>
      <c r="J271" s="430"/>
      <c r="K271" s="468"/>
      <c r="L271" s="469"/>
      <c r="M271" s="470"/>
      <c r="N271" s="471"/>
      <c r="O271" s="472"/>
      <c r="P271" s="473"/>
      <c r="Q271" s="474"/>
      <c r="R271" s="475"/>
      <c r="S271" s="475"/>
      <c r="T271" s="476"/>
      <c r="U271" s="431"/>
      <c r="V271" s="181"/>
    </row>
    <row r="272" spans="1:22" x14ac:dyDescent="0.25">
      <c r="A272" s="363"/>
      <c r="B272" s="396"/>
      <c r="C272" s="339"/>
      <c r="D272" s="82"/>
      <c r="E272" s="180"/>
      <c r="F272" s="180"/>
      <c r="G272" s="180"/>
      <c r="H272" s="180"/>
      <c r="I272" s="339"/>
      <c r="J272" s="194"/>
      <c r="K272" s="477"/>
      <c r="L272" s="478"/>
      <c r="M272" s="479"/>
      <c r="N272" s="480"/>
      <c r="O272" s="481"/>
      <c r="P272" s="482"/>
      <c r="Q272" s="483"/>
      <c r="R272" s="484"/>
      <c r="S272" s="484"/>
      <c r="T272" s="485"/>
      <c r="U272" s="364"/>
      <c r="V272" s="181"/>
    </row>
    <row r="273" spans="1:22" x14ac:dyDescent="0.25">
      <c r="A273" s="363"/>
      <c r="B273" s="396"/>
      <c r="C273" s="339"/>
      <c r="D273" s="82"/>
      <c r="E273" s="180"/>
      <c r="F273" s="180"/>
      <c r="G273" s="180"/>
      <c r="H273" s="180"/>
      <c r="I273" s="339"/>
      <c r="J273" s="194"/>
      <c r="K273" s="477"/>
      <c r="L273" s="478"/>
      <c r="M273" s="479"/>
      <c r="N273" s="480"/>
      <c r="O273" s="481"/>
      <c r="P273" s="482"/>
      <c r="Q273" s="483"/>
      <c r="R273" s="484"/>
      <c r="S273" s="484"/>
      <c r="T273" s="485"/>
      <c r="U273" s="364"/>
      <c r="V273" s="181"/>
    </row>
    <row r="274" spans="1:22" ht="15.75" thickBot="1" x14ac:dyDescent="0.3">
      <c r="A274" s="370"/>
      <c r="B274" s="397"/>
      <c r="C274" s="371"/>
      <c r="D274" s="372"/>
      <c r="E274" s="373"/>
      <c r="F274" s="373"/>
      <c r="G274" s="373"/>
      <c r="H274" s="373"/>
      <c r="I274" s="371"/>
      <c r="J274" s="374"/>
      <c r="K274" s="486"/>
      <c r="L274" s="487"/>
      <c r="M274" s="488"/>
      <c r="N274" s="489"/>
      <c r="O274" s="490"/>
      <c r="P274" s="491"/>
      <c r="Q274" s="492"/>
      <c r="R274" s="493"/>
      <c r="S274" s="493"/>
      <c r="T274" s="494"/>
      <c r="U274" s="375"/>
      <c r="V274" s="181"/>
    </row>
    <row r="275" spans="1:22" x14ac:dyDescent="0.25">
      <c r="A275" s="590" t="s">
        <v>777</v>
      </c>
      <c r="B275" s="686"/>
      <c r="C275" s="686"/>
      <c r="D275" s="686"/>
      <c r="E275" s="686"/>
      <c r="F275" s="686"/>
      <c r="G275" s="686"/>
      <c r="H275" s="686"/>
      <c r="I275" s="686"/>
      <c r="J275" s="686"/>
      <c r="K275" s="686"/>
      <c r="L275" s="686"/>
      <c r="M275" s="686"/>
      <c r="N275" s="686"/>
      <c r="O275" s="686"/>
      <c r="P275" s="686"/>
      <c r="Q275" s="686"/>
      <c r="R275" s="686"/>
      <c r="S275" s="686"/>
      <c r="T275" s="686"/>
      <c r="U275" s="687"/>
      <c r="V275" s="181"/>
    </row>
    <row r="276" spans="1:22" ht="15.75" thickBot="1" x14ac:dyDescent="0.3">
      <c r="A276" s="688"/>
      <c r="B276" s="689"/>
      <c r="C276" s="689"/>
      <c r="D276" s="689"/>
      <c r="E276" s="689"/>
      <c r="F276" s="689"/>
      <c r="G276" s="689"/>
      <c r="H276" s="689"/>
      <c r="I276" s="689"/>
      <c r="J276" s="689"/>
      <c r="K276" s="689"/>
      <c r="L276" s="689"/>
      <c r="M276" s="689"/>
      <c r="N276" s="689"/>
      <c r="O276" s="689"/>
      <c r="P276" s="689"/>
      <c r="Q276" s="689"/>
      <c r="R276" s="689"/>
      <c r="S276" s="689"/>
      <c r="T276" s="689"/>
      <c r="U276" s="690"/>
      <c r="V276" s="181"/>
    </row>
    <row r="277" spans="1:22" s="188" customFormat="1" ht="18.75" x14ac:dyDescent="0.25">
      <c r="A277" s="639" t="s">
        <v>302</v>
      </c>
      <c r="B277" s="640"/>
      <c r="C277" s="640"/>
      <c r="D277" s="640"/>
      <c r="E277" s="640"/>
      <c r="F277" s="641"/>
      <c r="G277" s="384">
        <f>COUNTIF(G7:G274,"Yes")</f>
        <v>252</v>
      </c>
      <c r="H277" s="384">
        <f>COUNTIF(H7:H274,"Yes")</f>
        <v>252</v>
      </c>
      <c r="I277" s="637">
        <f>'Diags Raw Data'!K151</f>
        <v>142</v>
      </c>
      <c r="J277" s="673">
        <f>'Diags Raw Data'!L151</f>
        <v>718</v>
      </c>
      <c r="K277" s="663">
        <f>'Diags Raw Data'!N151</f>
        <v>1</v>
      </c>
      <c r="L277" s="665">
        <f>'Diags Raw Data'!P151</f>
        <v>0.93978873239436633</v>
      </c>
      <c r="M277" s="667">
        <f>'Diags Raw Data'!R151</f>
        <v>525</v>
      </c>
      <c r="N277" s="659">
        <f>SUM('Diags Raw Data'!T151+'Diags Raw Data'!U151)</f>
        <v>433</v>
      </c>
      <c r="O277" s="691">
        <f>IF((M277=0),0,N277/M277)</f>
        <v>0.82476190476190481</v>
      </c>
      <c r="P277" s="693">
        <f>'Diags Raw Data'!Z151</f>
        <v>240</v>
      </c>
      <c r="Q277" s="649">
        <f>SUM('Diags Raw Data'!AA151+'Diags Raw Data'!AB151)</f>
        <v>238</v>
      </c>
      <c r="R277" s="669">
        <f>IF((J277=0),0,P277/J277)</f>
        <v>0.33426183844011143</v>
      </c>
      <c r="S277" s="669">
        <f>IF((P277=0),0,Q277/P277)</f>
        <v>0.9916666666666667</v>
      </c>
      <c r="T277" s="669">
        <f>R277*S277</f>
        <v>0.33147632311977715</v>
      </c>
      <c r="U277" s="671"/>
      <c r="V277" s="187"/>
    </row>
    <row r="278" spans="1:22" ht="19.5" thickBot="1" x14ac:dyDescent="0.3">
      <c r="A278" s="642"/>
      <c r="B278" s="643"/>
      <c r="C278" s="643"/>
      <c r="D278" s="643"/>
      <c r="E278" s="643"/>
      <c r="F278" s="644"/>
      <c r="G278" s="385">
        <f>COUNTIF(G7:G274,"Yes")/COUNTA(A7:A274)</f>
        <v>1</v>
      </c>
      <c r="H278" s="385">
        <f>(COUNTIF(H7:H274,"Yes")/G277)</f>
        <v>1</v>
      </c>
      <c r="I278" s="638"/>
      <c r="J278" s="674"/>
      <c r="K278" s="664"/>
      <c r="L278" s="666"/>
      <c r="M278" s="668"/>
      <c r="N278" s="660"/>
      <c r="O278" s="692"/>
      <c r="P278" s="694"/>
      <c r="Q278" s="650"/>
      <c r="R278" s="670"/>
      <c r="S278" s="670"/>
      <c r="T278" s="670"/>
      <c r="U278" s="672"/>
      <c r="V278" s="181"/>
    </row>
    <row r="279" spans="1:22" x14ac:dyDescent="0.25">
      <c r="A279" s="189"/>
      <c r="B279" s="190"/>
      <c r="C279" s="190"/>
      <c r="D279" s="189"/>
      <c r="E279" s="190"/>
      <c r="F279" s="190"/>
      <c r="G279" s="366"/>
      <c r="H279" s="190"/>
      <c r="I279" s="376"/>
      <c r="J279" s="376"/>
      <c r="K279" s="195"/>
      <c r="L279" s="195"/>
      <c r="M279" s="196"/>
      <c r="N279" s="196"/>
      <c r="O279" s="195"/>
      <c r="P279" s="192"/>
      <c r="Q279" s="192"/>
      <c r="R279" s="199"/>
      <c r="S279" s="199"/>
      <c r="T279" s="200"/>
      <c r="U279" s="189"/>
    </row>
  </sheetData>
  <sheetProtection insertColumns="0" insertRows="0" deleteRows="0" sort="0"/>
  <autoFilter ref="A6:U278" xr:uid="{00000000-0009-0000-0000-000004000000}"/>
  <mergeCells count="36">
    <mergeCell ref="K5:L5"/>
    <mergeCell ref="A5:J5"/>
    <mergeCell ref="M5:O5"/>
    <mergeCell ref="P5:U5"/>
    <mergeCell ref="A277:F278"/>
    <mergeCell ref="A275:U276"/>
    <mergeCell ref="O277:O278"/>
    <mergeCell ref="P277:P278"/>
    <mergeCell ref="N277:N278"/>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778</v>
      </c>
      <c r="C1" s="36" t="s">
        <v>779</v>
      </c>
      <c r="D1" s="36" t="s">
        <v>780</v>
      </c>
      <c r="E1" s="36" t="s">
        <v>781</v>
      </c>
      <c r="F1" s="36" t="s">
        <v>782</v>
      </c>
      <c r="G1" s="37" t="s">
        <v>783</v>
      </c>
      <c r="H1" s="12"/>
      <c r="I1" s="12"/>
      <c r="J1" s="12"/>
      <c r="K1" s="12"/>
      <c r="L1" s="13"/>
      <c r="M1" s="1"/>
      <c r="N1" s="11"/>
      <c r="X1" s="11"/>
      <c r="AB1" s="695" t="s">
        <v>784</v>
      </c>
      <c r="AM1" s="695" t="s">
        <v>785</v>
      </c>
    </row>
    <row r="2" spans="1:40" s="14" customFormat="1" ht="12" x14ac:dyDescent="0.2">
      <c r="A2" s="35" t="s">
        <v>786</v>
      </c>
      <c r="B2" s="15">
        <v>42994</v>
      </c>
      <c r="C2" s="15">
        <v>43190</v>
      </c>
      <c r="D2" s="16" t="e">
        <f>#REF!</f>
        <v>#REF!</v>
      </c>
      <c r="E2" s="16" t="e">
        <f>#REF!</f>
        <v>#REF!</v>
      </c>
      <c r="F2" s="16">
        <f>(C2-B2)/7</f>
        <v>28</v>
      </c>
      <c r="G2" s="17" t="e">
        <f>E2/F2</f>
        <v>#REF!</v>
      </c>
      <c r="H2" s="18"/>
      <c r="I2" s="18"/>
      <c r="J2" s="18"/>
      <c r="K2" s="18"/>
      <c r="L2" s="19"/>
      <c r="M2" s="20"/>
      <c r="N2" s="21"/>
      <c r="X2" s="21"/>
      <c r="AB2" s="696"/>
      <c r="AM2" s="696"/>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97" t="s">
        <v>787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98"/>
      <c r="B5" s="47" t="s">
        <v>788</v>
      </c>
      <c r="C5" s="47" t="s">
        <v>789</v>
      </c>
      <c r="D5" s="47" t="s">
        <v>790</v>
      </c>
      <c r="E5" s="47" t="s">
        <v>791</v>
      </c>
      <c r="F5" s="47" t="s">
        <v>792</v>
      </c>
      <c r="G5" s="47" t="s">
        <v>793</v>
      </c>
      <c r="H5" s="47" t="s">
        <v>794</v>
      </c>
      <c r="I5" s="47" t="s">
        <v>795</v>
      </c>
      <c r="J5" s="47" t="s">
        <v>796</v>
      </c>
      <c r="K5" s="47" t="s">
        <v>797</v>
      </c>
      <c r="L5" s="47" t="s">
        <v>798</v>
      </c>
      <c r="M5" s="47" t="s">
        <v>799</v>
      </c>
      <c r="N5" s="47" t="s">
        <v>800</v>
      </c>
      <c r="O5" s="47" t="s">
        <v>801</v>
      </c>
      <c r="P5" s="47" t="s">
        <v>802</v>
      </c>
      <c r="Q5" s="47" t="s">
        <v>803</v>
      </c>
      <c r="R5" s="47" t="s">
        <v>804</v>
      </c>
      <c r="S5" s="47" t="s">
        <v>805</v>
      </c>
      <c r="T5" s="47" t="s">
        <v>806</v>
      </c>
      <c r="U5" s="47" t="s">
        <v>807</v>
      </c>
      <c r="V5" s="47" t="s">
        <v>808</v>
      </c>
      <c r="W5" s="47" t="s">
        <v>809</v>
      </c>
      <c r="X5" s="47" t="s">
        <v>810</v>
      </c>
      <c r="Y5" s="47" t="s">
        <v>811</v>
      </c>
      <c r="Z5" s="47" t="s">
        <v>812</v>
      </c>
      <c r="AA5" s="47" t="s">
        <v>813</v>
      </c>
      <c r="AB5" s="47" t="s">
        <v>814</v>
      </c>
      <c r="AC5" s="47" t="s">
        <v>815</v>
      </c>
      <c r="AD5" s="47" t="s">
        <v>816</v>
      </c>
      <c r="AE5" s="47" t="s">
        <v>817</v>
      </c>
      <c r="AF5" s="47" t="s">
        <v>818</v>
      </c>
      <c r="AG5" s="47" t="s">
        <v>819</v>
      </c>
      <c r="AH5" s="47" t="s">
        <v>820</v>
      </c>
      <c r="AI5" s="47" t="s">
        <v>821</v>
      </c>
      <c r="AJ5" s="47" t="s">
        <v>822</v>
      </c>
      <c r="AK5" s="47" t="s">
        <v>823</v>
      </c>
      <c r="AL5" s="66" t="s">
        <v>824</v>
      </c>
      <c r="AM5" s="65" t="s">
        <v>825</v>
      </c>
      <c r="AN5" s="50"/>
    </row>
    <row r="6" spans="1:40" ht="12" x14ac:dyDescent="0.2">
      <c r="A6" s="48" t="s">
        <v>826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827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97" t="s">
        <v>828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99"/>
      <c r="B10" s="32" t="s">
        <v>788</v>
      </c>
      <c r="C10" s="32" t="s">
        <v>789</v>
      </c>
      <c r="D10" s="32" t="s">
        <v>790</v>
      </c>
      <c r="E10" s="32" t="s">
        <v>791</v>
      </c>
      <c r="F10" s="32" t="s">
        <v>792</v>
      </c>
      <c r="G10" s="32" t="s">
        <v>793</v>
      </c>
      <c r="H10" s="32" t="s">
        <v>794</v>
      </c>
      <c r="I10" s="32" t="s">
        <v>795</v>
      </c>
      <c r="J10" s="32" t="s">
        <v>796</v>
      </c>
      <c r="K10" s="32" t="s">
        <v>797</v>
      </c>
      <c r="L10" s="32" t="s">
        <v>798</v>
      </c>
      <c r="M10" s="32" t="s">
        <v>799</v>
      </c>
      <c r="N10" s="32" t="s">
        <v>800</v>
      </c>
      <c r="O10" s="32" t="s">
        <v>801</v>
      </c>
      <c r="P10" s="32" t="s">
        <v>802</v>
      </c>
      <c r="Q10" s="32" t="s">
        <v>803</v>
      </c>
      <c r="R10" s="32" t="s">
        <v>804</v>
      </c>
      <c r="S10" s="32" t="s">
        <v>805</v>
      </c>
      <c r="T10" s="32" t="s">
        <v>806</v>
      </c>
      <c r="U10" s="32" t="s">
        <v>807</v>
      </c>
      <c r="V10" s="32" t="s">
        <v>808</v>
      </c>
      <c r="W10" s="32" t="s">
        <v>809</v>
      </c>
      <c r="X10" s="32" t="s">
        <v>810</v>
      </c>
      <c r="Y10" s="32" t="s">
        <v>811</v>
      </c>
      <c r="Z10" s="32" t="s">
        <v>812</v>
      </c>
      <c r="AA10" s="32" t="s">
        <v>813</v>
      </c>
      <c r="AB10" s="32" t="s">
        <v>814</v>
      </c>
      <c r="AC10" s="32" t="s">
        <v>815</v>
      </c>
      <c r="AD10" s="32" t="s">
        <v>816</v>
      </c>
      <c r="AE10" s="32" t="s">
        <v>817</v>
      </c>
      <c r="AF10" s="32" t="s">
        <v>818</v>
      </c>
      <c r="AG10" s="32" t="s">
        <v>819</v>
      </c>
      <c r="AH10" s="32" t="s">
        <v>820</v>
      </c>
      <c r="AI10" s="32" t="s">
        <v>821</v>
      </c>
      <c r="AJ10" s="64" t="s">
        <v>822</v>
      </c>
      <c r="AK10" s="63" t="s">
        <v>823</v>
      </c>
      <c r="AL10" s="47" t="s">
        <v>824</v>
      </c>
      <c r="AM10" s="72" t="s">
        <v>825</v>
      </c>
      <c r="AN10" s="68"/>
    </row>
    <row r="11" spans="1:40" x14ac:dyDescent="0.25">
      <c r="A11" s="42" t="s">
        <v>826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827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829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830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831</v>
      </c>
      <c r="B1" s="157" t="s">
        <v>832</v>
      </c>
      <c r="C1" s="158" t="s">
        <v>833</v>
      </c>
      <c r="D1" s="158" t="s">
        <v>834</v>
      </c>
      <c r="E1" s="158" t="s">
        <v>835</v>
      </c>
      <c r="F1" s="158" t="s">
        <v>836</v>
      </c>
      <c r="G1" s="158" t="s">
        <v>837</v>
      </c>
      <c r="H1" s="158" t="s">
        <v>838</v>
      </c>
      <c r="I1" s="158" t="s">
        <v>839</v>
      </c>
      <c r="J1" s="158" t="s">
        <v>840</v>
      </c>
      <c r="K1" s="158" t="s">
        <v>841</v>
      </c>
      <c r="L1" s="158" t="s">
        <v>842</v>
      </c>
      <c r="M1" s="158" t="s">
        <v>843</v>
      </c>
      <c r="N1" s="158" t="s">
        <v>844</v>
      </c>
      <c r="O1" s="158" t="s">
        <v>845</v>
      </c>
      <c r="P1" s="158" t="s">
        <v>846</v>
      </c>
      <c r="Q1" s="158" t="s">
        <v>847</v>
      </c>
      <c r="R1" s="158" t="s">
        <v>848</v>
      </c>
      <c r="S1" s="158" t="s">
        <v>849</v>
      </c>
      <c r="T1" s="158" t="s">
        <v>850</v>
      </c>
      <c r="U1" s="158" t="s">
        <v>851</v>
      </c>
      <c r="V1" s="158" t="s">
        <v>852</v>
      </c>
      <c r="W1" s="158" t="s">
        <v>853</v>
      </c>
      <c r="X1" s="158" t="s">
        <v>854</v>
      </c>
      <c r="Y1" s="158" t="s">
        <v>855</v>
      </c>
      <c r="Z1" s="158" t="s">
        <v>856</v>
      </c>
      <c r="AA1" s="158" t="s">
        <v>857</v>
      </c>
      <c r="AB1" s="158" t="s">
        <v>858</v>
      </c>
      <c r="AC1" s="158" t="s">
        <v>859</v>
      </c>
      <c r="AD1" s="158" t="s">
        <v>860</v>
      </c>
      <c r="AE1" s="158" t="s">
        <v>861</v>
      </c>
      <c r="AF1" s="158" t="s">
        <v>862</v>
      </c>
      <c r="AG1" s="158" t="s">
        <v>863</v>
      </c>
      <c r="AH1" s="158" t="s">
        <v>864</v>
      </c>
      <c r="AI1" s="158" t="s">
        <v>865</v>
      </c>
      <c r="AJ1" s="158" t="s">
        <v>866</v>
      </c>
      <c r="AK1" s="158" t="s">
        <v>867</v>
      </c>
      <c r="AL1" s="158" t="s">
        <v>868</v>
      </c>
      <c r="AM1" s="158" t="s">
        <v>869</v>
      </c>
      <c r="AN1" s="158" t="s">
        <v>870</v>
      </c>
      <c r="AO1" s="158" t="s">
        <v>871</v>
      </c>
      <c r="AP1" s="158" t="s">
        <v>872</v>
      </c>
      <c r="AQ1" s="158" t="s">
        <v>873</v>
      </c>
      <c r="AR1" s="158" t="s">
        <v>874</v>
      </c>
      <c r="AS1" s="158" t="s">
        <v>875</v>
      </c>
      <c r="AT1" s="158" t="s">
        <v>876</v>
      </c>
      <c r="AU1" s="158" t="s">
        <v>877</v>
      </c>
      <c r="AV1" s="158" t="s">
        <v>878</v>
      </c>
      <c r="AW1" s="158" t="s">
        <v>879</v>
      </c>
      <c r="AX1" s="158" t="s">
        <v>880</v>
      </c>
      <c r="AY1" s="158" t="s">
        <v>881</v>
      </c>
      <c r="AZ1" s="158" t="s">
        <v>882</v>
      </c>
      <c r="BA1" s="158" t="s">
        <v>883</v>
      </c>
      <c r="BB1" s="159" t="s">
        <v>884</v>
      </c>
    </row>
    <row r="2" spans="1:54" s="135" customFormat="1" x14ac:dyDescent="0.2">
      <c r="A2" s="151" t="s">
        <v>827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830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828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827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829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885</v>
      </c>
      <c r="B3" s="129" t="s">
        <v>886</v>
      </c>
      <c r="C3" s="129"/>
      <c r="D3" s="219"/>
      <c r="E3" s="129"/>
    </row>
    <row r="4" spans="1:5" x14ac:dyDescent="0.25">
      <c r="A4" s="79" t="s">
        <v>47</v>
      </c>
      <c r="B4">
        <v>0</v>
      </c>
    </row>
    <row r="5" spans="1:5" x14ac:dyDescent="0.25">
      <c r="A5" s="79" t="s">
        <v>887</v>
      </c>
      <c r="B5">
        <v>85</v>
      </c>
      <c r="D5" s="130">
        <f>GETPIVOTDATA("#Tests",$A$3,"ETA","wk-1")/GETPIVOTDATA("#Tests",$A$3)</f>
        <v>0.17</v>
      </c>
      <c r="E5" s="131">
        <f>D5</f>
        <v>0.17</v>
      </c>
    </row>
    <row r="6" spans="1:5" x14ac:dyDescent="0.25">
      <c r="A6" s="79" t="s">
        <v>888</v>
      </c>
      <c r="B6">
        <v>48</v>
      </c>
      <c r="D6" s="130">
        <f>GETPIVOTDATA("#Tests",$A$3,"ETA","wk-2")/GETPIVOTDATA("#Tests",$A$3)</f>
        <v>9.6000000000000002E-2</v>
      </c>
      <c r="E6" s="131">
        <f t="shared" ref="E6:E12" si="0">E5+D6</f>
        <v>0.26600000000000001</v>
      </c>
    </row>
    <row r="7" spans="1:5" x14ac:dyDescent="0.25">
      <c r="A7" s="79" t="s">
        <v>889</v>
      </c>
      <c r="B7">
        <v>96</v>
      </c>
      <c r="D7" s="130">
        <f>GETPIVOTDATA("#Tests",$A$3,"ETA","wk-3")/GETPIVOTDATA("#Tests",$A$3)</f>
        <v>0.192</v>
      </c>
      <c r="E7" s="131">
        <f t="shared" si="0"/>
        <v>0.45800000000000002</v>
      </c>
    </row>
    <row r="8" spans="1:5" x14ac:dyDescent="0.25">
      <c r="A8" s="79" t="s">
        <v>890</v>
      </c>
      <c r="B8">
        <v>79</v>
      </c>
      <c r="D8" s="130">
        <f>GETPIVOTDATA("#Tests",$A$3,"ETA","wk-4")/GETPIVOTDATA("#Tests",$A$3)</f>
        <v>0.158</v>
      </c>
      <c r="E8" s="131">
        <f t="shared" si="0"/>
        <v>0.61599999999999999</v>
      </c>
    </row>
    <row r="9" spans="1:5" x14ac:dyDescent="0.25">
      <c r="A9" s="79" t="s">
        <v>891</v>
      </c>
      <c r="B9">
        <v>82</v>
      </c>
      <c r="D9" s="130">
        <f>GETPIVOTDATA("#Tests",$A$3,"ETA","wk-5")/GETPIVOTDATA("#Tests",$A$3)</f>
        <v>0.16400000000000001</v>
      </c>
      <c r="E9" s="131">
        <f t="shared" si="0"/>
        <v>0.78</v>
      </c>
    </row>
    <row r="10" spans="1:5" x14ac:dyDescent="0.25">
      <c r="A10" s="79" t="s">
        <v>892</v>
      </c>
      <c r="B10">
        <v>60</v>
      </c>
      <c r="D10" s="130">
        <f>GETPIVOTDATA("#Tests",$A$3,"ETA","wk-6")/GETPIVOTDATA("#Tests",$A$3)</f>
        <v>0.12</v>
      </c>
      <c r="E10" s="131">
        <f t="shared" si="0"/>
        <v>0.9</v>
      </c>
    </row>
    <row r="11" spans="1:5" x14ac:dyDescent="0.25">
      <c r="A11" s="79" t="s">
        <v>893</v>
      </c>
      <c r="B11">
        <v>30</v>
      </c>
      <c r="D11" s="130">
        <f>GETPIVOTDATA("#Tests",$A$3,"ETA","wk-7")/GETPIVOTDATA("#Tests",$A$3)</f>
        <v>0.06</v>
      </c>
      <c r="E11" s="131">
        <f t="shared" si="0"/>
        <v>0.96</v>
      </c>
    </row>
    <row r="12" spans="1:5" x14ac:dyDescent="0.25">
      <c r="A12" s="79" t="s">
        <v>894</v>
      </c>
      <c r="B12">
        <v>20</v>
      </c>
      <c r="D12" s="130">
        <f>GETPIVOTDATA("#Tests",$A$3,"ETA","wk-8")/GETPIVOTDATA("#Tests",$A$3)</f>
        <v>0.04</v>
      </c>
      <c r="E12" s="131">
        <f t="shared" si="0"/>
        <v>1</v>
      </c>
    </row>
    <row r="13" spans="1:5" x14ac:dyDescent="0.25">
      <c r="A13" s="79" t="s">
        <v>487</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http://schemas.microsoft.com/office/infopath/2007/PartnerControls"/>
    <ds:schemaRef ds:uri="http://schemas.microsoft.com/office/2006/documentManagement/types"/>
    <ds:schemaRef ds:uri="http://www.w3.org/XML/1998/namespace"/>
    <ds:schemaRef ds:uri="http://schemas.openxmlformats.org/package/2006/metadata/core-properties"/>
    <ds:schemaRef ds:uri="ec5a97c5-2653-49c6-b3a5-07f7dd96f613"/>
    <ds:schemaRef ds:uri="6d5e1dd9-3d6d-4d57-aaa4-c6398f910d60"/>
    <ds:schemaRef ds:uri="http://purl.org/dc/dcmitype/"/>
    <ds:schemaRef ds:uri="http://purl.org/dc/terms/"/>
    <ds:schemaRef ds:uri="http://purl.org/dc/elements/1.1/"/>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2024-03-17T20:26:47Z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